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15" windowWidth="18615" windowHeight="7545" tabRatio="615" firstSheet="7" activeTab="10"/>
  </bookViews>
  <sheets>
    <sheet name="Structure" sheetId="11" state="hidden" r:id="rId1"/>
    <sheet name="Main" sheetId="7" state="hidden" r:id="rId2"/>
    <sheet name="Type" sheetId="8" state="hidden" r:id="rId3"/>
    <sheet name="Funding" sheetId="6" state="hidden" r:id="rId4"/>
    <sheet name="Input" sheetId="5" r:id="rId5"/>
    <sheet name="LGU Condition" sheetId="1" r:id="rId6"/>
    <sheet name="Loan Repayment Input" sheetId="2" r:id="rId7"/>
    <sheet name="Loan Repayment Output" sheetId="9" r:id="rId8"/>
    <sheet name="User Rate Analysis" sheetId="3" r:id="rId9"/>
    <sheet name="User Rate Change Summary" sheetId="10" r:id="rId10"/>
    <sheet name="Impact to Bills" sheetId="12" r:id="rId11"/>
  </sheets>
  <calcPr calcId="125725"/>
</workbook>
</file>

<file path=xl/calcChain.xml><?xml version="1.0" encoding="utf-8"?>
<calcChain xmlns="http://schemas.openxmlformats.org/spreadsheetml/2006/main">
  <c r="C17" i="1"/>
  <c r="J12" i="3"/>
  <c r="K12"/>
  <c r="L12"/>
  <c r="M12"/>
  <c r="J13"/>
  <c r="K13"/>
  <c r="L13"/>
  <c r="M13"/>
  <c r="J14"/>
  <c r="K14"/>
  <c r="L14"/>
  <c r="M14"/>
  <c r="J15"/>
  <c r="K15"/>
  <c r="L15"/>
  <c r="M15"/>
  <c r="M11"/>
  <c r="L11"/>
  <c r="K11"/>
  <c r="J11"/>
  <c r="H8" i="9"/>
  <c r="H9"/>
  <c r="H10"/>
  <c r="H11"/>
  <c r="F8"/>
  <c r="F9"/>
  <c r="F10"/>
  <c r="F11"/>
  <c r="B8" i="10" l="1"/>
  <c r="B9"/>
  <c r="B10"/>
  <c r="B11"/>
  <c r="B12"/>
  <c r="B7"/>
  <c r="A4" i="12"/>
  <c r="A3"/>
  <c r="A2"/>
  <c r="A4" i="3"/>
  <c r="A3"/>
  <c r="A2"/>
  <c r="D8" i="9"/>
  <c r="D9"/>
  <c r="D10"/>
  <c r="D11"/>
  <c r="D7"/>
  <c r="E6"/>
  <c r="D6"/>
  <c r="C13" i="2"/>
  <c r="E8" i="9"/>
  <c r="E9"/>
  <c r="E10"/>
  <c r="E11"/>
  <c r="C10" i="3"/>
  <c r="C11"/>
  <c r="C12"/>
  <c r="C13"/>
  <c r="C14"/>
  <c r="C15"/>
  <c r="G15" s="1"/>
  <c r="I15" s="1"/>
  <c r="F7"/>
  <c r="F8"/>
  <c r="F6"/>
  <c r="F12" i="10" l="1"/>
  <c r="C14" i="2"/>
  <c r="B17" i="1"/>
  <c r="E10" i="3"/>
  <c r="B20" i="1"/>
  <c r="C8" i="12" s="1"/>
  <c r="A4" i="10"/>
  <c r="A3"/>
  <c r="A2"/>
  <c r="E7" i="9"/>
  <c r="B7"/>
  <c r="B8"/>
  <c r="B9"/>
  <c r="B10"/>
  <c r="B11"/>
  <c r="B6"/>
  <c r="F6" s="1"/>
  <c r="A4"/>
  <c r="A3"/>
  <c r="A2"/>
  <c r="A4" i="2"/>
  <c r="A3"/>
  <c r="A2"/>
  <c r="A3" i="1"/>
  <c r="A2"/>
  <c r="C9"/>
  <c r="F6" i="12" l="1"/>
  <c r="F5" i="10"/>
  <c r="G10" i="9"/>
  <c r="C10"/>
  <c r="G6"/>
  <c r="C6"/>
  <c r="H6" s="1"/>
  <c r="G8"/>
  <c r="C8"/>
  <c r="G11"/>
  <c r="C11"/>
  <c r="G9"/>
  <c r="C9"/>
  <c r="G7"/>
  <c r="D11" i="3" s="1"/>
  <c r="F11" s="1"/>
  <c r="H11" s="1"/>
  <c r="E8" i="10" s="1"/>
  <c r="C7" i="9"/>
  <c r="F7" s="1"/>
  <c r="H7" s="1"/>
  <c r="C6" i="12"/>
  <c r="B5" i="10"/>
  <c r="C21" i="1"/>
  <c r="F5" i="12" s="1"/>
  <c r="B21" i="1"/>
  <c r="C5" i="12" s="1"/>
  <c r="B18" i="1"/>
  <c r="D15" i="3"/>
  <c r="F15" s="1"/>
  <c r="H15" s="1"/>
  <c r="E12" i="10" s="1"/>
  <c r="M5" i="3"/>
  <c r="M6" s="1"/>
  <c r="G11" l="1"/>
  <c r="I11" s="1"/>
  <c r="F8" i="10" s="1"/>
  <c r="B22" i="1"/>
  <c r="F7" i="12" s="1"/>
  <c r="C7"/>
  <c r="D14" i="3"/>
  <c r="F14" s="1"/>
  <c r="H14" s="1"/>
  <c r="E11" i="10" s="1"/>
  <c r="D10" i="3"/>
  <c r="D12" i="10"/>
  <c r="C12"/>
  <c r="C8"/>
  <c r="D8" l="1"/>
  <c r="G14" i="3"/>
  <c r="I14" s="1"/>
  <c r="G10"/>
  <c r="I10" s="1"/>
  <c r="F10"/>
  <c r="H10" s="1"/>
  <c r="C11" i="10"/>
  <c r="M10" i="3" l="1"/>
  <c r="F7" i="10" s="1"/>
  <c r="K10" i="3"/>
  <c r="J10"/>
  <c r="C7" i="10" s="1"/>
  <c r="L10" i="3"/>
  <c r="E7" i="10" s="1"/>
  <c r="F11"/>
  <c r="D11"/>
  <c r="D7"/>
  <c r="C15" i="2"/>
  <c r="G12" i="9" l="1"/>
  <c r="H13"/>
  <c r="D12" i="3"/>
  <c r="D13" l="1"/>
  <c r="F13" s="1"/>
  <c r="F12"/>
  <c r="H12" l="1"/>
  <c r="E9" i="10" s="1"/>
  <c r="G12" i="3"/>
  <c r="I12" s="1"/>
  <c r="H13"/>
  <c r="E10" i="10" s="1"/>
  <c r="G13" i="3"/>
  <c r="C10" i="10"/>
  <c r="F16" i="3"/>
  <c r="F9" i="10" l="1"/>
  <c r="D9"/>
  <c r="I13" i="3"/>
  <c r="G17"/>
  <c r="J20"/>
  <c r="C9" i="10"/>
  <c r="L22" i="3"/>
  <c r="H18"/>
  <c r="F13" i="10" l="1"/>
  <c r="E13"/>
  <c r="D13"/>
  <c r="I19" i="3"/>
  <c r="C14" i="10"/>
  <c r="E14"/>
  <c r="C13"/>
  <c r="C15" s="1"/>
  <c r="C10" i="12" s="1"/>
  <c r="C11" s="1"/>
  <c r="C12" s="1"/>
  <c r="C16" i="10" l="1"/>
  <c r="D10" i="12" s="1"/>
  <c r="D11" s="1"/>
  <c r="D12" s="1"/>
  <c r="C20" i="10"/>
  <c r="E16"/>
  <c r="E20"/>
  <c r="C18"/>
  <c r="C17"/>
  <c r="F10"/>
  <c r="M23" i="3"/>
  <c r="D10" i="10"/>
  <c r="K21" i="3"/>
  <c r="C19" i="10"/>
  <c r="E15"/>
  <c r="E19"/>
  <c r="E16" i="12" s="1"/>
  <c r="E17" s="1"/>
  <c r="E18" s="1"/>
  <c r="D16" l="1"/>
  <c r="D17" s="1"/>
  <c r="D18" s="1"/>
  <c r="E18" i="10"/>
  <c r="E22"/>
  <c r="F16" i="12"/>
  <c r="F17" s="1"/>
  <c r="F18" s="1"/>
  <c r="C22" i="10"/>
  <c r="F10" i="12"/>
  <c r="F11" s="1"/>
  <c r="F12" s="1"/>
  <c r="E21" i="10"/>
  <c r="E10" i="12"/>
  <c r="E11" s="1"/>
  <c r="E12" s="1"/>
  <c r="E17" i="10"/>
  <c r="C16" i="12"/>
  <c r="C17" s="1"/>
  <c r="C18" s="1"/>
  <c r="D14" i="10"/>
  <c r="F14"/>
  <c r="C21"/>
  <c r="F21"/>
  <c r="D21"/>
  <c r="D20" l="1"/>
  <c r="D16"/>
  <c r="F20"/>
  <c r="F16"/>
  <c r="F15"/>
  <c r="F19"/>
  <c r="E19" i="12" s="1"/>
  <c r="E20" s="1"/>
  <c r="E21" s="1"/>
  <c r="D15" i="10"/>
  <c r="D19"/>
  <c r="E13" i="12" s="1"/>
  <c r="E14" s="1"/>
  <c r="E15" s="1"/>
  <c r="F19" l="1"/>
  <c r="F20" s="1"/>
  <c r="F21" s="1"/>
  <c r="F22" i="10"/>
  <c r="F13" i="12"/>
  <c r="F14" s="1"/>
  <c r="F15" s="1"/>
  <c r="D22" i="10"/>
  <c r="F18"/>
  <c r="D19" i="12"/>
  <c r="D20" s="1"/>
  <c r="D21" s="1"/>
  <c r="D18" i="10"/>
  <c r="D13" i="12"/>
  <c r="D14" s="1"/>
  <c r="D15" s="1"/>
  <c r="D17" i="10"/>
  <c r="C13" i="12"/>
  <c r="C14" s="1"/>
  <c r="C15" s="1"/>
  <c r="F17" i="10"/>
  <c r="C19" i="12"/>
  <c r="C20" s="1"/>
  <c r="C21" s="1"/>
</calcChain>
</file>

<file path=xl/sharedStrings.xml><?xml version="1.0" encoding="utf-8"?>
<sst xmlns="http://schemas.openxmlformats.org/spreadsheetml/2006/main" count="183" uniqueCount="156">
  <si>
    <t>Base Charge:</t>
  </si>
  <si>
    <t>Volumetric Charge per 1,000 gallons:</t>
  </si>
  <si>
    <t>Median Houshold Income:</t>
  </si>
  <si>
    <t>Amount</t>
  </si>
  <si>
    <t>Funding Source</t>
  </si>
  <si>
    <t>Funding Type</t>
  </si>
  <si>
    <t>Interest Rate (if applicable)</t>
  </si>
  <si>
    <t>Project Name:</t>
  </si>
  <si>
    <t>Funding Source 1:</t>
  </si>
  <si>
    <t>Funding Source 2:</t>
  </si>
  <si>
    <t>Funding Source 3:</t>
  </si>
  <si>
    <t>Funding Source 4:</t>
  </si>
  <si>
    <t>Funding Source 5:</t>
  </si>
  <si>
    <t>Year 1 Annual Repayment</t>
  </si>
  <si>
    <t>Operating Ratio</t>
  </si>
  <si>
    <t>Water and Sewer Revenue:</t>
  </si>
  <si>
    <t>Water and Sewer Expenses:</t>
  </si>
  <si>
    <t>Total Funding Amount</t>
  </si>
  <si>
    <t>Year 1 Principal Payment</t>
  </si>
  <si>
    <t>Existing Debt:</t>
  </si>
  <si>
    <t>LGU Name:</t>
  </si>
  <si>
    <t>Preferred Alternative Name:</t>
  </si>
  <si>
    <t>Utility Bill as Percent of Median Household Income</t>
  </si>
  <si>
    <t>Thousands of Gallons in Base Charge:</t>
  </si>
  <si>
    <t>Operating Ratio:</t>
  </si>
  <si>
    <t>CWSRF</t>
  </si>
  <si>
    <t>CWSRF-GPR</t>
  </si>
  <si>
    <t>STAG</t>
  </si>
  <si>
    <t>Bonds</t>
  </si>
  <si>
    <t>Bank Loans</t>
  </si>
  <si>
    <t>CWMTF Grant</t>
  </si>
  <si>
    <t>NCRC Grant</t>
  </si>
  <si>
    <t>USDA Grant</t>
  </si>
  <si>
    <t>USDA Loan</t>
  </si>
  <si>
    <t>Other</t>
  </si>
  <si>
    <t>SRL</t>
  </si>
  <si>
    <t>SEL</t>
  </si>
  <si>
    <r>
      <t>Funding Source</t>
    </r>
    <r>
      <rPr>
        <b/>
        <vertAlign val="superscript"/>
        <sz val="12"/>
        <color indexed="8"/>
        <rFont val="Times New Roman"/>
        <family val="1"/>
      </rPr>
      <t>a</t>
    </r>
  </si>
  <si>
    <r>
      <rPr>
        <vertAlign val="superscript"/>
        <sz val="10"/>
        <color indexed="8"/>
        <rFont val="Times New Roman"/>
        <family val="1"/>
      </rPr>
      <t>a</t>
    </r>
    <r>
      <rPr>
        <sz val="10"/>
        <color indexed="8"/>
        <rFont val="Times New Roman"/>
        <family val="1"/>
      </rPr>
      <t>For STAG grants, EPA charges a 3% administrative fee.  Enter the net STAG grant (total grant - 3% administrative fee).</t>
    </r>
  </si>
  <si>
    <r>
      <rPr>
        <vertAlign val="superscript"/>
        <sz val="10"/>
        <color indexed="8"/>
        <rFont val="Times New Roman"/>
        <family val="1"/>
      </rPr>
      <t>b</t>
    </r>
    <r>
      <rPr>
        <sz val="10"/>
        <color indexed="8"/>
        <rFont val="Times New Roman"/>
        <family val="1"/>
      </rPr>
      <t>If principal forgiveness is used, place the principal forgiveness portion of the loan in Funding 1.</t>
    </r>
  </si>
  <si>
    <t>Funding 1:</t>
  </si>
  <si>
    <t>Funding 2:</t>
  </si>
  <si>
    <t>Funding 3:</t>
  </si>
  <si>
    <t>Funding 4:</t>
  </si>
  <si>
    <t>Funding 5:</t>
  </si>
  <si>
    <t>Loan</t>
  </si>
  <si>
    <t>Grant</t>
  </si>
  <si>
    <t>Cash</t>
  </si>
  <si>
    <t>Enter data into the gray areas. Where applicable, use the pulldown menus as shown by the arrows.</t>
  </si>
  <si>
    <t>Local Funds</t>
  </si>
  <si>
    <t>Total Funded Amount (minus applicable closing fee):</t>
  </si>
  <si>
    <t>Year 1 O&amp;M Expenses Due to Project:</t>
  </si>
  <si>
    <t>Year 1 Annual O&amp;M Costs</t>
  </si>
  <si>
    <t>Total Project Cost (with closing fee):</t>
  </si>
  <si>
    <t xml:space="preserve">Enter information into the gray areas.  </t>
  </si>
  <si>
    <t>Repayment Period (if applicable)</t>
  </si>
  <si>
    <t>If Other, list:</t>
  </si>
  <si>
    <t>CWSRF-PF</t>
  </si>
  <si>
    <t>Principal Forgiveness</t>
  </si>
  <si>
    <t>Total Payment @ Current Interest Rate:</t>
  </si>
  <si>
    <t>Total Payment @ Worst-Case Interest Rate:</t>
  </si>
  <si>
    <r>
      <rPr>
        <vertAlign val="superscript"/>
        <sz val="10"/>
        <color indexed="8"/>
        <rFont val="Times New Roman"/>
        <family val="1"/>
      </rPr>
      <t>a</t>
    </r>
    <r>
      <rPr>
        <sz val="10"/>
        <color indexed="8"/>
        <rFont val="Times New Roman"/>
        <family val="1"/>
      </rPr>
      <t>Worst case is an interest rate of 4%.  Applies to CWSRF, SRL, and SEL only.</t>
    </r>
  </si>
  <si>
    <t>Provide revenues generated from the most recent complete fiscal year (e.g., FY 2010-2011).  Water and sewer expenses should not include depreciation.  Existing debt should be debt paid in the previous fiscal year only.</t>
  </si>
  <si>
    <t>Uniform</t>
  </si>
  <si>
    <t>Monthly Median Household Income for LGU:</t>
  </si>
  <si>
    <t xml:space="preserve">                  </t>
  </si>
  <si>
    <t xml:space="preserve">Residential Checkbox = </t>
  </si>
  <si>
    <t xml:space="preserve">Commercial Checkbox = </t>
  </si>
  <si>
    <t xml:space="preserve">Industrial Checkbox = </t>
  </si>
  <si>
    <t xml:space="preserve">Residential  </t>
  </si>
  <si>
    <t xml:space="preserve">Commercial  </t>
  </si>
  <si>
    <t xml:space="preserve">Industrial  </t>
  </si>
  <si>
    <t>Number of Connections</t>
  </si>
  <si>
    <t>IFS Main Funding Source:</t>
  </si>
  <si>
    <r>
      <t>Main IFS Funding</t>
    </r>
    <r>
      <rPr>
        <vertAlign val="superscript"/>
        <sz val="12"/>
        <color indexed="8"/>
        <rFont val="Times New Roman"/>
        <family val="1"/>
      </rPr>
      <t>b</t>
    </r>
    <r>
      <rPr>
        <sz val="12"/>
        <color indexed="8"/>
        <rFont val="Times New Roman"/>
        <family val="1"/>
      </rPr>
      <t>:</t>
    </r>
  </si>
  <si>
    <t>Total Year 1 Annual Cost @ Current Interest Rate:</t>
  </si>
  <si>
    <t>Total Year 1 Monthly Cost @ Current Interest Rate:</t>
  </si>
  <si>
    <t xml:space="preserve"> </t>
  </si>
  <si>
    <t>Rate Structure:</t>
  </si>
  <si>
    <t>Sewer Rate Structure</t>
  </si>
  <si>
    <t>Water Rate Structure</t>
  </si>
  <si>
    <t>Bill as % of Median Household Income:</t>
  </si>
  <si>
    <t>Use the pulldown menu to select the type of rate structure used for water and sewer. If using a rate structure other than uniform, then there is no need to complete the base charge (charge and volume) or volumetric charge.</t>
  </si>
  <si>
    <t>Average Water Usage Per Month (gallons)</t>
  </si>
  <si>
    <r>
      <rPr>
        <vertAlign val="superscript"/>
        <sz val="10"/>
        <color indexed="8"/>
        <rFont val="Times New Roman"/>
        <family val="1"/>
      </rPr>
      <t>b</t>
    </r>
    <r>
      <rPr>
        <sz val="10"/>
        <color indexed="8"/>
        <rFont val="Times New Roman"/>
        <family val="1"/>
      </rPr>
      <t>Change in User Fee to finance ALL funding sources.</t>
    </r>
  </si>
  <si>
    <t>Overall Bill as % of Median Household Income:</t>
  </si>
  <si>
    <t>Monthly Bill for 5,000 gallons:</t>
  </si>
  <si>
    <r>
      <t>Closing Fee</t>
    </r>
    <r>
      <rPr>
        <sz val="12"/>
        <color indexed="8"/>
        <rFont val="Times New Roman"/>
        <family val="1"/>
      </rPr>
      <t>:</t>
    </r>
  </si>
  <si>
    <t>Year 1 Interest Payment - Current Interest Rate</t>
  </si>
  <si>
    <t>Year 1 Total Payment - Worst Case Interest Rate</t>
  </si>
  <si>
    <t>Year 1 Interest Payment - Worst-Case Interest Rate</t>
  </si>
  <si>
    <t>Total Monthly Water Usage by Customer Type (gallons)</t>
  </si>
  <si>
    <t>Total Year 1 Annual Costs @ Current Interest Rate</t>
  </si>
  <si>
    <t>Year 1 Monthly Costs @ Current Interest Rate</t>
  </si>
  <si>
    <t>Year 1 Annual Cost @ Worst-Case Interest Rate</t>
  </si>
  <si>
    <t>Year 1 Monthly Costs @ Worst-Case Interest Rate</t>
  </si>
  <si>
    <t>Year 1 Total Payment - Current Interest Rate</t>
  </si>
  <si>
    <t>Monthly Cost/5,000 Gallons Due to Project @ Current Interest Rate (Residential Users Only)</t>
  </si>
  <si>
    <t>Total Year 1 Annual Cost @ Worst-Case Interest Rate</t>
  </si>
  <si>
    <t>Total Year 1 Monthly Cost @ Worst-Case Interest Rate:</t>
  </si>
  <si>
    <t>Monthly Cost/ 5,000 Gallons Due to Project @ Current Interest Rate (All Users )</t>
  </si>
  <si>
    <t>Monthly Cost/5,000 Gallons Due to Project @ Worst-Case Interest Rate (All Users)</t>
  </si>
  <si>
    <t>Total Monthly Cost to Treat 5,000 Gallons @ Current Interest Rate (Residential Users Only):</t>
  </si>
  <si>
    <t>Total Monthly Cost to Treat 5,000 Gallons @ Worst-Case Interest Rate (Residential Users Only):</t>
  </si>
  <si>
    <t>Total Monthly Cost to Treat 5,000 Gallons @ Current Interest Rate:</t>
  </si>
  <si>
    <t>Total Monthly Cost to Treat 5,000 Gallons @ Worst-Case Interest Rate (All Users):</t>
  </si>
  <si>
    <t>Main IFS Funding Source:</t>
  </si>
  <si>
    <t>Current Water Bill ($/5,000 gallons):</t>
  </si>
  <si>
    <t>Current Sewer Bill ($/5,000 gallons):</t>
  </si>
  <si>
    <t>Total Increase Due to All Loans(s) ($/5,000 gal.):</t>
  </si>
  <si>
    <t>Total User Rate Increase Due to IFS Loan(s) ($/5,000 gal.):</t>
  </si>
  <si>
    <t>New Sewer Bill Due to IFS Loan(s) ($/5,000 gal.):</t>
  </si>
  <si>
    <t>New Sewer &amp; Water Bills Due to IFS Loan(s) ($/5,000 gal.):</t>
  </si>
  <si>
    <t>Percent Change in Sewer Bill Due to IFS Loan(s):</t>
  </si>
  <si>
    <t>User Rate Increase Due to Project @ Current Interest Rate (All Users)</t>
  </si>
  <si>
    <t>User Rate Increase Due to Project @ Worst-Case Interest Rate (All Users)</t>
  </si>
  <si>
    <t>User Rate Increase Due to Project @ Current Rate (Residential Users Only)</t>
  </si>
  <si>
    <t>User Rate Increase Due to Project @ Worst-Case Interest Rate (Residential Users Only)</t>
  </si>
  <si>
    <t xml:space="preserve"># of 5000 Gallon Units to Finance Project: </t>
  </si>
  <si>
    <t>Additional Information if needed (see Section 2.2.7.1, Step 1 of the guidance).</t>
  </si>
  <si>
    <t>New</t>
  </si>
  <si>
    <t>Sewer Bill Due to IFS Loans</t>
  </si>
  <si>
    <t>Water Bill as % Monthly MHI:</t>
  </si>
  <si>
    <t>Sewer Bill as % Monthly MHI:</t>
  </si>
  <si>
    <t>Sewer &amp; Water Bill as % Monthly MHI:</t>
  </si>
  <si>
    <t>Sewer Bill Due to All Loans</t>
  </si>
  <si>
    <t>Current Sewer Bill ($/5,000 gal.):</t>
  </si>
  <si>
    <t>Current Water Bill ($/5,000 gal.):</t>
  </si>
  <si>
    <t>Current Sewer &amp; Water Bill ($/5,000 gal.):</t>
  </si>
  <si>
    <t>New Sewer Bill Due to All Loan(s) ($/5,000 gal.):</t>
  </si>
  <si>
    <t>Percent Change in Sewer Bill Due to All Loan(s):</t>
  </si>
  <si>
    <t>New Water &amp; Sewer Bills Due to All Loan(s) ($/5,000 gal.):</t>
  </si>
  <si>
    <t>Percent Change in Sewer &amp; Water Bills Due to All Loan(s):</t>
  </si>
  <si>
    <t>Percent Change in Sewer &amp; Water Bills Due to IFS Loan(s):</t>
  </si>
  <si>
    <t>Monthly MHI for LGU:</t>
  </si>
  <si>
    <t>New %MHI Due to Project</t>
  </si>
  <si>
    <t>Potentially Significant Impact?</t>
  </si>
  <si>
    <t>Current Interest
Rate (All Users)</t>
  </si>
  <si>
    <t>Current Interest
Rate (Residential
Users Only)</t>
  </si>
  <si>
    <t>Worst-Case
Interest Rate
(All Users)</t>
  </si>
  <si>
    <t>Worst-Case
Interest Rate
(Residential Users
Only)</t>
  </si>
  <si>
    <t>Water &amp; Sewer Bills Due to IFS Loans</t>
  </si>
  <si>
    <t>Water &amp; Sewer Bills Due to All Loans</t>
  </si>
  <si>
    <t>Combined Monthly Water and Sewer Bill for 5,000 gallons:</t>
  </si>
  <si>
    <t>Monthly Cost/5,000 Gallons Due to Project @ Worst-Case Interest Rate (Residential Users Only)</t>
  </si>
  <si>
    <t xml:space="preserve">Total Monthly Water Usage for Customer Base (gallons): </t>
  </si>
  <si>
    <r>
      <t>Select Customer Type for Financing Project</t>
    </r>
    <r>
      <rPr>
        <b/>
        <vertAlign val="superscript"/>
        <sz val="10"/>
        <color indexed="8"/>
        <rFont val="Times New Roman"/>
        <family val="1"/>
      </rPr>
      <t>c</t>
    </r>
  </si>
  <si>
    <r>
      <t>a</t>
    </r>
    <r>
      <rPr>
        <sz val="10"/>
        <color indexed="8"/>
        <rFont val="Times New Roman"/>
        <family val="1"/>
      </rPr>
      <t>Change in User Fee to finance IFS Loan.</t>
    </r>
  </si>
  <si>
    <t>If the user fee increases will be significantly increased, discuss why the LGU has determined to proceed with the project.</t>
  </si>
  <si>
    <t>Main IFS Funding :</t>
  </si>
  <si>
    <t>Table 7.1.  Local Government Unit Financial Condition</t>
  </si>
  <si>
    <t>Table 7.2.  Funding Distribution</t>
  </si>
  <si>
    <t>Table 7.3.  Year 1 Interest and Repayment</t>
  </si>
  <si>
    <t>Table 7.4.  Cost per 5,000 Gallons to Finance Project</t>
  </si>
  <si>
    <t>Table 7.5.  User Rates Needed to Finance Project</t>
  </si>
  <si>
    <t>Table 7.6.  Impact to Bills Due to Project</t>
  </si>
</sst>
</file>

<file path=xl/styles.xml><?xml version="1.0" encoding="utf-8"?>
<styleSheet xmlns="http://schemas.openxmlformats.org/spreadsheetml/2006/main">
  <numFmts count="5">
    <numFmt numFmtId="7" formatCode="&quot;$&quot;#,##0.00_);\(&quot;$&quot;#,##0.00\)"/>
    <numFmt numFmtId="164" formatCode="&quot;$&quot;#,##0"/>
    <numFmt numFmtId="165" formatCode="&quot;$&quot;#,##0.00"/>
    <numFmt numFmtId="166" formatCode="&quot;$&quot;#,##0.0000"/>
    <numFmt numFmtId="167" formatCode="0.000%"/>
  </numFmts>
  <fonts count="2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vertAlign val="superscript"/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  <font>
      <sz val="10"/>
      <color indexed="8"/>
      <name val="Times New Roman"/>
      <family val="1"/>
    </font>
    <font>
      <vertAlign val="superscript"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b/>
      <vertAlign val="superscript"/>
      <sz val="10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8">
    <xf numFmtId="0" fontId="0" fillId="0" borderId="0" xfId="0"/>
    <xf numFmtId="0" fontId="12" fillId="0" borderId="0" xfId="0" applyFont="1"/>
    <xf numFmtId="0" fontId="13" fillId="0" borderId="0" xfId="0" applyFont="1"/>
    <xf numFmtId="0" fontId="13" fillId="0" borderId="1" xfId="0" applyFont="1" applyBorder="1" applyAlignment="1">
      <alignment horizontal="right"/>
    </xf>
    <xf numFmtId="0" fontId="13" fillId="0" borderId="1" xfId="0" applyFont="1" applyBorder="1" applyAlignment="1">
      <alignment horizontal="right" wrapText="1"/>
    </xf>
    <xf numFmtId="0" fontId="13" fillId="0" borderId="1" xfId="0" applyFont="1" applyBorder="1"/>
    <xf numFmtId="0" fontId="3" fillId="0" borderId="0" xfId="0" applyFont="1" applyAlignment="1">
      <alignment horizontal="center" wrapText="1"/>
    </xf>
    <xf numFmtId="164" fontId="13" fillId="0" borderId="0" xfId="0" applyNumberFormat="1" applyFont="1"/>
    <xf numFmtId="10" fontId="4" fillId="0" borderId="0" xfId="1" applyNumberFormat="1" applyFont="1" applyFill="1" applyBorder="1" applyAlignment="1">
      <alignment horizontal="center"/>
    </xf>
    <xf numFmtId="0" fontId="13" fillId="0" borderId="0" xfId="0" applyFont="1" applyFill="1" applyBorder="1"/>
    <xf numFmtId="0" fontId="4" fillId="0" borderId="0" xfId="0" applyFont="1" applyFill="1" applyAlignment="1">
      <alignment horizontal="left"/>
    </xf>
    <xf numFmtId="0" fontId="13" fillId="0" borderId="0" xfId="0" applyFont="1" applyFill="1"/>
    <xf numFmtId="0" fontId="4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10" fontId="3" fillId="0" borderId="0" xfId="1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right" wrapText="1"/>
    </xf>
    <xf numFmtId="164" fontId="13" fillId="0" borderId="0" xfId="0" applyNumberFormat="1" applyFont="1" applyBorder="1"/>
    <xf numFmtId="164" fontId="13" fillId="0" borderId="0" xfId="0" applyNumberFormat="1" applyFont="1" applyFill="1" applyBorder="1"/>
    <xf numFmtId="0" fontId="4" fillId="0" borderId="0" xfId="0" applyFont="1" applyFill="1" applyBorder="1" applyAlignment="1">
      <alignment horizontal="right"/>
    </xf>
    <xf numFmtId="0" fontId="8" fillId="0" borderId="0" xfId="0" applyFont="1" applyFill="1" applyAlignment="1">
      <alignment horizontal="left"/>
    </xf>
    <xf numFmtId="164" fontId="10" fillId="0" borderId="0" xfId="0" applyNumberFormat="1" applyFont="1" applyFill="1" applyBorder="1" applyAlignment="1">
      <alignment horizontal="center"/>
    </xf>
    <xf numFmtId="0" fontId="15" fillId="0" borderId="0" xfId="0" applyFont="1"/>
    <xf numFmtId="10" fontId="8" fillId="0" borderId="0" xfId="1" applyNumberFormat="1" applyFont="1" applyFill="1" applyBorder="1" applyAlignment="1">
      <alignment horizontal="center"/>
    </xf>
    <xf numFmtId="0" fontId="15" fillId="0" borderId="0" xfId="0" applyFont="1" applyFill="1" applyBorder="1"/>
    <xf numFmtId="0" fontId="15" fillId="0" borderId="0" xfId="0" applyFont="1" applyFill="1"/>
    <xf numFmtId="0" fontId="10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13" fillId="0" borderId="0" xfId="0" applyFont="1" applyFill="1" applyBorder="1" applyAlignment="1">
      <alignment horizontal="right"/>
    </xf>
    <xf numFmtId="0" fontId="13" fillId="0" borderId="2" xfId="0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10" fontId="4" fillId="0" borderId="0" xfId="1" applyNumberFormat="1" applyFont="1" applyFill="1" applyBorder="1" applyAlignment="1">
      <alignment horizontal="left"/>
    </xf>
    <xf numFmtId="164" fontId="3" fillId="0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/>
    <xf numFmtId="0" fontId="13" fillId="0" borderId="3" xfId="0" applyFont="1" applyBorder="1"/>
    <xf numFmtId="164" fontId="14" fillId="0" borderId="1" xfId="0" applyNumberFormat="1" applyFont="1" applyBorder="1"/>
    <xf numFmtId="164" fontId="14" fillId="0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right"/>
    </xf>
    <xf numFmtId="0" fontId="13" fillId="0" borderId="1" xfId="0" applyFont="1" applyFill="1" applyBorder="1" applyAlignment="1">
      <alignment horizontal="right"/>
    </xf>
    <xf numFmtId="0" fontId="13" fillId="0" borderId="0" xfId="0" applyFont="1" applyBorder="1" applyAlignment="1">
      <alignment horizontal="right" wrapText="1"/>
    </xf>
    <xf numFmtId="0" fontId="13" fillId="0" borderId="0" xfId="0" applyFont="1" applyBorder="1" applyAlignment="1">
      <alignment horizontal="center"/>
    </xf>
    <xf numFmtId="164" fontId="14" fillId="0" borderId="0" xfId="0" applyNumberFormat="1" applyFont="1" applyBorder="1" applyAlignment="1">
      <alignment horizontal="right"/>
    </xf>
    <xf numFmtId="0" fontId="4" fillId="0" borderId="5" xfId="0" applyFont="1" applyBorder="1" applyAlignment="1">
      <alignment horizontal="right" wrapText="1"/>
    </xf>
    <xf numFmtId="0" fontId="0" fillId="2" borderId="0" xfId="0" applyFill="1" applyAlignment="1" applyProtection="1">
      <alignment wrapText="1"/>
      <protection locked="0"/>
    </xf>
    <xf numFmtId="164" fontId="13" fillId="2" borderId="1" xfId="0" applyNumberFormat="1" applyFont="1" applyFill="1" applyBorder="1" applyAlignment="1" applyProtection="1">
      <alignment horizontal="left"/>
      <protection locked="0"/>
    </xf>
    <xf numFmtId="164" fontId="13" fillId="2" borderId="1" xfId="0" applyNumberFormat="1" applyFont="1" applyFill="1" applyBorder="1" applyAlignment="1" applyProtection="1">
      <alignment horizontal="center"/>
      <protection locked="0"/>
    </xf>
    <xf numFmtId="167" fontId="4" fillId="2" borderId="1" xfId="1" applyNumberFormat="1" applyFont="1" applyFill="1" applyBorder="1" applyAlignment="1" applyProtection="1">
      <alignment horizontal="right"/>
      <protection locked="0"/>
    </xf>
    <xf numFmtId="1" fontId="13" fillId="2" borderId="1" xfId="0" applyNumberFormat="1" applyFont="1" applyFill="1" applyBorder="1" applyProtection="1">
      <protection locked="0"/>
    </xf>
    <xf numFmtId="0" fontId="13" fillId="2" borderId="1" xfId="0" applyFont="1" applyFill="1" applyBorder="1" applyAlignment="1" applyProtection="1">
      <alignment horizontal="center"/>
      <protection locked="0"/>
    </xf>
    <xf numFmtId="0" fontId="13" fillId="0" borderId="1" xfId="0" applyFont="1" applyBorder="1" applyAlignment="1">
      <alignment horizontal="right"/>
    </xf>
    <xf numFmtId="3" fontId="13" fillId="0" borderId="0" xfId="0" applyNumberFormat="1" applyFont="1"/>
    <xf numFmtId="0" fontId="18" fillId="0" borderId="0" xfId="0" applyFont="1"/>
    <xf numFmtId="0" fontId="18" fillId="0" borderId="0" xfId="0" applyFont="1" applyFill="1" applyBorder="1" applyAlignment="1">
      <alignment horizontal="left"/>
    </xf>
    <xf numFmtId="0" fontId="11" fillId="0" borderId="10" xfId="0" applyFont="1" applyBorder="1" applyAlignment="1">
      <alignment horizontal="left" wrapText="1"/>
    </xf>
    <xf numFmtId="0" fontId="13" fillId="0" borderId="1" xfId="0" applyFont="1" applyBorder="1" applyAlignment="1">
      <alignment horizontal="right" wrapText="1"/>
    </xf>
    <xf numFmtId="3" fontId="13" fillId="2" borderId="1" xfId="0" applyNumberFormat="1" applyFont="1" applyFill="1" applyBorder="1" applyAlignment="1" applyProtection="1">
      <alignment horizontal="center"/>
      <protection locked="0"/>
    </xf>
    <xf numFmtId="165" fontId="13" fillId="2" borderId="1" xfId="0" applyNumberFormat="1" applyFont="1" applyFill="1" applyBorder="1" applyAlignment="1" applyProtection="1">
      <alignment horizontal="center"/>
      <protection locked="0"/>
    </xf>
    <xf numFmtId="7" fontId="5" fillId="0" borderId="1" xfId="0" applyNumberFormat="1" applyFont="1" applyBorder="1" applyAlignment="1" applyProtection="1">
      <alignment horizontal="center"/>
      <protection locked="0"/>
    </xf>
    <xf numFmtId="2" fontId="5" fillId="0" borderId="1" xfId="0" applyNumberFormat="1" applyFont="1" applyBorder="1" applyAlignment="1">
      <alignment horizontal="center"/>
    </xf>
    <xf numFmtId="10" fontId="5" fillId="0" borderId="1" xfId="1" applyNumberFormat="1" applyFont="1" applyBorder="1" applyAlignment="1">
      <alignment horizontal="center"/>
    </xf>
    <xf numFmtId="0" fontId="14" fillId="0" borderId="1" xfId="0" applyFont="1" applyBorder="1" applyAlignment="1">
      <alignment horizontal="right" wrapText="1"/>
    </xf>
    <xf numFmtId="0" fontId="13" fillId="0" borderId="0" xfId="0" applyFont="1" applyAlignment="1">
      <alignment vertical="top"/>
    </xf>
    <xf numFmtId="0" fontId="9" fillId="0" borderId="0" xfId="0" applyFont="1" applyFill="1" applyAlignment="1">
      <alignment horizontal="left"/>
    </xf>
    <xf numFmtId="0" fontId="3" fillId="0" borderId="5" xfId="0" applyFont="1" applyBorder="1" applyAlignment="1">
      <alignment horizontal="right" vertical="center" wrapText="1"/>
    </xf>
    <xf numFmtId="164" fontId="13" fillId="0" borderId="1" xfId="0" applyNumberFormat="1" applyFont="1" applyFill="1" applyBorder="1" applyAlignment="1" applyProtection="1">
      <alignment horizontal="center"/>
    </xf>
    <xf numFmtId="0" fontId="14" fillId="0" borderId="12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3" fillId="0" borderId="4" xfId="0" applyFont="1" applyBorder="1" applyAlignment="1">
      <alignment horizontal="right"/>
    </xf>
    <xf numFmtId="164" fontId="14" fillId="0" borderId="9" xfId="0" applyNumberFormat="1" applyFont="1" applyBorder="1"/>
    <xf numFmtId="164" fontId="14" fillId="0" borderId="3" xfId="0" applyNumberFormat="1" applyFont="1" applyBorder="1"/>
    <xf numFmtId="0" fontId="13" fillId="0" borderId="5" xfId="0" applyFont="1" applyBorder="1" applyAlignment="1">
      <alignment horizontal="left"/>
    </xf>
    <xf numFmtId="0" fontId="14" fillId="0" borderId="5" xfId="0" applyFont="1" applyBorder="1" applyAlignment="1">
      <alignment horizontal="center" wrapText="1"/>
    </xf>
    <xf numFmtId="0" fontId="13" fillId="0" borderId="4" xfId="0" applyFont="1" applyBorder="1" applyAlignment="1">
      <alignment horizontal="right"/>
    </xf>
    <xf numFmtId="0" fontId="13" fillId="0" borderId="9" xfId="0" applyFont="1" applyBorder="1" applyAlignment="1">
      <alignment horizontal="right"/>
    </xf>
    <xf numFmtId="165" fontId="13" fillId="0" borderId="1" xfId="0" applyNumberFormat="1" applyFont="1" applyBorder="1" applyAlignment="1"/>
    <xf numFmtId="165" fontId="14" fillId="0" borderId="1" xfId="0" applyNumberFormat="1" applyFont="1" applyBorder="1" applyAlignment="1">
      <alignment horizontal="center"/>
    </xf>
    <xf numFmtId="0" fontId="13" fillId="0" borderId="0" xfId="0" applyFont="1" applyBorder="1" applyAlignment="1">
      <alignment horizontal="left"/>
    </xf>
    <xf numFmtId="0" fontId="13" fillId="0" borderId="0" xfId="0" applyFont="1" applyProtection="1"/>
    <xf numFmtId="0" fontId="13" fillId="0" borderId="0" xfId="0" applyFont="1" applyBorder="1" applyProtection="1"/>
    <xf numFmtId="10" fontId="4" fillId="0" borderId="0" xfId="1" applyNumberFormat="1" applyFont="1" applyProtection="1"/>
    <xf numFmtId="0" fontId="13" fillId="0" borderId="0" xfId="0" applyFont="1" applyBorder="1" applyAlignment="1" applyProtection="1">
      <alignment wrapText="1"/>
    </xf>
    <xf numFmtId="0" fontId="13" fillId="0" borderId="6" xfId="0" applyFont="1" applyBorder="1" applyAlignment="1">
      <alignment horizontal="right"/>
    </xf>
    <xf numFmtId="0" fontId="13" fillId="0" borderId="1" xfId="0" applyFont="1" applyBorder="1" applyAlignment="1"/>
    <xf numFmtId="0" fontId="14" fillId="0" borderId="1" xfId="0" applyFont="1" applyBorder="1" applyAlignment="1">
      <alignment horizontal="right"/>
    </xf>
    <xf numFmtId="165" fontId="14" fillId="0" borderId="1" xfId="0" applyNumberFormat="1" applyFont="1" applyBorder="1" applyAlignment="1"/>
    <xf numFmtId="10" fontId="14" fillId="0" borderId="1" xfId="1" applyNumberFormat="1" applyFont="1" applyBorder="1" applyAlignment="1"/>
    <xf numFmtId="10" fontId="4" fillId="0" borderId="0" xfId="1" applyNumberFormat="1" applyFont="1" applyAlignment="1" applyProtection="1">
      <alignment vertical="center"/>
    </xf>
    <xf numFmtId="0" fontId="13" fillId="0" borderId="0" xfId="0" applyFont="1" applyAlignment="1" applyProtection="1">
      <alignment vertical="center"/>
    </xf>
    <xf numFmtId="10" fontId="13" fillId="0" borderId="0" xfId="0" applyNumberFormat="1" applyFont="1"/>
    <xf numFmtId="0" fontId="13" fillId="0" borderId="0" xfId="0" applyFont="1" applyAlignment="1">
      <alignment horizontal="right"/>
    </xf>
    <xf numFmtId="165" fontId="13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center" wrapText="1"/>
    </xf>
    <xf numFmtId="10" fontId="14" fillId="0" borderId="0" xfId="0" applyNumberFormat="1" applyFont="1" applyAlignment="1">
      <alignment horizontal="center" wrapText="1"/>
    </xf>
    <xf numFmtId="0" fontId="13" fillId="0" borderId="0" xfId="0" applyFont="1" applyBorder="1"/>
    <xf numFmtId="0" fontId="13" fillId="0" borderId="12" xfId="0" applyFont="1" applyBorder="1" applyAlignment="1">
      <alignment horizontal="right"/>
    </xf>
    <xf numFmtId="0" fontId="13" fillId="0" borderId="7" xfId="0" applyFont="1" applyBorder="1"/>
    <xf numFmtId="0" fontId="13" fillId="0" borderId="14" xfId="0" applyFont="1" applyBorder="1"/>
    <xf numFmtId="0" fontId="13" fillId="0" borderId="11" xfId="0" applyFont="1" applyBorder="1"/>
    <xf numFmtId="0" fontId="13" fillId="0" borderId="8" xfId="0" applyFont="1" applyBorder="1" applyAlignment="1">
      <alignment horizontal="right"/>
    </xf>
    <xf numFmtId="0" fontId="13" fillId="0" borderId="4" xfId="0" applyFont="1" applyBorder="1"/>
    <xf numFmtId="10" fontId="14" fillId="0" borderId="1" xfId="0" applyNumberFormat="1" applyFont="1" applyBorder="1" applyAlignment="1">
      <alignment horizontal="center" wrapText="1"/>
    </xf>
    <xf numFmtId="165" fontId="13" fillId="0" borderId="1" xfId="0" applyNumberFormat="1" applyFont="1" applyBorder="1" applyAlignment="1">
      <alignment horizontal="center" vertical="center"/>
    </xf>
    <xf numFmtId="10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164" fontId="13" fillId="0" borderId="1" xfId="0" applyNumberFormat="1" applyFont="1" applyBorder="1" applyAlignment="1"/>
    <xf numFmtId="4" fontId="13" fillId="0" borderId="1" xfId="0" applyNumberFormat="1" applyFont="1" applyBorder="1" applyAlignment="1"/>
    <xf numFmtId="10" fontId="13" fillId="0" borderId="1" xfId="0" applyNumberFormat="1" applyFont="1" applyBorder="1" applyAlignment="1">
      <alignment horizontal="right"/>
    </xf>
    <xf numFmtId="10" fontId="13" fillId="0" borderId="9" xfId="0" applyNumberFormat="1" applyFont="1" applyBorder="1" applyAlignment="1">
      <alignment horizontal="right"/>
    </xf>
    <xf numFmtId="165" fontId="13" fillId="0" borderId="9" xfId="0" applyNumberFormat="1" applyFont="1" applyBorder="1" applyAlignment="1">
      <alignment horizontal="right"/>
    </xf>
    <xf numFmtId="10" fontId="13" fillId="0" borderId="8" xfId="0" applyNumberFormat="1" applyFont="1" applyBorder="1" applyAlignment="1">
      <alignment horizontal="right"/>
    </xf>
    <xf numFmtId="0" fontId="19" fillId="0" borderId="1" xfId="0" applyFont="1" applyBorder="1" applyAlignment="1" applyProtection="1">
      <alignment horizontal="center" wrapText="1"/>
    </xf>
    <xf numFmtId="0" fontId="15" fillId="0" borderId="4" xfId="0" applyFont="1" applyBorder="1" applyProtection="1"/>
    <xf numFmtId="0" fontId="15" fillId="0" borderId="6" xfId="0" applyFont="1" applyBorder="1" applyProtection="1"/>
    <xf numFmtId="3" fontId="15" fillId="0" borderId="1" xfId="0" applyNumberFormat="1" applyFont="1" applyBorder="1" applyAlignment="1" applyProtection="1">
      <alignment vertical="center"/>
    </xf>
    <xf numFmtId="3" fontId="15" fillId="2" borderId="1" xfId="0" applyNumberFormat="1" applyFont="1" applyFill="1" applyBorder="1" applyAlignment="1" applyProtection="1">
      <alignment vertical="center"/>
      <protection locked="0"/>
    </xf>
    <xf numFmtId="3" fontId="15" fillId="2" borderId="4" xfId="0" applyNumberFormat="1" applyFont="1" applyFill="1" applyBorder="1" applyAlignment="1" applyProtection="1">
      <alignment vertical="center"/>
      <protection locked="0"/>
    </xf>
    <xf numFmtId="164" fontId="15" fillId="2" borderId="1" xfId="0" applyNumberFormat="1" applyFont="1" applyFill="1" applyBorder="1" applyAlignment="1" applyProtection="1">
      <alignment vertical="center"/>
      <protection locked="0"/>
    </xf>
    <xf numFmtId="0" fontId="15" fillId="0" borderId="0" xfId="0" applyFont="1" applyBorder="1" applyAlignment="1" applyProtection="1">
      <alignment horizontal="right"/>
    </xf>
    <xf numFmtId="0" fontId="19" fillId="0" borderId="0" xfId="0" applyFont="1" applyAlignment="1" applyProtection="1">
      <alignment vertical="top"/>
    </xf>
    <xf numFmtId="0" fontId="15" fillId="0" borderId="0" xfId="0" applyFont="1" applyProtection="1"/>
    <xf numFmtId="0" fontId="15" fillId="0" borderId="9" xfId="0" applyFont="1" applyBorder="1" applyProtection="1"/>
    <xf numFmtId="164" fontId="15" fillId="0" borderId="1" xfId="0" applyNumberFormat="1" applyFont="1" applyFill="1" applyBorder="1" applyAlignment="1" applyProtection="1">
      <alignment horizontal="center" vertical="center"/>
    </xf>
    <xf numFmtId="164" fontId="15" fillId="0" borderId="1" xfId="0" applyNumberFormat="1" applyFont="1" applyBorder="1" applyAlignment="1" applyProtection="1">
      <alignment vertical="center"/>
    </xf>
    <xf numFmtId="0" fontId="15" fillId="0" borderId="3" xfId="0" applyFont="1" applyBorder="1" applyAlignment="1" applyProtection="1">
      <alignment vertical="center"/>
    </xf>
    <xf numFmtId="164" fontId="15" fillId="0" borderId="15" xfId="0" applyNumberFormat="1" applyFont="1" applyFill="1" applyBorder="1" applyAlignment="1" applyProtection="1">
      <alignment horizontal="center" vertical="center"/>
    </xf>
    <xf numFmtId="164" fontId="15" fillId="0" borderId="15" xfId="0" applyNumberFormat="1" applyFont="1" applyBorder="1" applyAlignment="1" applyProtection="1">
      <alignment vertical="center"/>
    </xf>
    <xf numFmtId="0" fontId="15" fillId="0" borderId="16" xfId="0" applyFont="1" applyBorder="1" applyAlignment="1" applyProtection="1">
      <alignment vertical="center"/>
    </xf>
    <xf numFmtId="164" fontId="19" fillId="0" borderId="1" xfId="0" applyNumberFormat="1" applyFont="1" applyBorder="1" applyAlignment="1" applyProtection="1">
      <alignment horizontal="right" vertical="center"/>
    </xf>
    <xf numFmtId="164" fontId="15" fillId="0" borderId="3" xfId="0" applyNumberFormat="1" applyFont="1" applyBorder="1" applyAlignment="1" applyProtection="1">
      <alignment vertical="center"/>
    </xf>
    <xf numFmtId="0" fontId="15" fillId="0" borderId="3" xfId="0" applyFont="1" applyBorder="1" applyAlignment="1" applyProtection="1">
      <alignment horizontal="right" vertical="center"/>
    </xf>
    <xf numFmtId="164" fontId="19" fillId="0" borderId="1" xfId="0" applyNumberFormat="1" applyFont="1" applyBorder="1" applyAlignment="1" applyProtection="1">
      <alignment vertical="center"/>
    </xf>
    <xf numFmtId="165" fontId="19" fillId="0" borderId="1" xfId="0" applyNumberFormat="1" applyFont="1" applyBorder="1" applyAlignment="1" applyProtection="1">
      <alignment horizontal="right" vertical="center"/>
    </xf>
    <xf numFmtId="166" fontId="15" fillId="0" borderId="3" xfId="0" applyNumberFormat="1" applyFont="1" applyBorder="1" applyAlignment="1" applyProtection="1">
      <alignment vertical="center"/>
    </xf>
    <xf numFmtId="165" fontId="19" fillId="0" borderId="1" xfId="0" applyNumberFormat="1" applyFont="1" applyBorder="1" applyAlignment="1" applyProtection="1">
      <alignment vertical="center"/>
    </xf>
    <xf numFmtId="164" fontId="19" fillId="0" borderId="5" xfId="0" applyNumberFormat="1" applyFont="1" applyFill="1" applyBorder="1" applyAlignment="1" applyProtection="1">
      <alignment horizontal="center" wrapText="1"/>
    </xf>
    <xf numFmtId="0" fontId="15" fillId="0" borderId="4" xfId="0" applyFont="1" applyBorder="1" applyAlignment="1" applyProtection="1">
      <alignment vertical="center"/>
    </xf>
    <xf numFmtId="0" fontId="15" fillId="0" borderId="17" xfId="0" applyFont="1" applyBorder="1" applyAlignment="1" applyProtection="1">
      <alignment horizontal="right" vertical="center"/>
    </xf>
    <xf numFmtId="165" fontId="15" fillId="0" borderId="1" xfId="0" applyNumberFormat="1" applyFont="1" applyBorder="1" applyAlignment="1" applyProtection="1">
      <alignment vertical="center"/>
    </xf>
    <xf numFmtId="0" fontId="13" fillId="0" borderId="0" xfId="0" applyFont="1" applyProtection="1">
      <protection locked="0"/>
    </xf>
    <xf numFmtId="0" fontId="17" fillId="0" borderId="0" xfId="0" applyFont="1" applyAlignment="1">
      <alignment horizontal="left" wrapText="1"/>
    </xf>
    <xf numFmtId="164" fontId="13" fillId="0" borderId="4" xfId="0" applyNumberFormat="1" applyFont="1" applyFill="1" applyBorder="1" applyAlignment="1" applyProtection="1">
      <alignment horizontal="center"/>
    </xf>
    <xf numFmtId="0" fontId="0" fillId="0" borderId="9" xfId="0" applyBorder="1" applyAlignment="1"/>
    <xf numFmtId="0" fontId="16" fillId="0" borderId="7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165" fontId="13" fillId="2" borderId="4" xfId="0" applyNumberFormat="1" applyFont="1" applyFill="1" applyBorder="1" applyAlignment="1" applyProtection="1">
      <alignment horizontal="left" vertical="top"/>
      <protection locked="0"/>
    </xf>
    <xf numFmtId="165" fontId="13" fillId="2" borderId="6" xfId="0" applyNumberFormat="1" applyFont="1" applyFill="1" applyBorder="1" applyAlignment="1" applyProtection="1">
      <alignment horizontal="left" vertical="top"/>
      <protection locked="0"/>
    </xf>
    <xf numFmtId="165" fontId="13" fillId="2" borderId="9" xfId="0" applyNumberFormat="1" applyFont="1" applyFill="1" applyBorder="1" applyAlignment="1" applyProtection="1">
      <alignment horizontal="left" vertical="top"/>
      <protection locked="0"/>
    </xf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3" fillId="0" borderId="4" xfId="0" applyFont="1" applyBorder="1" applyAlignment="1">
      <alignment horizontal="right"/>
    </xf>
    <xf numFmtId="0" fontId="13" fillId="0" borderId="9" xfId="0" applyFont="1" applyBorder="1" applyAlignment="1">
      <alignment horizontal="right"/>
    </xf>
    <xf numFmtId="10" fontId="3" fillId="0" borderId="4" xfId="1" applyNumberFormat="1" applyFont="1" applyBorder="1" applyAlignment="1">
      <alignment horizontal="center"/>
    </xf>
    <xf numFmtId="10" fontId="3" fillId="0" borderId="9" xfId="1" applyNumberFormat="1" applyFont="1" applyBorder="1" applyAlignment="1">
      <alignment horizontal="center"/>
    </xf>
    <xf numFmtId="0" fontId="16" fillId="0" borderId="4" xfId="0" applyFont="1" applyBorder="1" applyAlignment="1">
      <alignment horizontal="center" wrapText="1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4" xfId="0" applyBorder="1" applyAlignment="1"/>
    <xf numFmtId="0" fontId="0" fillId="0" borderId="11" xfId="0" applyBorder="1" applyAlignment="1"/>
    <xf numFmtId="0" fontId="11" fillId="0" borderId="10" xfId="0" applyFont="1" applyBorder="1" applyAlignment="1">
      <alignment horizontal="left" wrapText="1"/>
    </xf>
    <xf numFmtId="0" fontId="0" fillId="0" borderId="14" xfId="0" applyBorder="1" applyAlignment="1">
      <alignment wrapText="1"/>
    </xf>
    <xf numFmtId="0" fontId="0" fillId="0" borderId="11" xfId="0" applyBorder="1" applyAlignment="1">
      <alignment wrapText="1"/>
    </xf>
    <xf numFmtId="165" fontId="14" fillId="0" borderId="4" xfId="0" applyNumberFormat="1" applyFont="1" applyBorder="1" applyAlignment="1">
      <alignment horizontal="center" vertical="center"/>
    </xf>
    <xf numFmtId="165" fontId="14" fillId="0" borderId="9" xfId="0" applyNumberFormat="1" applyFont="1" applyBorder="1" applyAlignment="1">
      <alignment horizontal="center" vertical="center"/>
    </xf>
    <xf numFmtId="164" fontId="13" fillId="2" borderId="4" xfId="0" applyNumberFormat="1" applyFont="1" applyFill="1" applyBorder="1" applyAlignment="1" applyProtection="1">
      <alignment horizontal="center"/>
      <protection locked="0"/>
    </xf>
    <xf numFmtId="164" fontId="13" fillId="2" borderId="9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Fill="1" applyAlignment="1">
      <alignment horizontal="left" wrapText="1"/>
    </xf>
    <xf numFmtId="0" fontId="14" fillId="0" borderId="7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10" fontId="4" fillId="2" borderId="4" xfId="1" applyNumberFormat="1" applyFont="1" applyFill="1" applyBorder="1" applyAlignment="1" applyProtection="1">
      <alignment horizontal="left"/>
      <protection locked="0"/>
    </xf>
    <xf numFmtId="10" fontId="4" fillId="2" borderId="9" xfId="1" applyNumberFormat="1" applyFont="1" applyFill="1" applyBorder="1" applyAlignment="1" applyProtection="1">
      <alignment horizontal="left"/>
      <protection locked="0"/>
    </xf>
    <xf numFmtId="0" fontId="16" fillId="0" borderId="4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0" fontId="14" fillId="0" borderId="0" xfId="0" applyFont="1" applyFill="1" applyBorder="1" applyAlignment="1">
      <alignment horizontal="right" wrapText="1"/>
    </xf>
    <xf numFmtId="0" fontId="14" fillId="0" borderId="0" xfId="0" applyFont="1" applyBorder="1" applyAlignment="1" applyProtection="1">
      <alignment horizontal="center" wrapText="1"/>
    </xf>
    <xf numFmtId="0" fontId="19" fillId="0" borderId="1" xfId="0" applyFont="1" applyBorder="1" applyAlignment="1" applyProtection="1">
      <alignment horizontal="right" vertical="center"/>
    </xf>
    <xf numFmtId="0" fontId="15" fillId="3" borderId="1" xfId="0" applyFont="1" applyFill="1" applyBorder="1" applyAlignment="1" applyProtection="1">
      <alignment horizontal="center" vertical="center"/>
    </xf>
    <xf numFmtId="0" fontId="15" fillId="0" borderId="6" xfId="0" applyFont="1" applyBorder="1" applyAlignment="1" applyProtection="1">
      <alignment horizontal="right" vertical="center" wrapText="1"/>
    </xf>
    <xf numFmtId="0" fontId="15" fillId="0" borderId="9" xfId="0" applyFont="1" applyBorder="1" applyAlignment="1" applyProtection="1">
      <alignment horizontal="right" vertical="center" wrapText="1"/>
    </xf>
    <xf numFmtId="0" fontId="15" fillId="0" borderId="14" xfId="0" applyFont="1" applyBorder="1" applyAlignment="1" applyProtection="1">
      <alignment horizontal="right"/>
    </xf>
    <xf numFmtId="0" fontId="19" fillId="0" borderId="4" xfId="0" applyFont="1" applyBorder="1" applyAlignment="1" applyProtection="1">
      <alignment horizontal="center" wrapText="1"/>
    </xf>
    <xf numFmtId="0" fontId="19" fillId="0" borderId="6" xfId="0" applyFont="1" applyBorder="1" applyAlignment="1" applyProtection="1">
      <alignment horizontal="center" wrapText="1"/>
    </xf>
    <xf numFmtId="0" fontId="19" fillId="0" borderId="9" xfId="0" applyFont="1" applyBorder="1" applyAlignment="1" applyProtection="1">
      <alignment horizontal="center" wrapText="1"/>
    </xf>
    <xf numFmtId="0" fontId="15" fillId="4" borderId="4" xfId="0" applyFont="1" applyFill="1" applyBorder="1" applyAlignment="1" applyProtection="1">
      <alignment horizontal="center" vertical="center"/>
      <protection locked="0"/>
    </xf>
    <xf numFmtId="0" fontId="15" fillId="4" borderId="6" xfId="0" applyFont="1" applyFill="1" applyBorder="1" applyAlignment="1" applyProtection="1">
      <alignment horizontal="center" vertical="center"/>
      <protection locked="0"/>
    </xf>
    <xf numFmtId="0" fontId="15" fillId="4" borderId="9" xfId="0" applyFont="1" applyFill="1" applyBorder="1" applyAlignment="1" applyProtection="1">
      <alignment horizontal="center" vertical="center"/>
      <protection locked="0"/>
    </xf>
    <xf numFmtId="0" fontId="15" fillId="0" borderId="4" xfId="0" applyFont="1" applyBorder="1" applyAlignment="1" applyProtection="1">
      <alignment horizontal="right" vertical="center"/>
    </xf>
    <xf numFmtId="0" fontId="15" fillId="0" borderId="9" xfId="0" applyFont="1" applyBorder="1" applyAlignment="1" applyProtection="1">
      <alignment horizontal="right" vertical="center"/>
    </xf>
    <xf numFmtId="164" fontId="19" fillId="0" borderId="1" xfId="0" applyNumberFormat="1" applyFont="1" applyBorder="1" applyAlignment="1" applyProtection="1">
      <alignment horizontal="right" vertical="center"/>
    </xf>
    <xf numFmtId="164" fontId="15" fillId="3" borderId="7" xfId="0" applyNumberFormat="1" applyFont="1" applyFill="1" applyBorder="1" applyAlignment="1" applyProtection="1">
      <alignment horizontal="center" vertical="center"/>
    </xf>
    <xf numFmtId="164" fontId="15" fillId="3" borderId="2" xfId="0" applyNumberFormat="1" applyFont="1" applyFill="1" applyBorder="1" applyAlignment="1" applyProtection="1">
      <alignment horizontal="center" vertical="center"/>
    </xf>
    <xf numFmtId="164" fontId="15" fillId="3" borderId="8" xfId="0" applyNumberFormat="1" applyFont="1" applyFill="1" applyBorder="1" applyAlignment="1" applyProtection="1">
      <alignment horizontal="center" vertical="center"/>
    </xf>
    <xf numFmtId="164" fontId="15" fillId="3" borderId="10" xfId="0" applyNumberFormat="1" applyFont="1" applyFill="1" applyBorder="1" applyAlignment="1" applyProtection="1">
      <alignment horizontal="center" vertical="center"/>
    </xf>
    <xf numFmtId="164" fontId="15" fillId="3" borderId="14" xfId="0" applyNumberFormat="1" applyFont="1" applyFill="1" applyBorder="1" applyAlignment="1" applyProtection="1">
      <alignment horizontal="center" vertical="center"/>
    </xf>
    <xf numFmtId="164" fontId="15" fillId="3" borderId="11" xfId="0" applyNumberFormat="1" applyFont="1" applyFill="1" applyBorder="1" applyAlignment="1" applyProtection="1">
      <alignment horizontal="center" vertical="center"/>
    </xf>
    <xf numFmtId="0" fontId="14" fillId="0" borderId="4" xfId="0" applyFont="1" applyBorder="1" applyAlignment="1">
      <alignment horizontal="right"/>
    </xf>
    <xf numFmtId="0" fontId="14" fillId="0" borderId="9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13" fillId="0" borderId="6" xfId="0" applyFont="1" applyBorder="1" applyAlignment="1">
      <alignment horizontal="right"/>
    </xf>
    <xf numFmtId="0" fontId="16" fillId="0" borderId="1" xfId="0" applyFont="1" applyBorder="1" applyAlignment="1">
      <alignment horizontal="left"/>
    </xf>
    <xf numFmtId="0" fontId="13" fillId="4" borderId="4" xfId="0" applyFont="1" applyFill="1" applyBorder="1" applyAlignment="1">
      <alignment horizontal="left" vertical="top"/>
    </xf>
    <xf numFmtId="0" fontId="13" fillId="4" borderId="6" xfId="0" applyFont="1" applyFill="1" applyBorder="1" applyAlignment="1">
      <alignment horizontal="left" vertical="top"/>
    </xf>
    <xf numFmtId="0" fontId="13" fillId="4" borderId="9" xfId="0" applyFont="1" applyFill="1" applyBorder="1" applyAlignment="1">
      <alignment horizontal="left" vertical="top"/>
    </xf>
    <xf numFmtId="0" fontId="13" fillId="0" borderId="1" xfId="0" applyFont="1" applyBorder="1" applyAlignment="1">
      <alignment horizontal="right" textRotation="90" wrapText="1"/>
    </xf>
    <xf numFmtId="0" fontId="13" fillId="0" borderId="1" xfId="0" applyFont="1" applyBorder="1" applyAlignment="1">
      <alignment horizontal="right" textRotation="90"/>
    </xf>
    <xf numFmtId="0" fontId="13" fillId="0" borderId="15" xfId="0" applyFont="1" applyBorder="1" applyAlignment="1">
      <alignment textRotation="90" wrapText="1"/>
    </xf>
    <xf numFmtId="0" fontId="13" fillId="0" borderId="18" xfId="0" applyFont="1" applyBorder="1" applyAlignment="1">
      <alignment textRotation="90"/>
    </xf>
    <xf numFmtId="0" fontId="13" fillId="0" borderId="5" xfId="0" applyFont="1" applyBorder="1" applyAlignment="1">
      <alignment textRotation="90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3"/>
  <sheetViews>
    <sheetView workbookViewId="0"/>
  </sheetViews>
  <sheetFormatPr defaultRowHeight="15"/>
  <sheetData>
    <row r="2" spans="1:1">
      <c r="A2" t="s">
        <v>63</v>
      </c>
    </row>
    <row r="3" spans="1:1">
      <c r="A3" t="s">
        <v>34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4"/>
  <dimension ref="A2:A7"/>
  <sheetViews>
    <sheetView workbookViewId="0"/>
  </sheetViews>
  <sheetFormatPr defaultRowHeight="15"/>
  <cols>
    <col min="1" max="1" width="16.7109375" customWidth="1"/>
  </cols>
  <sheetData>
    <row r="2" spans="1:1">
      <c r="A2" t="s">
        <v>25</v>
      </c>
    </row>
    <row r="3" spans="1:1">
      <c r="A3" t="s">
        <v>26</v>
      </c>
    </row>
    <row r="4" spans="1:1">
      <c r="A4" t="s">
        <v>57</v>
      </c>
    </row>
    <row r="5" spans="1:1">
      <c r="A5" t="s">
        <v>27</v>
      </c>
    </row>
    <row r="6" spans="1:1">
      <c r="A6" t="s">
        <v>35</v>
      </c>
    </row>
    <row r="7" spans="1:1">
      <c r="A7" t="s">
        <v>36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6"/>
  <dimension ref="A1:A5"/>
  <sheetViews>
    <sheetView workbookViewId="0">
      <selection activeCell="G10" sqref="G10"/>
    </sheetView>
  </sheetViews>
  <sheetFormatPr defaultRowHeight="15"/>
  <sheetData>
    <row r="1" spans="1:1">
      <c r="A1" t="s">
        <v>77</v>
      </c>
    </row>
    <row r="2" spans="1:1">
      <c r="A2" t="s">
        <v>45</v>
      </c>
    </row>
    <row r="3" spans="1:1">
      <c r="A3" t="s">
        <v>58</v>
      </c>
    </row>
    <row r="4" spans="1:1">
      <c r="A4" t="s">
        <v>46</v>
      </c>
    </row>
    <row r="5" spans="1:1">
      <c r="A5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5"/>
  <dimension ref="A1:A13"/>
  <sheetViews>
    <sheetView workbookViewId="0">
      <selection activeCell="A3" sqref="A3"/>
    </sheetView>
  </sheetViews>
  <sheetFormatPr defaultRowHeight="15"/>
  <cols>
    <col min="1" max="1" width="16.7109375" customWidth="1"/>
  </cols>
  <sheetData>
    <row r="1" spans="1:1">
      <c r="A1" t="s">
        <v>77</v>
      </c>
    </row>
    <row r="2" spans="1:1">
      <c r="A2" t="s">
        <v>25</v>
      </c>
    </row>
    <row r="3" spans="1:1">
      <c r="A3" t="s">
        <v>27</v>
      </c>
    </row>
    <row r="4" spans="1:1">
      <c r="A4" t="s">
        <v>35</v>
      </c>
    </row>
    <row r="5" spans="1:1">
      <c r="A5" t="s">
        <v>36</v>
      </c>
    </row>
    <row r="6" spans="1:1">
      <c r="A6" t="s">
        <v>28</v>
      </c>
    </row>
    <row r="7" spans="1:1">
      <c r="A7" t="s">
        <v>29</v>
      </c>
    </row>
    <row r="8" spans="1:1">
      <c r="A8" t="s">
        <v>30</v>
      </c>
    </row>
    <row r="9" spans="1:1">
      <c r="A9" t="s">
        <v>31</v>
      </c>
    </row>
    <row r="10" spans="1:1">
      <c r="A10" t="s">
        <v>32</v>
      </c>
    </row>
    <row r="11" spans="1:1">
      <c r="A11" t="s">
        <v>33</v>
      </c>
    </row>
    <row r="12" spans="1:1">
      <c r="A12" t="s">
        <v>49</v>
      </c>
    </row>
    <row r="13" spans="1:1">
      <c r="A13" t="s">
        <v>34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2"/>
  <dimension ref="A2:B6"/>
  <sheetViews>
    <sheetView zoomScaleNormal="100" workbookViewId="0">
      <selection activeCell="B4" sqref="B4:B6"/>
    </sheetView>
  </sheetViews>
  <sheetFormatPr defaultRowHeight="15"/>
  <cols>
    <col min="1" max="1" width="30.7109375" customWidth="1"/>
    <col min="2" max="2" width="54.7109375" customWidth="1"/>
  </cols>
  <sheetData>
    <row r="2" spans="1:2">
      <c r="A2" s="143" t="s">
        <v>54</v>
      </c>
      <c r="B2" s="143"/>
    </row>
    <row r="4" spans="1:2">
      <c r="A4" s="1" t="s">
        <v>7</v>
      </c>
      <c r="B4" s="46"/>
    </row>
    <row r="5" spans="1:2">
      <c r="A5" s="1" t="s">
        <v>20</v>
      </c>
      <c r="B5" s="46"/>
    </row>
    <row r="6" spans="1:2">
      <c r="A6" s="1" t="s">
        <v>21</v>
      </c>
      <c r="B6" s="46"/>
    </row>
  </sheetData>
  <sheetProtection sheet="1"/>
  <mergeCells count="1">
    <mergeCell ref="A2:B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A1:D24"/>
  <sheetViews>
    <sheetView topLeftCell="A17" zoomScaleNormal="100" workbookViewId="0">
      <selection activeCell="B19" sqref="B19:C19"/>
    </sheetView>
  </sheetViews>
  <sheetFormatPr defaultRowHeight="15.75"/>
  <cols>
    <col min="1" max="1" width="50.140625" style="2" customWidth="1"/>
    <col min="2" max="2" width="24.85546875" style="2" customWidth="1"/>
    <col min="3" max="3" width="24.140625" style="2" customWidth="1"/>
    <col min="4" max="4" width="21.42578125" style="2" customWidth="1"/>
    <col min="5" max="5" width="9.140625" style="2"/>
    <col min="6" max="6" width="18.5703125" style="2" customWidth="1"/>
    <col min="7" max="16384" width="9.140625" style="2"/>
  </cols>
  <sheetData>
    <row r="1" spans="1:4">
      <c r="A1" s="152" t="s">
        <v>150</v>
      </c>
      <c r="B1" s="153"/>
      <c r="C1" s="154"/>
    </row>
    <row r="2" spans="1:4">
      <c r="A2" s="155">
        <f>Input!B4</f>
        <v>0</v>
      </c>
      <c r="B2" s="156"/>
      <c r="C2" s="157"/>
    </row>
    <row r="3" spans="1:4">
      <c r="A3" s="155">
        <f>Input!B6</f>
        <v>0</v>
      </c>
      <c r="B3" s="156"/>
      <c r="C3" s="157"/>
    </row>
    <row r="4" spans="1:4" ht="15.75" customHeight="1">
      <c r="A4" s="162" t="s">
        <v>62</v>
      </c>
      <c r="B4" s="163"/>
      <c r="C4" s="164"/>
    </row>
    <row r="5" spans="1:4">
      <c r="A5" s="165" t="s">
        <v>14</v>
      </c>
      <c r="B5" s="166"/>
      <c r="C5" s="167"/>
      <c r="D5" s="55"/>
    </row>
    <row r="6" spans="1:4">
      <c r="A6" s="158" t="s">
        <v>15</v>
      </c>
      <c r="B6" s="159"/>
      <c r="C6" s="48"/>
      <c r="D6" s="55"/>
    </row>
    <row r="7" spans="1:4">
      <c r="A7" s="158" t="s">
        <v>16</v>
      </c>
      <c r="B7" s="159"/>
      <c r="C7" s="48"/>
      <c r="D7" s="55"/>
    </row>
    <row r="8" spans="1:4">
      <c r="A8" s="158" t="s">
        <v>19</v>
      </c>
      <c r="B8" s="159"/>
      <c r="C8" s="48"/>
      <c r="D8" s="55"/>
    </row>
    <row r="9" spans="1:4">
      <c r="A9" s="158" t="s">
        <v>24</v>
      </c>
      <c r="B9" s="159"/>
      <c r="C9" s="61" t="e">
        <f>$C$6/($C$7+$C$8)</f>
        <v>#DIV/0!</v>
      </c>
    </row>
    <row r="10" spans="1:4">
      <c r="A10" s="168" t="s">
        <v>22</v>
      </c>
      <c r="B10" s="169"/>
      <c r="C10" s="170"/>
    </row>
    <row r="11" spans="1:4" ht="46.5" customHeight="1">
      <c r="A11" s="171" t="s">
        <v>82</v>
      </c>
      <c r="B11" s="172"/>
      <c r="C11" s="173"/>
    </row>
    <row r="12" spans="1:4" ht="39.75" customHeight="1">
      <c r="A12" s="56"/>
      <c r="B12" s="34" t="s">
        <v>79</v>
      </c>
      <c r="C12" s="34" t="s">
        <v>80</v>
      </c>
    </row>
    <row r="13" spans="1:4">
      <c r="A13" s="45" t="s">
        <v>78</v>
      </c>
      <c r="B13" s="48"/>
      <c r="C13" s="58"/>
    </row>
    <row r="14" spans="1:4">
      <c r="A14" s="3" t="s">
        <v>0</v>
      </c>
      <c r="B14" s="59"/>
      <c r="C14" s="59"/>
    </row>
    <row r="15" spans="1:4">
      <c r="A15" s="4" t="s">
        <v>23</v>
      </c>
      <c r="B15" s="51"/>
      <c r="C15" s="58"/>
    </row>
    <row r="16" spans="1:4">
      <c r="A16" s="3" t="s">
        <v>1</v>
      </c>
      <c r="B16" s="59"/>
      <c r="C16" s="59"/>
    </row>
    <row r="17" spans="1:3" ht="16.5" customHeight="1">
      <c r="A17" s="52" t="s">
        <v>86</v>
      </c>
      <c r="B17" s="60">
        <f>IF($B$13="Uniform", ($B$14+($B$16*(5-$B$15))), ($B$16*5))</f>
        <v>0</v>
      </c>
      <c r="C17" s="60">
        <f>IF($C$13="Uniform", ($C$14+($C$16*(5-$C$15))), ($C$16*5))</f>
        <v>0</v>
      </c>
    </row>
    <row r="18" spans="1:3" ht="33.75" customHeight="1">
      <c r="A18" s="66" t="s">
        <v>143</v>
      </c>
      <c r="B18" s="174">
        <f>B17+C17</f>
        <v>0</v>
      </c>
      <c r="C18" s="175"/>
    </row>
    <row r="19" spans="1:3">
      <c r="A19" s="3" t="s">
        <v>2</v>
      </c>
      <c r="B19" s="176"/>
      <c r="C19" s="177"/>
    </row>
    <row r="20" spans="1:3">
      <c r="A20" s="52" t="s">
        <v>64</v>
      </c>
      <c r="B20" s="144">
        <f>B19/12</f>
        <v>0</v>
      </c>
      <c r="C20" s="145"/>
    </row>
    <row r="21" spans="1:3">
      <c r="A21" s="57" t="s">
        <v>81</v>
      </c>
      <c r="B21" s="62" t="e">
        <f>IF($B$13="Uniform", $B$17/$B$20, $B$17/$B$20)</f>
        <v>#DIV/0!</v>
      </c>
      <c r="C21" s="62" t="e">
        <f>IF($C$13="Uniform", $C$17/$B$20, $C$17/$B$20)</f>
        <v>#DIV/0!</v>
      </c>
    </row>
    <row r="22" spans="1:3">
      <c r="A22" s="63" t="s">
        <v>85</v>
      </c>
      <c r="B22" s="160" t="e">
        <f>$B18/$B20</f>
        <v>#DIV/0!</v>
      </c>
      <c r="C22" s="161"/>
    </row>
    <row r="23" spans="1:3">
      <c r="A23" s="146" t="s">
        <v>119</v>
      </c>
      <c r="B23" s="147"/>
      <c r="C23" s="148"/>
    </row>
    <row r="24" spans="1:3" ht="126" customHeight="1">
      <c r="A24" s="149"/>
      <c r="B24" s="150"/>
      <c r="C24" s="151"/>
    </row>
  </sheetData>
  <sheetProtection sheet="1" objects="1" scenarios="1"/>
  <mergeCells count="17">
    <mergeCell ref="B19:C19"/>
    <mergeCell ref="B20:C20"/>
    <mergeCell ref="A23:C23"/>
    <mergeCell ref="A24:C24"/>
    <mergeCell ref="A1:C1"/>
    <mergeCell ref="A2:C2"/>
    <mergeCell ref="A8:B8"/>
    <mergeCell ref="A9:B9"/>
    <mergeCell ref="B22:C22"/>
    <mergeCell ref="A3:C3"/>
    <mergeCell ref="A4:C4"/>
    <mergeCell ref="A5:C5"/>
    <mergeCell ref="A6:B6"/>
    <mergeCell ref="A7:B7"/>
    <mergeCell ref="A10:C10"/>
    <mergeCell ref="A11:C11"/>
    <mergeCell ref="B18:C18"/>
  </mergeCells>
  <phoneticPr fontId="2" type="noConversion"/>
  <dataValidations count="2">
    <dataValidation type="list" allowBlank="1" showInputMessage="1" showErrorMessage="1" sqref="C13">
      <formula1>Structure!A1:A3</formula1>
    </dataValidation>
    <dataValidation type="list" allowBlank="1" showInputMessage="1" showErrorMessage="1" sqref="B13">
      <formula1>Structure!A1:A3</formula1>
    </dataValidation>
  </dataValidations>
  <printOptions horizontalCentered="1"/>
  <pageMargins left="0.5" right="0.5" top="0.75" bottom="0.75" header="0.3" footer="0.3"/>
  <pageSetup scale="9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pageSetUpPr fitToPage="1"/>
  </sheetPr>
  <dimension ref="A1:I31"/>
  <sheetViews>
    <sheetView zoomScaleNormal="100" workbookViewId="0">
      <selection activeCell="B7" sqref="B7:F7"/>
    </sheetView>
  </sheetViews>
  <sheetFormatPr defaultRowHeight="15.75"/>
  <cols>
    <col min="1" max="1" width="24.7109375" style="2" customWidth="1"/>
    <col min="2" max="3" width="14.7109375" style="2" customWidth="1"/>
    <col min="4" max="4" width="20" style="2" customWidth="1"/>
    <col min="5" max="6" width="14.7109375" style="2" customWidth="1"/>
    <col min="7" max="9" width="12.7109375" style="2" customWidth="1"/>
    <col min="10" max="16384" width="9.140625" style="2"/>
  </cols>
  <sheetData>
    <row r="1" spans="1:9">
      <c r="A1" s="179" t="s">
        <v>151</v>
      </c>
      <c r="B1" s="180"/>
      <c r="C1" s="180"/>
      <c r="D1" s="180"/>
      <c r="E1" s="180"/>
      <c r="F1" s="181"/>
    </row>
    <row r="2" spans="1:9">
      <c r="A2" s="155">
        <f>Input!B4</f>
        <v>0</v>
      </c>
      <c r="B2" s="156"/>
      <c r="C2" s="156"/>
      <c r="D2" s="156"/>
      <c r="E2" s="156"/>
      <c r="F2" s="157"/>
    </row>
    <row r="3" spans="1:9">
      <c r="A3" s="155">
        <f>Input!B5</f>
        <v>0</v>
      </c>
      <c r="B3" s="156"/>
      <c r="C3" s="156"/>
      <c r="D3" s="156"/>
      <c r="E3" s="156"/>
      <c r="F3" s="157"/>
    </row>
    <row r="4" spans="1:9">
      <c r="A4" s="182">
        <f>Input!B6</f>
        <v>0</v>
      </c>
      <c r="B4" s="183"/>
      <c r="C4" s="183"/>
      <c r="D4" s="183"/>
      <c r="E4" s="183"/>
      <c r="F4" s="184"/>
    </row>
    <row r="5" spans="1:9">
      <c r="A5" s="187" t="s">
        <v>48</v>
      </c>
      <c r="B5" s="188"/>
      <c r="C5" s="188"/>
      <c r="D5" s="188"/>
      <c r="E5" s="188"/>
      <c r="F5" s="189"/>
    </row>
    <row r="6" spans="1:9" ht="47.25">
      <c r="A6" s="5"/>
      <c r="B6" s="30" t="s">
        <v>37</v>
      </c>
      <c r="C6" s="31" t="s">
        <v>3</v>
      </c>
      <c r="D6" s="30" t="s">
        <v>5</v>
      </c>
      <c r="E6" s="30" t="s">
        <v>6</v>
      </c>
      <c r="F6" s="30" t="s">
        <v>55</v>
      </c>
      <c r="G6" s="6"/>
      <c r="H6" s="6"/>
    </row>
    <row r="7" spans="1:9" ht="18.75">
      <c r="A7" s="52" t="s">
        <v>74</v>
      </c>
      <c r="B7" s="47"/>
      <c r="C7" s="48"/>
      <c r="D7" s="51"/>
      <c r="E7" s="49"/>
      <c r="F7" s="50"/>
      <c r="G7" s="7"/>
      <c r="H7" s="7"/>
    </row>
    <row r="8" spans="1:9">
      <c r="A8" s="40" t="s">
        <v>40</v>
      </c>
      <c r="B8" s="47"/>
      <c r="C8" s="48"/>
      <c r="D8" s="51"/>
      <c r="E8" s="49"/>
      <c r="F8" s="50"/>
      <c r="G8" s="7"/>
      <c r="H8" s="7"/>
    </row>
    <row r="9" spans="1:9">
      <c r="A9" s="40" t="s">
        <v>41</v>
      </c>
      <c r="B9" s="47"/>
      <c r="C9" s="48"/>
      <c r="D9" s="51"/>
      <c r="E9" s="49"/>
      <c r="F9" s="50"/>
      <c r="G9" s="7"/>
      <c r="H9" s="7"/>
    </row>
    <row r="10" spans="1:9">
      <c r="A10" s="40" t="s">
        <v>42</v>
      </c>
      <c r="B10" s="47"/>
      <c r="C10" s="48"/>
      <c r="D10" s="51"/>
      <c r="E10" s="49"/>
      <c r="F10" s="50"/>
      <c r="G10" s="7"/>
      <c r="H10" s="7"/>
    </row>
    <row r="11" spans="1:9">
      <c r="A11" s="40" t="s">
        <v>43</v>
      </c>
      <c r="B11" s="47"/>
      <c r="C11" s="48"/>
      <c r="D11" s="51"/>
      <c r="E11" s="49"/>
      <c r="F11" s="50"/>
      <c r="G11" s="7"/>
      <c r="H11" s="7"/>
    </row>
    <row r="12" spans="1:9">
      <c r="A12" s="41" t="s">
        <v>44</v>
      </c>
      <c r="B12" s="47"/>
      <c r="C12" s="48"/>
      <c r="D12" s="51"/>
      <c r="E12" s="49"/>
      <c r="F12" s="50"/>
      <c r="G12" s="7"/>
      <c r="H12" s="7"/>
    </row>
    <row r="13" spans="1:9">
      <c r="B13" s="28" t="s">
        <v>87</v>
      </c>
      <c r="C13" s="67">
        <f>IF($B$7="CWSRF", (0.02*$C$7), (IF($B$7="CWSRF-PF", (0.02*$C$7), (IF($B$7="CWSRF-GPR", (0.02*$C$7), (IF($B$7="SRL", (0.025*$C$7), (IF($B$7="SEL", (0.025*$C$7), 0)))))))))+(IF($B$8="CWSRF", (0.02*$C$8), (IF($B$8="SRL", (0.025*$C$8), (IF($B$8="SEL", (0.025*$C$8), 0))))))+(IF($B$9="CWSRF", (0.02*$C$9), (IF($B$9="SRL", (0.025*$C$9), (IF($B$9="SEL", (0.025*$C$9), 0))))))+(IF($B$10="CWSRF", (0.02*$C$10), (IF($B$10="SRL", (0.025*$C$10), (IF($B$10="SEL", (0.025*$C$10), 0))))))+(IF($B$11="CWSRF", (0.02*$C$11), (IF($B$11="SRL", (0.025*$C$11), (IF($B$11="SEL", (0.025*$C$11),0))))))+(IF($B$12="CWSRF", (0.02*$C$12), (IF($B$12="SRL", (0.025*$C$12), (IF($B$12="SEL", (0.025*$C$12), 0))))))</f>
        <v>0</v>
      </c>
      <c r="D13" s="29" t="s">
        <v>56</v>
      </c>
      <c r="E13" s="185"/>
      <c r="F13" s="186"/>
      <c r="G13" s="7"/>
      <c r="H13" s="7"/>
      <c r="I13" s="7"/>
    </row>
    <row r="14" spans="1:9" ht="30.75" customHeight="1">
      <c r="A14" s="190" t="s">
        <v>50</v>
      </c>
      <c r="B14" s="190"/>
      <c r="C14" s="39">
        <f>SUM(C7:C12)</f>
        <v>0</v>
      </c>
      <c r="D14" s="28"/>
      <c r="E14" s="32"/>
      <c r="F14" s="32"/>
      <c r="G14" s="7"/>
      <c r="H14" s="7"/>
      <c r="I14" s="7"/>
    </row>
    <row r="15" spans="1:9">
      <c r="B15" s="27" t="s">
        <v>53</v>
      </c>
      <c r="C15" s="33">
        <f>SUM(C7:C13)</f>
        <v>0</v>
      </c>
      <c r="E15" s="8"/>
      <c r="F15" s="9"/>
    </row>
    <row r="16" spans="1:9" ht="16.5">
      <c r="A16" s="20" t="s">
        <v>38</v>
      </c>
      <c r="B16" s="21"/>
      <c r="C16" s="22"/>
      <c r="D16" s="22"/>
      <c r="E16" s="23"/>
      <c r="F16" s="24"/>
    </row>
    <row r="17" spans="1:6" ht="16.5">
      <c r="A17" s="20" t="s">
        <v>39</v>
      </c>
      <c r="B17" s="25"/>
      <c r="C17" s="22"/>
      <c r="D17" s="22"/>
      <c r="E17" s="23"/>
      <c r="F17" s="24"/>
    </row>
    <row r="18" spans="1:6" ht="37.5" customHeight="1">
      <c r="A18" s="178"/>
      <c r="B18" s="178"/>
      <c r="C18" s="178"/>
      <c r="D18" s="178"/>
      <c r="E18" s="178"/>
      <c r="F18" s="178"/>
    </row>
    <row r="19" spans="1:6">
      <c r="A19" s="22"/>
      <c r="B19" s="25"/>
      <c r="C19" s="22"/>
      <c r="D19" s="22"/>
      <c r="E19" s="23"/>
      <c r="F19" s="24"/>
    </row>
    <row r="20" spans="1:6">
      <c r="A20" s="20"/>
      <c r="B20" s="25"/>
      <c r="C20" s="22"/>
      <c r="D20" s="22"/>
      <c r="E20" s="23"/>
      <c r="F20" s="24"/>
    </row>
    <row r="21" spans="1:6">
      <c r="A21" s="54"/>
      <c r="B21" s="55"/>
      <c r="C21" s="26"/>
      <c r="D21" s="26"/>
      <c r="E21" s="26"/>
      <c r="F21" s="26"/>
    </row>
    <row r="22" spans="1:6">
      <c r="A22" s="12"/>
      <c r="B22" s="55"/>
      <c r="C22" s="14"/>
      <c r="D22" s="14"/>
      <c r="E22" s="15"/>
      <c r="F22" s="13"/>
    </row>
    <row r="23" spans="1:6">
      <c r="A23" s="16"/>
      <c r="B23" s="55"/>
      <c r="C23" s="17"/>
      <c r="D23" s="17"/>
      <c r="E23" s="17"/>
      <c r="F23" s="18"/>
    </row>
    <row r="24" spans="1:6">
      <c r="A24" s="16"/>
      <c r="B24" s="9"/>
      <c r="C24" s="17"/>
      <c r="D24" s="17"/>
      <c r="E24" s="17"/>
      <c r="F24" s="18"/>
    </row>
    <row r="25" spans="1:6">
      <c r="A25" s="19"/>
      <c r="B25" s="9"/>
      <c r="C25" s="17"/>
      <c r="D25" s="17"/>
      <c r="E25" s="17"/>
      <c r="F25" s="18"/>
    </row>
    <row r="26" spans="1:6">
      <c r="A26" s="19"/>
      <c r="B26" s="9"/>
      <c r="C26" s="17"/>
      <c r="D26" s="17"/>
      <c r="E26" s="17"/>
      <c r="F26" s="18"/>
    </row>
    <row r="27" spans="1:6">
      <c r="A27" s="19"/>
      <c r="B27" s="9"/>
      <c r="C27" s="17"/>
      <c r="D27" s="17"/>
      <c r="E27" s="17"/>
      <c r="F27" s="18"/>
    </row>
    <row r="28" spans="1:6">
      <c r="A28" s="19"/>
      <c r="B28" s="9"/>
      <c r="C28" s="17"/>
      <c r="D28" s="17"/>
      <c r="E28" s="17"/>
      <c r="F28" s="18"/>
    </row>
    <row r="29" spans="1:6">
      <c r="A29" s="19"/>
      <c r="B29" s="9"/>
      <c r="C29" s="17"/>
      <c r="D29" s="17"/>
      <c r="E29" s="17"/>
      <c r="F29" s="18"/>
    </row>
    <row r="30" spans="1:6">
      <c r="A30" s="10"/>
      <c r="B30" s="11"/>
      <c r="E30" s="8"/>
      <c r="F30" s="9"/>
    </row>
    <row r="31" spans="1:6">
      <c r="A31" s="10"/>
      <c r="B31" s="11"/>
      <c r="E31" s="8"/>
      <c r="F31" s="9"/>
    </row>
  </sheetData>
  <sheetProtection sheet="1" objects="1" scenarios="1"/>
  <mergeCells count="8">
    <mergeCell ref="A18:F18"/>
    <mergeCell ref="A1:F1"/>
    <mergeCell ref="A2:F2"/>
    <mergeCell ref="A3:F3"/>
    <mergeCell ref="A4:F4"/>
    <mergeCell ref="E13:F13"/>
    <mergeCell ref="A5:F5"/>
    <mergeCell ref="A14:B14"/>
  </mergeCells>
  <phoneticPr fontId="2" type="noConversion"/>
  <dataValidations count="6">
    <dataValidation type="list" allowBlank="1" showInputMessage="1" showErrorMessage="1" sqref="B7">
      <formula1>Main!A1:A7</formula1>
    </dataValidation>
    <dataValidation type="list" allowBlank="1" showInputMessage="1" showErrorMessage="1" sqref="B12">
      <formula1>Funding!A1:A13</formula1>
    </dataValidation>
    <dataValidation type="list" allowBlank="1" showInputMessage="1" showErrorMessage="1" sqref="D7">
      <formula1>Type!A2:A5</formula1>
    </dataValidation>
    <dataValidation type="list" allowBlank="1" showInputMessage="1" showErrorMessage="1" sqref="B9:B11">
      <formula1>Funding!A1:A13</formula1>
    </dataValidation>
    <dataValidation type="list" showInputMessage="1" showErrorMessage="1" sqref="B8">
      <formula1>Funding!A1:A13</formula1>
    </dataValidation>
    <dataValidation type="list" allowBlank="1" showInputMessage="1" showErrorMessage="1" sqref="D8:D12">
      <formula1>Type!A1:A5</formula1>
    </dataValidation>
  </dataValidations>
  <printOptions horizontalCentered="1" headings="1" gridLines="1"/>
  <pageMargins left="0.5" right="0.5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pageSetUpPr fitToPage="1"/>
  </sheetPr>
  <dimension ref="A1:H13"/>
  <sheetViews>
    <sheetView zoomScaleNormal="100" workbookViewId="0">
      <selection activeCell="A2" sqref="A2:H2"/>
    </sheetView>
  </sheetViews>
  <sheetFormatPr defaultRowHeight="15.75"/>
  <cols>
    <col min="1" max="1" width="42" style="2" customWidth="1"/>
    <col min="2" max="7" width="16.7109375" style="2" customWidth="1"/>
    <col min="8" max="8" width="14.7109375" style="2" customWidth="1"/>
    <col min="9" max="16384" width="9.140625" style="2"/>
  </cols>
  <sheetData>
    <row r="1" spans="1:8">
      <c r="A1" s="179" t="s">
        <v>152</v>
      </c>
      <c r="B1" s="180"/>
      <c r="C1" s="180"/>
      <c r="D1" s="180"/>
      <c r="E1" s="180"/>
      <c r="F1" s="180"/>
      <c r="G1" s="180"/>
      <c r="H1" s="181"/>
    </row>
    <row r="2" spans="1:8">
      <c r="A2" s="155">
        <f>Input!B4</f>
        <v>0</v>
      </c>
      <c r="B2" s="156"/>
      <c r="C2" s="156"/>
      <c r="D2" s="156"/>
      <c r="E2" s="156"/>
      <c r="F2" s="156"/>
      <c r="G2" s="156"/>
      <c r="H2" s="157"/>
    </row>
    <row r="3" spans="1:8">
      <c r="A3" s="155">
        <f>Input!B5</f>
        <v>0</v>
      </c>
      <c r="B3" s="156"/>
      <c r="C3" s="156"/>
      <c r="D3" s="156"/>
      <c r="E3" s="156"/>
      <c r="F3" s="156"/>
      <c r="G3" s="156"/>
      <c r="H3" s="157"/>
    </row>
    <row r="4" spans="1:8">
      <c r="A4" s="182">
        <f>Input!B6</f>
        <v>0</v>
      </c>
      <c r="B4" s="183"/>
      <c r="C4" s="183"/>
      <c r="D4" s="183"/>
      <c r="E4" s="183"/>
      <c r="F4" s="183"/>
      <c r="G4" s="183"/>
      <c r="H4" s="184"/>
    </row>
    <row r="5" spans="1:8" ht="63">
      <c r="A5" s="73"/>
      <c r="B5" s="74" t="s">
        <v>4</v>
      </c>
      <c r="C5" s="74" t="s">
        <v>17</v>
      </c>
      <c r="D5" s="74" t="s">
        <v>18</v>
      </c>
      <c r="E5" s="74" t="s">
        <v>88</v>
      </c>
      <c r="F5" s="74" t="s">
        <v>90</v>
      </c>
      <c r="G5" s="74" t="s">
        <v>96</v>
      </c>
      <c r="H5" s="34" t="s">
        <v>89</v>
      </c>
    </row>
    <row r="6" spans="1:8" ht="17.25" customHeight="1">
      <c r="A6" s="57" t="s">
        <v>149</v>
      </c>
      <c r="B6" s="35" t="str">
        <f>IF('Loan Repayment Input'!B7&lt;&gt;"", 'Loan Repayment Input'!$B7, "")</f>
        <v/>
      </c>
      <c r="C6" s="36" t="str">
        <f>IF($B6&lt;&gt;"", 'Loan Repayment Input'!C7, "")</f>
        <v/>
      </c>
      <c r="D6" s="36" t="str">
        <f>IF('Loan Repayment Input'!$D$7="Loan", ('Loan Repayment Input'!C7/'Loan Repayment Input'!F7), "")</f>
        <v/>
      </c>
      <c r="E6" s="36" t="str">
        <f>IF('Loan Repayment Input'!$D$7="Loan", ('Loan Repayment Input'!$C$7*'Loan Repayment Input'!$E$7), "")</f>
        <v/>
      </c>
      <c r="F6" s="36" t="str">
        <f>IF($B6&lt;&gt;"", (IF('Loan Repayment Input'!$D7="Loan", ($C6*0.04), "")), "")</f>
        <v/>
      </c>
      <c r="G6" s="36" t="str">
        <f>IF($B6&lt;&gt;"", (IF('Loan Repayment Input'!D7="Loan", SUM(D6:E6), "")), "")</f>
        <v/>
      </c>
      <c r="H6" s="36" t="str">
        <f>IF($B6&lt;&gt;"", (IF('Loan Repayment Input'!D7="Loan", (D6+F6), "")), "")</f>
        <v/>
      </c>
    </row>
    <row r="7" spans="1:8">
      <c r="A7" s="4" t="s">
        <v>40</v>
      </c>
      <c r="B7" s="35" t="str">
        <f>IF('Loan Repayment Input'!B8&lt;&gt;"", 'Loan Repayment Input'!$B8, "")</f>
        <v/>
      </c>
      <c r="C7" s="36" t="str">
        <f>IF($B7&lt;&gt;"", 'Loan Repayment Input'!C8, "")</f>
        <v/>
      </c>
      <c r="D7" s="36" t="str">
        <f>IF('Loan Repayment Input'!F8&lt;&gt;"", (IF('Loan Repayment Input'!$D8="Loan", ('Loan Repayment Input'!C8/'Loan Repayment Input'!F8), "")), "")</f>
        <v/>
      </c>
      <c r="E7" s="36" t="str">
        <f>IF('Loan Repayment Input'!D8="Loan", ('Loan Repayment Input'!C8*'Loan Repayment Input'!E8), "")</f>
        <v/>
      </c>
      <c r="F7" s="36" t="str">
        <f>IF($B7&lt;&gt;"", (IF('Loan Repayment Input'!$D8="Loan", (IF('Loan Repayment Input'!$B8="CWSRF", ($C7*0.04), (IF('Loan Repayment Input'!$B8="SRL", ($C7*0.04), (IF('Loan Repayment Input'!$B8="SEL", (0.04*$C7), "")))))), "")), "")</f>
        <v/>
      </c>
      <c r="G7" s="36" t="str">
        <f>IF($B7&lt;&gt;"", (IF('Loan Repayment Input'!D8="Loan", SUM(D7:E7), "")), "")</f>
        <v/>
      </c>
      <c r="H7" s="36" t="str">
        <f>IF($B7&lt;&gt;"", (IF('Loan Repayment Input'!$D8="Loan", (IF($B7="CWSRF", ($D7+$F7), (IF($B7="SRL", ($D7+$F7), (IF($B7="SEL", ($D7+$F7), ($D7+$E7))))))), "")), "")</f>
        <v/>
      </c>
    </row>
    <row r="8" spans="1:8">
      <c r="A8" s="4" t="s">
        <v>41</v>
      </c>
      <c r="B8" s="35" t="str">
        <f>IF('Loan Repayment Input'!B9&lt;&gt;"", 'Loan Repayment Input'!$B9, "")</f>
        <v/>
      </c>
      <c r="C8" s="36" t="str">
        <f>IF($B8&lt;&gt;"", 'Loan Repayment Input'!C9, "")</f>
        <v/>
      </c>
      <c r="D8" s="36" t="str">
        <f>IF('Loan Repayment Input'!F9&lt;&gt;"", (IF('Loan Repayment Input'!$D9="Loan", ('Loan Repayment Input'!C9/'Loan Repayment Input'!F9), "")), "")</f>
        <v/>
      </c>
      <c r="E8" s="36" t="str">
        <f>IF('Loan Repayment Input'!D9="Loan", ('Loan Repayment Input'!C9*'Loan Repayment Input'!E9), "")</f>
        <v/>
      </c>
      <c r="F8" s="36" t="str">
        <f>IF($B8&lt;&gt;"", (IF('Loan Repayment Input'!$D9="Loan", (IF('Loan Repayment Input'!$B9="CWSRF", ($C8*0.04), (IF('Loan Repayment Input'!$B9="SRL", ($C8*0.04), (IF('Loan Repayment Input'!$B9="SEL", (0.04*$C8), "")))))), "")), "")</f>
        <v/>
      </c>
      <c r="G8" s="36" t="str">
        <f>IF($B8&lt;&gt;"", (IF('Loan Repayment Input'!D9="Loan", SUM(D8:E8), "")), "")</f>
        <v/>
      </c>
      <c r="H8" s="36" t="str">
        <f>IF($B8&lt;&gt;"", (IF('Loan Repayment Input'!$D9="Loan", (IF($B8="CWSRF", ($D8+$F8), (IF($B8="SRL", ($D8+$F8), (IF($B8="SEL", ($D8+$F8), ($D8+$E8))))))), "")), "")</f>
        <v/>
      </c>
    </row>
    <row r="9" spans="1:8">
      <c r="A9" s="4" t="s">
        <v>42</v>
      </c>
      <c r="B9" s="35" t="str">
        <f>IF('Loan Repayment Input'!B10&lt;&gt;"", 'Loan Repayment Input'!$B10, "")</f>
        <v/>
      </c>
      <c r="C9" s="36" t="str">
        <f>IF($B9&lt;&gt;"", 'Loan Repayment Input'!C10, "")</f>
        <v/>
      </c>
      <c r="D9" s="36" t="str">
        <f>IF('Loan Repayment Input'!F10&lt;&gt;"", (IF('Loan Repayment Input'!$D10="Loan", ('Loan Repayment Input'!C10/'Loan Repayment Input'!F10), "")), "")</f>
        <v/>
      </c>
      <c r="E9" s="36" t="str">
        <f>IF('Loan Repayment Input'!D10="Loan", ('Loan Repayment Input'!C10*'Loan Repayment Input'!E10), "")</f>
        <v/>
      </c>
      <c r="F9" s="36" t="str">
        <f>IF($B9&lt;&gt;"", (IF('Loan Repayment Input'!$D10="Loan", (IF('Loan Repayment Input'!$B10="CWSRF", ($C9*0.04), (IF('Loan Repayment Input'!$B10="SRL", ($C9*0.04), (IF('Loan Repayment Input'!$B10="SEL", (0.04*$C9), "")))))), "")), "")</f>
        <v/>
      </c>
      <c r="G9" s="36" t="str">
        <f>IF($B9&lt;&gt;"", (IF('Loan Repayment Input'!D10="Loan", SUM(D9:E9), "")), "")</f>
        <v/>
      </c>
      <c r="H9" s="36" t="str">
        <f>IF($B9&lt;&gt;"", (IF('Loan Repayment Input'!$D10="Loan", (IF($B9="CWSRF", ($D9+$F9), (IF($B9="SRL", ($D9+$F9), (IF($B9="SEL", ($D9+$F9), ($D9+$E9))))))), "")), "")</f>
        <v/>
      </c>
    </row>
    <row r="10" spans="1:8">
      <c r="A10" s="4" t="s">
        <v>43</v>
      </c>
      <c r="B10" s="35" t="str">
        <f>IF('Loan Repayment Input'!B11&lt;&gt;"", 'Loan Repayment Input'!$B11, "")</f>
        <v/>
      </c>
      <c r="C10" s="36" t="str">
        <f>IF($B10&lt;&gt;"", 'Loan Repayment Input'!C11, "")</f>
        <v/>
      </c>
      <c r="D10" s="36" t="str">
        <f>IF('Loan Repayment Input'!F11&lt;&gt;"", (IF('Loan Repayment Input'!$D11="Loan", ('Loan Repayment Input'!C11/'Loan Repayment Input'!F11), "")), "")</f>
        <v/>
      </c>
      <c r="E10" s="36" t="str">
        <f>IF('Loan Repayment Input'!D11="Loan", ('Loan Repayment Input'!C11*'Loan Repayment Input'!E11), "")</f>
        <v/>
      </c>
      <c r="F10" s="36" t="str">
        <f>IF($B10&lt;&gt;"", (IF('Loan Repayment Input'!$D11="Loan", (IF('Loan Repayment Input'!$B11="CWSRF", ($C10*0.04), (IF('Loan Repayment Input'!$B11="SRL", ($C10*0.04), (IF('Loan Repayment Input'!$B11="SEL", (0.04*$C10), "")))))), "")), "")</f>
        <v/>
      </c>
      <c r="G10" s="36" t="str">
        <f>IF($B10&lt;&gt;"", (IF('Loan Repayment Input'!D11="Loan", SUM(D10:E10), "")), "")</f>
        <v/>
      </c>
      <c r="H10" s="36" t="str">
        <f>IF($B10&lt;&gt;"", (IF('Loan Repayment Input'!$D11="Loan", (IF($B10="CWSRF", ($D10+$F10), (IF($B10="SRL", ($D10+$F10), (IF($B10="SEL", ($D10+$F10), ($D10+$E10))))))), "")), "")</f>
        <v/>
      </c>
    </row>
    <row r="11" spans="1:8">
      <c r="A11" s="4" t="s">
        <v>44</v>
      </c>
      <c r="B11" s="35" t="str">
        <f>IF('Loan Repayment Input'!B12&lt;&gt;"", 'Loan Repayment Input'!$B12, "")</f>
        <v/>
      </c>
      <c r="C11" s="36" t="str">
        <f>IF($B11&lt;&gt;"", 'Loan Repayment Input'!C12, "")</f>
        <v/>
      </c>
      <c r="D11" s="36" t="str">
        <f>IF('Loan Repayment Input'!F12&lt;&gt;"", (IF('Loan Repayment Input'!$D12="Loan", ('Loan Repayment Input'!C12/'Loan Repayment Input'!F12), "")), "")</f>
        <v/>
      </c>
      <c r="E11" s="36" t="str">
        <f>IF('Loan Repayment Input'!D12="Loan", ('Loan Repayment Input'!C12*'Loan Repayment Input'!E12), "")</f>
        <v/>
      </c>
      <c r="F11" s="36" t="str">
        <f>IF($B11&lt;&gt;"", (IF('Loan Repayment Input'!$D12="Loan", (IF('Loan Repayment Input'!$B12="CWSRF", ($C11*0.04), (IF('Loan Repayment Input'!$B12="SRL", ($C11*0.04), (IF('Loan Repayment Input'!$B12="SEL", (0.04*$C11), "")))))), "")), "")</f>
        <v/>
      </c>
      <c r="G11" s="36" t="str">
        <f>IF($B11&lt;&gt;"", (IF('Loan Repayment Input'!D12="Loan", SUM(D11:E11), "")), "")</f>
        <v/>
      </c>
      <c r="H11" s="36" t="str">
        <f>IF($B11&lt;&gt;"", (IF('Loan Repayment Input'!$D12="Loan", (IF($B11="CWSRF", ($D11+$F11), (IF($B11="SRL", ($D11+$F11), (IF($B11="SEL", ($D11+$F11), ($D11+$E11))))))), "")), "")</f>
        <v/>
      </c>
    </row>
    <row r="12" spans="1:8" ht="16.5">
      <c r="A12" s="20" t="s">
        <v>61</v>
      </c>
      <c r="C12" s="17"/>
      <c r="D12" s="17"/>
      <c r="F12" s="44" t="s">
        <v>59</v>
      </c>
      <c r="G12" s="38">
        <f>(IF(G6&lt;&gt;"", $G$6, 0))+(IF($G$7&lt;&gt;"", $G$7, 0))+(IF($G$8&lt;&gt;"", $G$8, 0))+(IF($G$9&lt;&gt;"", $G$9, 0))+(IF($G$10&lt;&gt;"", $G$10, 0))+(IF($G$11&lt;&gt;"", $G$11, 0))</f>
        <v>0</v>
      </c>
      <c r="H12" s="37"/>
    </row>
    <row r="13" spans="1:8">
      <c r="A13" s="42"/>
      <c r="B13" s="43"/>
      <c r="C13" s="17"/>
      <c r="D13" s="17"/>
      <c r="F13" s="44" t="s">
        <v>60</v>
      </c>
      <c r="G13" s="72"/>
      <c r="H13" s="71">
        <f>IF($H$6&lt;&gt;"", $H$6, 0)+(IF($H7&lt;&gt;"", $H$7, 0))+(IF($H$8&lt;&gt;"", $H$8, ))+(IF($H$9&lt;&gt;"", $H$9, 0))+(IF($H$10&lt;&gt;"", $H$10, 0))+(IF($H$11&lt;&gt;"", $H$11, 0))</f>
        <v>0</v>
      </c>
    </row>
  </sheetData>
  <sheetProtection sheet="1" objects="1" scenarios="1"/>
  <mergeCells count="4">
    <mergeCell ref="A1:H1"/>
    <mergeCell ref="A2:H2"/>
    <mergeCell ref="A3:H3"/>
    <mergeCell ref="A4:H4"/>
  </mergeCells>
  <printOptions horizontalCentered="1" headings="1" gridLines="1"/>
  <pageMargins left="0.7" right="0.7" top="0.75" bottom="0.75" header="0.3" footer="0.3"/>
  <pageSetup scale="7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Y34"/>
  <sheetViews>
    <sheetView topLeftCell="A7" zoomScale="85" zoomScaleNormal="85" workbookViewId="0">
      <selection activeCell="M7" sqref="M7"/>
    </sheetView>
  </sheetViews>
  <sheetFormatPr defaultRowHeight="15.75"/>
  <cols>
    <col min="1" max="1" width="12.7109375" style="80" customWidth="1"/>
    <col min="2" max="2" width="8.42578125" style="80" customWidth="1"/>
    <col min="3" max="3" width="15.140625" style="80" customWidth="1"/>
    <col min="4" max="4" width="13.5703125" style="80" customWidth="1"/>
    <col min="5" max="5" width="12.28515625" style="80" customWidth="1"/>
    <col min="6" max="6" width="14" style="80" customWidth="1"/>
    <col min="7" max="7" width="14.42578125" style="80" customWidth="1"/>
    <col min="8" max="8" width="12.140625" style="80" customWidth="1"/>
    <col min="9" max="9" width="12.7109375" style="80" customWidth="1"/>
    <col min="10" max="10" width="13.140625" style="80" customWidth="1"/>
    <col min="11" max="11" width="15" style="80" customWidth="1"/>
    <col min="12" max="12" width="16.7109375" style="80" customWidth="1"/>
    <col min="13" max="13" width="17.7109375" style="80" customWidth="1"/>
    <col min="14" max="21" width="9.140625" style="80"/>
    <col min="22" max="23" width="9.140625" style="80" hidden="1" customWidth="1"/>
    <col min="24" max="24" width="23.85546875" style="80" hidden="1" customWidth="1"/>
    <col min="25" max="25" width="9.140625" style="80" hidden="1" customWidth="1"/>
    <col min="26" max="16384" width="9.140625" style="80"/>
  </cols>
  <sheetData>
    <row r="1" spans="1:25" ht="20.100000000000001" customHeight="1">
      <c r="A1" s="191" t="s">
        <v>153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</row>
    <row r="2" spans="1:25" ht="20.100000000000001" customHeight="1">
      <c r="A2" s="191">
        <f>Input!B4</f>
        <v>0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</row>
    <row r="3" spans="1:25" ht="20.100000000000001" customHeight="1">
      <c r="A3" s="191">
        <f>Input!B5</f>
        <v>0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</row>
    <row r="4" spans="1:25" ht="20.100000000000001" customHeight="1">
      <c r="A4" s="191">
        <f>Input!B6</f>
        <v>0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</row>
    <row r="5" spans="1:25" ht="54" customHeight="1">
      <c r="A5" s="197" t="s">
        <v>146</v>
      </c>
      <c r="B5" s="198"/>
      <c r="C5" s="199"/>
      <c r="D5" s="114" t="s">
        <v>83</v>
      </c>
      <c r="E5" s="114" t="s">
        <v>72</v>
      </c>
      <c r="F5" s="114" t="s">
        <v>91</v>
      </c>
      <c r="G5" s="115"/>
      <c r="H5" s="116"/>
      <c r="I5" s="194" t="s">
        <v>145</v>
      </c>
      <c r="J5" s="194"/>
      <c r="K5" s="194"/>
      <c r="L5" s="195"/>
      <c r="M5" s="117">
        <f>SUM(F6:F8)</f>
        <v>0</v>
      </c>
    </row>
    <row r="6" spans="1:25" ht="39.950000000000003" customHeight="1">
      <c r="A6" s="200" t="s">
        <v>69</v>
      </c>
      <c r="B6" s="201"/>
      <c r="C6" s="202"/>
      <c r="D6" s="118"/>
      <c r="E6" s="119"/>
      <c r="F6" s="117" t="str">
        <f xml:space="preserve"> IF(W6 = TRUE, D6 * E6,"")</f>
        <v/>
      </c>
      <c r="G6" s="115"/>
      <c r="H6" s="116"/>
      <c r="I6" s="116"/>
      <c r="J6" s="194" t="s">
        <v>118</v>
      </c>
      <c r="K6" s="194"/>
      <c r="L6" s="195"/>
      <c r="M6" s="117">
        <f xml:space="preserve"> M5/5000</f>
        <v>0</v>
      </c>
      <c r="V6" s="80" t="s">
        <v>66</v>
      </c>
      <c r="W6" s="142" t="b">
        <v>0</v>
      </c>
    </row>
    <row r="7" spans="1:25" ht="39.950000000000003" customHeight="1">
      <c r="A7" s="200" t="s">
        <v>70</v>
      </c>
      <c r="B7" s="201"/>
      <c r="C7" s="202"/>
      <c r="D7" s="118"/>
      <c r="E7" s="119"/>
      <c r="F7" s="117" t="str">
        <f xml:space="preserve"> IF(Y7 = TRUE, D7 * E7,"")</f>
        <v/>
      </c>
      <c r="G7" s="115"/>
      <c r="H7" s="116"/>
      <c r="I7" s="116"/>
      <c r="J7" s="194" t="s">
        <v>51</v>
      </c>
      <c r="K7" s="194"/>
      <c r="L7" s="195"/>
      <c r="M7" s="120"/>
      <c r="X7" s="80" t="s">
        <v>67</v>
      </c>
      <c r="Y7" s="142" t="b">
        <v>0</v>
      </c>
    </row>
    <row r="8" spans="1:25" ht="39.950000000000003" customHeight="1">
      <c r="A8" s="200" t="s">
        <v>71</v>
      </c>
      <c r="B8" s="201"/>
      <c r="C8" s="202"/>
      <c r="D8" s="118"/>
      <c r="E8" s="119"/>
      <c r="F8" s="117" t="str">
        <f xml:space="preserve"> IF(Y8 = TRUE, D8 * E8,"")</f>
        <v/>
      </c>
      <c r="G8" s="121"/>
      <c r="H8" s="122" t="s">
        <v>65</v>
      </c>
      <c r="I8" s="123"/>
      <c r="J8" s="196"/>
      <c r="K8" s="196"/>
      <c r="L8" s="196"/>
      <c r="M8" s="124"/>
      <c r="X8" s="80" t="s">
        <v>68</v>
      </c>
      <c r="Y8" s="142" t="b">
        <v>0</v>
      </c>
    </row>
    <row r="9" spans="1:25" ht="93.75" customHeight="1">
      <c r="A9" s="115"/>
      <c r="B9" s="124"/>
      <c r="C9" s="138" t="s">
        <v>4</v>
      </c>
      <c r="D9" s="114" t="s">
        <v>13</v>
      </c>
      <c r="E9" s="114" t="s">
        <v>52</v>
      </c>
      <c r="F9" s="114" t="s">
        <v>92</v>
      </c>
      <c r="G9" s="114" t="s">
        <v>94</v>
      </c>
      <c r="H9" s="114" t="s">
        <v>93</v>
      </c>
      <c r="I9" s="114" t="s">
        <v>95</v>
      </c>
      <c r="J9" s="114" t="s">
        <v>100</v>
      </c>
      <c r="K9" s="114" t="s">
        <v>101</v>
      </c>
      <c r="L9" s="114" t="s">
        <v>97</v>
      </c>
      <c r="M9" s="114" t="s">
        <v>144</v>
      </c>
    </row>
    <row r="10" spans="1:25" ht="20.100000000000001" customHeight="1">
      <c r="A10" s="203" t="s">
        <v>73</v>
      </c>
      <c r="B10" s="204"/>
      <c r="C10" s="125">
        <f>'Loan Repayment Input'!B7</f>
        <v>0</v>
      </c>
      <c r="D10" s="126" t="str">
        <f>'Loan Repayment Output'!G6</f>
        <v/>
      </c>
      <c r="E10" s="126">
        <f>$M$7</f>
        <v>0</v>
      </c>
      <c r="F10" s="126">
        <f>IF($D$10&lt;&gt;"", ($D$10+$E$10), $E$10)</f>
        <v>0</v>
      </c>
      <c r="G10" s="126">
        <f>IF($D$10&lt;&gt;"", ($E10+'Loan Repayment Output'!H6), $E$10)</f>
        <v>0</v>
      </c>
      <c r="H10" s="126">
        <f>$F10/12</f>
        <v>0</v>
      </c>
      <c r="I10" s="126">
        <f>$G10/12</f>
        <v>0</v>
      </c>
      <c r="J10" s="141" t="e">
        <f xml:space="preserve"> (H10 /$M$6)</f>
        <v>#DIV/0!</v>
      </c>
      <c r="K10" s="141" t="e">
        <f>($I10/$M$6)</f>
        <v>#DIV/0!</v>
      </c>
      <c r="L10" s="141" t="e">
        <f>($H10/($F$6/5000))</f>
        <v>#VALUE!</v>
      </c>
      <c r="M10" s="141" t="e">
        <f>($I10/($F$6/5000))</f>
        <v>#VALUE!</v>
      </c>
    </row>
    <row r="11" spans="1:25" ht="20.100000000000001" customHeight="1">
      <c r="A11" s="139"/>
      <c r="B11" s="140" t="s">
        <v>8</v>
      </c>
      <c r="C11" s="125" t="str">
        <f>IF('Loan Repayment Input'!B8&lt;&gt;"", 'Loan Repayment Input'!B8, "")</f>
        <v/>
      </c>
      <c r="D11" s="126" t="str">
        <f>IF('Loan Repayment Output'!G7&lt;&gt;"", 'Loan Repayment Output'!G7, "")</f>
        <v/>
      </c>
      <c r="E11" s="127"/>
      <c r="F11" s="126" t="str">
        <f>IF(D11&lt;&gt;"", D11, "")</f>
        <v/>
      </c>
      <c r="G11" s="126" t="str">
        <f>(IF($C11&lt;&gt;"", (IF('Loan Repayment Input'!$D8="Loan", (IF($C11="CWSRF", 'Loan Repayment Output'!$H7, (IF($C11="SRL", 'Loan Repayment Output'!$H7, (IF($C11="SEL", 'Loan Repayment Output'!$H7, $F11)))))), "")), ""))</f>
        <v/>
      </c>
      <c r="H11" s="126" t="str">
        <f>IF($F11&lt;&gt;"", (F11/12), "")</f>
        <v/>
      </c>
      <c r="I11" s="126" t="str">
        <f>IF($G11&lt;&gt;"", (G11/12), "")</f>
        <v/>
      </c>
      <c r="J11" s="141" t="str">
        <f>IF(D11&lt;&gt;"", (H11/$M$6), "")</f>
        <v/>
      </c>
      <c r="K11" s="141" t="str">
        <f>IF($I11&lt;&gt;"", ($I11/$M$6), "")</f>
        <v/>
      </c>
      <c r="L11" s="141" t="str">
        <f>IF($H11&lt;&gt;"", ($H11/($F$6/5000)), "")</f>
        <v/>
      </c>
      <c r="M11" s="141" t="str">
        <f>IF($I11&lt;&gt;"", ($I11/($F$6/5000)), "")</f>
        <v/>
      </c>
    </row>
    <row r="12" spans="1:25" ht="20.100000000000001" customHeight="1">
      <c r="A12" s="203" t="s">
        <v>9</v>
      </c>
      <c r="B12" s="204"/>
      <c r="C12" s="125" t="str">
        <f>IF('Loan Repayment Input'!B9&lt;&gt;"", 'Loan Repayment Input'!B9, "")</f>
        <v/>
      </c>
      <c r="D12" s="126" t="str">
        <f>IF('Loan Repayment Output'!G8&lt;&gt;"", 'Loan Repayment Output'!G8, "")</f>
        <v/>
      </c>
      <c r="E12" s="127"/>
      <c r="F12" s="126" t="str">
        <f>IF(D12&lt;&gt;"", D12, "")</f>
        <v/>
      </c>
      <c r="G12" s="126" t="str">
        <f>(IF($C12&lt;&gt;"", (IF('Loan Repayment Input'!$D9="Loan", (IF($C12="CWSRF", 'Loan Repayment Output'!$H8, (IF($C12="SRL", 'Loan Repayment Output'!$H8, (IF($C12="SEL", 'Loan Repayment Output'!$H8, $F12)))))), "")), ""))</f>
        <v/>
      </c>
      <c r="H12" s="126" t="str">
        <f t="shared" ref="H12:H15" si="0">IF($F12&lt;&gt;"", (F12/12), "")</f>
        <v/>
      </c>
      <c r="I12" s="126" t="str">
        <f t="shared" ref="I12:I15" si="1">IF($G12&lt;&gt;"", (G12/12), "")</f>
        <v/>
      </c>
      <c r="J12" s="141" t="str">
        <f t="shared" ref="J12:J15" si="2">IF(D12&lt;&gt;"", (H12/$M$6), "")</f>
        <v/>
      </c>
      <c r="K12" s="141" t="str">
        <f t="shared" ref="K12:K15" si="3">IF($I12&lt;&gt;"", ($I12/$M$6), "")</f>
        <v/>
      </c>
      <c r="L12" s="141" t="str">
        <f t="shared" ref="L12:L15" si="4">IF($H12&lt;&gt;"", ($H12/($F$6/5000)), "")</f>
        <v/>
      </c>
      <c r="M12" s="141" t="str">
        <f t="shared" ref="M12:M15" si="5">IF($I12&lt;&gt;"", ($I12/($F$6/5000)), "")</f>
        <v/>
      </c>
    </row>
    <row r="13" spans="1:25" ht="20.100000000000001" customHeight="1">
      <c r="A13" s="203" t="s">
        <v>10</v>
      </c>
      <c r="B13" s="204"/>
      <c r="C13" s="125" t="str">
        <f>IF('Loan Repayment Input'!B10&lt;&gt;"", 'Loan Repayment Input'!B10, "")</f>
        <v/>
      </c>
      <c r="D13" s="126" t="str">
        <f>IF('Loan Repayment Output'!G9&lt;&gt;"", 'Loan Repayment Output'!G9, "")</f>
        <v/>
      </c>
      <c r="E13" s="127"/>
      <c r="F13" s="126" t="str">
        <f>IF(D13&lt;&gt;"", D13, "")</f>
        <v/>
      </c>
      <c r="G13" s="126" t="str">
        <f>(IF($C13&lt;&gt;"", (IF('Loan Repayment Input'!$D10="Loan", (IF($C13="CWSRF", 'Loan Repayment Output'!$H9, (IF($C13="SRL", 'Loan Repayment Output'!$H9, (IF($C13="SEL", 'Loan Repayment Output'!$H9, $F13)))))), "")), ""))</f>
        <v/>
      </c>
      <c r="H13" s="126" t="str">
        <f t="shared" si="0"/>
        <v/>
      </c>
      <c r="I13" s="126" t="str">
        <f t="shared" si="1"/>
        <v/>
      </c>
      <c r="J13" s="141" t="str">
        <f t="shared" si="2"/>
        <v/>
      </c>
      <c r="K13" s="141" t="str">
        <f t="shared" si="3"/>
        <v/>
      </c>
      <c r="L13" s="141" t="str">
        <f t="shared" si="4"/>
        <v/>
      </c>
      <c r="M13" s="141" t="str">
        <f t="shared" si="5"/>
        <v/>
      </c>
    </row>
    <row r="14" spans="1:25" ht="20.100000000000001" customHeight="1">
      <c r="A14" s="203" t="s">
        <v>11</v>
      </c>
      <c r="B14" s="204"/>
      <c r="C14" s="125" t="str">
        <f>IF('Loan Repayment Input'!B11&lt;&gt;"", 'Loan Repayment Input'!B11, "")</f>
        <v/>
      </c>
      <c r="D14" s="126" t="str">
        <f>IF('Loan Repayment Output'!G10&lt;&gt;"", 'Loan Repayment Output'!G10, "")</f>
        <v/>
      </c>
      <c r="E14" s="127"/>
      <c r="F14" s="126" t="str">
        <f>IF(D14&lt;&gt;"", D14, "")</f>
        <v/>
      </c>
      <c r="G14" s="126" t="str">
        <f>(IF($C14&lt;&gt;"", (IF('Loan Repayment Input'!$D11="Loan", (IF($C14="CWSRF", 'Loan Repayment Output'!$H10, (IF($C14="SRL", 'Loan Repayment Output'!$H10, (IF($C14="SEL", 'Loan Repayment Output'!$H10, $F14)))))), "")), ""))</f>
        <v/>
      </c>
      <c r="H14" s="126" t="str">
        <f t="shared" si="0"/>
        <v/>
      </c>
      <c r="I14" s="126" t="str">
        <f t="shared" si="1"/>
        <v/>
      </c>
      <c r="J14" s="141" t="str">
        <f t="shared" si="2"/>
        <v/>
      </c>
      <c r="K14" s="141" t="str">
        <f t="shared" si="3"/>
        <v/>
      </c>
      <c r="L14" s="141" t="str">
        <f t="shared" si="4"/>
        <v/>
      </c>
      <c r="M14" s="141" t="str">
        <f t="shared" si="5"/>
        <v/>
      </c>
    </row>
    <row r="15" spans="1:25" ht="20.100000000000001" customHeight="1">
      <c r="A15" s="203" t="s">
        <v>12</v>
      </c>
      <c r="B15" s="204"/>
      <c r="C15" s="128" t="str">
        <f>IF('Loan Repayment Input'!B12&lt;&gt;"", 'Loan Repayment Input'!B12, "")</f>
        <v/>
      </c>
      <c r="D15" s="129" t="str">
        <f>IF('Loan Repayment Output'!G11&lt;&gt;"", 'Loan Repayment Output'!G11, "")</f>
        <v/>
      </c>
      <c r="E15" s="130"/>
      <c r="F15" s="129" t="str">
        <f>IF(D15&lt;&gt;"", D15, "")</f>
        <v/>
      </c>
      <c r="G15" s="126" t="str">
        <f>(IF($C15&lt;&gt;"", (IF('Loan Repayment Input'!$D12="Loan", (IF($C15="CWSRF", 'Loan Repayment Output'!$H11, (IF($C15="SRL", 'Loan Repayment Output'!$H11, (IF($C15="SEL", 'Loan Repayment Output'!$H11, $F15)))))), "")), ""))</f>
        <v/>
      </c>
      <c r="H15" s="126" t="str">
        <f t="shared" si="0"/>
        <v/>
      </c>
      <c r="I15" s="126" t="str">
        <f t="shared" si="1"/>
        <v/>
      </c>
      <c r="J15" s="141" t="str">
        <f t="shared" si="2"/>
        <v/>
      </c>
      <c r="K15" s="141" t="str">
        <f t="shared" si="3"/>
        <v/>
      </c>
      <c r="L15" s="141" t="str">
        <f t="shared" si="4"/>
        <v/>
      </c>
      <c r="M15" s="141" t="str">
        <f t="shared" si="5"/>
        <v/>
      </c>
    </row>
    <row r="16" spans="1:25" ht="20.100000000000001" customHeight="1">
      <c r="A16" s="205" t="s">
        <v>75</v>
      </c>
      <c r="B16" s="205"/>
      <c r="C16" s="205"/>
      <c r="D16" s="205"/>
      <c r="E16" s="205"/>
      <c r="F16" s="131">
        <f>SUM(F10:F15)</f>
        <v>0</v>
      </c>
      <c r="G16" s="132"/>
      <c r="H16" s="206"/>
      <c r="I16" s="207"/>
      <c r="J16" s="207"/>
      <c r="K16" s="207"/>
      <c r="L16" s="207"/>
      <c r="M16" s="208"/>
    </row>
    <row r="17" spans="1:13" ht="20.100000000000001" customHeight="1">
      <c r="A17" s="205" t="s">
        <v>98</v>
      </c>
      <c r="B17" s="205"/>
      <c r="C17" s="205"/>
      <c r="D17" s="205"/>
      <c r="E17" s="205"/>
      <c r="F17" s="133"/>
      <c r="G17" s="134">
        <f>SUM(G10:G15)</f>
        <v>0</v>
      </c>
      <c r="H17" s="209"/>
      <c r="I17" s="210"/>
      <c r="J17" s="210"/>
      <c r="K17" s="210"/>
      <c r="L17" s="210"/>
      <c r="M17" s="211"/>
    </row>
    <row r="18" spans="1:13" ht="20.100000000000001" customHeight="1">
      <c r="A18" s="192" t="s">
        <v>76</v>
      </c>
      <c r="B18" s="192"/>
      <c r="C18" s="192"/>
      <c r="D18" s="192"/>
      <c r="E18" s="192"/>
      <c r="F18" s="192"/>
      <c r="G18" s="192"/>
      <c r="H18" s="131">
        <f>SUM(H10:H15)</f>
        <v>0</v>
      </c>
      <c r="I18" s="132"/>
      <c r="J18" s="193"/>
      <c r="K18" s="193"/>
      <c r="L18" s="193"/>
      <c r="M18" s="193"/>
    </row>
    <row r="19" spans="1:13" ht="20.100000000000001" customHeight="1">
      <c r="A19" s="192" t="s">
        <v>99</v>
      </c>
      <c r="B19" s="192"/>
      <c r="C19" s="192"/>
      <c r="D19" s="192"/>
      <c r="E19" s="192"/>
      <c r="F19" s="192"/>
      <c r="G19" s="192"/>
      <c r="H19" s="133"/>
      <c r="I19" s="134">
        <f>SUM(I10:I15)</f>
        <v>0</v>
      </c>
      <c r="J19" s="193"/>
      <c r="K19" s="193"/>
      <c r="L19" s="193"/>
      <c r="M19" s="193"/>
    </row>
    <row r="20" spans="1:13" ht="20.100000000000001" customHeight="1">
      <c r="A20" s="192" t="s">
        <v>104</v>
      </c>
      <c r="B20" s="192"/>
      <c r="C20" s="192"/>
      <c r="D20" s="192"/>
      <c r="E20" s="192"/>
      <c r="F20" s="192"/>
      <c r="G20" s="192"/>
      <c r="H20" s="192"/>
      <c r="I20" s="192"/>
      <c r="J20" s="135" t="e">
        <f>SUM(J10:J15)</f>
        <v>#DIV/0!</v>
      </c>
      <c r="K20" s="136"/>
      <c r="L20" s="193"/>
      <c r="M20" s="193"/>
    </row>
    <row r="21" spans="1:13" ht="20.100000000000001" customHeight="1">
      <c r="A21" s="192" t="s">
        <v>105</v>
      </c>
      <c r="B21" s="192"/>
      <c r="C21" s="192"/>
      <c r="D21" s="192"/>
      <c r="E21" s="192"/>
      <c r="F21" s="192"/>
      <c r="G21" s="192"/>
      <c r="H21" s="192"/>
      <c r="I21" s="192"/>
      <c r="J21" s="133"/>
      <c r="K21" s="137" t="e">
        <f>SUM(K10:K15)</f>
        <v>#DIV/0!</v>
      </c>
      <c r="L21" s="193"/>
      <c r="M21" s="193"/>
    </row>
    <row r="22" spans="1:13" ht="20.100000000000001" customHeight="1">
      <c r="A22" s="192" t="s">
        <v>102</v>
      </c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37" t="e">
        <f>SUM(L10:L15)</f>
        <v>#VALUE!</v>
      </c>
      <c r="M22" s="127"/>
    </row>
    <row r="23" spans="1:13" ht="20.100000000000001" customHeight="1">
      <c r="A23" s="192" t="s">
        <v>103</v>
      </c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27"/>
      <c r="M23" s="137" t="e">
        <f>SUM(M10:M15)</f>
        <v>#VALUE!</v>
      </c>
    </row>
    <row r="24" spans="1:13" ht="16.5" customHeight="1">
      <c r="A24" s="89"/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</row>
    <row r="25" spans="1:13" ht="16.5" customHeight="1">
      <c r="A25" s="82"/>
      <c r="B25" s="82"/>
    </row>
    <row r="29" spans="1:13" ht="15.75" customHeight="1">
      <c r="E29" s="83"/>
      <c r="F29" s="83"/>
      <c r="G29" s="81"/>
    </row>
    <row r="30" spans="1:13" ht="15.75" customHeight="1">
      <c r="E30" s="83"/>
      <c r="F30" s="83"/>
      <c r="G30" s="81"/>
    </row>
    <row r="31" spans="1:13" ht="15.75" customHeight="1">
      <c r="E31" s="83"/>
      <c r="F31" s="83"/>
      <c r="G31" s="81"/>
    </row>
    <row r="32" spans="1:13" ht="15.75" customHeight="1">
      <c r="E32" s="83"/>
      <c r="F32" s="83"/>
      <c r="G32" s="81"/>
    </row>
    <row r="33" spans="5:7" ht="15.75" customHeight="1">
      <c r="E33" s="83"/>
      <c r="F33" s="83"/>
      <c r="G33" s="81"/>
    </row>
    <row r="34" spans="5:7" ht="15.75" customHeight="1">
      <c r="E34" s="83"/>
      <c r="F34" s="83"/>
      <c r="G34" s="81"/>
    </row>
  </sheetData>
  <sheetProtection sheet="1" objects="1" scenarios="1"/>
  <mergeCells count="28">
    <mergeCell ref="A12:B12"/>
    <mergeCell ref="A13:B13"/>
    <mergeCell ref="A10:B10"/>
    <mergeCell ref="A22:K22"/>
    <mergeCell ref="A23:K23"/>
    <mergeCell ref="A16:E16"/>
    <mergeCell ref="A17:E17"/>
    <mergeCell ref="H16:M17"/>
    <mergeCell ref="A18:G18"/>
    <mergeCell ref="A19:G19"/>
    <mergeCell ref="J18:M19"/>
    <mergeCell ref="A20:I20"/>
    <mergeCell ref="A1:M1"/>
    <mergeCell ref="A2:M2"/>
    <mergeCell ref="A3:M3"/>
    <mergeCell ref="A4:M4"/>
    <mergeCell ref="A21:I21"/>
    <mergeCell ref="L20:M21"/>
    <mergeCell ref="J6:L6"/>
    <mergeCell ref="J7:L7"/>
    <mergeCell ref="J8:L8"/>
    <mergeCell ref="A5:C5"/>
    <mergeCell ref="A6:C6"/>
    <mergeCell ref="A7:C7"/>
    <mergeCell ref="A8:C8"/>
    <mergeCell ref="A15:B15"/>
    <mergeCell ref="A14:B14"/>
    <mergeCell ref="I5:L5"/>
  </mergeCells>
  <phoneticPr fontId="2" type="noConversion"/>
  <printOptions horizontalCentered="1"/>
  <pageMargins left="0.25" right="0.25" top="0.5" bottom="0.5" header="0.25" footer="0.25"/>
  <pageSetup scale="75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pageSetUpPr fitToPage="1"/>
  </sheetPr>
  <dimension ref="A1:H24"/>
  <sheetViews>
    <sheetView topLeftCell="A13" zoomScaleNormal="100" workbookViewId="0">
      <selection activeCell="F14" sqref="F14"/>
    </sheetView>
  </sheetViews>
  <sheetFormatPr defaultRowHeight="15.75"/>
  <cols>
    <col min="1" max="1" width="54.28515625" style="2" customWidth="1"/>
    <col min="2" max="2" width="16.7109375" style="2" customWidth="1"/>
    <col min="3" max="5" width="20.7109375" style="2" customWidth="1"/>
    <col min="6" max="6" width="19.85546875" style="2" customWidth="1"/>
    <col min="7" max="7" width="18.140625" style="2" customWidth="1"/>
    <col min="8" max="9" width="20.7109375" style="2" customWidth="1"/>
    <col min="10" max="12" width="14.7109375" style="2" customWidth="1"/>
    <col min="13" max="16384" width="9.140625" style="2"/>
  </cols>
  <sheetData>
    <row r="1" spans="1:8">
      <c r="A1" s="179" t="s">
        <v>154</v>
      </c>
      <c r="B1" s="214"/>
      <c r="C1" s="214"/>
      <c r="D1" s="214"/>
      <c r="E1" s="214"/>
      <c r="F1" s="215"/>
      <c r="G1" s="68"/>
    </row>
    <row r="2" spans="1:8">
      <c r="A2" s="155">
        <f>Input!B4</f>
        <v>0</v>
      </c>
      <c r="B2" s="216"/>
      <c r="C2" s="216"/>
      <c r="D2" s="216"/>
      <c r="E2" s="216"/>
      <c r="F2" s="217"/>
      <c r="G2" s="69"/>
    </row>
    <row r="3" spans="1:8">
      <c r="A3" s="155">
        <f>Input!B5</f>
        <v>0</v>
      </c>
      <c r="B3" s="216"/>
      <c r="C3" s="216"/>
      <c r="D3" s="216"/>
      <c r="E3" s="216"/>
      <c r="F3" s="217"/>
      <c r="G3" s="69"/>
    </row>
    <row r="4" spans="1:8">
      <c r="A4" s="155">
        <f>Input!B6</f>
        <v>0</v>
      </c>
      <c r="B4" s="216"/>
      <c r="C4" s="216"/>
      <c r="D4" s="216"/>
      <c r="E4" s="216"/>
      <c r="F4" s="217"/>
      <c r="G4" s="69"/>
    </row>
    <row r="5" spans="1:8" ht="20.100000000000001" customHeight="1">
      <c r="A5" s="70" t="s">
        <v>108</v>
      </c>
      <c r="B5" s="77">
        <f>'LGU Condition'!$B$17</f>
        <v>0</v>
      </c>
      <c r="C5" s="218" t="s">
        <v>107</v>
      </c>
      <c r="D5" s="218"/>
      <c r="E5" s="218"/>
      <c r="F5" s="77">
        <f>'LGU Condition'!$C$17</f>
        <v>0</v>
      </c>
      <c r="G5" s="69"/>
    </row>
    <row r="6" spans="1:8" ht="94.5">
      <c r="A6" s="52"/>
      <c r="B6" s="78" t="s">
        <v>4</v>
      </c>
      <c r="C6" s="34" t="s">
        <v>114</v>
      </c>
      <c r="D6" s="34" t="s">
        <v>115</v>
      </c>
      <c r="E6" s="34" t="s">
        <v>116</v>
      </c>
      <c r="F6" s="34" t="s">
        <v>117</v>
      </c>
      <c r="G6" s="69"/>
    </row>
    <row r="7" spans="1:8" ht="20.100000000000001" customHeight="1">
      <c r="A7" s="52" t="s">
        <v>106</v>
      </c>
      <c r="B7" s="85" t="str">
        <f>IF('Loan Repayment Input'!$B7&lt;&gt;"", 'Loan Repayment Input'!B7, "")</f>
        <v/>
      </c>
      <c r="C7" s="77" t="e">
        <f>'User Rate Analysis'!J10</f>
        <v>#DIV/0!</v>
      </c>
      <c r="D7" s="77" t="e">
        <f>'User Rate Analysis'!K10</f>
        <v>#DIV/0!</v>
      </c>
      <c r="E7" s="77" t="e">
        <f>'User Rate Analysis'!L10</f>
        <v>#VALUE!</v>
      </c>
      <c r="F7" s="77" t="e">
        <f>'User Rate Analysis'!M10</f>
        <v>#VALUE!</v>
      </c>
      <c r="G7" s="64"/>
      <c r="H7" s="53"/>
    </row>
    <row r="8" spans="1:8" ht="20.100000000000001" customHeight="1">
      <c r="A8" s="52" t="s">
        <v>8</v>
      </c>
      <c r="B8" s="85" t="str">
        <f>IF('Loan Repayment Input'!$B8&lt;&gt;"", 'Loan Repayment Input'!B8, "")</f>
        <v/>
      </c>
      <c r="C8" s="77" t="str">
        <f>'User Rate Analysis'!J11</f>
        <v/>
      </c>
      <c r="D8" s="77" t="str">
        <f>'User Rate Analysis'!K11</f>
        <v/>
      </c>
      <c r="E8" s="77" t="str">
        <f>'User Rate Analysis'!L11</f>
        <v/>
      </c>
      <c r="F8" s="77" t="str">
        <f>'User Rate Analysis'!M11</f>
        <v/>
      </c>
    </row>
    <row r="9" spans="1:8" ht="20.100000000000001" customHeight="1">
      <c r="A9" s="52" t="s">
        <v>9</v>
      </c>
      <c r="B9" s="85" t="str">
        <f>IF('Loan Repayment Input'!$B9&lt;&gt;"", 'Loan Repayment Input'!B9, "")</f>
        <v/>
      </c>
      <c r="C9" s="77" t="str">
        <f>'User Rate Analysis'!J12</f>
        <v/>
      </c>
      <c r="D9" s="77" t="str">
        <f>'User Rate Analysis'!K12</f>
        <v/>
      </c>
      <c r="E9" s="77" t="str">
        <f>'User Rate Analysis'!L12</f>
        <v/>
      </c>
      <c r="F9" s="77" t="str">
        <f>'User Rate Analysis'!M12</f>
        <v/>
      </c>
    </row>
    <row r="10" spans="1:8" ht="20.100000000000001" customHeight="1">
      <c r="A10" s="52" t="s">
        <v>10</v>
      </c>
      <c r="B10" s="85" t="str">
        <f>IF('Loan Repayment Input'!$B10&lt;&gt;"", 'Loan Repayment Input'!B10, "")</f>
        <v/>
      </c>
      <c r="C10" s="77" t="str">
        <f>'User Rate Analysis'!J13</f>
        <v/>
      </c>
      <c r="D10" s="77" t="str">
        <f>'User Rate Analysis'!K13</f>
        <v/>
      </c>
      <c r="E10" s="77" t="str">
        <f>'User Rate Analysis'!L13</f>
        <v/>
      </c>
      <c r="F10" s="77" t="str">
        <f>'User Rate Analysis'!M13</f>
        <v/>
      </c>
    </row>
    <row r="11" spans="1:8" ht="20.100000000000001" customHeight="1">
      <c r="A11" s="52" t="s">
        <v>11</v>
      </c>
      <c r="B11" s="85" t="str">
        <f>IF('Loan Repayment Input'!$B11&lt;&gt;"", 'Loan Repayment Input'!B11, "")</f>
        <v/>
      </c>
      <c r="C11" s="77" t="str">
        <f>'User Rate Analysis'!J14</f>
        <v/>
      </c>
      <c r="D11" s="77" t="str">
        <f>'User Rate Analysis'!K14</f>
        <v/>
      </c>
      <c r="E11" s="77" t="str">
        <f>'User Rate Analysis'!L14</f>
        <v/>
      </c>
      <c r="F11" s="77" t="str">
        <f>'User Rate Analysis'!M14</f>
        <v/>
      </c>
    </row>
    <row r="12" spans="1:8" ht="20.100000000000001" customHeight="1">
      <c r="A12" s="52" t="s">
        <v>12</v>
      </c>
      <c r="B12" s="85" t="str">
        <f>IF('Loan Repayment Input'!$B12&lt;&gt;"", 'Loan Repayment Input'!B12, "")</f>
        <v/>
      </c>
      <c r="C12" s="77" t="str">
        <f>'User Rate Analysis'!J15</f>
        <v/>
      </c>
      <c r="D12" s="77" t="str">
        <f>'User Rate Analysis'!K15</f>
        <v/>
      </c>
      <c r="E12" s="77" t="str">
        <f>'User Rate Analysis'!L15</f>
        <v/>
      </c>
      <c r="F12" s="77" t="str">
        <f>'User Rate Analysis'!M15</f>
        <v/>
      </c>
    </row>
    <row r="13" spans="1:8" ht="20.100000000000001" customHeight="1">
      <c r="A13" s="52"/>
      <c r="B13" s="86" t="s">
        <v>110</v>
      </c>
      <c r="C13" s="87" t="e">
        <f>IF('User Rate Analysis'!$J$20&lt;0, 0, ($C7+(IF($B8="CWSRF", C$8, (IF($B8="SRL", C$8, (IF($B8="SEL", C$8, 0))))))+(IF($B9="CWSRF", C$9, (IF($B9="SRL", C$9, (IF($B9="SEL", C$9, 0))))))+(IF($B10="CWSRF", C$10, (IF($B10="SRL", C$10, (IF($B10="SEL", C$10, 0))))))+(IF($B11="CWSRF", C$11, (IF($B11="SRL", C$11, (IF($B11="SEL", C$11, ))))))+(IF($B12="CWSRF", C$12, (IF($B12="SRL", C$12, (IF($B12="SEL", C$12, 0))))))))</f>
        <v>#DIV/0!</v>
      </c>
      <c r="D13" s="87" t="e">
        <f>IF('User Rate Analysis'!$J$20&lt;0, 0, ($D7+(IF($B8="CWSRF", D$8, (IF($B8="SRL", D$8, (IF($B8="SEL", D$8, 0))))))+(IF($B9="CWSRF", D$9, (IF($B9="SRL", D$9, (IF($B9="SEL", D$9, 0))))))+(IF($B10="CWSRF", D$10, (IF($B10="SRL", D$10, (IF($B10="SEL", D$10, 0))))))+(IF($B11="CWSRF", D$11, (IF($B11="SRL", D$11, (IF($B11="SEL", D$11, ))))))+(IF($B12="CWSRF", D$12, (IF($B12="SRL", D$12, (IF($B12="SEL", D$12, 0))))))))</f>
        <v>#DIV/0!</v>
      </c>
      <c r="E13" s="87" t="e">
        <f>IF('User Rate Analysis'!$J$20&lt;0, 0, ($E7+(IF($B8="CWSRF", E$8, (IF($B8="SRL", E$8, (IF($B8="SEL", E$8, 0))))))+(IF($B9="CWSRF", E$9, (IF($B9="SRL", E$9, (IF($B9="SEL", E$9, 0))))))+(IF($B10="CWSRF", E$10, (IF($B10="SRL", E$10, (IF($B10="SEL", E$10, 0))))))+(IF($B11="CWSRF", E$11, (IF($B11="SRL", E$11, (IF($B11="SEL", E$11, ))))))+(IF($B12="CWSRF", E$12, (IF($B12="SRL", E$12, (IF($B12="SEL", E$12, 0))))))))</f>
        <v>#DIV/0!</v>
      </c>
      <c r="F13" s="87" t="e">
        <f>IF('User Rate Analysis'!$J$20&lt;0, 0, ($F7+(IF($B8="CWSRF", F$8, (IF($B8="SRL", F$8, (IF($B8="SEL", F$8, 0))))))+(IF($B9="CWSRF", F$9, (IF($B9="SRL", F$9, (IF($B9="SEL", F$9, 0))))))+(IF($B10="CWSRF", F$10, (IF($B10="SRL", F$10, (IF($B10="SEL", F$10, 0))))))+(IF($B11="CWSRF", F$11, (IF($B11="SRL", F$11, (IF($B11="SEL", F$11, ))))))+(IF($B12="CWSRF", F$12, (IF($B12="SRL", F$12, (IF($B12="SEL", F$12, 0))))))))</f>
        <v>#DIV/0!</v>
      </c>
    </row>
    <row r="14" spans="1:8" ht="20.100000000000001" customHeight="1">
      <c r="A14" s="52"/>
      <c r="B14" s="86" t="s">
        <v>109</v>
      </c>
      <c r="C14" s="87" t="e">
        <f>IF('User Rate Analysis'!$J$20&lt;0, 0, (((IF($C7&lt;&gt;"", C$7, 0))+ (IF($C8&lt;&gt;"", C$8, 0))+(IF($C9&lt;&gt;"", C$9, 0))+(IF($C10&lt;&gt;"", C$10, 0))+(IF($C11&lt;&gt;"", C$11, 0))+(IF($C12&lt;&gt;"", C$12, )))))</f>
        <v>#DIV/0!</v>
      </c>
      <c r="D14" s="87" t="e">
        <f>IF('User Rate Analysis'!$J$20&lt;0, 0, (((IF($C7&lt;&gt;"", D$7, 0))+ (IF($C8&lt;&gt;"", D$8, 0))+(IF($C9&lt;&gt;"", D$9, 0))+(IF($C10&lt;&gt;"", D$10, 0))+(IF($C11&lt;&gt;"", D$11, 0))+(IF($C12&lt;&gt;"", D$12, )))))</f>
        <v>#DIV/0!</v>
      </c>
      <c r="E14" s="87" t="e">
        <f>IF('User Rate Analysis'!$J$20&lt;0, 0, (((IF($C7&lt;&gt;"", E$7, 0))+ (IF($C8&lt;&gt;"", E$8, 0))+(IF($C9&lt;&gt;"", E$9, 0))+(IF($C10&lt;&gt;"", E$10, 0))+(IF($C11&lt;&gt;"", E$11, 0))+(IF($C12&lt;&gt;"", E$12, )))))</f>
        <v>#DIV/0!</v>
      </c>
      <c r="F14" s="87" t="e">
        <f>IF('User Rate Analysis'!$J$20&lt;0, 0, (((IF($C7&lt;&gt;"", F$7, 0))+ (IF($C8&lt;&gt;"", F$8, 0))+(IF($C9&lt;&gt;"", F$9, 0))+(IF($C10&lt;&gt;"", F$10, 0))+(IF($C11&lt;&gt;"", F$11, 0))+(IF($C12&lt;&gt;"", F$12, )))))</f>
        <v>#DIV/0!</v>
      </c>
    </row>
    <row r="15" spans="1:8" ht="20.100000000000001" customHeight="1">
      <c r="A15" s="85"/>
      <c r="B15" s="86" t="s">
        <v>111</v>
      </c>
      <c r="C15" s="87" t="e">
        <f>$B$5+C$13</f>
        <v>#DIV/0!</v>
      </c>
      <c r="D15" s="87" t="e">
        <f>$B$5+D$13</f>
        <v>#DIV/0!</v>
      </c>
      <c r="E15" s="87" t="e">
        <f>$B$5+E$13</f>
        <v>#DIV/0!</v>
      </c>
      <c r="F15" s="87" t="e">
        <f>$B$5+F$13</f>
        <v>#DIV/0!</v>
      </c>
    </row>
    <row r="16" spans="1:8" ht="20.100000000000001" customHeight="1">
      <c r="A16" s="212" t="s">
        <v>129</v>
      </c>
      <c r="B16" s="213"/>
      <c r="C16" s="87" t="e">
        <f>$B$5+C$14</f>
        <v>#DIV/0!</v>
      </c>
      <c r="D16" s="87" t="e">
        <f t="shared" ref="D16:F16" si="0">$B$5+D$14</f>
        <v>#DIV/0!</v>
      </c>
      <c r="E16" s="87" t="e">
        <f t="shared" si="0"/>
        <v>#DIV/0!</v>
      </c>
      <c r="F16" s="87" t="e">
        <f t="shared" si="0"/>
        <v>#DIV/0!</v>
      </c>
    </row>
    <row r="17" spans="1:6" ht="20.100000000000001" customHeight="1">
      <c r="A17" s="85"/>
      <c r="B17" s="86" t="s">
        <v>113</v>
      </c>
      <c r="C17" s="88" t="e">
        <f>(C$15-$B$5)/$B$5</f>
        <v>#DIV/0!</v>
      </c>
      <c r="D17" s="88" t="e">
        <f>(D$15-$B$5)/$B$5</f>
        <v>#DIV/0!</v>
      </c>
      <c r="E17" s="88" t="e">
        <f>(E$15-$B$5)/$B$5</f>
        <v>#DIV/0!</v>
      </c>
      <c r="F17" s="88" t="e">
        <f>(F$15-$B$5)/$B$5</f>
        <v>#DIV/0!</v>
      </c>
    </row>
    <row r="18" spans="1:6" ht="20.100000000000001" customHeight="1">
      <c r="A18" s="212" t="s">
        <v>130</v>
      </c>
      <c r="B18" s="213"/>
      <c r="C18" s="88" t="e">
        <f>(C$16-$B$5)/($B$5)</f>
        <v>#DIV/0!</v>
      </c>
      <c r="D18" s="88" t="e">
        <f t="shared" ref="D18:F18" si="1">(D$16-$B$5)/($B$5)</f>
        <v>#DIV/0!</v>
      </c>
      <c r="E18" s="88" t="e">
        <f t="shared" si="1"/>
        <v>#DIV/0!</v>
      </c>
      <c r="F18" s="88" t="e">
        <f t="shared" si="1"/>
        <v>#DIV/0!</v>
      </c>
    </row>
    <row r="19" spans="1:6" ht="20.100000000000001" customHeight="1">
      <c r="A19" s="85"/>
      <c r="B19" s="86" t="s">
        <v>112</v>
      </c>
      <c r="C19" s="87" t="e">
        <f>$B$5+$F$5+C$13</f>
        <v>#DIV/0!</v>
      </c>
      <c r="D19" s="87" t="e">
        <f>$B$5+$F$5+D$13</f>
        <v>#DIV/0!</v>
      </c>
      <c r="E19" s="87" t="e">
        <f>$B$5+$F$5+E$13</f>
        <v>#DIV/0!</v>
      </c>
      <c r="F19" s="87" t="e">
        <f>$B$5+$F$5+F$13</f>
        <v>#DIV/0!</v>
      </c>
    </row>
    <row r="20" spans="1:6" ht="20.100000000000001" customHeight="1">
      <c r="A20" s="85"/>
      <c r="B20" s="86" t="s">
        <v>131</v>
      </c>
      <c r="C20" s="87" t="e">
        <f>C$14+$B$5+$F$5</f>
        <v>#DIV/0!</v>
      </c>
      <c r="D20" s="87" t="e">
        <f t="shared" ref="D20:F20" si="2">D$14+$B$5+$F$5</f>
        <v>#DIV/0!</v>
      </c>
      <c r="E20" s="87" t="e">
        <f t="shared" si="2"/>
        <v>#DIV/0!</v>
      </c>
      <c r="F20" s="87" t="e">
        <f t="shared" si="2"/>
        <v>#DIV/0!</v>
      </c>
    </row>
    <row r="21" spans="1:6" ht="20.100000000000001" customHeight="1">
      <c r="A21" s="85"/>
      <c r="B21" s="86" t="s">
        <v>133</v>
      </c>
      <c r="C21" s="88" t="e">
        <f>($C19-($B$5+$F$5))/($B$5+$F$5)</f>
        <v>#DIV/0!</v>
      </c>
      <c r="D21" s="88" t="e">
        <f>($C19-($B$5+$F$5))/($B$5+$F$5)</f>
        <v>#DIV/0!</v>
      </c>
      <c r="E21" s="88" t="e">
        <f>($C19-($B$5+$F$5))/($B$5+$F$5)</f>
        <v>#DIV/0!</v>
      </c>
      <c r="F21" s="88" t="e">
        <f>($C19-($B$5+$F$5))/($B$5+$F$5)</f>
        <v>#DIV/0!</v>
      </c>
    </row>
    <row r="22" spans="1:6" ht="20.100000000000001" customHeight="1">
      <c r="A22" s="85"/>
      <c r="B22" s="86" t="s">
        <v>132</v>
      </c>
      <c r="C22" s="88" t="e">
        <f>(C$20-($B$5+$F$5))/($B$5+$F$5)</f>
        <v>#DIV/0!</v>
      </c>
      <c r="D22" s="88" t="e">
        <f t="shared" ref="D22:F22" si="3">(D$20-($B$5+$F$5))/($B$5+$F$5)</f>
        <v>#DIV/0!</v>
      </c>
      <c r="E22" s="88" t="e">
        <f t="shared" si="3"/>
        <v>#DIV/0!</v>
      </c>
      <c r="F22" s="88" t="e">
        <f t="shared" si="3"/>
        <v>#DIV/0!</v>
      </c>
    </row>
    <row r="23" spans="1:6" ht="17.25" customHeight="1">
      <c r="A23" s="65" t="s">
        <v>147</v>
      </c>
      <c r="B23" s="79"/>
      <c r="C23" s="79"/>
      <c r="D23" s="79"/>
      <c r="E23" s="79"/>
      <c r="F23" s="79"/>
    </row>
    <row r="24" spans="1:6" ht="16.5">
      <c r="A24" s="20" t="s">
        <v>84</v>
      </c>
    </row>
  </sheetData>
  <sheetProtection sheet="1" objects="1" scenarios="1"/>
  <mergeCells count="7">
    <mergeCell ref="A16:B16"/>
    <mergeCell ref="A18:B18"/>
    <mergeCell ref="A1:F1"/>
    <mergeCell ref="A2:F2"/>
    <mergeCell ref="A3:F3"/>
    <mergeCell ref="A4:F4"/>
    <mergeCell ref="C5:E5"/>
  </mergeCells>
  <printOptions horizontalCentered="1"/>
  <pageMargins left="0.7" right="0.7" top="0.75" bottom="0.75" header="0.3" footer="0.3"/>
  <pageSetup scale="7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6"/>
  <sheetViews>
    <sheetView tabSelected="1" workbookViewId="0">
      <selection activeCell="C6" sqref="C6"/>
    </sheetView>
  </sheetViews>
  <sheetFormatPr defaultRowHeight="15.75"/>
  <cols>
    <col min="1" max="1" width="18.42578125" style="2" customWidth="1"/>
    <col min="2" max="2" width="33.42578125" style="2" customWidth="1"/>
    <col min="3" max="9" width="20.7109375" style="2" customWidth="1"/>
    <col min="10" max="14" width="16.7109375" style="2" customWidth="1"/>
    <col min="15" max="16384" width="9.140625" style="2"/>
  </cols>
  <sheetData>
    <row r="1" spans="1:14">
      <c r="A1" s="179" t="s">
        <v>155</v>
      </c>
      <c r="B1" s="180"/>
      <c r="C1" s="180"/>
      <c r="D1" s="180"/>
      <c r="E1" s="180"/>
      <c r="F1" s="181"/>
    </row>
    <row r="2" spans="1:14">
      <c r="A2" s="155">
        <f>Input!B4</f>
        <v>0</v>
      </c>
      <c r="B2" s="156"/>
      <c r="C2" s="156"/>
      <c r="D2" s="156"/>
      <c r="E2" s="156"/>
      <c r="F2" s="157"/>
    </row>
    <row r="3" spans="1:14">
      <c r="A3" s="155">
        <f>Input!B5</f>
        <v>0</v>
      </c>
      <c r="B3" s="156"/>
      <c r="C3" s="156"/>
      <c r="D3" s="156"/>
      <c r="E3" s="156"/>
      <c r="F3" s="157"/>
    </row>
    <row r="4" spans="1:14">
      <c r="A4" s="155">
        <f>Input!B6</f>
        <v>0</v>
      </c>
      <c r="B4" s="156"/>
      <c r="C4" s="156"/>
      <c r="D4" s="156"/>
      <c r="E4" s="156"/>
      <c r="F4" s="157"/>
    </row>
    <row r="5" spans="1:14">
      <c r="A5" s="103"/>
      <c r="B5" s="84" t="s">
        <v>123</v>
      </c>
      <c r="C5" s="110" t="e">
        <f>'LGU Condition'!$B$21</f>
        <v>#DIV/0!</v>
      </c>
      <c r="D5" s="103"/>
      <c r="E5" s="76" t="s">
        <v>122</v>
      </c>
      <c r="F5" s="111" t="e">
        <f>'LGU Condition'!$C$21</f>
        <v>#DIV/0!</v>
      </c>
    </row>
    <row r="6" spans="1:14">
      <c r="A6" s="103"/>
      <c r="B6" s="84" t="s">
        <v>126</v>
      </c>
      <c r="C6" s="109">
        <f>'LGU Condition'!B17</f>
        <v>0</v>
      </c>
      <c r="D6" s="103"/>
      <c r="E6" s="76" t="s">
        <v>127</v>
      </c>
      <c r="F6" s="112">
        <f>'LGU Condition'!C17</f>
        <v>0</v>
      </c>
    </row>
    <row r="7" spans="1:14">
      <c r="A7" s="103"/>
      <c r="B7" s="84" t="s">
        <v>128</v>
      </c>
      <c r="C7" s="109">
        <f>'LGU Condition'!B18</f>
        <v>0</v>
      </c>
      <c r="D7" s="99"/>
      <c r="E7" s="102" t="s">
        <v>124</v>
      </c>
      <c r="F7" s="113" t="e">
        <f>'LGU Condition'!$B$22</f>
        <v>#DIV/0!</v>
      </c>
      <c r="H7" s="92"/>
      <c r="I7" s="91"/>
    </row>
    <row r="8" spans="1:14">
      <c r="A8" s="75"/>
      <c r="B8" s="84" t="s">
        <v>134</v>
      </c>
      <c r="C8" s="108">
        <f>'LGU Condition'!B20</f>
        <v>0</v>
      </c>
      <c r="D8" s="100"/>
      <c r="E8" s="101"/>
      <c r="F8" s="101"/>
      <c r="G8" s="91"/>
      <c r="H8" s="91"/>
      <c r="I8" s="91"/>
      <c r="J8" s="91"/>
      <c r="L8" s="92"/>
      <c r="M8" s="91"/>
    </row>
    <row r="9" spans="1:14" ht="47.25">
      <c r="A9" s="98"/>
      <c r="B9" s="97"/>
      <c r="C9" s="104" t="s">
        <v>121</v>
      </c>
      <c r="D9" s="104" t="s">
        <v>125</v>
      </c>
      <c r="E9" s="104" t="s">
        <v>141</v>
      </c>
      <c r="F9" s="104" t="s">
        <v>142</v>
      </c>
      <c r="G9" s="96"/>
      <c r="H9" s="91"/>
      <c r="I9" s="91"/>
      <c r="J9" s="91"/>
      <c r="L9" s="92"/>
      <c r="M9" s="91"/>
    </row>
    <row r="10" spans="1:14" ht="30" customHeight="1">
      <c r="A10" s="223" t="s">
        <v>137</v>
      </c>
      <c r="B10" s="107" t="s">
        <v>120</v>
      </c>
      <c r="C10" s="105" t="e">
        <f>'User Rate Change Summary'!C15</f>
        <v>#DIV/0!</v>
      </c>
      <c r="D10" s="105" t="e">
        <f>'User Rate Change Summary'!C16</f>
        <v>#DIV/0!</v>
      </c>
      <c r="E10" s="105" t="e">
        <f>'User Rate Change Summary'!C19</f>
        <v>#DIV/0!</v>
      </c>
      <c r="F10" s="105" t="e">
        <f>'User Rate Change Summary'!C20</f>
        <v>#DIV/0!</v>
      </c>
      <c r="G10" s="91"/>
      <c r="H10" s="91"/>
      <c r="I10" s="91"/>
      <c r="J10" s="91"/>
      <c r="K10" s="91"/>
      <c r="M10" s="92"/>
      <c r="N10" s="91"/>
    </row>
    <row r="11" spans="1:14" ht="30" customHeight="1">
      <c r="A11" s="224"/>
      <c r="B11" s="107" t="s">
        <v>135</v>
      </c>
      <c r="C11" s="106" t="e">
        <f>C$10/$C$8</f>
        <v>#DIV/0!</v>
      </c>
      <c r="D11" s="106" t="e">
        <f t="shared" ref="D11:F11" si="0">D$10/$C$8</f>
        <v>#DIV/0!</v>
      </c>
      <c r="E11" s="106" t="e">
        <f t="shared" si="0"/>
        <v>#DIV/0!</v>
      </c>
      <c r="F11" s="106" t="e">
        <f t="shared" si="0"/>
        <v>#DIV/0!</v>
      </c>
      <c r="G11" s="91"/>
      <c r="H11" s="91"/>
      <c r="I11" s="91"/>
      <c r="J11" s="91"/>
      <c r="K11" s="91"/>
      <c r="M11" s="92"/>
      <c r="N11" s="91"/>
    </row>
    <row r="12" spans="1:14" ht="30" customHeight="1">
      <c r="A12" s="224"/>
      <c r="B12" s="107" t="s">
        <v>136</v>
      </c>
      <c r="C12" s="106" t="e">
        <f>IF(C$11&gt;=0.02, "Yes", "No")</f>
        <v>#DIV/0!</v>
      </c>
      <c r="D12" s="106" t="e">
        <f>IF(D$11&gt;=0.02, "Yes", "No")</f>
        <v>#DIV/0!</v>
      </c>
      <c r="E12" s="106" t="e">
        <f>IF(E$11&gt;=0.04, "Yes", "No")</f>
        <v>#DIV/0!</v>
      </c>
      <c r="F12" s="106" t="e">
        <f>IF(F$11&gt;=0.04, "Yes", "No")</f>
        <v>#DIV/0!</v>
      </c>
      <c r="G12" s="91"/>
      <c r="H12" s="91"/>
      <c r="I12" s="91"/>
      <c r="J12" s="91"/>
      <c r="K12" s="91"/>
      <c r="M12" s="92"/>
      <c r="N12" s="91"/>
    </row>
    <row r="13" spans="1:14" ht="30" customHeight="1">
      <c r="A13" s="223" t="s">
        <v>138</v>
      </c>
      <c r="B13" s="107" t="s">
        <v>120</v>
      </c>
      <c r="C13" s="105" t="e">
        <f>'User Rate Change Summary'!D15</f>
        <v>#DIV/0!</v>
      </c>
      <c r="D13" s="105" t="e">
        <f>'User Rate Change Summary'!D16</f>
        <v>#DIV/0!</v>
      </c>
      <c r="E13" s="105" t="e">
        <f>'User Rate Change Summary'!D19</f>
        <v>#DIV/0!</v>
      </c>
      <c r="F13" s="105" t="e">
        <f>'User Rate Change Summary'!D20</f>
        <v>#DIV/0!</v>
      </c>
      <c r="G13" s="91"/>
      <c r="H13" s="91"/>
      <c r="I13" s="91"/>
      <c r="J13" s="91"/>
      <c r="K13" s="91"/>
      <c r="M13" s="92"/>
      <c r="N13" s="91"/>
    </row>
    <row r="14" spans="1:14" ht="30" customHeight="1">
      <c r="A14" s="224"/>
      <c r="B14" s="107" t="s">
        <v>135</v>
      </c>
      <c r="C14" s="106" t="e">
        <f>C$13/$C$8</f>
        <v>#DIV/0!</v>
      </c>
      <c r="D14" s="106" t="e">
        <f t="shared" ref="D14:F14" si="1">D$13/$C$8</f>
        <v>#DIV/0!</v>
      </c>
      <c r="E14" s="106" t="e">
        <f t="shared" si="1"/>
        <v>#DIV/0!</v>
      </c>
      <c r="F14" s="106" t="e">
        <f t="shared" si="1"/>
        <v>#DIV/0!</v>
      </c>
      <c r="G14" s="91"/>
      <c r="H14" s="91"/>
      <c r="I14" s="91"/>
      <c r="J14" s="91"/>
      <c r="K14" s="91"/>
      <c r="M14" s="92"/>
      <c r="N14" s="91"/>
    </row>
    <row r="15" spans="1:14" ht="30" customHeight="1">
      <c r="A15" s="224"/>
      <c r="B15" s="107" t="s">
        <v>136</v>
      </c>
      <c r="C15" s="106" t="e">
        <f>IF(C$14&gt;=0.02, "Yes", "No")</f>
        <v>#DIV/0!</v>
      </c>
      <c r="D15" s="106" t="e">
        <f t="shared" ref="D15" si="2">IF(D$14&gt;=0.02, "Yes", "No")</f>
        <v>#DIV/0!</v>
      </c>
      <c r="E15" s="106" t="e">
        <f>IF(E$14&gt;=0.04, "Yes", "No")</f>
        <v>#DIV/0!</v>
      </c>
      <c r="F15" s="106" t="e">
        <f>IF(F$14&gt;=0.04, "Yes", "No")</f>
        <v>#DIV/0!</v>
      </c>
      <c r="G15" s="91"/>
      <c r="H15" s="91"/>
      <c r="I15" s="91"/>
      <c r="J15" s="91"/>
      <c r="K15" s="91"/>
      <c r="M15" s="92"/>
      <c r="N15" s="91"/>
    </row>
    <row r="16" spans="1:14" ht="30" customHeight="1">
      <c r="A16" s="223" t="s">
        <v>139</v>
      </c>
      <c r="B16" s="107" t="s">
        <v>120</v>
      </c>
      <c r="C16" s="105" t="e">
        <f>'User Rate Change Summary'!E15</f>
        <v>#DIV/0!</v>
      </c>
      <c r="D16" s="105" t="e">
        <f>'User Rate Change Summary'!E16</f>
        <v>#DIV/0!</v>
      </c>
      <c r="E16" s="105" t="e">
        <f>'User Rate Change Summary'!E19</f>
        <v>#DIV/0!</v>
      </c>
      <c r="F16" s="105" t="e">
        <f>'User Rate Change Summary'!E20</f>
        <v>#DIV/0!</v>
      </c>
      <c r="G16" s="91"/>
      <c r="H16" s="91"/>
      <c r="I16" s="91"/>
      <c r="J16" s="91"/>
      <c r="K16" s="91"/>
      <c r="M16" s="92"/>
      <c r="N16" s="91"/>
    </row>
    <row r="17" spans="1:14" ht="30" customHeight="1">
      <c r="A17" s="224"/>
      <c r="B17" s="107" t="s">
        <v>135</v>
      </c>
      <c r="C17" s="106" t="e">
        <f>C$16/$C$8</f>
        <v>#DIV/0!</v>
      </c>
      <c r="D17" s="106" t="e">
        <f t="shared" ref="D17:F17" si="3">D$16/$C$8</f>
        <v>#DIV/0!</v>
      </c>
      <c r="E17" s="106" t="e">
        <f t="shared" si="3"/>
        <v>#DIV/0!</v>
      </c>
      <c r="F17" s="106" t="e">
        <f t="shared" si="3"/>
        <v>#DIV/0!</v>
      </c>
      <c r="G17" s="91"/>
      <c r="H17" s="91"/>
      <c r="I17" s="91"/>
      <c r="J17" s="91"/>
      <c r="K17" s="91"/>
      <c r="M17" s="92"/>
      <c r="N17" s="91"/>
    </row>
    <row r="18" spans="1:14" ht="30" customHeight="1">
      <c r="A18" s="224"/>
      <c r="B18" s="107" t="s">
        <v>136</v>
      </c>
      <c r="C18" s="106" t="e">
        <f>IF(C$17&gt;=0.02, "Yes", "No")</f>
        <v>#DIV/0!</v>
      </c>
      <c r="D18" s="106" t="e">
        <f t="shared" ref="D18" si="4">IF(D$17&gt;=0.02, "Yes", "No")</f>
        <v>#DIV/0!</v>
      </c>
      <c r="E18" s="106" t="e">
        <f>IF(E$17&gt;=0.04, "Yes", "No")</f>
        <v>#DIV/0!</v>
      </c>
      <c r="F18" s="106" t="e">
        <f>IF(F$17&gt;=0.04, "Yes", "No")</f>
        <v>#DIV/0!</v>
      </c>
      <c r="G18" s="91"/>
      <c r="H18" s="91"/>
      <c r="I18" s="91"/>
      <c r="J18" s="91"/>
      <c r="K18" s="91"/>
      <c r="M18" s="92"/>
      <c r="N18" s="91"/>
    </row>
    <row r="19" spans="1:14" ht="30" customHeight="1">
      <c r="A19" s="225" t="s">
        <v>140</v>
      </c>
      <c r="B19" s="107" t="s">
        <v>120</v>
      </c>
      <c r="C19" s="105" t="e">
        <f>'User Rate Change Summary'!F15</f>
        <v>#DIV/0!</v>
      </c>
      <c r="D19" s="105" t="e">
        <f>'User Rate Change Summary'!F16</f>
        <v>#DIV/0!</v>
      </c>
      <c r="E19" s="105" t="e">
        <f>'User Rate Change Summary'!F19</f>
        <v>#DIV/0!</v>
      </c>
      <c r="F19" s="105" t="e">
        <f>'User Rate Change Summary'!F20</f>
        <v>#DIV/0!</v>
      </c>
      <c r="G19" s="91"/>
      <c r="H19" s="91"/>
      <c r="I19" s="91"/>
      <c r="J19" s="91"/>
      <c r="K19" s="91"/>
      <c r="M19" s="92"/>
      <c r="N19" s="91"/>
    </row>
    <row r="20" spans="1:14" ht="30" customHeight="1">
      <c r="A20" s="226"/>
      <c r="B20" s="107" t="s">
        <v>135</v>
      </c>
      <c r="C20" s="106" t="e">
        <f>C$19/$C$8</f>
        <v>#DIV/0!</v>
      </c>
      <c r="D20" s="106" t="e">
        <f t="shared" ref="D20:F20" si="5">D$19/$C$8</f>
        <v>#DIV/0!</v>
      </c>
      <c r="E20" s="106" t="e">
        <f t="shared" si="5"/>
        <v>#DIV/0!</v>
      </c>
      <c r="F20" s="106" t="e">
        <f t="shared" si="5"/>
        <v>#DIV/0!</v>
      </c>
      <c r="G20" s="91"/>
      <c r="H20" s="91"/>
      <c r="I20" s="91"/>
      <c r="J20" s="91"/>
      <c r="K20" s="91"/>
      <c r="M20" s="92"/>
      <c r="N20" s="91"/>
    </row>
    <row r="21" spans="1:14" ht="30" customHeight="1">
      <c r="A21" s="227"/>
      <c r="B21" s="107" t="s">
        <v>136</v>
      </c>
      <c r="C21" s="106" t="e">
        <f>IF(C$20&gt;=0.02, "Yes", "No")</f>
        <v>#DIV/0!</v>
      </c>
      <c r="D21" s="106" t="e">
        <f t="shared" ref="D21" si="6">IF(D$20&gt;=0.02, "Yes", "No")</f>
        <v>#DIV/0!</v>
      </c>
      <c r="E21" s="106" t="e">
        <f>IF(E$20&gt;=0.04, "Yes", "No")</f>
        <v>#DIV/0!</v>
      </c>
      <c r="F21" s="106" t="e">
        <f>IF(F$20&gt;=0.04, "Yes", "No")</f>
        <v>#DIV/0!</v>
      </c>
      <c r="G21" s="91"/>
      <c r="H21" s="91"/>
      <c r="I21" s="91"/>
      <c r="J21" s="91"/>
      <c r="K21" s="91"/>
      <c r="M21" s="92"/>
      <c r="N21" s="91"/>
    </row>
    <row r="22" spans="1:14">
      <c r="A22" s="219" t="s">
        <v>148</v>
      </c>
      <c r="B22" s="219"/>
      <c r="C22" s="219"/>
      <c r="D22" s="219"/>
      <c r="E22" s="219"/>
      <c r="F22" s="219"/>
      <c r="G22" s="95"/>
      <c r="H22" s="95"/>
      <c r="I22" s="94"/>
      <c r="J22" s="95"/>
      <c r="K22" s="95"/>
      <c r="L22" s="94"/>
      <c r="M22" s="95"/>
      <c r="N22" s="95"/>
    </row>
    <row r="23" spans="1:14" ht="109.5" customHeight="1">
      <c r="A23" s="220"/>
      <c r="B23" s="221"/>
      <c r="C23" s="221"/>
      <c r="D23" s="221"/>
      <c r="E23" s="221"/>
      <c r="F23" s="222"/>
    </row>
    <row r="24" spans="1:14">
      <c r="B24" s="92"/>
      <c r="C24" s="93"/>
    </row>
    <row r="25" spans="1:14">
      <c r="B25" s="92"/>
      <c r="C25" s="93"/>
    </row>
    <row r="26" spans="1:14">
      <c r="B26" s="92"/>
      <c r="C26" s="93"/>
    </row>
  </sheetData>
  <sheetProtection sheet="1" objects="1" scenarios="1"/>
  <mergeCells count="10">
    <mergeCell ref="A1:F1"/>
    <mergeCell ref="A22:F22"/>
    <mergeCell ref="A23:F23"/>
    <mergeCell ref="A10:A12"/>
    <mergeCell ref="A13:A15"/>
    <mergeCell ref="A16:A18"/>
    <mergeCell ref="A19:A21"/>
    <mergeCell ref="A2:F2"/>
    <mergeCell ref="A3:F3"/>
    <mergeCell ref="A4:F4"/>
  </mergeCells>
  <pageMargins left="0.7" right="0.7" top="0.75" bottom="0.75" header="0.3" footer="0.3"/>
  <pageSetup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Structure</vt:lpstr>
      <vt:lpstr>Main</vt:lpstr>
      <vt:lpstr>Type</vt:lpstr>
      <vt:lpstr>Funding</vt:lpstr>
      <vt:lpstr>Input</vt:lpstr>
      <vt:lpstr>LGU Condition</vt:lpstr>
      <vt:lpstr>Loan Repayment Input</vt:lpstr>
      <vt:lpstr>Loan Repayment Output</vt:lpstr>
      <vt:lpstr>User Rate Analysis</vt:lpstr>
      <vt:lpstr>User Rate Change Summary</vt:lpstr>
      <vt:lpstr>Impact to Bills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Jennifer</cp:lastModifiedBy>
  <cp:lastPrinted>2012-08-03T20:25:41Z</cp:lastPrinted>
  <dcterms:created xsi:type="dcterms:W3CDTF">2010-02-26T16:34:50Z</dcterms:created>
  <dcterms:modified xsi:type="dcterms:W3CDTF">2012-11-02T14:45:22Z</dcterms:modified>
</cp:coreProperties>
</file>