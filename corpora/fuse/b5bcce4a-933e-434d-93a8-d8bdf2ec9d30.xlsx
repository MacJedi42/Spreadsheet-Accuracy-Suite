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<sst xmlns="http://schemas.openxmlformats.org/spreadsheetml/2006/main" count="27" uniqueCount="27">
  <si>
    <t>DL580 G4 spec</t>
  </si>
  <si>
    <t>DL580 G4 cost</t>
  </si>
  <si>
    <t>DL585 G2 spec</t>
  </si>
  <si>
    <t>DL585 G2 cost</t>
  </si>
  <si>
    <t>DL360 G5 spec</t>
  </si>
  <si>
    <t>DL360 G5 cost</t>
  </si>
  <si>
    <t>Purchase price of hardware -1</t>
  </si>
  <si>
    <t>27443/36200</t>
  </si>
  <si>
    <t>Support contract -2</t>
  </si>
  <si>
    <t>OS license cost -3</t>
  </si>
  <si>
    <t>VMWare license</t>
  </si>
  <si>
    <t>UPS fraction -4</t>
  </si>
  <si>
    <t>Generator fraction -5</t>
  </si>
  <si>
    <t>AC fraction -6</t>
  </si>
  <si>
    <t>3 year power including AC -7</t>
  </si>
  <si>
    <t>manpower for OS rebuild upon server replacement -8</t>
  </si>
  <si>
    <t>Toal per machine</t>
  </si>
  <si>
    <t>Systems required for solution and total cost</t>
  </si>
  <si>
    <t>Notes</t>
  </si>
  <si>
    <t>1)Price for hardware only</t>
  </si>
  <si>
    <t>2)No support beyond basic support needed beyond basic hardware contract for VMWare because systems can be dynamically moved and restarted on good hardware</t>
  </si>
  <si>
    <t>3)One 2003 Enterprise license needed per 4 virtual machines of one 2003 Standard per 360 G5</t>
  </si>
  <si>
    <t>4)UPS purchase price of $50K for 50kvA averaged over system kvA used, power figures are in kvA and are based on HP numbers for systems at 70% utilization</t>
  </si>
  <si>
    <t>5)Generator price of $30K for 100kvA averaged over system kvA used</t>
  </si>
  <si>
    <t>6)</t>
  </si>
  <si>
    <t>7)3 year killowatt hour total at 70% utilization price factors average price per killowatt hour of $0.10</t>
  </si>
  <si>
    <t>8)4 hours to build a system mutliplied by a conservative cost of $60/hour for systems administrator time including overhead costs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</si>
</sst>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"/>
    <numFmt numFmtId="166" formatCode="&quot;$&quot;#,##0"/>
    <numFmt numFmtId="167" formatCode="&quot;$&quot;#,##0"/>
  </numFmts>
  <fonts count="15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fillId="0" numFmtId="0" borderId="0" fontId="0"/>
  </cellStyleXfs>
  <cellXfs count="17">
    <xf applyAlignment="1" fillId="0" xfId="0" numFmtId="0" borderId="0" fontId="0">
      <alignment vertical="bottom" horizontal="general" wrapText="1"/>
    </xf>
    <xf applyBorder="1" applyAlignment="1" fillId="0" xfId="0" numFmtId="0" borderId="1" fontId="0">
      <alignment vertical="bottom" horizontal="general" wrapText="1"/>
    </xf>
    <xf fillId="0" xfId="0" numFmtId="1" borderId="0" applyFont="1" fontId="1" applyNumberFormat="1"/>
    <xf applyAlignment="1" fillId="0" xfId="0" numFmtId="0" borderId="0" applyFont="1" fontId="2">
      <alignment vertical="bottom" horizontal="right"/>
    </xf>
    <xf applyBorder="1" fillId="0" xfId="0" numFmtId="0" borderId="2" applyFont="1" fontId="3"/>
    <xf applyBorder="1" fillId="0" xfId="0" numFmtId="3" borderId="3" applyFont="1" fontId="4" applyNumberFormat="1"/>
    <xf applyBorder="1" applyAlignment="1" fillId="0" xfId="0" numFmtId="0" borderId="4" applyFont="1" fontId="5">
      <alignment vertical="bottom" horizontal="right"/>
    </xf>
    <xf applyBorder="1" fillId="0" xfId="0" numFmtId="0" borderId="5" applyFont="1" fontId="6"/>
    <xf applyAlignment="1" fillId="0" xfId="0" numFmtId="1" borderId="0" applyFont="1" fontId="7" applyNumberFormat="1">
      <alignment vertical="bottom" horizontal="right"/>
    </xf>
    <xf applyBorder="1" applyAlignment="1" fillId="0" xfId="0" numFmtId="0" borderId="6" fontId="0">
      <alignment vertical="bottom" horizontal="general" wrapText="1"/>
    </xf>
    <xf applyBorder="1" fillId="0" xfId="0" numFmtId="0" borderId="7" applyFont="1" fontId="8"/>
    <xf fillId="0" xfId="0" numFmtId="164" borderId="0" applyFont="1" fontId="9" applyNumberFormat="1"/>
    <xf fillId="0" xfId="0" numFmtId="0" borderId="0" applyFont="1" fontId="10"/>
    <xf applyBorder="1" fillId="0" xfId="0" numFmtId="165" borderId="8" applyFont="1" fontId="11" applyNumberFormat="1"/>
    <xf applyBorder="1" fillId="0" xfId="0" numFmtId="166" borderId="9" applyFont="1" fontId="12" applyNumberFormat="1"/>
    <xf applyBorder="1" applyAlignment="1" fillId="0" xfId="0" numFmtId="0" borderId="10" applyFont="1" fontId="13">
      <alignment vertical="bottom" horizontal="right"/>
    </xf>
    <xf applyBorder="1" fillId="0" xfId="0" numFmtId="167" borderId="11" applyFont="1" fontId="14" applyNumberFormat="1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12" width="48.14"/>
    <col min="2" customWidth="1" max="2" style="12" width="14.43"/>
    <col min="3" customWidth="1" max="3" style="11" width="13.29"/>
    <col min="4" customWidth="1" max="4" style="3" width="14.43"/>
    <col min="5" customWidth="1" max="5" style="11" width="13.29"/>
    <col min="6" customWidth="1" max="6" style="12" width="14.43"/>
    <col min="7" customWidth="1" max="7" style="11" width="13.29"/>
  </cols>
  <sheetData>
    <row r="1">
      <c s="4" r="A1">
        <v>12</v>
      </c>
      <c t="s" s="4" r="B1">
        <v>0</v>
      </c>
      <c t="s" s="16" r="C1">
        <v>1</v>
      </c>
      <c t="s" s="15" r="D1">
        <v>2</v>
      </c>
      <c t="s" s="16" r="E1">
        <v>3</v>
      </c>
      <c t="s" s="4" r="F1">
        <v>4</v>
      </c>
      <c t="s" s="16" r="G1">
        <v>5</v>
      </c>
    </row>
    <row r="2">
      <c t="s" s="10" r="A2">
        <v>6</v>
      </c>
      <c s="5" r="B2">
        <v>22300</v>
      </c>
      <c s="13" r="C2">
        <v>22300</v>
      </c>
      <c t="s" s="6" r="D2">
        <v>7</v>
      </c>
      <c s="13" r="E2">
        <f>IF((A1&lt;=16.0),27443.0,36200.0)</f>
        <v>27443</v>
      </c>
      <c s="10" r="F2">
        <v>5800</v>
      </c>
      <c s="13" r="G2">
        <v>5800</v>
      </c>
      <c s="1" r="H2"/>
    </row>
    <row r="3">
      <c t="s" s="10" r="A3">
        <v>8</v>
      </c>
      <c s="10" r="B3">
        <v>0</v>
      </c>
      <c s="13" r="C3">
        <v>0</v>
      </c>
      <c s="6" r="D3">
        <v>0</v>
      </c>
      <c s="13" r="E3">
        <v>0</v>
      </c>
      <c s="10" r="F3">
        <v>950</v>
      </c>
      <c s="13" r="G3">
        <v>950</v>
      </c>
      <c s="1" r="H3"/>
    </row>
    <row r="4">
      <c t="s" s="10" r="A4">
        <v>9</v>
      </c>
      <c s="10" r="B4">
        <v>2600</v>
      </c>
      <c s="13" r="C4">
        <f>SUM((2600.0*CEILING(((A1/4.0)/B12),1.0)))</f>
        <v>5200</v>
      </c>
      <c s="6" r="D4">
        <v>2600</v>
      </c>
      <c s="13" r="E4">
        <f>SUM((2600.0*CEILING(((A1/4.0)/D12),1.0)))</f>
        <v>5200</v>
      </c>
      <c s="10" r="F4">
        <v>800</v>
      </c>
      <c s="13" r="G4">
        <v>800</v>
      </c>
      <c s="1" r="H4"/>
    </row>
    <row r="5">
      <c t="s" s="10" r="A5">
        <v>10</v>
      </c>
      <c s="10" r="B5">
        <v>14000</v>
      </c>
      <c s="13" r="C5">
        <v>14000</v>
      </c>
      <c s="6" r="D5">
        <v>14000</v>
      </c>
      <c s="13" r="E5">
        <v>14000</v>
      </c>
      <c s="10" r="F5">
        <v>0</v>
      </c>
      <c s="13" r="G5">
        <v>0</v>
      </c>
      <c s="1" r="H5"/>
    </row>
    <row r="6">
      <c t="s" s="10" r="A6">
        <v>11</v>
      </c>
      <c s="10" r="B6">
        <v>0.9</v>
      </c>
      <c s="13" r="C6">
        <v>900</v>
      </c>
      <c s="6" r="D6">
        <v>0.8</v>
      </c>
      <c s="13" r="E6">
        <v>800</v>
      </c>
      <c s="10" r="F6">
        <v>0.4</v>
      </c>
      <c s="13" r="G6">
        <v>400</v>
      </c>
      <c s="1" r="H6"/>
    </row>
    <row r="7">
      <c t="s" s="10" r="A7">
        <v>12</v>
      </c>
      <c s="10" r="B7">
        <v>0.9</v>
      </c>
      <c s="13" r="C7">
        <v>270</v>
      </c>
      <c s="6" r="D7">
        <v>0.8</v>
      </c>
      <c s="13" r="E7">
        <v>240</v>
      </c>
      <c s="10" r="F7">
        <v>0.4</v>
      </c>
      <c s="13" r="G7">
        <v>120</v>
      </c>
      <c s="1" r="H7"/>
    </row>
    <row r="8">
      <c t="s" s="10" r="A8">
        <v>13</v>
      </c>
      <c s="10" r="B8">
        <v>0.25</v>
      </c>
      <c s="13" r="C8"/>
      <c s="6" r="D8">
        <v>0.25</v>
      </c>
      <c s="13" r="E8"/>
      <c s="10" r="F8">
        <v>0.1</v>
      </c>
      <c s="13" r="G8"/>
      <c s="1" r="H8"/>
    </row>
    <row r="9">
      <c t="s" s="10" r="A9">
        <v>14</v>
      </c>
      <c s="10" r="B9">
        <v>38320</v>
      </c>
      <c s="13" r="C9">
        <v>3832</v>
      </c>
      <c s="6" r="D9">
        <v>25200</v>
      </c>
      <c s="13" r="E9">
        <v>2520</v>
      </c>
      <c s="10" r="F9">
        <v>12600</v>
      </c>
      <c s="13" r="G9">
        <v>1260</v>
      </c>
      <c s="1" r="H9"/>
    </row>
    <row r="10">
      <c t="s" s="10" r="A10">
        <v>15</v>
      </c>
      <c s="10" r="B10">
        <v>0</v>
      </c>
      <c s="13" r="C10">
        <v>0</v>
      </c>
      <c s="6" r="D10">
        <v>0</v>
      </c>
      <c s="13" r="E10">
        <v>0</v>
      </c>
      <c s="10" r="F10">
        <v>4</v>
      </c>
      <c s="13" r="G10">
        <v>250</v>
      </c>
      <c s="1" r="H10"/>
    </row>
    <row r="11">
      <c t="s" s="7" r="A11">
        <v>16</v>
      </c>
      <c s="9" r="B11"/>
      <c s="14" r="C11">
        <f>SUM(C2:C10)</f>
        <v>46502</v>
      </c>
      <c s="9" r="D11"/>
      <c s="14" r="E11">
        <f>SUM(E2:E10)</f>
        <v>50203</v>
      </c>
      <c s="9" r="F11"/>
      <c s="14" r="G11">
        <f>SUM(G2:G10)</f>
        <v>9580</v>
      </c>
    </row>
    <row r="12">
      <c t="s" s="12" r="A12">
        <v>17</v>
      </c>
      <c s="2" r="B12">
        <f>CEILING(IF((SUM(((A1*4.0)/32.0))&gt;=2.0),SUM(((A1*4.0)/32.0)),2.0),1.0)</f>
        <v>2</v>
      </c>
      <c s="11" r="C12">
        <f>SUM((C11*B12))</f>
        <v>93004</v>
      </c>
      <c s="8" r="D12">
        <f>ROUND(IF((SUM(((A1*4.0)/64.0))&gt;=2.0),SUM(((A1*4.0)/64.0)),2.0),0.0)</f>
        <v>2</v>
      </c>
      <c s="11" r="E12">
        <f>SUM((E11*D12))</f>
        <v>100406</v>
      </c>
      <c s="12" r="F12">
        <f>VALUE(A1)</f>
        <v>12</v>
      </c>
      <c s="11" r="G12">
        <f>SUM((G11*F12))</f>
        <v>114960</v>
      </c>
    </row>
    <row r="15">
      <c t="s" s="4" r="A15">
        <v>18</v>
      </c>
    </row>
    <row r="16">
      <c t="s" s="7" r="A16">
        <v>19</v>
      </c>
    </row>
    <row r="17">
      <c t="s" s="12" r="A17">
        <v>20</v>
      </c>
    </row>
    <row r="18">
      <c t="s" s="12" r="A18">
        <v>21</v>
      </c>
    </row>
    <row r="19">
      <c t="s" s="12" r="A19">
        <v>22</v>
      </c>
    </row>
    <row r="20">
      <c t="s" s="12" r="A20">
        <v>23</v>
      </c>
    </row>
    <row r="21">
      <c t="s" s="12" r="A21">
        <v>24</v>
      </c>
    </row>
    <row r="22">
      <c t="s" s="12" r="A22">
        <v>25</v>
      </c>
    </row>
    <row r="23">
      <c t="s" s="12" r="A23">
        <v>26</v>
      </c>
    </row>
  </sheetData>
  <mergeCells count="6">
    <mergeCell ref="A17:G17"/>
    <mergeCell ref="A18:D18"/>
    <mergeCell ref="A19:G19"/>
    <mergeCell ref="A20:B20"/>
    <mergeCell ref="A22:D22"/>
    <mergeCell ref="A23:E23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sheetData/>
</worksheet>
</file>