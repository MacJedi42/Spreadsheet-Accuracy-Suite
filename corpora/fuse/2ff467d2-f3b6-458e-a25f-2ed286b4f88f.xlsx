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7.2" sheetId="1" r:id="rId1"/>
  </sheets>
  <externalReferences>
    <externalReference r:id="rId2"/>
    <externalReference r:id="rId3"/>
  </externalReferences>
  <definedNames>
    <definedName name="OLE_LINK1" localSheetId="0">'Table 7.2'!#REF!</definedName>
    <definedName name="_xlnm.Print_Area" localSheetId="0">'Table 7.2'!$A$3:$L$61</definedName>
  </definedNames>
  <calcPr calcId="145621"/>
</workbook>
</file>

<file path=xl/calcChain.xml><?xml version="1.0" encoding="utf-8"?>
<calcChain xmlns="http://schemas.openxmlformats.org/spreadsheetml/2006/main">
  <c r="I60" i="1" l="1"/>
  <c r="C54" i="1"/>
  <c r="B54" i="1"/>
  <c r="E52" i="1"/>
  <c r="D52" i="1"/>
  <c r="C52" i="1"/>
  <c r="B52" i="1"/>
  <c r="E51" i="1"/>
  <c r="D51" i="1"/>
  <c r="C51" i="1"/>
  <c r="B51" i="1"/>
  <c r="E50" i="1"/>
  <c r="D50" i="1"/>
  <c r="C50" i="1"/>
  <c r="B50" i="1"/>
  <c r="F49" i="1"/>
  <c r="E49" i="1"/>
  <c r="E54" i="1" s="1"/>
  <c r="D49" i="1"/>
  <c r="D54" i="1" s="1"/>
  <c r="C49" i="1"/>
  <c r="B49" i="1"/>
  <c r="C45" i="1"/>
  <c r="B45" i="1"/>
  <c r="E43" i="1"/>
  <c r="D43" i="1"/>
  <c r="C43" i="1"/>
  <c r="B43" i="1"/>
  <c r="E42" i="1"/>
  <c r="D42" i="1"/>
  <c r="C42" i="1"/>
  <c r="B42" i="1"/>
  <c r="E41" i="1"/>
  <c r="D41" i="1"/>
  <c r="C41" i="1"/>
  <c r="B41" i="1"/>
  <c r="F40" i="1"/>
  <c r="E40" i="1"/>
  <c r="E45" i="1" s="1"/>
  <c r="D40" i="1"/>
  <c r="D45" i="1" s="1"/>
  <c r="C40" i="1"/>
  <c r="B40" i="1"/>
  <c r="C36" i="1"/>
  <c r="B36" i="1"/>
  <c r="E34" i="1"/>
  <c r="D34" i="1"/>
  <c r="C34" i="1"/>
  <c r="B34" i="1"/>
  <c r="E33" i="1"/>
  <c r="D33" i="1"/>
  <c r="C33" i="1"/>
  <c r="B33" i="1"/>
  <c r="E32" i="1"/>
  <c r="D32" i="1"/>
  <c r="C32" i="1"/>
  <c r="B32" i="1"/>
  <c r="F31" i="1"/>
  <c r="E31" i="1"/>
  <c r="E36" i="1" s="1"/>
  <c r="D31" i="1"/>
  <c r="D36" i="1" s="1"/>
  <c r="C31" i="1"/>
  <c r="B31" i="1"/>
  <c r="C27" i="1"/>
  <c r="B27" i="1"/>
  <c r="E25" i="1"/>
  <c r="D25" i="1"/>
  <c r="C25" i="1"/>
  <c r="B25" i="1"/>
  <c r="E24" i="1"/>
  <c r="D24" i="1"/>
  <c r="C24" i="1"/>
  <c r="B24" i="1"/>
  <c r="E23" i="1"/>
  <c r="D23" i="1"/>
  <c r="C23" i="1"/>
  <c r="B23" i="1"/>
  <c r="F22" i="1"/>
  <c r="E22" i="1"/>
  <c r="E27" i="1" s="1"/>
  <c r="D22" i="1"/>
  <c r="D27" i="1" s="1"/>
  <c r="C22" i="1"/>
  <c r="B22" i="1"/>
</calcChain>
</file>

<file path=xl/sharedStrings.xml><?xml version="1.0" encoding="utf-8"?>
<sst xmlns="http://schemas.openxmlformats.org/spreadsheetml/2006/main" count="36" uniqueCount="21">
  <si>
    <t>Monthly Statistical Bulletin</t>
  </si>
  <si>
    <t>7.2 Components of population change</t>
  </si>
  <si>
    <t>Quarter</t>
  </si>
  <si>
    <t>2008–09</t>
  </si>
  <si>
    <t>2009–10</t>
  </si>
  <si>
    <t>2010–11</t>
  </si>
  <si>
    <t>2011–12</t>
  </si>
  <si>
    <t>2012–13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</si>
  <si>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</si>
  <si>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</si>
  <si>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</si>
  <si>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</si>
  <si>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</si>
  <si>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</si>
  <si>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</si>
  <si>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</si>
  <si>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</si>
  <si>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net </t>
  </si>
  <si>
    <t xml:space="preserve">    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</si>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</sst>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###\ ##0.0"/>
    <numFmt numFmtId="166" formatCode="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165" fontId="7" fillId="0" borderId="0" xfId="0" applyNumberFormat="1" applyFont="1"/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5" fontId="7" fillId="0" borderId="0" xfId="0" applyNumberFormat="1" applyFont="1" applyBorder="1"/>
    <xf numFmtId="164" fontId="7" fillId="0" borderId="0" xfId="0" applyNumberFormat="1" applyFont="1" applyBorder="1"/>
    <xf numFmtId="166" fontId="0" fillId="0" borderId="2" xfId="0" applyNumberFormat="1" applyBorder="1"/>
    <xf numFmtId="166" fontId="0" fillId="0" borderId="0" xfId="0" applyNumberFormat="1"/>
    <xf numFmtId="0" fontId="6" fillId="0" borderId="0" xfId="0" applyFont="1" applyAlignment="1">
      <alignment horizontal="left"/>
    </xf>
    <xf numFmtId="0" fontId="9" fillId="0" borderId="1" xfId="0" applyFont="1" applyBorder="1"/>
    <xf numFmtId="166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7.2'!$A$196:$A$216</c:f>
              <c:numCache>
                <c:formatCode>mmm\ yy</c:formatCode>
                <c:ptCount val="21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 formatCode="mmm\-yy">
                  <c:v>40238</c:v>
                </c:pt>
                <c:pt idx="12" formatCode="mmm\-yy">
                  <c:v>40330</c:v>
                </c:pt>
                <c:pt idx="13" formatCode="mmm\-yy">
                  <c:v>40422</c:v>
                </c:pt>
                <c:pt idx="14" formatCode="mmm\-yy">
                  <c:v>40513</c:v>
                </c:pt>
                <c:pt idx="15" formatCode="mmm\-yy">
                  <c:v>40603</c:v>
                </c:pt>
                <c:pt idx="16" formatCode="mmm\-yy">
                  <c:v>40695</c:v>
                </c:pt>
                <c:pt idx="17" formatCode="mmm\-yy">
                  <c:v>40787</c:v>
                </c:pt>
                <c:pt idx="18" formatCode="mmm\-yy">
                  <c:v>40878</c:v>
                </c:pt>
                <c:pt idx="19" formatCode="mmm\-yy">
                  <c:v>40969</c:v>
                </c:pt>
                <c:pt idx="20" formatCode="mmm\-yy">
                  <c:v>41061</c:v>
                </c:pt>
              </c:numCache>
            </c:numRef>
          </c:cat>
          <c:val>
            <c:numRef>
              <c:f>'[1]Data 7.2'!$B$196:$B$216</c:f>
              <c:numCache>
                <c:formatCode>0.0</c:formatCode>
                <c:ptCount val="21"/>
                <c:pt idx="0">
                  <c:v>69.5</c:v>
                </c:pt>
                <c:pt idx="1">
                  <c:v>73.8</c:v>
                </c:pt>
                <c:pt idx="2">
                  <c:v>71.5</c:v>
                </c:pt>
                <c:pt idx="3">
                  <c:v>72.8</c:v>
                </c:pt>
                <c:pt idx="4">
                  <c:v>71.3</c:v>
                </c:pt>
                <c:pt idx="5">
                  <c:v>75.5</c:v>
                </c:pt>
                <c:pt idx="6">
                  <c:v>74.5</c:v>
                </c:pt>
                <c:pt idx="7">
                  <c:v>73.2</c:v>
                </c:pt>
                <c:pt idx="8">
                  <c:v>73.900000000000006</c:v>
                </c:pt>
                <c:pt idx="9">
                  <c:v>74.7</c:v>
                </c:pt>
                <c:pt idx="10">
                  <c:v>73.599999999999994</c:v>
                </c:pt>
                <c:pt idx="11">
                  <c:v>73.7</c:v>
                </c:pt>
                <c:pt idx="12">
                  <c:v>69.2</c:v>
                </c:pt>
                <c:pt idx="13">
                  <c:v>76</c:v>
                </c:pt>
                <c:pt idx="14">
                  <c:v>70.5</c:v>
                </c:pt>
                <c:pt idx="15">
                  <c:v>76.099999999999994</c:v>
                </c:pt>
                <c:pt idx="16">
                  <c:v>74.2</c:v>
                </c:pt>
                <c:pt idx="17">
                  <c:v>74.900000000000006</c:v>
                </c:pt>
                <c:pt idx="18">
                  <c:v>71.5</c:v>
                </c:pt>
                <c:pt idx="19">
                  <c:v>74.8</c:v>
                </c:pt>
                <c:pt idx="20">
                  <c:v>76.599999999999994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7.2'!$A$196:$A$216</c:f>
              <c:numCache>
                <c:formatCode>mmm\ yy</c:formatCode>
                <c:ptCount val="21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 formatCode="mmm\-yy">
                  <c:v>40238</c:v>
                </c:pt>
                <c:pt idx="12" formatCode="mmm\-yy">
                  <c:v>40330</c:v>
                </c:pt>
                <c:pt idx="13" formatCode="mmm\-yy">
                  <c:v>40422</c:v>
                </c:pt>
                <c:pt idx="14" formatCode="mmm\-yy">
                  <c:v>40513</c:v>
                </c:pt>
                <c:pt idx="15" formatCode="mmm\-yy">
                  <c:v>40603</c:v>
                </c:pt>
                <c:pt idx="16" formatCode="mmm\-yy">
                  <c:v>40695</c:v>
                </c:pt>
                <c:pt idx="17" formatCode="mmm\-yy">
                  <c:v>40787</c:v>
                </c:pt>
                <c:pt idx="18" formatCode="mmm\-yy">
                  <c:v>40878</c:v>
                </c:pt>
                <c:pt idx="19" formatCode="mmm\-yy">
                  <c:v>40969</c:v>
                </c:pt>
                <c:pt idx="20" formatCode="mmm\-yy">
                  <c:v>41061</c:v>
                </c:pt>
              </c:numCache>
            </c:numRef>
          </c:cat>
          <c:val>
            <c:numRef>
              <c:f>'[1]Data 7.2'!$J$196:$J$216</c:f>
              <c:numCache>
                <c:formatCode>General</c:formatCode>
                <c:ptCount val="21"/>
                <c:pt idx="0">
                  <c:v>34.700000000000003</c:v>
                </c:pt>
                <c:pt idx="1">
                  <c:v>34.5</c:v>
                </c:pt>
                <c:pt idx="2">
                  <c:v>37.5</c:v>
                </c:pt>
                <c:pt idx="3">
                  <c:v>40.6</c:v>
                </c:pt>
                <c:pt idx="4">
                  <c:v>36.200000000000003</c:v>
                </c:pt>
                <c:pt idx="5">
                  <c:v>35</c:v>
                </c:pt>
                <c:pt idx="6">
                  <c:v>39.9</c:v>
                </c:pt>
                <c:pt idx="7">
                  <c:v>40.1</c:v>
                </c:pt>
                <c:pt idx="8">
                  <c:v>38.4</c:v>
                </c:pt>
                <c:pt idx="9">
                  <c:v>36.700000000000003</c:v>
                </c:pt>
                <c:pt idx="10">
                  <c:v>38.6</c:v>
                </c:pt>
                <c:pt idx="11">
                  <c:v>41</c:v>
                </c:pt>
                <c:pt idx="12">
                  <c:v>33.5</c:v>
                </c:pt>
                <c:pt idx="13">
                  <c:v>36.4</c:v>
                </c:pt>
                <c:pt idx="14">
                  <c:v>35.200000000000003</c:v>
                </c:pt>
                <c:pt idx="15">
                  <c:v>40.200000000000003</c:v>
                </c:pt>
                <c:pt idx="16">
                  <c:v>38.799999999999997</c:v>
                </c:pt>
                <c:pt idx="17">
                  <c:v>34.4</c:v>
                </c:pt>
                <c:pt idx="18">
                  <c:v>36.4</c:v>
                </c:pt>
                <c:pt idx="19">
                  <c:v>40.1</c:v>
                </c:pt>
                <c:pt idx="20">
                  <c:v>40.4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7.2'!$A$196:$A$216</c:f>
              <c:numCache>
                <c:formatCode>mmm\ yy</c:formatCode>
                <c:ptCount val="21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 formatCode="mmm\-yy">
                  <c:v>40238</c:v>
                </c:pt>
                <c:pt idx="12" formatCode="mmm\-yy">
                  <c:v>40330</c:v>
                </c:pt>
                <c:pt idx="13" formatCode="mmm\-yy">
                  <c:v>40422</c:v>
                </c:pt>
                <c:pt idx="14" formatCode="mmm\-yy">
                  <c:v>40513</c:v>
                </c:pt>
                <c:pt idx="15" formatCode="mmm\-yy">
                  <c:v>40603</c:v>
                </c:pt>
                <c:pt idx="16" formatCode="mmm\-yy">
                  <c:v>40695</c:v>
                </c:pt>
                <c:pt idx="17" formatCode="mmm\-yy">
                  <c:v>40787</c:v>
                </c:pt>
                <c:pt idx="18" formatCode="mmm\-yy">
                  <c:v>40878</c:v>
                </c:pt>
                <c:pt idx="19" formatCode="mmm\-yy">
                  <c:v>40969</c:v>
                </c:pt>
                <c:pt idx="20" formatCode="mmm\-yy">
                  <c:v>41061</c:v>
                </c:pt>
              </c:numCache>
            </c:numRef>
          </c:cat>
          <c:val>
            <c:numRef>
              <c:f>'[1]Data 7.2'!$N$196:$N$216</c:f>
              <c:numCache>
                <c:formatCode>0.0</c:formatCode>
                <c:ptCount val="21"/>
                <c:pt idx="0">
                  <c:v>49.2</c:v>
                </c:pt>
                <c:pt idx="1">
                  <c:v>62.8</c:v>
                </c:pt>
                <c:pt idx="2">
                  <c:v>56</c:v>
                </c:pt>
                <c:pt idx="3">
                  <c:v>93.5</c:v>
                </c:pt>
                <c:pt idx="4">
                  <c:v>65.099999999999994</c:v>
                </c:pt>
                <c:pt idx="5">
                  <c:v>84.1</c:v>
                </c:pt>
                <c:pt idx="6">
                  <c:v>73</c:v>
                </c:pt>
                <c:pt idx="7">
                  <c:v>88.7</c:v>
                </c:pt>
                <c:pt idx="8">
                  <c:v>54</c:v>
                </c:pt>
                <c:pt idx="9">
                  <c:v>62.5</c:v>
                </c:pt>
                <c:pt idx="10">
                  <c:v>41.7</c:v>
                </c:pt>
                <c:pt idx="11">
                  <c:v>59.9</c:v>
                </c:pt>
                <c:pt idx="12">
                  <c:v>32</c:v>
                </c:pt>
                <c:pt idx="13">
                  <c:v>42.5</c:v>
                </c:pt>
                <c:pt idx="14">
                  <c:v>34.5</c:v>
                </c:pt>
                <c:pt idx="15">
                  <c:v>57.8</c:v>
                </c:pt>
                <c:pt idx="16">
                  <c:v>35.5</c:v>
                </c:pt>
                <c:pt idx="17">
                  <c:v>44.7</c:v>
                </c:pt>
                <c:pt idx="18">
                  <c:v>46</c:v>
                </c:pt>
                <c:pt idx="19">
                  <c:v>71</c:v>
                </c:pt>
                <c:pt idx="20">
                  <c:v>46.7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07872"/>
        <c:axId val="60691968"/>
      </c:lineChart>
      <c:catAx>
        <c:axId val="6060787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69196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60691968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607872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447675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SB%20Monthly%20Statistical%20Bulletin\April13\MSB%20Chapter%2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SB%20Monthly%20Statistical%20Bulletin\April13\7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196">
          <cell r="A196">
            <v>39234</v>
          </cell>
          <cell r="B196">
            <v>69.5</v>
          </cell>
          <cell r="J196">
            <v>34.700000000000003</v>
          </cell>
          <cell r="N196">
            <v>49.2</v>
          </cell>
        </row>
        <row r="197">
          <cell r="A197">
            <v>39326</v>
          </cell>
          <cell r="B197">
            <v>73.8</v>
          </cell>
          <cell r="J197">
            <v>34.5</v>
          </cell>
          <cell r="N197">
            <v>62.8</v>
          </cell>
        </row>
        <row r="198">
          <cell r="A198">
            <v>39417</v>
          </cell>
          <cell r="B198">
            <v>71.5</v>
          </cell>
          <cell r="J198">
            <v>37.5</v>
          </cell>
          <cell r="N198">
            <v>56</v>
          </cell>
        </row>
        <row r="199">
          <cell r="A199">
            <v>39508</v>
          </cell>
          <cell r="B199">
            <v>72.8</v>
          </cell>
          <cell r="J199">
            <v>40.6</v>
          </cell>
          <cell r="N199">
            <v>93.5</v>
          </cell>
        </row>
        <row r="200">
          <cell r="A200">
            <v>39600</v>
          </cell>
          <cell r="B200">
            <v>71.3</v>
          </cell>
          <cell r="J200">
            <v>36.200000000000003</v>
          </cell>
          <cell r="N200">
            <v>65.099999999999994</v>
          </cell>
        </row>
        <row r="201">
          <cell r="A201">
            <v>39692</v>
          </cell>
          <cell r="B201">
            <v>75.5</v>
          </cell>
          <cell r="F201">
            <v>40.5</v>
          </cell>
          <cell r="J201">
            <v>35</v>
          </cell>
          <cell r="N201">
            <v>84.1</v>
          </cell>
        </row>
        <row r="202">
          <cell r="A202">
            <v>39783</v>
          </cell>
          <cell r="B202">
            <v>74.5</v>
          </cell>
          <cell r="F202">
            <v>34.6</v>
          </cell>
          <cell r="J202">
            <v>39.9</v>
          </cell>
          <cell r="N202">
            <v>73</v>
          </cell>
        </row>
        <row r="203">
          <cell r="A203">
            <v>39873</v>
          </cell>
          <cell r="B203">
            <v>73.2</v>
          </cell>
          <cell r="C203">
            <v>294.5</v>
          </cell>
          <cell r="F203">
            <v>33.1</v>
          </cell>
          <cell r="J203">
            <v>40.1</v>
          </cell>
          <cell r="N203">
            <v>88.7</v>
          </cell>
        </row>
        <row r="204">
          <cell r="A204">
            <v>39965</v>
          </cell>
          <cell r="B204">
            <v>73.900000000000006</v>
          </cell>
          <cell r="F204">
            <v>35.5</v>
          </cell>
          <cell r="G204">
            <v>143.69999999999999</v>
          </cell>
          <cell r="J204">
            <v>38.4</v>
          </cell>
          <cell r="K204">
            <v>153.4</v>
          </cell>
          <cell r="N204">
            <v>54</v>
          </cell>
          <cell r="O204">
            <v>299.79999999999995</v>
          </cell>
        </row>
        <row r="205">
          <cell r="A205">
            <v>40057</v>
          </cell>
          <cell r="B205">
            <v>74.7</v>
          </cell>
          <cell r="F205">
            <v>38</v>
          </cell>
          <cell r="J205">
            <v>36.700000000000003</v>
          </cell>
          <cell r="N205">
            <v>62.5</v>
          </cell>
        </row>
        <row r="206">
          <cell r="A206">
            <v>40148</v>
          </cell>
          <cell r="B206">
            <v>73.599999999999994</v>
          </cell>
          <cell r="F206">
            <v>35</v>
          </cell>
          <cell r="J206">
            <v>38.6</v>
          </cell>
          <cell r="N206">
            <v>41.7</v>
          </cell>
        </row>
        <row r="207">
          <cell r="A207">
            <v>40238</v>
          </cell>
          <cell r="B207">
            <v>73.7</v>
          </cell>
          <cell r="C207">
            <v>295.89999999999998</v>
          </cell>
          <cell r="F207">
            <v>32.700000000000003</v>
          </cell>
          <cell r="J207">
            <v>41</v>
          </cell>
          <cell r="N207">
            <v>59.9</v>
          </cell>
        </row>
        <row r="208">
          <cell r="A208">
            <v>40330</v>
          </cell>
          <cell r="B208">
            <v>69.2</v>
          </cell>
          <cell r="F208">
            <v>35.799999999999997</v>
          </cell>
          <cell r="G208">
            <v>141.5</v>
          </cell>
          <cell r="J208">
            <v>33.5</v>
          </cell>
          <cell r="K208">
            <v>149.80000000000001</v>
          </cell>
          <cell r="N208">
            <v>32</v>
          </cell>
          <cell r="O208">
            <v>196.10000000000002</v>
          </cell>
        </row>
        <row r="209">
          <cell r="A209">
            <v>40422</v>
          </cell>
          <cell r="B209">
            <v>76</v>
          </cell>
          <cell r="F209">
            <v>39.700000000000003</v>
          </cell>
          <cell r="J209">
            <v>36.4</v>
          </cell>
          <cell r="N209">
            <v>42.5</v>
          </cell>
        </row>
        <row r="210">
          <cell r="A210">
            <v>40513</v>
          </cell>
          <cell r="B210">
            <v>70.5</v>
          </cell>
          <cell r="F210">
            <v>35.299999999999997</v>
          </cell>
          <cell r="J210">
            <v>35.200000000000003</v>
          </cell>
          <cell r="N210">
            <v>34.5</v>
          </cell>
        </row>
        <row r="211">
          <cell r="A211">
            <v>40603</v>
          </cell>
          <cell r="B211">
            <v>76.099999999999994</v>
          </cell>
          <cell r="F211">
            <v>35.9</v>
          </cell>
          <cell r="J211">
            <v>40.200000000000003</v>
          </cell>
          <cell r="N211">
            <v>57.8</v>
          </cell>
        </row>
        <row r="212">
          <cell r="A212">
            <v>40695</v>
          </cell>
          <cell r="B212">
            <v>74.2</v>
          </cell>
          <cell r="F212">
            <v>35.4</v>
          </cell>
          <cell r="J212">
            <v>38.799999999999997</v>
          </cell>
          <cell r="N212">
            <v>35.5</v>
          </cell>
        </row>
        <row r="213">
          <cell r="A213">
            <v>40787</v>
          </cell>
          <cell r="B213">
            <v>74.900000000000006</v>
          </cell>
          <cell r="F213">
            <v>40.6</v>
          </cell>
          <cell r="J213">
            <v>34.4</v>
          </cell>
          <cell r="N213">
            <v>44.7</v>
          </cell>
        </row>
        <row r="214">
          <cell r="A214">
            <v>40878</v>
          </cell>
          <cell r="B214">
            <v>71.5</v>
          </cell>
          <cell r="F214">
            <v>35.1</v>
          </cell>
          <cell r="J214">
            <v>36.4</v>
          </cell>
          <cell r="N214">
            <v>46</v>
          </cell>
        </row>
        <row r="215">
          <cell r="A215">
            <v>40969</v>
          </cell>
          <cell r="B215">
            <v>74.8</v>
          </cell>
          <cell r="F215">
            <v>34.700000000000003</v>
          </cell>
          <cell r="J215">
            <v>40.1</v>
          </cell>
          <cell r="N215">
            <v>71</v>
          </cell>
        </row>
        <row r="216">
          <cell r="A216">
            <v>41061</v>
          </cell>
          <cell r="B216">
            <v>76.599999999999994</v>
          </cell>
          <cell r="F216">
            <v>36.1</v>
          </cell>
          <cell r="J216">
            <v>40.4</v>
          </cell>
          <cell r="N216">
            <v>46.7</v>
          </cell>
        </row>
        <row r="217">
          <cell r="B217">
            <v>80.7</v>
          </cell>
          <cell r="F217">
            <v>43.1</v>
          </cell>
          <cell r="J217">
            <v>37.5</v>
          </cell>
          <cell r="N217">
            <v>64.3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2a"/>
      <sheetName val="Table 7.2b"/>
      <sheetName val="Table7.2c"/>
      <sheetName val="Table7.2d"/>
      <sheetName val="Chart"/>
      <sheetName val="Data 7.2"/>
    </sheetNames>
    <sheetDataSet>
      <sheetData sheetId="0">
        <row r="40">
          <cell r="C40">
            <v>41445</v>
          </cell>
        </row>
      </sheetData>
      <sheetData sheetId="1"/>
      <sheetData sheetId="2"/>
      <sheetData sheetId="3"/>
      <sheetData sheetId="4" refreshError="1"/>
      <sheetData sheetId="5">
        <row r="4">
          <cell r="F4">
            <v>32.6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1"/>
  <sheetViews>
    <sheetView tabSelected="1" zoomScaleNormal="100" workbookViewId="0">
      <selection activeCell="M18" sqref="M18"/>
    </sheetView>
  </sheetViews>
  <sheetFormatPr defaultRowHeight="12.75"/>
  <cols>
    <col min="1" max="1" width="11.7109375" customWidth="1"/>
    <col min="7" max="8" width="1.7109375" customWidth="1"/>
    <col min="9" max="9" width="10.42578125" customWidth="1"/>
    <col min="10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8" ht="19.899999999999999" customHeight="1">
      <c r="A20" s="9" t="s">
        <v>8</v>
      </c>
      <c r="H20" s="6"/>
    </row>
    <row r="21" spans="1:8" ht="3" customHeight="1">
      <c r="A21" s="10"/>
      <c r="H21" s="6"/>
    </row>
    <row r="22" spans="1:8" ht="11.1" customHeight="1">
      <c r="A22" s="11" t="s">
        <v>9</v>
      </c>
      <c r="B22" s="12">
        <f>IF('[1]Data 7.2'!B201=0," ",'[1]Data 7.2'!B201)</f>
        <v>75.5</v>
      </c>
      <c r="C22" s="12">
        <f>IF('[1]Data 7.2'!B205=0," ",'[1]Data 7.2'!B205)</f>
        <v>74.7</v>
      </c>
      <c r="D22" s="12">
        <f>'[1]Data 7.2'!B209</f>
        <v>76</v>
      </c>
      <c r="E22" s="12">
        <f>'[1]Data 7.2'!B213</f>
        <v>74.900000000000006</v>
      </c>
      <c r="F22" s="12">
        <f>'[1]Data 7.2'!B217</f>
        <v>80.7</v>
      </c>
      <c r="H22" s="6"/>
    </row>
    <row r="23" spans="1:8" ht="11.1" customHeight="1">
      <c r="A23" s="11" t="s">
        <v>10</v>
      </c>
      <c r="B23" s="12">
        <f>IF('[1]Data 7.2'!B202=0," ",'[1]Data 7.2'!B202)</f>
        <v>74.5</v>
      </c>
      <c r="C23" s="12">
        <f>IF('[1]Data 7.2'!B206=0," ",'[1]Data 7.2'!B206)</f>
        <v>73.599999999999994</v>
      </c>
      <c r="D23" s="12">
        <f>'[1]Data 7.2'!B210</f>
        <v>70.5</v>
      </c>
      <c r="E23" s="12">
        <f>'[1]Data 7.2'!B214</f>
        <v>71.5</v>
      </c>
      <c r="H23" s="6"/>
    </row>
    <row r="24" spans="1:8" ht="11.1" customHeight="1">
      <c r="A24" s="11" t="s">
        <v>11</v>
      </c>
      <c r="B24" s="12">
        <f>IF('[1]Data 7.2'!B203=0," ",'[1]Data 7.2'!B203)</f>
        <v>73.2</v>
      </c>
      <c r="C24" s="12">
        <f>IF('[1]Data 7.2'!B207=0," ",'[1]Data 7.2'!B207)</f>
        <v>73.7</v>
      </c>
      <c r="D24" s="12">
        <f>'[1]Data 7.2'!B211</f>
        <v>76.099999999999994</v>
      </c>
      <c r="E24" s="12">
        <f>'[1]Data 7.2'!B215</f>
        <v>74.8</v>
      </c>
      <c r="H24" s="6"/>
    </row>
    <row r="25" spans="1:8" ht="11.1" customHeight="1">
      <c r="A25" s="11" t="s">
        <v>12</v>
      </c>
      <c r="B25" s="12">
        <f>IF('[1]Data 7.2'!B204=0," ",'[1]Data 7.2'!B204)</f>
        <v>73.900000000000006</v>
      </c>
      <c r="C25" s="12">
        <f>IF('[1]Data 7.2'!B208=0," ",'[1]Data 7.2'!B208)</f>
        <v>69.2</v>
      </c>
      <c r="D25" s="12">
        <f>'[1]Data 7.2'!B212</f>
        <v>74.2</v>
      </c>
      <c r="E25" s="12">
        <f>'[1]Data 7.2'!B216</f>
        <v>76.599999999999994</v>
      </c>
      <c r="H25" s="6"/>
    </row>
    <row r="26" spans="1:8" ht="11.1" customHeight="1">
      <c r="A26" s="11"/>
      <c r="B26" s="12"/>
      <c r="H26" s="6"/>
    </row>
    <row r="27" spans="1:8" ht="11.1" customHeight="1">
      <c r="A27" s="11" t="s">
        <v>13</v>
      </c>
      <c r="B27" s="12">
        <f>IF('[1]Data 7.2'!C203=0,"",'[1]Data 7.2'!C203)</f>
        <v>294.5</v>
      </c>
      <c r="C27" s="12">
        <f>IF('[1]Data 7.2'!C207=0,"",'[1]Data 7.2'!C207)</f>
        <v>295.89999999999998</v>
      </c>
      <c r="D27" s="12">
        <f>SUM(D22:D25)</f>
        <v>296.8</v>
      </c>
      <c r="E27" s="12">
        <f>SUM(E22:E25)</f>
        <v>297.79999999999995</v>
      </c>
      <c r="H27" s="6"/>
    </row>
    <row r="28" spans="1:8" ht="11.1" customHeight="1">
      <c r="A28" s="13"/>
      <c r="B28" s="14"/>
      <c r="C28" s="15"/>
      <c r="D28" s="15"/>
      <c r="E28" s="15"/>
      <c r="F28" s="15"/>
      <c r="H28" s="6"/>
    </row>
    <row r="29" spans="1:8" ht="19.899999999999999" customHeight="1">
      <c r="A29" s="9" t="s">
        <v>14</v>
      </c>
      <c r="B29" s="16"/>
      <c r="C29" s="17"/>
      <c r="D29" s="17"/>
      <c r="E29" s="17"/>
      <c r="H29" s="6"/>
    </row>
    <row r="30" spans="1:8" ht="3" customHeight="1">
      <c r="A30" s="18"/>
      <c r="B30" s="16"/>
      <c r="C30" s="19"/>
      <c r="D30" s="19"/>
      <c r="E30" s="19"/>
      <c r="H30" s="6"/>
    </row>
    <row r="31" spans="1:8" ht="11.1" customHeight="1">
      <c r="A31" s="11" t="s">
        <v>9</v>
      </c>
      <c r="B31" s="20">
        <f>IF('[1]Data 7.2'!F201=0," ",'[1]Data 7.2'!F201)</f>
        <v>40.5</v>
      </c>
      <c r="C31" s="20">
        <f>IF('[1]Data 7.2'!F205=0," ",'[1]Data 7.2'!F205)</f>
        <v>38</v>
      </c>
      <c r="D31" s="20">
        <f>'[1]Data 7.2'!F209</f>
        <v>39.700000000000003</v>
      </c>
      <c r="E31" s="20">
        <f>'[1]Data 7.2'!F213</f>
        <v>40.6</v>
      </c>
      <c r="F31" s="20">
        <f>'[1]Data 7.2'!F217</f>
        <v>43.1</v>
      </c>
      <c r="H31" s="6"/>
    </row>
    <row r="32" spans="1:8" ht="11.1" customHeight="1">
      <c r="A32" s="11" t="s">
        <v>10</v>
      </c>
      <c r="B32" s="20">
        <f>IF('[1]Data 7.2'!F202=0," ",'[1]Data 7.2'!F202)</f>
        <v>34.6</v>
      </c>
      <c r="C32" s="20">
        <f>IF('[1]Data 7.2'!F206=0," ",'[1]Data 7.2'!F206)</f>
        <v>35</v>
      </c>
      <c r="D32" s="20">
        <f>'[1]Data 7.2'!F210</f>
        <v>35.299999999999997</v>
      </c>
      <c r="E32" s="20">
        <f>'[1]Data 7.2'!F214</f>
        <v>35.1</v>
      </c>
      <c r="H32" s="6"/>
    </row>
    <row r="33" spans="1:12" ht="11.1" customHeight="1">
      <c r="A33" s="11" t="s">
        <v>11</v>
      </c>
      <c r="B33" s="20">
        <f>IF('[1]Data 7.2'!F203=0," ",'[1]Data 7.2'!F203)</f>
        <v>33.1</v>
      </c>
      <c r="C33" s="20">
        <f>IF('[1]Data 7.2'!F207=0," ",'[1]Data 7.2'!F207)</f>
        <v>32.700000000000003</v>
      </c>
      <c r="D33" s="20">
        <f>'[1]Data 7.2'!F211</f>
        <v>35.9</v>
      </c>
      <c r="E33" s="20">
        <f>'[1]Data 7.2'!F215</f>
        <v>34.700000000000003</v>
      </c>
      <c r="H33" s="6"/>
    </row>
    <row r="34" spans="1:12" ht="11.1" customHeight="1">
      <c r="A34" s="11" t="s">
        <v>12</v>
      </c>
      <c r="B34" s="20">
        <f>IF('[1]Data 7.2'!F204=0," ",'[1]Data 7.2'!F204)</f>
        <v>35.5</v>
      </c>
      <c r="C34" s="20">
        <f>IF('[1]Data 7.2'!F208=0," ",'[1]Data 7.2'!F208)</f>
        <v>35.799999999999997</v>
      </c>
      <c r="D34" s="20">
        <f>'[1]Data 7.2'!F212</f>
        <v>35.4</v>
      </c>
      <c r="E34" s="20">
        <f>'[1]Data 7.2'!F216</f>
        <v>36.1</v>
      </c>
      <c r="H34" s="6"/>
    </row>
    <row r="35" spans="1:12" ht="11.1" customHeight="1">
      <c r="A35" s="11"/>
      <c r="B35" s="20"/>
      <c r="H35" s="6"/>
    </row>
    <row r="36" spans="1:12" ht="11.1" customHeight="1">
      <c r="A36" s="11" t="s">
        <v>13</v>
      </c>
      <c r="B36" s="20">
        <f>IF('[1]Data 7.2'!G204=0," ",'[1]Data 7.2'!G204)</f>
        <v>143.69999999999999</v>
      </c>
      <c r="C36" s="12">
        <f>IF('[1]Data 7.2'!G208=0,"",'[1]Data 7.2'!G208)</f>
        <v>141.5</v>
      </c>
      <c r="D36" s="12">
        <f>SUM(D31:D34)</f>
        <v>146.30000000000001</v>
      </c>
      <c r="E36" s="12">
        <f>SUM(E31:E34)</f>
        <v>146.5</v>
      </c>
      <c r="H36" s="6"/>
    </row>
    <row r="37" spans="1:12" ht="11.1" customHeight="1">
      <c r="A37" s="13"/>
      <c r="B37" s="14"/>
      <c r="C37" s="21"/>
      <c r="D37" s="21"/>
      <c r="E37" s="21"/>
      <c r="F37" s="15"/>
      <c r="H37" s="6"/>
    </row>
    <row r="38" spans="1:12" ht="20.100000000000001" customHeight="1">
      <c r="A38" s="22" t="s">
        <v>15</v>
      </c>
      <c r="B38" s="23"/>
      <c r="C38" s="24"/>
      <c r="D38" s="24"/>
      <c r="E38" s="24"/>
      <c r="H38" s="6"/>
    </row>
    <row r="39" spans="1:12" ht="3" customHeight="1">
      <c r="A39" s="10"/>
      <c r="B39" s="23"/>
      <c r="C39" s="24"/>
      <c r="D39" s="24"/>
      <c r="E39" s="24"/>
      <c r="H39" s="6"/>
    </row>
    <row r="40" spans="1:12" ht="11.1" customHeight="1">
      <c r="A40" s="10" t="s">
        <v>9</v>
      </c>
      <c r="B40" s="20">
        <f>IF('[1]Data 7.2'!J201=0," ",'[1]Data 7.2'!J201)</f>
        <v>35</v>
      </c>
      <c r="C40" s="20">
        <f>IF('[1]Data 7.2'!J205=0," ",'[1]Data 7.2'!J205)</f>
        <v>36.700000000000003</v>
      </c>
      <c r="D40" s="20">
        <f>'[1]Data 7.2'!J209</f>
        <v>36.4</v>
      </c>
      <c r="E40" s="20">
        <f>'[1]Data 7.2'!J213</f>
        <v>34.4</v>
      </c>
      <c r="F40" s="20">
        <f>'[1]Data 7.2'!J217</f>
        <v>37.5</v>
      </c>
      <c r="H40" s="6"/>
    </row>
    <row r="41" spans="1:12" ht="11.1" customHeight="1">
      <c r="A41" s="10" t="s">
        <v>10</v>
      </c>
      <c r="B41" s="20">
        <f>IF('[1]Data 7.2'!J202=0," ",'[1]Data 7.2'!J202)</f>
        <v>39.9</v>
      </c>
      <c r="C41" s="20">
        <f>IF('[1]Data 7.2'!J206=0," ",'[1]Data 7.2'!J206)</f>
        <v>38.6</v>
      </c>
      <c r="D41" s="20">
        <f>'[1]Data 7.2'!J210</f>
        <v>35.200000000000003</v>
      </c>
      <c r="E41" s="20">
        <f>'[1]Data 7.2'!J214</f>
        <v>36.4</v>
      </c>
      <c r="H41" s="6"/>
    </row>
    <row r="42" spans="1:12" ht="11.1" customHeight="1">
      <c r="A42" s="10" t="s">
        <v>11</v>
      </c>
      <c r="B42" s="20">
        <f>IF('[1]Data 7.2'!J203=0," ",'[1]Data 7.2'!J203)</f>
        <v>40.1</v>
      </c>
      <c r="C42" s="20">
        <f>IF('[1]Data 7.2'!J207=0," ",'[1]Data 7.2'!J207)</f>
        <v>41</v>
      </c>
      <c r="D42" s="20">
        <f>'[1]Data 7.2'!J211</f>
        <v>40.200000000000003</v>
      </c>
      <c r="E42" s="20">
        <f>'[1]Data 7.2'!J215</f>
        <v>40.1</v>
      </c>
      <c r="H42" s="6"/>
    </row>
    <row r="43" spans="1:12" ht="11.1" customHeight="1">
      <c r="A43" s="10" t="s">
        <v>12</v>
      </c>
      <c r="B43" s="20">
        <f>IF('[1]Data 7.2'!J204=0," ",'[1]Data 7.2'!J204)</f>
        <v>38.4</v>
      </c>
      <c r="C43" s="20">
        <f>IF('[1]Data 7.2'!J208=0," ",'[1]Data 7.2'!J208)</f>
        <v>33.5</v>
      </c>
      <c r="D43" s="20">
        <f>'[1]Data 7.2'!J212</f>
        <v>38.799999999999997</v>
      </c>
      <c r="E43" s="20">
        <f>'[1]Data 7.2'!J216</f>
        <v>40.4</v>
      </c>
      <c r="H43" s="6"/>
    </row>
    <row r="44" spans="1:12" ht="11.1" customHeight="1">
      <c r="A44" s="10"/>
      <c r="B44" s="20"/>
      <c r="H44" s="6"/>
    </row>
    <row r="45" spans="1:12" ht="11.1" customHeight="1">
      <c r="A45" s="10" t="s">
        <v>13</v>
      </c>
      <c r="B45" s="20">
        <f>IF('[1]Data 7.2'!K204=0," ",'[1]Data 7.2'!K204)</f>
        <v>153.4</v>
      </c>
      <c r="C45" s="12">
        <f>IF('[1]Data 7.2'!K208=0,"",'[1]Data 7.2'!K208)</f>
        <v>149.80000000000001</v>
      </c>
      <c r="D45" s="12">
        <f>SUM(D40:D43)</f>
        <v>150.6</v>
      </c>
      <c r="E45" s="12">
        <f>SUM(E40:E43)</f>
        <v>151.30000000000001</v>
      </c>
      <c r="H45" s="25"/>
      <c r="I45" s="26"/>
      <c r="J45" s="26"/>
      <c r="K45" s="26"/>
      <c r="L45" s="26"/>
    </row>
    <row r="46" spans="1:12" ht="11.1" customHeight="1">
      <c r="A46" s="13"/>
      <c r="B46" s="14"/>
      <c r="C46" s="21"/>
      <c r="D46" s="21"/>
      <c r="E46" s="21"/>
      <c r="F46" s="15"/>
      <c r="H46" s="6"/>
    </row>
    <row r="47" spans="1:12" ht="19.899999999999999" customHeight="1">
      <c r="A47" s="27" t="s">
        <v>16</v>
      </c>
      <c r="B47" s="16"/>
      <c r="C47" s="17"/>
      <c r="D47" s="17"/>
      <c r="E47" s="17"/>
      <c r="H47" s="6"/>
    </row>
    <row r="48" spans="1:12" ht="3" customHeight="1">
      <c r="A48" s="18"/>
      <c r="E48" s="19"/>
      <c r="H48" s="6"/>
    </row>
    <row r="49" spans="1:10" ht="11.1" customHeight="1">
      <c r="A49" s="11" t="s">
        <v>9</v>
      </c>
      <c r="B49" s="16">
        <f>IF('[1]Data 7.2'!N201=0," ",'[1]Data 7.2'!N201)</f>
        <v>84.1</v>
      </c>
      <c r="C49" s="16">
        <f>IF('[1]Data 7.2'!N205=0," ",'[1]Data 7.2'!N205)</f>
        <v>62.5</v>
      </c>
      <c r="D49" s="16">
        <f>'[1]Data 7.2'!N209</f>
        <v>42.5</v>
      </c>
      <c r="E49" s="16">
        <f>'[1]Data 7.2'!N213</f>
        <v>44.7</v>
      </c>
      <c r="F49" s="16">
        <f>'[1]Data 7.2'!N217</f>
        <v>64.3</v>
      </c>
      <c r="H49" s="6"/>
    </row>
    <row r="50" spans="1:10" ht="11.1" customHeight="1">
      <c r="A50" s="11" t="s">
        <v>10</v>
      </c>
      <c r="B50" s="16">
        <f>IF('[1]Data 7.2'!N202=0," ",'[1]Data 7.2'!N202)</f>
        <v>73</v>
      </c>
      <c r="C50" s="16">
        <f>IF('[1]Data 7.2'!N206=0," ",'[1]Data 7.2'!N206)</f>
        <v>41.7</v>
      </c>
      <c r="D50" s="16">
        <f>'[1]Data 7.2'!N210</f>
        <v>34.5</v>
      </c>
      <c r="E50" s="16">
        <f>'[1]Data 7.2'!N214</f>
        <v>46</v>
      </c>
      <c r="H50" s="6"/>
    </row>
    <row r="51" spans="1:10" ht="11.1" customHeight="1">
      <c r="A51" s="11" t="s">
        <v>11</v>
      </c>
      <c r="B51" s="16">
        <f>IF('[1]Data 7.2'!N203=0," ",'[1]Data 7.2'!N203)</f>
        <v>88.7</v>
      </c>
      <c r="C51" s="16">
        <f>IF('[1]Data 7.2'!N207=0," ",'[1]Data 7.2'!N207)</f>
        <v>59.9</v>
      </c>
      <c r="D51" s="16">
        <f>'[1]Data 7.2'!N211</f>
        <v>57.8</v>
      </c>
      <c r="E51" s="16">
        <f>'[1]Data 7.2'!N215</f>
        <v>71</v>
      </c>
      <c r="H51" s="6"/>
    </row>
    <row r="52" spans="1:10" ht="11.1" customHeight="1">
      <c r="A52" s="11" t="s">
        <v>12</v>
      </c>
      <c r="B52" s="16">
        <f>IF('[1]Data 7.2'!N204=0," ",'[1]Data 7.2'!N204)</f>
        <v>54</v>
      </c>
      <c r="C52" s="16">
        <f>IF('[1]Data 7.2'!N208=0," ",'[1]Data 7.2'!N208)</f>
        <v>32</v>
      </c>
      <c r="D52" s="16">
        <f>'[1]Data 7.2'!N212</f>
        <v>35.5</v>
      </c>
      <c r="E52" s="16">
        <f>'[1]Data 7.2'!N216</f>
        <v>46.7</v>
      </c>
      <c r="H52" s="6"/>
    </row>
    <row r="53" spans="1:10" ht="11.1" customHeight="1">
      <c r="A53" s="11"/>
      <c r="B53" s="16"/>
      <c r="H53" s="6"/>
    </row>
    <row r="54" spans="1:10" ht="11.1" customHeight="1">
      <c r="A54" s="10" t="s">
        <v>13</v>
      </c>
      <c r="B54" s="16">
        <f>IF('[1]Data 7.2'!O204=0," ",'[1]Data 7.2'!O204)</f>
        <v>299.79999999999995</v>
      </c>
      <c r="C54" s="16">
        <f>IF('[1]Data 7.2'!O208=0," ",'[1]Data 7.2'!O208)</f>
        <v>196.10000000000002</v>
      </c>
      <c r="D54" s="16">
        <f>SUM(D49:D52)</f>
        <v>170.3</v>
      </c>
      <c r="E54" s="16">
        <f>SUM(E49:E52)</f>
        <v>208.39999999999998</v>
      </c>
      <c r="H54" s="6"/>
    </row>
    <row r="55" spans="1:10" ht="11.1" customHeight="1">
      <c r="A55" s="28"/>
      <c r="B55" s="29"/>
      <c r="C55" s="29"/>
      <c r="D55" s="29"/>
      <c r="E55" s="21"/>
      <c r="F55" s="21"/>
      <c r="H55" s="6"/>
    </row>
    <row r="56" spans="1:10" ht="7.9" customHeight="1">
      <c r="A56" s="30"/>
      <c r="B56" s="5"/>
      <c r="C56" s="5"/>
      <c r="D56" s="5"/>
      <c r="E56" s="5"/>
      <c r="F56" s="5"/>
      <c r="H56" s="6"/>
    </row>
    <row r="57" spans="1:10" ht="12.75" customHeight="1">
      <c r="A57" s="31" t="s">
        <v>17</v>
      </c>
      <c r="H57" s="6"/>
    </row>
    <row r="58" spans="1:10">
      <c r="A58" s="31" t="s">
        <v>18</v>
      </c>
      <c r="H58" s="6"/>
    </row>
    <row r="59" spans="1:10">
      <c r="H59" s="6"/>
      <c r="I59" s="32" t="s">
        <v>19</v>
      </c>
    </row>
    <row r="60" spans="1:10">
      <c r="A60" s="33" t="s">
        <v>20</v>
      </c>
      <c r="B60" s="34"/>
      <c r="C60" s="34"/>
      <c r="D60" s="34"/>
      <c r="E60" s="34"/>
      <c r="H60" s="6"/>
      <c r="I60" s="35">
        <f>'[2]Table 7.2a'!$C$40</f>
        <v>41445</v>
      </c>
      <c r="J60" s="35"/>
    </row>
    <row r="61" spans="1:10">
      <c r="H61" s="36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447675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2013-04-03T21:33:49Z</dcterms:created>
  <dcterms:modified xsi:type="dcterms:W3CDTF">2013-04-03T21:34:03Z</dcterms:modified>
</cp:coreProperties>
</file>