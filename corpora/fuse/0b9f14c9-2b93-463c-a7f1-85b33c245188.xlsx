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0115" windowHeight="8730"/>
  </bookViews>
  <sheets>
    <sheet name="Blank" sheetId="1" r:id="rId1"/>
    <sheet name="Example" sheetId="4" r:id="rId2"/>
  </sheets>
  <definedNames>
    <definedName name="_xlnm.Print_Area" localSheetId="0">Blank!$A$3:$I$42</definedName>
  </definedNames>
  <calcPr calcId="125725"/>
</workbook>
</file>

<file path=xl/calcChain.xml><?xml version="1.0" encoding="utf-8"?>
<calcChain xmlns="http://schemas.openxmlformats.org/spreadsheetml/2006/main">
  <c r="B22" i="1"/>
  <c r="H42"/>
  <c r="G41" i="4"/>
  <c r="H41" s="1"/>
  <c r="G40"/>
  <c r="H40" s="1"/>
  <c r="G39"/>
  <c r="H39" s="1"/>
  <c r="G38"/>
  <c r="H38" s="1"/>
  <c r="G37"/>
  <c r="H37" s="1"/>
  <c r="G36"/>
  <c r="H36" s="1"/>
  <c r="G35"/>
  <c r="H35" s="1"/>
  <c r="G34"/>
  <c r="H34" s="1"/>
  <c r="G33"/>
  <c r="H33" s="1"/>
  <c r="G32"/>
  <c r="H32" s="1"/>
  <c r="G31"/>
  <c r="H31" s="1"/>
  <c r="G30"/>
  <c r="H30" s="1"/>
  <c r="G29"/>
  <c r="H29" s="1"/>
  <c r="G28"/>
  <c r="H28" s="1"/>
  <c r="G27"/>
  <c r="H27" s="1"/>
  <c r="E20"/>
  <c r="A18" s="1"/>
  <c r="E20" i="1"/>
  <c r="G38"/>
  <c r="H38"/>
  <c r="G39"/>
  <c r="H39"/>
  <c r="G40"/>
  <c r="H40"/>
  <c r="G41"/>
  <c r="H41"/>
  <c r="G37"/>
  <c r="H37"/>
  <c r="G36"/>
  <c r="H36"/>
  <c r="G35"/>
  <c r="H35" s="1"/>
  <c r="G34"/>
  <c r="H34" s="1"/>
  <c r="G33"/>
  <c r="H33" s="1"/>
  <c r="G32"/>
  <c r="H32" s="1"/>
  <c r="G31"/>
  <c r="H31" s="1"/>
  <c r="G30"/>
  <c r="H30" s="1"/>
  <c r="G29"/>
  <c r="H29" s="1"/>
  <c r="G28"/>
  <c r="G27"/>
  <c r="H27" s="1"/>
  <c r="H28"/>
  <c r="A8" i="4" l="1"/>
  <c r="H42"/>
  <c r="B14"/>
  <c r="B16" s="1"/>
  <c r="A7"/>
  <c r="A7" i="1"/>
  <c r="A18"/>
  <c r="A8"/>
  <c r="B14"/>
  <c r="B16" s="1"/>
  <c r="B22" i="4" l="1"/>
  <c r="B23" s="1"/>
  <c r="B23" i="1"/>
</calcChain>
</file>

<file path=xl/comments1.xml><?xml version="1.0" encoding="utf-8"?>
<comments xmlns="http://schemas.openxmlformats.org/spreadsheetml/2006/main">
  <authors>
    <author>Nat Baker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CAC Popcorn Team: </t>
        </r>
        <r>
          <rPr>
            <sz val="9"/>
            <color indexed="81"/>
            <rFont val="Tahoma"/>
            <family val="2"/>
          </rPr>
          <t xml:space="preserve">Update this cell and hide row before sending out to parents.
</t>
        </r>
      </text>
    </comment>
  </commentList>
</comments>
</file>

<file path=xl/comments2.xml><?xml version="1.0" encoding="utf-8"?>
<comments xmlns="http://schemas.openxmlformats.org/spreadsheetml/2006/main">
  <authors>
    <author>Nat Baker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 xml:space="preserve">CAC Popcorn Team: </t>
        </r>
        <r>
          <rPr>
            <sz val="9"/>
            <color indexed="81"/>
            <rFont val="Tahoma"/>
            <family val="2"/>
          </rPr>
          <t xml:space="preserve">Update this cell and hide row before sending out to parents.
</t>
        </r>
      </text>
    </comment>
  </commentList>
</comments>
</file>

<file path=xl/sharedStrings.xml><?xml version="1.0" encoding="utf-8"?>
<sst xmlns="http://schemas.openxmlformats.org/spreadsheetml/2006/main" count="78" uniqueCount="39">
  <si>
    <t xml:space="preserve">Scout Name: </t>
  </si>
  <si>
    <t xml:space="preserve">Den: </t>
  </si>
  <si>
    <t>Popping Corn</t>
  </si>
  <si>
    <t>Caramel Corn</t>
  </si>
  <si>
    <t>Kettle Corn</t>
  </si>
  <si>
    <t>Kit</t>
  </si>
  <si>
    <t>Return</t>
  </si>
  <si>
    <t>Extra Taken</t>
  </si>
  <si>
    <t>Total Sold</t>
  </si>
  <si>
    <t>Total Sold $</t>
  </si>
  <si>
    <t>Total Sold $ =</t>
  </si>
  <si>
    <t>Online Sales</t>
  </si>
  <si>
    <t>Kit and Order Sales</t>
  </si>
  <si>
    <t>Total Popcorn Sales</t>
  </si>
  <si>
    <t>Commission earned</t>
  </si>
  <si>
    <t>Less:</t>
  </si>
  <si>
    <t>Additional commission due</t>
  </si>
  <si>
    <t>Quantity (enter positive numbers only)</t>
  </si>
  <si>
    <t>Instructions:</t>
  </si>
  <si>
    <t>1.  Complete the blue sections below.  Use positive numbers only</t>
  </si>
  <si>
    <t>Year in Scouting amount</t>
  </si>
  <si>
    <t>Orders to Fill</t>
  </si>
  <si>
    <t>Pack ### - Popcorn Return Form</t>
  </si>
  <si>
    <t>$50 Military Donation</t>
  </si>
  <si>
    <t>$30 Military Donation</t>
  </si>
  <si>
    <t>Chocolate Lover’s Collection Tin</t>
  </si>
  <si>
    <t>Sweet &amp; Savory Collection</t>
  </si>
  <si>
    <t>Cheese Lovers Collection</t>
  </si>
  <si>
    <t>White Chocolatey Pretzels</t>
  </si>
  <si>
    <t>Unbelievable Butter Microwave</t>
  </si>
  <si>
    <t>Butter Light Microwave</t>
  </si>
  <si>
    <t>Caramel Corn with Almonds &amp; Pecans</t>
  </si>
  <si>
    <t>Dark &amp; White Chocolatey Drizzle</t>
  </si>
  <si>
    <t>Bacon Ranch</t>
  </si>
  <si>
    <t>Buffalo Cheddar</t>
  </si>
  <si>
    <t>Sales Goal</t>
  </si>
  <si>
    <t>4.  Commission will automatically calculate.  Print form to turn in.  Commission checks are payable to "Pack ____"</t>
  </si>
  <si>
    <t>Anticipated Unit Commission</t>
  </si>
  <si>
    <t>(only select 38% if your unit will opt-out of prizes and qualify for the "Above and Beyond Commission"</t>
  </si>
</sst>
</file>

<file path=xl/styles.xml><?xml version="1.0" encoding="utf-8"?>
<styleSheet xmlns="http://schemas.openxmlformats.org/spreadsheetml/2006/main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</numFmts>
  <fonts count="13">
    <font>
      <sz val="10"/>
      <name val="Arial"/>
    </font>
    <font>
      <sz val="10"/>
      <name val="Arial"/>
    </font>
    <font>
      <sz val="10"/>
      <name val="Tahoma"/>
      <family val="2"/>
    </font>
    <font>
      <sz val="26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10"/>
      <name val="Arial"/>
      <family val="2"/>
    </font>
    <font>
      <b/>
      <sz val="10"/>
      <name val="Tahoma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44" fontId="0" fillId="0" borderId="0" xfId="2" applyFont="1" applyBorder="1" applyAlignment="1">
      <alignment horizontal="left"/>
    </xf>
    <xf numFmtId="0" fontId="0" fillId="0" borderId="0" xfId="0" applyAlignment="1">
      <alignment horizontal="left"/>
    </xf>
    <xf numFmtId="6" fontId="2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1" xfId="0" applyBorder="1"/>
    <xf numFmtId="43" fontId="0" fillId="0" borderId="0" xfId="1" applyFont="1" applyAlignment="1">
      <alignment horizontal="right"/>
    </xf>
    <xf numFmtId="0" fontId="2" fillId="0" borderId="0" xfId="0" applyFont="1" applyBorder="1" applyAlignment="1">
      <alignment horizontal="left"/>
    </xf>
    <xf numFmtId="168" fontId="0" fillId="0" borderId="2" xfId="1" applyNumberFormat="1" applyFont="1" applyBorder="1" applyAlignment="1">
      <alignment horizontal="right"/>
    </xf>
    <xf numFmtId="0" fontId="0" fillId="0" borderId="2" xfId="0" applyBorder="1" applyAlignment="1">
      <alignment horizontal="center"/>
    </xf>
    <xf numFmtId="168" fontId="0" fillId="0" borderId="2" xfId="1" applyNumberFormat="1" applyFont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168" fontId="0" fillId="0" borderId="3" xfId="1" applyNumberFormat="1" applyFont="1" applyBorder="1" applyAlignment="1">
      <alignment horizontal="center"/>
    </xf>
    <xf numFmtId="168" fontId="0" fillId="0" borderId="2" xfId="1" applyNumberFormat="1" applyFont="1" applyBorder="1"/>
    <xf numFmtId="0" fontId="8" fillId="0" borderId="2" xfId="0" applyFont="1" applyFill="1" applyBorder="1" applyAlignment="1">
      <alignment horizontal="center"/>
    </xf>
    <xf numFmtId="44" fontId="8" fillId="0" borderId="2" xfId="2" applyFont="1" applyBorder="1"/>
    <xf numFmtId="43" fontId="8" fillId="0" borderId="2" xfId="1" applyFont="1" applyBorder="1"/>
    <xf numFmtId="44" fontId="2" fillId="0" borderId="0" xfId="2" applyFont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44" fontId="8" fillId="0" borderId="4" xfId="2" applyFont="1" applyBorder="1" applyAlignment="1">
      <alignment horizontal="left"/>
    </xf>
    <xf numFmtId="168" fontId="4" fillId="2" borderId="3" xfId="1" applyNumberFormat="1" applyFont="1" applyFill="1" applyBorder="1" applyAlignment="1">
      <alignment horizontal="center"/>
    </xf>
    <xf numFmtId="168" fontId="4" fillId="2" borderId="3" xfId="1" applyNumberFormat="1" applyFont="1" applyFill="1" applyBorder="1"/>
    <xf numFmtId="168" fontId="4" fillId="2" borderId="2" xfId="1" applyNumberFormat="1" applyFont="1" applyFill="1" applyBorder="1" applyAlignment="1">
      <alignment horizontal="center"/>
    </xf>
    <xf numFmtId="168" fontId="4" fillId="2" borderId="2" xfId="1" applyNumberFormat="1" applyFont="1" applyFill="1" applyBorder="1"/>
    <xf numFmtId="44" fontId="4" fillId="2" borderId="5" xfId="2" applyFont="1" applyFill="1" applyBorder="1" applyAlignment="1">
      <alignment horizontal="left"/>
    </xf>
    <xf numFmtId="44" fontId="0" fillId="0" borderId="0" xfId="2" applyFont="1" applyAlignment="1">
      <alignment horizontal="right"/>
    </xf>
    <xf numFmtId="0" fontId="9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44" fontId="8" fillId="0" borderId="4" xfId="3" applyNumberFormat="1" applyFont="1" applyBorder="1" applyAlignment="1">
      <alignment horizontal="righ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6" xfId="0" applyFont="1" applyFill="1" applyBorder="1" applyAlignment="1"/>
    <xf numFmtId="0" fontId="8" fillId="0" borderId="7" xfId="0" applyFont="1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6" fillId="0" borderId="10" xfId="0" applyFont="1" applyBorder="1" applyAlignment="1">
      <alignment horizontal="left" indent="1"/>
    </xf>
    <xf numFmtId="0" fontId="0" fillId="0" borderId="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0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6" fontId="0" fillId="0" borderId="2" xfId="0" applyNumberFormat="1" applyBorder="1"/>
    <xf numFmtId="0" fontId="4" fillId="0" borderId="0" xfId="0" applyFont="1"/>
    <xf numFmtId="0" fontId="4" fillId="0" borderId="10" xfId="0" applyFont="1" applyBorder="1" applyAlignment="1">
      <alignment horizontal="left" indent="1"/>
    </xf>
    <xf numFmtId="0" fontId="4" fillId="0" borderId="12" xfId="0" applyFont="1" applyBorder="1" applyAlignment="1">
      <alignment horizontal="left" indent="1"/>
    </xf>
    <xf numFmtId="0" fontId="4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/>
    </xf>
    <xf numFmtId="9" fontId="8" fillId="3" borderId="0" xfId="3" applyFont="1" applyFill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2"/>
  <sheetViews>
    <sheetView tabSelected="1" zoomScaleNormal="100" workbookViewId="0">
      <selection activeCell="C22" sqref="C22"/>
    </sheetView>
  </sheetViews>
  <sheetFormatPr defaultRowHeight="18" customHeight="1"/>
  <cols>
    <col min="1" max="1" width="27.5703125" style="2" customWidth="1"/>
    <col min="2" max="2" width="11.5703125" style="2" customWidth="1"/>
    <col min="3" max="3" width="10.28515625" style="4" customWidth="1"/>
    <col min="4" max="4" width="11.7109375" customWidth="1"/>
    <col min="5" max="5" width="13.140625" customWidth="1"/>
    <col min="6" max="6" width="12.140625" bestFit="1" customWidth="1"/>
    <col min="7" max="7" width="13.85546875" bestFit="1" customWidth="1"/>
    <col min="8" max="8" width="13.42578125" customWidth="1"/>
    <col min="9" max="13" width="10.28515625" customWidth="1"/>
    <col min="14" max="14" width="9.140625" customWidth="1"/>
    <col min="15" max="15" width="9.140625" style="1"/>
  </cols>
  <sheetData>
    <row r="1" spans="1:15" ht="33">
      <c r="A1" s="59" t="s">
        <v>37</v>
      </c>
      <c r="B1" s="60">
        <v>0.32</v>
      </c>
      <c r="C1" s="58" t="s">
        <v>38</v>
      </c>
      <c r="D1" s="58"/>
      <c r="E1" s="58"/>
      <c r="F1" s="58"/>
      <c r="G1" s="58"/>
    </row>
    <row r="3" spans="1:15" s="8" customFormat="1" ht="18" customHeight="1">
      <c r="A3" s="50" t="s">
        <v>22</v>
      </c>
      <c r="O3" s="40"/>
    </row>
    <row r="4" spans="1:15" s="8" customFormat="1" ht="18" customHeight="1" thickBot="1">
      <c r="A4" s="39"/>
      <c r="O4" s="40"/>
    </row>
    <row r="5" spans="1:15" s="8" customFormat="1" ht="18" customHeight="1">
      <c r="A5" s="42" t="s">
        <v>18</v>
      </c>
      <c r="B5" s="43"/>
      <c r="C5" s="43"/>
      <c r="D5" s="43"/>
      <c r="E5" s="43"/>
      <c r="F5" s="43"/>
      <c r="G5" s="44"/>
      <c r="O5" s="40"/>
    </row>
    <row r="6" spans="1:15" s="8" customFormat="1" ht="18" customHeight="1">
      <c r="A6" s="45" t="s">
        <v>19</v>
      </c>
      <c r="B6" s="46"/>
      <c r="C6" s="46"/>
      <c r="D6" s="46"/>
      <c r="E6" s="46"/>
      <c r="F6" s="46"/>
      <c r="G6" s="47"/>
      <c r="O6" s="40"/>
    </row>
    <row r="7" spans="1:15" s="8" customFormat="1" ht="18" customHeight="1">
      <c r="A7" s="56" t="str">
        <f>"2.  If your scout sold "&amp;TEXT(E20,"$#")&amp;" or more of popcorn, then no commission due.  Print form to turn in."</f>
        <v>2.  If your scout sold $313 or more of popcorn, then no commission due.  Print form to turn in.</v>
      </c>
      <c r="B7" s="46"/>
      <c r="C7" s="46"/>
      <c r="D7" s="46"/>
      <c r="E7" s="46"/>
      <c r="F7" s="46"/>
      <c r="G7" s="47"/>
      <c r="O7" s="40"/>
    </row>
    <row r="8" spans="1:15" s="8" customFormat="1" ht="18" customHeight="1">
      <c r="A8" s="45" t="str">
        <f>"3.  If your scout sold less than "&amp;TEXT(E20,"$#")&amp;", an additional commission is due."</f>
        <v>3.  If your scout sold less than $313, an additional commission is due.</v>
      </c>
      <c r="B8" s="46"/>
      <c r="C8" s="46"/>
      <c r="D8" s="46"/>
      <c r="E8" s="46"/>
      <c r="F8" s="46"/>
      <c r="G8" s="47"/>
      <c r="O8" s="40"/>
    </row>
    <row r="9" spans="1:15" s="8" customFormat="1" ht="18" customHeight="1" thickBot="1">
      <c r="A9" s="57" t="s">
        <v>36</v>
      </c>
      <c r="B9" s="48"/>
      <c r="C9" s="48"/>
      <c r="D9" s="48"/>
      <c r="E9" s="48"/>
      <c r="F9" s="48"/>
      <c r="G9" s="49"/>
      <c r="O9" s="40"/>
    </row>
    <row r="11" spans="1:15" ht="18" customHeight="1">
      <c r="A11" s="11" t="s">
        <v>0</v>
      </c>
      <c r="B11" s="53"/>
      <c r="C11" s="53"/>
      <c r="D11" s="53"/>
      <c r="E11" s="53"/>
      <c r="F11" s="5"/>
      <c r="G11" s="5"/>
      <c r="H11" s="5"/>
      <c r="I11" s="5"/>
      <c r="J11" s="5"/>
      <c r="K11" s="5"/>
      <c r="L11" s="5"/>
      <c r="M11" s="5"/>
    </row>
    <row r="12" spans="1:15" ht="18" customHeight="1">
      <c r="A12" s="11" t="s">
        <v>1</v>
      </c>
      <c r="B12" s="41"/>
      <c r="C12" s="6"/>
    </row>
    <row r="13" spans="1:15" ht="18" customHeight="1">
      <c r="A13" s="11"/>
      <c r="B13" s="14"/>
      <c r="C13" s="6"/>
    </row>
    <row r="14" spans="1:15" ht="18" customHeight="1">
      <c r="A14" s="3" t="s">
        <v>12</v>
      </c>
      <c r="B14" s="25">
        <f>+H42</f>
        <v>385</v>
      </c>
      <c r="C14" s="6"/>
    </row>
    <row r="15" spans="1:15" ht="18" customHeight="1">
      <c r="A15" s="27" t="s">
        <v>11</v>
      </c>
      <c r="B15" s="34"/>
      <c r="C15" s="10"/>
    </row>
    <row r="16" spans="1:15" ht="18" customHeight="1" thickBot="1">
      <c r="A16" s="28" t="s">
        <v>13</v>
      </c>
      <c r="B16" s="29">
        <f>SUM(B14:B15)</f>
        <v>385</v>
      </c>
      <c r="C16" s="10"/>
    </row>
    <row r="17" spans="1:8" ht="18" customHeight="1" thickTop="1">
      <c r="A17" s="27"/>
      <c r="B17" s="7"/>
      <c r="C17" s="10"/>
    </row>
    <row r="18" spans="1:8" ht="18" customHeight="1">
      <c r="A18" s="11" t="str">
        <f>"If sold less than "&amp;TEXT(E20,"$#")&amp;", your additional commission is calculated below:"</f>
        <v>If sold less than $313, your additional commission is calculated below:</v>
      </c>
      <c r="B18" s="9"/>
      <c r="C18" s="10"/>
    </row>
    <row r="19" spans="1:8" ht="18" customHeight="1">
      <c r="A19" s="3"/>
      <c r="C19" s="10"/>
    </row>
    <row r="20" spans="1:8" ht="18" customHeight="1">
      <c r="A20" s="3" t="s">
        <v>20</v>
      </c>
      <c r="B20" s="35">
        <v>100</v>
      </c>
      <c r="C20" s="10"/>
      <c r="D20" s="55" t="s">
        <v>35</v>
      </c>
      <c r="E20" s="35">
        <f>ROUNDUP(B20/B1,0)</f>
        <v>313</v>
      </c>
    </row>
    <row r="21" spans="1:8" ht="18" customHeight="1">
      <c r="A21" s="3" t="s">
        <v>15</v>
      </c>
      <c r="B21" s="35"/>
      <c r="C21" s="10"/>
    </row>
    <row r="22" spans="1:8" ht="18" customHeight="1">
      <c r="A22" s="37" t="s">
        <v>14</v>
      </c>
      <c r="B22" s="13">
        <f>ROUNDDOWN(IF(B16&gt;=E20,B20,(B16*B1)),0)</f>
        <v>100</v>
      </c>
      <c r="C22" s="36"/>
    </row>
    <row r="23" spans="1:8" ht="20.25" customHeight="1" thickBot="1">
      <c r="A23" s="11" t="s">
        <v>16</v>
      </c>
      <c r="B23" s="38">
        <f>+B20-B22</f>
        <v>0</v>
      </c>
      <c r="C23" s="10"/>
    </row>
    <row r="24" spans="1:8" ht="18" customHeight="1" thickTop="1">
      <c r="A24" s="3"/>
      <c r="D24" s="6"/>
    </row>
    <row r="25" spans="1:8" ht="18" customHeight="1">
      <c r="A25" s="3"/>
      <c r="C25" s="2"/>
      <c r="D25" s="51" t="s">
        <v>17</v>
      </c>
      <c r="E25" s="52"/>
      <c r="F25" s="52"/>
      <c r="G25" s="52"/>
    </row>
    <row r="26" spans="1:8" ht="18" customHeight="1">
      <c r="A26" s="3"/>
      <c r="C26" s="16" t="s">
        <v>5</v>
      </c>
      <c r="D26" s="16" t="s">
        <v>6</v>
      </c>
      <c r="E26" s="16" t="s">
        <v>7</v>
      </c>
      <c r="F26" s="26" t="s">
        <v>21</v>
      </c>
      <c r="G26" s="18" t="s">
        <v>8</v>
      </c>
      <c r="H26" s="22" t="s">
        <v>9</v>
      </c>
    </row>
    <row r="27" spans="1:8" ht="18" customHeight="1">
      <c r="A27" s="19" t="s">
        <v>23</v>
      </c>
      <c r="B27" s="54">
        <v>50</v>
      </c>
      <c r="C27" s="20">
        <v>1</v>
      </c>
      <c r="D27" s="30"/>
      <c r="E27" s="31"/>
      <c r="F27" s="31"/>
      <c r="G27" s="21">
        <f>+C27-D27+E27+F27</f>
        <v>1</v>
      </c>
      <c r="H27" s="23">
        <f t="shared" ref="H27:H37" si="0">+G27*B27</f>
        <v>50</v>
      </c>
    </row>
    <row r="28" spans="1:8" ht="18" customHeight="1">
      <c r="A28" s="12" t="s">
        <v>24</v>
      </c>
      <c r="B28" s="54">
        <v>30</v>
      </c>
      <c r="C28" s="17">
        <v>0</v>
      </c>
      <c r="D28" s="32"/>
      <c r="E28" s="33"/>
      <c r="F28" s="33"/>
      <c r="G28" s="21">
        <f t="shared" ref="G28:G37" si="1">+C28-D28+E28+F28</f>
        <v>0</v>
      </c>
      <c r="H28" s="24">
        <f t="shared" si="0"/>
        <v>0</v>
      </c>
    </row>
    <row r="29" spans="1:8" ht="18" customHeight="1">
      <c r="A29" s="12" t="s">
        <v>25</v>
      </c>
      <c r="B29" s="54">
        <v>55</v>
      </c>
      <c r="C29" s="17">
        <v>0</v>
      </c>
      <c r="D29" s="32"/>
      <c r="E29" s="33"/>
      <c r="F29" s="33"/>
      <c r="G29" s="21">
        <f t="shared" si="1"/>
        <v>0</v>
      </c>
      <c r="H29" s="24">
        <f t="shared" si="0"/>
        <v>0</v>
      </c>
    </row>
    <row r="30" spans="1:8" ht="18" customHeight="1">
      <c r="A30" s="12" t="s">
        <v>26</v>
      </c>
      <c r="B30" s="54">
        <v>40</v>
      </c>
      <c r="C30" s="17">
        <v>0</v>
      </c>
      <c r="D30" s="32"/>
      <c r="E30" s="33"/>
      <c r="F30" s="33"/>
      <c r="G30" s="21">
        <f t="shared" si="1"/>
        <v>0</v>
      </c>
      <c r="H30" s="24">
        <f t="shared" si="0"/>
        <v>0</v>
      </c>
    </row>
    <row r="31" spans="1:8" ht="18" customHeight="1">
      <c r="A31" s="12" t="s">
        <v>27</v>
      </c>
      <c r="B31" s="54">
        <v>30</v>
      </c>
      <c r="C31" s="17">
        <v>2</v>
      </c>
      <c r="D31" s="32"/>
      <c r="E31" s="33"/>
      <c r="F31" s="33"/>
      <c r="G31" s="21">
        <f t="shared" si="1"/>
        <v>2</v>
      </c>
      <c r="H31" s="24">
        <f t="shared" si="0"/>
        <v>60</v>
      </c>
    </row>
    <row r="32" spans="1:8" ht="18" customHeight="1">
      <c r="A32" s="12" t="s">
        <v>28</v>
      </c>
      <c r="B32" s="54">
        <v>25</v>
      </c>
      <c r="C32" s="17">
        <v>4</v>
      </c>
      <c r="D32" s="32"/>
      <c r="E32" s="33"/>
      <c r="F32" s="33"/>
      <c r="G32" s="21">
        <f t="shared" si="1"/>
        <v>4</v>
      </c>
      <c r="H32" s="24">
        <f t="shared" si="0"/>
        <v>100</v>
      </c>
    </row>
    <row r="33" spans="1:8" ht="18" customHeight="1">
      <c r="A33" s="12" t="s">
        <v>29</v>
      </c>
      <c r="B33" s="54">
        <v>20</v>
      </c>
      <c r="C33" s="17">
        <v>3</v>
      </c>
      <c r="D33" s="32"/>
      <c r="E33" s="33"/>
      <c r="F33" s="33"/>
      <c r="G33" s="21">
        <f t="shared" si="1"/>
        <v>3</v>
      </c>
      <c r="H33" s="24">
        <f t="shared" si="0"/>
        <v>60</v>
      </c>
    </row>
    <row r="34" spans="1:8" ht="18" customHeight="1">
      <c r="A34" s="12" t="s">
        <v>30</v>
      </c>
      <c r="B34" s="54">
        <v>20</v>
      </c>
      <c r="C34" s="17">
        <v>2</v>
      </c>
      <c r="D34" s="32"/>
      <c r="E34" s="33"/>
      <c r="F34" s="33"/>
      <c r="G34" s="21">
        <f t="shared" si="1"/>
        <v>2</v>
      </c>
      <c r="H34" s="24">
        <f t="shared" si="0"/>
        <v>40</v>
      </c>
    </row>
    <row r="35" spans="1:8" ht="18" customHeight="1">
      <c r="A35" s="12" t="s">
        <v>31</v>
      </c>
      <c r="B35" s="54">
        <v>20</v>
      </c>
      <c r="C35" s="17">
        <v>0</v>
      </c>
      <c r="D35" s="32"/>
      <c r="E35" s="33"/>
      <c r="F35" s="33"/>
      <c r="G35" s="21">
        <f t="shared" si="1"/>
        <v>0</v>
      </c>
      <c r="H35" s="24">
        <f t="shared" si="0"/>
        <v>0</v>
      </c>
    </row>
    <row r="36" spans="1:8" ht="18" customHeight="1">
      <c r="A36" s="12" t="s">
        <v>32</v>
      </c>
      <c r="B36" s="54">
        <v>20</v>
      </c>
      <c r="C36" s="17">
        <v>3</v>
      </c>
      <c r="D36" s="32"/>
      <c r="E36" s="33"/>
      <c r="F36" s="33"/>
      <c r="G36" s="21">
        <f t="shared" si="1"/>
        <v>3</v>
      </c>
      <c r="H36" s="24">
        <f t="shared" si="0"/>
        <v>60</v>
      </c>
    </row>
    <row r="37" spans="1:8" ht="18" customHeight="1">
      <c r="A37" s="12" t="s">
        <v>33</v>
      </c>
      <c r="B37" s="54">
        <v>15</v>
      </c>
      <c r="C37" s="17">
        <v>1</v>
      </c>
      <c r="D37" s="32"/>
      <c r="E37" s="33"/>
      <c r="F37" s="33"/>
      <c r="G37" s="21">
        <f t="shared" si="1"/>
        <v>1</v>
      </c>
      <c r="H37" s="24">
        <f t="shared" si="0"/>
        <v>15</v>
      </c>
    </row>
    <row r="38" spans="1:8" ht="18" customHeight="1">
      <c r="A38" s="12" t="s">
        <v>34</v>
      </c>
      <c r="B38" s="54">
        <v>15</v>
      </c>
      <c r="C38" s="17"/>
      <c r="D38" s="32"/>
      <c r="E38" s="33"/>
      <c r="F38" s="33"/>
      <c r="G38" s="21">
        <f t="shared" ref="G38:G41" si="2">+C38-D38+E38+F38</f>
        <v>0</v>
      </c>
      <c r="H38" s="24">
        <f t="shared" ref="H38:H41" si="3">+G38*B38</f>
        <v>0</v>
      </c>
    </row>
    <row r="39" spans="1:8" ht="18" customHeight="1">
      <c r="A39" s="12" t="s">
        <v>4</v>
      </c>
      <c r="B39" s="54">
        <v>15</v>
      </c>
      <c r="C39" s="17"/>
      <c r="D39" s="32"/>
      <c r="E39" s="33"/>
      <c r="F39" s="33"/>
      <c r="G39" s="21">
        <f t="shared" si="2"/>
        <v>0</v>
      </c>
      <c r="H39" s="24">
        <f t="shared" si="3"/>
        <v>0</v>
      </c>
    </row>
    <row r="40" spans="1:8" ht="18" customHeight="1">
      <c r="A40" s="12" t="s">
        <v>3</v>
      </c>
      <c r="B40" s="54">
        <v>10</v>
      </c>
      <c r="C40" s="17"/>
      <c r="D40" s="32"/>
      <c r="E40" s="33"/>
      <c r="F40" s="33"/>
      <c r="G40" s="21">
        <f t="shared" si="2"/>
        <v>0</v>
      </c>
      <c r="H40" s="24">
        <f t="shared" si="3"/>
        <v>0</v>
      </c>
    </row>
    <row r="41" spans="1:8" ht="18" customHeight="1">
      <c r="A41" s="12" t="s">
        <v>2</v>
      </c>
      <c r="B41" s="54">
        <v>10</v>
      </c>
      <c r="C41" s="17"/>
      <c r="D41" s="32"/>
      <c r="E41" s="33"/>
      <c r="F41" s="33"/>
      <c r="G41" s="21">
        <f t="shared" si="2"/>
        <v>0</v>
      </c>
      <c r="H41" s="24">
        <f t="shared" si="3"/>
        <v>0</v>
      </c>
    </row>
    <row r="42" spans="1:8" ht="18" customHeight="1">
      <c r="G42" s="15" t="s">
        <v>10</v>
      </c>
      <c r="H42" s="23">
        <f>SUM(H27:H41)</f>
        <v>385</v>
      </c>
    </row>
  </sheetData>
  <mergeCells count="3">
    <mergeCell ref="C1:G1"/>
    <mergeCell ref="D25:G25"/>
    <mergeCell ref="B11:E11"/>
  </mergeCells>
  <phoneticPr fontId="0" type="noConversion"/>
  <dataValidations disablePrompts="1" count="1">
    <dataValidation type="list" allowBlank="1" showInputMessage="1" showErrorMessage="1" sqref="B1">
      <formula1>".32,.35,.38"</formula1>
    </dataValidation>
  </dataValidations>
  <printOptions horizontalCentered="1"/>
  <pageMargins left="0.45" right="0.45" top="0.75" bottom="0.75" header="0.3" footer="0.3"/>
  <pageSetup scale="7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2"/>
  <sheetViews>
    <sheetView topLeftCell="A3" workbookViewId="0">
      <selection activeCell="A4" sqref="A4"/>
    </sheetView>
  </sheetViews>
  <sheetFormatPr defaultRowHeight="18" customHeight="1"/>
  <cols>
    <col min="1" max="1" width="27.5703125" style="2" customWidth="1"/>
    <col min="2" max="2" width="11.5703125" style="2" customWidth="1"/>
    <col min="3" max="3" width="10.28515625" style="4" customWidth="1"/>
    <col min="4" max="4" width="11.7109375" customWidth="1"/>
    <col min="5" max="5" width="13.140625" customWidth="1"/>
    <col min="6" max="6" width="12.140625" bestFit="1" customWidth="1"/>
    <col min="7" max="7" width="13.85546875" bestFit="1" customWidth="1"/>
    <col min="8" max="8" width="13.42578125" customWidth="1"/>
    <col min="9" max="13" width="10.28515625" customWidth="1"/>
    <col min="14" max="14" width="9.140625" customWidth="1"/>
    <col min="15" max="15" width="9.140625" style="1"/>
  </cols>
  <sheetData>
    <row r="1" spans="1:15" s="8" customFormat="1" ht="18" hidden="1" customHeight="1">
      <c r="A1" s="59" t="s">
        <v>37</v>
      </c>
      <c r="B1" s="60">
        <v>0.32</v>
      </c>
      <c r="C1" s="58" t="s">
        <v>38</v>
      </c>
      <c r="D1" s="58"/>
      <c r="E1" s="58"/>
      <c r="F1" s="58"/>
      <c r="G1" s="58"/>
      <c r="H1"/>
      <c r="O1" s="40"/>
    </row>
    <row r="2" spans="1:15" s="8" customFormat="1" ht="18" hidden="1" customHeight="1">
      <c r="A2" s="2"/>
      <c r="B2" s="2"/>
      <c r="C2" s="4"/>
      <c r="D2"/>
      <c r="E2"/>
      <c r="F2"/>
      <c r="G2"/>
      <c r="H2"/>
      <c r="O2" s="40"/>
    </row>
    <row r="3" spans="1:15" s="8" customFormat="1" ht="18" customHeight="1">
      <c r="A3" s="50" t="s">
        <v>22</v>
      </c>
      <c r="O3" s="40"/>
    </row>
    <row r="4" spans="1:15" s="8" customFormat="1" ht="18" customHeight="1" thickBot="1">
      <c r="A4" s="39"/>
      <c r="O4" s="40"/>
    </row>
    <row r="5" spans="1:15" s="8" customFormat="1" ht="18" customHeight="1">
      <c r="A5" s="42" t="s">
        <v>18</v>
      </c>
      <c r="B5" s="43"/>
      <c r="C5" s="43"/>
      <c r="D5" s="43"/>
      <c r="E5" s="43"/>
      <c r="F5" s="43"/>
      <c r="G5" s="44"/>
      <c r="O5" s="40"/>
    </row>
    <row r="6" spans="1:15" s="8" customFormat="1" ht="18" customHeight="1">
      <c r="A6" s="45" t="s">
        <v>19</v>
      </c>
      <c r="B6" s="46"/>
      <c r="C6" s="46"/>
      <c r="D6" s="46"/>
      <c r="E6" s="46"/>
      <c r="F6" s="46"/>
      <c r="G6" s="47"/>
      <c r="O6" s="40"/>
    </row>
    <row r="7" spans="1:15" s="8" customFormat="1" ht="18" customHeight="1">
      <c r="A7" s="56" t="str">
        <f>"2.  If your scout sold "&amp;TEXT(E20,"$#")&amp;" or more of popcorn, then no commission due.  Print form to turn in."</f>
        <v>2.  If your scout sold $313 or more of popcorn, then no commission due.  Print form to turn in.</v>
      </c>
      <c r="B7" s="46"/>
      <c r="C7" s="46"/>
      <c r="D7" s="46"/>
      <c r="E7" s="46"/>
      <c r="F7" s="46"/>
      <c r="G7" s="47"/>
      <c r="O7" s="40"/>
    </row>
    <row r="8" spans="1:15" ht="18" customHeight="1">
      <c r="A8" s="45" t="str">
        <f>"3.  If your scout sold less than "&amp;TEXT(E20,"$#")&amp;", an additional commission is due."</f>
        <v>3.  If your scout sold less than $313, an additional commission is due.</v>
      </c>
      <c r="B8" s="46"/>
      <c r="C8" s="46"/>
      <c r="D8" s="46"/>
      <c r="E8" s="46"/>
      <c r="F8" s="46"/>
      <c r="G8" s="47"/>
      <c r="H8" s="8"/>
    </row>
    <row r="9" spans="1:15" ht="18" customHeight="1" thickBot="1">
      <c r="A9" s="57" t="s">
        <v>36</v>
      </c>
      <c r="B9" s="48"/>
      <c r="C9" s="48"/>
      <c r="D9" s="48"/>
      <c r="E9" s="48"/>
      <c r="F9" s="48"/>
      <c r="G9" s="49"/>
      <c r="H9" s="8"/>
      <c r="I9" s="5"/>
      <c r="J9" s="5"/>
      <c r="K9" s="5"/>
      <c r="L9" s="5"/>
      <c r="M9" s="5"/>
    </row>
    <row r="11" spans="1:15" ht="18" customHeight="1">
      <c r="A11" s="11" t="s">
        <v>0</v>
      </c>
      <c r="B11" s="53"/>
      <c r="C11" s="53"/>
      <c r="D11" s="53"/>
      <c r="E11" s="53"/>
      <c r="F11" s="5"/>
      <c r="G11" s="5"/>
      <c r="H11" s="5"/>
    </row>
    <row r="12" spans="1:15" ht="18" customHeight="1">
      <c r="A12" s="11" t="s">
        <v>1</v>
      </c>
      <c r="B12" s="41"/>
      <c r="C12" s="6"/>
    </row>
    <row r="13" spans="1:15" ht="18" customHeight="1">
      <c r="A13" s="11"/>
      <c r="B13" s="14"/>
      <c r="C13" s="6"/>
    </row>
    <row r="14" spans="1:15" ht="18" customHeight="1">
      <c r="A14" s="3" t="s">
        <v>12</v>
      </c>
      <c r="B14" s="25">
        <f>+H42</f>
        <v>350</v>
      </c>
      <c r="C14" s="6"/>
    </row>
    <row r="15" spans="1:15" ht="18" customHeight="1">
      <c r="A15" s="27" t="s">
        <v>11</v>
      </c>
      <c r="B15" s="34"/>
      <c r="C15" s="10"/>
    </row>
    <row r="16" spans="1:15" ht="18" customHeight="1" thickBot="1">
      <c r="A16" s="28" t="s">
        <v>13</v>
      </c>
      <c r="B16" s="29">
        <f>SUM(B14:B15)</f>
        <v>350</v>
      </c>
      <c r="C16" s="10"/>
    </row>
    <row r="17" spans="1:8" ht="9" customHeight="1" thickTop="1">
      <c r="A17" s="27"/>
      <c r="B17" s="7"/>
      <c r="C17" s="10"/>
    </row>
    <row r="18" spans="1:8" ht="18" customHeight="1">
      <c r="A18" s="11" t="str">
        <f>"If sold less than "&amp;TEXT(E20,"$#")&amp;", your additional commission is calculated below:"</f>
        <v>If sold less than $313, your additional commission is calculated below:</v>
      </c>
      <c r="B18" s="9"/>
      <c r="C18" s="10"/>
    </row>
    <row r="19" spans="1:8" ht="18" customHeight="1">
      <c r="A19" s="3"/>
      <c r="C19" s="10"/>
    </row>
    <row r="20" spans="1:8" ht="18" customHeight="1">
      <c r="A20" s="3" t="s">
        <v>20</v>
      </c>
      <c r="B20" s="35">
        <v>100</v>
      </c>
      <c r="C20" s="10"/>
      <c r="D20" s="55" t="s">
        <v>35</v>
      </c>
      <c r="E20" s="35">
        <f>ROUNDUP(B20/B1,0)</f>
        <v>313</v>
      </c>
    </row>
    <row r="21" spans="1:8" ht="20.25" customHeight="1">
      <c r="A21" s="3" t="s">
        <v>15</v>
      </c>
      <c r="B21" s="35"/>
      <c r="C21" s="10"/>
    </row>
    <row r="22" spans="1:8" ht="18" customHeight="1">
      <c r="A22" s="37" t="s">
        <v>14</v>
      </c>
      <c r="B22" s="13">
        <f>ROUNDDOWN(IF(B16&gt;=E20,B20,(B16*B1)),0)</f>
        <v>100</v>
      </c>
      <c r="C22" s="36"/>
    </row>
    <row r="23" spans="1:8" ht="18" customHeight="1" thickBot="1">
      <c r="A23" s="11" t="s">
        <v>16</v>
      </c>
      <c r="B23" s="38">
        <f>+B20-B22</f>
        <v>0</v>
      </c>
      <c r="C23" s="10"/>
    </row>
    <row r="24" spans="1:8" ht="18" customHeight="1" thickTop="1">
      <c r="A24" s="3"/>
      <c r="D24" s="6"/>
    </row>
    <row r="25" spans="1:8" ht="18" customHeight="1">
      <c r="A25" s="3"/>
      <c r="C25" s="2"/>
      <c r="D25" s="51" t="s">
        <v>17</v>
      </c>
      <c r="E25" s="52"/>
      <c r="F25" s="52"/>
      <c r="G25" s="52"/>
    </row>
    <row r="26" spans="1:8" ht="18" customHeight="1">
      <c r="A26" s="3"/>
      <c r="C26" s="16" t="s">
        <v>5</v>
      </c>
      <c r="D26" s="16" t="s">
        <v>6</v>
      </c>
      <c r="E26" s="16" t="s">
        <v>7</v>
      </c>
      <c r="F26" s="26" t="s">
        <v>21</v>
      </c>
      <c r="G26" s="18" t="s">
        <v>8</v>
      </c>
      <c r="H26" s="22" t="s">
        <v>9</v>
      </c>
    </row>
    <row r="27" spans="1:8" ht="18" customHeight="1">
      <c r="A27" s="19" t="s">
        <v>23</v>
      </c>
      <c r="B27" s="54">
        <v>50</v>
      </c>
      <c r="C27" s="20">
        <v>1</v>
      </c>
      <c r="D27" s="30">
        <v>1</v>
      </c>
      <c r="E27" s="31"/>
      <c r="F27" s="31"/>
      <c r="G27" s="21">
        <f>+C27-D27+E27+F27</f>
        <v>0</v>
      </c>
      <c r="H27" s="23">
        <f t="shared" ref="H27:H41" si="0">+G27*B27</f>
        <v>0</v>
      </c>
    </row>
    <row r="28" spans="1:8" ht="18" customHeight="1">
      <c r="A28" s="12" t="s">
        <v>24</v>
      </c>
      <c r="B28" s="54">
        <v>30</v>
      </c>
      <c r="C28" s="17">
        <v>0</v>
      </c>
      <c r="D28" s="32"/>
      <c r="E28" s="33"/>
      <c r="F28" s="33"/>
      <c r="G28" s="21">
        <f t="shared" ref="G28:G41" si="1">+C28-D28+E28+F28</f>
        <v>0</v>
      </c>
      <c r="H28" s="24">
        <f t="shared" si="0"/>
        <v>0</v>
      </c>
    </row>
    <row r="29" spans="1:8" ht="18" customHeight="1">
      <c r="A29" s="12" t="s">
        <v>25</v>
      </c>
      <c r="B29" s="54">
        <v>55</v>
      </c>
      <c r="C29" s="17">
        <v>0</v>
      </c>
      <c r="D29" s="32"/>
      <c r="E29" s="33"/>
      <c r="F29" s="33"/>
      <c r="G29" s="21">
        <f t="shared" si="1"/>
        <v>0</v>
      </c>
      <c r="H29" s="24">
        <f t="shared" si="0"/>
        <v>0</v>
      </c>
    </row>
    <row r="30" spans="1:8" ht="18" customHeight="1">
      <c r="A30" s="12" t="s">
        <v>26</v>
      </c>
      <c r="B30" s="54">
        <v>40</v>
      </c>
      <c r="C30" s="17">
        <v>0</v>
      </c>
      <c r="D30" s="32"/>
      <c r="E30" s="33"/>
      <c r="F30" s="33"/>
      <c r="G30" s="21">
        <f t="shared" si="1"/>
        <v>0</v>
      </c>
      <c r="H30" s="24">
        <f t="shared" si="0"/>
        <v>0</v>
      </c>
    </row>
    <row r="31" spans="1:8" ht="18" customHeight="1">
      <c r="A31" s="12" t="s">
        <v>27</v>
      </c>
      <c r="B31" s="54">
        <v>30</v>
      </c>
      <c r="C31" s="17">
        <v>2</v>
      </c>
      <c r="D31" s="32">
        <v>1</v>
      </c>
      <c r="E31" s="33"/>
      <c r="F31" s="33"/>
      <c r="G31" s="21">
        <f t="shared" si="1"/>
        <v>1</v>
      </c>
      <c r="H31" s="24">
        <f t="shared" si="0"/>
        <v>30</v>
      </c>
    </row>
    <row r="32" spans="1:8" ht="18" customHeight="1">
      <c r="A32" s="12" t="s">
        <v>28</v>
      </c>
      <c r="B32" s="54">
        <v>25</v>
      </c>
      <c r="C32" s="17">
        <v>4</v>
      </c>
      <c r="D32" s="32">
        <v>3</v>
      </c>
      <c r="E32" s="33"/>
      <c r="F32" s="33"/>
      <c r="G32" s="21">
        <f t="shared" si="1"/>
        <v>1</v>
      </c>
      <c r="H32" s="24">
        <f t="shared" si="0"/>
        <v>25</v>
      </c>
    </row>
    <row r="33" spans="1:8" ht="18" customHeight="1">
      <c r="A33" s="12" t="s">
        <v>29</v>
      </c>
      <c r="B33" s="54">
        <v>20</v>
      </c>
      <c r="C33" s="17">
        <v>3</v>
      </c>
      <c r="D33" s="32">
        <v>2</v>
      </c>
      <c r="E33" s="33"/>
      <c r="F33" s="33"/>
      <c r="G33" s="21">
        <f t="shared" si="1"/>
        <v>1</v>
      </c>
      <c r="H33" s="24">
        <f t="shared" si="0"/>
        <v>20</v>
      </c>
    </row>
    <row r="34" spans="1:8" ht="18" customHeight="1">
      <c r="A34" s="12" t="s">
        <v>30</v>
      </c>
      <c r="B34" s="54">
        <v>20</v>
      </c>
      <c r="C34" s="17">
        <v>2</v>
      </c>
      <c r="D34" s="32">
        <v>1</v>
      </c>
      <c r="E34" s="33"/>
      <c r="F34" s="33">
        <v>2</v>
      </c>
      <c r="G34" s="21">
        <f t="shared" si="1"/>
        <v>3</v>
      </c>
      <c r="H34" s="24">
        <f t="shared" si="0"/>
        <v>60</v>
      </c>
    </row>
    <row r="35" spans="1:8" ht="18" customHeight="1">
      <c r="A35" s="12" t="s">
        <v>31</v>
      </c>
      <c r="B35" s="54">
        <v>20</v>
      </c>
      <c r="C35" s="17">
        <v>0</v>
      </c>
      <c r="D35" s="32"/>
      <c r="E35" s="33"/>
      <c r="F35" s="33"/>
      <c r="G35" s="21">
        <f t="shared" si="1"/>
        <v>0</v>
      </c>
      <c r="H35" s="24">
        <f t="shared" si="0"/>
        <v>0</v>
      </c>
    </row>
    <row r="36" spans="1:8" ht="18" customHeight="1">
      <c r="A36" s="12" t="s">
        <v>32</v>
      </c>
      <c r="B36" s="54">
        <v>20</v>
      </c>
      <c r="C36" s="17">
        <v>3</v>
      </c>
      <c r="D36" s="32"/>
      <c r="E36" s="33">
        <v>4</v>
      </c>
      <c r="F36" s="33"/>
      <c r="G36" s="21">
        <f t="shared" si="1"/>
        <v>7</v>
      </c>
      <c r="H36" s="24">
        <f t="shared" si="0"/>
        <v>140</v>
      </c>
    </row>
    <row r="37" spans="1:8" ht="18" customHeight="1">
      <c r="A37" s="12" t="s">
        <v>33</v>
      </c>
      <c r="B37" s="54">
        <v>15</v>
      </c>
      <c r="C37" s="17">
        <v>1</v>
      </c>
      <c r="D37" s="32"/>
      <c r="E37" s="33">
        <v>1</v>
      </c>
      <c r="F37" s="33"/>
      <c r="G37" s="21">
        <f t="shared" si="1"/>
        <v>2</v>
      </c>
      <c r="H37" s="24">
        <f t="shared" si="0"/>
        <v>30</v>
      </c>
    </row>
    <row r="38" spans="1:8" ht="18" customHeight="1">
      <c r="A38" s="12" t="s">
        <v>34</v>
      </c>
      <c r="B38" s="54">
        <v>15</v>
      </c>
      <c r="C38" s="17"/>
      <c r="D38" s="32"/>
      <c r="E38" s="33"/>
      <c r="F38" s="33"/>
      <c r="G38" s="21">
        <f t="shared" si="1"/>
        <v>0</v>
      </c>
      <c r="H38" s="24">
        <f t="shared" si="0"/>
        <v>0</v>
      </c>
    </row>
    <row r="39" spans="1:8" ht="18" customHeight="1">
      <c r="A39" s="12" t="s">
        <v>4</v>
      </c>
      <c r="B39" s="54">
        <v>15</v>
      </c>
      <c r="C39" s="17"/>
      <c r="D39" s="32"/>
      <c r="E39" s="33">
        <v>1</v>
      </c>
      <c r="F39" s="33"/>
      <c r="G39" s="21">
        <f t="shared" si="1"/>
        <v>1</v>
      </c>
      <c r="H39" s="24">
        <f t="shared" si="0"/>
        <v>15</v>
      </c>
    </row>
    <row r="40" spans="1:8" ht="18" customHeight="1">
      <c r="A40" s="12" t="s">
        <v>3</v>
      </c>
      <c r="B40" s="54">
        <v>10</v>
      </c>
      <c r="C40" s="17"/>
      <c r="D40" s="32"/>
      <c r="E40" s="33">
        <v>2</v>
      </c>
      <c r="F40" s="33"/>
      <c r="G40" s="21">
        <f t="shared" si="1"/>
        <v>2</v>
      </c>
      <c r="H40" s="24">
        <f t="shared" si="0"/>
        <v>20</v>
      </c>
    </row>
    <row r="41" spans="1:8" ht="18" customHeight="1">
      <c r="A41" s="12" t="s">
        <v>2</v>
      </c>
      <c r="B41" s="54">
        <v>10</v>
      </c>
      <c r="C41" s="17"/>
      <c r="D41" s="32"/>
      <c r="E41" s="33">
        <v>1</v>
      </c>
      <c r="F41" s="33"/>
      <c r="G41" s="21">
        <f t="shared" si="1"/>
        <v>1</v>
      </c>
      <c r="H41" s="24">
        <f t="shared" si="0"/>
        <v>10</v>
      </c>
    </row>
    <row r="42" spans="1:8" ht="18" customHeight="1">
      <c r="G42" s="15" t="s">
        <v>10</v>
      </c>
      <c r="H42" s="23">
        <f>SUM(H27:H41)</f>
        <v>350</v>
      </c>
    </row>
  </sheetData>
  <mergeCells count="3">
    <mergeCell ref="C1:G1"/>
    <mergeCell ref="B11:E11"/>
    <mergeCell ref="D25:G25"/>
  </mergeCells>
  <dataValidations count="1">
    <dataValidation type="list" allowBlank="1" showInputMessage="1" showErrorMessage="1" sqref="B1">
      <formula1>".32,.35,.38"</formula1>
    </dataValidation>
  </dataValidations>
  <printOptions horizontalCentered="1"/>
  <pageMargins left="0.45" right="0.45" top="0.75" bottom="0.75" header="0.3" footer="0.3"/>
  <pageSetup scale="87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Blank</vt:lpstr>
      <vt:lpstr>Example</vt:lpstr>
      <vt:lpstr>Blank!Print_Area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 Baker</dc:creator>
  <cp:lastModifiedBy>Nat Baker</cp:lastModifiedBy>
  <cp:lastPrinted>2012-02-03T21:17:42Z</cp:lastPrinted>
  <dcterms:created xsi:type="dcterms:W3CDTF">2009-11-04T15:31:49Z</dcterms:created>
  <dcterms:modified xsi:type="dcterms:W3CDTF">2013-08-14T20:50:42Z</dcterms:modified>
</cp:coreProperties>
</file>