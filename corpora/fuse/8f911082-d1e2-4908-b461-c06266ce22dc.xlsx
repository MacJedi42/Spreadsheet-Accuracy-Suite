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24" windowWidth="19416" windowHeight="9684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Data!$A$1:$V$1639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1603" i="2" l="1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P1635" i="2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O1628" i="2" l="1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L1601" i="2"/>
  <c r="K1601" i="2"/>
  <c r="M1600" i="2"/>
  <c r="N1600" i="2" s="1"/>
  <c r="L1600" i="2"/>
  <c r="K1600" i="2"/>
  <c r="M1599" i="2"/>
  <c r="N1599" i="2" s="1"/>
  <c r="L1599" i="2"/>
  <c r="K1599" i="2"/>
  <c r="L1598" i="2"/>
  <c r="K1598" i="2"/>
  <c r="M1598" i="2"/>
  <c r="N1598" i="2" s="1"/>
  <c r="L1597" i="2"/>
  <c r="K1597" i="2"/>
  <c r="M1597" i="2"/>
  <c r="N1597" i="2" s="1"/>
  <c r="M1596" i="2"/>
  <c r="N1596" i="2" s="1"/>
  <c r="L1596" i="2"/>
  <c r="K1596" i="2"/>
  <c r="L1595" i="2"/>
  <c r="K1595" i="2"/>
  <c r="M1595" i="2"/>
  <c r="N1595" i="2" s="1"/>
  <c r="L1594" i="2"/>
  <c r="K1594" i="2"/>
  <c r="M1594" i="2"/>
  <c r="N1594" i="2" s="1"/>
  <c r="M1593" i="2"/>
  <c r="N1593" i="2" s="1"/>
  <c r="P1593" i="2" s="1"/>
  <c r="L1593" i="2"/>
  <c r="K1593" i="2"/>
  <c r="M1592" i="2"/>
  <c r="N1592" i="2" s="1"/>
  <c r="L1592" i="2"/>
  <c r="K1592" i="2"/>
  <c r="M1591" i="2"/>
  <c r="N1591" i="2" s="1"/>
  <c r="L1591" i="2"/>
  <c r="K1591" i="2"/>
  <c r="L1590" i="2"/>
  <c r="K1590" i="2"/>
  <c r="M1590" i="2"/>
  <c r="N1590" i="2" s="1"/>
  <c r="L1589" i="2"/>
  <c r="K1589" i="2"/>
  <c r="M1589" i="2"/>
  <c r="N1589" i="2" s="1"/>
  <c r="M1588" i="2"/>
  <c r="N1588" i="2" s="1"/>
  <c r="L1588" i="2"/>
  <c r="K1588" i="2"/>
  <c r="L1587" i="2"/>
  <c r="K1587" i="2"/>
  <c r="M1587" i="2"/>
  <c r="N1587" i="2" s="1"/>
  <c r="L1586" i="2"/>
  <c r="K1586" i="2"/>
  <c r="M1586" i="2"/>
  <c r="N1586" i="2" s="1"/>
  <c r="M1585" i="2"/>
  <c r="N1585" i="2" s="1"/>
  <c r="O1585" i="2" s="1"/>
  <c r="L1585" i="2"/>
  <c r="K1585" i="2"/>
  <c r="M1584" i="2"/>
  <c r="N1584" i="2" s="1"/>
  <c r="L1584" i="2"/>
  <c r="K1584" i="2"/>
  <c r="M1583" i="2"/>
  <c r="N1583" i="2" s="1"/>
  <c r="L1583" i="2"/>
  <c r="K1583" i="2"/>
  <c r="L1582" i="2"/>
  <c r="K1582" i="2"/>
  <c r="M1582" i="2"/>
  <c r="N1582" i="2" s="1"/>
  <c r="L1581" i="2"/>
  <c r="K1581" i="2"/>
  <c r="M1581" i="2"/>
  <c r="N1581" i="2" s="1"/>
  <c r="L1580" i="2"/>
  <c r="K1580" i="2"/>
  <c r="M1580" i="2"/>
  <c r="N1580" i="2" s="1"/>
  <c r="L1579" i="2"/>
  <c r="K1579" i="2"/>
  <c r="M1579" i="2"/>
  <c r="N1579" i="2" s="1"/>
  <c r="L1578" i="2"/>
  <c r="K1578" i="2"/>
  <c r="M1578" i="2"/>
  <c r="N1578" i="2" s="1"/>
  <c r="M1577" i="2"/>
  <c r="N1577" i="2" s="1"/>
  <c r="L1577" i="2"/>
  <c r="K1577" i="2"/>
  <c r="M1576" i="2"/>
  <c r="N1576" i="2" s="1"/>
  <c r="L1576" i="2"/>
  <c r="K1576" i="2"/>
  <c r="M1575" i="2"/>
  <c r="N1575" i="2" s="1"/>
  <c r="L1575" i="2"/>
  <c r="K1575" i="2"/>
  <c r="L1574" i="2"/>
  <c r="K1574" i="2"/>
  <c r="M1574" i="2"/>
  <c r="N1574" i="2" s="1"/>
  <c r="L1573" i="2"/>
  <c r="K1573" i="2"/>
  <c r="M1573" i="2"/>
  <c r="N1573" i="2" s="1"/>
  <c r="L1572" i="2"/>
  <c r="K1572" i="2"/>
  <c r="M1572" i="2"/>
  <c r="N1572" i="2" s="1"/>
  <c r="L1571" i="2"/>
  <c r="K1571" i="2"/>
  <c r="M1571" i="2"/>
  <c r="N1571" i="2" s="1"/>
  <c r="L1570" i="2"/>
  <c r="K1570" i="2"/>
  <c r="M1570" i="2"/>
  <c r="N1570" i="2" s="1"/>
  <c r="M1569" i="2"/>
  <c r="N1569" i="2" s="1"/>
  <c r="L1569" i="2"/>
  <c r="K1569" i="2"/>
  <c r="M1568" i="2"/>
  <c r="N1568" i="2" s="1"/>
  <c r="L1568" i="2"/>
  <c r="K1568" i="2"/>
  <c r="M1567" i="2"/>
  <c r="N1567" i="2" s="1"/>
  <c r="L1567" i="2"/>
  <c r="K1567" i="2"/>
  <c r="L1566" i="2"/>
  <c r="K1566" i="2"/>
  <c r="M1566" i="2"/>
  <c r="N1566" i="2" s="1"/>
  <c r="L1565" i="2"/>
  <c r="K1565" i="2"/>
  <c r="M1565" i="2"/>
  <c r="N1565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P1571" i="2" l="1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L1563" i="2"/>
  <c r="K1563" i="2"/>
  <c r="M1562" i="2"/>
  <c r="N1562" i="2" s="1"/>
  <c r="L1562" i="2"/>
  <c r="K1562" i="2"/>
  <c r="L1561" i="2"/>
  <c r="K1561" i="2"/>
  <c r="M1561" i="2"/>
  <c r="N1561" i="2" s="1"/>
  <c r="L1560" i="2"/>
  <c r="K1560" i="2"/>
  <c r="M1560" i="2"/>
  <c r="N1560" i="2" s="1"/>
  <c r="O1560" i="2" s="1"/>
  <c r="S1636" i="2" s="1"/>
  <c r="L1559" i="2"/>
  <c r="K1559" i="2"/>
  <c r="M1559" i="2"/>
  <c r="N1559" i="2" s="1"/>
  <c r="O1559" i="2" s="1"/>
  <c r="S1635" i="2" s="1"/>
  <c r="L1558" i="2"/>
  <c r="K1558" i="2"/>
  <c r="M1558" i="2"/>
  <c r="N1558" i="2" s="1"/>
  <c r="L1557" i="2"/>
  <c r="K1557" i="2"/>
  <c r="M1557" i="2"/>
  <c r="N1557" i="2" s="1"/>
  <c r="M1556" i="2"/>
  <c r="N1556" i="2" s="1"/>
  <c r="L1556" i="2"/>
  <c r="K1556" i="2"/>
  <c r="M1555" i="2"/>
  <c r="N1555" i="2" s="1"/>
  <c r="L1555" i="2"/>
  <c r="K1555" i="2"/>
  <c r="M1554" i="2"/>
  <c r="N1554" i="2" s="1"/>
  <c r="L1554" i="2"/>
  <c r="K1554" i="2"/>
  <c r="L1553" i="2"/>
  <c r="K1553" i="2"/>
  <c r="M1553" i="2"/>
  <c r="N1553" i="2" s="1"/>
  <c r="L1552" i="2"/>
  <c r="K1552" i="2"/>
  <c r="M1552" i="2"/>
  <c r="N1552" i="2" s="1"/>
  <c r="P1552" i="2" s="1"/>
  <c r="L1551" i="2"/>
  <c r="K1551" i="2"/>
  <c r="M1551" i="2"/>
  <c r="N1551" i="2" s="1"/>
  <c r="O1551" i="2" s="1"/>
  <c r="S1627" i="2" s="1"/>
  <c r="L1550" i="2"/>
  <c r="K1550" i="2"/>
  <c r="M1550" i="2"/>
  <c r="N1550" i="2" s="1"/>
  <c r="L1549" i="2"/>
  <c r="K1549" i="2"/>
  <c r="M1549" i="2"/>
  <c r="N1549" i="2" s="1"/>
  <c r="M1548" i="2"/>
  <c r="N1548" i="2" s="1"/>
  <c r="L1548" i="2"/>
  <c r="K1548" i="2"/>
  <c r="M1547" i="2"/>
  <c r="N1547" i="2" s="1"/>
  <c r="L1547" i="2"/>
  <c r="K1547" i="2"/>
  <c r="M1546" i="2"/>
  <c r="N1546" i="2" s="1"/>
  <c r="L1546" i="2"/>
  <c r="K1546" i="2"/>
  <c r="L1545" i="2"/>
  <c r="K1545" i="2"/>
  <c r="M1545" i="2"/>
  <c r="N1545" i="2" s="1"/>
  <c r="L1544" i="2"/>
  <c r="K1544" i="2"/>
  <c r="M1544" i="2"/>
  <c r="N1544" i="2" s="1"/>
  <c r="L1543" i="2"/>
  <c r="K1543" i="2"/>
  <c r="M1543" i="2"/>
  <c r="N1543" i="2" s="1"/>
  <c r="O1543" i="2" s="1"/>
  <c r="S1619" i="2" s="1"/>
  <c r="L1542" i="2"/>
  <c r="K1542" i="2"/>
  <c r="M1542" i="2"/>
  <c r="N1542" i="2" s="1"/>
  <c r="L1541" i="2"/>
  <c r="K1541" i="2"/>
  <c r="M1541" i="2"/>
  <c r="N1541" i="2" s="1"/>
  <c r="M1540" i="2"/>
  <c r="N1540" i="2" s="1"/>
  <c r="L1540" i="2"/>
  <c r="K1540" i="2"/>
  <c r="M1539" i="2"/>
  <c r="N1539" i="2" s="1"/>
  <c r="L1539" i="2"/>
  <c r="K1539" i="2"/>
  <c r="M1538" i="2"/>
  <c r="N1538" i="2" s="1"/>
  <c r="L1538" i="2"/>
  <c r="K1538" i="2"/>
  <c r="L1537" i="2"/>
  <c r="K1537" i="2"/>
  <c r="M1537" i="2"/>
  <c r="N1537" i="2" s="1"/>
  <c r="L1536" i="2"/>
  <c r="K1536" i="2"/>
  <c r="M1536" i="2"/>
  <c r="N1536" i="2" s="1"/>
  <c r="L1535" i="2"/>
  <c r="K1535" i="2"/>
  <c r="M1535" i="2"/>
  <c r="N1535" i="2" s="1"/>
  <c r="O1535" i="2" s="1"/>
  <c r="S1611" i="2" s="1"/>
  <c r="L1534" i="2"/>
  <c r="K1534" i="2"/>
  <c r="M1534" i="2"/>
  <c r="N1534" i="2" s="1"/>
  <c r="L1533" i="2"/>
  <c r="K1533" i="2"/>
  <c r="M1533" i="2"/>
  <c r="N1533" i="2" s="1"/>
  <c r="M1532" i="2"/>
  <c r="N1532" i="2" s="1"/>
  <c r="L1532" i="2"/>
  <c r="K1532" i="2"/>
  <c r="M1531" i="2"/>
  <c r="N1531" i="2" s="1"/>
  <c r="L1531" i="2"/>
  <c r="K1531" i="2"/>
  <c r="M1530" i="2"/>
  <c r="N1530" i="2" s="1"/>
  <c r="L1530" i="2"/>
  <c r="K1530" i="2"/>
  <c r="L1529" i="2"/>
  <c r="K1529" i="2"/>
  <c r="M1529" i="2"/>
  <c r="N1529" i="2" s="1"/>
  <c r="L1528" i="2"/>
  <c r="K1528" i="2"/>
  <c r="M1528" i="2"/>
  <c r="N1528" i="2" s="1"/>
  <c r="L1527" i="2"/>
  <c r="K1527" i="2"/>
  <c r="M1527" i="2"/>
  <c r="N1527" i="2" s="1"/>
  <c r="O1527" i="2" s="1"/>
  <c r="S1603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L1526" i="2"/>
  <c r="K1526" i="2"/>
  <c r="O1552" i="2" l="1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J1490" i="2"/>
  <c r="M1490" i="2" s="1"/>
  <c r="N1490" i="2" s="1"/>
  <c r="J1491" i="2"/>
  <c r="M1491" i="2" s="1"/>
  <c r="N1491" i="2" s="1"/>
  <c r="J1492" i="2"/>
  <c r="M1492" i="2" s="1"/>
  <c r="N1492" i="2" s="1"/>
  <c r="J1493" i="2"/>
  <c r="M1493" i="2" s="1"/>
  <c r="N1493" i="2" s="1"/>
  <c r="J1494" i="2"/>
  <c r="M1494" i="2" s="1"/>
  <c r="N1494" i="2" s="1"/>
  <c r="J1495" i="2"/>
  <c r="M1495" i="2" s="1"/>
  <c r="N1495" i="2" s="1"/>
  <c r="J1496" i="2"/>
  <c r="M1496" i="2" s="1"/>
  <c r="N1496" i="2" s="1"/>
  <c r="J1497" i="2"/>
  <c r="M1497" i="2" s="1"/>
  <c r="N1497" i="2" s="1"/>
  <c r="J1498" i="2"/>
  <c r="M1498" i="2" s="1"/>
  <c r="N1498" i="2" s="1"/>
  <c r="J1499" i="2"/>
  <c r="M1499" i="2" s="1"/>
  <c r="N1499" i="2" s="1"/>
  <c r="J1500" i="2"/>
  <c r="M1500" i="2" s="1"/>
  <c r="N1500" i="2" s="1"/>
  <c r="J1501" i="2"/>
  <c r="M1501" i="2" s="1"/>
  <c r="N1501" i="2" s="1"/>
  <c r="J1502" i="2"/>
  <c r="M1502" i="2" s="1"/>
  <c r="N1502" i="2" s="1"/>
  <c r="J1503" i="2"/>
  <c r="M1503" i="2" s="1"/>
  <c r="N1503" i="2" s="1"/>
  <c r="J1504" i="2"/>
  <c r="M1504" i="2" s="1"/>
  <c r="N1504" i="2" s="1"/>
  <c r="J1505" i="2"/>
  <c r="M1505" i="2" s="1"/>
  <c r="N1505" i="2" s="1"/>
  <c r="J1506" i="2"/>
  <c r="M1506" i="2" s="1"/>
  <c r="N1506" i="2" s="1"/>
  <c r="J1507" i="2"/>
  <c r="M1507" i="2" s="1"/>
  <c r="N1507" i="2" s="1"/>
  <c r="J1508" i="2"/>
  <c r="M1508" i="2" s="1"/>
  <c r="N1508" i="2" s="1"/>
  <c r="J1509" i="2"/>
  <c r="M1509" i="2" s="1"/>
  <c r="N1509" i="2" s="1"/>
  <c r="J1510" i="2"/>
  <c r="M1510" i="2" s="1"/>
  <c r="N1510" i="2" s="1"/>
  <c r="J1511" i="2"/>
  <c r="M1511" i="2" s="1"/>
  <c r="N1511" i="2" s="1"/>
  <c r="J1512" i="2"/>
  <c r="M1512" i="2" s="1"/>
  <c r="N1512" i="2" s="1"/>
  <c r="J1513" i="2"/>
  <c r="M1513" i="2" s="1"/>
  <c r="N1513" i="2" s="1"/>
  <c r="J1514" i="2"/>
  <c r="M1514" i="2" s="1"/>
  <c r="N1514" i="2" s="1"/>
  <c r="J1515" i="2"/>
  <c r="M1515" i="2" s="1"/>
  <c r="N1515" i="2" s="1"/>
  <c r="J1516" i="2"/>
  <c r="M1516" i="2" s="1"/>
  <c r="N1516" i="2" s="1"/>
  <c r="J1517" i="2"/>
  <c r="M1517" i="2" s="1"/>
  <c r="N1517" i="2" s="1"/>
  <c r="J1518" i="2"/>
  <c r="M1518" i="2" s="1"/>
  <c r="N1518" i="2" s="1"/>
  <c r="J1519" i="2"/>
  <c r="M1519" i="2" s="1"/>
  <c r="N1519" i="2" s="1"/>
  <c r="J1520" i="2"/>
  <c r="M1520" i="2" s="1"/>
  <c r="N1520" i="2" s="1"/>
  <c r="J1521" i="2"/>
  <c r="M1521" i="2" s="1"/>
  <c r="N1521" i="2" s="1"/>
  <c r="J1522" i="2"/>
  <c r="M1522" i="2" s="1"/>
  <c r="N1522" i="2" s="1"/>
  <c r="J1523" i="2"/>
  <c r="M1523" i="2" s="1"/>
  <c r="N1523" i="2" s="1"/>
  <c r="J1524" i="2"/>
  <c r="M1524" i="2" s="1"/>
  <c r="N1524" i="2" s="1"/>
  <c r="J1525" i="2"/>
  <c r="M1525" i="2" s="1"/>
  <c r="N1525" i="2" s="1"/>
  <c r="J1488" i="2"/>
  <c r="M1488" i="2" s="1"/>
  <c r="N1488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L1487" i="2"/>
  <c r="K1487" i="2"/>
  <c r="M1486" i="2"/>
  <c r="N1486" i="2" s="1"/>
  <c r="L1486" i="2"/>
  <c r="K1486" i="2"/>
  <c r="L1485" i="2"/>
  <c r="K1485" i="2"/>
  <c r="M1485" i="2"/>
  <c r="N1485" i="2" s="1"/>
  <c r="L1484" i="2"/>
  <c r="K1484" i="2"/>
  <c r="M1484" i="2"/>
  <c r="N1484" i="2" s="1"/>
  <c r="O1484" i="2" s="1"/>
  <c r="M1483" i="2"/>
  <c r="N1483" i="2" s="1"/>
  <c r="L1483" i="2"/>
  <c r="K1483" i="2"/>
  <c r="L1482" i="2"/>
  <c r="K1482" i="2"/>
  <c r="M1482" i="2"/>
  <c r="N1482" i="2" s="1"/>
  <c r="L1481" i="2"/>
  <c r="K1481" i="2"/>
  <c r="M1481" i="2"/>
  <c r="N1481" i="2" s="1"/>
  <c r="M1480" i="2"/>
  <c r="N1480" i="2" s="1"/>
  <c r="L1480" i="2"/>
  <c r="K1480" i="2"/>
  <c r="M1479" i="2"/>
  <c r="N1479" i="2" s="1"/>
  <c r="L1479" i="2"/>
  <c r="K1479" i="2"/>
  <c r="M1478" i="2"/>
  <c r="N1478" i="2" s="1"/>
  <c r="L1478" i="2"/>
  <c r="K1478" i="2"/>
  <c r="L1477" i="2"/>
  <c r="K1477" i="2"/>
  <c r="M1477" i="2"/>
  <c r="N1477" i="2" s="1"/>
  <c r="L1476" i="2"/>
  <c r="K1476" i="2"/>
  <c r="M1476" i="2"/>
  <c r="N1476" i="2" s="1"/>
  <c r="O1476" i="2" s="1"/>
  <c r="L1475" i="2"/>
  <c r="K1475" i="2"/>
  <c r="M1475" i="2"/>
  <c r="N1475" i="2" s="1"/>
  <c r="L1474" i="2"/>
  <c r="K1474" i="2"/>
  <c r="M1474" i="2"/>
  <c r="N1474" i="2" s="1"/>
  <c r="L1473" i="2"/>
  <c r="K1473" i="2"/>
  <c r="M1473" i="2"/>
  <c r="N1473" i="2" s="1"/>
  <c r="M1472" i="2"/>
  <c r="N1472" i="2" s="1"/>
  <c r="L1472" i="2"/>
  <c r="K1472" i="2"/>
  <c r="M1471" i="2"/>
  <c r="N1471" i="2" s="1"/>
  <c r="L1471" i="2"/>
  <c r="K1471" i="2"/>
  <c r="M1470" i="2"/>
  <c r="N1470" i="2" s="1"/>
  <c r="L1470" i="2"/>
  <c r="K1470" i="2"/>
  <c r="L1469" i="2"/>
  <c r="K1469" i="2"/>
  <c r="M1469" i="2"/>
  <c r="N1469" i="2" s="1"/>
  <c r="L1468" i="2"/>
  <c r="K1468" i="2"/>
  <c r="M1468" i="2"/>
  <c r="N1468" i="2" s="1"/>
  <c r="O1468" i="2" s="1"/>
  <c r="L1467" i="2"/>
  <c r="K1467" i="2"/>
  <c r="M1467" i="2"/>
  <c r="N1467" i="2" s="1"/>
  <c r="L1466" i="2"/>
  <c r="K1466" i="2"/>
  <c r="M1466" i="2"/>
  <c r="N1466" i="2" s="1"/>
  <c r="L1465" i="2"/>
  <c r="K1465" i="2"/>
  <c r="M1465" i="2"/>
  <c r="N1465" i="2" s="1"/>
  <c r="M1464" i="2"/>
  <c r="N1464" i="2" s="1"/>
  <c r="L1464" i="2"/>
  <c r="K1464" i="2"/>
  <c r="M1463" i="2"/>
  <c r="N1463" i="2" s="1"/>
  <c r="L1463" i="2"/>
  <c r="K1463" i="2"/>
  <c r="M1462" i="2"/>
  <c r="N1462" i="2" s="1"/>
  <c r="L1462" i="2"/>
  <c r="K1462" i="2"/>
  <c r="L1461" i="2"/>
  <c r="K1461" i="2"/>
  <c r="M1461" i="2"/>
  <c r="N1461" i="2" s="1"/>
  <c r="L1460" i="2"/>
  <c r="K1460" i="2"/>
  <c r="M1460" i="2"/>
  <c r="N1460" i="2" s="1"/>
  <c r="O1460" i="2" s="1"/>
  <c r="L1459" i="2"/>
  <c r="K1459" i="2"/>
  <c r="M1459" i="2"/>
  <c r="N1459" i="2" s="1"/>
  <c r="O1459" i="2" s="1"/>
  <c r="L1458" i="2"/>
  <c r="K1458" i="2"/>
  <c r="M1458" i="2"/>
  <c r="N1458" i="2" s="1"/>
  <c r="L1457" i="2"/>
  <c r="K1457" i="2"/>
  <c r="M1457" i="2"/>
  <c r="N1457" i="2" s="1"/>
  <c r="M1456" i="2"/>
  <c r="N1456" i="2" s="1"/>
  <c r="L1456" i="2"/>
  <c r="K1456" i="2"/>
  <c r="M1455" i="2"/>
  <c r="N1455" i="2" s="1"/>
  <c r="L1455" i="2"/>
  <c r="K1455" i="2"/>
  <c r="M1454" i="2"/>
  <c r="N1454" i="2" s="1"/>
  <c r="L1454" i="2"/>
  <c r="K1454" i="2"/>
  <c r="L1453" i="2"/>
  <c r="K1453" i="2"/>
  <c r="M1453" i="2"/>
  <c r="N1453" i="2" s="1"/>
  <c r="O1453" i="2" s="1"/>
  <c r="L1452" i="2"/>
  <c r="K1452" i="2"/>
  <c r="M1452" i="2"/>
  <c r="N1452" i="2" s="1"/>
  <c r="L1451" i="2"/>
  <c r="K1451" i="2"/>
  <c r="M1451" i="2"/>
  <c r="N1451" i="2" s="1"/>
  <c r="O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O1469" i="2" l="1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L1449" i="2"/>
  <c r="K1449" i="2"/>
  <c r="M1448" i="2"/>
  <c r="N1448" i="2" s="1"/>
  <c r="L1448" i="2"/>
  <c r="K1448" i="2"/>
  <c r="L1447" i="2"/>
  <c r="K1447" i="2"/>
  <c r="M1447" i="2"/>
  <c r="N1447" i="2" s="1"/>
  <c r="L1446" i="2"/>
  <c r="K1446" i="2"/>
  <c r="M1446" i="2"/>
  <c r="N1446" i="2" s="1"/>
  <c r="L1445" i="2"/>
  <c r="K1445" i="2"/>
  <c r="M1445" i="2"/>
  <c r="N1445" i="2" s="1"/>
  <c r="O1445" i="2" s="1"/>
  <c r="S1521" i="2" s="1"/>
  <c r="L1444" i="2"/>
  <c r="K1444" i="2"/>
  <c r="M1444" i="2"/>
  <c r="N1444" i="2" s="1"/>
  <c r="L1443" i="2"/>
  <c r="K1443" i="2"/>
  <c r="M1443" i="2"/>
  <c r="N1443" i="2" s="1"/>
  <c r="P1443" i="2" s="1"/>
  <c r="M1442" i="2"/>
  <c r="N1442" i="2" s="1"/>
  <c r="L1442" i="2"/>
  <c r="K1442" i="2"/>
  <c r="M1441" i="2"/>
  <c r="N1441" i="2" s="1"/>
  <c r="L1441" i="2"/>
  <c r="K1441" i="2"/>
  <c r="M1440" i="2"/>
  <c r="N1440" i="2" s="1"/>
  <c r="L1440" i="2"/>
  <c r="K1440" i="2"/>
  <c r="L1439" i="2"/>
  <c r="K1439" i="2"/>
  <c r="M1439" i="2"/>
  <c r="N1439" i="2" s="1"/>
  <c r="L1438" i="2"/>
  <c r="K1438" i="2"/>
  <c r="M1438" i="2"/>
  <c r="N1438" i="2" s="1"/>
  <c r="P1438" i="2" s="1"/>
  <c r="L1437" i="2"/>
  <c r="K1437" i="2"/>
  <c r="M1437" i="2"/>
  <c r="N1437" i="2" s="1"/>
  <c r="L1436" i="2"/>
  <c r="K1436" i="2"/>
  <c r="M1436" i="2"/>
  <c r="N1436" i="2" s="1"/>
  <c r="L1435" i="2"/>
  <c r="K1435" i="2"/>
  <c r="M1435" i="2"/>
  <c r="N1435" i="2" s="1"/>
  <c r="M1434" i="2"/>
  <c r="N1434" i="2" s="1"/>
  <c r="L1434" i="2"/>
  <c r="K1434" i="2"/>
  <c r="M1433" i="2"/>
  <c r="N1433" i="2" s="1"/>
  <c r="L1433" i="2"/>
  <c r="K1433" i="2"/>
  <c r="M1432" i="2"/>
  <c r="N1432" i="2" s="1"/>
  <c r="L1432" i="2"/>
  <c r="K1432" i="2"/>
  <c r="L1431" i="2"/>
  <c r="K1431" i="2"/>
  <c r="M1431" i="2"/>
  <c r="N1431" i="2" s="1"/>
  <c r="O1431" i="2" s="1"/>
  <c r="S1507" i="2" s="1"/>
  <c r="L1430" i="2"/>
  <c r="K1430" i="2"/>
  <c r="M1430" i="2"/>
  <c r="N1430" i="2" s="1"/>
  <c r="L1429" i="2"/>
  <c r="K1429" i="2"/>
  <c r="M1429" i="2"/>
  <c r="N1429" i="2" s="1"/>
  <c r="O1429" i="2" s="1"/>
  <c r="S1505" i="2" s="1"/>
  <c r="L1428" i="2"/>
  <c r="K1428" i="2"/>
  <c r="M1428" i="2"/>
  <c r="N1428" i="2" s="1"/>
  <c r="M1427" i="2"/>
  <c r="N1427" i="2" s="1"/>
  <c r="L1427" i="2"/>
  <c r="K1427" i="2"/>
  <c r="M1426" i="2"/>
  <c r="N1426" i="2" s="1"/>
  <c r="L1426" i="2"/>
  <c r="K1426" i="2"/>
  <c r="M1425" i="2"/>
  <c r="N1425" i="2" s="1"/>
  <c r="L1425" i="2"/>
  <c r="K1425" i="2"/>
  <c r="M1424" i="2"/>
  <c r="N1424" i="2" s="1"/>
  <c r="L1424" i="2"/>
  <c r="K1424" i="2"/>
  <c r="L1423" i="2"/>
  <c r="K1423" i="2"/>
  <c r="M1423" i="2"/>
  <c r="N1423" i="2" s="1"/>
  <c r="L1422" i="2"/>
  <c r="K1422" i="2"/>
  <c r="M1422" i="2"/>
  <c r="N1422" i="2" s="1"/>
  <c r="L1421" i="2"/>
  <c r="K1421" i="2"/>
  <c r="M1421" i="2"/>
  <c r="N1421" i="2" s="1"/>
  <c r="O1421" i="2" s="1"/>
  <c r="S1497" i="2" s="1"/>
  <c r="M1420" i="2"/>
  <c r="N1420" i="2" s="1"/>
  <c r="L1420" i="2"/>
  <c r="K1420" i="2"/>
  <c r="M1419" i="2"/>
  <c r="N1419" i="2" s="1"/>
  <c r="L1419" i="2"/>
  <c r="K1419" i="2"/>
  <c r="M1418" i="2"/>
  <c r="N1418" i="2" s="1"/>
  <c r="L1418" i="2"/>
  <c r="K1418" i="2"/>
  <c r="M1417" i="2"/>
  <c r="N1417" i="2" s="1"/>
  <c r="L1417" i="2"/>
  <c r="K1417" i="2"/>
  <c r="M1416" i="2"/>
  <c r="N1416" i="2" s="1"/>
  <c r="L1416" i="2"/>
  <c r="K1416" i="2"/>
  <c r="L1415" i="2"/>
  <c r="K1415" i="2"/>
  <c r="M1415" i="2"/>
  <c r="N1415" i="2" s="1"/>
  <c r="L1414" i="2"/>
  <c r="K1414" i="2"/>
  <c r="M1414" i="2"/>
  <c r="N1414" i="2" s="1"/>
  <c r="P1414" i="2" s="1"/>
  <c r="L1413" i="2"/>
  <c r="K1413" i="2"/>
  <c r="M1413" i="2"/>
  <c r="N1413" i="2" s="1"/>
  <c r="O1413" i="2" s="1"/>
  <c r="S1489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L1412" i="2"/>
  <c r="K1412" i="2"/>
  <c r="P1445" i="2" l="1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P1411" i="2" s="1"/>
  <c r="L1410" i="2"/>
  <c r="K1410" i="2"/>
  <c r="M1410" i="2"/>
  <c r="N1410" i="2" s="1"/>
  <c r="L1409" i="2"/>
  <c r="K1409" i="2"/>
  <c r="M1409" i="2"/>
  <c r="N1409" i="2" s="1"/>
  <c r="L1408" i="2"/>
  <c r="K1408" i="2"/>
  <c r="M1408" i="2"/>
  <c r="N1408" i="2" s="1"/>
  <c r="L1407" i="2"/>
  <c r="K1407" i="2"/>
  <c r="M1407" i="2"/>
  <c r="N1407" i="2" s="1"/>
  <c r="L1406" i="2"/>
  <c r="K1406" i="2"/>
  <c r="M1406" i="2"/>
  <c r="N1406" i="2" s="1"/>
  <c r="O1406" i="2" s="1"/>
  <c r="L1405" i="2"/>
  <c r="K1405" i="2"/>
  <c r="M1405" i="2"/>
  <c r="N1405" i="2" s="1"/>
  <c r="L1404" i="2"/>
  <c r="K1404" i="2"/>
  <c r="M1404" i="2"/>
  <c r="N1404" i="2" s="1"/>
  <c r="L1403" i="2"/>
  <c r="K1403" i="2"/>
  <c r="M1403" i="2"/>
  <c r="N1403" i="2" s="1"/>
  <c r="L1402" i="2"/>
  <c r="K1402" i="2"/>
  <c r="M1402" i="2"/>
  <c r="N1402" i="2" s="1"/>
  <c r="L1401" i="2"/>
  <c r="K1401" i="2"/>
  <c r="M1401" i="2"/>
  <c r="N1401" i="2" s="1"/>
  <c r="L1400" i="2"/>
  <c r="K1400" i="2"/>
  <c r="M1400" i="2"/>
  <c r="N1400" i="2" s="1"/>
  <c r="L1399" i="2"/>
  <c r="K1399" i="2"/>
  <c r="M1399" i="2"/>
  <c r="N1399" i="2" s="1"/>
  <c r="L1398" i="2"/>
  <c r="K1398" i="2"/>
  <c r="M1398" i="2"/>
  <c r="N1398" i="2" s="1"/>
  <c r="O1398" i="2" s="1"/>
  <c r="L1397" i="2"/>
  <c r="K1397" i="2"/>
  <c r="M1397" i="2"/>
  <c r="N1397" i="2" s="1"/>
  <c r="L1396" i="2"/>
  <c r="K1396" i="2"/>
  <c r="M1396" i="2"/>
  <c r="N1396" i="2" s="1"/>
  <c r="L1395" i="2"/>
  <c r="K1395" i="2"/>
  <c r="M1395" i="2"/>
  <c r="N1395" i="2" s="1"/>
  <c r="L1394" i="2"/>
  <c r="K1394" i="2"/>
  <c r="M1394" i="2"/>
  <c r="N1394" i="2" s="1"/>
  <c r="L1393" i="2"/>
  <c r="K1393" i="2"/>
  <c r="M1393" i="2"/>
  <c r="N1393" i="2" s="1"/>
  <c r="L1392" i="2"/>
  <c r="K1392" i="2"/>
  <c r="M1392" i="2"/>
  <c r="N1392" i="2" s="1"/>
  <c r="L1391" i="2"/>
  <c r="K1391" i="2"/>
  <c r="M1391" i="2"/>
  <c r="N1391" i="2" s="1"/>
  <c r="L1390" i="2"/>
  <c r="K1390" i="2"/>
  <c r="M1390" i="2"/>
  <c r="N1390" i="2" s="1"/>
  <c r="O1390" i="2" s="1"/>
  <c r="L1389" i="2"/>
  <c r="K1389" i="2"/>
  <c r="M1389" i="2"/>
  <c r="N1389" i="2" s="1"/>
  <c r="L1388" i="2"/>
  <c r="K1388" i="2"/>
  <c r="M1388" i="2"/>
  <c r="N1388" i="2" s="1"/>
  <c r="L1387" i="2"/>
  <c r="K1387" i="2"/>
  <c r="M1387" i="2"/>
  <c r="N1387" i="2" s="1"/>
  <c r="L1386" i="2"/>
  <c r="K1386" i="2"/>
  <c r="M1386" i="2"/>
  <c r="N1386" i="2" s="1"/>
  <c r="L1385" i="2"/>
  <c r="K1385" i="2"/>
  <c r="M1385" i="2"/>
  <c r="N1385" i="2" s="1"/>
  <c r="L1384" i="2"/>
  <c r="K1384" i="2"/>
  <c r="M1384" i="2"/>
  <c r="N1384" i="2" s="1"/>
  <c r="L1383" i="2"/>
  <c r="K1383" i="2"/>
  <c r="M1383" i="2"/>
  <c r="N1383" i="2" s="1"/>
  <c r="O1383" i="2" s="1"/>
  <c r="L1382" i="2"/>
  <c r="K1382" i="2"/>
  <c r="M1382" i="2"/>
  <c r="N1382" i="2" s="1"/>
  <c r="O1382" i="2" s="1"/>
  <c r="L1381" i="2"/>
  <c r="K1381" i="2"/>
  <c r="M1381" i="2"/>
  <c r="N1381" i="2" s="1"/>
  <c r="L1380" i="2"/>
  <c r="K1380" i="2"/>
  <c r="M1380" i="2"/>
  <c r="N1380" i="2" s="1"/>
  <c r="L1379" i="2"/>
  <c r="K1379" i="2"/>
  <c r="M1379" i="2"/>
  <c r="N1379" i="2" s="1"/>
  <c r="L1378" i="2"/>
  <c r="K1378" i="2"/>
  <c r="M1378" i="2"/>
  <c r="N1378" i="2" s="1"/>
  <c r="L1377" i="2"/>
  <c r="K1377" i="2"/>
  <c r="M1377" i="2"/>
  <c r="N1377" i="2" s="1"/>
  <c r="L1376" i="2"/>
  <c r="K1376" i="2"/>
  <c r="M1376" i="2"/>
  <c r="N1376" i="2" s="1"/>
  <c r="O1376" i="2" s="1"/>
  <c r="L1375" i="2"/>
  <c r="K1375" i="2"/>
  <c r="M1375" i="2"/>
  <c r="N1375" i="2" s="1"/>
  <c r="P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74" i="2" s="1"/>
  <c r="P1390" i="2" l="1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L1373" i="2"/>
  <c r="K1373" i="2"/>
  <c r="L1372" i="2"/>
  <c r="K1372" i="2"/>
  <c r="M1372" i="2"/>
  <c r="N1372" i="2" s="1"/>
  <c r="L1371" i="2"/>
  <c r="K1371" i="2"/>
  <c r="M1371" i="2"/>
  <c r="N1371" i="2" s="1"/>
  <c r="L1370" i="2"/>
  <c r="K1370" i="2"/>
  <c r="M1370" i="2"/>
  <c r="N1370" i="2" s="1"/>
  <c r="L1369" i="2"/>
  <c r="K1369" i="2"/>
  <c r="M1369" i="2"/>
  <c r="N1369" i="2" s="1"/>
  <c r="L1368" i="2"/>
  <c r="K1368" i="2"/>
  <c r="M1368" i="2"/>
  <c r="N1368" i="2" s="1"/>
  <c r="L1367" i="2"/>
  <c r="K1367" i="2"/>
  <c r="M1367" i="2"/>
  <c r="N1367" i="2" s="1"/>
  <c r="M1366" i="2"/>
  <c r="N1366" i="2" s="1"/>
  <c r="L1366" i="2"/>
  <c r="K1366" i="2"/>
  <c r="M1365" i="2"/>
  <c r="N1365" i="2" s="1"/>
  <c r="L1365" i="2"/>
  <c r="K1365" i="2"/>
  <c r="L1364" i="2"/>
  <c r="K1364" i="2"/>
  <c r="M1364" i="2"/>
  <c r="N1364" i="2" s="1"/>
  <c r="L1363" i="2"/>
  <c r="K1363" i="2"/>
  <c r="M1363" i="2"/>
  <c r="N1363" i="2" s="1"/>
  <c r="L1362" i="2"/>
  <c r="K1362" i="2"/>
  <c r="M1362" i="2"/>
  <c r="N1362" i="2" s="1"/>
  <c r="L1361" i="2"/>
  <c r="K1361" i="2"/>
  <c r="M1361" i="2"/>
  <c r="N1361" i="2" s="1"/>
  <c r="L1360" i="2"/>
  <c r="K1360" i="2"/>
  <c r="M1360" i="2"/>
  <c r="N1360" i="2" s="1"/>
  <c r="L1359" i="2"/>
  <c r="K1359" i="2"/>
  <c r="M1359" i="2"/>
  <c r="N1359" i="2" s="1"/>
  <c r="M1358" i="2"/>
  <c r="N1358" i="2" s="1"/>
  <c r="L1358" i="2"/>
  <c r="K1358" i="2"/>
  <c r="M1357" i="2"/>
  <c r="N1357" i="2" s="1"/>
  <c r="L1357" i="2"/>
  <c r="K1357" i="2"/>
  <c r="M1356" i="2"/>
  <c r="N1356" i="2" s="1"/>
  <c r="P1356" i="2" s="1"/>
  <c r="L1356" i="2"/>
  <c r="K1356" i="2"/>
  <c r="L1355" i="2"/>
  <c r="K1355" i="2"/>
  <c r="M1355" i="2"/>
  <c r="N1355" i="2" s="1"/>
  <c r="L1354" i="2"/>
  <c r="K1354" i="2"/>
  <c r="M1354" i="2"/>
  <c r="N1354" i="2" s="1"/>
  <c r="L1353" i="2"/>
  <c r="K1353" i="2"/>
  <c r="M1353" i="2"/>
  <c r="N1353" i="2" s="1"/>
  <c r="L1352" i="2"/>
  <c r="K1352" i="2"/>
  <c r="M1352" i="2"/>
  <c r="N1352" i="2" s="1"/>
  <c r="L1351" i="2"/>
  <c r="K1351" i="2"/>
  <c r="M1351" i="2"/>
  <c r="N1351" i="2" s="1"/>
  <c r="M1350" i="2"/>
  <c r="N1350" i="2" s="1"/>
  <c r="L1350" i="2"/>
  <c r="K1350" i="2"/>
  <c r="M1349" i="2"/>
  <c r="N1349" i="2" s="1"/>
  <c r="L1349" i="2"/>
  <c r="K1349" i="2"/>
  <c r="M1348" i="2"/>
  <c r="N1348" i="2" s="1"/>
  <c r="P1348" i="2" s="1"/>
  <c r="L1348" i="2"/>
  <c r="K1348" i="2"/>
  <c r="L1347" i="2"/>
  <c r="K1347" i="2"/>
  <c r="M1347" i="2"/>
  <c r="N1347" i="2" s="1"/>
  <c r="L1346" i="2"/>
  <c r="K1346" i="2"/>
  <c r="M1346" i="2"/>
  <c r="N1346" i="2" s="1"/>
  <c r="L1345" i="2"/>
  <c r="K1345" i="2"/>
  <c r="M1345" i="2"/>
  <c r="N1345" i="2" s="1"/>
  <c r="L1344" i="2"/>
  <c r="K1344" i="2"/>
  <c r="M1344" i="2"/>
  <c r="N1344" i="2" s="1"/>
  <c r="L1343" i="2"/>
  <c r="K1343" i="2"/>
  <c r="M1343" i="2"/>
  <c r="N1343" i="2" s="1"/>
  <c r="M1342" i="2"/>
  <c r="N1342" i="2" s="1"/>
  <c r="L1342" i="2"/>
  <c r="K1342" i="2"/>
  <c r="M1341" i="2"/>
  <c r="N1341" i="2" s="1"/>
  <c r="L1341" i="2"/>
  <c r="K1341" i="2"/>
  <c r="M1340" i="2"/>
  <c r="N1340" i="2" s="1"/>
  <c r="L1340" i="2"/>
  <c r="K1340" i="2"/>
  <c r="L1339" i="2"/>
  <c r="K1339" i="2"/>
  <c r="M1339" i="2"/>
  <c r="N1339" i="2" s="1"/>
  <c r="L1338" i="2"/>
  <c r="K1338" i="2"/>
  <c r="M1338" i="2"/>
  <c r="N1338" i="2" s="1"/>
  <c r="L1337" i="2"/>
  <c r="K1337" i="2"/>
  <c r="M1337" i="2"/>
  <c r="N1337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O1341" i="2" l="1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L1335" i="2"/>
  <c r="K1335" i="2"/>
  <c r="M1334" i="2"/>
  <c r="N1334" i="2" s="1"/>
  <c r="L1334" i="2"/>
  <c r="K1334" i="2"/>
  <c r="L1333" i="2"/>
  <c r="K1333" i="2"/>
  <c r="M1333" i="2"/>
  <c r="N1333" i="2" s="1"/>
  <c r="L1332" i="2"/>
  <c r="K1332" i="2"/>
  <c r="M1332" i="2"/>
  <c r="N1332" i="2" s="1"/>
  <c r="L1331" i="2"/>
  <c r="K1331" i="2"/>
  <c r="M1331" i="2"/>
  <c r="N1331" i="2" s="1"/>
  <c r="L1330" i="2"/>
  <c r="K1330" i="2"/>
  <c r="M1330" i="2"/>
  <c r="N1330" i="2" s="1"/>
  <c r="M1329" i="2"/>
  <c r="N1329" i="2" s="1"/>
  <c r="L1329" i="2"/>
  <c r="K1329" i="2"/>
  <c r="M1328" i="2"/>
  <c r="N1328" i="2" s="1"/>
  <c r="L1328" i="2"/>
  <c r="K1328" i="2"/>
  <c r="M1327" i="2"/>
  <c r="N1327" i="2" s="1"/>
  <c r="L1327" i="2"/>
  <c r="K1327" i="2"/>
  <c r="M1326" i="2"/>
  <c r="N1326" i="2" s="1"/>
  <c r="L1326" i="2"/>
  <c r="K1326" i="2"/>
  <c r="L1325" i="2"/>
  <c r="K1325" i="2"/>
  <c r="M1325" i="2"/>
  <c r="N1325" i="2" s="1"/>
  <c r="L1324" i="2"/>
  <c r="K1324" i="2"/>
  <c r="M1324" i="2"/>
  <c r="N1324" i="2" s="1"/>
  <c r="L1323" i="2"/>
  <c r="K1323" i="2"/>
  <c r="M1323" i="2"/>
  <c r="N1323" i="2" s="1"/>
  <c r="L1322" i="2"/>
  <c r="K1322" i="2"/>
  <c r="M1322" i="2"/>
  <c r="N1322" i="2" s="1"/>
  <c r="M1321" i="2"/>
  <c r="N1321" i="2" s="1"/>
  <c r="L1321" i="2"/>
  <c r="K1321" i="2"/>
  <c r="M1320" i="2"/>
  <c r="N1320" i="2" s="1"/>
  <c r="L1320" i="2"/>
  <c r="K1320" i="2"/>
  <c r="M1319" i="2"/>
  <c r="N1319" i="2" s="1"/>
  <c r="L1319" i="2"/>
  <c r="K1319" i="2"/>
  <c r="M1318" i="2"/>
  <c r="N1318" i="2" s="1"/>
  <c r="L1318" i="2"/>
  <c r="K1318" i="2"/>
  <c r="L1317" i="2"/>
  <c r="K1317" i="2"/>
  <c r="M1317" i="2"/>
  <c r="N1317" i="2" s="1"/>
  <c r="L1316" i="2"/>
  <c r="K1316" i="2"/>
  <c r="M1316" i="2"/>
  <c r="N1316" i="2" s="1"/>
  <c r="P1316" i="2" s="1"/>
  <c r="L1315" i="2"/>
  <c r="K1315" i="2"/>
  <c r="M1315" i="2"/>
  <c r="N1315" i="2" s="1"/>
  <c r="L1314" i="2"/>
  <c r="K1314" i="2"/>
  <c r="M1314" i="2"/>
  <c r="N1314" i="2" s="1"/>
  <c r="M1313" i="2"/>
  <c r="N1313" i="2" s="1"/>
  <c r="L1313" i="2"/>
  <c r="K1313" i="2"/>
  <c r="M1312" i="2"/>
  <c r="N1312" i="2" s="1"/>
  <c r="L1312" i="2"/>
  <c r="K1312" i="2"/>
  <c r="M1311" i="2"/>
  <c r="N1311" i="2" s="1"/>
  <c r="L1311" i="2"/>
  <c r="K1311" i="2"/>
  <c r="M1310" i="2"/>
  <c r="N1310" i="2" s="1"/>
  <c r="L1310" i="2"/>
  <c r="K1310" i="2"/>
  <c r="L1309" i="2"/>
  <c r="K1309" i="2"/>
  <c r="M1309" i="2"/>
  <c r="N1309" i="2" s="1"/>
  <c r="L1308" i="2"/>
  <c r="K1308" i="2"/>
  <c r="M1308" i="2"/>
  <c r="N1308" i="2" s="1"/>
  <c r="P1308" i="2" s="1"/>
  <c r="L1307" i="2"/>
  <c r="K1307" i="2"/>
  <c r="M1307" i="2"/>
  <c r="N1307" i="2" s="1"/>
  <c r="L1306" i="2"/>
  <c r="K1306" i="2"/>
  <c r="M1306" i="2"/>
  <c r="N1306" i="2" s="1"/>
  <c r="M1305" i="2"/>
  <c r="N1305" i="2" s="1"/>
  <c r="L1305" i="2"/>
  <c r="K1305" i="2"/>
  <c r="M1304" i="2"/>
  <c r="N1304" i="2" s="1"/>
  <c r="L1304" i="2"/>
  <c r="K1304" i="2"/>
  <c r="M1303" i="2"/>
  <c r="N1303" i="2" s="1"/>
  <c r="L1303" i="2"/>
  <c r="K1303" i="2"/>
  <c r="M1302" i="2"/>
  <c r="N1302" i="2" s="1"/>
  <c r="L1302" i="2"/>
  <c r="K1302" i="2"/>
  <c r="L1301" i="2"/>
  <c r="K1301" i="2"/>
  <c r="M1301" i="2"/>
  <c r="N1301" i="2" s="1"/>
  <c r="L1300" i="2"/>
  <c r="K1300" i="2"/>
  <c r="M1300" i="2"/>
  <c r="N1300" i="2" s="1"/>
  <c r="P1300" i="2" s="1"/>
  <c r="L1299" i="2"/>
  <c r="K1299" i="2"/>
  <c r="M1299" i="2"/>
  <c r="N1299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P1322" i="2" l="1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L1297" i="2"/>
  <c r="K1297" i="2"/>
  <c r="M1296" i="2"/>
  <c r="N1296" i="2" s="1"/>
  <c r="L1296" i="2"/>
  <c r="K1296" i="2"/>
  <c r="L1295" i="2"/>
  <c r="K1295" i="2"/>
  <c r="M1295" i="2"/>
  <c r="N1295" i="2" s="1"/>
  <c r="M1294" i="2"/>
  <c r="N1294" i="2" s="1"/>
  <c r="L1294" i="2"/>
  <c r="K1294" i="2"/>
  <c r="M1293" i="2"/>
  <c r="N1293" i="2" s="1"/>
  <c r="L1293" i="2"/>
  <c r="K1293" i="2"/>
  <c r="L1292" i="2"/>
  <c r="K1292" i="2"/>
  <c r="M1292" i="2"/>
  <c r="N1292" i="2" s="1"/>
  <c r="L1291" i="2"/>
  <c r="K1291" i="2"/>
  <c r="M1291" i="2"/>
  <c r="N1291" i="2" s="1"/>
  <c r="M1290" i="2"/>
  <c r="N1290" i="2" s="1"/>
  <c r="L1290" i="2"/>
  <c r="K1290" i="2"/>
  <c r="M1289" i="2"/>
  <c r="N1289" i="2" s="1"/>
  <c r="L1289" i="2"/>
  <c r="K1289" i="2"/>
  <c r="M1288" i="2"/>
  <c r="N1288" i="2" s="1"/>
  <c r="L1288" i="2"/>
  <c r="K1288" i="2"/>
  <c r="L1287" i="2"/>
  <c r="K1287" i="2"/>
  <c r="M1287" i="2"/>
  <c r="N1287" i="2" s="1"/>
  <c r="M1286" i="2"/>
  <c r="N1286" i="2" s="1"/>
  <c r="L1286" i="2"/>
  <c r="K1286" i="2"/>
  <c r="M1285" i="2"/>
  <c r="N1285" i="2" s="1"/>
  <c r="L1285" i="2"/>
  <c r="K1285" i="2"/>
  <c r="L1284" i="2"/>
  <c r="K1284" i="2"/>
  <c r="M1284" i="2"/>
  <c r="N1284" i="2" s="1"/>
  <c r="L1283" i="2"/>
  <c r="K1283" i="2"/>
  <c r="M1283" i="2"/>
  <c r="N1283" i="2" s="1"/>
  <c r="M1282" i="2"/>
  <c r="N1282" i="2" s="1"/>
  <c r="L1282" i="2"/>
  <c r="K1282" i="2"/>
  <c r="M1281" i="2"/>
  <c r="N1281" i="2" s="1"/>
  <c r="L1281" i="2"/>
  <c r="K1281" i="2"/>
  <c r="M1280" i="2"/>
  <c r="N1280" i="2" s="1"/>
  <c r="L1280" i="2"/>
  <c r="K1280" i="2"/>
  <c r="L1279" i="2"/>
  <c r="K1279" i="2"/>
  <c r="M1279" i="2"/>
  <c r="N1279" i="2" s="1"/>
  <c r="M1278" i="2"/>
  <c r="N1278" i="2" s="1"/>
  <c r="L1278" i="2"/>
  <c r="K1278" i="2"/>
  <c r="M1277" i="2"/>
  <c r="N1277" i="2" s="1"/>
  <c r="L1277" i="2"/>
  <c r="K1277" i="2"/>
  <c r="L1276" i="2"/>
  <c r="K1276" i="2"/>
  <c r="M1276" i="2"/>
  <c r="N1276" i="2" s="1"/>
  <c r="L1275" i="2"/>
  <c r="K1275" i="2"/>
  <c r="M1275" i="2"/>
  <c r="N1275" i="2" s="1"/>
  <c r="M1274" i="2"/>
  <c r="N1274" i="2" s="1"/>
  <c r="L1274" i="2"/>
  <c r="K1274" i="2"/>
  <c r="M1273" i="2"/>
  <c r="N1273" i="2" s="1"/>
  <c r="L1273" i="2"/>
  <c r="K1273" i="2"/>
  <c r="M1272" i="2"/>
  <c r="N1272" i="2" s="1"/>
  <c r="L1272" i="2"/>
  <c r="K1272" i="2"/>
  <c r="L1271" i="2"/>
  <c r="K1271" i="2"/>
  <c r="M1271" i="2"/>
  <c r="N1271" i="2" s="1"/>
  <c r="M1270" i="2"/>
  <c r="N1270" i="2" s="1"/>
  <c r="L1270" i="2"/>
  <c r="K1270" i="2"/>
  <c r="M1269" i="2"/>
  <c r="N1269" i="2" s="1"/>
  <c r="L1269" i="2"/>
  <c r="K1269" i="2"/>
  <c r="L1268" i="2"/>
  <c r="K1268" i="2"/>
  <c r="M1268" i="2"/>
  <c r="N1268" i="2" s="1"/>
  <c r="L1267" i="2"/>
  <c r="K1267" i="2"/>
  <c r="M1267" i="2"/>
  <c r="N1267" i="2" s="1"/>
  <c r="M1266" i="2"/>
  <c r="N1266" i="2" s="1"/>
  <c r="L1266" i="2"/>
  <c r="K1266" i="2"/>
  <c r="M1265" i="2"/>
  <c r="N1265" i="2" s="1"/>
  <c r="L1265" i="2"/>
  <c r="K1265" i="2"/>
  <c r="M1264" i="2"/>
  <c r="N1264" i="2" s="1"/>
  <c r="L1264" i="2"/>
  <c r="K1264" i="2"/>
  <c r="L1263" i="2"/>
  <c r="K1263" i="2"/>
  <c r="M1263" i="2"/>
  <c r="N1263" i="2" s="1"/>
  <c r="M1262" i="2"/>
  <c r="N1262" i="2" s="1"/>
  <c r="L1262" i="2"/>
  <c r="K1262" i="2"/>
  <c r="M1261" i="2"/>
  <c r="N1261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L1259" i="2"/>
  <c r="K1259" i="2"/>
  <c r="M1258" i="2"/>
  <c r="N1258" i="2" s="1"/>
  <c r="L1258" i="2"/>
  <c r="K1258" i="2"/>
  <c r="L1257" i="2"/>
  <c r="K1257" i="2"/>
  <c r="M1257" i="2"/>
  <c r="N1257" i="2" s="1"/>
  <c r="O1257" i="2" s="1"/>
  <c r="L1256" i="2"/>
  <c r="K1256" i="2"/>
  <c r="M1256" i="2"/>
  <c r="N1256" i="2" s="1"/>
  <c r="O1256" i="2" s="1"/>
  <c r="L1255" i="2"/>
  <c r="K1255" i="2"/>
  <c r="M1255" i="2"/>
  <c r="N1255" i="2" s="1"/>
  <c r="L1254" i="2"/>
  <c r="K1254" i="2"/>
  <c r="M1254" i="2"/>
  <c r="N1254" i="2" s="1"/>
  <c r="L1253" i="2"/>
  <c r="K1253" i="2"/>
  <c r="M1253" i="2"/>
  <c r="N1253" i="2" s="1"/>
  <c r="M1252" i="2"/>
  <c r="N1252" i="2" s="1"/>
  <c r="L1252" i="2"/>
  <c r="K1252" i="2"/>
  <c r="M1251" i="2"/>
  <c r="N1251" i="2" s="1"/>
  <c r="L1251" i="2"/>
  <c r="K1251" i="2"/>
  <c r="M1250" i="2"/>
  <c r="N1250" i="2" s="1"/>
  <c r="L1250" i="2"/>
  <c r="K1250" i="2"/>
  <c r="L1249" i="2"/>
  <c r="K1249" i="2"/>
  <c r="M1249" i="2"/>
  <c r="N1249" i="2" s="1"/>
  <c r="L1248" i="2"/>
  <c r="K1248" i="2"/>
  <c r="M1248" i="2"/>
  <c r="N1248" i="2" s="1"/>
  <c r="O1248" i="2" s="1"/>
  <c r="L1247" i="2"/>
  <c r="K1247" i="2"/>
  <c r="M1247" i="2"/>
  <c r="N1247" i="2" s="1"/>
  <c r="L1246" i="2"/>
  <c r="K1246" i="2"/>
  <c r="M1246" i="2"/>
  <c r="N1246" i="2" s="1"/>
  <c r="L1245" i="2"/>
  <c r="K1245" i="2"/>
  <c r="M1245" i="2"/>
  <c r="N1245" i="2" s="1"/>
  <c r="M1244" i="2"/>
  <c r="N1244" i="2" s="1"/>
  <c r="L1244" i="2"/>
  <c r="K1244" i="2"/>
  <c r="M1243" i="2"/>
  <c r="N1243" i="2" s="1"/>
  <c r="L1243" i="2"/>
  <c r="K1243" i="2"/>
  <c r="M1242" i="2"/>
  <c r="N1242" i="2" s="1"/>
  <c r="L1242" i="2"/>
  <c r="K1242" i="2"/>
  <c r="L1241" i="2"/>
  <c r="K1241" i="2"/>
  <c r="M1241" i="2"/>
  <c r="N1241" i="2" s="1"/>
  <c r="O1241" i="2" s="1"/>
  <c r="L1240" i="2"/>
  <c r="K1240" i="2"/>
  <c r="M1240" i="2"/>
  <c r="N1240" i="2" s="1"/>
  <c r="O1240" i="2" s="1"/>
  <c r="L1239" i="2"/>
  <c r="K1239" i="2"/>
  <c r="M1239" i="2"/>
  <c r="N1239" i="2" s="1"/>
  <c r="L1238" i="2"/>
  <c r="K1238" i="2"/>
  <c r="M1238" i="2"/>
  <c r="N1238" i="2" s="1"/>
  <c r="L1237" i="2"/>
  <c r="K1237" i="2"/>
  <c r="M1237" i="2"/>
  <c r="N1237" i="2" s="1"/>
  <c r="M1236" i="2"/>
  <c r="N1236" i="2" s="1"/>
  <c r="L1236" i="2"/>
  <c r="K1236" i="2"/>
  <c r="M1235" i="2"/>
  <c r="N1235" i="2" s="1"/>
  <c r="L1235" i="2"/>
  <c r="K1235" i="2"/>
  <c r="M1234" i="2"/>
  <c r="N1234" i="2" s="1"/>
  <c r="L1234" i="2"/>
  <c r="K1234" i="2"/>
  <c r="L1233" i="2"/>
  <c r="K1233" i="2"/>
  <c r="M1233" i="2"/>
  <c r="N1233" i="2" s="1"/>
  <c r="L1232" i="2"/>
  <c r="K1232" i="2"/>
  <c r="M1232" i="2"/>
  <c r="N1232" i="2" s="1"/>
  <c r="L1231" i="2"/>
  <c r="K1231" i="2"/>
  <c r="M1231" i="2"/>
  <c r="N1231" i="2" s="1"/>
  <c r="O1231" i="2" s="1"/>
  <c r="L1230" i="2"/>
  <c r="K1230" i="2"/>
  <c r="M1230" i="2"/>
  <c r="N1230" i="2" s="1"/>
  <c r="L1229" i="2"/>
  <c r="K1229" i="2"/>
  <c r="M1229" i="2"/>
  <c r="N1229" i="2" s="1"/>
  <c r="M1228" i="2"/>
  <c r="N1228" i="2" s="1"/>
  <c r="L1228" i="2"/>
  <c r="K1228" i="2"/>
  <c r="M1227" i="2"/>
  <c r="N1227" i="2" s="1"/>
  <c r="L1227" i="2"/>
  <c r="K1227" i="2"/>
  <c r="M1226" i="2"/>
  <c r="N1226" i="2" s="1"/>
  <c r="L1226" i="2"/>
  <c r="K1226" i="2"/>
  <c r="L1225" i="2"/>
  <c r="K1225" i="2"/>
  <c r="M1225" i="2"/>
  <c r="N1225" i="2" s="1"/>
  <c r="L1224" i="2"/>
  <c r="K1224" i="2"/>
  <c r="M1224" i="2"/>
  <c r="N1224" i="2" s="1"/>
  <c r="O1224" i="2" s="1"/>
  <c r="L1223" i="2"/>
  <c r="K1223" i="2"/>
  <c r="M1223" i="2"/>
  <c r="N1223" i="2" s="1"/>
  <c r="O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P1248" i="2" l="1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244" i="4"/>
  <c r="S244" i="4" s="1"/>
  <c r="R241" i="4"/>
  <c r="S241" i="4" s="1"/>
  <c r="O241" i="4"/>
  <c r="P241" i="4" s="1"/>
  <c r="O242" i="4"/>
  <c r="P242" i="4"/>
  <c r="O243" i="4"/>
  <c r="P243" i="4"/>
  <c r="O244" i="4"/>
  <c r="P244" i="4"/>
  <c r="H244" i="4"/>
  <c r="I244" i="4" s="1"/>
  <c r="H241" i="4"/>
  <c r="I241" i="4" s="1"/>
  <c r="E241" i="4"/>
  <c r="F241" i="4"/>
  <c r="E242" i="4"/>
  <c r="F242" i="4"/>
  <c r="E243" i="4"/>
  <c r="F243" i="4"/>
  <c r="E244" i="4"/>
  <c r="F244" i="4" s="1"/>
  <c r="H182" i="4"/>
  <c r="I182" i="4" s="1"/>
  <c r="H179" i="4"/>
  <c r="I179" i="4" s="1"/>
  <c r="E179" i="4"/>
  <c r="F179" i="4" s="1"/>
  <c r="E180" i="4"/>
  <c r="F180" i="4"/>
  <c r="E181" i="4"/>
  <c r="F181" i="4"/>
  <c r="E182" i="4"/>
  <c r="F182" i="4" s="1"/>
  <c r="R182" i="4"/>
  <c r="S182" i="4" s="1"/>
  <c r="R179" i="4"/>
  <c r="S179" i="4" s="1"/>
  <c r="P182" i="4"/>
  <c r="P181" i="4"/>
  <c r="P180" i="4"/>
  <c r="P179" i="4"/>
  <c r="R120" i="4"/>
  <c r="S120" i="4" s="1"/>
  <c r="R117" i="4"/>
  <c r="S117" i="4" s="1"/>
  <c r="O117" i="4"/>
  <c r="P117" i="4"/>
  <c r="O118" i="4"/>
  <c r="P118" i="4" s="1"/>
  <c r="O119" i="4"/>
  <c r="P119" i="4"/>
  <c r="O120" i="4"/>
  <c r="P120" i="4"/>
  <c r="H120" i="4"/>
  <c r="I120" i="4" s="1"/>
  <c r="H117" i="4"/>
  <c r="I117" i="4" s="1"/>
  <c r="E117" i="4"/>
  <c r="F117" i="4"/>
  <c r="E118" i="4"/>
  <c r="F118" i="4"/>
  <c r="E119" i="4"/>
  <c r="F119" i="4"/>
  <c r="E120" i="4"/>
  <c r="F120" i="4" s="1"/>
  <c r="R59" i="4"/>
  <c r="S59" i="4" s="1"/>
  <c r="R56" i="4"/>
  <c r="S56" i="4" s="1"/>
  <c r="O56" i="4"/>
  <c r="P56" i="4"/>
  <c r="O57" i="4"/>
  <c r="P57" i="4"/>
  <c r="O58" i="4"/>
  <c r="P58" i="4"/>
  <c r="O59" i="4"/>
  <c r="P59" i="4" s="1"/>
  <c r="O182" i="4"/>
  <c r="O181" i="4"/>
  <c r="O180" i="4"/>
  <c r="O179" i="4"/>
  <c r="H59" i="4"/>
  <c r="I59" i="4" s="1"/>
  <c r="H56" i="4"/>
  <c r="I56" i="4" s="1"/>
  <c r="F59" i="4"/>
  <c r="F58" i="4"/>
  <c r="F57" i="4"/>
  <c r="E59" i="4"/>
  <c r="E58" i="4"/>
  <c r="E57" i="4"/>
  <c r="E56" i="4"/>
  <c r="F56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M1220" i="2"/>
  <c r="N1220" i="2" s="1"/>
  <c r="L1220" i="2"/>
  <c r="K1220" i="2"/>
  <c r="M1219" i="2"/>
  <c r="N1219" i="2" s="1"/>
  <c r="L1219" i="2"/>
  <c r="K1219" i="2"/>
  <c r="M1218" i="2"/>
  <c r="N1218" i="2" s="1"/>
  <c r="L1218" i="2"/>
  <c r="K1218" i="2"/>
  <c r="M1217" i="2"/>
  <c r="N1217" i="2" s="1"/>
  <c r="O1217" i="2" s="1"/>
  <c r="S1293" i="2" s="1"/>
  <c r="L1217" i="2"/>
  <c r="K1217" i="2"/>
  <c r="L1216" i="2"/>
  <c r="K1216" i="2"/>
  <c r="M1216" i="2"/>
  <c r="N1216" i="2" s="1"/>
  <c r="L1215" i="2"/>
  <c r="K1215" i="2"/>
  <c r="M1215" i="2"/>
  <c r="N1215" i="2" s="1"/>
  <c r="O1215" i="2" s="1"/>
  <c r="S1291" i="2" s="1"/>
  <c r="L1214" i="2"/>
  <c r="K1214" i="2"/>
  <c r="M1214" i="2"/>
  <c r="N1214" i="2" s="1"/>
  <c r="L1213" i="2"/>
  <c r="K1213" i="2"/>
  <c r="M1213" i="2"/>
  <c r="N1213" i="2" s="1"/>
  <c r="M1212" i="2"/>
  <c r="N1212" i="2" s="1"/>
  <c r="L1212" i="2"/>
  <c r="K1212" i="2"/>
  <c r="M1211" i="2"/>
  <c r="N1211" i="2" s="1"/>
  <c r="L1211" i="2"/>
  <c r="K1211" i="2"/>
  <c r="M1210" i="2"/>
  <c r="N1210" i="2" s="1"/>
  <c r="L1210" i="2"/>
  <c r="K1210" i="2"/>
  <c r="M1209" i="2"/>
  <c r="N1209" i="2" s="1"/>
  <c r="L1209" i="2"/>
  <c r="K1209" i="2"/>
  <c r="L1208" i="2"/>
  <c r="K1208" i="2"/>
  <c r="M1208" i="2"/>
  <c r="N1208" i="2" s="1"/>
  <c r="L1207" i="2"/>
  <c r="K1207" i="2"/>
  <c r="M1207" i="2"/>
  <c r="N1207" i="2" s="1"/>
  <c r="O1207" i="2" s="1"/>
  <c r="S1283" i="2" s="1"/>
  <c r="L1206" i="2"/>
  <c r="K1206" i="2"/>
  <c r="M1206" i="2"/>
  <c r="N1206" i="2" s="1"/>
  <c r="L1205" i="2"/>
  <c r="K1205" i="2"/>
  <c r="M1205" i="2"/>
  <c r="N1205" i="2" s="1"/>
  <c r="M1204" i="2"/>
  <c r="N1204" i="2" s="1"/>
  <c r="L1204" i="2"/>
  <c r="K1204" i="2"/>
  <c r="M1203" i="2"/>
  <c r="N1203" i="2" s="1"/>
  <c r="L1203" i="2"/>
  <c r="K1203" i="2"/>
  <c r="M1202" i="2"/>
  <c r="N1202" i="2" s="1"/>
  <c r="L1202" i="2"/>
  <c r="K1202" i="2"/>
  <c r="M1201" i="2"/>
  <c r="N1201" i="2" s="1"/>
  <c r="L1201" i="2"/>
  <c r="K1201" i="2"/>
  <c r="L1200" i="2"/>
  <c r="K1200" i="2"/>
  <c r="M1200" i="2"/>
  <c r="N1200" i="2" s="1"/>
  <c r="L1199" i="2"/>
  <c r="K1199" i="2"/>
  <c r="M1199" i="2"/>
  <c r="N1199" i="2" s="1"/>
  <c r="O1199" i="2" s="1"/>
  <c r="S1275" i="2" s="1"/>
  <c r="L1198" i="2"/>
  <c r="K1198" i="2"/>
  <c r="M1198" i="2"/>
  <c r="N1198" i="2" s="1"/>
  <c r="L1197" i="2"/>
  <c r="K1197" i="2"/>
  <c r="M1197" i="2"/>
  <c r="N1197" i="2" s="1"/>
  <c r="M1196" i="2"/>
  <c r="N1196" i="2" s="1"/>
  <c r="L1196" i="2"/>
  <c r="K1196" i="2"/>
  <c r="M1195" i="2"/>
  <c r="N1195" i="2" s="1"/>
  <c r="L1195" i="2"/>
  <c r="K1195" i="2"/>
  <c r="M1194" i="2"/>
  <c r="N1194" i="2" s="1"/>
  <c r="O1194" i="2" s="1"/>
  <c r="S1270" i="2" s="1"/>
  <c r="L1194" i="2"/>
  <c r="K1194" i="2"/>
  <c r="M1193" i="2"/>
  <c r="N1193" i="2" s="1"/>
  <c r="L1193" i="2"/>
  <c r="K1193" i="2"/>
  <c r="L1192" i="2"/>
  <c r="K1192" i="2"/>
  <c r="M1192" i="2"/>
  <c r="N1192" i="2" s="1"/>
  <c r="L1191" i="2"/>
  <c r="K1191" i="2"/>
  <c r="M1191" i="2"/>
  <c r="N1191" i="2" s="1"/>
  <c r="O1191" i="2" s="1"/>
  <c r="S1267" i="2" s="1"/>
  <c r="L1190" i="2"/>
  <c r="K1190" i="2"/>
  <c r="M1190" i="2"/>
  <c r="N1190" i="2" s="1"/>
  <c r="L1189" i="2"/>
  <c r="K1189" i="2"/>
  <c r="M1189" i="2"/>
  <c r="N1189" i="2" s="1"/>
  <c r="M1188" i="2"/>
  <c r="N1188" i="2" s="1"/>
  <c r="L1188" i="2"/>
  <c r="K1188" i="2"/>
  <c r="M1187" i="2"/>
  <c r="N1187" i="2" s="1"/>
  <c r="L1187" i="2"/>
  <c r="K1187" i="2"/>
  <c r="M1186" i="2"/>
  <c r="N1186" i="2" s="1"/>
  <c r="L1186" i="2"/>
  <c r="K1186" i="2"/>
  <c r="M1185" i="2"/>
  <c r="N1185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P1184" i="2" s="1"/>
  <c r="T1389" i="2" l="1"/>
  <c r="T1397" i="2"/>
  <c r="T1405" i="2"/>
  <c r="T1407" i="2"/>
  <c r="T1381" i="2"/>
  <c r="T1384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38" i="4"/>
  <c r="S238" i="4" s="1"/>
  <c r="O240" i="4"/>
  <c r="P240" i="4"/>
  <c r="O239" i="4"/>
  <c r="P239" i="4"/>
  <c r="O238" i="4"/>
  <c r="P238" i="4"/>
  <c r="O237" i="4"/>
  <c r="P237" i="4"/>
  <c r="O236" i="4"/>
  <c r="P236" i="4"/>
  <c r="H238" i="4"/>
  <c r="I238" i="4" s="1"/>
  <c r="E240" i="4"/>
  <c r="F240" i="4"/>
  <c r="E239" i="4"/>
  <c r="F239" i="4"/>
  <c r="E238" i="4"/>
  <c r="F238" i="4"/>
  <c r="E237" i="4"/>
  <c r="F237" i="4"/>
  <c r="E236" i="4"/>
  <c r="F236" i="4"/>
  <c r="R176" i="4"/>
  <c r="S176" i="4" s="1"/>
  <c r="O178" i="4"/>
  <c r="P178" i="4" s="1"/>
  <c r="O177" i="4"/>
  <c r="P177" i="4"/>
  <c r="O176" i="4"/>
  <c r="P176" i="4" s="1"/>
  <c r="O175" i="4"/>
  <c r="P175" i="4"/>
  <c r="O174" i="4"/>
  <c r="P174" i="4"/>
  <c r="H176" i="4"/>
  <c r="I176" i="4" s="1"/>
  <c r="E178" i="4"/>
  <c r="F178" i="4"/>
  <c r="E177" i="4"/>
  <c r="F177" i="4" s="1"/>
  <c r="E176" i="4"/>
  <c r="F176" i="4" s="1"/>
  <c r="E175" i="4"/>
  <c r="F175" i="4"/>
  <c r="E174" i="4"/>
  <c r="F174" i="4"/>
  <c r="S114" i="4"/>
  <c r="R114" i="4"/>
  <c r="O116" i="4"/>
  <c r="P116" i="4" s="1"/>
  <c r="O115" i="4"/>
  <c r="P115" i="4"/>
  <c r="O114" i="4"/>
  <c r="P114" i="4"/>
  <c r="O113" i="4"/>
  <c r="P113" i="4"/>
  <c r="O112" i="4"/>
  <c r="P112" i="4"/>
  <c r="H114" i="4"/>
  <c r="I114" i="4" s="1"/>
  <c r="E116" i="4"/>
  <c r="F116" i="4" s="1"/>
  <c r="E115" i="4"/>
  <c r="F115" i="4"/>
  <c r="E114" i="4"/>
  <c r="F114" i="4" s="1"/>
  <c r="E113" i="4"/>
  <c r="F113" i="4"/>
  <c r="E112" i="4"/>
  <c r="F112" i="4"/>
  <c r="R53" i="4"/>
  <c r="S53" i="4" s="1"/>
  <c r="O55" i="4"/>
  <c r="P55" i="4"/>
  <c r="O54" i="4"/>
  <c r="P54" i="4"/>
  <c r="O53" i="4"/>
  <c r="P53" i="4" s="1"/>
  <c r="O52" i="4"/>
  <c r="P52" i="4" s="1"/>
  <c r="O51" i="4"/>
  <c r="P51" i="4" s="1"/>
  <c r="H53" i="4"/>
  <c r="I53" i="4" s="1"/>
  <c r="E55" i="4"/>
  <c r="F55" i="4"/>
  <c r="E54" i="4"/>
  <c r="F54" i="4"/>
  <c r="E53" i="4"/>
  <c r="F53" i="4"/>
  <c r="E52" i="4"/>
  <c r="F52" i="4"/>
  <c r="E51" i="4"/>
  <c r="F51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35" i="4" l="1"/>
  <c r="S235" i="4" s="1"/>
  <c r="O235" i="4"/>
  <c r="P235" i="4"/>
  <c r="O234" i="4"/>
  <c r="P234" i="4"/>
  <c r="O233" i="4"/>
  <c r="P233" i="4"/>
  <c r="H235" i="4"/>
  <c r="I235" i="4" s="1"/>
  <c r="E235" i="4"/>
  <c r="F235" i="4"/>
  <c r="E234" i="4"/>
  <c r="F234" i="4"/>
  <c r="E233" i="4"/>
  <c r="F233" i="4"/>
  <c r="R173" i="4"/>
  <c r="S173" i="4" s="1"/>
  <c r="O173" i="4"/>
  <c r="P173" i="4"/>
  <c r="O172" i="4"/>
  <c r="P172" i="4"/>
  <c r="O171" i="4"/>
  <c r="P171" i="4"/>
  <c r="H173" i="4"/>
  <c r="I173" i="4" s="1"/>
  <c r="E173" i="4"/>
  <c r="F173" i="4"/>
  <c r="E172" i="4"/>
  <c r="F172" i="4" s="1"/>
  <c r="E171" i="4"/>
  <c r="F171" i="4" s="1"/>
  <c r="R111" i="4"/>
  <c r="S111" i="4" s="1"/>
  <c r="O111" i="4"/>
  <c r="P111" i="4"/>
  <c r="O110" i="4"/>
  <c r="P110" i="4" s="1"/>
  <c r="O109" i="4"/>
  <c r="P109" i="4" s="1"/>
  <c r="H111" i="4"/>
  <c r="I111" i="4" s="1"/>
  <c r="E111" i="4"/>
  <c r="F111" i="4" s="1"/>
  <c r="E110" i="4"/>
  <c r="F110" i="4"/>
  <c r="E109" i="4"/>
  <c r="F109" i="4"/>
  <c r="R50" i="4"/>
  <c r="S50" i="4" s="1"/>
  <c r="O50" i="4"/>
  <c r="P50" i="4" s="1"/>
  <c r="O49" i="4"/>
  <c r="P49" i="4"/>
  <c r="O48" i="4"/>
  <c r="P48" i="4" s="1"/>
  <c r="H50" i="4"/>
  <c r="I50" i="4" s="1"/>
  <c r="E50" i="4"/>
  <c r="F50" i="4"/>
  <c r="E49" i="4"/>
  <c r="F49" i="4" s="1"/>
  <c r="E48" i="4"/>
  <c r="F48" i="4" s="1"/>
  <c r="J917" i="2" l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M917" i="2"/>
  <c r="N917" i="2" s="1"/>
  <c r="R1373" i="2" s="1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32" i="4" l="1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/>
  <c r="E230" i="4"/>
  <c r="F230" i="4"/>
  <c r="R170" i="4"/>
  <c r="S170" i="4" s="1"/>
  <c r="O170" i="4"/>
  <c r="P170" i="4" s="1"/>
  <c r="O169" i="4"/>
  <c r="P169" i="4"/>
  <c r="O168" i="4"/>
  <c r="P168" i="4"/>
  <c r="H170" i="4"/>
  <c r="I170" i="4" s="1"/>
  <c r="E170" i="4"/>
  <c r="F170" i="4"/>
  <c r="E169" i="4"/>
  <c r="F169" i="4" s="1"/>
  <c r="E168" i="4"/>
  <c r="F168" i="4"/>
  <c r="I108" i="4"/>
  <c r="H108" i="4"/>
  <c r="E108" i="4"/>
  <c r="F108" i="4"/>
  <c r="E107" i="4"/>
  <c r="F107" i="4" s="1"/>
  <c r="E106" i="4"/>
  <c r="F106" i="4"/>
  <c r="R108" i="4"/>
  <c r="S108" i="4" s="1"/>
  <c r="O108" i="4"/>
  <c r="P108" i="4" s="1"/>
  <c r="O107" i="4"/>
  <c r="P107" i="4"/>
  <c r="O106" i="4"/>
  <c r="P106" i="4"/>
  <c r="R47" i="4"/>
  <c r="S47" i="4" s="1"/>
  <c r="O47" i="4"/>
  <c r="P47" i="4" s="1"/>
  <c r="O46" i="4"/>
  <c r="P46" i="4"/>
  <c r="O45" i="4"/>
  <c r="P45" i="4"/>
  <c r="H47" i="4"/>
  <c r="I47" i="4" s="1"/>
  <c r="E47" i="4"/>
  <c r="F47" i="4" s="1"/>
  <c r="E46" i="4"/>
  <c r="F46" i="4" s="1"/>
  <c r="E45" i="4"/>
  <c r="F45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29" i="4" l="1"/>
  <c r="I229" i="4" s="1"/>
  <c r="E229" i="4"/>
  <c r="F229" i="4" s="1"/>
  <c r="E228" i="4"/>
  <c r="F228" i="4" s="1"/>
  <c r="S229" i="4"/>
  <c r="R229" i="4"/>
  <c r="O229" i="4"/>
  <c r="P229" i="4" s="1"/>
  <c r="O228" i="4"/>
  <c r="P228" i="4" s="1"/>
  <c r="R167" i="4"/>
  <c r="S167" i="4" s="1"/>
  <c r="O167" i="4"/>
  <c r="P167" i="4" s="1"/>
  <c r="O166" i="4"/>
  <c r="P166" i="4" s="1"/>
  <c r="I167" i="4"/>
  <c r="H167" i="4"/>
  <c r="E167" i="4"/>
  <c r="F167" i="4" s="1"/>
  <c r="E166" i="4"/>
  <c r="F166" i="4"/>
  <c r="S105" i="4"/>
  <c r="R105" i="4"/>
  <c r="O105" i="4"/>
  <c r="P105" i="4" s="1"/>
  <c r="O104" i="4"/>
  <c r="P104" i="4" s="1"/>
  <c r="I105" i="4"/>
  <c r="H105" i="4"/>
  <c r="E105" i="4"/>
  <c r="F105" i="4" s="1"/>
  <c r="E104" i="4"/>
  <c r="F104" i="4" s="1"/>
  <c r="S44" i="4"/>
  <c r="R44" i="4"/>
  <c r="O44" i="4"/>
  <c r="P44" i="4" s="1"/>
  <c r="O43" i="4"/>
  <c r="P43" i="4"/>
  <c r="H44" i="4"/>
  <c r="I44" i="4" s="1"/>
  <c r="E44" i="4"/>
  <c r="F44" i="4" s="1"/>
  <c r="E43" i="4"/>
  <c r="F43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27" i="4"/>
  <c r="P227" i="4" s="1"/>
  <c r="E227" i="4"/>
  <c r="F227" i="4"/>
  <c r="O226" i="4"/>
  <c r="P226" i="4" s="1"/>
  <c r="E226" i="4"/>
  <c r="F226" i="4"/>
  <c r="O225" i="4"/>
  <c r="P225" i="4" s="1"/>
  <c r="E225" i="4"/>
  <c r="F225" i="4"/>
  <c r="O165" i="4"/>
  <c r="P165" i="4" s="1"/>
  <c r="E165" i="4"/>
  <c r="F165" i="4"/>
  <c r="O164" i="4"/>
  <c r="P164" i="4" s="1"/>
  <c r="E164" i="4"/>
  <c r="F164" i="4"/>
  <c r="O163" i="4"/>
  <c r="P163" i="4"/>
  <c r="E163" i="4"/>
  <c r="F163" i="4" s="1"/>
  <c r="O103" i="4"/>
  <c r="P103" i="4"/>
  <c r="E103" i="4"/>
  <c r="F103" i="4" s="1"/>
  <c r="O102" i="4"/>
  <c r="P102" i="4" s="1"/>
  <c r="E102" i="4"/>
  <c r="F102" i="4"/>
  <c r="E101" i="4"/>
  <c r="F101" i="4" s="1"/>
  <c r="O101" i="4"/>
  <c r="P101" i="4"/>
  <c r="O42" i="4"/>
  <c r="P42" i="4" s="1"/>
  <c r="O41" i="4"/>
  <c r="P41" i="4"/>
  <c r="O40" i="4"/>
  <c r="P40" i="4" s="1"/>
  <c r="E42" i="4"/>
  <c r="F42" i="4"/>
  <c r="E41" i="4"/>
  <c r="F41" i="4" s="1"/>
  <c r="E40" i="4"/>
  <c r="F40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24" i="4"/>
  <c r="P224" i="4" s="1"/>
  <c r="R226" i="4" s="1"/>
  <c r="O223" i="4"/>
  <c r="P223" i="4" s="1"/>
  <c r="E224" i="4"/>
  <c r="F224" i="4" s="1"/>
  <c r="H226" i="4" s="1"/>
  <c r="E223" i="4"/>
  <c r="F223" i="4" s="1"/>
  <c r="O162" i="4"/>
  <c r="P162" i="4" s="1"/>
  <c r="R164" i="4" s="1"/>
  <c r="O161" i="4"/>
  <c r="P161" i="4"/>
  <c r="E162" i="4"/>
  <c r="F162" i="4" s="1"/>
  <c r="H164" i="4" s="1"/>
  <c r="E161" i="4"/>
  <c r="F161" i="4" s="1"/>
  <c r="O100" i="4"/>
  <c r="P100" i="4" s="1"/>
  <c r="R102" i="4" s="1"/>
  <c r="O99" i="4"/>
  <c r="P99" i="4" s="1"/>
  <c r="E100" i="4"/>
  <c r="F100" i="4" s="1"/>
  <c r="H102" i="4" s="1"/>
  <c r="E99" i="4"/>
  <c r="F99" i="4" s="1"/>
  <c r="O39" i="4"/>
  <c r="P39" i="4" s="1"/>
  <c r="R41" i="4" s="1"/>
  <c r="O38" i="4"/>
  <c r="P38" i="4" s="1"/>
  <c r="E39" i="4"/>
  <c r="F39" i="4" s="1"/>
  <c r="H41" i="4" s="1"/>
  <c r="E38" i="4"/>
  <c r="F38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37" i="4" l="1"/>
  <c r="P37" i="4" s="1"/>
  <c r="O36" i="4"/>
  <c r="P36" i="4" s="1"/>
  <c r="O35" i="4"/>
  <c r="P35" i="4"/>
  <c r="O34" i="4"/>
  <c r="P34" i="4" s="1"/>
  <c r="O33" i="4"/>
  <c r="P33" i="4"/>
  <c r="H35" i="4"/>
  <c r="I35" i="4" s="1"/>
  <c r="E37" i="4"/>
  <c r="F37" i="4" s="1"/>
  <c r="E36" i="4"/>
  <c r="F36" i="4" s="1"/>
  <c r="H38" i="4" s="1"/>
  <c r="E35" i="4"/>
  <c r="F35" i="4" s="1"/>
  <c r="E34" i="4"/>
  <c r="F34" i="4" s="1"/>
  <c r="E33" i="4"/>
  <c r="F33" i="4"/>
  <c r="O98" i="4"/>
  <c r="P98" i="4" s="1"/>
  <c r="O97" i="4"/>
  <c r="P97" i="4" s="1"/>
  <c r="R99" i="4" s="1"/>
  <c r="S99" i="4" s="1"/>
  <c r="E98" i="4"/>
  <c r="F98" i="4" s="1"/>
  <c r="E97" i="4"/>
  <c r="F97" i="4" s="1"/>
  <c r="H99" i="4" s="1"/>
  <c r="O160" i="4"/>
  <c r="P160" i="4" s="1"/>
  <c r="O159" i="4"/>
  <c r="P159" i="4" s="1"/>
  <c r="R161" i="4" s="1"/>
  <c r="S161" i="4" s="1"/>
  <c r="E160" i="4"/>
  <c r="F160" i="4" s="1"/>
  <c r="E159" i="4"/>
  <c r="F159" i="4"/>
  <c r="H161" i="4" s="1"/>
  <c r="I161" i="4" s="1"/>
  <c r="O222" i="4"/>
  <c r="P222" i="4" s="1"/>
  <c r="O221" i="4"/>
  <c r="P221" i="4" s="1"/>
  <c r="R223" i="4" s="1"/>
  <c r="S223" i="4" s="1"/>
  <c r="O220" i="4"/>
  <c r="P220" i="4" s="1"/>
  <c r="O219" i="4"/>
  <c r="P219" i="4" s="1"/>
  <c r="O218" i="4"/>
  <c r="P218" i="4" s="1"/>
  <c r="R220" i="4" s="1"/>
  <c r="S220" i="4" s="1"/>
  <c r="E222" i="4"/>
  <c r="F222" i="4" s="1"/>
  <c r="E221" i="4"/>
  <c r="F221" i="4"/>
  <c r="H223" i="4" s="1"/>
  <c r="E220" i="4"/>
  <c r="F220" i="4" s="1"/>
  <c r="E219" i="4"/>
  <c r="F219" i="4" s="1"/>
  <c r="E218" i="4"/>
  <c r="F218" i="4" s="1"/>
  <c r="H220" i="4" s="1"/>
  <c r="I220" i="4" s="1"/>
  <c r="R158" i="4"/>
  <c r="S158" i="4" s="1"/>
  <c r="O158" i="4"/>
  <c r="P158" i="4" s="1"/>
  <c r="O157" i="4"/>
  <c r="P157" i="4" s="1"/>
  <c r="O156" i="4"/>
  <c r="P156" i="4"/>
  <c r="E158" i="4"/>
  <c r="F158" i="4" s="1"/>
  <c r="E157" i="4"/>
  <c r="F157" i="4" s="1"/>
  <c r="E156" i="4"/>
  <c r="F156" i="4" s="1"/>
  <c r="H158" i="4" s="1"/>
  <c r="I158" i="4" s="1"/>
  <c r="O96" i="4"/>
  <c r="P96" i="4" s="1"/>
  <c r="O95" i="4"/>
  <c r="P95" i="4" s="1"/>
  <c r="O94" i="4"/>
  <c r="P94" i="4"/>
  <c r="R96" i="4" s="1"/>
  <c r="S96" i="4" s="1"/>
  <c r="F192" i="4"/>
  <c r="F130" i="4"/>
  <c r="F7" i="4"/>
  <c r="F68" i="4"/>
  <c r="E96" i="4"/>
  <c r="F96" i="4" s="1"/>
  <c r="E95" i="4"/>
  <c r="F95" i="4" s="1"/>
  <c r="E94" i="4"/>
  <c r="F94" i="4" s="1"/>
  <c r="H96" i="4" s="1"/>
  <c r="I96" i="4" s="1"/>
  <c r="I223" i="4" l="1"/>
  <c r="I99" i="4"/>
  <c r="I38" i="4"/>
  <c r="I226" i="4"/>
  <c r="I102" i="4"/>
  <c r="S164" i="4"/>
  <c r="S102" i="4"/>
  <c r="I164" i="4"/>
  <c r="S226" i="4"/>
  <c r="S41" i="4"/>
  <c r="I41" i="4"/>
  <c r="R38" i="4"/>
  <c r="S38" i="4" s="1"/>
  <c r="R35" i="4"/>
  <c r="S35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04" i="4"/>
  <c r="P206" i="4"/>
  <c r="P210" i="4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P203" i="4" s="1"/>
  <c r="O204" i="4"/>
  <c r="O205" i="4"/>
  <c r="P205" i="4" s="1"/>
  <c r="O206" i="4"/>
  <c r="O207" i="4"/>
  <c r="P207" i="4" s="1"/>
  <c r="O208" i="4"/>
  <c r="P208" i="4" s="1"/>
  <c r="O209" i="4"/>
  <c r="P209" i="4" s="1"/>
  <c r="O210" i="4"/>
  <c r="O211" i="4"/>
  <c r="P211" i="4" s="1"/>
  <c r="O212" i="4"/>
  <c r="P212" i="4" s="1"/>
  <c r="O213" i="4"/>
  <c r="P213" i="4" s="1"/>
  <c r="O214" i="4"/>
  <c r="P214" i="4" s="1"/>
  <c r="O215" i="4"/>
  <c r="P215" i="4" s="1"/>
  <c r="O216" i="4"/>
  <c r="P216" i="4" s="1"/>
  <c r="O217" i="4"/>
  <c r="P217" i="4" s="1"/>
  <c r="O197" i="4"/>
  <c r="P197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02" i="4"/>
  <c r="R214" i="4"/>
  <c r="R217" i="4"/>
  <c r="R211" i="4"/>
  <c r="R205" i="4"/>
  <c r="R199" i="4"/>
  <c r="R208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147" i="4" l="1"/>
  <c r="P144" i="4"/>
  <c r="P152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P141" i="4" s="1"/>
  <c r="O142" i="4"/>
  <c r="P142" i="4" s="1"/>
  <c r="O143" i="4"/>
  <c r="P143" i="4" s="1"/>
  <c r="O144" i="4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O153" i="4"/>
  <c r="P153" i="4" s="1"/>
  <c r="O154" i="4"/>
  <c r="P154" i="4" s="1"/>
  <c r="O155" i="4"/>
  <c r="P155" i="4" s="1"/>
  <c r="O135" i="4"/>
  <c r="P135" i="4" s="1"/>
  <c r="F198" i="4"/>
  <c r="F200" i="4"/>
  <c r="F214" i="4"/>
  <c r="F216" i="4"/>
  <c r="E198" i="4"/>
  <c r="E199" i="4"/>
  <c r="F199" i="4" s="1"/>
  <c r="E200" i="4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E215" i="4"/>
  <c r="F215" i="4" s="1"/>
  <c r="E216" i="4"/>
  <c r="E217" i="4"/>
  <c r="F217" i="4" s="1"/>
  <c r="E197" i="4"/>
  <c r="F197" i="4" s="1"/>
  <c r="F136" i="4"/>
  <c r="F138" i="4"/>
  <c r="F144" i="4"/>
  <c r="F152" i="4"/>
  <c r="F154" i="4"/>
  <c r="E136" i="4"/>
  <c r="E137" i="4"/>
  <c r="F137" i="4" s="1"/>
  <c r="E138" i="4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H152" i="4" s="1"/>
  <c r="E151" i="4"/>
  <c r="F151" i="4" s="1"/>
  <c r="E152" i="4"/>
  <c r="E153" i="4"/>
  <c r="F153" i="4" s="1"/>
  <c r="E154" i="4"/>
  <c r="E155" i="4"/>
  <c r="F155" i="4" s="1"/>
  <c r="E135" i="4"/>
  <c r="F135" i="4" s="1"/>
  <c r="P74" i="4"/>
  <c r="P76" i="4"/>
  <c r="P82" i="4"/>
  <c r="P90" i="4"/>
  <c r="P92" i="4"/>
  <c r="O74" i="4"/>
  <c r="O75" i="4"/>
  <c r="P75" i="4" s="1"/>
  <c r="O76" i="4"/>
  <c r="O77" i="4"/>
  <c r="P77" i="4" s="1"/>
  <c r="O78" i="4"/>
  <c r="P78" i="4" s="1"/>
  <c r="O79" i="4"/>
  <c r="P79" i="4" s="1"/>
  <c r="O80" i="4"/>
  <c r="P80" i="4" s="1"/>
  <c r="O81" i="4"/>
  <c r="P81" i="4" s="1"/>
  <c r="O82" i="4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R90" i="4" s="1"/>
  <c r="O89" i="4"/>
  <c r="P89" i="4" s="1"/>
  <c r="O90" i="4"/>
  <c r="O91" i="4"/>
  <c r="P91" i="4" s="1"/>
  <c r="O92" i="4"/>
  <c r="O93" i="4"/>
  <c r="P93" i="4" s="1"/>
  <c r="O73" i="4"/>
  <c r="P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/>
  <c r="E91" i="4"/>
  <c r="F91" i="4" s="1"/>
  <c r="E92" i="4"/>
  <c r="F92" i="4"/>
  <c r="E93" i="4"/>
  <c r="F93" i="4"/>
  <c r="E73" i="4"/>
  <c r="F73" i="4" s="1"/>
  <c r="H84" i="4" l="1"/>
  <c r="H205" i="4"/>
  <c r="R152" i="4"/>
  <c r="S152" i="4" s="1"/>
  <c r="R78" i="4"/>
  <c r="H75" i="4"/>
  <c r="R143" i="4"/>
  <c r="H211" i="4"/>
  <c r="H140" i="4"/>
  <c r="H90" i="4"/>
  <c r="R84" i="4"/>
  <c r="H146" i="4"/>
  <c r="H217" i="4"/>
  <c r="R146" i="4"/>
  <c r="S146" i="4" s="1"/>
  <c r="H78" i="4"/>
  <c r="I146" i="4"/>
  <c r="I152" i="4"/>
  <c r="H93" i="4"/>
  <c r="H87" i="4"/>
  <c r="H81" i="4"/>
  <c r="R93" i="4"/>
  <c r="R87" i="4"/>
  <c r="R81" i="4"/>
  <c r="R75" i="4"/>
  <c r="H199" i="4"/>
  <c r="H208" i="4"/>
  <c r="R155" i="4"/>
  <c r="S155" i="4" s="1"/>
  <c r="R149" i="4"/>
  <c r="H155" i="4"/>
  <c r="I155" i="4" s="1"/>
  <c r="H149" i="4"/>
  <c r="H143" i="4"/>
  <c r="I143" i="4" s="1"/>
  <c r="H137" i="4"/>
  <c r="H214" i="4"/>
  <c r="H202" i="4"/>
  <c r="R137" i="4"/>
  <c r="S137" i="4" s="1"/>
  <c r="R140" i="4"/>
  <c r="S143" i="4"/>
  <c r="I75" i="4"/>
  <c r="P20" i="4"/>
  <c r="P28" i="4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O29" i="4"/>
  <c r="P29" i="4" s="1"/>
  <c r="O30" i="4"/>
  <c r="P30" i="4" s="1"/>
  <c r="O31" i="4"/>
  <c r="P31" i="4" s="1"/>
  <c r="O32" i="4"/>
  <c r="P32" i="4" s="1"/>
  <c r="O12" i="4"/>
  <c r="P12" i="4" s="1"/>
  <c r="F13" i="4"/>
  <c r="F17" i="4"/>
  <c r="F12" i="4"/>
  <c r="E13" i="4"/>
  <c r="E14" i="4"/>
  <c r="F14" i="4" s="1"/>
  <c r="E15" i="4"/>
  <c r="F15" i="4" s="1"/>
  <c r="E16" i="4"/>
  <c r="F16" i="4" s="1"/>
  <c r="E17" i="4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12" i="4"/>
  <c r="R26" i="4" l="1"/>
  <c r="S26" i="4" s="1"/>
  <c r="R14" i="4"/>
  <c r="S14" i="4" s="1"/>
  <c r="R29" i="4"/>
  <c r="S29" i="4" s="1"/>
  <c r="R23" i="4"/>
  <c r="S23" i="4" s="1"/>
  <c r="R17" i="4"/>
  <c r="S17" i="4" s="1"/>
  <c r="R32" i="4"/>
  <c r="S32" i="4" s="1"/>
  <c r="R20" i="4"/>
  <c r="S20" i="4" s="1"/>
  <c r="H32" i="4"/>
  <c r="I32" i="4" s="1"/>
  <c r="H20" i="4"/>
  <c r="I20" i="4" s="1"/>
  <c r="S214" i="4"/>
  <c r="S202" i="4"/>
  <c r="S199" i="4"/>
  <c r="S208" i="4"/>
  <c r="S217" i="4"/>
  <c r="S211" i="4"/>
  <c r="S205" i="4"/>
  <c r="I214" i="4"/>
  <c r="I199" i="4"/>
  <c r="S81" i="4"/>
  <c r="S93" i="4"/>
  <c r="I87" i="4"/>
  <c r="S90" i="4"/>
  <c r="I90" i="4"/>
  <c r="I211" i="4"/>
  <c r="I84" i="4"/>
  <c r="S140" i="4"/>
  <c r="I202" i="4"/>
  <c r="I137" i="4"/>
  <c r="I149" i="4"/>
  <c r="S149" i="4"/>
  <c r="I208" i="4"/>
  <c r="S75" i="4"/>
  <c r="S87" i="4"/>
  <c r="I81" i="4"/>
  <c r="I93" i="4"/>
  <c r="I140" i="4"/>
  <c r="S78" i="4"/>
  <c r="I78" i="4"/>
  <c r="I205" i="4"/>
  <c r="I217" i="4"/>
  <c r="S84" i="4"/>
  <c r="H14" i="4"/>
  <c r="I14" i="4" s="1"/>
  <c r="H29" i="4"/>
  <c r="I29" i="4" s="1"/>
  <c r="H17" i="4"/>
  <c r="I17" i="4" s="1"/>
  <c r="H26" i="4"/>
  <c r="I26" i="4" s="1"/>
  <c r="H23" i="4"/>
  <c r="I23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<sst xmlns="http://schemas.openxmlformats.org/spreadsheetml/2006/main" count="9327" uniqueCount="292">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</sst>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639"/>
  <sheetViews>
    <sheetView zoomScale="115" zoomScaleNormal="115" workbookViewId="0">
      <pane xSplit="4" ySplit="5" topLeftCell="E1601" activePane="bottomRight" state="frozen"/>
      <selection pane="topRight" activeCell="E1" sqref="E1"/>
      <selection pane="bottomLeft" activeCell="A6" sqref="A6"/>
      <selection pane="bottomRight" activeCell="Q1564" sqref="Q1564:Q1565"/>
    </sheetView>
  </sheetViews>
  <sheetFormatPr defaultColWidth="8.88671875" defaultRowHeight="13.2" x14ac:dyDescent="0.25"/>
  <cols>
    <col min="1" max="1" width="10.109375" style="98" bestFit="1" customWidth="1"/>
    <col min="2" max="2" width="19.5546875" style="98" customWidth="1"/>
    <col min="3" max="3" width="20.109375" style="98" customWidth="1"/>
    <col min="4" max="4" width="8.88671875" style="98" customWidth="1"/>
    <col min="5" max="5" width="10.33203125" style="88" customWidth="1"/>
    <col min="6" max="6" width="9.88671875" style="53" bestFit="1" customWidth="1"/>
    <col min="7" max="16" width="8.88671875" style="98"/>
    <col min="17" max="17" width="11.44140625" style="98" bestFit="1" customWidth="1"/>
    <col min="18" max="18" width="11.5546875" style="98" bestFit="1" customWidth="1"/>
    <col min="19" max="19" width="9.44140625" style="98" bestFit="1" customWidth="1"/>
    <col min="20" max="20" width="11.33203125" style="98" bestFit="1" customWidth="1"/>
    <col min="21" max="21" width="12" style="98" bestFit="1" customWidth="1"/>
    <col min="22" max="16384" width="8.88671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5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5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5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5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5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5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5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5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5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5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5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5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5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5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5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5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5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5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5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5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5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5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5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5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5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5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5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5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5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5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5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5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5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5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5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5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5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5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5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5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5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5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5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5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5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5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5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5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5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5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5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5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5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5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5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5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5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5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5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5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5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5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5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5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5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5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5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5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5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5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5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5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5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5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5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5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5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5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5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5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5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5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5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5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5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5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5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5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5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5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5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5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5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5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5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5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5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5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5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5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5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5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5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5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5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5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5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5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5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5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5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5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5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5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5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5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39" si="374">((N1628/N1172)-1)*100</f>
        <v>2.1193453475542468</v>
      </c>
      <c r="S1628" s="140">
        <f t="shared" si="372"/>
        <v>55.314796425024831</v>
      </c>
    </row>
    <row r="1629" spans="1:19" ht="14.4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</sheetData>
  <autoFilter ref="A1:V1639"/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G39" sqref="G39"/>
    </sheetView>
  </sheetViews>
  <sheetFormatPr defaultRowHeight="14.4" x14ac:dyDescent="0.3"/>
  <cols>
    <col min="1" max="1" width="12.109375" customWidth="1"/>
    <col min="2" max="2" width="18.88671875" bestFit="1" customWidth="1"/>
    <col min="3" max="3" width="20" bestFit="1" customWidth="1"/>
    <col min="4" max="4" width="9.6640625" customWidth="1"/>
    <col min="5" max="5" width="9.33203125" customWidth="1"/>
    <col min="6" max="6" width="10.88671875" bestFit="1" customWidth="1"/>
    <col min="7" max="7" width="10.44140625" bestFit="1" customWidth="1"/>
    <col min="8" max="8" width="9.33203125" customWidth="1"/>
  </cols>
  <sheetData>
    <row r="1" spans="1:9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399999999999999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3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3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3">
      <c r="A5" s="16">
        <f>INDEX(Data!E:E,COUNTIF(Data!E:E,"&gt;0")+2,1)</f>
        <v>41609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3191</v>
      </c>
      <c r="E7" s="74">
        <f>INDEX(Data!M:M,COUNTIF(Data!$E:$E,"&gt;0")-32,1)</f>
        <v>182.16</v>
      </c>
      <c r="F7" s="75">
        <f>INDEX(Data!O:O,COUNTIF(Data!$E:$E,"&gt;0")-32,1)</f>
        <v>33.497120158887782</v>
      </c>
      <c r="G7" s="75">
        <f>INDEX(Data!P:P,COUNTIF(Data!$E:$E,"&gt;0")-32,1)</f>
        <v>0.91166486486486487</v>
      </c>
      <c r="H7" s="145">
        <f>INDEX(Data!R:R,COUNTIF(Data!$E:$E,"&gt;0")-32,1)</f>
        <v>0.79966531197703805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104.3</v>
      </c>
      <c r="F8" s="54">
        <f>INDEX(Data!O:O,COUNTIF(Data!$E:$E,"&gt;0")-31,1)</f>
        <v>36.745779543197621</v>
      </c>
      <c r="G8" s="54">
        <f>INDEX(Data!P:P,COUNTIF(Data!$E:$E,"&gt;0")-31,1)</f>
        <v>1.0000810810810812</v>
      </c>
      <c r="H8" s="146">
        <f>INDEX(Data!R:R,COUNTIF(Data!$E:$E,"&gt;0")-31,1)</f>
        <v>3.8185287020930492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535.5</v>
      </c>
      <c r="F9" s="75">
        <f>INDEX(Data!O:O,COUNTIF(Data!$E:$E,"&gt;0")-30,1)</f>
        <v>67.323733862959287</v>
      </c>
      <c r="G9" s="75">
        <f>INDEX(Data!P:P,COUNTIF(Data!$E:$E,"&gt;0")-30,1)</f>
        <v>1.8322972972972973</v>
      </c>
      <c r="H9" s="145">
        <f>INDEX(Data!R:R,COUNTIF(Data!$E:$E,"&gt;0")-30,1)</f>
        <v>2.1316661645073731</v>
      </c>
      <c r="I9" s="2"/>
    </row>
    <row r="10" spans="1:9" x14ac:dyDescent="0.3">
      <c r="A10" s="57"/>
      <c r="B10" s="79" t="s">
        <v>246</v>
      </c>
      <c r="C10" s="25" t="s">
        <v>7</v>
      </c>
      <c r="D10" s="23">
        <f>INDEX(Data!G:G,COUNTIF(Data!$E:$E,"&gt;0")-29,1)</f>
        <v>3808</v>
      </c>
      <c r="E10" s="23">
        <f>INDEX(Data!M:M,COUNTIF(Data!$E:$E,"&gt;0")-29,1)</f>
        <v>320.39999999999998</v>
      </c>
      <c r="F10" s="54">
        <f>INDEX(Data!O:O,COUNTIF(Data!$E:$E,"&gt;0")-29,1)</f>
        <v>40.997020854021841</v>
      </c>
      <c r="G10" s="54">
        <f>INDEX(Data!P:P,COUNTIF(Data!$E:$E,"&gt;0")-29,1)</f>
        <v>1.1157837837837836</v>
      </c>
      <c r="H10" s="146">
        <f>INDEX(Data!R:R,COUNTIF(Data!$E:$E,"&gt;0")-29,1)</f>
        <v>3.1842039490127316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439.59999999999997</v>
      </c>
      <c r="F11" s="75">
        <f>INDEX(Data!O:O,COUNTIF(Data!$E:$E,"&gt;0")-28,1)</f>
        <v>62.200595829195635</v>
      </c>
      <c r="G11" s="75">
        <f>INDEX(Data!P:P,COUNTIF(Data!$E:$E,"&gt;0")-28,1)</f>
        <v>1.692864864864865</v>
      </c>
      <c r="H11" s="145">
        <f>INDEX(Data!R:R,COUNTIF(Data!$E:$E,"&gt;0")-28,1)</f>
        <v>3.0977384205155278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4076</v>
      </c>
      <c r="E12" s="23">
        <f>INDEX(Data!M:M,COUNTIF(Data!$E:$E,"&gt;0")-27,1)</f>
        <v>351</v>
      </c>
      <c r="F12" s="54">
        <f>INDEX(Data!O:O,COUNTIF(Data!$E:$E,"&gt;0")-27,1)</f>
        <v>43.962264150943398</v>
      </c>
      <c r="G12" s="54">
        <f>INDEX(Data!P:P,COUNTIF(Data!$E:$E,"&gt;0")-27,1)</f>
        <v>1.1964864864864866</v>
      </c>
      <c r="H12" s="146">
        <f>INDEX(Data!R:R,COUNTIF(Data!$E:$E,"&gt;0")-27,1)</f>
        <v>2.9056252905625302</v>
      </c>
      <c r="I12" s="2"/>
    </row>
    <row r="13" spans="1:9" x14ac:dyDescent="0.3">
      <c r="A13" s="55"/>
      <c r="B13" s="73" t="s">
        <v>11</v>
      </c>
      <c r="C13" s="73" t="s">
        <v>6</v>
      </c>
      <c r="D13" s="74">
        <f>INDEX(Data!G:G,COUNTIF(Data!$E:$E,"&gt;0")-26,1)</f>
        <v>4275</v>
      </c>
      <c r="E13" s="74">
        <f>INDEX(Data!M:M,COUNTIF(Data!$E:$E,"&gt;0")-26,1)</f>
        <v>488.52</v>
      </c>
      <c r="F13" s="75">
        <f>INDEX(Data!O:O,COUNTIF(Data!$E:$E,"&gt;0")-26,1)</f>
        <v>47.304071499503479</v>
      </c>
      <c r="G13" s="75">
        <f>INDEX(Data!P:P,COUNTIF(Data!$E:$E,"&gt;0")-26,1)</f>
        <v>1.2874378378378379</v>
      </c>
      <c r="H13" s="145">
        <f>INDEX(Data!R:R,COUNTIF(Data!$E:$E,"&gt;0")-26,1)</f>
        <v>2.3356535189481775</v>
      </c>
      <c r="I13" s="2"/>
    </row>
    <row r="14" spans="1:9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3192</v>
      </c>
      <c r="E14" s="23">
        <f>INDEX(Data!M:M,COUNTIF(Data!$E:$E,"&gt;0")-25,1)</f>
        <v>362.15999999999997</v>
      </c>
      <c r="F14" s="54">
        <f>INDEX(Data!O:O,COUNTIF(Data!$E:$E,"&gt;0")-25,1)</f>
        <v>35.294538232373384</v>
      </c>
      <c r="G14" s="54">
        <f>INDEX(Data!P:P,COUNTIF(Data!$E:$E,"&gt;0")-25,1)</f>
        <v>0.89654486486486484</v>
      </c>
      <c r="H14" s="146">
        <f>INDEX(Data!R:R,COUNTIF(Data!$E:$E,"&gt;0")-25,1)</f>
        <v>1.1889306457123272</v>
      </c>
      <c r="I14" s="2"/>
    </row>
    <row r="15" spans="1:9" x14ac:dyDescent="0.3">
      <c r="A15" s="55"/>
      <c r="B15" s="73" t="s">
        <v>14</v>
      </c>
      <c r="C15" s="73" t="s">
        <v>15</v>
      </c>
      <c r="D15" s="74">
        <f>INDEX(Data!G:G,COUNTIF(Data!$E:$E,"&gt;0")-24,1)</f>
        <v>4686</v>
      </c>
      <c r="E15" s="74">
        <f>INDEX(Data!M:M,COUNTIF(Data!$E:$E,"&gt;0")-24,1)</f>
        <v>415.68</v>
      </c>
      <c r="F15" s="75">
        <f>INDEX(Data!O:O,COUNTIF(Data!$E:$E,"&gt;0")-24,1)</f>
        <v>50.662164846077459</v>
      </c>
      <c r="G15" s="75">
        <f>INDEX(Data!P:P,COUNTIF(Data!$E:$E,"&gt;0")-24,1)</f>
        <v>1.2869102702702704</v>
      </c>
      <c r="H15" s="145">
        <f>INDEX(Data!R:R,COUNTIF(Data!$E:$E,"&gt;0")-24,1)</f>
        <v>2.7119094500078766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2078</v>
      </c>
      <c r="E16" s="23">
        <f>INDEX(Data!M:M,COUNTIF(Data!$E:$E,"&gt;0")-23,1)</f>
        <v>76.679999999999993</v>
      </c>
      <c r="F16" s="54">
        <f>INDEX(Data!O:O,COUNTIF(Data!$E:$E,"&gt;0")-23,1)</f>
        <v>21.397020854021847</v>
      </c>
      <c r="G16" s="54">
        <f>INDEX(Data!P:P,COUNTIF(Data!$E:$E,"&gt;0")-23,1)</f>
        <v>0.54352288288288286</v>
      </c>
      <c r="H16" s="146">
        <f>INDEX(Data!R:R,COUNTIF(Data!$E:$E,"&gt;0")-23,1)</f>
        <v>3.0355776587605243</v>
      </c>
      <c r="I16" s="2"/>
    </row>
    <row r="17" spans="1:9" x14ac:dyDescent="0.3">
      <c r="A17" s="55"/>
      <c r="B17" s="73" t="s">
        <v>18</v>
      </c>
      <c r="C17" s="73" t="s">
        <v>19</v>
      </c>
      <c r="D17" s="74">
        <f>INDEX(Data!G:G,COUNTIF(Data!$E:$E,"&gt;0")-22,1)</f>
        <v>4061</v>
      </c>
      <c r="E17" s="74">
        <f>INDEX(Data!M:M,COUNTIF(Data!$E:$E,"&gt;0")-22,1)</f>
        <v>312</v>
      </c>
      <c r="F17" s="75">
        <f>INDEX(Data!O:O,COUNTIF(Data!$E:$E,"&gt;0")-22,1)</f>
        <v>43.426017874875868</v>
      </c>
      <c r="G17" s="75">
        <f>INDEX(Data!P:P,COUNTIF(Data!$E:$E,"&gt;0")-22,1)</f>
        <v>1.1030990990990992</v>
      </c>
      <c r="H17" s="145">
        <f>INDEX(Data!R:R,COUNTIF(Data!$E:$E,"&gt;0")-22,1)</f>
        <v>2.5442607574158727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3469</v>
      </c>
      <c r="E18" s="23">
        <f>INDEX(Data!M:M,COUNTIF(Data!$E:$E,"&gt;0")-21,1)</f>
        <v>200.16</v>
      </c>
      <c r="F18" s="54">
        <f>INDEX(Data!O:O,COUNTIF(Data!$E:$E,"&gt;0")-21,1)</f>
        <v>36.436544190665337</v>
      </c>
      <c r="G18" s="54">
        <f>INDEX(Data!P:P,COUNTIF(Data!$E:$E,"&gt;0")-21,1)</f>
        <v>0.92555387387387389</v>
      </c>
      <c r="H18" s="146">
        <f>INDEX(Data!R:R,COUNTIF(Data!$E:$E,"&gt;0")-21,1)</f>
        <v>2.6335590669676279</v>
      </c>
      <c r="I18" s="2"/>
    </row>
    <row r="19" spans="1:9" x14ac:dyDescent="0.3">
      <c r="A19" s="55"/>
      <c r="B19" s="73" t="s">
        <v>16</v>
      </c>
      <c r="C19" s="73" t="s">
        <v>21</v>
      </c>
      <c r="D19" s="74">
        <f>INDEX(Data!G:G,COUNTIF(Data!$E:$E,"&gt;0")-20,1)</f>
        <v>3218</v>
      </c>
      <c r="E19" s="74">
        <f>INDEX(Data!M:M,COUNTIF(Data!$E:$E,"&gt;0")-20,1)</f>
        <v>225.35999999999999</v>
      </c>
      <c r="F19" s="75">
        <f>INDEX(Data!O:O,COUNTIF(Data!$E:$E,"&gt;0")-20,1)</f>
        <v>34.194240317775574</v>
      </c>
      <c r="G19" s="75">
        <f>INDEX(Data!P:P,COUNTIF(Data!$E:$E,"&gt;0")-20,1)</f>
        <v>0.86859531531531531</v>
      </c>
      <c r="H19" s="145">
        <f>INDEX(Data!R:R,COUNTIF(Data!$E:$E,"&gt;0")-20,1)</f>
        <v>1.1444013629420713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5215</v>
      </c>
      <c r="E20" s="23">
        <f>INDEX(Data!M:M,COUNTIF(Data!$E:$E,"&gt;0")-19,1)</f>
        <v>656.28</v>
      </c>
      <c r="F20" s="54">
        <f>INDEX(Data!O:O,COUNTIF(Data!$E:$E,"&gt;0")-19,1)</f>
        <v>58.304667328699104</v>
      </c>
      <c r="G20" s="54">
        <f>INDEX(Data!P:P,COUNTIF(Data!$E:$E,"&gt;0")-19,1)</f>
        <v>1.4810436036036037</v>
      </c>
      <c r="H20" s="146">
        <f>INDEX(Data!R:R,COUNTIF(Data!$E:$E,"&gt;0")-19,1)</f>
        <v>1.3302958130544384</v>
      </c>
      <c r="I20" s="2"/>
    </row>
    <row r="21" spans="1:9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3599</v>
      </c>
      <c r="E21" s="74">
        <f>INDEX(Data!M:M,COUNTIF(Data!$E:$E,"&gt;0")-18,1)</f>
        <v>394.71600000000001</v>
      </c>
      <c r="F21" s="75">
        <f>INDEX(Data!O:O,COUNTIF(Data!$E:$E,"&gt;0")-18,1)</f>
        <v>39.659543197616678</v>
      </c>
      <c r="G21" s="75">
        <f>INDEX(Data!P:P,COUNTIF(Data!$E:$E,"&gt;0")-18,1)</f>
        <v>1.0793827027027028</v>
      </c>
      <c r="H21" s="145">
        <f>INDEX(Data!R:R,COUNTIF(Data!$E:$E,"&gt;0")-18,1)</f>
        <v>0.95912937414286414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3687</v>
      </c>
      <c r="E22" s="23">
        <f>INDEX(Data!M:M,COUNTIF(Data!$E:$E,"&gt;0")-17,1)</f>
        <v>295.2</v>
      </c>
      <c r="F22" s="54">
        <f>INDEX(Data!O:O,COUNTIF(Data!$E:$E,"&gt;0")-17,1)</f>
        <v>39.545183714001986</v>
      </c>
      <c r="G22" s="54">
        <f>INDEX(Data!P:P,COUNTIF(Data!$E:$E,"&gt;0")-17,1)</f>
        <v>1.0762702702702702</v>
      </c>
      <c r="H22" s="146">
        <f>INDEX(Data!R:R,COUNTIF(Data!$E:$E,"&gt;0")-17,1)</f>
        <v>2.0828259782873504</v>
      </c>
      <c r="I22" s="2"/>
    </row>
    <row r="23" spans="1:9" x14ac:dyDescent="0.3">
      <c r="A23" s="55"/>
      <c r="B23" s="73" t="s">
        <v>18</v>
      </c>
      <c r="C23" s="73" t="s">
        <v>15</v>
      </c>
      <c r="D23" s="74">
        <f>INDEX(Data!G:G,COUNTIF(Data!$E:$E,"&gt;0")-16,1)</f>
        <v>4756</v>
      </c>
      <c r="E23" s="74">
        <f>INDEX(Data!M:M,COUNTIF(Data!$E:$E,"&gt;0")-16,1)</f>
        <v>418.56</v>
      </c>
      <c r="F23" s="75">
        <f>INDEX(Data!O:O,COUNTIF(Data!$E:$E,"&gt;0")-16,1)</f>
        <v>51.385898709036745</v>
      </c>
      <c r="G23" s="75">
        <f>INDEX(Data!P:P,COUNTIF(Data!$E:$E,"&gt;0")-16,1)</f>
        <v>1.3985297297297299</v>
      </c>
      <c r="H23" s="145">
        <f>INDEX(Data!R:R,COUNTIF(Data!$E:$E,"&gt;0")-16,1)</f>
        <v>2.6665820132694362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3379</v>
      </c>
      <c r="E24" s="23">
        <f>INDEX(Data!M:M,COUNTIF(Data!$E:$E,"&gt;0")-15,1)</f>
        <v>200.16</v>
      </c>
      <c r="F24" s="54">
        <f>INDEX(Data!O:O,COUNTIF(Data!$E:$E,"&gt;0")-15,1)</f>
        <v>35.542800397219459</v>
      </c>
      <c r="G24" s="54">
        <f>INDEX(Data!P:P,COUNTIF(Data!$E:$E,"&gt;0")-15,1)</f>
        <v>0.96734054054054053</v>
      </c>
      <c r="H24" s="146">
        <f>INDEX(Data!R:R,COUNTIF(Data!$E:$E,"&gt;0")-15,1)</f>
        <v>2.6132379207628231</v>
      </c>
      <c r="I24" s="2"/>
    </row>
    <row r="25" spans="1:9" x14ac:dyDescent="0.3">
      <c r="A25" s="55"/>
      <c r="B25" s="73" t="s">
        <v>13</v>
      </c>
      <c r="C25" s="73" t="s">
        <v>7</v>
      </c>
      <c r="D25" s="74">
        <f>INDEX(Data!G:G,COUNTIF(Data!$E:$E,"&gt;0")-14,1)</f>
        <v>3748</v>
      </c>
      <c r="E25" s="74">
        <f>INDEX(Data!M:M,COUNTIF(Data!$E:$E,"&gt;0")-14,1)</f>
        <v>362.15999999999997</v>
      </c>
      <c r="F25" s="75">
        <f>INDEX(Data!O:O,COUNTIF(Data!$E:$E,"&gt;0")-14,1)</f>
        <v>40.815888778550146</v>
      </c>
      <c r="G25" s="75">
        <f>INDEX(Data!P:P,COUNTIF(Data!$E:$E,"&gt;0")-14,1)</f>
        <v>1.1108540540540539</v>
      </c>
      <c r="H25" s="145">
        <f>INDEX(Data!R:R,COUNTIF(Data!$E:$E,"&gt;0")-14,1)</f>
        <v>2.7180486829609496</v>
      </c>
      <c r="I25" s="2"/>
    </row>
    <row r="26" spans="1:9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308</v>
      </c>
      <c r="F27" s="75">
        <f>INDEX(Data!O:O,COUNTIF(Data!$E:$E,"&gt;0")-13,1)</f>
        <v>39.582919563058589</v>
      </c>
      <c r="G27" s="75">
        <f>INDEX(Data!P:P,COUNTIF(Data!$E:$E,"&gt;0")-13,1)</f>
        <v>1.0772972972972974</v>
      </c>
      <c r="H27" s="145">
        <f>INDEX(Data!R:R,COUNTIF(Data!$E:$E,"&gt;0")-13,1)</f>
        <v>3.9916514479519938</v>
      </c>
      <c r="I27" s="22"/>
    </row>
    <row r="28" spans="1:9" ht="15.45" x14ac:dyDescent="0.35">
      <c r="A28" s="56"/>
      <c r="B28" s="79" t="s">
        <v>246</v>
      </c>
      <c r="C28" s="22" t="s">
        <v>9</v>
      </c>
      <c r="D28" s="23">
        <f>INDEX(Data!G:G,COUNTIF(Data!$E:$E,"&gt;0")-12,1)</f>
        <v>3798</v>
      </c>
      <c r="E28" s="23">
        <f>INDEX(Data!M:M,COUNTIF(Data!$E:$E,"&gt;0")-12,1)</f>
        <v>239.74999999999997</v>
      </c>
      <c r="F28" s="54">
        <f>INDEX(Data!O:O,COUNTIF(Data!$E:$E,"&gt;0")-12,1)</f>
        <v>40.096822244289967</v>
      </c>
      <c r="G28" s="54">
        <f>INDEX(Data!P:P,COUNTIF(Data!$E:$E,"&gt;0")-12,1)</f>
        <v>1.0912837837837839</v>
      </c>
      <c r="H28" s="146">
        <f>INDEX(Data!R:R,COUNTIF(Data!$E:$E,"&gt;0")-12,1)</f>
        <v>3.3201125895598871</v>
      </c>
      <c r="I28" s="2"/>
    </row>
    <row r="29" spans="1:9" ht="14.55" x14ac:dyDescent="0.35">
      <c r="A29" s="55"/>
      <c r="B29" s="73" t="s">
        <v>27</v>
      </c>
      <c r="C29" s="73" t="s">
        <v>28</v>
      </c>
      <c r="D29" s="74">
        <f>INDEX(Data!G:G,COUNTIF(Data!$E:$E,"&gt;0")-11,1)</f>
        <v>3950</v>
      </c>
      <c r="E29" s="74">
        <f>INDEX(Data!M:M,COUNTIF(Data!$E:$E,"&gt;0")-11,1)</f>
        <v>389.76</v>
      </c>
      <c r="F29" s="75">
        <f>INDEX(Data!O:O,COUNTIF(Data!$E:$E,"&gt;0")-11,1)</f>
        <v>43.095928500496527</v>
      </c>
      <c r="G29" s="75">
        <f>INDEX(Data!P:P,COUNTIF(Data!$E:$E,"&gt;0")-11,1)</f>
        <v>1.1729081081081081</v>
      </c>
      <c r="H29" s="145">
        <f>INDEX(Data!R:R,COUNTIF(Data!$E:$E,"&gt;0")-11,1)</f>
        <v>3.2941714111621057</v>
      </c>
      <c r="I29" s="2"/>
    </row>
    <row r="30" spans="1:9" ht="15.45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532</v>
      </c>
      <c r="F30" s="54">
        <f>INDEX(Data!O:O,COUNTIF(Data!$E:$E,"&gt;0")-10,1)</f>
        <v>56.51439920556107</v>
      </c>
      <c r="G30" s="54">
        <f>INDEX(Data!P:P,COUNTIF(Data!$E:$E,"&gt;0")-10,1)</f>
        <v>1.5381081081081081</v>
      </c>
      <c r="H30" s="146">
        <f>INDEX(Data!R:R,COUNTIF(Data!$E:$E,"&gt;0")-10,1)</f>
        <v>2.1540118470651626</v>
      </c>
      <c r="I30" s="2"/>
    </row>
    <row r="31" spans="1:9" ht="14.5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554.04999999999995</v>
      </c>
      <c r="F31" s="75">
        <f>INDEX(Data!O:O,COUNTIF(Data!$E:$E,"&gt;0")-9,1)</f>
        <v>65.919066534260182</v>
      </c>
      <c r="G31" s="75">
        <f>INDEX(Data!P:P,COUNTIF(Data!$E:$E,"&gt;0")-9,1)</f>
        <v>1.7940675675675677</v>
      </c>
      <c r="H31" s="145">
        <f>INDEX(Data!R:R,COUNTIF(Data!$E:$E,"&gt;0")-9,1)</f>
        <v>0.31508795260835054</v>
      </c>
      <c r="I31" s="2"/>
    </row>
    <row r="32" spans="1:9" ht="15.45" x14ac:dyDescent="0.35">
      <c r="A32" s="56"/>
      <c r="B32" s="22" t="s">
        <v>10</v>
      </c>
      <c r="C32" s="22" t="s">
        <v>26</v>
      </c>
      <c r="D32" s="23">
        <f>INDEX(Data!G:G,COUNTIF(Data!$E:$E,"&gt;0")-8,1)</f>
        <v>5043</v>
      </c>
      <c r="E32" s="23">
        <f>INDEX(Data!M:M,COUNTIF(Data!$E:$E,"&gt;0")-8,1)</f>
        <v>575.64</v>
      </c>
      <c r="F32" s="54">
        <f>INDEX(Data!O:O,COUNTIF(Data!$E:$E,"&gt;0")-8,1)</f>
        <v>55.795829195630589</v>
      </c>
      <c r="G32" s="54">
        <f>INDEX(Data!P:P,COUNTIF(Data!$E:$E,"&gt;0")-8,1)</f>
        <v>1.5185513513513513</v>
      </c>
      <c r="H32" s="146">
        <f>INDEX(Data!R:R,COUNTIF(Data!$E:$E,"&gt;0")-8,1)</f>
        <v>3.424511283731535</v>
      </c>
      <c r="I32" s="2"/>
    </row>
    <row r="33" spans="1:9" x14ac:dyDescent="0.3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647.84999999999991</v>
      </c>
      <c r="F33" s="75">
        <f>INDEX(Data!O:O,COUNTIF(Data!$E:$E,"&gt;0")-7,1)</f>
        <v>56.085898709036748</v>
      </c>
      <c r="G33" s="75">
        <f>INDEX(Data!P:P,COUNTIF(Data!$E:$E,"&gt;0")-7,1)</f>
        <v>1.424682882882883</v>
      </c>
      <c r="H33" s="145">
        <f>INDEX(Data!R:R,COUNTIF(Data!$E:$E,"&gt;0")-7,1)</f>
        <v>1.9393906577142683</v>
      </c>
      <c r="I33" s="2"/>
    </row>
    <row r="34" spans="1:9" ht="15.6" x14ac:dyDescent="0.3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593.25</v>
      </c>
      <c r="F34" s="54">
        <f>INDEX(Data!O:O,COUNTIF(Data!$E:$E,"&gt;0")-6,1)</f>
        <v>55.146474677259185</v>
      </c>
      <c r="G34" s="54">
        <f>INDEX(Data!P:P,COUNTIF(Data!$E:$E,"&gt;0")-6,1)</f>
        <v>1.4008198198198198</v>
      </c>
      <c r="H34" s="146">
        <f>INDEX(Data!R:R,COUNTIF(Data!$E:$E,"&gt;0")-6,1)</f>
        <v>2.1193453475542468</v>
      </c>
      <c r="I34" s="2"/>
    </row>
    <row r="35" spans="1:9" x14ac:dyDescent="0.3">
      <c r="A35" s="55"/>
      <c r="B35" s="73" t="s">
        <v>13</v>
      </c>
      <c r="C35" s="73" t="s">
        <v>7</v>
      </c>
      <c r="D35" s="74">
        <f>INDEX(Data!G:G,COUNTIF(Data!$E:$E,"&gt;0")-5,1)</f>
        <v>3011</v>
      </c>
      <c r="E35" s="74">
        <f>INDEX(Data!M:M,COUNTIF(Data!$E:$E,"&gt;0")-5,1)</f>
        <v>362.15999999999997</v>
      </c>
      <c r="F35" s="75">
        <f>INDEX(Data!O:O,COUNTIF(Data!$E:$E,"&gt;0")-5,1)</f>
        <v>33.497120158887782</v>
      </c>
      <c r="G35" s="75">
        <f>INDEX(Data!P:P,COUNTIF(Data!$E:$E,"&gt;0")-5,1)</f>
        <v>0.85088720720720723</v>
      </c>
      <c r="H35" s="145">
        <f>INDEX(Data!R:R,COUNTIF(Data!$E:$E,"&gt;0")-5,1)</f>
        <v>3.4902129226237921</v>
      </c>
      <c r="I35" s="2"/>
    </row>
    <row r="36" spans="1:9" ht="15.6" x14ac:dyDescent="0.3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345.79999999999995</v>
      </c>
      <c r="F36" s="54">
        <f>INDEX(Data!O:O,COUNTIF(Data!$E:$E,"&gt;0")-4,1)</f>
        <v>38.289970208540218</v>
      </c>
      <c r="G36" s="54">
        <f>INDEX(Data!P:P,COUNTIF(Data!$E:$E,"&gt;0")-4,1)</f>
        <v>0.97263423423423434</v>
      </c>
      <c r="H36" s="146">
        <f>INDEX(Data!R:R,COUNTIF(Data!$E:$E,"&gt;0")-4,1)</f>
        <v>4.0645579186008973</v>
      </c>
      <c r="I36" s="2"/>
    </row>
    <row r="37" spans="1:9" x14ac:dyDescent="0.3">
      <c r="A37" s="55"/>
      <c r="B37" s="73" t="s">
        <v>16</v>
      </c>
      <c r="C37" s="73" t="s">
        <v>11</v>
      </c>
      <c r="D37" s="74">
        <f>INDEX(Data!G:G,COUNTIF(Data!$E:$E,"&gt;0")-3,1)</f>
        <v>3590</v>
      </c>
      <c r="E37" s="74">
        <f>INDEX(Data!M:M,COUNTIF(Data!$E:$E,"&gt;0")-3,1)</f>
        <v>283.32</v>
      </c>
      <c r="F37" s="75">
        <f>INDEX(Data!O:O,COUNTIF(Data!$E:$E,"&gt;0")-3,1)</f>
        <v>38.463952333664352</v>
      </c>
      <c r="G37" s="75">
        <f>INDEX(Data!P:P,COUNTIF(Data!$E:$E,"&gt;0")-3,1)</f>
        <v>0.97705369369369377</v>
      </c>
      <c r="H37" s="145">
        <f>INDEX(Data!R:R,COUNTIF(Data!$E:$E,"&gt;0")-3,1)</f>
        <v>3.4319589831232733</v>
      </c>
      <c r="I37" s="2"/>
    </row>
    <row r="38" spans="1:9" ht="15.6" x14ac:dyDescent="0.3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642.59999999999991</v>
      </c>
      <c r="F38" s="54">
        <f>INDEX(Data!O:O,COUNTIF(Data!$E:$E,"&gt;0")-2,1)</f>
        <v>56.033763654419069</v>
      </c>
      <c r="G38" s="54">
        <f>INDEX(Data!P:P,COUNTIF(Data!$E:$E,"&gt;0")-2,1)</f>
        <v>1.4233585585585586</v>
      </c>
      <c r="H38" s="146">
        <f>INDEX(Data!R:R,COUNTIF(Data!$E:$E,"&gt;0")-2,1)</f>
        <v>1.9550448106389284</v>
      </c>
      <c r="I38" s="2"/>
    </row>
    <row r="39" spans="1:9" x14ac:dyDescent="0.3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664.65</v>
      </c>
      <c r="F39" s="75">
        <f>INDEX(Data!O:O,COUNTIF(Data!$E:$E,"&gt;0")-1,1)</f>
        <v>50.294438927507443</v>
      </c>
      <c r="G39" s="75">
        <f>INDEX(Data!P:P,COUNTIF(Data!$E:$E,"&gt;0")-1,1)</f>
        <v>1.2775693693693693</v>
      </c>
      <c r="H39" s="145">
        <f>INDEX(Data!R:R,COUNTIF(Data!$E:$E,"&gt;0")-1,1)</f>
        <v>2.1181143640615963</v>
      </c>
      <c r="I39" s="2"/>
    </row>
    <row r="40" spans="1:9" x14ac:dyDescent="0.3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593.25</v>
      </c>
      <c r="F40" s="54">
        <f>INDEX(Data!O:O,COUNTIF(Data!$E:$E,"&gt;0"),1)</f>
        <v>60.70754716981132</v>
      </c>
      <c r="G40" s="54">
        <f>INDEX(Data!P:P,COUNTIF(Data!$E:$E,"&gt;0"),1)</f>
        <v>1.6522297297297297</v>
      </c>
      <c r="H40" s="146">
        <f>INDEX(Data!R:R,COUNTIF(Data!$E:$E,"&gt;0"),1)</f>
        <v>1.9214738246082108</v>
      </c>
      <c r="I40" s="2"/>
    </row>
    <row r="41" spans="1:9" x14ac:dyDescent="0.3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647.84999999999991</v>
      </c>
      <c r="F41" s="75">
        <f>INDEX(Data!O:O,COUNTIF(Data!$E:$E,"&gt;0")+1,1)</f>
        <v>61.34905660377359</v>
      </c>
      <c r="G41" s="75">
        <f>INDEX(Data!P:P,COUNTIF(Data!$E:$E,"&gt;0")+1,1)</f>
        <v>1.6696891891891892</v>
      </c>
      <c r="H41" s="145">
        <f>INDEX(Data!R:R,COUNTIF(Data!$E:$E,"&gt;0")+1,1)</f>
        <v>1.7700645756457689</v>
      </c>
      <c r="I41" s="2"/>
    </row>
    <row r="42" spans="1:9" ht="15.6" x14ac:dyDescent="0.3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527.44999999999993</v>
      </c>
      <c r="F42" s="54">
        <f>INDEX(Data!O:O,COUNTIF(Data!$E:$E,"&gt;0")+2,1)</f>
        <v>59.160377358490564</v>
      </c>
      <c r="G42" s="54">
        <f>INDEX(Data!P:P,COUNTIF(Data!$E:$E,"&gt;0")+2,1)</f>
        <v>1.6101216216216216</v>
      </c>
      <c r="H42" s="146">
        <f>INDEX(Data!R:R,COUNTIF(Data!$E:$E,"&gt;0")+2,1)</f>
        <v>2.1370525305170585</v>
      </c>
      <c r="I42" s="2"/>
    </row>
    <row r="43" spans="1:9" x14ac:dyDescent="0.3">
      <c r="A43" s="55"/>
      <c r="B43" s="73" t="s">
        <v>31</v>
      </c>
      <c r="C43" s="73" t="s">
        <v>7</v>
      </c>
      <c r="D43" s="74">
        <f>INDEX(Data!G:G,COUNTIF(Data!$E:$E,"&gt;0")+3,1)</f>
        <v>4175</v>
      </c>
      <c r="E43" s="74">
        <f>INDEX(Data!M:M,COUNTIF(Data!$E:$E,"&gt;0")+3,1)</f>
        <v>417.59999999999997</v>
      </c>
      <c r="F43" s="75">
        <f>INDEX(Data!O:O,COUNTIF(Data!$E:$E,"&gt;0")+3,1)</f>
        <v>45.606752730883812</v>
      </c>
      <c r="G43" s="75">
        <f>INDEX(Data!P:P,COUNTIF(Data!$E:$E,"&gt;0")+3,1)</f>
        <v>1.2412432432432434</v>
      </c>
      <c r="H43" s="145">
        <f>INDEX(Data!R:R,COUNTIF(Data!$E:$E,"&gt;0")+3,1)</f>
        <v>5.9667743424088648</v>
      </c>
    </row>
    <row r="44" spans="1:9" ht="15.6" x14ac:dyDescent="0.3">
      <c r="A44" s="56"/>
      <c r="B44" s="22" t="s">
        <v>14</v>
      </c>
      <c r="C44" s="22" t="s">
        <v>24</v>
      </c>
      <c r="D44" s="23">
        <f>INDEX(Data!G:G,COUNTIF(Data!$E:$E,"&gt;0")+4,1)</f>
        <v>2862</v>
      </c>
      <c r="E44" s="23">
        <f>INDEX(Data!M:M,COUNTIF(Data!$E:$E,"&gt;0")+4,1)</f>
        <v>295.2</v>
      </c>
      <c r="F44" s="54">
        <f>INDEX(Data!O:O,COUNTIF(Data!$E:$E,"&gt;0")+4,1)</f>
        <v>31.352532274081426</v>
      </c>
      <c r="G44" s="54">
        <f>INDEX(Data!P:P,COUNTIF(Data!$E:$E,"&gt;0")+4,1)</f>
        <v>0.8532972972972972</v>
      </c>
      <c r="H44" s="146">
        <f>INDEX(Data!R:R,COUNTIF(Data!$E:$E,"&gt;0")+4,1)</f>
        <v>2.6414603618394317</v>
      </c>
      <c r="I44" s="54" t="s">
        <v>0</v>
      </c>
    </row>
    <row r="45" spans="1:9" ht="15.6" x14ac:dyDescent="0.3">
      <c r="A45" s="59"/>
      <c r="B45" s="76" t="s">
        <v>34</v>
      </c>
      <c r="C45" s="76" t="s">
        <v>26</v>
      </c>
      <c r="D45" s="77">
        <f>INDEX(Data!G:G,COUNTIF(Data!$E:$E,"&gt;0")+5,1)</f>
        <v>5110</v>
      </c>
      <c r="E45" s="77">
        <f>INDEX(Data!M:M,COUNTIF(Data!$E:$E,"&gt;0")+5,1)</f>
        <v>589.31999999999994</v>
      </c>
      <c r="F45" s="78">
        <f>INDEX(Data!O:O,COUNTIF(Data!$E:$E,"&gt;0")+5,1)</f>
        <v>56.597020854021842</v>
      </c>
      <c r="G45" s="78">
        <f>INDEX(Data!P:P,COUNTIF(Data!$E:$E,"&gt;0")+5,1)</f>
        <v>1.5403567567567567</v>
      </c>
      <c r="H45" s="148">
        <f>INDEX(Data!R:R,COUNTIF(Data!$E:$E,"&gt;0")+5,1)</f>
        <v>-2.5723956374577028</v>
      </c>
      <c r="I45" s="24" t="s">
        <v>0</v>
      </c>
    </row>
    <row r="46" spans="1:9" x14ac:dyDescent="0.3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3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3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3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3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3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36" sqref="D36"/>
    </sheetView>
  </sheetViews>
  <sheetFormatPr defaultRowHeight="14.4" x14ac:dyDescent="0.3"/>
  <cols>
    <col min="3" max="4" width="21" customWidth="1"/>
    <col min="5" max="5" width="20.44140625" customWidth="1"/>
    <col min="6" max="6" width="20.6640625" customWidth="1"/>
    <col min="9" max="9" width="24.6640625" customWidth="1"/>
    <col min="10" max="11" width="11.6640625" customWidth="1"/>
    <col min="12" max="12" width="8.33203125" customWidth="1"/>
  </cols>
  <sheetData>
    <row r="1" spans="1:12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5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5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244"/>
  <sheetViews>
    <sheetView zoomScaleNormal="100" workbookViewId="0"/>
  </sheetViews>
  <sheetFormatPr defaultRowHeight="14.4" x14ac:dyDescent="0.3"/>
  <cols>
    <col min="1" max="1" width="16.109375" customWidth="1"/>
    <col min="2" max="2" width="3.33203125" customWidth="1"/>
    <col min="3" max="3" width="9.109375" bestFit="1" customWidth="1"/>
    <col min="6" max="6" width="9.109375" bestFit="1" customWidth="1"/>
    <col min="11" max="11" width="14.109375" customWidth="1"/>
    <col min="12" max="12" width="3.77734375" customWidth="1"/>
    <col min="13" max="13" width="9.109375" bestFit="1" customWidth="1"/>
    <col min="16" max="16" width="9.109375" bestFit="1" customWidth="1"/>
  </cols>
  <sheetData>
    <row r="3" spans="1:19" x14ac:dyDescent="0.3">
      <c r="A3" t="s">
        <v>188</v>
      </c>
      <c r="K3" t="s">
        <v>188</v>
      </c>
    </row>
    <row r="4" spans="1:19" x14ac:dyDescent="0.3">
      <c r="A4" s="62" t="s">
        <v>183</v>
      </c>
      <c r="B4" s="62" t="s">
        <v>189</v>
      </c>
      <c r="C4" s="62" t="s">
        <v>175</v>
      </c>
      <c r="D4" s="62"/>
      <c r="K4" s="62" t="s">
        <v>232</v>
      </c>
    </row>
    <row r="5" spans="1:19" x14ac:dyDescent="0.3">
      <c r="A5" t="s">
        <v>190</v>
      </c>
      <c r="K5" t="s">
        <v>233</v>
      </c>
    </row>
    <row r="6" spans="1:19" x14ac:dyDescent="0.3">
      <c r="A6" s="81" t="s">
        <v>154</v>
      </c>
      <c r="K6" s="81" t="s">
        <v>154</v>
      </c>
    </row>
    <row r="7" spans="1:19" x14ac:dyDescent="0.3">
      <c r="A7" t="s">
        <v>250</v>
      </c>
      <c r="E7" t="s">
        <v>229</v>
      </c>
      <c r="F7" s="70">
        <f>111/1.10231</f>
        <v>100.69762589471202</v>
      </c>
      <c r="G7" t="s">
        <v>228</v>
      </c>
      <c r="K7" t="s">
        <v>250</v>
      </c>
    </row>
    <row r="8" spans="1:19" x14ac:dyDescent="0.3">
      <c r="A8" t="s">
        <v>191</v>
      </c>
      <c r="K8" t="s">
        <v>191</v>
      </c>
    </row>
    <row r="9" spans="1:19" x14ac:dyDescent="0.3">
      <c r="A9" t="s">
        <v>192</v>
      </c>
      <c r="C9">
        <v>1507</v>
      </c>
      <c r="K9" t="s">
        <v>192</v>
      </c>
      <c r="M9">
        <v>1851</v>
      </c>
    </row>
    <row r="10" spans="1:19" x14ac:dyDescent="0.3">
      <c r="D10" t="s">
        <v>195</v>
      </c>
      <c r="E10" t="s">
        <v>195</v>
      </c>
      <c r="F10" t="s">
        <v>219</v>
      </c>
      <c r="H10" t="s">
        <v>230</v>
      </c>
      <c r="N10" t="s">
        <v>195</v>
      </c>
      <c r="O10" t="s">
        <v>195</v>
      </c>
      <c r="P10" t="s">
        <v>219</v>
      </c>
      <c r="R10" t="s">
        <v>230</v>
      </c>
    </row>
    <row r="11" spans="1:19" ht="15" thickBot="1" x14ac:dyDescent="0.35">
      <c r="A11" s="66" t="s">
        <v>193</v>
      </c>
      <c r="B11" s="66"/>
      <c r="C11" s="66" t="s">
        <v>194</v>
      </c>
      <c r="D11" s="66" t="s">
        <v>196</v>
      </c>
      <c r="E11" s="66" t="s">
        <v>218</v>
      </c>
      <c r="F11" s="66" t="s">
        <v>195</v>
      </c>
      <c r="H11" s="66" t="s">
        <v>231</v>
      </c>
      <c r="I11" s="66" t="s">
        <v>227</v>
      </c>
      <c r="K11" s="66" t="s">
        <v>193</v>
      </c>
      <c r="L11" s="66"/>
      <c r="M11" s="66" t="s">
        <v>194</v>
      </c>
      <c r="N11" s="66" t="s">
        <v>196</v>
      </c>
      <c r="O11" s="66" t="s">
        <v>218</v>
      </c>
      <c r="P11" s="66" t="s">
        <v>195</v>
      </c>
      <c r="R11" s="66" t="s">
        <v>231</v>
      </c>
      <c r="S11" s="66" t="s">
        <v>227</v>
      </c>
    </row>
    <row r="12" spans="1:19" x14ac:dyDescent="0.3">
      <c r="A12" s="67" t="s">
        <v>197</v>
      </c>
      <c r="C12" s="68">
        <v>3870</v>
      </c>
      <c r="D12" s="65">
        <v>0.41</v>
      </c>
      <c r="E12">
        <f>D12*$C$9</f>
        <v>617.87</v>
      </c>
      <c r="F12" s="69">
        <f>C12+E12</f>
        <v>4487.87</v>
      </c>
      <c r="K12" s="67" t="s">
        <v>197</v>
      </c>
      <c r="M12" s="68">
        <v>3870</v>
      </c>
      <c r="N12" s="65">
        <v>0.41</v>
      </c>
      <c r="O12">
        <f>$M$9*N12</f>
        <v>758.91</v>
      </c>
      <c r="P12" s="69">
        <f>M12+O12</f>
        <v>4628.91</v>
      </c>
    </row>
    <row r="13" spans="1:19" x14ac:dyDescent="0.3">
      <c r="A13" s="67" t="s">
        <v>198</v>
      </c>
      <c r="C13" s="68">
        <v>3870</v>
      </c>
      <c r="D13" s="65">
        <v>0.3</v>
      </c>
      <c r="E13" s="70">
        <f t="shared" ref="E13:E59" si="0">D13*$C$9</f>
        <v>452.09999999999997</v>
      </c>
      <c r="F13" s="69">
        <f t="shared" ref="F13:F59" si="1">C13+E13</f>
        <v>4322.1000000000004</v>
      </c>
      <c r="K13" s="67" t="s">
        <v>198</v>
      </c>
      <c r="M13" s="68">
        <v>3870</v>
      </c>
      <c r="N13" s="65">
        <v>0.3</v>
      </c>
      <c r="O13">
        <f t="shared" ref="O13:O55" si="2">$M$9*N13</f>
        <v>555.29999999999995</v>
      </c>
      <c r="P13" s="69">
        <f t="shared" ref="P13:P55" si="3">M13+O13</f>
        <v>4425.3</v>
      </c>
    </row>
    <row r="14" spans="1:19" x14ac:dyDescent="0.3">
      <c r="A14" s="67" t="s">
        <v>199</v>
      </c>
      <c r="C14" s="68">
        <v>3870</v>
      </c>
      <c r="D14" s="65">
        <v>0.27</v>
      </c>
      <c r="E14">
        <f t="shared" si="0"/>
        <v>406.89000000000004</v>
      </c>
      <c r="F14" s="69">
        <f t="shared" si="1"/>
        <v>4276.8900000000003</v>
      </c>
      <c r="G14" t="s">
        <v>220</v>
      </c>
      <c r="H14" s="69">
        <f>AVERAGE(F12:F14)</f>
        <v>4362.2866666666669</v>
      </c>
      <c r="I14" s="70">
        <f>H14/$F$7</f>
        <v>43.320650590390393</v>
      </c>
      <c r="K14" s="67" t="s">
        <v>199</v>
      </c>
      <c r="M14" s="68">
        <v>3870</v>
      </c>
      <c r="N14" s="65">
        <v>0.27</v>
      </c>
      <c r="O14">
        <f t="shared" si="2"/>
        <v>499.77000000000004</v>
      </c>
      <c r="P14" s="69">
        <f t="shared" si="3"/>
        <v>4369.7700000000004</v>
      </c>
      <c r="Q14" t="s">
        <v>220</v>
      </c>
      <c r="R14" s="69">
        <f>AVERAGE(P12:P14)</f>
        <v>4474.66</v>
      </c>
      <c r="S14" s="70">
        <f>R14/$F$7</f>
        <v>44.436598780180177</v>
      </c>
    </row>
    <row r="15" spans="1:19" x14ac:dyDescent="0.3">
      <c r="A15" s="67" t="s">
        <v>200</v>
      </c>
      <c r="C15" s="68">
        <v>3870</v>
      </c>
      <c r="D15" s="65">
        <v>0.24</v>
      </c>
      <c r="E15">
        <f t="shared" si="0"/>
        <v>361.68</v>
      </c>
      <c r="F15" s="69">
        <f t="shared" si="1"/>
        <v>4231.68</v>
      </c>
      <c r="K15" s="67" t="s">
        <v>200</v>
      </c>
      <c r="M15" s="68">
        <v>3870</v>
      </c>
      <c r="N15" s="65">
        <v>0.24</v>
      </c>
      <c r="O15">
        <f t="shared" si="2"/>
        <v>444.24</v>
      </c>
      <c r="P15" s="69">
        <f t="shared" si="3"/>
        <v>4314.24</v>
      </c>
    </row>
    <row r="16" spans="1:19" x14ac:dyDescent="0.3">
      <c r="A16" s="67" t="s">
        <v>201</v>
      </c>
      <c r="C16" s="68">
        <v>3870</v>
      </c>
      <c r="D16" s="65">
        <v>0.22</v>
      </c>
      <c r="E16">
        <f t="shared" si="0"/>
        <v>331.54</v>
      </c>
      <c r="F16" s="69">
        <f t="shared" si="1"/>
        <v>4201.54</v>
      </c>
      <c r="K16" s="67" t="s">
        <v>201</v>
      </c>
      <c r="M16" s="68">
        <v>3870</v>
      </c>
      <c r="N16" s="65">
        <v>0.22</v>
      </c>
      <c r="O16">
        <f t="shared" si="2"/>
        <v>407.22</v>
      </c>
      <c r="P16" s="69">
        <f t="shared" si="3"/>
        <v>4277.22</v>
      </c>
    </row>
    <row r="17" spans="1:19" x14ac:dyDescent="0.3">
      <c r="A17" s="67" t="s">
        <v>202</v>
      </c>
      <c r="C17" s="68">
        <v>3870</v>
      </c>
      <c r="D17" s="65">
        <v>0.25</v>
      </c>
      <c r="E17">
        <f t="shared" si="0"/>
        <v>376.75</v>
      </c>
      <c r="F17" s="69">
        <f t="shared" si="1"/>
        <v>4246.75</v>
      </c>
      <c r="G17" t="s">
        <v>222</v>
      </c>
      <c r="H17" s="69">
        <f>AVERAGE(F15:F17)</f>
        <v>4226.6566666666668</v>
      </c>
      <c r="I17" s="70">
        <f>H17/$F$7</f>
        <v>41.973746939039039</v>
      </c>
      <c r="K17" s="67" t="s">
        <v>202</v>
      </c>
      <c r="M17" s="68">
        <v>3870</v>
      </c>
      <c r="N17" s="65">
        <v>0.25</v>
      </c>
      <c r="O17">
        <f t="shared" si="2"/>
        <v>462.75</v>
      </c>
      <c r="P17" s="69">
        <f t="shared" si="3"/>
        <v>4332.75</v>
      </c>
      <c r="Q17" t="s">
        <v>222</v>
      </c>
      <c r="R17" s="69">
        <f>AVERAGE(P15:P17)</f>
        <v>4308.07</v>
      </c>
      <c r="S17" s="70">
        <f>R17/$F$7</f>
        <v>42.78224001531531</v>
      </c>
    </row>
    <row r="18" spans="1:19" x14ac:dyDescent="0.3">
      <c r="A18" s="67" t="s">
        <v>203</v>
      </c>
      <c r="C18" s="68">
        <v>3870</v>
      </c>
      <c r="D18" s="65">
        <v>0.25</v>
      </c>
      <c r="E18">
        <f t="shared" si="0"/>
        <v>376.75</v>
      </c>
      <c r="F18" s="69">
        <f t="shared" si="1"/>
        <v>4246.75</v>
      </c>
      <c r="K18" s="67" t="s">
        <v>203</v>
      </c>
      <c r="M18" s="68">
        <v>3870</v>
      </c>
      <c r="N18" s="65">
        <v>0.25</v>
      </c>
      <c r="O18">
        <f t="shared" si="2"/>
        <v>462.75</v>
      </c>
      <c r="P18" s="69">
        <f t="shared" si="3"/>
        <v>4332.75</v>
      </c>
    </row>
    <row r="19" spans="1:19" x14ac:dyDescent="0.3">
      <c r="A19" s="67" t="s">
        <v>204</v>
      </c>
      <c r="C19" s="68">
        <v>3870</v>
      </c>
      <c r="D19" s="65">
        <v>0.32</v>
      </c>
      <c r="E19">
        <f t="shared" si="0"/>
        <v>482.24</v>
      </c>
      <c r="F19" s="69">
        <f t="shared" si="1"/>
        <v>4352.24</v>
      </c>
      <c r="K19" s="67" t="s">
        <v>204</v>
      </c>
      <c r="M19" s="68">
        <v>3870</v>
      </c>
      <c r="N19" s="65">
        <v>0.32</v>
      </c>
      <c r="O19">
        <f t="shared" si="2"/>
        <v>592.32000000000005</v>
      </c>
      <c r="P19" s="69">
        <f t="shared" si="3"/>
        <v>4462.32</v>
      </c>
    </row>
    <row r="20" spans="1:19" x14ac:dyDescent="0.3">
      <c r="A20" s="67" t="s">
        <v>205</v>
      </c>
      <c r="C20" s="68">
        <v>4170</v>
      </c>
      <c r="D20" s="65">
        <v>0.33</v>
      </c>
      <c r="E20">
        <f t="shared" si="0"/>
        <v>497.31</v>
      </c>
      <c r="F20" s="69">
        <f t="shared" si="1"/>
        <v>4667.3100000000004</v>
      </c>
      <c r="G20" t="s">
        <v>221</v>
      </c>
      <c r="H20" s="69">
        <f>AVERAGE(F18:F20)</f>
        <v>4422.0999999999995</v>
      </c>
      <c r="I20" s="70">
        <f>H20/$F$7</f>
        <v>43.914640099099088</v>
      </c>
      <c r="K20" s="67" t="s">
        <v>205</v>
      </c>
      <c r="M20" s="68">
        <v>4170</v>
      </c>
      <c r="N20" s="65">
        <v>0.33</v>
      </c>
      <c r="O20">
        <f t="shared" si="2"/>
        <v>610.83000000000004</v>
      </c>
      <c r="P20" s="69">
        <f t="shared" si="3"/>
        <v>4780.83</v>
      </c>
      <c r="Q20" t="s">
        <v>221</v>
      </c>
      <c r="R20" s="69">
        <f>AVERAGE(P18:P20)</f>
        <v>4525.3</v>
      </c>
      <c r="S20" s="70">
        <f>R20/$F$7</f>
        <v>44.939490477477477</v>
      </c>
    </row>
    <row r="21" spans="1:19" ht="14.55" x14ac:dyDescent="0.35">
      <c r="A21" s="67" t="s">
        <v>206</v>
      </c>
      <c r="C21" s="68">
        <v>4170</v>
      </c>
      <c r="D21" s="65">
        <v>0.35</v>
      </c>
      <c r="E21">
        <f t="shared" si="0"/>
        <v>527.44999999999993</v>
      </c>
      <c r="F21" s="69">
        <f t="shared" si="1"/>
        <v>4697.45</v>
      </c>
      <c r="K21" s="67" t="s">
        <v>206</v>
      </c>
      <c r="M21" s="68">
        <v>4170</v>
      </c>
      <c r="N21" s="65">
        <v>0.35</v>
      </c>
      <c r="O21">
        <f t="shared" si="2"/>
        <v>647.84999999999991</v>
      </c>
      <c r="P21" s="69">
        <f t="shared" si="3"/>
        <v>4817.8500000000004</v>
      </c>
    </row>
    <row r="22" spans="1:19" ht="14.55" x14ac:dyDescent="0.35">
      <c r="A22" s="67" t="s">
        <v>207</v>
      </c>
      <c r="C22" s="68">
        <v>4170</v>
      </c>
      <c r="D22" s="65">
        <v>0.35</v>
      </c>
      <c r="E22">
        <f t="shared" si="0"/>
        <v>527.44999999999993</v>
      </c>
      <c r="F22" s="69">
        <f t="shared" si="1"/>
        <v>4697.45</v>
      </c>
      <c r="K22" s="67" t="s">
        <v>207</v>
      </c>
      <c r="M22" s="68">
        <v>4170</v>
      </c>
      <c r="N22" s="65">
        <v>0.35</v>
      </c>
      <c r="O22">
        <f t="shared" si="2"/>
        <v>647.84999999999991</v>
      </c>
      <c r="P22" s="69">
        <f t="shared" si="3"/>
        <v>4817.8500000000004</v>
      </c>
    </row>
    <row r="23" spans="1:19" ht="14.55" x14ac:dyDescent="0.35">
      <c r="A23" s="67" t="s">
        <v>208</v>
      </c>
      <c r="C23" s="68">
        <v>4170</v>
      </c>
      <c r="D23" s="65">
        <v>0.36</v>
      </c>
      <c r="E23">
        <f t="shared" si="0"/>
        <v>542.52</v>
      </c>
      <c r="F23" s="69">
        <f t="shared" si="1"/>
        <v>4712.5200000000004</v>
      </c>
      <c r="G23" t="s">
        <v>223</v>
      </c>
      <c r="H23" s="69">
        <f>AVERAGE(F21:F23)</f>
        <v>4702.4733333333334</v>
      </c>
      <c r="I23" s="70">
        <f>H23/$F$7</f>
        <v>46.698949369969966</v>
      </c>
      <c r="K23" s="67" t="s">
        <v>208</v>
      </c>
      <c r="M23" s="68">
        <v>4170</v>
      </c>
      <c r="N23" s="65">
        <v>0.36</v>
      </c>
      <c r="O23">
        <f t="shared" si="2"/>
        <v>666.36</v>
      </c>
      <c r="P23" s="69">
        <f t="shared" si="3"/>
        <v>4836.3599999999997</v>
      </c>
      <c r="Q23" t="s">
        <v>223</v>
      </c>
      <c r="R23" s="69">
        <f>AVERAGE(P21:P23)</f>
        <v>4824.0200000000004</v>
      </c>
      <c r="S23" s="70">
        <f>R23/$F$7</f>
        <v>47.905995371171173</v>
      </c>
    </row>
    <row r="24" spans="1:19" ht="14.55" x14ac:dyDescent="0.35">
      <c r="A24" s="67" t="s">
        <v>209</v>
      </c>
      <c r="C24" s="68">
        <v>4170</v>
      </c>
      <c r="D24" s="65">
        <v>0.39</v>
      </c>
      <c r="E24">
        <f t="shared" si="0"/>
        <v>587.73</v>
      </c>
      <c r="F24" s="69">
        <f t="shared" si="1"/>
        <v>4757.7299999999996</v>
      </c>
      <c r="K24" s="67" t="s">
        <v>209</v>
      </c>
      <c r="M24" s="68">
        <v>4170</v>
      </c>
      <c r="N24" s="65">
        <v>0.39</v>
      </c>
      <c r="O24">
        <f t="shared" si="2"/>
        <v>721.89</v>
      </c>
      <c r="P24" s="69">
        <f t="shared" si="3"/>
        <v>4891.8900000000003</v>
      </c>
    </row>
    <row r="25" spans="1:19" ht="14.55" x14ac:dyDescent="0.35">
      <c r="A25" s="67" t="s">
        <v>210</v>
      </c>
      <c r="C25" s="68">
        <v>4170</v>
      </c>
      <c r="D25" s="65">
        <v>0.38</v>
      </c>
      <c r="E25">
        <f t="shared" si="0"/>
        <v>572.66</v>
      </c>
      <c r="F25" s="69">
        <f t="shared" si="1"/>
        <v>4742.66</v>
      </c>
      <c r="K25" s="67" t="s">
        <v>210</v>
      </c>
      <c r="M25" s="68">
        <v>4170</v>
      </c>
      <c r="N25" s="65">
        <v>0.38</v>
      </c>
      <c r="O25">
        <f t="shared" si="2"/>
        <v>703.38</v>
      </c>
      <c r="P25" s="69">
        <f t="shared" si="3"/>
        <v>4873.38</v>
      </c>
    </row>
    <row r="26" spans="1:19" ht="14.55" x14ac:dyDescent="0.35">
      <c r="A26" s="67" t="s">
        <v>211</v>
      </c>
      <c r="C26" s="68">
        <v>4170</v>
      </c>
      <c r="D26" s="65">
        <v>0.4</v>
      </c>
      <c r="E26" s="70">
        <f t="shared" si="0"/>
        <v>602.80000000000007</v>
      </c>
      <c r="F26" s="69">
        <f t="shared" si="1"/>
        <v>4772.8</v>
      </c>
      <c r="G26" t="s">
        <v>224</v>
      </c>
      <c r="H26" s="69">
        <f>AVERAGE(F24:F26)</f>
        <v>4757.7299999999996</v>
      </c>
      <c r="I26" s="70">
        <f>H26/$F$7</f>
        <v>47.247687894594591</v>
      </c>
      <c r="K26" s="67" t="s">
        <v>211</v>
      </c>
      <c r="M26" s="68">
        <v>4170</v>
      </c>
      <c r="N26" s="65">
        <v>0.4</v>
      </c>
      <c r="O26">
        <f t="shared" si="2"/>
        <v>740.40000000000009</v>
      </c>
      <c r="P26" s="69">
        <f t="shared" si="3"/>
        <v>4910.3999999999996</v>
      </c>
      <c r="Q26" t="s">
        <v>224</v>
      </c>
      <c r="R26" s="69">
        <f>AVERAGE(P24:P26)</f>
        <v>4891.8900000000003</v>
      </c>
      <c r="S26" s="70">
        <f>R26/$F$7</f>
        <v>48.579993386486485</v>
      </c>
    </row>
    <row r="27" spans="1:19" ht="14.55" x14ac:dyDescent="0.35">
      <c r="A27" s="67" t="s">
        <v>212</v>
      </c>
      <c r="C27" s="68">
        <v>4170</v>
      </c>
      <c r="D27" s="65">
        <v>0.39</v>
      </c>
      <c r="E27">
        <f t="shared" si="0"/>
        <v>587.73</v>
      </c>
      <c r="F27" s="69">
        <f t="shared" si="1"/>
        <v>4757.7299999999996</v>
      </c>
      <c r="K27" s="67" t="s">
        <v>212</v>
      </c>
      <c r="M27" s="68">
        <v>4170</v>
      </c>
      <c r="N27" s="65">
        <v>0.39</v>
      </c>
      <c r="O27">
        <f t="shared" si="2"/>
        <v>721.89</v>
      </c>
      <c r="P27" s="69">
        <f t="shared" si="3"/>
        <v>4891.8900000000003</v>
      </c>
    </row>
    <row r="28" spans="1:19" ht="14.55" x14ac:dyDescent="0.35">
      <c r="A28" s="67" t="s">
        <v>213</v>
      </c>
      <c r="C28" s="68">
        <v>4170</v>
      </c>
      <c r="D28" s="65">
        <v>0.42</v>
      </c>
      <c r="E28">
        <f t="shared" si="0"/>
        <v>632.93999999999994</v>
      </c>
      <c r="F28" s="69">
        <f t="shared" si="1"/>
        <v>4802.9399999999996</v>
      </c>
      <c r="K28" s="67" t="s">
        <v>213</v>
      </c>
      <c r="M28" s="68">
        <v>4170</v>
      </c>
      <c r="N28" s="65">
        <v>0.42</v>
      </c>
      <c r="O28">
        <f t="shared" si="2"/>
        <v>777.42</v>
      </c>
      <c r="P28" s="69">
        <f t="shared" si="3"/>
        <v>4947.42</v>
      </c>
    </row>
    <row r="29" spans="1:19" ht="14.55" x14ac:dyDescent="0.35">
      <c r="A29" s="67" t="s">
        <v>214</v>
      </c>
      <c r="C29" s="68">
        <v>4170</v>
      </c>
      <c r="D29" s="65">
        <v>0.46</v>
      </c>
      <c r="E29">
        <f t="shared" si="0"/>
        <v>693.22</v>
      </c>
      <c r="F29" s="69">
        <f t="shared" si="1"/>
        <v>4863.22</v>
      </c>
      <c r="G29" t="s">
        <v>225</v>
      </c>
      <c r="H29" s="69">
        <f>AVERAGE(F27:F29)</f>
        <v>4807.9633333333331</v>
      </c>
      <c r="I29" s="70">
        <f>H29/$F$7</f>
        <v>47.746541098798794</v>
      </c>
      <c r="K29" s="67" t="s">
        <v>214</v>
      </c>
      <c r="M29" s="68">
        <v>4170</v>
      </c>
      <c r="N29" s="65">
        <v>0.46</v>
      </c>
      <c r="O29">
        <f t="shared" si="2"/>
        <v>851.46</v>
      </c>
      <c r="P29" s="69">
        <f t="shared" si="3"/>
        <v>5021.46</v>
      </c>
      <c r="Q29" t="s">
        <v>225</v>
      </c>
      <c r="R29" s="69">
        <f>AVERAGE(P27:P29)</f>
        <v>4953.59</v>
      </c>
      <c r="S29" s="70">
        <f>R29/$F$7</f>
        <v>49.192718854954954</v>
      </c>
    </row>
    <row r="30" spans="1:19" ht="14.55" x14ac:dyDescent="0.35">
      <c r="A30" s="67" t="s">
        <v>215</v>
      </c>
      <c r="C30" s="68">
        <v>4170</v>
      </c>
      <c r="D30" s="65">
        <v>0.46</v>
      </c>
      <c r="E30">
        <f t="shared" si="0"/>
        <v>693.22</v>
      </c>
      <c r="F30" s="69">
        <f t="shared" si="1"/>
        <v>4863.22</v>
      </c>
      <c r="K30" s="67" t="s">
        <v>215</v>
      </c>
      <c r="M30" s="68">
        <v>4170</v>
      </c>
      <c r="N30" s="65">
        <v>0.46</v>
      </c>
      <c r="O30">
        <f t="shared" si="2"/>
        <v>851.46</v>
      </c>
      <c r="P30" s="69">
        <f t="shared" si="3"/>
        <v>5021.46</v>
      </c>
    </row>
    <row r="31" spans="1:19" x14ac:dyDescent="0.3">
      <c r="A31" s="67" t="s">
        <v>216</v>
      </c>
      <c r="C31" s="68">
        <v>4170</v>
      </c>
      <c r="D31" s="65">
        <v>0.43</v>
      </c>
      <c r="E31">
        <f t="shared" si="0"/>
        <v>648.01</v>
      </c>
      <c r="F31" s="69">
        <f t="shared" si="1"/>
        <v>4818.01</v>
      </c>
      <c r="K31" s="67" t="s">
        <v>216</v>
      </c>
      <c r="M31" s="68">
        <v>4170</v>
      </c>
      <c r="N31" s="65">
        <v>0.43</v>
      </c>
      <c r="O31">
        <f t="shared" si="2"/>
        <v>795.93</v>
      </c>
      <c r="P31" s="69">
        <f t="shared" si="3"/>
        <v>4965.93</v>
      </c>
    </row>
    <row r="32" spans="1:19" x14ac:dyDescent="0.3">
      <c r="A32" s="67" t="s">
        <v>217</v>
      </c>
      <c r="C32" s="68">
        <v>4170</v>
      </c>
      <c r="D32" s="65">
        <v>0.42</v>
      </c>
      <c r="E32">
        <f t="shared" si="0"/>
        <v>632.93999999999994</v>
      </c>
      <c r="F32" s="69">
        <f t="shared" si="1"/>
        <v>4802.9399999999996</v>
      </c>
      <c r="G32" t="s">
        <v>226</v>
      </c>
      <c r="H32" s="69">
        <f>AVERAGE(F30:F32)</f>
        <v>4828.0566666666664</v>
      </c>
      <c r="I32" s="70">
        <f>H32/$F$7</f>
        <v>47.946082380480476</v>
      </c>
      <c r="K32" s="67" t="s">
        <v>217</v>
      </c>
      <c r="M32" s="68">
        <v>4170</v>
      </c>
      <c r="N32" s="65">
        <v>0.42</v>
      </c>
      <c r="O32">
        <f t="shared" si="2"/>
        <v>777.42</v>
      </c>
      <c r="P32" s="69">
        <f t="shared" si="3"/>
        <v>4947.42</v>
      </c>
      <c r="Q32" t="s">
        <v>226</v>
      </c>
      <c r="R32" s="69">
        <f>AVERAGE(P30:P32)</f>
        <v>4978.2699999999995</v>
      </c>
      <c r="S32" s="70">
        <f>R32/$F$7</f>
        <v>49.437809042342337</v>
      </c>
    </row>
    <row r="33" spans="1:19" x14ac:dyDescent="0.3">
      <c r="A33" s="67" t="s">
        <v>247</v>
      </c>
      <c r="C33" s="68">
        <v>4270</v>
      </c>
      <c r="D33" s="65">
        <v>0.43</v>
      </c>
      <c r="E33">
        <f t="shared" si="0"/>
        <v>648.01</v>
      </c>
      <c r="F33" s="69">
        <f t="shared" si="1"/>
        <v>4918.01</v>
      </c>
      <c r="H33" s="69"/>
      <c r="I33" s="70"/>
      <c r="K33" s="67" t="s">
        <v>247</v>
      </c>
      <c r="M33" s="68">
        <v>4270</v>
      </c>
      <c r="N33" s="65">
        <v>0.43</v>
      </c>
      <c r="O33">
        <f t="shared" si="2"/>
        <v>795.93</v>
      </c>
      <c r="P33" s="69">
        <f t="shared" si="3"/>
        <v>5065.93</v>
      </c>
      <c r="R33" s="69"/>
      <c r="S33" s="70"/>
    </row>
    <row r="34" spans="1:19" x14ac:dyDescent="0.3">
      <c r="A34" s="67" t="s">
        <v>248</v>
      </c>
      <c r="C34" s="68">
        <v>4270</v>
      </c>
      <c r="D34" s="65">
        <v>0.43</v>
      </c>
      <c r="E34">
        <f t="shared" si="0"/>
        <v>648.01</v>
      </c>
      <c r="F34" s="69">
        <f t="shared" si="1"/>
        <v>4918.01</v>
      </c>
      <c r="H34" s="69"/>
      <c r="I34" s="70"/>
      <c r="K34" s="67" t="s">
        <v>248</v>
      </c>
      <c r="M34" s="68">
        <v>4270</v>
      </c>
      <c r="N34" s="65">
        <v>0.43</v>
      </c>
      <c r="O34">
        <f t="shared" si="2"/>
        <v>795.93</v>
      </c>
      <c r="P34" s="69">
        <f t="shared" si="3"/>
        <v>5065.93</v>
      </c>
      <c r="R34" s="69"/>
      <c r="S34" s="70"/>
    </row>
    <row r="35" spans="1:19" x14ac:dyDescent="0.3">
      <c r="A35" s="67" t="s">
        <v>249</v>
      </c>
      <c r="C35" s="68">
        <v>4270</v>
      </c>
      <c r="D35" s="65">
        <v>0.46</v>
      </c>
      <c r="E35">
        <f t="shared" si="0"/>
        <v>693.22</v>
      </c>
      <c r="F35" s="69">
        <f t="shared" si="1"/>
        <v>4963.22</v>
      </c>
      <c r="G35" t="s">
        <v>251</v>
      </c>
      <c r="H35" s="69">
        <f>AVERAGE(F33:F35)</f>
        <v>4933.0800000000008</v>
      </c>
      <c r="I35" s="70">
        <f>H35/$F$7</f>
        <v>48.98903977297298</v>
      </c>
      <c r="K35" s="67" t="s">
        <v>249</v>
      </c>
      <c r="M35" s="68">
        <v>4270</v>
      </c>
      <c r="N35" s="65">
        <v>0.46</v>
      </c>
      <c r="O35">
        <f t="shared" si="2"/>
        <v>851.46</v>
      </c>
      <c r="P35" s="69">
        <f t="shared" si="3"/>
        <v>5121.46</v>
      </c>
      <c r="Q35" t="s">
        <v>251</v>
      </c>
      <c r="R35" s="69">
        <f>AVERAGE(P33:P35)</f>
        <v>5084.4399999999996</v>
      </c>
      <c r="S35" s="70">
        <f>R35/$F$7</f>
        <v>50.492153661261256</v>
      </c>
    </row>
    <row r="36" spans="1:19" x14ac:dyDescent="0.3">
      <c r="A36" s="67" t="s">
        <v>252</v>
      </c>
      <c r="C36" s="68">
        <v>4270</v>
      </c>
      <c r="D36" s="65">
        <v>0.48</v>
      </c>
      <c r="E36">
        <f t="shared" si="0"/>
        <v>723.36</v>
      </c>
      <c r="F36" s="69">
        <f t="shared" si="1"/>
        <v>4993.3599999999997</v>
      </c>
      <c r="H36" s="69"/>
      <c r="I36" s="70"/>
      <c r="K36" s="67" t="s">
        <v>252</v>
      </c>
      <c r="M36" s="68">
        <v>4270</v>
      </c>
      <c r="N36" s="65">
        <v>0.48</v>
      </c>
      <c r="O36">
        <f t="shared" si="2"/>
        <v>888.48</v>
      </c>
      <c r="P36" s="69">
        <f t="shared" si="3"/>
        <v>5158.4799999999996</v>
      </c>
      <c r="R36" s="69"/>
      <c r="S36" s="70"/>
    </row>
    <row r="37" spans="1:19" x14ac:dyDescent="0.3">
      <c r="A37" s="67" t="s">
        <v>253</v>
      </c>
      <c r="C37" s="68">
        <v>4270</v>
      </c>
      <c r="D37" s="65">
        <v>0.5</v>
      </c>
      <c r="E37" s="70">
        <f t="shared" si="0"/>
        <v>753.5</v>
      </c>
      <c r="F37" s="69">
        <f t="shared" si="1"/>
        <v>5023.5</v>
      </c>
      <c r="H37" s="69"/>
      <c r="I37" s="70"/>
      <c r="K37" s="67" t="s">
        <v>253</v>
      </c>
      <c r="M37" s="68">
        <v>4270</v>
      </c>
      <c r="N37" s="65">
        <v>0.5</v>
      </c>
      <c r="O37">
        <f t="shared" si="2"/>
        <v>925.5</v>
      </c>
      <c r="P37" s="69">
        <f t="shared" si="3"/>
        <v>5195.5</v>
      </c>
      <c r="R37" s="69"/>
      <c r="S37" s="70"/>
    </row>
    <row r="38" spans="1:19" x14ac:dyDescent="0.3">
      <c r="A38" s="67" t="s">
        <v>254</v>
      </c>
      <c r="C38" s="68">
        <v>4270</v>
      </c>
      <c r="D38" s="65">
        <v>0.23</v>
      </c>
      <c r="E38">
        <f t="shared" si="0"/>
        <v>346.61</v>
      </c>
      <c r="F38" s="69">
        <f t="shared" si="1"/>
        <v>4616.6099999999997</v>
      </c>
      <c r="G38" t="s">
        <v>266</v>
      </c>
      <c r="H38" s="69">
        <f>AVERAGE(F36:F38)</f>
        <v>4877.8233333333337</v>
      </c>
      <c r="I38" s="70">
        <f>H38/$F$7</f>
        <v>48.440301248348348</v>
      </c>
      <c r="K38" s="67" t="s">
        <v>254</v>
      </c>
      <c r="M38" s="68">
        <v>4270</v>
      </c>
      <c r="N38" s="65">
        <v>0.23</v>
      </c>
      <c r="O38">
        <f t="shared" si="2"/>
        <v>425.73</v>
      </c>
      <c r="P38" s="69">
        <f t="shared" si="3"/>
        <v>4695.7299999999996</v>
      </c>
      <c r="Q38" t="s">
        <v>266</v>
      </c>
      <c r="R38" s="69">
        <f>AVERAGE(P36:P38)</f>
        <v>5016.57</v>
      </c>
      <c r="S38" s="70">
        <f>R38/$F$7</f>
        <v>49.818155645945943</v>
      </c>
    </row>
    <row r="39" spans="1:19" x14ac:dyDescent="0.3">
      <c r="A39" s="67" t="s">
        <v>255</v>
      </c>
      <c r="C39" s="68">
        <v>4730</v>
      </c>
      <c r="D39" s="65">
        <v>0.28000000000000003</v>
      </c>
      <c r="E39">
        <f t="shared" si="0"/>
        <v>421.96000000000004</v>
      </c>
      <c r="F39" s="69">
        <f t="shared" si="1"/>
        <v>5151.96</v>
      </c>
      <c r="H39" s="69"/>
      <c r="I39" s="70"/>
      <c r="K39" s="67" t="s">
        <v>255</v>
      </c>
      <c r="M39" s="68">
        <v>4830</v>
      </c>
      <c r="N39" s="65">
        <v>0.28000000000000003</v>
      </c>
      <c r="O39">
        <f t="shared" si="2"/>
        <v>518.28000000000009</v>
      </c>
      <c r="P39" s="69">
        <f t="shared" si="3"/>
        <v>5348.28</v>
      </c>
      <c r="R39" s="69"/>
      <c r="S39" s="70"/>
    </row>
    <row r="40" spans="1:19" x14ac:dyDescent="0.3">
      <c r="A40" s="67" t="s">
        <v>256</v>
      </c>
      <c r="C40" s="68">
        <v>4730</v>
      </c>
      <c r="D40" s="65">
        <v>0.36</v>
      </c>
      <c r="E40">
        <f t="shared" si="0"/>
        <v>542.52</v>
      </c>
      <c r="F40" s="69">
        <f t="shared" si="1"/>
        <v>5272.52</v>
      </c>
      <c r="H40" s="69"/>
      <c r="I40" s="70"/>
      <c r="K40" s="67" t="s">
        <v>256</v>
      </c>
      <c r="M40" s="68">
        <v>4830</v>
      </c>
      <c r="N40" s="65">
        <v>0.36</v>
      </c>
      <c r="O40">
        <f t="shared" si="2"/>
        <v>666.36</v>
      </c>
      <c r="P40" s="69">
        <f t="shared" si="3"/>
        <v>5496.36</v>
      </c>
      <c r="R40" s="69"/>
      <c r="S40" s="70"/>
    </row>
    <row r="41" spans="1:19" x14ac:dyDescent="0.3">
      <c r="A41" s="67" t="s">
        <v>257</v>
      </c>
      <c r="C41" s="68">
        <v>4730</v>
      </c>
      <c r="D41" s="65">
        <v>0.4</v>
      </c>
      <c r="E41">
        <f t="shared" si="0"/>
        <v>602.80000000000007</v>
      </c>
      <c r="F41" s="69">
        <f t="shared" si="1"/>
        <v>5332.8</v>
      </c>
      <c r="G41" t="s">
        <v>267</v>
      </c>
      <c r="H41" s="69">
        <f>AVERAGE(F39:F41)</f>
        <v>5252.4266666666663</v>
      </c>
      <c r="I41" s="70">
        <f>H41/$F$7</f>
        <v>52.160382332732723</v>
      </c>
      <c r="K41" s="67" t="s">
        <v>257</v>
      </c>
      <c r="M41" s="68">
        <v>4830</v>
      </c>
      <c r="N41" s="65">
        <v>0.4</v>
      </c>
      <c r="O41">
        <f t="shared" si="2"/>
        <v>740.40000000000009</v>
      </c>
      <c r="P41" s="69">
        <f t="shared" si="3"/>
        <v>5570.4</v>
      </c>
      <c r="Q41" t="s">
        <v>267</v>
      </c>
      <c r="R41" s="69">
        <f>AVERAGE(P39:P41)</f>
        <v>5471.68</v>
      </c>
      <c r="S41" s="70">
        <f>R41/$F$7</f>
        <v>54.337725953153154</v>
      </c>
    </row>
    <row r="42" spans="1:19" x14ac:dyDescent="0.3">
      <c r="A42" s="67" t="s">
        <v>258</v>
      </c>
      <c r="C42" s="68">
        <v>4730</v>
      </c>
      <c r="D42" s="65">
        <v>0.39</v>
      </c>
      <c r="E42">
        <f t="shared" si="0"/>
        <v>587.73</v>
      </c>
      <c r="F42" s="69">
        <f t="shared" si="1"/>
        <v>5317.73</v>
      </c>
      <c r="H42" s="69"/>
      <c r="I42" s="70"/>
      <c r="K42" s="67" t="s">
        <v>258</v>
      </c>
      <c r="M42" s="68">
        <v>4830</v>
      </c>
      <c r="N42" s="65">
        <v>0.39</v>
      </c>
      <c r="O42">
        <f t="shared" si="2"/>
        <v>721.89</v>
      </c>
      <c r="P42" s="69">
        <f t="shared" si="3"/>
        <v>5551.89</v>
      </c>
      <c r="R42" s="69"/>
      <c r="S42" s="70"/>
    </row>
    <row r="43" spans="1:19" x14ac:dyDescent="0.3">
      <c r="A43" s="67" t="s">
        <v>259</v>
      </c>
      <c r="C43" s="68">
        <v>4730</v>
      </c>
      <c r="D43" s="65">
        <v>0.36</v>
      </c>
      <c r="E43">
        <f t="shared" si="0"/>
        <v>542.52</v>
      </c>
      <c r="F43" s="69">
        <f t="shared" si="1"/>
        <v>5272.52</v>
      </c>
      <c r="H43" s="69"/>
      <c r="I43" s="70"/>
      <c r="K43" s="67" t="s">
        <v>259</v>
      </c>
      <c r="M43" s="68">
        <v>4830</v>
      </c>
      <c r="N43" s="65">
        <v>0.36</v>
      </c>
      <c r="O43">
        <f t="shared" si="2"/>
        <v>666.36</v>
      </c>
      <c r="P43" s="69">
        <f t="shared" si="3"/>
        <v>5496.36</v>
      </c>
      <c r="R43" s="69"/>
      <c r="S43" s="70"/>
    </row>
    <row r="44" spans="1:19" x14ac:dyDescent="0.3">
      <c r="A44" s="67" t="s">
        <v>260</v>
      </c>
      <c r="C44" s="68">
        <v>4730</v>
      </c>
      <c r="D44" s="65">
        <v>0.36</v>
      </c>
      <c r="E44">
        <f t="shared" si="0"/>
        <v>542.52</v>
      </c>
      <c r="F44" s="69">
        <f t="shared" si="1"/>
        <v>5272.52</v>
      </c>
      <c r="G44" t="s">
        <v>268</v>
      </c>
      <c r="H44" s="69">
        <f>AVERAGE(F42:F44)</f>
        <v>5287.59</v>
      </c>
      <c r="I44" s="70">
        <f>H44/$F$7</f>
        <v>52.509579575675673</v>
      </c>
      <c r="K44" s="67" t="s">
        <v>260</v>
      </c>
      <c r="M44" s="68">
        <v>4830</v>
      </c>
      <c r="N44" s="65">
        <v>0.36</v>
      </c>
      <c r="O44">
        <f t="shared" si="2"/>
        <v>666.36</v>
      </c>
      <c r="P44" s="69">
        <f t="shared" si="3"/>
        <v>5496.36</v>
      </c>
      <c r="Q44" t="s">
        <v>268</v>
      </c>
      <c r="R44" s="69">
        <f>AVERAGE(P42:P44)</f>
        <v>5514.87</v>
      </c>
      <c r="S44" s="70">
        <f>R44/$F$7</f>
        <v>54.766633781081076</v>
      </c>
    </row>
    <row r="45" spans="1:19" x14ac:dyDescent="0.3">
      <c r="A45" s="67" t="s">
        <v>261</v>
      </c>
      <c r="C45" s="68">
        <v>4930</v>
      </c>
      <c r="D45" s="65">
        <v>0.35</v>
      </c>
      <c r="E45">
        <f t="shared" si="0"/>
        <v>527.44999999999993</v>
      </c>
      <c r="F45" s="69">
        <f t="shared" si="1"/>
        <v>5457.45</v>
      </c>
      <c r="H45" s="69"/>
      <c r="I45" s="70"/>
      <c r="K45" s="67" t="s">
        <v>261</v>
      </c>
      <c r="M45" s="68">
        <v>5030</v>
      </c>
      <c r="N45" s="65">
        <v>0.35</v>
      </c>
      <c r="O45">
        <f t="shared" si="2"/>
        <v>647.84999999999991</v>
      </c>
      <c r="P45" s="69">
        <f t="shared" si="3"/>
        <v>5677.85</v>
      </c>
      <c r="R45" s="69"/>
      <c r="S45" s="70"/>
    </row>
    <row r="46" spans="1:19" x14ac:dyDescent="0.3">
      <c r="A46" s="67" t="s">
        <v>262</v>
      </c>
      <c r="C46" s="68">
        <v>4930</v>
      </c>
      <c r="D46" s="65">
        <v>0.34</v>
      </c>
      <c r="E46">
        <f t="shared" si="0"/>
        <v>512.38</v>
      </c>
      <c r="F46" s="69">
        <f t="shared" si="1"/>
        <v>5442.38</v>
      </c>
      <c r="H46" s="69"/>
      <c r="I46" s="70"/>
      <c r="K46" s="67" t="s">
        <v>262</v>
      </c>
      <c r="M46" s="68">
        <v>5030</v>
      </c>
      <c r="N46" s="65">
        <v>0.34</v>
      </c>
      <c r="O46">
        <f t="shared" si="2"/>
        <v>629.34</v>
      </c>
      <c r="P46" s="69">
        <f t="shared" si="3"/>
        <v>5659.34</v>
      </c>
      <c r="R46" s="69"/>
      <c r="S46" s="70"/>
    </row>
    <row r="47" spans="1:19" x14ac:dyDescent="0.3">
      <c r="A47" s="67" t="s">
        <v>263</v>
      </c>
      <c r="C47" s="68">
        <v>4930</v>
      </c>
      <c r="D47" s="65">
        <v>0.33</v>
      </c>
      <c r="E47">
        <f t="shared" si="0"/>
        <v>497.31</v>
      </c>
      <c r="F47" s="69">
        <f t="shared" si="1"/>
        <v>5427.31</v>
      </c>
      <c r="G47" t="s">
        <v>270</v>
      </c>
      <c r="H47" s="69">
        <f>AVERAGE(F45:F47)</f>
        <v>5442.38</v>
      </c>
      <c r="I47" s="70">
        <f>H47/$F$7</f>
        <v>54.046755836036034</v>
      </c>
      <c r="K47" s="67" t="s">
        <v>263</v>
      </c>
      <c r="M47" s="68">
        <v>5030</v>
      </c>
      <c r="N47" s="65">
        <v>0.33</v>
      </c>
      <c r="O47">
        <f t="shared" si="2"/>
        <v>610.83000000000004</v>
      </c>
      <c r="P47" s="69">
        <f t="shared" si="3"/>
        <v>5640.83</v>
      </c>
      <c r="Q47" t="s">
        <v>270</v>
      </c>
      <c r="R47" s="69">
        <f>AVERAGE(P45:P47)</f>
        <v>5659.34</v>
      </c>
      <c r="S47" s="70">
        <f>R47/$F$7</f>
        <v>56.2013250036036</v>
      </c>
    </row>
    <row r="48" spans="1:19" x14ac:dyDescent="0.3">
      <c r="A48" s="67" t="s">
        <v>276</v>
      </c>
      <c r="C48" s="68">
        <v>4930</v>
      </c>
      <c r="D48" s="65">
        <v>0.37</v>
      </c>
      <c r="E48">
        <f t="shared" si="0"/>
        <v>557.59</v>
      </c>
      <c r="F48" s="69">
        <f t="shared" si="1"/>
        <v>5487.59</v>
      </c>
      <c r="H48" s="69"/>
      <c r="I48" s="70"/>
      <c r="K48" s="67" t="s">
        <v>276</v>
      </c>
      <c r="M48" s="68">
        <v>5030</v>
      </c>
      <c r="N48" s="65">
        <v>0.37</v>
      </c>
      <c r="O48">
        <f t="shared" si="2"/>
        <v>684.87</v>
      </c>
      <c r="P48" s="69">
        <f t="shared" si="3"/>
        <v>5714.87</v>
      </c>
      <c r="R48" s="69"/>
      <c r="S48" s="70"/>
    </row>
    <row r="49" spans="1:19" x14ac:dyDescent="0.3">
      <c r="A49" s="67" t="s">
        <v>277</v>
      </c>
      <c r="C49" s="68">
        <v>4930</v>
      </c>
      <c r="D49" s="65">
        <v>0.35</v>
      </c>
      <c r="E49">
        <f t="shared" si="0"/>
        <v>527.44999999999993</v>
      </c>
      <c r="F49" s="69">
        <f t="shared" si="1"/>
        <v>5457.45</v>
      </c>
      <c r="H49" s="69"/>
      <c r="I49" s="70"/>
      <c r="K49" s="67" t="s">
        <v>277</v>
      </c>
      <c r="M49" s="68">
        <v>5030</v>
      </c>
      <c r="N49" s="65">
        <v>0.35</v>
      </c>
      <c r="O49">
        <f t="shared" si="2"/>
        <v>647.84999999999991</v>
      </c>
      <c r="P49" s="69">
        <f t="shared" si="3"/>
        <v>5677.85</v>
      </c>
      <c r="R49" s="69"/>
      <c r="S49" s="70"/>
    </row>
    <row r="50" spans="1:19" x14ac:dyDescent="0.3">
      <c r="A50" s="67" t="s">
        <v>278</v>
      </c>
      <c r="C50" s="68">
        <v>4930</v>
      </c>
      <c r="D50" s="65">
        <v>0.34</v>
      </c>
      <c r="E50">
        <f t="shared" si="0"/>
        <v>512.38</v>
      </c>
      <c r="F50" s="69">
        <f t="shared" si="1"/>
        <v>5442.38</v>
      </c>
      <c r="G50" t="s">
        <v>279</v>
      </c>
      <c r="H50" s="69">
        <f>AVERAGE(F48:F50)</f>
        <v>5462.4733333333343</v>
      </c>
      <c r="I50" s="70">
        <f>H50/$F$7</f>
        <v>54.246297117717724</v>
      </c>
      <c r="K50" s="67" t="s">
        <v>278</v>
      </c>
      <c r="M50" s="68">
        <v>5030</v>
      </c>
      <c r="N50" s="65">
        <v>0.34</v>
      </c>
      <c r="O50">
        <f t="shared" si="2"/>
        <v>629.34</v>
      </c>
      <c r="P50" s="69">
        <f t="shared" si="3"/>
        <v>5659.34</v>
      </c>
      <c r="Q50" t="s">
        <v>279</v>
      </c>
      <c r="R50" s="69">
        <f>AVERAGE(P48:P50)</f>
        <v>5684.02</v>
      </c>
      <c r="S50" s="70">
        <f>R50/$F$7</f>
        <v>56.44641519099099</v>
      </c>
    </row>
    <row r="51" spans="1:19" x14ac:dyDescent="0.3">
      <c r="A51" s="67" t="s">
        <v>281</v>
      </c>
      <c r="C51" s="68">
        <v>4930</v>
      </c>
      <c r="D51" s="65">
        <v>0.37</v>
      </c>
      <c r="E51">
        <f t="shared" si="0"/>
        <v>557.59</v>
      </c>
      <c r="F51" s="69">
        <f t="shared" si="1"/>
        <v>5487.59</v>
      </c>
      <c r="H51" s="69"/>
      <c r="I51" s="70"/>
      <c r="K51" s="67" t="s">
        <v>281</v>
      </c>
      <c r="M51" s="68">
        <v>5030</v>
      </c>
      <c r="N51" s="65">
        <v>0.37</v>
      </c>
      <c r="O51">
        <f t="shared" si="2"/>
        <v>684.87</v>
      </c>
      <c r="P51" s="69">
        <f t="shared" si="3"/>
        <v>5714.87</v>
      </c>
      <c r="R51" s="69"/>
      <c r="S51" s="70"/>
    </row>
    <row r="52" spans="1:19" x14ac:dyDescent="0.3">
      <c r="A52" s="67" t="s">
        <v>282</v>
      </c>
      <c r="C52" s="68">
        <v>4930</v>
      </c>
      <c r="D52" s="65">
        <v>0.41</v>
      </c>
      <c r="E52">
        <f t="shared" si="0"/>
        <v>617.87</v>
      </c>
      <c r="F52" s="69">
        <f t="shared" si="1"/>
        <v>5547.87</v>
      </c>
      <c r="H52" s="69"/>
      <c r="I52" s="70"/>
      <c r="K52" s="67" t="s">
        <v>282</v>
      </c>
      <c r="M52" s="68">
        <v>5030</v>
      </c>
      <c r="N52" s="65">
        <v>0.41</v>
      </c>
      <c r="O52">
        <f t="shared" si="2"/>
        <v>758.91</v>
      </c>
      <c r="P52" s="69">
        <f t="shared" si="3"/>
        <v>5788.91</v>
      </c>
      <c r="R52" s="69"/>
      <c r="S52" s="70"/>
    </row>
    <row r="53" spans="1:19" x14ac:dyDescent="0.3">
      <c r="A53" s="67" t="s">
        <v>283</v>
      </c>
      <c r="C53" s="68">
        <v>4930</v>
      </c>
      <c r="D53" s="65">
        <v>0.41</v>
      </c>
      <c r="E53">
        <f t="shared" si="0"/>
        <v>617.87</v>
      </c>
      <c r="F53" s="69">
        <f t="shared" si="1"/>
        <v>5547.87</v>
      </c>
      <c r="G53" t="s">
        <v>289</v>
      </c>
      <c r="H53" s="69">
        <f>AVERAGE(F51:F53)</f>
        <v>5527.7766666666657</v>
      </c>
      <c r="I53" s="70">
        <f>H53/$F$7</f>
        <v>54.894806283183172</v>
      </c>
      <c r="K53" s="67" t="s">
        <v>283</v>
      </c>
      <c r="M53" s="68">
        <v>5030</v>
      </c>
      <c r="N53" s="65">
        <v>0.41</v>
      </c>
      <c r="O53">
        <f t="shared" si="2"/>
        <v>758.91</v>
      </c>
      <c r="P53" s="69">
        <f t="shared" si="3"/>
        <v>5788.91</v>
      </c>
      <c r="Q53" t="s">
        <v>289</v>
      </c>
      <c r="R53" s="69">
        <f>AVERAGE(P51:P53)</f>
        <v>5764.23</v>
      </c>
      <c r="S53" s="70">
        <f>R53/$F$7</f>
        <v>57.242958299999991</v>
      </c>
    </row>
    <row r="54" spans="1:19" x14ac:dyDescent="0.3">
      <c r="A54" s="67" t="s">
        <v>284</v>
      </c>
      <c r="C54" s="68">
        <v>4930</v>
      </c>
      <c r="D54" s="65">
        <v>0.37</v>
      </c>
      <c r="E54">
        <f t="shared" si="0"/>
        <v>557.59</v>
      </c>
      <c r="F54" s="69">
        <f t="shared" si="1"/>
        <v>5487.59</v>
      </c>
      <c r="H54" s="69"/>
      <c r="I54" s="70"/>
      <c r="K54" s="67" t="s">
        <v>284</v>
      </c>
      <c r="M54" s="68">
        <v>5030</v>
      </c>
      <c r="N54" s="65">
        <v>0.37</v>
      </c>
      <c r="O54">
        <f t="shared" si="2"/>
        <v>684.87</v>
      </c>
      <c r="P54" s="69">
        <f t="shared" si="3"/>
        <v>5714.87</v>
      </c>
      <c r="R54" s="69"/>
      <c r="S54" s="70"/>
    </row>
    <row r="55" spans="1:19" x14ac:dyDescent="0.3">
      <c r="A55" s="67" t="s">
        <v>285</v>
      </c>
      <c r="C55" s="68">
        <v>4930</v>
      </c>
      <c r="D55" s="65">
        <v>0.32</v>
      </c>
      <c r="E55">
        <f t="shared" si="0"/>
        <v>482.24</v>
      </c>
      <c r="F55" s="69">
        <f t="shared" si="1"/>
        <v>5412.24</v>
      </c>
      <c r="H55" s="69"/>
      <c r="I55" s="70"/>
      <c r="K55" s="67" t="s">
        <v>285</v>
      </c>
      <c r="M55" s="68">
        <v>5030</v>
      </c>
      <c r="N55" s="65">
        <v>0.32</v>
      </c>
      <c r="O55">
        <f t="shared" si="2"/>
        <v>592.32000000000005</v>
      </c>
      <c r="P55" s="69">
        <f t="shared" si="3"/>
        <v>5622.32</v>
      </c>
      <c r="R55" s="69"/>
      <c r="S55" s="70"/>
    </row>
    <row r="56" spans="1:19" x14ac:dyDescent="0.3">
      <c r="A56" s="67" t="s">
        <v>286</v>
      </c>
      <c r="C56" s="68">
        <v>4930</v>
      </c>
      <c r="D56" s="65">
        <v>0.31</v>
      </c>
      <c r="E56">
        <f t="shared" si="0"/>
        <v>467.17</v>
      </c>
      <c r="F56" s="69">
        <f t="shared" si="1"/>
        <v>5397.17</v>
      </c>
      <c r="G56" t="s">
        <v>290</v>
      </c>
      <c r="H56" s="69">
        <f>AVERAGE(F54:F56)</f>
        <v>5432.333333333333</v>
      </c>
      <c r="I56" s="70">
        <f>H56/$F$7</f>
        <v>53.94698519519519</v>
      </c>
      <c r="K56" s="67" t="s">
        <v>286</v>
      </c>
      <c r="M56" s="68">
        <v>5030</v>
      </c>
      <c r="N56" s="65">
        <v>0.31</v>
      </c>
      <c r="O56">
        <f t="shared" ref="O56:O59" si="4">$M$9*N56</f>
        <v>573.80999999999995</v>
      </c>
      <c r="P56" s="69">
        <f t="shared" ref="P56:P59" si="5">M56+O56</f>
        <v>5603.8099999999995</v>
      </c>
      <c r="Q56" t="s">
        <v>290</v>
      </c>
      <c r="R56" s="69">
        <f>AVERAGE(P54:P56)</f>
        <v>5647</v>
      </c>
      <c r="S56" s="70">
        <f>R56/$F$7</f>
        <v>56.078779909909905</v>
      </c>
    </row>
    <row r="57" spans="1:19" x14ac:dyDescent="0.3">
      <c r="A57" s="67" t="s">
        <v>280</v>
      </c>
      <c r="C57" s="68">
        <v>5230</v>
      </c>
      <c r="D57" s="65">
        <v>0.38</v>
      </c>
      <c r="E57">
        <f t="shared" si="0"/>
        <v>572.66</v>
      </c>
      <c r="F57" s="69">
        <f t="shared" si="1"/>
        <v>5802.66</v>
      </c>
      <c r="H57" s="69"/>
      <c r="I57" s="70"/>
      <c r="K57" s="67" t="s">
        <v>280</v>
      </c>
      <c r="M57" s="68">
        <v>5330</v>
      </c>
      <c r="N57" s="65">
        <v>0.38</v>
      </c>
      <c r="O57">
        <f t="shared" si="4"/>
        <v>703.38</v>
      </c>
      <c r="P57" s="69">
        <f t="shared" si="5"/>
        <v>6033.38</v>
      </c>
      <c r="R57" s="69"/>
      <c r="S57" s="70"/>
    </row>
    <row r="58" spans="1:19" x14ac:dyDescent="0.3">
      <c r="A58" s="67" t="s">
        <v>287</v>
      </c>
      <c r="C58" s="68">
        <v>5230</v>
      </c>
      <c r="D58" s="65">
        <v>0.41</v>
      </c>
      <c r="E58">
        <f t="shared" si="0"/>
        <v>617.87</v>
      </c>
      <c r="F58" s="69">
        <f t="shared" si="1"/>
        <v>5847.87</v>
      </c>
      <c r="H58" s="69"/>
      <c r="I58" s="70"/>
      <c r="K58" s="67" t="s">
        <v>287</v>
      </c>
      <c r="M58" s="68">
        <v>5330</v>
      </c>
      <c r="N58" s="65">
        <v>0.41</v>
      </c>
      <c r="O58">
        <f t="shared" si="4"/>
        <v>758.91</v>
      </c>
      <c r="P58" s="69">
        <f t="shared" si="5"/>
        <v>6088.91</v>
      </c>
      <c r="R58" s="69"/>
      <c r="S58" s="70"/>
    </row>
    <row r="59" spans="1:19" x14ac:dyDescent="0.3">
      <c r="A59" s="67" t="s">
        <v>288</v>
      </c>
      <c r="C59" s="68">
        <v>5230</v>
      </c>
      <c r="D59" s="65">
        <v>0.4</v>
      </c>
      <c r="E59">
        <f t="shared" si="0"/>
        <v>602.80000000000007</v>
      </c>
      <c r="F59" s="69">
        <f t="shared" si="1"/>
        <v>5832.8</v>
      </c>
      <c r="G59" t="s">
        <v>291</v>
      </c>
      <c r="H59" s="69">
        <f>AVERAGE(F57:F59)</f>
        <v>5827.7766666666657</v>
      </c>
      <c r="I59" s="70">
        <f>H59/$F$7</f>
        <v>57.874022499399388</v>
      </c>
      <c r="K59" s="67" t="s">
        <v>288</v>
      </c>
      <c r="M59" s="68">
        <v>5330</v>
      </c>
      <c r="N59" s="65">
        <v>0.4</v>
      </c>
      <c r="O59">
        <f t="shared" si="4"/>
        <v>740.40000000000009</v>
      </c>
      <c r="P59" s="69">
        <f t="shared" si="5"/>
        <v>6070.4</v>
      </c>
      <c r="Q59" t="s">
        <v>291</v>
      </c>
      <c r="R59" s="69">
        <f>AVERAGE(P57:P59)</f>
        <v>6064.2300000000005</v>
      </c>
      <c r="S59" s="70">
        <f>R59/$F$7</f>
        <v>60.222174516216221</v>
      </c>
    </row>
    <row r="60" spans="1:19" x14ac:dyDescent="0.3">
      <c r="A60" s="67"/>
      <c r="C60" s="68"/>
      <c r="D60" s="65"/>
      <c r="F60" s="69"/>
      <c r="H60" s="69"/>
      <c r="I60" s="70"/>
      <c r="K60" s="67"/>
      <c r="M60" s="68"/>
      <c r="N60" s="65"/>
      <c r="P60" s="69"/>
      <c r="R60" s="69"/>
      <c r="S60" s="70"/>
    </row>
    <row r="64" spans="1:19" x14ac:dyDescent="0.3">
      <c r="A64" t="s">
        <v>188</v>
      </c>
      <c r="K64" t="s">
        <v>188</v>
      </c>
    </row>
    <row r="65" spans="1:19" x14ac:dyDescent="0.3">
      <c r="A65" s="62" t="s">
        <v>234</v>
      </c>
      <c r="B65" s="62" t="s">
        <v>189</v>
      </c>
      <c r="C65" s="62" t="s">
        <v>126</v>
      </c>
      <c r="D65" s="62"/>
      <c r="K65" s="62" t="s">
        <v>237</v>
      </c>
    </row>
    <row r="66" spans="1:19" x14ac:dyDescent="0.3">
      <c r="A66" t="s">
        <v>235</v>
      </c>
      <c r="C66" t="s">
        <v>236</v>
      </c>
      <c r="K66" t="s">
        <v>238</v>
      </c>
    </row>
    <row r="67" spans="1:19" x14ac:dyDescent="0.3">
      <c r="A67" s="81" t="s">
        <v>109</v>
      </c>
      <c r="K67" s="81" t="s">
        <v>109</v>
      </c>
    </row>
    <row r="68" spans="1:19" x14ac:dyDescent="0.3">
      <c r="A68" t="s">
        <v>250</v>
      </c>
      <c r="E68" t="s">
        <v>229</v>
      </c>
      <c r="F68" s="70">
        <f>111/1.10231</f>
        <v>100.69762589471202</v>
      </c>
      <c r="G68" t="s">
        <v>228</v>
      </c>
      <c r="K68" t="s">
        <v>250</v>
      </c>
    </row>
    <row r="69" spans="1:19" x14ac:dyDescent="0.3">
      <c r="A69" t="s">
        <v>191</v>
      </c>
      <c r="K69" t="s">
        <v>191</v>
      </c>
    </row>
    <row r="70" spans="1:19" x14ac:dyDescent="0.3">
      <c r="A70" t="s">
        <v>192</v>
      </c>
      <c r="C70">
        <v>685</v>
      </c>
      <c r="K70" t="s">
        <v>192</v>
      </c>
      <c r="M70">
        <v>1520</v>
      </c>
    </row>
    <row r="71" spans="1:19" x14ac:dyDescent="0.3">
      <c r="D71" t="s">
        <v>195</v>
      </c>
      <c r="E71" t="s">
        <v>195</v>
      </c>
      <c r="F71" t="s">
        <v>219</v>
      </c>
      <c r="H71" t="s">
        <v>230</v>
      </c>
      <c r="N71" t="s">
        <v>195</v>
      </c>
      <c r="O71" t="s">
        <v>195</v>
      </c>
      <c r="P71" t="s">
        <v>219</v>
      </c>
      <c r="R71" t="s">
        <v>230</v>
      </c>
    </row>
    <row r="72" spans="1:19" ht="15" thickBot="1" x14ac:dyDescent="0.35">
      <c r="A72" s="66" t="s">
        <v>193</v>
      </c>
      <c r="B72" s="66"/>
      <c r="C72" s="66" t="s">
        <v>194</v>
      </c>
      <c r="D72" s="66" t="s">
        <v>196</v>
      </c>
      <c r="E72" s="66" t="s">
        <v>218</v>
      </c>
      <c r="F72" s="66" t="s">
        <v>195</v>
      </c>
      <c r="H72" s="66" t="s">
        <v>231</v>
      </c>
      <c r="I72" s="66" t="s">
        <v>227</v>
      </c>
      <c r="K72" s="66" t="s">
        <v>193</v>
      </c>
      <c r="L72" s="66"/>
      <c r="M72" s="66" t="s">
        <v>194</v>
      </c>
      <c r="N72" s="66" t="s">
        <v>196</v>
      </c>
      <c r="O72" s="66" t="s">
        <v>218</v>
      </c>
      <c r="P72" s="66" t="s">
        <v>195</v>
      </c>
      <c r="R72" s="66" t="s">
        <v>231</v>
      </c>
      <c r="S72" s="66" t="s">
        <v>227</v>
      </c>
    </row>
    <row r="73" spans="1:19" x14ac:dyDescent="0.3">
      <c r="A73" s="67" t="s">
        <v>197</v>
      </c>
      <c r="C73" s="68">
        <v>2605</v>
      </c>
      <c r="D73" s="65">
        <v>0.41</v>
      </c>
      <c r="E73" s="70">
        <f>$C$70*D73</f>
        <v>280.84999999999997</v>
      </c>
      <c r="F73" s="68">
        <f>C73+E73</f>
        <v>2885.85</v>
      </c>
      <c r="K73" s="67" t="s">
        <v>197</v>
      </c>
      <c r="M73" s="68">
        <v>3859</v>
      </c>
      <c r="N73" s="65">
        <v>0.41</v>
      </c>
      <c r="O73" s="70">
        <f>$M$70*N73</f>
        <v>623.19999999999993</v>
      </c>
      <c r="P73" s="69">
        <f>M73+O73</f>
        <v>4482.2</v>
      </c>
    </row>
    <row r="74" spans="1:19" x14ac:dyDescent="0.3">
      <c r="A74" s="67" t="s">
        <v>198</v>
      </c>
      <c r="C74" s="68">
        <v>2605</v>
      </c>
      <c r="D74" s="65">
        <v>0.3</v>
      </c>
      <c r="E74" s="70">
        <f t="shared" ref="E74:E116" si="6">$C$70*D74</f>
        <v>205.5</v>
      </c>
      <c r="F74" s="68">
        <f t="shared" ref="F74:F116" si="7">C74+E74</f>
        <v>2810.5</v>
      </c>
      <c r="K74" s="67" t="s">
        <v>198</v>
      </c>
      <c r="M74" s="68">
        <v>3859</v>
      </c>
      <c r="N74" s="65">
        <v>0.3</v>
      </c>
      <c r="O74" s="70">
        <f t="shared" ref="O74:O116" si="8">$M$70*N74</f>
        <v>456</v>
      </c>
      <c r="P74" s="69">
        <f t="shared" ref="P74:P116" si="9">M74+O74</f>
        <v>4315</v>
      </c>
    </row>
    <row r="75" spans="1:19" x14ac:dyDescent="0.3">
      <c r="A75" s="67" t="s">
        <v>199</v>
      </c>
      <c r="C75" s="68">
        <v>2605</v>
      </c>
      <c r="D75" s="65">
        <v>0.27</v>
      </c>
      <c r="E75" s="70">
        <f t="shared" si="6"/>
        <v>184.95000000000002</v>
      </c>
      <c r="F75" s="68">
        <f t="shared" si="7"/>
        <v>2789.95</v>
      </c>
      <c r="G75" t="s">
        <v>220</v>
      </c>
      <c r="H75" s="69">
        <f>AVERAGE(F73:F75)</f>
        <v>2828.7666666666664</v>
      </c>
      <c r="I75" s="71">
        <f>H75/$F$68</f>
        <v>28.091691750750748</v>
      </c>
      <c r="K75" s="67" t="s">
        <v>199</v>
      </c>
      <c r="M75" s="68">
        <v>3859</v>
      </c>
      <c r="N75" s="65">
        <v>0.27</v>
      </c>
      <c r="O75" s="70">
        <f t="shared" si="8"/>
        <v>410.40000000000003</v>
      </c>
      <c r="P75" s="69">
        <f t="shared" si="9"/>
        <v>4269.3999999999996</v>
      </c>
      <c r="Q75" t="s">
        <v>220</v>
      </c>
      <c r="R75" s="69">
        <f>AVERAGE(P73:P75)</f>
        <v>4355.5333333333338</v>
      </c>
      <c r="S75" s="71">
        <f>R75/$F$68</f>
        <v>43.253585123123123</v>
      </c>
    </row>
    <row r="76" spans="1:19" x14ac:dyDescent="0.3">
      <c r="A76" s="67" t="s">
        <v>200</v>
      </c>
      <c r="C76" s="68">
        <v>2605</v>
      </c>
      <c r="D76" s="65">
        <v>0.24</v>
      </c>
      <c r="E76" s="70">
        <f t="shared" si="6"/>
        <v>164.4</v>
      </c>
      <c r="F76" s="68">
        <f t="shared" si="7"/>
        <v>2769.4</v>
      </c>
      <c r="K76" s="67" t="s">
        <v>200</v>
      </c>
      <c r="M76" s="68">
        <v>3859</v>
      </c>
      <c r="N76" s="65">
        <v>0.24</v>
      </c>
      <c r="O76" s="70">
        <f t="shared" si="8"/>
        <v>364.8</v>
      </c>
      <c r="P76" s="69">
        <f t="shared" si="9"/>
        <v>4223.8</v>
      </c>
    </row>
    <row r="77" spans="1:19" x14ac:dyDescent="0.3">
      <c r="A77" s="67" t="s">
        <v>201</v>
      </c>
      <c r="C77" s="68">
        <v>2605</v>
      </c>
      <c r="D77" s="65">
        <v>0.22</v>
      </c>
      <c r="E77" s="70">
        <f t="shared" si="6"/>
        <v>150.69999999999999</v>
      </c>
      <c r="F77" s="68">
        <f t="shared" si="7"/>
        <v>2755.7</v>
      </c>
      <c r="K77" s="67" t="s">
        <v>201</v>
      </c>
      <c r="M77" s="68">
        <v>3859</v>
      </c>
      <c r="N77" s="65">
        <v>0.22</v>
      </c>
      <c r="O77" s="70">
        <f t="shared" si="8"/>
        <v>334.4</v>
      </c>
      <c r="P77" s="69">
        <f t="shared" si="9"/>
        <v>4193.3999999999996</v>
      </c>
    </row>
    <row r="78" spans="1:19" x14ac:dyDescent="0.3">
      <c r="A78" s="67" t="s">
        <v>202</v>
      </c>
      <c r="C78" s="68">
        <v>2692</v>
      </c>
      <c r="D78" s="65">
        <v>0.25</v>
      </c>
      <c r="E78" s="70">
        <f t="shared" si="6"/>
        <v>171.25</v>
      </c>
      <c r="F78" s="68">
        <f t="shared" si="7"/>
        <v>2863.25</v>
      </c>
      <c r="G78" t="s">
        <v>222</v>
      </c>
      <c r="H78" s="69">
        <f>AVERAGE(F76:F78)</f>
        <v>2796.1166666666668</v>
      </c>
      <c r="I78" s="71">
        <f>H78/$F$68</f>
        <v>27.767453719219219</v>
      </c>
      <c r="K78" s="67" t="s">
        <v>202</v>
      </c>
      <c r="M78" s="68">
        <v>3859</v>
      </c>
      <c r="N78" s="65">
        <v>0.25</v>
      </c>
      <c r="O78" s="70">
        <f t="shared" si="8"/>
        <v>380</v>
      </c>
      <c r="P78" s="69">
        <f t="shared" si="9"/>
        <v>4239</v>
      </c>
      <c r="Q78" t="s">
        <v>222</v>
      </c>
      <c r="R78" s="69">
        <f>AVERAGE(P76:P78)</f>
        <v>4218.7333333333336</v>
      </c>
      <c r="S78" s="71">
        <f>R78/$F$68</f>
        <v>41.895062528528527</v>
      </c>
    </row>
    <row r="79" spans="1:19" x14ac:dyDescent="0.3">
      <c r="A79" s="67" t="s">
        <v>203</v>
      </c>
      <c r="C79" s="68">
        <v>2692</v>
      </c>
      <c r="D79" s="65">
        <v>0.25</v>
      </c>
      <c r="E79" s="70">
        <f t="shared" si="6"/>
        <v>171.25</v>
      </c>
      <c r="F79" s="68">
        <f t="shared" si="7"/>
        <v>2863.25</v>
      </c>
      <c r="K79" s="67" t="s">
        <v>203</v>
      </c>
      <c r="M79" s="68">
        <v>3859</v>
      </c>
      <c r="N79" s="65">
        <v>0.25</v>
      </c>
      <c r="O79" s="70">
        <f t="shared" si="8"/>
        <v>380</v>
      </c>
      <c r="P79" s="69">
        <f t="shared" si="9"/>
        <v>4239</v>
      </c>
    </row>
    <row r="80" spans="1:19" x14ac:dyDescent="0.3">
      <c r="A80" s="67" t="s">
        <v>204</v>
      </c>
      <c r="C80" s="68">
        <v>2692</v>
      </c>
      <c r="D80" s="65">
        <v>0.32</v>
      </c>
      <c r="E80" s="70">
        <f t="shared" si="6"/>
        <v>219.20000000000002</v>
      </c>
      <c r="F80" s="68">
        <f t="shared" si="7"/>
        <v>2911.2</v>
      </c>
      <c r="K80" s="67" t="s">
        <v>204</v>
      </c>
      <c r="M80" s="68">
        <v>3946</v>
      </c>
      <c r="N80" s="65">
        <v>0.32</v>
      </c>
      <c r="O80" s="70">
        <f t="shared" si="8"/>
        <v>486.40000000000003</v>
      </c>
      <c r="P80" s="69">
        <f t="shared" si="9"/>
        <v>4432.3999999999996</v>
      </c>
    </row>
    <row r="81" spans="1:19" x14ac:dyDescent="0.3">
      <c r="A81" s="67" t="s">
        <v>205</v>
      </c>
      <c r="C81" s="68">
        <v>2692</v>
      </c>
      <c r="D81" s="65">
        <v>0.33</v>
      </c>
      <c r="E81" s="70">
        <f t="shared" si="6"/>
        <v>226.05</v>
      </c>
      <c r="F81" s="68">
        <f t="shared" si="7"/>
        <v>2918.05</v>
      </c>
      <c r="G81" t="s">
        <v>221</v>
      </c>
      <c r="H81" s="69">
        <f>AVERAGE(F79:F81)</f>
        <v>2897.5</v>
      </c>
      <c r="I81" s="71">
        <f>H81/$F$68</f>
        <v>28.774263288288285</v>
      </c>
      <c r="K81" s="67" t="s">
        <v>205</v>
      </c>
      <c r="M81" s="68">
        <v>3946</v>
      </c>
      <c r="N81" s="65">
        <v>0.33</v>
      </c>
      <c r="O81" s="70">
        <f t="shared" si="8"/>
        <v>501.6</v>
      </c>
      <c r="P81" s="69">
        <f t="shared" si="9"/>
        <v>4447.6000000000004</v>
      </c>
      <c r="Q81" t="s">
        <v>221</v>
      </c>
      <c r="R81" s="69">
        <f>AVERAGE(P79:P81)</f>
        <v>4373</v>
      </c>
      <c r="S81" s="71">
        <f>R81/$F$68</f>
        <v>43.427041711711709</v>
      </c>
    </row>
    <row r="82" spans="1:19" x14ac:dyDescent="0.3">
      <c r="A82" s="67" t="s">
        <v>206</v>
      </c>
      <c r="C82" s="68">
        <v>2692</v>
      </c>
      <c r="D82" s="65">
        <v>0.35</v>
      </c>
      <c r="E82" s="70">
        <f t="shared" si="6"/>
        <v>239.74999999999997</v>
      </c>
      <c r="F82" s="68">
        <f t="shared" si="7"/>
        <v>2931.75</v>
      </c>
      <c r="K82" s="67" t="s">
        <v>206</v>
      </c>
      <c r="M82" s="68">
        <v>3946</v>
      </c>
      <c r="N82" s="65">
        <v>0.35</v>
      </c>
      <c r="O82" s="70">
        <f t="shared" si="8"/>
        <v>532</v>
      </c>
      <c r="P82" s="69">
        <f t="shared" si="9"/>
        <v>4478</v>
      </c>
    </row>
    <row r="83" spans="1:19" x14ac:dyDescent="0.3">
      <c r="A83" s="67" t="s">
        <v>207</v>
      </c>
      <c r="C83" s="68">
        <v>2692</v>
      </c>
      <c r="D83" s="65">
        <v>0.35</v>
      </c>
      <c r="E83" s="70">
        <f t="shared" si="6"/>
        <v>239.74999999999997</v>
      </c>
      <c r="F83" s="68">
        <f t="shared" si="7"/>
        <v>2931.75</v>
      </c>
      <c r="K83" s="67" t="s">
        <v>207</v>
      </c>
      <c r="M83" s="68">
        <v>3946</v>
      </c>
      <c r="N83" s="65">
        <v>0.35</v>
      </c>
      <c r="O83" s="70">
        <f t="shared" si="8"/>
        <v>532</v>
      </c>
      <c r="P83" s="69">
        <f t="shared" si="9"/>
        <v>4478</v>
      </c>
    </row>
    <row r="84" spans="1:19" x14ac:dyDescent="0.3">
      <c r="A84" s="67" t="s">
        <v>208</v>
      </c>
      <c r="C84" s="68">
        <v>2692</v>
      </c>
      <c r="D84" s="65">
        <v>0.36</v>
      </c>
      <c r="E84" s="70">
        <f t="shared" si="6"/>
        <v>246.6</v>
      </c>
      <c r="F84" s="68">
        <f t="shared" si="7"/>
        <v>2938.6</v>
      </c>
      <c r="G84" t="s">
        <v>223</v>
      </c>
      <c r="H84" s="69">
        <f>AVERAGE(F82:F84)</f>
        <v>2934.0333333333333</v>
      </c>
      <c r="I84" s="71">
        <f>H84/$F$68</f>
        <v>29.137065618618617</v>
      </c>
      <c r="K84" s="67" t="s">
        <v>208</v>
      </c>
      <c r="M84" s="68">
        <v>3946</v>
      </c>
      <c r="N84" s="65">
        <v>0.36</v>
      </c>
      <c r="O84" s="70">
        <f t="shared" si="8"/>
        <v>547.19999999999993</v>
      </c>
      <c r="P84" s="69">
        <f t="shared" si="9"/>
        <v>4493.2</v>
      </c>
      <c r="Q84" t="s">
        <v>223</v>
      </c>
      <c r="R84" s="69">
        <f>AVERAGE(P82:P84)</f>
        <v>4483.0666666666666</v>
      </c>
      <c r="S84" s="71">
        <f>R84/$F$68</f>
        <v>44.520083039039037</v>
      </c>
    </row>
    <row r="85" spans="1:19" x14ac:dyDescent="0.3">
      <c r="A85" s="67" t="s">
        <v>209</v>
      </c>
      <c r="C85" s="68">
        <v>2779</v>
      </c>
      <c r="D85" s="65">
        <v>0.39</v>
      </c>
      <c r="E85" s="70">
        <f t="shared" si="6"/>
        <v>267.15000000000003</v>
      </c>
      <c r="F85" s="68">
        <f t="shared" si="7"/>
        <v>3046.15</v>
      </c>
      <c r="K85" s="67" t="s">
        <v>209</v>
      </c>
      <c r="M85" s="68">
        <v>4033</v>
      </c>
      <c r="N85" s="65">
        <v>0.39</v>
      </c>
      <c r="O85" s="70">
        <f t="shared" si="8"/>
        <v>592.80000000000007</v>
      </c>
      <c r="P85" s="69">
        <f t="shared" si="9"/>
        <v>4625.8</v>
      </c>
    </row>
    <row r="86" spans="1:19" x14ac:dyDescent="0.3">
      <c r="A86" s="67" t="s">
        <v>210</v>
      </c>
      <c r="C86" s="68">
        <v>2779</v>
      </c>
      <c r="D86" s="65">
        <v>0.38</v>
      </c>
      <c r="E86" s="70">
        <f t="shared" si="6"/>
        <v>260.3</v>
      </c>
      <c r="F86" s="68">
        <f t="shared" si="7"/>
        <v>3039.3</v>
      </c>
      <c r="K86" s="67" t="s">
        <v>210</v>
      </c>
      <c r="M86" s="68">
        <v>4033</v>
      </c>
      <c r="N86" s="65">
        <v>0.38</v>
      </c>
      <c r="O86" s="70">
        <f t="shared" si="8"/>
        <v>577.6</v>
      </c>
      <c r="P86" s="69">
        <f t="shared" si="9"/>
        <v>4610.6000000000004</v>
      </c>
    </row>
    <row r="87" spans="1:19" x14ac:dyDescent="0.3">
      <c r="A87" s="67" t="s">
        <v>211</v>
      </c>
      <c r="C87" s="68">
        <v>2779</v>
      </c>
      <c r="D87" s="65">
        <v>0.4</v>
      </c>
      <c r="E87" s="70">
        <f t="shared" si="6"/>
        <v>274</v>
      </c>
      <c r="F87" s="68">
        <f t="shared" si="7"/>
        <v>3053</v>
      </c>
      <c r="G87" t="s">
        <v>224</v>
      </c>
      <c r="H87" s="69">
        <f>AVERAGE(F85:F87)</f>
        <v>3046.15</v>
      </c>
      <c r="I87" s="71">
        <f>H87/$F$68</f>
        <v>30.250464923423422</v>
      </c>
      <c r="K87" s="67" t="s">
        <v>211</v>
      </c>
      <c r="M87" s="68">
        <v>4033</v>
      </c>
      <c r="N87" s="65">
        <v>0.4</v>
      </c>
      <c r="O87" s="70">
        <f t="shared" si="8"/>
        <v>608</v>
      </c>
      <c r="P87" s="69">
        <f t="shared" si="9"/>
        <v>4641</v>
      </c>
      <c r="Q87" t="s">
        <v>224</v>
      </c>
      <c r="R87" s="69">
        <f>AVERAGE(P85:P87)</f>
        <v>4625.8</v>
      </c>
      <c r="S87" s="71">
        <f>R87/$F$68</f>
        <v>45.93752790990991</v>
      </c>
    </row>
    <row r="88" spans="1:19" x14ac:dyDescent="0.3">
      <c r="A88" s="67" t="s">
        <v>212</v>
      </c>
      <c r="C88" s="68">
        <v>2779</v>
      </c>
      <c r="D88" s="65">
        <v>0.39</v>
      </c>
      <c r="E88" s="70">
        <f t="shared" si="6"/>
        <v>267.15000000000003</v>
      </c>
      <c r="F88" s="68">
        <f t="shared" si="7"/>
        <v>3046.15</v>
      </c>
      <c r="K88" s="67" t="s">
        <v>212</v>
      </c>
      <c r="M88" s="68">
        <v>4033</v>
      </c>
      <c r="N88" s="65">
        <v>0.39</v>
      </c>
      <c r="O88" s="70">
        <f t="shared" si="8"/>
        <v>592.80000000000007</v>
      </c>
      <c r="P88" s="69">
        <f t="shared" si="9"/>
        <v>4625.8</v>
      </c>
    </row>
    <row r="89" spans="1:19" x14ac:dyDescent="0.3">
      <c r="A89" s="67" t="s">
        <v>213</v>
      </c>
      <c r="C89" s="68">
        <v>2779</v>
      </c>
      <c r="D89" s="65">
        <v>0.42</v>
      </c>
      <c r="E89" s="70">
        <f t="shared" si="6"/>
        <v>287.7</v>
      </c>
      <c r="F89" s="68">
        <f t="shared" si="7"/>
        <v>3066.7</v>
      </c>
      <c r="K89" s="67" t="s">
        <v>213</v>
      </c>
      <c r="M89" s="68">
        <v>4033</v>
      </c>
      <c r="N89" s="65">
        <v>0.42</v>
      </c>
      <c r="O89" s="70">
        <f t="shared" si="8"/>
        <v>638.4</v>
      </c>
      <c r="P89" s="69">
        <f t="shared" si="9"/>
        <v>4671.3999999999996</v>
      </c>
    </row>
    <row r="90" spans="1:19" x14ac:dyDescent="0.3">
      <c r="A90" s="67" t="s">
        <v>214</v>
      </c>
      <c r="C90" s="68">
        <v>2867</v>
      </c>
      <c r="D90" s="65">
        <v>0.46</v>
      </c>
      <c r="E90" s="70">
        <f t="shared" si="6"/>
        <v>315.10000000000002</v>
      </c>
      <c r="F90" s="68">
        <f t="shared" si="7"/>
        <v>3182.1</v>
      </c>
      <c r="G90" t="s">
        <v>225</v>
      </c>
      <c r="H90" s="69">
        <f>AVERAGE(F88:F90)</f>
        <v>3098.3166666666671</v>
      </c>
      <c r="I90" s="71">
        <f>H90/$F$68</f>
        <v>30.768517521021025</v>
      </c>
      <c r="K90" s="67" t="s">
        <v>214</v>
      </c>
      <c r="M90" s="68">
        <v>4033</v>
      </c>
      <c r="N90" s="65">
        <v>0.46</v>
      </c>
      <c r="O90" s="70">
        <f t="shared" si="8"/>
        <v>699.2</v>
      </c>
      <c r="P90" s="69">
        <f t="shared" si="9"/>
        <v>4732.2</v>
      </c>
      <c r="Q90" t="s">
        <v>225</v>
      </c>
      <c r="R90" s="69">
        <f>AVERAGE(P88:P90)</f>
        <v>4676.4666666666672</v>
      </c>
      <c r="S90" s="71">
        <f>R90/$F$68</f>
        <v>46.440684426426429</v>
      </c>
    </row>
    <row r="91" spans="1:19" x14ac:dyDescent="0.3">
      <c r="A91" s="67" t="s">
        <v>215</v>
      </c>
      <c r="C91" s="68">
        <v>2867</v>
      </c>
      <c r="D91" s="65">
        <v>0.46</v>
      </c>
      <c r="E91" s="70">
        <f t="shared" si="6"/>
        <v>315.10000000000002</v>
      </c>
      <c r="F91" s="68">
        <f t="shared" si="7"/>
        <v>3182.1</v>
      </c>
      <c r="K91" s="67" t="s">
        <v>215</v>
      </c>
      <c r="M91" s="68">
        <v>4033</v>
      </c>
      <c r="N91" s="65">
        <v>0.46</v>
      </c>
      <c r="O91" s="70">
        <f t="shared" si="8"/>
        <v>699.2</v>
      </c>
      <c r="P91" s="69">
        <f t="shared" si="9"/>
        <v>4732.2</v>
      </c>
    </row>
    <row r="92" spans="1:19" x14ac:dyDescent="0.3">
      <c r="A92" s="67" t="s">
        <v>216</v>
      </c>
      <c r="C92" s="68">
        <v>2867</v>
      </c>
      <c r="D92" s="65">
        <v>0.43</v>
      </c>
      <c r="E92" s="70">
        <f t="shared" si="6"/>
        <v>294.55</v>
      </c>
      <c r="F92" s="68">
        <f t="shared" si="7"/>
        <v>3161.55</v>
      </c>
      <c r="K92" s="67" t="s">
        <v>216</v>
      </c>
      <c r="M92" s="68">
        <v>4131</v>
      </c>
      <c r="N92" s="65">
        <v>0.43</v>
      </c>
      <c r="O92" s="70">
        <f t="shared" si="8"/>
        <v>653.6</v>
      </c>
      <c r="P92" s="69">
        <f t="shared" si="9"/>
        <v>4784.6000000000004</v>
      </c>
    </row>
    <row r="93" spans="1:19" x14ac:dyDescent="0.3">
      <c r="A93" s="67" t="s">
        <v>217</v>
      </c>
      <c r="C93" s="68">
        <v>2867</v>
      </c>
      <c r="D93" s="65">
        <v>0.42</v>
      </c>
      <c r="E93" s="70">
        <f t="shared" si="6"/>
        <v>287.7</v>
      </c>
      <c r="F93" s="68">
        <f t="shared" si="7"/>
        <v>3154.7</v>
      </c>
      <c r="G93" t="s">
        <v>226</v>
      </c>
      <c r="H93" s="69">
        <f>AVERAGE(F91:F93)</f>
        <v>3166.1166666666663</v>
      </c>
      <c r="I93" s="71">
        <f>H93/$F$68</f>
        <v>31.44182038588588</v>
      </c>
      <c r="K93" s="67" t="s">
        <v>217</v>
      </c>
      <c r="M93" s="68">
        <v>4131</v>
      </c>
      <c r="N93" s="65">
        <v>0.42</v>
      </c>
      <c r="O93" s="70">
        <f t="shared" si="8"/>
        <v>638.4</v>
      </c>
      <c r="P93" s="69">
        <f t="shared" si="9"/>
        <v>4769.3999999999996</v>
      </c>
      <c r="Q93" t="s">
        <v>226</v>
      </c>
      <c r="R93" s="69">
        <f>AVERAGE(P91:P93)</f>
        <v>4762.0666666666666</v>
      </c>
      <c r="S93" s="71">
        <f>R93/$F$68</f>
        <v>47.29075412012012</v>
      </c>
    </row>
    <row r="94" spans="1:19" x14ac:dyDescent="0.3">
      <c r="A94" s="67" t="s">
        <v>247</v>
      </c>
      <c r="C94" s="68">
        <v>2867</v>
      </c>
      <c r="D94" s="65">
        <v>0.43</v>
      </c>
      <c r="E94" s="70">
        <f t="shared" si="6"/>
        <v>294.55</v>
      </c>
      <c r="F94" s="68">
        <f t="shared" si="7"/>
        <v>3161.55</v>
      </c>
      <c r="H94" s="69"/>
      <c r="I94" s="71"/>
      <c r="K94" s="67" t="s">
        <v>247</v>
      </c>
      <c r="M94" s="68">
        <v>4131</v>
      </c>
      <c r="N94" s="65">
        <v>0.43</v>
      </c>
      <c r="O94" s="70">
        <f t="shared" si="8"/>
        <v>653.6</v>
      </c>
      <c r="P94" s="69">
        <f t="shared" si="9"/>
        <v>4784.6000000000004</v>
      </c>
      <c r="R94" s="69"/>
      <c r="S94" s="71"/>
    </row>
    <row r="95" spans="1:19" x14ac:dyDescent="0.3">
      <c r="A95" s="67" t="s">
        <v>248</v>
      </c>
      <c r="C95" s="68">
        <v>2867</v>
      </c>
      <c r="D95" s="65">
        <v>0.43</v>
      </c>
      <c r="E95" s="70">
        <f t="shared" si="6"/>
        <v>294.55</v>
      </c>
      <c r="F95" s="68">
        <f t="shared" si="7"/>
        <v>3161.55</v>
      </c>
      <c r="H95" s="69"/>
      <c r="I95" s="71"/>
      <c r="K95" s="67" t="s">
        <v>248</v>
      </c>
      <c r="M95" s="68">
        <v>4131</v>
      </c>
      <c r="N95" s="65">
        <v>0.43</v>
      </c>
      <c r="O95" s="70">
        <f t="shared" si="8"/>
        <v>653.6</v>
      </c>
      <c r="P95" s="69">
        <f t="shared" si="9"/>
        <v>4784.6000000000004</v>
      </c>
      <c r="R95" s="69"/>
      <c r="S95" s="71"/>
    </row>
    <row r="96" spans="1:19" x14ac:dyDescent="0.3">
      <c r="A96" s="67" t="s">
        <v>249</v>
      </c>
      <c r="C96" s="68">
        <v>2867</v>
      </c>
      <c r="D96" s="65">
        <v>0.46</v>
      </c>
      <c r="E96" s="70">
        <f t="shared" si="6"/>
        <v>315.10000000000002</v>
      </c>
      <c r="F96" s="68">
        <f t="shared" si="7"/>
        <v>3182.1</v>
      </c>
      <c r="G96" t="s">
        <v>251</v>
      </c>
      <c r="H96" s="69">
        <f>AVERAGE(F94:F96)</f>
        <v>3168.4</v>
      </c>
      <c r="I96" s="71">
        <f>H96/$F$68</f>
        <v>31.464495531531529</v>
      </c>
      <c r="K96" s="67" t="s">
        <v>249</v>
      </c>
      <c r="M96" s="68">
        <v>4131</v>
      </c>
      <c r="N96" s="65">
        <v>0.46</v>
      </c>
      <c r="O96" s="70">
        <f t="shared" si="8"/>
        <v>699.2</v>
      </c>
      <c r="P96" s="69">
        <f t="shared" si="9"/>
        <v>4830.2</v>
      </c>
      <c r="Q96" t="s">
        <v>251</v>
      </c>
      <c r="R96" s="69">
        <f>AVERAGE(P94:P96)</f>
        <v>4799.8</v>
      </c>
      <c r="S96" s="71">
        <f>R96/$F$68</f>
        <v>47.665473315315317</v>
      </c>
    </row>
    <row r="97" spans="1:19" x14ac:dyDescent="0.3">
      <c r="A97" s="67" t="s">
        <v>252</v>
      </c>
      <c r="C97" s="68">
        <v>2867</v>
      </c>
      <c r="D97" s="65">
        <v>0.48</v>
      </c>
      <c r="E97" s="70">
        <f t="shared" si="6"/>
        <v>328.8</v>
      </c>
      <c r="F97" s="68">
        <f t="shared" si="7"/>
        <v>3195.8</v>
      </c>
      <c r="H97" s="69"/>
      <c r="I97" s="71"/>
      <c r="K97" s="67" t="s">
        <v>252</v>
      </c>
      <c r="M97" s="68">
        <v>4131</v>
      </c>
      <c r="N97" s="65">
        <v>0.48</v>
      </c>
      <c r="O97" s="70">
        <f t="shared" si="8"/>
        <v>729.6</v>
      </c>
      <c r="P97" s="69">
        <f t="shared" si="9"/>
        <v>4860.6000000000004</v>
      </c>
      <c r="R97" s="69"/>
      <c r="S97" s="71"/>
    </row>
    <row r="98" spans="1:19" x14ac:dyDescent="0.3">
      <c r="A98" s="67" t="s">
        <v>253</v>
      </c>
      <c r="C98" s="68">
        <v>2987</v>
      </c>
      <c r="D98" s="65">
        <v>0.5</v>
      </c>
      <c r="E98" s="70">
        <f t="shared" si="6"/>
        <v>342.5</v>
      </c>
      <c r="F98" s="68">
        <f t="shared" si="7"/>
        <v>3329.5</v>
      </c>
      <c r="H98" s="69"/>
      <c r="I98" s="71"/>
      <c r="K98" s="67" t="s">
        <v>253</v>
      </c>
      <c r="M98" s="68">
        <v>4229</v>
      </c>
      <c r="N98" s="65">
        <v>0.5</v>
      </c>
      <c r="O98" s="70">
        <f t="shared" si="8"/>
        <v>760</v>
      </c>
      <c r="P98" s="69">
        <f t="shared" si="9"/>
        <v>4989</v>
      </c>
      <c r="R98" s="69"/>
      <c r="S98" s="71"/>
    </row>
    <row r="99" spans="1:19" x14ac:dyDescent="0.3">
      <c r="A99" s="67" t="s">
        <v>254</v>
      </c>
      <c r="C99" s="68">
        <v>2987</v>
      </c>
      <c r="D99" s="65">
        <v>0.23</v>
      </c>
      <c r="E99" s="70">
        <f t="shared" si="6"/>
        <v>157.55000000000001</v>
      </c>
      <c r="F99" s="68">
        <f t="shared" si="7"/>
        <v>3144.55</v>
      </c>
      <c r="G99" t="s">
        <v>266</v>
      </c>
      <c r="H99" s="69">
        <f>AVERAGE(F97:F99)</f>
        <v>3223.2833333333333</v>
      </c>
      <c r="I99" s="70">
        <f>H99/$F$7</f>
        <v>32.009526587087088</v>
      </c>
      <c r="K99" s="67" t="s">
        <v>254</v>
      </c>
      <c r="M99" s="68">
        <v>4229</v>
      </c>
      <c r="N99" s="65">
        <v>0.23</v>
      </c>
      <c r="O99" s="70">
        <f t="shared" si="8"/>
        <v>349.6</v>
      </c>
      <c r="P99" s="69">
        <f t="shared" si="9"/>
        <v>4578.6000000000004</v>
      </c>
      <c r="Q99" t="s">
        <v>266</v>
      </c>
      <c r="R99" s="69">
        <f>AVERAGE(P97:P99)</f>
        <v>4809.4000000000005</v>
      </c>
      <c r="S99" s="70">
        <f>R99/$F$7</f>
        <v>47.76080823423424</v>
      </c>
    </row>
    <row r="100" spans="1:19" x14ac:dyDescent="0.3">
      <c r="A100" s="67" t="s">
        <v>255</v>
      </c>
      <c r="C100" s="68">
        <v>3144</v>
      </c>
      <c r="D100" s="65">
        <v>0.28000000000000003</v>
      </c>
      <c r="E100" s="70">
        <f t="shared" si="6"/>
        <v>191.8</v>
      </c>
      <c r="F100" s="68">
        <f t="shared" si="7"/>
        <v>3335.8</v>
      </c>
      <c r="H100" s="69"/>
      <c r="I100" s="71"/>
      <c r="K100" s="67" t="s">
        <v>255</v>
      </c>
      <c r="M100" s="68">
        <v>4702</v>
      </c>
      <c r="N100" s="65">
        <v>0.28000000000000003</v>
      </c>
      <c r="O100" s="70">
        <f t="shared" si="8"/>
        <v>425.6</v>
      </c>
      <c r="P100" s="69">
        <f t="shared" si="9"/>
        <v>5127.6000000000004</v>
      </c>
      <c r="R100" s="69"/>
      <c r="S100" s="71"/>
    </row>
    <row r="101" spans="1:19" x14ac:dyDescent="0.3">
      <c r="A101" s="67" t="s">
        <v>256</v>
      </c>
      <c r="C101" s="68">
        <v>3144</v>
      </c>
      <c r="D101" s="65">
        <v>0.36</v>
      </c>
      <c r="E101" s="70">
        <f t="shared" si="6"/>
        <v>246.6</v>
      </c>
      <c r="F101" s="68">
        <f t="shared" si="7"/>
        <v>3390.6</v>
      </c>
      <c r="H101" s="69"/>
      <c r="I101" s="71"/>
      <c r="K101" s="67" t="s">
        <v>256</v>
      </c>
      <c r="M101" s="68">
        <v>4702</v>
      </c>
      <c r="N101" s="65">
        <v>0.36</v>
      </c>
      <c r="O101" s="70">
        <f t="shared" si="8"/>
        <v>547.19999999999993</v>
      </c>
      <c r="P101" s="69">
        <f t="shared" si="9"/>
        <v>5249.2</v>
      </c>
      <c r="R101" s="69"/>
      <c r="S101" s="71"/>
    </row>
    <row r="102" spans="1:19" x14ac:dyDescent="0.3">
      <c r="A102" s="67" t="s">
        <v>257</v>
      </c>
      <c r="C102" s="68">
        <v>3144</v>
      </c>
      <c r="D102" s="65">
        <v>0.4</v>
      </c>
      <c r="E102" s="70">
        <f t="shared" si="6"/>
        <v>274</v>
      </c>
      <c r="F102" s="68">
        <f t="shared" si="7"/>
        <v>3418</v>
      </c>
      <c r="G102" t="s">
        <v>267</v>
      </c>
      <c r="H102" s="69">
        <f>AVERAGE(F100:F102)</f>
        <v>3381.4666666666667</v>
      </c>
      <c r="I102" s="70">
        <f>H102/$F$7</f>
        <v>33.580401093093094</v>
      </c>
      <c r="K102" s="67" t="s">
        <v>257</v>
      </c>
      <c r="M102" s="68">
        <v>4702</v>
      </c>
      <c r="N102" s="65">
        <v>0.4</v>
      </c>
      <c r="O102" s="70">
        <f t="shared" si="8"/>
        <v>608</v>
      </c>
      <c r="P102" s="69">
        <f t="shared" si="9"/>
        <v>5310</v>
      </c>
      <c r="Q102" t="s">
        <v>267</v>
      </c>
      <c r="R102" s="69">
        <f>AVERAGE(P100:P102)</f>
        <v>5228.9333333333334</v>
      </c>
      <c r="S102" s="70">
        <f>R102/$F$7</f>
        <v>51.9270766006006</v>
      </c>
    </row>
    <row r="103" spans="1:19" x14ac:dyDescent="0.3">
      <c r="A103" s="67" t="s">
        <v>258</v>
      </c>
      <c r="C103" s="68">
        <v>3144</v>
      </c>
      <c r="D103" s="65">
        <v>0.39</v>
      </c>
      <c r="E103" s="70">
        <f t="shared" si="6"/>
        <v>267.15000000000003</v>
      </c>
      <c r="F103" s="68">
        <f t="shared" si="7"/>
        <v>3411.15</v>
      </c>
      <c r="H103" s="69"/>
      <c r="I103" s="71"/>
      <c r="K103" s="67" t="s">
        <v>258</v>
      </c>
      <c r="M103" s="68">
        <v>4702</v>
      </c>
      <c r="N103" s="65">
        <v>0.39</v>
      </c>
      <c r="O103" s="70">
        <f t="shared" si="8"/>
        <v>592.80000000000007</v>
      </c>
      <c r="P103" s="69">
        <f t="shared" si="9"/>
        <v>5294.8</v>
      </c>
      <c r="R103" s="69"/>
      <c r="S103" s="71"/>
    </row>
    <row r="104" spans="1:19" x14ac:dyDescent="0.3">
      <c r="A104" s="67" t="s">
        <v>259</v>
      </c>
      <c r="C104" s="68">
        <v>3144</v>
      </c>
      <c r="D104" s="65">
        <v>0.36</v>
      </c>
      <c r="E104" s="70">
        <f t="shared" si="6"/>
        <v>246.6</v>
      </c>
      <c r="F104" s="68">
        <f t="shared" si="7"/>
        <v>3390.6</v>
      </c>
      <c r="H104" s="69"/>
      <c r="I104" s="71"/>
      <c r="K104" s="67" t="s">
        <v>259</v>
      </c>
      <c r="M104" s="68">
        <v>4702</v>
      </c>
      <c r="N104" s="65">
        <v>0.36</v>
      </c>
      <c r="O104" s="70">
        <f t="shared" si="8"/>
        <v>547.19999999999993</v>
      </c>
      <c r="P104" s="69">
        <f t="shared" si="9"/>
        <v>5249.2</v>
      </c>
      <c r="R104" s="69"/>
      <c r="S104" s="71"/>
    </row>
    <row r="105" spans="1:19" x14ac:dyDescent="0.3">
      <c r="A105" s="67" t="s">
        <v>260</v>
      </c>
      <c r="C105" s="68">
        <v>3144</v>
      </c>
      <c r="D105" s="65">
        <v>0.36</v>
      </c>
      <c r="E105" s="70">
        <f t="shared" si="6"/>
        <v>246.6</v>
      </c>
      <c r="F105" s="68">
        <f t="shared" si="7"/>
        <v>3390.6</v>
      </c>
      <c r="G105" t="s">
        <v>268</v>
      </c>
      <c r="H105" s="69">
        <f>AVERAGE(F103:F105)</f>
        <v>3397.4500000000003</v>
      </c>
      <c r="I105" s="70">
        <f>H105/$F$7</f>
        <v>33.739127112612614</v>
      </c>
      <c r="K105" s="67" t="s">
        <v>260</v>
      </c>
      <c r="M105" s="68">
        <v>4702</v>
      </c>
      <c r="N105" s="65">
        <v>0.36</v>
      </c>
      <c r="O105" s="70">
        <f t="shared" si="8"/>
        <v>547.19999999999993</v>
      </c>
      <c r="P105" s="69">
        <f t="shared" si="9"/>
        <v>5249.2</v>
      </c>
      <c r="Q105" t="s">
        <v>268</v>
      </c>
      <c r="R105" s="69">
        <f>AVERAGE(P103:P105)</f>
        <v>5264.4000000000005</v>
      </c>
      <c r="S105" s="70">
        <f>R105/$F$7</f>
        <v>52.279286162162165</v>
      </c>
    </row>
    <row r="106" spans="1:19" x14ac:dyDescent="0.3">
      <c r="A106" s="67" t="s">
        <v>261</v>
      </c>
      <c r="C106" s="68">
        <v>3144</v>
      </c>
      <c r="D106" s="65">
        <v>0.35</v>
      </c>
      <c r="E106" s="70">
        <f t="shared" si="6"/>
        <v>239.74999999999997</v>
      </c>
      <c r="F106" s="68">
        <f t="shared" si="7"/>
        <v>3383.75</v>
      </c>
      <c r="H106" s="69"/>
      <c r="I106" s="71"/>
      <c r="K106" s="67" t="s">
        <v>261</v>
      </c>
      <c r="M106" s="68">
        <v>4702</v>
      </c>
      <c r="N106" s="65">
        <v>0.35</v>
      </c>
      <c r="O106" s="70">
        <f t="shared" si="8"/>
        <v>532</v>
      </c>
      <c r="P106" s="69">
        <f t="shared" si="9"/>
        <v>5234</v>
      </c>
      <c r="R106" s="69"/>
      <c r="S106" s="71"/>
    </row>
    <row r="107" spans="1:19" x14ac:dyDescent="0.3">
      <c r="A107" s="67" t="s">
        <v>262</v>
      </c>
      <c r="C107" s="68">
        <v>3144</v>
      </c>
      <c r="D107" s="65">
        <v>0.34</v>
      </c>
      <c r="E107" s="70">
        <f t="shared" si="6"/>
        <v>232.9</v>
      </c>
      <c r="F107" s="68">
        <f t="shared" si="7"/>
        <v>3376.9</v>
      </c>
      <c r="H107" s="69"/>
      <c r="I107" s="71"/>
      <c r="K107" s="67" t="s">
        <v>262</v>
      </c>
      <c r="M107" s="68">
        <v>4702</v>
      </c>
      <c r="N107" s="65">
        <v>0.34</v>
      </c>
      <c r="O107" s="70">
        <f t="shared" si="8"/>
        <v>516.80000000000007</v>
      </c>
      <c r="P107" s="69">
        <f t="shared" si="9"/>
        <v>5218.8</v>
      </c>
      <c r="R107" s="69"/>
      <c r="S107" s="71"/>
    </row>
    <row r="108" spans="1:19" x14ac:dyDescent="0.3">
      <c r="A108" s="67" t="s">
        <v>263</v>
      </c>
      <c r="C108" s="68">
        <v>3144</v>
      </c>
      <c r="D108" s="65">
        <v>0.33</v>
      </c>
      <c r="E108" s="70">
        <f t="shared" si="6"/>
        <v>226.05</v>
      </c>
      <c r="F108" s="68">
        <f t="shared" si="7"/>
        <v>3370.05</v>
      </c>
      <c r="G108" t="s">
        <v>270</v>
      </c>
      <c r="H108" s="69">
        <f>AVERAGE(F106:F108)</f>
        <v>3376.9</v>
      </c>
      <c r="I108" s="70">
        <f>H108/$F$7</f>
        <v>33.535050801801802</v>
      </c>
      <c r="K108" s="67" t="s">
        <v>263</v>
      </c>
      <c r="M108" s="68">
        <v>4702</v>
      </c>
      <c r="N108" s="65">
        <v>0.33</v>
      </c>
      <c r="O108" s="70">
        <f t="shared" si="8"/>
        <v>501.6</v>
      </c>
      <c r="P108" s="69">
        <f t="shared" si="9"/>
        <v>5203.6000000000004</v>
      </c>
      <c r="Q108" t="s">
        <v>270</v>
      </c>
      <c r="R108" s="69">
        <f>AVERAGE(P106:P108)</f>
        <v>5218.8</v>
      </c>
      <c r="S108" s="70">
        <f>R108/$F$7</f>
        <v>51.826445297297298</v>
      </c>
    </row>
    <row r="109" spans="1:19" x14ac:dyDescent="0.3">
      <c r="A109" s="67" t="s">
        <v>276</v>
      </c>
      <c r="C109" s="68">
        <v>3144</v>
      </c>
      <c r="D109" s="65">
        <v>0.37</v>
      </c>
      <c r="E109" s="70">
        <f t="shared" si="6"/>
        <v>253.45</v>
      </c>
      <c r="F109" s="68">
        <f t="shared" si="7"/>
        <v>3397.45</v>
      </c>
      <c r="H109" s="69"/>
      <c r="I109" s="70"/>
      <c r="K109" s="67" t="s">
        <v>276</v>
      </c>
      <c r="M109" s="68">
        <v>4702</v>
      </c>
      <c r="N109" s="65">
        <v>0.37</v>
      </c>
      <c r="O109" s="70">
        <f t="shared" si="8"/>
        <v>562.4</v>
      </c>
      <c r="P109" s="69">
        <f t="shared" si="9"/>
        <v>5264.4</v>
      </c>
      <c r="R109" s="69"/>
      <c r="S109" s="70"/>
    </row>
    <row r="110" spans="1:19" x14ac:dyDescent="0.3">
      <c r="A110" s="67" t="s">
        <v>277</v>
      </c>
      <c r="C110" s="68">
        <v>3247</v>
      </c>
      <c r="D110" s="65">
        <v>0.35</v>
      </c>
      <c r="E110" s="70">
        <f t="shared" si="6"/>
        <v>239.74999999999997</v>
      </c>
      <c r="F110" s="68">
        <f t="shared" si="7"/>
        <v>3486.75</v>
      </c>
      <c r="H110" s="69"/>
      <c r="I110" s="70"/>
      <c r="K110" s="67" t="s">
        <v>277</v>
      </c>
      <c r="M110" s="68">
        <v>4832</v>
      </c>
      <c r="N110" s="65">
        <v>0.35</v>
      </c>
      <c r="O110" s="70">
        <f t="shared" si="8"/>
        <v>532</v>
      </c>
      <c r="P110" s="69">
        <f t="shared" si="9"/>
        <v>5364</v>
      </c>
      <c r="R110" s="69"/>
      <c r="S110" s="70"/>
    </row>
    <row r="111" spans="1:19" x14ac:dyDescent="0.3">
      <c r="A111" s="67" t="s">
        <v>278</v>
      </c>
      <c r="C111" s="68">
        <v>3247</v>
      </c>
      <c r="D111" s="65">
        <v>0.34</v>
      </c>
      <c r="E111" s="70">
        <f t="shared" si="6"/>
        <v>232.9</v>
      </c>
      <c r="F111" s="68">
        <f t="shared" si="7"/>
        <v>3479.9</v>
      </c>
      <c r="G111" t="s">
        <v>279</v>
      </c>
      <c r="H111" s="69">
        <f>AVERAGE(F109:F111)</f>
        <v>3454.7000000000003</v>
      </c>
      <c r="I111" s="70">
        <f>H111/$F$7</f>
        <v>34.307660873873878</v>
      </c>
      <c r="K111" s="67" t="s">
        <v>278</v>
      </c>
      <c r="M111" s="68">
        <v>4832</v>
      </c>
      <c r="N111" s="65">
        <v>0.34</v>
      </c>
      <c r="O111" s="70">
        <f t="shared" si="8"/>
        <v>516.80000000000007</v>
      </c>
      <c r="P111" s="69">
        <f t="shared" si="9"/>
        <v>5348.8</v>
      </c>
      <c r="Q111" t="s">
        <v>279</v>
      </c>
      <c r="R111" s="69">
        <f>AVERAGE(P109:P111)</f>
        <v>5325.7333333333336</v>
      </c>
      <c r="S111" s="70">
        <f>R111/$F$7</f>
        <v>52.888370366366367</v>
      </c>
    </row>
    <row r="112" spans="1:19" x14ac:dyDescent="0.3">
      <c r="A112" s="67" t="s">
        <v>281</v>
      </c>
      <c r="C112" s="68">
        <v>3247</v>
      </c>
      <c r="D112" s="65">
        <v>0.37</v>
      </c>
      <c r="E112" s="70">
        <f t="shared" si="6"/>
        <v>253.45</v>
      </c>
      <c r="F112" s="68">
        <f t="shared" si="7"/>
        <v>3500.45</v>
      </c>
      <c r="H112" s="69"/>
      <c r="I112" s="70"/>
      <c r="K112" s="67" t="s">
        <v>281</v>
      </c>
      <c r="M112" s="68">
        <v>4832</v>
      </c>
      <c r="N112" s="65">
        <v>0.37</v>
      </c>
      <c r="O112" s="70">
        <f t="shared" si="8"/>
        <v>562.4</v>
      </c>
      <c r="P112" s="69">
        <f t="shared" si="9"/>
        <v>5394.4</v>
      </c>
      <c r="R112" s="69"/>
      <c r="S112" s="70"/>
    </row>
    <row r="113" spans="1:19" x14ac:dyDescent="0.3">
      <c r="A113" s="67" t="s">
        <v>282</v>
      </c>
      <c r="C113" s="68">
        <v>3247</v>
      </c>
      <c r="D113" s="65">
        <v>0.41</v>
      </c>
      <c r="E113" s="70">
        <f t="shared" si="6"/>
        <v>280.84999999999997</v>
      </c>
      <c r="F113" s="68">
        <f t="shared" si="7"/>
        <v>3527.85</v>
      </c>
      <c r="H113" s="69"/>
      <c r="I113" s="70"/>
      <c r="K113" s="67" t="s">
        <v>282</v>
      </c>
      <c r="M113" s="68">
        <v>4832</v>
      </c>
      <c r="N113" s="65">
        <v>0.41</v>
      </c>
      <c r="O113" s="70">
        <f t="shared" si="8"/>
        <v>623.19999999999993</v>
      </c>
      <c r="P113" s="69">
        <f t="shared" si="9"/>
        <v>5455.2</v>
      </c>
      <c r="R113" s="69"/>
      <c r="S113" s="70"/>
    </row>
    <row r="114" spans="1:19" x14ac:dyDescent="0.3">
      <c r="A114" s="67" t="s">
        <v>283</v>
      </c>
      <c r="C114" s="68">
        <v>3634</v>
      </c>
      <c r="D114" s="65">
        <v>0.41</v>
      </c>
      <c r="E114" s="70">
        <f t="shared" si="6"/>
        <v>280.84999999999997</v>
      </c>
      <c r="F114" s="68">
        <f t="shared" si="7"/>
        <v>3914.85</v>
      </c>
      <c r="G114" t="s">
        <v>289</v>
      </c>
      <c r="H114" s="69">
        <f>AVERAGE(F112:F114)</f>
        <v>3647.7166666666667</v>
      </c>
      <c r="I114" s="70">
        <f>H114/$F$7</f>
        <v>36.224455484984986</v>
      </c>
      <c r="K114" s="67" t="s">
        <v>283</v>
      </c>
      <c r="M114" s="68">
        <v>4832</v>
      </c>
      <c r="N114" s="65">
        <v>0.41</v>
      </c>
      <c r="O114" s="70">
        <f t="shared" si="8"/>
        <v>623.19999999999993</v>
      </c>
      <c r="P114" s="69">
        <f t="shared" si="9"/>
        <v>5455.2</v>
      </c>
      <c r="Q114" t="s">
        <v>289</v>
      </c>
      <c r="R114" s="69">
        <f>AVERAGE(P112:P114)</f>
        <v>5434.9333333333334</v>
      </c>
      <c r="S114" s="70">
        <f>R114/$F$7</f>
        <v>53.972805069069068</v>
      </c>
    </row>
    <row r="115" spans="1:19" x14ac:dyDescent="0.3">
      <c r="A115" s="67" t="s">
        <v>284</v>
      </c>
      <c r="C115" s="68">
        <v>3634</v>
      </c>
      <c r="D115" s="65">
        <v>0.37</v>
      </c>
      <c r="E115" s="70">
        <f t="shared" si="6"/>
        <v>253.45</v>
      </c>
      <c r="F115" s="68">
        <f t="shared" si="7"/>
        <v>3887.45</v>
      </c>
      <c r="H115" s="69"/>
      <c r="I115" s="70"/>
      <c r="K115" s="67" t="s">
        <v>284</v>
      </c>
      <c r="M115" s="68">
        <v>4832</v>
      </c>
      <c r="N115" s="65">
        <v>0.37</v>
      </c>
      <c r="O115" s="70">
        <f t="shared" si="8"/>
        <v>562.4</v>
      </c>
      <c r="P115" s="69">
        <f t="shared" si="9"/>
        <v>5394.4</v>
      </c>
      <c r="R115" s="69"/>
      <c r="S115" s="70"/>
    </row>
    <row r="116" spans="1:19" x14ac:dyDescent="0.3">
      <c r="A116" s="67" t="s">
        <v>285</v>
      </c>
      <c r="C116" s="68">
        <v>3634</v>
      </c>
      <c r="D116" s="65">
        <v>0.32</v>
      </c>
      <c r="E116" s="70">
        <f t="shared" si="6"/>
        <v>219.20000000000002</v>
      </c>
      <c r="F116" s="68">
        <f t="shared" si="7"/>
        <v>3853.2</v>
      </c>
      <c r="H116" s="69"/>
      <c r="I116" s="70"/>
      <c r="K116" s="67" t="s">
        <v>285</v>
      </c>
      <c r="M116" s="68">
        <v>4963</v>
      </c>
      <c r="N116" s="65">
        <v>0.32</v>
      </c>
      <c r="O116" s="70">
        <f t="shared" si="8"/>
        <v>486.40000000000003</v>
      </c>
      <c r="P116" s="69">
        <f t="shared" si="9"/>
        <v>5449.4</v>
      </c>
      <c r="R116" s="69"/>
      <c r="S116" s="70"/>
    </row>
    <row r="117" spans="1:19" x14ac:dyDescent="0.3">
      <c r="A117" s="67" t="s">
        <v>286</v>
      </c>
      <c r="C117" s="68">
        <v>3634</v>
      </c>
      <c r="D117" s="65">
        <v>0.31</v>
      </c>
      <c r="E117" s="70">
        <f t="shared" ref="E117:E120" si="10">$C$70*D117</f>
        <v>212.35</v>
      </c>
      <c r="F117" s="68">
        <f t="shared" ref="F117:F120" si="11">C117+E117</f>
        <v>3846.35</v>
      </c>
      <c r="G117" t="s">
        <v>290</v>
      </c>
      <c r="H117" s="69">
        <f>AVERAGE(F115:F117)</f>
        <v>3862.3333333333335</v>
      </c>
      <c r="I117" s="70">
        <f>H117/$F$7</f>
        <v>38.355753663663663</v>
      </c>
      <c r="K117" s="67" t="s">
        <v>286</v>
      </c>
      <c r="M117" s="68">
        <v>4963</v>
      </c>
      <c r="N117" s="65">
        <v>0.31</v>
      </c>
      <c r="O117" s="70">
        <f t="shared" ref="O117:O120" si="12">$M$70*N117</f>
        <v>471.2</v>
      </c>
      <c r="P117" s="69">
        <f t="shared" ref="P117:P120" si="13">M117+O117</f>
        <v>5434.2</v>
      </c>
      <c r="Q117" t="s">
        <v>290</v>
      </c>
      <c r="R117" s="69">
        <f>AVERAGE(P115:P117)</f>
        <v>5426</v>
      </c>
      <c r="S117" s="70">
        <f>R117/$F$7</f>
        <v>53.884090630630631</v>
      </c>
    </row>
    <row r="118" spans="1:19" x14ac:dyDescent="0.3">
      <c r="A118" s="67" t="s">
        <v>280</v>
      </c>
      <c r="C118" s="68">
        <v>3634</v>
      </c>
      <c r="D118" s="65">
        <v>0.38</v>
      </c>
      <c r="E118" s="70">
        <f t="shared" si="10"/>
        <v>260.3</v>
      </c>
      <c r="F118" s="68">
        <f t="shared" si="11"/>
        <v>3894.3</v>
      </c>
      <c r="H118" s="69"/>
      <c r="I118" s="70"/>
      <c r="K118" s="67" t="s">
        <v>280</v>
      </c>
      <c r="M118" s="68">
        <v>4963</v>
      </c>
      <c r="N118" s="65">
        <v>0.38</v>
      </c>
      <c r="O118" s="70">
        <f t="shared" si="12"/>
        <v>577.6</v>
      </c>
      <c r="P118" s="69">
        <f t="shared" si="13"/>
        <v>5540.6</v>
      </c>
      <c r="R118" s="69"/>
      <c r="S118" s="70"/>
    </row>
    <row r="119" spans="1:19" x14ac:dyDescent="0.3">
      <c r="A119" s="67" t="s">
        <v>287</v>
      </c>
      <c r="C119" s="68">
        <v>3634</v>
      </c>
      <c r="D119" s="65">
        <v>0.41</v>
      </c>
      <c r="E119" s="70">
        <f t="shared" si="10"/>
        <v>280.84999999999997</v>
      </c>
      <c r="F119" s="68">
        <f t="shared" si="11"/>
        <v>3914.85</v>
      </c>
      <c r="H119" s="69"/>
      <c r="I119" s="70"/>
      <c r="K119" s="67" t="s">
        <v>287</v>
      </c>
      <c r="M119" s="68">
        <v>4963</v>
      </c>
      <c r="N119" s="65">
        <v>0.41</v>
      </c>
      <c r="O119" s="70">
        <f t="shared" si="12"/>
        <v>623.19999999999993</v>
      </c>
      <c r="P119" s="69">
        <f t="shared" si="13"/>
        <v>5586.2</v>
      </c>
      <c r="R119" s="69"/>
      <c r="S119" s="70"/>
    </row>
    <row r="120" spans="1:19" x14ac:dyDescent="0.3">
      <c r="A120" s="67" t="s">
        <v>288</v>
      </c>
      <c r="C120" s="68">
        <v>3634</v>
      </c>
      <c r="D120" s="65">
        <v>0.4</v>
      </c>
      <c r="E120" s="70">
        <f t="shared" si="10"/>
        <v>274</v>
      </c>
      <c r="F120" s="68">
        <f t="shared" si="11"/>
        <v>3908</v>
      </c>
      <c r="G120" t="s">
        <v>291</v>
      </c>
      <c r="H120" s="69">
        <f>AVERAGE(F118:F120)</f>
        <v>3905.7166666666667</v>
      </c>
      <c r="I120" s="70">
        <f>H120/$F$7</f>
        <v>38.78658143093093</v>
      </c>
      <c r="K120" s="67" t="s">
        <v>288</v>
      </c>
      <c r="M120" s="68">
        <v>4963</v>
      </c>
      <c r="N120" s="65">
        <v>0.4</v>
      </c>
      <c r="O120" s="70">
        <f t="shared" si="12"/>
        <v>608</v>
      </c>
      <c r="P120" s="69">
        <f t="shared" si="13"/>
        <v>5571</v>
      </c>
      <c r="Q120" t="s">
        <v>291</v>
      </c>
      <c r="R120" s="69">
        <f>AVERAGE(P118:P120)</f>
        <v>5565.9333333333334</v>
      </c>
      <c r="S120" s="70">
        <f>R120/$F$7</f>
        <v>55.273729483483478</v>
      </c>
    </row>
    <row r="121" spans="1:19" x14ac:dyDescent="0.3">
      <c r="A121" s="67"/>
      <c r="C121" s="68"/>
      <c r="D121" s="65"/>
      <c r="E121" s="70"/>
      <c r="F121" s="68"/>
      <c r="H121" s="69"/>
      <c r="I121" s="70"/>
      <c r="K121" s="67"/>
      <c r="M121" s="68"/>
      <c r="N121" s="65"/>
      <c r="O121" s="70"/>
      <c r="P121" s="69"/>
      <c r="R121" s="69"/>
      <c r="S121" s="70"/>
    </row>
    <row r="122" spans="1:19" x14ac:dyDescent="0.3">
      <c r="A122" s="67"/>
      <c r="C122" s="68"/>
      <c r="D122" s="65"/>
      <c r="E122" s="70"/>
      <c r="F122" s="68"/>
      <c r="H122" s="69"/>
      <c r="I122" s="70"/>
      <c r="K122" s="67"/>
      <c r="M122" s="68"/>
      <c r="N122" s="65"/>
      <c r="O122" s="70"/>
      <c r="P122" s="69"/>
      <c r="R122" s="69"/>
      <c r="S122" s="70"/>
    </row>
    <row r="123" spans="1:19" x14ac:dyDescent="0.3">
      <c r="M123" s="68"/>
    </row>
    <row r="126" spans="1:19" x14ac:dyDescent="0.3">
      <c r="A126" t="s">
        <v>188</v>
      </c>
      <c r="K126" t="s">
        <v>242</v>
      </c>
    </row>
    <row r="127" spans="1:19" x14ac:dyDescent="0.3">
      <c r="A127" s="62" t="s">
        <v>115</v>
      </c>
      <c r="B127" s="62" t="s">
        <v>189</v>
      </c>
      <c r="C127" s="62" t="s">
        <v>126</v>
      </c>
      <c r="D127" s="62"/>
      <c r="K127" s="62" t="s">
        <v>240</v>
      </c>
    </row>
    <row r="128" spans="1:19" x14ac:dyDescent="0.3">
      <c r="A128" t="s">
        <v>238</v>
      </c>
      <c r="C128" t="s">
        <v>239</v>
      </c>
      <c r="K128" t="s">
        <v>241</v>
      </c>
    </row>
    <row r="129" spans="1:19" x14ac:dyDescent="0.3">
      <c r="A129" s="81" t="s">
        <v>109</v>
      </c>
      <c r="K129" s="81" t="s">
        <v>109</v>
      </c>
    </row>
    <row r="130" spans="1:19" x14ac:dyDescent="0.3">
      <c r="A130" t="s">
        <v>250</v>
      </c>
      <c r="E130" t="s">
        <v>229</v>
      </c>
      <c r="F130" s="70">
        <f>111/1.10231</f>
        <v>100.69762589471202</v>
      </c>
      <c r="G130" t="s">
        <v>228</v>
      </c>
      <c r="K130" t="s">
        <v>250</v>
      </c>
    </row>
    <row r="131" spans="1:19" x14ac:dyDescent="0.3">
      <c r="A131" t="s">
        <v>191</v>
      </c>
      <c r="K131" t="s">
        <v>191</v>
      </c>
    </row>
    <row r="132" spans="1:19" x14ac:dyDescent="0.3">
      <c r="A132" t="s">
        <v>192</v>
      </c>
      <c r="C132">
        <v>1583</v>
      </c>
      <c r="K132" t="s">
        <v>192</v>
      </c>
      <c r="M132">
        <v>1599</v>
      </c>
    </row>
    <row r="133" spans="1:19" x14ac:dyDescent="0.3">
      <c r="D133" t="s">
        <v>195</v>
      </c>
      <c r="E133" t="s">
        <v>195</v>
      </c>
      <c r="F133" t="s">
        <v>219</v>
      </c>
      <c r="H133" t="s">
        <v>230</v>
      </c>
      <c r="N133" t="s">
        <v>195</v>
      </c>
      <c r="O133" t="s">
        <v>195</v>
      </c>
      <c r="P133" t="s">
        <v>219</v>
      </c>
      <c r="R133" t="s">
        <v>230</v>
      </c>
    </row>
    <row r="134" spans="1:19" ht="15" thickBot="1" x14ac:dyDescent="0.35">
      <c r="A134" s="66" t="s">
        <v>193</v>
      </c>
      <c r="B134" s="66"/>
      <c r="C134" s="66" t="s">
        <v>194</v>
      </c>
      <c r="D134" s="66" t="s">
        <v>196</v>
      </c>
      <c r="E134" s="66" t="s">
        <v>218</v>
      </c>
      <c r="F134" s="66" t="s">
        <v>195</v>
      </c>
      <c r="H134" s="66" t="s">
        <v>231</v>
      </c>
      <c r="I134" s="66" t="s">
        <v>227</v>
      </c>
      <c r="K134" s="66" t="s">
        <v>193</v>
      </c>
      <c r="L134" s="66"/>
      <c r="M134" s="66" t="s">
        <v>194</v>
      </c>
      <c r="N134" s="66" t="s">
        <v>196</v>
      </c>
      <c r="O134" s="66" t="s">
        <v>218</v>
      </c>
      <c r="P134" s="66" t="s">
        <v>195</v>
      </c>
      <c r="R134" s="66" t="s">
        <v>231</v>
      </c>
      <c r="S134" s="66" t="s">
        <v>227</v>
      </c>
    </row>
    <row r="135" spans="1:19" x14ac:dyDescent="0.3">
      <c r="A135" s="67" t="s">
        <v>197</v>
      </c>
      <c r="C135" s="68">
        <v>4773</v>
      </c>
      <c r="D135" s="65">
        <v>0.41</v>
      </c>
      <c r="E135" s="70">
        <f>$C$132*D135</f>
        <v>649.03</v>
      </c>
      <c r="F135" s="69">
        <f>C135+E135</f>
        <v>5422.03</v>
      </c>
      <c r="K135" s="67" t="s">
        <v>197</v>
      </c>
      <c r="M135" s="68">
        <v>4238</v>
      </c>
      <c r="N135" s="65">
        <v>0.16</v>
      </c>
      <c r="O135" s="72">
        <f>N135*$M$132</f>
        <v>255.84</v>
      </c>
      <c r="P135" s="68">
        <f t="shared" ref="P135:P140" si="14">M135+O135</f>
        <v>4493.84</v>
      </c>
    </row>
    <row r="136" spans="1:19" x14ac:dyDescent="0.3">
      <c r="A136" s="67" t="s">
        <v>198</v>
      </c>
      <c r="C136" s="68">
        <v>4773</v>
      </c>
      <c r="D136" s="65">
        <v>0.3</v>
      </c>
      <c r="E136" s="70">
        <f t="shared" ref="E136:E178" si="15">$C$132*D136</f>
        <v>474.9</v>
      </c>
      <c r="F136" s="69">
        <f t="shared" ref="F136:F178" si="16">C136+E136</f>
        <v>5247.9</v>
      </c>
      <c r="K136" s="67" t="s">
        <v>198</v>
      </c>
      <c r="M136" s="68">
        <v>4238</v>
      </c>
      <c r="N136" s="65">
        <v>7.0000000000000007E-2</v>
      </c>
      <c r="O136" s="72">
        <f t="shared" ref="O136:O182" si="17">N136*$M$132</f>
        <v>111.93</v>
      </c>
      <c r="P136" s="68">
        <f t="shared" si="14"/>
        <v>4349.93</v>
      </c>
    </row>
    <row r="137" spans="1:19" x14ac:dyDescent="0.3">
      <c r="A137" s="67" t="s">
        <v>199</v>
      </c>
      <c r="C137" s="68">
        <v>4773</v>
      </c>
      <c r="D137" s="65">
        <v>0.27</v>
      </c>
      <c r="E137" s="70">
        <f t="shared" si="15"/>
        <v>427.41</v>
      </c>
      <c r="F137" s="69">
        <f t="shared" si="16"/>
        <v>5200.41</v>
      </c>
      <c r="G137" t="s">
        <v>220</v>
      </c>
      <c r="H137" s="69">
        <f>AVERAGE(F135:F137)</f>
        <v>5290.1133333333337</v>
      </c>
      <c r="I137" s="71">
        <f>H137/$F$130</f>
        <v>52.534638094294294</v>
      </c>
      <c r="K137" s="67" t="s">
        <v>199</v>
      </c>
      <c r="M137" s="68">
        <v>4238</v>
      </c>
      <c r="N137" s="65">
        <v>0</v>
      </c>
      <c r="O137" s="72">
        <f t="shared" si="17"/>
        <v>0</v>
      </c>
      <c r="P137" s="68">
        <f t="shared" si="14"/>
        <v>4238</v>
      </c>
      <c r="Q137" t="s">
        <v>220</v>
      </c>
      <c r="R137" s="69">
        <f>AVERAGE(P135:P137)</f>
        <v>4360.59</v>
      </c>
      <c r="S137" s="71">
        <f>R137/$F$130</f>
        <v>43.303801467567567</v>
      </c>
    </row>
    <row r="138" spans="1:19" x14ac:dyDescent="0.3">
      <c r="A138" s="67" t="s">
        <v>200</v>
      </c>
      <c r="C138" s="68">
        <v>4773</v>
      </c>
      <c r="D138" s="65">
        <v>0.24</v>
      </c>
      <c r="E138" s="70">
        <f t="shared" si="15"/>
        <v>379.91999999999996</v>
      </c>
      <c r="F138" s="69">
        <f t="shared" si="16"/>
        <v>5152.92</v>
      </c>
      <c r="K138" s="67" t="s">
        <v>200</v>
      </c>
      <c r="M138" s="68">
        <v>4238</v>
      </c>
      <c r="N138" s="65">
        <v>0</v>
      </c>
      <c r="O138" s="72">
        <f t="shared" si="17"/>
        <v>0</v>
      </c>
      <c r="P138" s="68">
        <f t="shared" si="14"/>
        <v>4238</v>
      </c>
    </row>
    <row r="139" spans="1:19" x14ac:dyDescent="0.3">
      <c r="A139" s="67" t="s">
        <v>201</v>
      </c>
      <c r="C139" s="68">
        <v>4773</v>
      </c>
      <c r="D139" s="65">
        <v>0.22</v>
      </c>
      <c r="E139" s="70">
        <f t="shared" si="15"/>
        <v>348.26</v>
      </c>
      <c r="F139" s="69">
        <f t="shared" si="16"/>
        <v>5121.26</v>
      </c>
      <c r="K139" s="67" t="s">
        <v>201</v>
      </c>
      <c r="M139" s="68">
        <v>4238</v>
      </c>
      <c r="N139" s="65">
        <v>0</v>
      </c>
      <c r="O139" s="72">
        <f t="shared" si="17"/>
        <v>0</v>
      </c>
      <c r="P139" s="68">
        <f t="shared" si="14"/>
        <v>4238</v>
      </c>
    </row>
    <row r="140" spans="1:19" x14ac:dyDescent="0.3">
      <c r="A140" s="67" t="s">
        <v>202</v>
      </c>
      <c r="C140" s="68">
        <v>4773</v>
      </c>
      <c r="D140" s="65">
        <v>0.25</v>
      </c>
      <c r="E140" s="70">
        <f t="shared" si="15"/>
        <v>395.75</v>
      </c>
      <c r="F140" s="69">
        <f t="shared" si="16"/>
        <v>5168.75</v>
      </c>
      <c r="G140" t="s">
        <v>222</v>
      </c>
      <c r="H140" s="69">
        <f>AVERAGE(F138:F140)</f>
        <v>5147.6433333333334</v>
      </c>
      <c r="I140" s="71">
        <f>H140/$F$130</f>
        <v>51.119808313213213</v>
      </c>
      <c r="K140" s="67" t="s">
        <v>202</v>
      </c>
      <c r="M140" s="68">
        <v>4238</v>
      </c>
      <c r="N140" s="65">
        <v>0</v>
      </c>
      <c r="O140" s="72">
        <f t="shared" si="17"/>
        <v>0</v>
      </c>
      <c r="P140" s="68">
        <f t="shared" si="14"/>
        <v>4238</v>
      </c>
      <c r="Q140" t="s">
        <v>222</v>
      </c>
      <c r="R140" s="69">
        <f>AVERAGE(P138:P140)</f>
        <v>4238</v>
      </c>
      <c r="S140" s="71">
        <f>R140/$F$130</f>
        <v>42.086394414414414</v>
      </c>
    </row>
    <row r="141" spans="1:19" x14ac:dyDescent="0.3">
      <c r="A141" s="67" t="s">
        <v>203</v>
      </c>
      <c r="C141" s="68">
        <v>4773</v>
      </c>
      <c r="D141" s="65">
        <v>0.25</v>
      </c>
      <c r="E141" s="70">
        <f t="shared" si="15"/>
        <v>395.75</v>
      </c>
      <c r="F141" s="69">
        <f t="shared" si="16"/>
        <v>5168.75</v>
      </c>
      <c r="K141" s="67" t="s">
        <v>203</v>
      </c>
      <c r="M141" s="68">
        <v>4347</v>
      </c>
      <c r="N141" s="65">
        <v>0</v>
      </c>
      <c r="O141" s="72">
        <f t="shared" si="17"/>
        <v>0</v>
      </c>
      <c r="P141" s="68">
        <f>M141+O141</f>
        <v>4347</v>
      </c>
      <c r="R141" s="52"/>
      <c r="S141" s="52"/>
    </row>
    <row r="142" spans="1:19" x14ac:dyDescent="0.3">
      <c r="A142" s="67" t="s">
        <v>204</v>
      </c>
      <c r="C142" s="68">
        <v>4860</v>
      </c>
      <c r="D142" s="65">
        <v>0.32</v>
      </c>
      <c r="E142" s="70">
        <f t="shared" si="15"/>
        <v>506.56</v>
      </c>
      <c r="F142" s="69">
        <f t="shared" si="16"/>
        <v>5366.56</v>
      </c>
      <c r="K142" s="67" t="s">
        <v>204</v>
      </c>
      <c r="M142" s="68">
        <v>4347</v>
      </c>
      <c r="N142" s="65">
        <v>0.09</v>
      </c>
      <c r="O142" s="72">
        <f t="shared" si="17"/>
        <v>143.91</v>
      </c>
      <c r="P142" s="68">
        <f t="shared" ref="P142:P182" si="18">M142+O142</f>
        <v>4490.91</v>
      </c>
    </row>
    <row r="143" spans="1:19" x14ac:dyDescent="0.3">
      <c r="A143" s="67" t="s">
        <v>205</v>
      </c>
      <c r="C143" s="68">
        <v>4860</v>
      </c>
      <c r="D143" s="65">
        <v>0.33</v>
      </c>
      <c r="E143" s="70">
        <f t="shared" si="15"/>
        <v>522.39</v>
      </c>
      <c r="F143" s="69">
        <f t="shared" si="16"/>
        <v>5382.39</v>
      </c>
      <c r="G143" t="s">
        <v>221</v>
      </c>
      <c r="H143" s="69">
        <f>AVERAGE(F141:F143)</f>
        <v>5305.9000000000005</v>
      </c>
      <c r="I143" s="71">
        <f>H143/$F$130</f>
        <v>52.691411072072079</v>
      </c>
      <c r="K143" s="67" t="s">
        <v>205</v>
      </c>
      <c r="M143" s="68">
        <v>4347</v>
      </c>
      <c r="N143" s="65">
        <v>0.09</v>
      </c>
      <c r="O143" s="72">
        <f t="shared" si="17"/>
        <v>143.91</v>
      </c>
      <c r="P143" s="68">
        <f t="shared" si="18"/>
        <v>4490.91</v>
      </c>
      <c r="Q143" t="s">
        <v>221</v>
      </c>
      <c r="R143" s="69">
        <f>AVERAGE(P141:P143)</f>
        <v>4442.9399999999996</v>
      </c>
      <c r="S143" s="71">
        <f>R143/$F$130</f>
        <v>44.121596318918911</v>
      </c>
    </row>
    <row r="144" spans="1:19" x14ac:dyDescent="0.3">
      <c r="A144" s="67" t="s">
        <v>206</v>
      </c>
      <c r="C144" s="68">
        <v>4860</v>
      </c>
      <c r="D144" s="65">
        <v>0.35</v>
      </c>
      <c r="E144" s="70">
        <f t="shared" si="15"/>
        <v>554.04999999999995</v>
      </c>
      <c r="F144" s="69">
        <f t="shared" si="16"/>
        <v>5414.05</v>
      </c>
      <c r="K144" s="67" t="s">
        <v>206</v>
      </c>
      <c r="M144" s="68">
        <v>4347</v>
      </c>
      <c r="N144" s="65">
        <v>0.11</v>
      </c>
      <c r="O144" s="72">
        <f t="shared" si="17"/>
        <v>175.89000000000001</v>
      </c>
      <c r="P144" s="68">
        <f t="shared" si="18"/>
        <v>4522.8900000000003</v>
      </c>
    </row>
    <row r="145" spans="1:19" x14ac:dyDescent="0.3">
      <c r="A145" s="67" t="s">
        <v>207</v>
      </c>
      <c r="C145" s="68">
        <v>4860</v>
      </c>
      <c r="D145" s="65">
        <v>0.35</v>
      </c>
      <c r="E145" s="70">
        <f t="shared" si="15"/>
        <v>554.04999999999995</v>
      </c>
      <c r="F145" s="69">
        <f t="shared" si="16"/>
        <v>5414.05</v>
      </c>
      <c r="K145" s="67" t="s">
        <v>207</v>
      </c>
      <c r="M145" s="68">
        <v>4347</v>
      </c>
      <c r="N145" s="65">
        <v>0.11</v>
      </c>
      <c r="O145" s="72">
        <f t="shared" si="17"/>
        <v>175.89000000000001</v>
      </c>
      <c r="P145" s="68">
        <f t="shared" si="18"/>
        <v>4522.8900000000003</v>
      </c>
    </row>
    <row r="146" spans="1:19" x14ac:dyDescent="0.3">
      <c r="A146" s="67" t="s">
        <v>208</v>
      </c>
      <c r="C146" s="68">
        <v>4860</v>
      </c>
      <c r="D146" s="65">
        <v>0.36</v>
      </c>
      <c r="E146" s="70">
        <f t="shared" si="15"/>
        <v>569.88</v>
      </c>
      <c r="F146" s="69">
        <f t="shared" si="16"/>
        <v>5429.88</v>
      </c>
      <c r="G146" t="s">
        <v>223</v>
      </c>
      <c r="H146" s="69">
        <f>AVERAGE(F144:F146)</f>
        <v>5419.3266666666668</v>
      </c>
      <c r="I146" s="71">
        <f>H146/$F$130</f>
        <v>53.817819621021023</v>
      </c>
      <c r="K146" s="67" t="s">
        <v>208</v>
      </c>
      <c r="M146" s="68">
        <v>4347</v>
      </c>
      <c r="N146" s="65">
        <v>0.12</v>
      </c>
      <c r="O146" s="72">
        <f t="shared" si="17"/>
        <v>191.88</v>
      </c>
      <c r="P146" s="68">
        <f t="shared" si="18"/>
        <v>4538.88</v>
      </c>
      <c r="Q146" t="s">
        <v>223</v>
      </c>
      <c r="R146" s="69">
        <f>AVERAGE(P144:P146)</f>
        <v>4528.22</v>
      </c>
      <c r="S146" s="71">
        <f>R146/$F$130</f>
        <v>44.968488181981982</v>
      </c>
    </row>
    <row r="147" spans="1:19" x14ac:dyDescent="0.3">
      <c r="A147" s="67" t="s">
        <v>209</v>
      </c>
      <c r="C147" s="68">
        <v>4948</v>
      </c>
      <c r="D147" s="65">
        <v>0.39</v>
      </c>
      <c r="E147" s="70">
        <f t="shared" si="15"/>
        <v>617.37</v>
      </c>
      <c r="F147" s="69">
        <f t="shared" si="16"/>
        <v>5565.37</v>
      </c>
      <c r="K147" s="67" t="s">
        <v>209</v>
      </c>
      <c r="M147" s="68">
        <f>AVERAGE(4347,4428)</f>
        <v>4387.5</v>
      </c>
      <c r="N147" s="65">
        <v>0.14000000000000001</v>
      </c>
      <c r="O147" s="72">
        <f t="shared" si="17"/>
        <v>223.86</v>
      </c>
      <c r="P147" s="68">
        <f t="shared" si="18"/>
        <v>4611.3599999999997</v>
      </c>
    </row>
    <row r="148" spans="1:19" x14ac:dyDescent="0.3">
      <c r="A148" s="67" t="s">
        <v>210</v>
      </c>
      <c r="C148" s="68">
        <v>4948</v>
      </c>
      <c r="D148" s="65">
        <v>0.38</v>
      </c>
      <c r="E148" s="70">
        <f t="shared" si="15"/>
        <v>601.54</v>
      </c>
      <c r="F148" s="69">
        <f t="shared" si="16"/>
        <v>5549.54</v>
      </c>
      <c r="K148" s="67" t="s">
        <v>210</v>
      </c>
      <c r="M148" s="68">
        <v>4428</v>
      </c>
      <c r="N148" s="65">
        <v>0.13</v>
      </c>
      <c r="O148" s="72">
        <f t="shared" si="17"/>
        <v>207.87</v>
      </c>
      <c r="P148" s="68">
        <f t="shared" si="18"/>
        <v>4635.87</v>
      </c>
    </row>
    <row r="149" spans="1:19" x14ac:dyDescent="0.3">
      <c r="A149" s="67" t="s">
        <v>211</v>
      </c>
      <c r="C149" s="68">
        <v>4948</v>
      </c>
      <c r="D149" s="65">
        <v>0.4</v>
      </c>
      <c r="E149" s="70">
        <f t="shared" si="15"/>
        <v>633.20000000000005</v>
      </c>
      <c r="F149" s="69">
        <f t="shared" si="16"/>
        <v>5581.2</v>
      </c>
      <c r="G149" t="s">
        <v>224</v>
      </c>
      <c r="H149" s="69">
        <f>AVERAGE(F147:F149)</f>
        <v>5565.37</v>
      </c>
      <c r="I149" s="71">
        <f>H149/$F$130</f>
        <v>55.268135177477475</v>
      </c>
      <c r="K149" s="67" t="s">
        <v>211</v>
      </c>
      <c r="M149" s="68">
        <v>4428</v>
      </c>
      <c r="N149" s="65">
        <v>0.15</v>
      </c>
      <c r="O149" s="72">
        <f t="shared" si="17"/>
        <v>239.85</v>
      </c>
      <c r="P149" s="68">
        <f t="shared" si="18"/>
        <v>4667.8500000000004</v>
      </c>
      <c r="Q149" t="s">
        <v>224</v>
      </c>
      <c r="R149" s="69">
        <f>AVERAGE(P147:P149)</f>
        <v>4638.3599999999997</v>
      </c>
      <c r="S149" s="71">
        <f>R149/$F$130</f>
        <v>46.062257762162155</v>
      </c>
    </row>
    <row r="150" spans="1:19" x14ac:dyDescent="0.3">
      <c r="A150" s="67" t="s">
        <v>212</v>
      </c>
      <c r="C150" s="68">
        <v>4948</v>
      </c>
      <c r="D150" s="65">
        <v>0.39</v>
      </c>
      <c r="E150" s="70">
        <f t="shared" si="15"/>
        <v>617.37</v>
      </c>
      <c r="F150" s="69">
        <f t="shared" si="16"/>
        <v>5565.37</v>
      </c>
      <c r="K150" s="67" t="s">
        <v>212</v>
      </c>
      <c r="M150" s="68">
        <v>4428</v>
      </c>
      <c r="N150" s="65">
        <v>0.14000000000000001</v>
      </c>
      <c r="O150" s="72">
        <f t="shared" si="17"/>
        <v>223.86</v>
      </c>
      <c r="P150" s="68">
        <f t="shared" si="18"/>
        <v>4651.8599999999997</v>
      </c>
    </row>
    <row r="151" spans="1:19" x14ac:dyDescent="0.3">
      <c r="A151" s="67" t="s">
        <v>213</v>
      </c>
      <c r="C151" s="68">
        <v>4948</v>
      </c>
      <c r="D151" s="65">
        <v>0.42</v>
      </c>
      <c r="E151" s="70">
        <f t="shared" si="15"/>
        <v>664.86</v>
      </c>
      <c r="F151" s="69">
        <f t="shared" si="16"/>
        <v>5612.86</v>
      </c>
      <c r="K151" s="67" t="s">
        <v>213</v>
      </c>
      <c r="M151" s="68">
        <v>4428</v>
      </c>
      <c r="N151" s="65">
        <v>0.17</v>
      </c>
      <c r="O151" s="72">
        <f t="shared" si="17"/>
        <v>271.83000000000004</v>
      </c>
      <c r="P151" s="68">
        <f t="shared" si="18"/>
        <v>4699.83</v>
      </c>
    </row>
    <row r="152" spans="1:19" x14ac:dyDescent="0.3">
      <c r="A152" s="67" t="s">
        <v>214</v>
      </c>
      <c r="C152" s="68">
        <v>4948</v>
      </c>
      <c r="D152" s="65">
        <v>0.46</v>
      </c>
      <c r="E152" s="70">
        <f t="shared" si="15"/>
        <v>728.18000000000006</v>
      </c>
      <c r="F152" s="69">
        <f t="shared" si="16"/>
        <v>5676.18</v>
      </c>
      <c r="G152" t="s">
        <v>225</v>
      </c>
      <c r="H152" s="69">
        <f>AVERAGE(F150:F152)</f>
        <v>5618.1366666666663</v>
      </c>
      <c r="I152" s="71">
        <f>H152/$F$130</f>
        <v>55.7921462075075</v>
      </c>
      <c r="K152" s="67" t="s">
        <v>214</v>
      </c>
      <c r="M152" s="68">
        <v>4510</v>
      </c>
      <c r="N152" s="65">
        <v>0.2</v>
      </c>
      <c r="O152" s="72">
        <f t="shared" si="17"/>
        <v>319.8</v>
      </c>
      <c r="P152" s="68">
        <f t="shared" si="18"/>
        <v>4829.8</v>
      </c>
      <c r="Q152" t="s">
        <v>225</v>
      </c>
      <c r="R152" s="69">
        <f>AVERAGE(P150:P152)</f>
        <v>4727.163333333333</v>
      </c>
      <c r="S152" s="71">
        <f>R152/$F$130</f>
        <v>46.944138864564557</v>
      </c>
    </row>
    <row r="153" spans="1:19" x14ac:dyDescent="0.3">
      <c r="A153" s="67" t="s">
        <v>215</v>
      </c>
      <c r="C153" s="68">
        <v>4948</v>
      </c>
      <c r="D153" s="65">
        <v>0.46</v>
      </c>
      <c r="E153" s="70">
        <f t="shared" si="15"/>
        <v>728.18000000000006</v>
      </c>
      <c r="F153" s="69">
        <f t="shared" si="16"/>
        <v>5676.18</v>
      </c>
      <c r="K153" s="67" t="s">
        <v>215</v>
      </c>
      <c r="M153" s="68">
        <v>4510</v>
      </c>
      <c r="N153" s="65">
        <v>0.2</v>
      </c>
      <c r="O153" s="72">
        <f t="shared" si="17"/>
        <v>319.8</v>
      </c>
      <c r="P153" s="68">
        <f t="shared" si="18"/>
        <v>4829.8</v>
      </c>
    </row>
    <row r="154" spans="1:19" x14ac:dyDescent="0.3">
      <c r="A154" s="67" t="s">
        <v>216</v>
      </c>
      <c r="C154" s="68">
        <v>5046</v>
      </c>
      <c r="D154" s="65">
        <v>0.43</v>
      </c>
      <c r="E154" s="70">
        <f t="shared" si="15"/>
        <v>680.68999999999994</v>
      </c>
      <c r="F154" s="69">
        <f t="shared" si="16"/>
        <v>5726.69</v>
      </c>
      <c r="K154" s="67" t="s">
        <v>216</v>
      </c>
      <c r="M154" s="68">
        <v>4510</v>
      </c>
      <c r="N154" s="65">
        <v>0.17</v>
      </c>
      <c r="O154" s="72">
        <f t="shared" si="17"/>
        <v>271.83000000000004</v>
      </c>
      <c r="P154" s="68">
        <f t="shared" si="18"/>
        <v>4781.83</v>
      </c>
    </row>
    <row r="155" spans="1:19" x14ac:dyDescent="0.3">
      <c r="A155" s="67" t="s">
        <v>217</v>
      </c>
      <c r="C155" s="68">
        <v>5046</v>
      </c>
      <c r="D155" s="65">
        <v>0.42</v>
      </c>
      <c r="E155" s="70">
        <f t="shared" si="15"/>
        <v>664.86</v>
      </c>
      <c r="F155" s="69">
        <f t="shared" si="16"/>
        <v>5710.86</v>
      </c>
      <c r="G155" t="s">
        <v>226</v>
      </c>
      <c r="H155" s="69">
        <f>AVERAGE(F153:F155)</f>
        <v>5704.5766666666668</v>
      </c>
      <c r="I155" s="71">
        <f>H155/$F$130</f>
        <v>56.650557706606605</v>
      </c>
      <c r="K155" s="67" t="s">
        <v>217</v>
      </c>
      <c r="M155" s="68">
        <v>4510</v>
      </c>
      <c r="N155" s="65">
        <v>0.17</v>
      </c>
      <c r="O155" s="72">
        <f t="shared" si="17"/>
        <v>271.83000000000004</v>
      </c>
      <c r="P155" s="68">
        <f t="shared" si="18"/>
        <v>4781.83</v>
      </c>
      <c r="Q155" t="s">
        <v>226</v>
      </c>
      <c r="R155" s="69">
        <f>AVERAGE(P153:P155)</f>
        <v>4797.8200000000006</v>
      </c>
      <c r="S155" s="71">
        <f>R155/$F$130</f>
        <v>47.645810488288291</v>
      </c>
    </row>
    <row r="156" spans="1:19" x14ac:dyDescent="0.3">
      <c r="A156" s="67" t="s">
        <v>247</v>
      </c>
      <c r="C156" s="68">
        <v>5046</v>
      </c>
      <c r="D156" s="65">
        <v>0.43</v>
      </c>
      <c r="E156" s="70">
        <f t="shared" si="15"/>
        <v>680.68999999999994</v>
      </c>
      <c r="F156" s="69">
        <f t="shared" si="16"/>
        <v>5726.69</v>
      </c>
      <c r="H156" s="69"/>
      <c r="I156" s="71"/>
      <c r="K156" s="67" t="s">
        <v>247</v>
      </c>
      <c r="M156" s="68">
        <v>4510</v>
      </c>
      <c r="N156" s="65">
        <v>0.18</v>
      </c>
      <c r="O156" s="72">
        <f t="shared" si="17"/>
        <v>287.82</v>
      </c>
      <c r="P156" s="68">
        <f t="shared" si="18"/>
        <v>4797.82</v>
      </c>
      <c r="R156" s="69"/>
      <c r="S156" s="71"/>
    </row>
    <row r="157" spans="1:19" x14ac:dyDescent="0.3">
      <c r="A157" s="67" t="s">
        <v>248</v>
      </c>
      <c r="C157" s="68">
        <v>5046</v>
      </c>
      <c r="D157" s="65">
        <v>0.43</v>
      </c>
      <c r="E157" s="70">
        <f t="shared" si="15"/>
        <v>680.68999999999994</v>
      </c>
      <c r="F157" s="69">
        <f t="shared" si="16"/>
        <v>5726.69</v>
      </c>
      <c r="H157" s="69"/>
      <c r="I157" s="71"/>
      <c r="K157" s="67" t="s">
        <v>248</v>
      </c>
      <c r="M157" s="68">
        <v>4510</v>
      </c>
      <c r="N157" s="65">
        <v>0.17</v>
      </c>
      <c r="O157" s="72">
        <f t="shared" si="17"/>
        <v>271.83000000000004</v>
      </c>
      <c r="P157" s="68">
        <f t="shared" si="18"/>
        <v>4781.83</v>
      </c>
      <c r="R157" s="69"/>
      <c r="S157" s="71"/>
    </row>
    <row r="158" spans="1:19" x14ac:dyDescent="0.3">
      <c r="A158" s="67" t="s">
        <v>249</v>
      </c>
      <c r="C158" s="68">
        <v>5046</v>
      </c>
      <c r="D158" s="65">
        <v>0.46</v>
      </c>
      <c r="E158" s="70">
        <f t="shared" si="15"/>
        <v>728.18000000000006</v>
      </c>
      <c r="F158" s="69">
        <f t="shared" si="16"/>
        <v>5774.18</v>
      </c>
      <c r="G158" t="s">
        <v>251</v>
      </c>
      <c r="H158" s="69">
        <f>AVERAGE(F156:F158)</f>
        <v>5742.5199999999995</v>
      </c>
      <c r="I158" s="71">
        <f>H158/$F$130</f>
        <v>57.027362353153144</v>
      </c>
      <c r="K158" s="67" t="s">
        <v>249</v>
      </c>
      <c r="M158" s="68">
        <v>4510</v>
      </c>
      <c r="N158" s="65">
        <v>0.2</v>
      </c>
      <c r="O158" s="72">
        <f t="shared" si="17"/>
        <v>319.8</v>
      </c>
      <c r="P158" s="68">
        <f t="shared" si="18"/>
        <v>4829.8</v>
      </c>
      <c r="Q158" t="s">
        <v>251</v>
      </c>
      <c r="R158" s="69">
        <f>AVERAGE(P156:P158)</f>
        <v>4803.1500000000005</v>
      </c>
      <c r="S158" s="71">
        <f>R158/$F$130</f>
        <v>47.698741229729734</v>
      </c>
    </row>
    <row r="159" spans="1:19" x14ac:dyDescent="0.3">
      <c r="A159" s="67" t="s">
        <v>252</v>
      </c>
      <c r="C159" s="68">
        <v>5046</v>
      </c>
      <c r="D159" s="65">
        <v>0.48</v>
      </c>
      <c r="E159" s="70">
        <f t="shared" si="15"/>
        <v>759.83999999999992</v>
      </c>
      <c r="F159" s="69">
        <f t="shared" si="16"/>
        <v>5805.84</v>
      </c>
      <c r="H159" s="69"/>
      <c r="I159" s="71"/>
      <c r="K159" s="67" t="s">
        <v>252</v>
      </c>
      <c r="M159" s="68">
        <v>4510</v>
      </c>
      <c r="N159" s="65">
        <v>0.21</v>
      </c>
      <c r="O159" s="72">
        <f t="shared" si="17"/>
        <v>335.78999999999996</v>
      </c>
      <c r="P159" s="68">
        <f t="shared" si="18"/>
        <v>4845.79</v>
      </c>
      <c r="R159" s="69"/>
      <c r="S159" s="71"/>
    </row>
    <row r="160" spans="1:19" x14ac:dyDescent="0.3">
      <c r="A160" s="67" t="s">
        <v>253</v>
      </c>
      <c r="C160" s="68">
        <v>5144</v>
      </c>
      <c r="D160" s="65">
        <v>0.5</v>
      </c>
      <c r="E160" s="70">
        <f t="shared" si="15"/>
        <v>791.5</v>
      </c>
      <c r="F160" s="69">
        <f t="shared" si="16"/>
        <v>5935.5</v>
      </c>
      <c r="H160" s="69"/>
      <c r="I160" s="71"/>
      <c r="K160" s="67" t="s">
        <v>253</v>
      </c>
      <c r="M160" s="68">
        <v>4619</v>
      </c>
      <c r="N160" s="65">
        <v>0.23</v>
      </c>
      <c r="O160" s="72">
        <f t="shared" si="17"/>
        <v>367.77000000000004</v>
      </c>
      <c r="P160" s="68">
        <f t="shared" si="18"/>
        <v>4986.7700000000004</v>
      </c>
      <c r="R160" s="69"/>
      <c r="S160" s="71"/>
    </row>
    <row r="161" spans="1:19" x14ac:dyDescent="0.3">
      <c r="A161" s="67" t="s">
        <v>254</v>
      </c>
      <c r="C161" s="68">
        <v>5144</v>
      </c>
      <c r="D161" s="65">
        <v>0.23</v>
      </c>
      <c r="E161" s="70">
        <f t="shared" si="15"/>
        <v>364.09000000000003</v>
      </c>
      <c r="F161" s="69">
        <f t="shared" si="16"/>
        <v>5508.09</v>
      </c>
      <c r="G161" t="s">
        <v>266</v>
      </c>
      <c r="H161" s="69">
        <f>AVERAGE(F159:F161)</f>
        <v>5749.81</v>
      </c>
      <c r="I161" s="70">
        <f>H161/$F$7</f>
        <v>57.099757307207206</v>
      </c>
      <c r="K161" s="67" t="s">
        <v>254</v>
      </c>
      <c r="M161" s="68">
        <v>4619</v>
      </c>
      <c r="N161" s="65">
        <v>0.26</v>
      </c>
      <c r="O161" s="72">
        <f t="shared" si="17"/>
        <v>415.74</v>
      </c>
      <c r="P161" s="68">
        <f t="shared" si="18"/>
        <v>5034.74</v>
      </c>
      <c r="Q161" t="s">
        <v>266</v>
      </c>
      <c r="R161" s="69">
        <f>AVERAGE(P159:P161)</f>
        <v>4955.7666666666673</v>
      </c>
      <c r="S161" s="70">
        <f>R161/$F$7</f>
        <v>49.214334723723731</v>
      </c>
    </row>
    <row r="162" spans="1:19" x14ac:dyDescent="0.3">
      <c r="A162" s="67" t="s">
        <v>255</v>
      </c>
      <c r="C162" s="68">
        <v>5648</v>
      </c>
      <c r="D162" s="65">
        <v>0.28000000000000003</v>
      </c>
      <c r="E162" s="70">
        <f t="shared" si="15"/>
        <v>443.24000000000007</v>
      </c>
      <c r="F162" s="69">
        <f t="shared" si="16"/>
        <v>6091.24</v>
      </c>
      <c r="H162" s="69"/>
      <c r="I162" s="71"/>
      <c r="K162" s="67" t="s">
        <v>255</v>
      </c>
      <c r="M162" s="68">
        <v>4619</v>
      </c>
      <c r="N162" s="65">
        <v>0.3</v>
      </c>
      <c r="O162" s="72">
        <f t="shared" si="17"/>
        <v>479.7</v>
      </c>
      <c r="P162" s="68">
        <f t="shared" si="18"/>
        <v>5098.7</v>
      </c>
      <c r="R162" s="69"/>
      <c r="S162" s="71"/>
    </row>
    <row r="163" spans="1:19" x14ac:dyDescent="0.3">
      <c r="A163" s="67" t="s">
        <v>256</v>
      </c>
      <c r="C163" s="68">
        <v>5648</v>
      </c>
      <c r="D163" s="65">
        <v>0.36</v>
      </c>
      <c r="E163" s="70">
        <f t="shared" si="15"/>
        <v>569.88</v>
      </c>
      <c r="F163" s="69">
        <f t="shared" si="16"/>
        <v>6217.88</v>
      </c>
      <c r="H163" s="69"/>
      <c r="I163" s="71"/>
      <c r="K163" s="67" t="s">
        <v>256</v>
      </c>
      <c r="M163" s="68">
        <v>4619</v>
      </c>
      <c r="N163" s="65">
        <v>0.37</v>
      </c>
      <c r="O163" s="72">
        <f t="shared" si="17"/>
        <v>591.63</v>
      </c>
      <c r="P163" s="68">
        <f t="shared" si="18"/>
        <v>5210.63</v>
      </c>
      <c r="R163" s="69"/>
      <c r="S163" s="71"/>
    </row>
    <row r="164" spans="1:19" x14ac:dyDescent="0.3">
      <c r="A164" s="67" t="s">
        <v>257</v>
      </c>
      <c r="C164" s="68">
        <v>5648</v>
      </c>
      <c r="D164" s="65">
        <v>0.4</v>
      </c>
      <c r="E164" s="70">
        <f t="shared" si="15"/>
        <v>633.20000000000005</v>
      </c>
      <c r="F164" s="69">
        <f t="shared" si="16"/>
        <v>6281.2</v>
      </c>
      <c r="G164" t="s">
        <v>267</v>
      </c>
      <c r="H164" s="69">
        <f>AVERAGE(F162:F164)</f>
        <v>6196.7733333333335</v>
      </c>
      <c r="I164" s="70">
        <f>H164/$F$7</f>
        <v>61.538425342942944</v>
      </c>
      <c r="K164" s="67" t="s">
        <v>257</v>
      </c>
      <c r="M164" s="68">
        <v>4727</v>
      </c>
      <c r="N164" s="65">
        <v>0.4</v>
      </c>
      <c r="O164" s="72">
        <f t="shared" si="17"/>
        <v>639.6</v>
      </c>
      <c r="P164" s="68">
        <f t="shared" si="18"/>
        <v>5366.6</v>
      </c>
      <c r="Q164" t="s">
        <v>267</v>
      </c>
      <c r="R164" s="69">
        <f>AVERAGE(P162:P164)</f>
        <v>5225.3100000000004</v>
      </c>
      <c r="S164" s="70">
        <f>R164/$F$7</f>
        <v>51.891094289189191</v>
      </c>
    </row>
    <row r="165" spans="1:19" x14ac:dyDescent="0.3">
      <c r="A165" s="67" t="s">
        <v>258</v>
      </c>
      <c r="C165" s="68">
        <v>5648</v>
      </c>
      <c r="D165" s="65">
        <v>0.39</v>
      </c>
      <c r="E165" s="70">
        <f t="shared" si="15"/>
        <v>617.37</v>
      </c>
      <c r="F165" s="69">
        <f t="shared" si="16"/>
        <v>6265.37</v>
      </c>
      <c r="H165" s="69"/>
      <c r="I165" s="71"/>
      <c r="K165" s="67" t="s">
        <v>258</v>
      </c>
      <c r="M165" s="68">
        <v>4727</v>
      </c>
      <c r="N165" s="65">
        <v>0.39</v>
      </c>
      <c r="O165" s="72">
        <f t="shared" si="17"/>
        <v>623.61</v>
      </c>
      <c r="P165" s="68">
        <f t="shared" si="18"/>
        <v>5350.61</v>
      </c>
      <c r="R165" s="69"/>
      <c r="S165" s="71"/>
    </row>
    <row r="166" spans="1:19" x14ac:dyDescent="0.3">
      <c r="A166" s="67" t="s">
        <v>259</v>
      </c>
      <c r="C166" s="68">
        <v>5648</v>
      </c>
      <c r="D166" s="65">
        <v>0.36</v>
      </c>
      <c r="E166" s="70">
        <f t="shared" si="15"/>
        <v>569.88</v>
      </c>
      <c r="F166" s="69">
        <f t="shared" si="16"/>
        <v>6217.88</v>
      </c>
      <c r="H166" s="69"/>
      <c r="I166" s="71"/>
      <c r="K166" s="67" t="s">
        <v>259</v>
      </c>
      <c r="M166" s="68">
        <v>4727</v>
      </c>
      <c r="N166" s="65">
        <v>0.37</v>
      </c>
      <c r="O166" s="72">
        <f t="shared" si="17"/>
        <v>591.63</v>
      </c>
      <c r="P166" s="68">
        <f t="shared" si="18"/>
        <v>5318.63</v>
      </c>
      <c r="R166" s="69"/>
      <c r="S166" s="71"/>
    </row>
    <row r="167" spans="1:19" x14ac:dyDescent="0.3">
      <c r="A167" s="67" t="s">
        <v>260</v>
      </c>
      <c r="C167" s="68">
        <v>5745</v>
      </c>
      <c r="D167" s="65">
        <v>0.36</v>
      </c>
      <c r="E167" s="70">
        <f t="shared" si="15"/>
        <v>569.88</v>
      </c>
      <c r="F167" s="69">
        <f t="shared" si="16"/>
        <v>6314.88</v>
      </c>
      <c r="G167" t="s">
        <v>268</v>
      </c>
      <c r="H167" s="69">
        <f>AVERAGE(F165:F167)</f>
        <v>6266.043333333334</v>
      </c>
      <c r="I167" s="70">
        <f>H167/$F$7</f>
        <v>62.226326367267269</v>
      </c>
      <c r="K167" s="67" t="s">
        <v>260</v>
      </c>
      <c r="M167" s="68">
        <v>4727</v>
      </c>
      <c r="N167" s="65">
        <v>0.37</v>
      </c>
      <c r="O167" s="72">
        <f t="shared" si="17"/>
        <v>591.63</v>
      </c>
      <c r="P167" s="68">
        <f t="shared" si="18"/>
        <v>5318.63</v>
      </c>
      <c r="Q167" t="s">
        <v>268</v>
      </c>
      <c r="R167" s="69">
        <f>AVERAGE(P165:P167)</f>
        <v>5329.29</v>
      </c>
      <c r="S167" s="70">
        <f>R167/$F$7</f>
        <v>52.923690629729727</v>
      </c>
    </row>
    <row r="168" spans="1:19" x14ac:dyDescent="0.3">
      <c r="A168" s="67" t="s">
        <v>261</v>
      </c>
      <c r="C168" s="68">
        <v>5745</v>
      </c>
      <c r="D168" s="65">
        <v>0.35</v>
      </c>
      <c r="E168" s="70">
        <f t="shared" si="15"/>
        <v>554.04999999999995</v>
      </c>
      <c r="F168" s="69">
        <f t="shared" si="16"/>
        <v>6299.05</v>
      </c>
      <c r="H168" s="69"/>
      <c r="I168" s="71"/>
      <c r="K168" s="67" t="s">
        <v>261</v>
      </c>
      <c r="M168" s="68">
        <v>4727</v>
      </c>
      <c r="N168" s="65">
        <v>0.36</v>
      </c>
      <c r="O168" s="72">
        <f t="shared" si="17"/>
        <v>575.64</v>
      </c>
      <c r="P168" s="68">
        <f t="shared" si="18"/>
        <v>5302.64</v>
      </c>
      <c r="R168" s="69"/>
      <c r="S168" s="71"/>
    </row>
    <row r="169" spans="1:19" x14ac:dyDescent="0.3">
      <c r="A169" s="67" t="s">
        <v>262</v>
      </c>
      <c r="C169" s="68">
        <v>5745</v>
      </c>
      <c r="D169" s="65">
        <v>0.34</v>
      </c>
      <c r="E169" s="70">
        <f t="shared" si="15"/>
        <v>538.22</v>
      </c>
      <c r="F169" s="69">
        <f t="shared" si="16"/>
        <v>6283.22</v>
      </c>
      <c r="H169" s="69"/>
      <c r="I169" s="71"/>
      <c r="K169" s="67" t="s">
        <v>262</v>
      </c>
      <c r="M169" s="68">
        <v>4727</v>
      </c>
      <c r="N169" s="65">
        <v>0.35</v>
      </c>
      <c r="O169" s="72">
        <f t="shared" si="17"/>
        <v>559.65</v>
      </c>
      <c r="P169" s="68">
        <f t="shared" si="18"/>
        <v>5286.65</v>
      </c>
      <c r="R169" s="69"/>
      <c r="S169" s="71"/>
    </row>
    <row r="170" spans="1:19" x14ac:dyDescent="0.3">
      <c r="A170" s="67" t="s">
        <v>263</v>
      </c>
      <c r="C170" s="68">
        <v>5745</v>
      </c>
      <c r="D170" s="65">
        <v>0.33</v>
      </c>
      <c r="E170" s="70">
        <f t="shared" si="15"/>
        <v>522.39</v>
      </c>
      <c r="F170" s="69">
        <f t="shared" si="16"/>
        <v>6267.39</v>
      </c>
      <c r="G170" t="s">
        <v>270</v>
      </c>
      <c r="H170" s="69">
        <f>AVERAGE(F168:F170)</f>
        <v>6283.22</v>
      </c>
      <c r="I170" s="70">
        <f>H170/$F$7</f>
        <v>62.396903046846845</v>
      </c>
      <c r="K170" s="67" t="s">
        <v>263</v>
      </c>
      <c r="M170" s="68">
        <v>4727</v>
      </c>
      <c r="N170" s="65">
        <v>0.34</v>
      </c>
      <c r="O170" s="72">
        <f t="shared" si="17"/>
        <v>543.66000000000008</v>
      </c>
      <c r="P170" s="68">
        <f t="shared" si="18"/>
        <v>5270.66</v>
      </c>
      <c r="Q170" t="s">
        <v>270</v>
      </c>
      <c r="R170" s="69">
        <f>AVERAGE(P168:P170)</f>
        <v>5286.6500000000005</v>
      </c>
      <c r="S170" s="70">
        <f>R170/$F$7</f>
        <v>52.500244698198202</v>
      </c>
    </row>
    <row r="171" spans="1:19" x14ac:dyDescent="0.3">
      <c r="A171" s="67" t="s">
        <v>276</v>
      </c>
      <c r="C171" s="68">
        <v>5745</v>
      </c>
      <c r="D171" s="65">
        <v>0.37</v>
      </c>
      <c r="E171" s="70">
        <f t="shared" si="15"/>
        <v>585.71</v>
      </c>
      <c r="F171" s="69">
        <f t="shared" si="16"/>
        <v>6330.71</v>
      </c>
      <c r="H171" s="69"/>
      <c r="I171" s="70"/>
      <c r="K171" s="67" t="s">
        <v>276</v>
      </c>
      <c r="M171" s="68">
        <v>4727</v>
      </c>
      <c r="N171" s="65">
        <v>0.38</v>
      </c>
      <c r="O171" s="72">
        <f t="shared" si="17"/>
        <v>607.62</v>
      </c>
      <c r="P171" s="68">
        <f t="shared" si="18"/>
        <v>5334.62</v>
      </c>
      <c r="R171" s="69"/>
      <c r="S171" s="70"/>
    </row>
    <row r="172" spans="1:19" x14ac:dyDescent="0.3">
      <c r="A172" s="67" t="s">
        <v>277</v>
      </c>
      <c r="C172" s="68">
        <v>5854</v>
      </c>
      <c r="D172" s="65">
        <v>0.35</v>
      </c>
      <c r="E172" s="70">
        <f t="shared" si="15"/>
        <v>554.04999999999995</v>
      </c>
      <c r="F172" s="69">
        <f t="shared" si="16"/>
        <v>6408.05</v>
      </c>
      <c r="H172" s="69"/>
      <c r="I172" s="70"/>
      <c r="K172" s="67" t="s">
        <v>277</v>
      </c>
      <c r="M172" s="68">
        <v>4727</v>
      </c>
      <c r="N172" s="65">
        <v>0.36</v>
      </c>
      <c r="O172" s="72">
        <f t="shared" si="17"/>
        <v>575.64</v>
      </c>
      <c r="P172" s="68">
        <f t="shared" si="18"/>
        <v>5302.64</v>
      </c>
      <c r="R172" s="69"/>
      <c r="S172" s="70"/>
    </row>
    <row r="173" spans="1:19" x14ac:dyDescent="0.3">
      <c r="A173" s="67" t="s">
        <v>278</v>
      </c>
      <c r="C173" s="68">
        <v>5854</v>
      </c>
      <c r="D173" s="65">
        <v>0.34</v>
      </c>
      <c r="E173" s="70">
        <f t="shared" si="15"/>
        <v>538.22</v>
      </c>
      <c r="F173" s="69">
        <f t="shared" si="16"/>
        <v>6392.22</v>
      </c>
      <c r="G173" t="s">
        <v>279</v>
      </c>
      <c r="H173" s="69">
        <f>AVERAGE(F171:F173)</f>
        <v>6376.9933333333329</v>
      </c>
      <c r="I173" s="70">
        <f>H173/$F$7</f>
        <v>63.328139831231226</v>
      </c>
      <c r="K173" s="67" t="s">
        <v>278</v>
      </c>
      <c r="M173" s="68">
        <v>4727</v>
      </c>
      <c r="N173" s="65">
        <v>0.35</v>
      </c>
      <c r="O173" s="72">
        <f t="shared" si="17"/>
        <v>559.65</v>
      </c>
      <c r="P173" s="68">
        <f t="shared" si="18"/>
        <v>5286.65</v>
      </c>
      <c r="Q173" t="s">
        <v>279</v>
      </c>
      <c r="R173" s="69">
        <f>AVERAGE(P171:P173)</f>
        <v>5307.97</v>
      </c>
      <c r="S173" s="70">
        <f>R173/$F$7</f>
        <v>52.711967663963961</v>
      </c>
    </row>
    <row r="174" spans="1:19" x14ac:dyDescent="0.3">
      <c r="A174" s="67" t="s">
        <v>281</v>
      </c>
      <c r="C174" s="68">
        <v>5854</v>
      </c>
      <c r="D174" s="65">
        <v>0.37</v>
      </c>
      <c r="E174" s="70">
        <f t="shared" si="15"/>
        <v>585.71</v>
      </c>
      <c r="F174" s="69">
        <f t="shared" si="16"/>
        <v>6439.71</v>
      </c>
      <c r="H174" s="69"/>
      <c r="I174" s="70"/>
      <c r="K174" s="67" t="s">
        <v>281</v>
      </c>
      <c r="M174" s="68">
        <v>4727</v>
      </c>
      <c r="N174" s="65">
        <v>0.38</v>
      </c>
      <c r="O174" s="72">
        <f t="shared" si="17"/>
        <v>607.62</v>
      </c>
      <c r="P174" s="68">
        <f t="shared" si="18"/>
        <v>5334.62</v>
      </c>
      <c r="R174" s="69"/>
      <c r="S174" s="70"/>
    </row>
    <row r="175" spans="1:19" x14ac:dyDescent="0.3">
      <c r="A175" s="67" t="s">
        <v>282</v>
      </c>
      <c r="C175" s="68">
        <v>5854</v>
      </c>
      <c r="D175" s="65">
        <v>0.41</v>
      </c>
      <c r="E175" s="70">
        <f t="shared" si="15"/>
        <v>649.03</v>
      </c>
      <c r="F175" s="69">
        <f t="shared" si="16"/>
        <v>6503.03</v>
      </c>
      <c r="H175" s="69"/>
      <c r="I175" s="70"/>
      <c r="K175" s="67" t="s">
        <v>282</v>
      </c>
      <c r="M175" s="68">
        <v>4727</v>
      </c>
      <c r="N175" s="65">
        <v>0.41</v>
      </c>
      <c r="O175" s="72">
        <f t="shared" si="17"/>
        <v>655.58999999999992</v>
      </c>
      <c r="P175" s="68">
        <f t="shared" si="18"/>
        <v>5382.59</v>
      </c>
      <c r="R175" s="69"/>
      <c r="S175" s="70"/>
    </row>
    <row r="176" spans="1:19" x14ac:dyDescent="0.3">
      <c r="A176" s="67" t="s">
        <v>283</v>
      </c>
      <c r="C176" s="68">
        <v>5854</v>
      </c>
      <c r="D176" s="65">
        <v>0.41</v>
      </c>
      <c r="E176" s="70">
        <f t="shared" si="15"/>
        <v>649.03</v>
      </c>
      <c r="F176" s="69">
        <f t="shared" si="16"/>
        <v>6503.03</v>
      </c>
      <c r="G176" t="s">
        <v>289</v>
      </c>
      <c r="H176" s="69">
        <f>AVERAGE(F174:F176)</f>
        <v>6481.9233333333332</v>
      </c>
      <c r="I176" s="70">
        <f>H176/$F$7</f>
        <v>64.370170356456455</v>
      </c>
      <c r="K176" s="67" t="s">
        <v>283</v>
      </c>
      <c r="M176" s="68">
        <v>4793</v>
      </c>
      <c r="N176" s="65">
        <v>0.41</v>
      </c>
      <c r="O176" s="72">
        <f t="shared" si="17"/>
        <v>655.58999999999992</v>
      </c>
      <c r="P176" s="68">
        <f t="shared" si="18"/>
        <v>5448.59</v>
      </c>
      <c r="Q176" t="s">
        <v>289</v>
      </c>
      <c r="R176" s="69">
        <f>AVERAGE(P174:P176)</f>
        <v>5388.5999999999995</v>
      </c>
      <c r="S176" s="70">
        <f>R176/$F$7</f>
        <v>53.512681675675665</v>
      </c>
    </row>
    <row r="177" spans="1:19" x14ac:dyDescent="0.3">
      <c r="A177" s="67" t="s">
        <v>284</v>
      </c>
      <c r="C177" s="68">
        <v>5854</v>
      </c>
      <c r="D177" s="65">
        <v>0.37</v>
      </c>
      <c r="E177" s="70">
        <f t="shared" si="15"/>
        <v>585.71</v>
      </c>
      <c r="F177" s="69">
        <f t="shared" si="16"/>
        <v>6439.71</v>
      </c>
      <c r="H177" s="69"/>
      <c r="I177" s="70"/>
      <c r="K177" s="67" t="s">
        <v>284</v>
      </c>
      <c r="M177" s="68">
        <v>4880</v>
      </c>
      <c r="N177" s="65">
        <v>0.38</v>
      </c>
      <c r="O177" s="72">
        <f t="shared" si="17"/>
        <v>607.62</v>
      </c>
      <c r="P177" s="68">
        <f t="shared" si="18"/>
        <v>5487.62</v>
      </c>
      <c r="R177" s="69"/>
      <c r="S177" s="70"/>
    </row>
    <row r="178" spans="1:19" x14ac:dyDescent="0.3">
      <c r="A178" s="67" t="s">
        <v>285</v>
      </c>
      <c r="C178" s="68">
        <v>5984</v>
      </c>
      <c r="D178" s="65">
        <v>0.32</v>
      </c>
      <c r="E178" s="70">
        <f t="shared" si="15"/>
        <v>506.56</v>
      </c>
      <c r="F178" s="69">
        <f t="shared" si="16"/>
        <v>6490.56</v>
      </c>
      <c r="H178" s="69"/>
      <c r="I178" s="70"/>
      <c r="K178" s="67" t="s">
        <v>285</v>
      </c>
      <c r="M178" s="68">
        <v>4880</v>
      </c>
      <c r="N178" s="65">
        <v>0.34</v>
      </c>
      <c r="O178" s="72">
        <f t="shared" si="17"/>
        <v>543.66000000000008</v>
      </c>
      <c r="P178" s="68">
        <f t="shared" si="18"/>
        <v>5423.66</v>
      </c>
      <c r="R178" s="69"/>
      <c r="S178" s="70"/>
    </row>
    <row r="179" spans="1:19" x14ac:dyDescent="0.3">
      <c r="A179" s="67" t="s">
        <v>286</v>
      </c>
      <c r="C179" s="68">
        <v>5984</v>
      </c>
      <c r="D179" s="65">
        <v>0.31</v>
      </c>
      <c r="E179" s="70">
        <f t="shared" ref="E179:E182" si="19">$C$132*D179</f>
        <v>490.73</v>
      </c>
      <c r="F179" s="69">
        <f t="shared" ref="F179:F182" si="20">C179+E179</f>
        <v>6474.73</v>
      </c>
      <c r="G179" t="s">
        <v>290</v>
      </c>
      <c r="H179" s="69">
        <f>AVERAGE(F177:F179)</f>
        <v>6468.333333333333</v>
      </c>
      <c r="I179" s="70">
        <f>H179/$F$7</f>
        <v>64.235211861861856</v>
      </c>
      <c r="K179" s="67" t="s">
        <v>286</v>
      </c>
      <c r="M179" s="68">
        <v>4880</v>
      </c>
      <c r="N179" s="65">
        <v>0.33</v>
      </c>
      <c r="O179" s="72">
        <f t="shared" si="17"/>
        <v>527.67000000000007</v>
      </c>
      <c r="P179" s="68">
        <f t="shared" si="18"/>
        <v>5407.67</v>
      </c>
      <c r="Q179" t="s">
        <v>290</v>
      </c>
      <c r="R179" s="69">
        <f>AVERAGE(P177:P179)</f>
        <v>5439.65</v>
      </c>
      <c r="S179" s="70">
        <f>R179/$F$7</f>
        <v>54.019644968468462</v>
      </c>
    </row>
    <row r="180" spans="1:19" x14ac:dyDescent="0.3">
      <c r="A180" s="67" t="s">
        <v>280</v>
      </c>
      <c r="C180" s="68">
        <v>5984</v>
      </c>
      <c r="D180" s="65">
        <v>0.38</v>
      </c>
      <c r="E180" s="70">
        <f t="shared" si="19"/>
        <v>601.54</v>
      </c>
      <c r="F180" s="69">
        <f t="shared" si="20"/>
        <v>6585.54</v>
      </c>
      <c r="H180" s="69"/>
      <c r="I180" s="70"/>
      <c r="K180" s="67" t="s">
        <v>280</v>
      </c>
      <c r="M180" s="68">
        <v>4793</v>
      </c>
      <c r="N180" s="65">
        <v>0.38</v>
      </c>
      <c r="O180" s="72">
        <f t="shared" si="17"/>
        <v>607.62</v>
      </c>
      <c r="P180" s="68">
        <f t="shared" si="18"/>
        <v>5400.62</v>
      </c>
      <c r="R180" s="69"/>
      <c r="S180" s="70"/>
    </row>
    <row r="181" spans="1:19" x14ac:dyDescent="0.3">
      <c r="A181" s="67" t="s">
        <v>287</v>
      </c>
      <c r="C181" s="68">
        <v>5984</v>
      </c>
      <c r="D181" s="65">
        <v>0.41</v>
      </c>
      <c r="E181" s="70">
        <f t="shared" si="19"/>
        <v>649.03</v>
      </c>
      <c r="F181" s="69">
        <f t="shared" si="20"/>
        <v>6633.03</v>
      </c>
      <c r="H181" s="69"/>
      <c r="I181" s="70"/>
      <c r="K181" s="67" t="s">
        <v>287</v>
      </c>
      <c r="M181" s="68">
        <v>4793</v>
      </c>
      <c r="N181" s="65">
        <v>0.41</v>
      </c>
      <c r="O181" s="72">
        <f t="shared" si="17"/>
        <v>655.58999999999992</v>
      </c>
      <c r="P181" s="68">
        <f t="shared" si="18"/>
        <v>5448.59</v>
      </c>
      <c r="R181" s="69"/>
      <c r="S181" s="70"/>
    </row>
    <row r="182" spans="1:19" x14ac:dyDescent="0.3">
      <c r="A182" s="67" t="s">
        <v>288</v>
      </c>
      <c r="C182" s="68">
        <v>5984</v>
      </c>
      <c r="D182" s="65">
        <v>0.4</v>
      </c>
      <c r="E182" s="70">
        <f t="shared" si="19"/>
        <v>633.20000000000005</v>
      </c>
      <c r="F182" s="69">
        <f t="shared" si="20"/>
        <v>6617.2</v>
      </c>
      <c r="G182" t="s">
        <v>291</v>
      </c>
      <c r="H182" s="69">
        <f>AVERAGE(F180:F182)</f>
        <v>6611.9233333333332</v>
      </c>
      <c r="I182" s="70">
        <f>H182/$F$7</f>
        <v>65.661164050150148</v>
      </c>
      <c r="K182" s="67" t="s">
        <v>288</v>
      </c>
      <c r="M182" s="68">
        <v>4963</v>
      </c>
      <c r="N182" s="65">
        <v>0.4</v>
      </c>
      <c r="O182" s="72">
        <f t="shared" si="17"/>
        <v>639.6</v>
      </c>
      <c r="P182" s="68">
        <f t="shared" si="18"/>
        <v>5602.6</v>
      </c>
      <c r="Q182" t="s">
        <v>291</v>
      </c>
      <c r="R182" s="69">
        <f>AVERAGE(P180:P182)</f>
        <v>5483.9366666666656</v>
      </c>
      <c r="S182" s="70">
        <f>R182/$F$7</f>
        <v>54.459443486786775</v>
      </c>
    </row>
    <row r="183" spans="1:19" x14ac:dyDescent="0.3">
      <c r="A183" s="67"/>
      <c r="C183" s="68"/>
      <c r="D183" s="65"/>
      <c r="E183" s="70"/>
      <c r="F183" s="69"/>
      <c r="H183" s="69"/>
      <c r="I183" s="71"/>
      <c r="K183" s="67"/>
      <c r="M183" s="68"/>
      <c r="N183" s="65"/>
      <c r="O183" s="72"/>
      <c r="P183" s="68"/>
      <c r="R183" s="69"/>
      <c r="S183" s="71"/>
    </row>
    <row r="184" spans="1:19" x14ac:dyDescent="0.3">
      <c r="A184" s="67"/>
      <c r="C184" s="68"/>
      <c r="D184" s="65"/>
      <c r="E184" s="70"/>
      <c r="F184" s="69"/>
      <c r="H184" s="69"/>
      <c r="I184" s="71"/>
      <c r="K184" s="67"/>
      <c r="M184" s="68"/>
      <c r="N184" s="65"/>
      <c r="O184" s="72"/>
      <c r="P184" s="68"/>
      <c r="R184" s="69"/>
      <c r="S184" s="71"/>
    </row>
    <row r="188" spans="1:19" x14ac:dyDescent="0.3">
      <c r="A188" t="s">
        <v>188</v>
      </c>
      <c r="K188" t="s">
        <v>188</v>
      </c>
    </row>
    <row r="189" spans="1:19" x14ac:dyDescent="0.3">
      <c r="A189" s="62" t="s">
        <v>155</v>
      </c>
      <c r="B189" s="62" t="s">
        <v>189</v>
      </c>
      <c r="C189" s="62" t="s">
        <v>163</v>
      </c>
      <c r="D189" s="62"/>
      <c r="K189" s="62" t="s">
        <v>244</v>
      </c>
    </row>
    <row r="190" spans="1:19" x14ac:dyDescent="0.3">
      <c r="A190" t="s">
        <v>233</v>
      </c>
      <c r="K190" t="s">
        <v>245</v>
      </c>
    </row>
    <row r="191" spans="1:19" x14ac:dyDescent="0.3">
      <c r="A191" s="81" t="s">
        <v>134</v>
      </c>
      <c r="K191" s="81" t="s">
        <v>154</v>
      </c>
    </row>
    <row r="192" spans="1:19" x14ac:dyDescent="0.3">
      <c r="A192" t="s">
        <v>250</v>
      </c>
      <c r="E192" t="s">
        <v>229</v>
      </c>
      <c r="F192" s="70">
        <f>111/1.10231</f>
        <v>100.69762589471202</v>
      </c>
      <c r="G192" t="s">
        <v>228</v>
      </c>
      <c r="K192" t="s">
        <v>250</v>
      </c>
    </row>
    <row r="193" spans="1:19" x14ac:dyDescent="0.3">
      <c r="A193" t="s">
        <v>191</v>
      </c>
      <c r="K193" t="s">
        <v>191</v>
      </c>
    </row>
    <row r="194" spans="1:19" x14ac:dyDescent="0.3">
      <c r="A194" t="s">
        <v>192</v>
      </c>
      <c r="C194">
        <v>1851</v>
      </c>
      <c r="K194" t="s">
        <v>192</v>
      </c>
      <c r="M194">
        <v>1695</v>
      </c>
    </row>
    <row r="195" spans="1:19" x14ac:dyDescent="0.3">
      <c r="D195" t="s">
        <v>195</v>
      </c>
      <c r="E195" t="s">
        <v>195</v>
      </c>
      <c r="F195" t="s">
        <v>219</v>
      </c>
      <c r="H195" t="s">
        <v>230</v>
      </c>
      <c r="N195" t="s">
        <v>195</v>
      </c>
      <c r="O195" t="s">
        <v>195</v>
      </c>
      <c r="P195" t="s">
        <v>219</v>
      </c>
      <c r="R195" t="s">
        <v>230</v>
      </c>
    </row>
    <row r="196" spans="1:19" ht="15" thickBot="1" x14ac:dyDescent="0.35">
      <c r="A196" s="66" t="s">
        <v>193</v>
      </c>
      <c r="B196" s="66"/>
      <c r="C196" s="66" t="s">
        <v>194</v>
      </c>
      <c r="D196" s="66" t="s">
        <v>196</v>
      </c>
      <c r="E196" s="66" t="s">
        <v>218</v>
      </c>
      <c r="F196" s="66" t="s">
        <v>195</v>
      </c>
      <c r="H196" s="66" t="s">
        <v>231</v>
      </c>
      <c r="I196" s="66" t="s">
        <v>227</v>
      </c>
      <c r="K196" s="66" t="s">
        <v>193</v>
      </c>
      <c r="L196" s="66"/>
      <c r="M196" s="66" t="s">
        <v>194</v>
      </c>
      <c r="N196" s="66" t="s">
        <v>196</v>
      </c>
      <c r="O196" s="66" t="s">
        <v>218</v>
      </c>
      <c r="P196" s="66" t="s">
        <v>195</v>
      </c>
      <c r="R196" s="66" t="s">
        <v>231</v>
      </c>
      <c r="S196" s="66" t="s">
        <v>227</v>
      </c>
    </row>
    <row r="197" spans="1:19" x14ac:dyDescent="0.3">
      <c r="A197" s="67" t="s">
        <v>197</v>
      </c>
      <c r="C197" s="68">
        <v>3720</v>
      </c>
      <c r="D197" s="65">
        <v>0.41</v>
      </c>
      <c r="E197" s="70">
        <f>$C$194*D197</f>
        <v>758.91</v>
      </c>
      <c r="F197" s="69">
        <f>C197+E197</f>
        <v>4478.91</v>
      </c>
      <c r="K197" s="67" t="s">
        <v>197</v>
      </c>
      <c r="M197" s="68">
        <v>3920</v>
      </c>
      <c r="N197" s="65">
        <v>0.41</v>
      </c>
      <c r="O197" s="70">
        <f>N197*$M$194</f>
        <v>694.94999999999993</v>
      </c>
      <c r="P197" s="68">
        <f>M197+O197</f>
        <v>4614.95</v>
      </c>
    </row>
    <row r="198" spans="1:19" x14ac:dyDescent="0.3">
      <c r="A198" s="67" t="s">
        <v>198</v>
      </c>
      <c r="C198" s="68">
        <v>3720</v>
      </c>
      <c r="D198" s="65">
        <v>0.3</v>
      </c>
      <c r="E198" s="70">
        <f t="shared" ref="E198:E240" si="21">$C$194*D198</f>
        <v>555.29999999999995</v>
      </c>
      <c r="F198" s="69">
        <f t="shared" ref="F198:F240" si="22">C198+E198</f>
        <v>4275.3</v>
      </c>
      <c r="K198" s="67" t="s">
        <v>198</v>
      </c>
      <c r="M198" s="68">
        <v>3920</v>
      </c>
      <c r="N198" s="65">
        <v>0.3</v>
      </c>
      <c r="O198" s="70">
        <f t="shared" ref="O198:O240" si="23">N198*$M$194</f>
        <v>508.5</v>
      </c>
      <c r="P198" s="68">
        <f t="shared" ref="P198:P240" si="24">M198+O198</f>
        <v>4428.5</v>
      </c>
    </row>
    <row r="199" spans="1:19" x14ac:dyDescent="0.3">
      <c r="A199" s="67" t="s">
        <v>199</v>
      </c>
      <c r="C199" s="68">
        <v>3720</v>
      </c>
      <c r="D199" s="65">
        <v>0.27</v>
      </c>
      <c r="E199" s="70">
        <f t="shared" si="21"/>
        <v>499.77000000000004</v>
      </c>
      <c r="F199" s="69">
        <f t="shared" si="22"/>
        <v>4219.7700000000004</v>
      </c>
      <c r="G199" t="s">
        <v>220</v>
      </c>
      <c r="H199" s="69">
        <f>AVERAGE(F197:F199)</f>
        <v>4324.66</v>
      </c>
      <c r="I199" s="71">
        <f>H199/$F$192</f>
        <v>42.946990672072069</v>
      </c>
      <c r="K199" s="67" t="s">
        <v>199</v>
      </c>
      <c r="M199" s="68">
        <v>3920</v>
      </c>
      <c r="N199" s="65">
        <v>0.27</v>
      </c>
      <c r="O199" s="70">
        <f t="shared" si="23"/>
        <v>457.65000000000003</v>
      </c>
      <c r="P199" s="68">
        <f t="shared" si="24"/>
        <v>4377.6499999999996</v>
      </c>
      <c r="Q199" t="s">
        <v>220</v>
      </c>
      <c r="R199" s="69">
        <f>AVERAGE(P197:P199)</f>
        <v>4473.7</v>
      </c>
      <c r="S199" s="71">
        <f>R199/$F$192</f>
        <v>44.427065288288283</v>
      </c>
    </row>
    <row r="200" spans="1:19" x14ac:dyDescent="0.3">
      <c r="A200" s="67" t="s">
        <v>200</v>
      </c>
      <c r="C200" s="68">
        <v>3720</v>
      </c>
      <c r="D200" s="65">
        <v>0.24</v>
      </c>
      <c r="E200" s="70">
        <f t="shared" si="21"/>
        <v>444.24</v>
      </c>
      <c r="F200" s="69">
        <f t="shared" si="22"/>
        <v>4164.24</v>
      </c>
      <c r="K200" s="67" t="s">
        <v>200</v>
      </c>
      <c r="M200" s="68">
        <v>3920</v>
      </c>
      <c r="N200" s="65">
        <v>0.24</v>
      </c>
      <c r="O200" s="70">
        <f t="shared" si="23"/>
        <v>406.8</v>
      </c>
      <c r="P200" s="68">
        <f t="shared" si="24"/>
        <v>4326.8</v>
      </c>
    </row>
    <row r="201" spans="1:19" x14ac:dyDescent="0.3">
      <c r="A201" s="67" t="s">
        <v>201</v>
      </c>
      <c r="C201" s="68">
        <v>3720</v>
      </c>
      <c r="D201" s="65">
        <v>0.22</v>
      </c>
      <c r="E201" s="70">
        <f t="shared" si="21"/>
        <v>407.22</v>
      </c>
      <c r="F201" s="69">
        <f t="shared" si="22"/>
        <v>4127.22</v>
      </c>
      <c r="K201" s="67" t="s">
        <v>201</v>
      </c>
      <c r="M201" s="68">
        <v>3920</v>
      </c>
      <c r="N201" s="65">
        <v>0.22</v>
      </c>
      <c r="O201" s="70">
        <f t="shared" si="23"/>
        <v>372.9</v>
      </c>
      <c r="P201" s="68">
        <f t="shared" si="24"/>
        <v>4292.8999999999996</v>
      </c>
    </row>
    <row r="202" spans="1:19" x14ac:dyDescent="0.3">
      <c r="A202" s="67" t="s">
        <v>202</v>
      </c>
      <c r="C202" s="68">
        <v>3720</v>
      </c>
      <c r="D202" s="65">
        <v>0.25</v>
      </c>
      <c r="E202" s="70">
        <f t="shared" si="21"/>
        <v>462.75</v>
      </c>
      <c r="F202" s="69">
        <f t="shared" si="22"/>
        <v>4182.75</v>
      </c>
      <c r="G202" t="s">
        <v>222</v>
      </c>
      <c r="H202" s="69">
        <f>AVERAGE(F200:F202)</f>
        <v>4158.07</v>
      </c>
      <c r="I202" s="71">
        <f>H202/$F$192</f>
        <v>41.292631907207202</v>
      </c>
      <c r="K202" s="67" t="s">
        <v>202</v>
      </c>
      <c r="M202" s="68">
        <v>3920</v>
      </c>
      <c r="N202" s="65">
        <v>0.25</v>
      </c>
      <c r="O202" s="70">
        <f t="shared" si="23"/>
        <v>423.75</v>
      </c>
      <c r="P202" s="68">
        <f t="shared" si="24"/>
        <v>4343.75</v>
      </c>
      <c r="Q202" t="s">
        <v>222</v>
      </c>
      <c r="R202" s="69">
        <f>AVERAGE(P200:P202)</f>
        <v>4321.1500000000005</v>
      </c>
      <c r="S202" s="71">
        <f>R202/$F$192</f>
        <v>42.912133842342342</v>
      </c>
    </row>
    <row r="203" spans="1:19" x14ac:dyDescent="0.3">
      <c r="A203" s="67" t="s">
        <v>203</v>
      </c>
      <c r="C203" s="68">
        <v>3720</v>
      </c>
      <c r="D203" s="65">
        <v>0.25</v>
      </c>
      <c r="E203" s="70">
        <f t="shared" si="21"/>
        <v>462.75</v>
      </c>
      <c r="F203" s="69">
        <f t="shared" si="22"/>
        <v>4182.75</v>
      </c>
      <c r="K203" s="67" t="s">
        <v>203</v>
      </c>
      <c r="M203" s="68">
        <v>3920</v>
      </c>
      <c r="N203" s="65">
        <v>0.25</v>
      </c>
      <c r="O203" s="70">
        <f t="shared" si="23"/>
        <v>423.75</v>
      </c>
      <c r="P203" s="68">
        <f t="shared" si="24"/>
        <v>4343.75</v>
      </c>
    </row>
    <row r="204" spans="1:19" x14ac:dyDescent="0.3">
      <c r="A204" s="67" t="s">
        <v>204</v>
      </c>
      <c r="C204" s="68">
        <v>3720</v>
      </c>
      <c r="D204" s="65">
        <v>0.32</v>
      </c>
      <c r="E204" s="70">
        <f t="shared" si="21"/>
        <v>592.32000000000005</v>
      </c>
      <c r="F204" s="69">
        <f t="shared" si="22"/>
        <v>4312.32</v>
      </c>
      <c r="K204" s="67" t="s">
        <v>204</v>
      </c>
      <c r="M204" s="68">
        <v>3920</v>
      </c>
      <c r="N204" s="65">
        <v>0.32</v>
      </c>
      <c r="O204" s="70">
        <f t="shared" si="23"/>
        <v>542.4</v>
      </c>
      <c r="P204" s="68">
        <f t="shared" si="24"/>
        <v>4462.3999999999996</v>
      </c>
    </row>
    <row r="205" spans="1:19" x14ac:dyDescent="0.3">
      <c r="A205" s="67" t="s">
        <v>205</v>
      </c>
      <c r="C205" s="68">
        <v>3920</v>
      </c>
      <c r="D205" s="65">
        <v>0.33</v>
      </c>
      <c r="E205" s="70">
        <f t="shared" si="21"/>
        <v>610.83000000000004</v>
      </c>
      <c r="F205" s="69">
        <f t="shared" si="22"/>
        <v>4530.83</v>
      </c>
      <c r="G205" t="s">
        <v>221</v>
      </c>
      <c r="H205" s="69">
        <f>AVERAGE(F203:F205)</f>
        <v>4341.9666666666662</v>
      </c>
      <c r="I205" s="71">
        <f>H205/$F$192</f>
        <v>43.118858345345338</v>
      </c>
      <c r="K205" s="67" t="s">
        <v>205</v>
      </c>
      <c r="M205" s="68">
        <v>4220</v>
      </c>
      <c r="N205" s="65">
        <v>0.33</v>
      </c>
      <c r="O205" s="70">
        <f t="shared" si="23"/>
        <v>559.35</v>
      </c>
      <c r="P205" s="68">
        <f t="shared" si="24"/>
        <v>4779.3500000000004</v>
      </c>
      <c r="Q205" t="s">
        <v>221</v>
      </c>
      <c r="R205" s="69">
        <f>AVERAGE(P203:P205)</f>
        <v>4528.5</v>
      </c>
      <c r="S205" s="71">
        <f>R205/$F$192</f>
        <v>44.971268783783785</v>
      </c>
    </row>
    <row r="206" spans="1:19" x14ac:dyDescent="0.3">
      <c r="A206" s="67" t="s">
        <v>206</v>
      </c>
      <c r="C206" s="68">
        <v>3920</v>
      </c>
      <c r="D206" s="65">
        <v>0.35</v>
      </c>
      <c r="E206" s="70">
        <f t="shared" si="21"/>
        <v>647.84999999999991</v>
      </c>
      <c r="F206" s="69">
        <f t="shared" si="22"/>
        <v>4567.8500000000004</v>
      </c>
      <c r="K206" s="67" t="s">
        <v>206</v>
      </c>
      <c r="M206" s="68">
        <v>4220</v>
      </c>
      <c r="N206" s="65">
        <v>0.35</v>
      </c>
      <c r="O206" s="70">
        <f t="shared" si="23"/>
        <v>593.25</v>
      </c>
      <c r="P206" s="68">
        <f t="shared" si="24"/>
        <v>4813.25</v>
      </c>
    </row>
    <row r="207" spans="1:19" x14ac:dyDescent="0.3">
      <c r="A207" s="67" t="s">
        <v>207</v>
      </c>
      <c r="C207" s="68">
        <v>3920</v>
      </c>
      <c r="D207" s="65">
        <v>0.35</v>
      </c>
      <c r="E207" s="70">
        <f t="shared" si="21"/>
        <v>647.84999999999991</v>
      </c>
      <c r="F207" s="69">
        <f t="shared" si="22"/>
        <v>4567.8500000000004</v>
      </c>
      <c r="K207" s="67" t="s">
        <v>207</v>
      </c>
      <c r="M207" s="68">
        <v>4220</v>
      </c>
      <c r="N207" s="65">
        <v>0.35</v>
      </c>
      <c r="O207" s="70">
        <f t="shared" si="23"/>
        <v>593.25</v>
      </c>
      <c r="P207" s="68">
        <f t="shared" si="24"/>
        <v>4813.25</v>
      </c>
    </row>
    <row r="208" spans="1:19" x14ac:dyDescent="0.3">
      <c r="A208" s="67" t="s">
        <v>208</v>
      </c>
      <c r="C208" s="68">
        <v>3920</v>
      </c>
      <c r="D208" s="65">
        <v>0.36</v>
      </c>
      <c r="E208" s="70">
        <f t="shared" si="21"/>
        <v>666.36</v>
      </c>
      <c r="F208" s="69">
        <f t="shared" si="22"/>
        <v>4586.3599999999997</v>
      </c>
      <c r="G208" t="s">
        <v>223</v>
      </c>
      <c r="H208" s="69">
        <f>AVERAGE(F206:F208)</f>
        <v>4574.0200000000004</v>
      </c>
      <c r="I208" s="71">
        <f>H208/$F$192</f>
        <v>45.423315190990991</v>
      </c>
      <c r="K208" s="67" t="s">
        <v>208</v>
      </c>
      <c r="M208" s="68">
        <v>4220</v>
      </c>
      <c r="N208" s="65">
        <v>0.36</v>
      </c>
      <c r="O208" s="70">
        <f t="shared" si="23"/>
        <v>610.19999999999993</v>
      </c>
      <c r="P208" s="68">
        <f t="shared" si="24"/>
        <v>4830.2</v>
      </c>
      <c r="Q208" t="s">
        <v>223</v>
      </c>
      <c r="R208" s="69">
        <f>AVERAGE(P206:P208)</f>
        <v>4818.9000000000005</v>
      </c>
      <c r="S208" s="71">
        <f>R208/$F$192</f>
        <v>47.855150081081085</v>
      </c>
    </row>
    <row r="209" spans="1:19" x14ac:dyDescent="0.3">
      <c r="A209" s="67" t="s">
        <v>209</v>
      </c>
      <c r="C209" s="68">
        <v>3920</v>
      </c>
      <c r="D209" s="65">
        <v>0.39</v>
      </c>
      <c r="E209" s="70">
        <f t="shared" si="21"/>
        <v>721.89</v>
      </c>
      <c r="F209" s="69">
        <f t="shared" si="22"/>
        <v>4641.8900000000003</v>
      </c>
      <c r="K209" s="67" t="s">
        <v>209</v>
      </c>
      <c r="M209" s="68">
        <v>4220</v>
      </c>
      <c r="N209" s="65">
        <v>0.39</v>
      </c>
      <c r="O209" s="70">
        <f t="shared" si="23"/>
        <v>661.05000000000007</v>
      </c>
      <c r="P209" s="68">
        <f t="shared" si="24"/>
        <v>4881.05</v>
      </c>
    </row>
    <row r="210" spans="1:19" x14ac:dyDescent="0.3">
      <c r="A210" s="67" t="s">
        <v>210</v>
      </c>
      <c r="C210" s="68">
        <v>3920</v>
      </c>
      <c r="D210" s="65">
        <v>0.38</v>
      </c>
      <c r="E210" s="70">
        <f t="shared" si="21"/>
        <v>703.38</v>
      </c>
      <c r="F210" s="69">
        <f t="shared" si="22"/>
        <v>4623.38</v>
      </c>
      <c r="K210" s="67" t="s">
        <v>210</v>
      </c>
      <c r="M210" s="68">
        <v>4220</v>
      </c>
      <c r="N210" s="65">
        <v>0.38</v>
      </c>
      <c r="O210" s="70">
        <f t="shared" si="23"/>
        <v>644.1</v>
      </c>
      <c r="P210" s="68">
        <f t="shared" si="24"/>
        <v>4864.1000000000004</v>
      </c>
    </row>
    <row r="211" spans="1:19" x14ac:dyDescent="0.3">
      <c r="A211" s="67" t="s">
        <v>211</v>
      </c>
      <c r="C211" s="68">
        <v>3920</v>
      </c>
      <c r="D211" s="65">
        <v>0.4</v>
      </c>
      <c r="E211" s="70">
        <f t="shared" si="21"/>
        <v>740.40000000000009</v>
      </c>
      <c r="F211" s="69">
        <f t="shared" si="22"/>
        <v>4660.3999999999996</v>
      </c>
      <c r="G211" t="s">
        <v>224</v>
      </c>
      <c r="H211" s="69">
        <f>AVERAGE(F209:F211)</f>
        <v>4641.8900000000003</v>
      </c>
      <c r="I211" s="71">
        <f>H211/$F$192</f>
        <v>46.09731320630631</v>
      </c>
      <c r="K211" s="67" t="s">
        <v>211</v>
      </c>
      <c r="M211" s="68">
        <v>4220</v>
      </c>
      <c r="N211" s="65">
        <v>0.4</v>
      </c>
      <c r="O211" s="70">
        <f t="shared" si="23"/>
        <v>678</v>
      </c>
      <c r="P211" s="68">
        <f t="shared" si="24"/>
        <v>4898</v>
      </c>
      <c r="Q211" t="s">
        <v>224</v>
      </c>
      <c r="R211" s="69">
        <f>AVERAGE(P209:P211)</f>
        <v>4881.05</v>
      </c>
      <c r="S211" s="71">
        <f>R211/$F$192</f>
        <v>48.472344373873874</v>
      </c>
    </row>
    <row r="212" spans="1:19" x14ac:dyDescent="0.3">
      <c r="A212" s="67" t="s">
        <v>212</v>
      </c>
      <c r="C212" s="68">
        <v>3920</v>
      </c>
      <c r="D212" s="65">
        <v>0.39</v>
      </c>
      <c r="E212" s="70">
        <f t="shared" si="21"/>
        <v>721.89</v>
      </c>
      <c r="F212" s="69">
        <f t="shared" si="22"/>
        <v>4641.8900000000003</v>
      </c>
      <c r="K212" s="67" t="s">
        <v>212</v>
      </c>
      <c r="M212" s="68">
        <v>4220</v>
      </c>
      <c r="N212" s="65">
        <v>0.39</v>
      </c>
      <c r="O212" s="70">
        <f t="shared" si="23"/>
        <v>661.05000000000007</v>
      </c>
      <c r="P212" s="68">
        <f t="shared" si="24"/>
        <v>4881.05</v>
      </c>
    </row>
    <row r="213" spans="1:19" x14ac:dyDescent="0.3">
      <c r="A213" s="67" t="s">
        <v>213</v>
      </c>
      <c r="C213" s="68">
        <v>3920</v>
      </c>
      <c r="D213" s="65">
        <v>0.42</v>
      </c>
      <c r="E213" s="70">
        <f t="shared" si="21"/>
        <v>777.42</v>
      </c>
      <c r="F213" s="69">
        <f t="shared" si="22"/>
        <v>4697.42</v>
      </c>
      <c r="K213" s="67" t="s">
        <v>213</v>
      </c>
      <c r="M213" s="68">
        <v>4220</v>
      </c>
      <c r="N213" s="65">
        <v>0.42</v>
      </c>
      <c r="O213" s="70">
        <f t="shared" si="23"/>
        <v>711.9</v>
      </c>
      <c r="P213" s="68">
        <f t="shared" si="24"/>
        <v>4931.8999999999996</v>
      </c>
    </row>
    <row r="214" spans="1:19" x14ac:dyDescent="0.3">
      <c r="A214" s="67" t="s">
        <v>214</v>
      </c>
      <c r="C214" s="68">
        <v>3920</v>
      </c>
      <c r="D214" s="65">
        <v>0.46</v>
      </c>
      <c r="E214" s="70">
        <f t="shared" si="21"/>
        <v>851.46</v>
      </c>
      <c r="F214" s="69">
        <f t="shared" si="22"/>
        <v>4771.46</v>
      </c>
      <c r="G214" t="s">
        <v>225</v>
      </c>
      <c r="H214" s="69">
        <f>AVERAGE(F212:F214)</f>
        <v>4703.59</v>
      </c>
      <c r="I214" s="71">
        <f>H214/$F$192</f>
        <v>46.710038674774772</v>
      </c>
      <c r="K214" s="67" t="s">
        <v>214</v>
      </c>
      <c r="M214" s="68">
        <v>4220</v>
      </c>
      <c r="N214" s="65">
        <v>0.46</v>
      </c>
      <c r="O214" s="70">
        <f t="shared" si="23"/>
        <v>779.7</v>
      </c>
      <c r="P214" s="68">
        <f t="shared" si="24"/>
        <v>4999.7</v>
      </c>
      <c r="Q214" t="s">
        <v>225</v>
      </c>
      <c r="R214" s="69">
        <f>AVERAGE(P212:P214)</f>
        <v>4937.55</v>
      </c>
      <c r="S214" s="71">
        <f>R214/$F$192</f>
        <v>49.033430094594593</v>
      </c>
    </row>
    <row r="215" spans="1:19" x14ac:dyDescent="0.3">
      <c r="A215" s="67" t="s">
        <v>215</v>
      </c>
      <c r="C215" s="68">
        <v>3920</v>
      </c>
      <c r="D215" s="65">
        <v>0.46</v>
      </c>
      <c r="E215" s="70">
        <f t="shared" si="21"/>
        <v>851.46</v>
      </c>
      <c r="F215" s="69">
        <f t="shared" si="22"/>
        <v>4771.46</v>
      </c>
      <c r="K215" s="67" t="s">
        <v>215</v>
      </c>
      <c r="M215" s="68">
        <v>4220</v>
      </c>
      <c r="N215" s="65">
        <v>0.46</v>
      </c>
      <c r="O215" s="70">
        <f t="shared" si="23"/>
        <v>779.7</v>
      </c>
      <c r="P215" s="68">
        <f t="shared" si="24"/>
        <v>4999.7</v>
      </c>
    </row>
    <row r="216" spans="1:19" x14ac:dyDescent="0.3">
      <c r="A216" s="67" t="s">
        <v>216</v>
      </c>
      <c r="C216" s="68">
        <v>3920</v>
      </c>
      <c r="D216" s="65">
        <v>0.43</v>
      </c>
      <c r="E216" s="70">
        <f t="shared" si="21"/>
        <v>795.93</v>
      </c>
      <c r="F216" s="69">
        <f t="shared" si="22"/>
        <v>4715.93</v>
      </c>
      <c r="K216" s="67" t="s">
        <v>216</v>
      </c>
      <c r="M216" s="68">
        <v>4220</v>
      </c>
      <c r="N216" s="65">
        <v>0.43</v>
      </c>
      <c r="O216" s="70">
        <f t="shared" si="23"/>
        <v>728.85</v>
      </c>
      <c r="P216" s="68">
        <f t="shared" si="24"/>
        <v>4948.8500000000004</v>
      </c>
    </row>
    <row r="217" spans="1:19" x14ac:dyDescent="0.3">
      <c r="A217" s="67" t="s">
        <v>217</v>
      </c>
      <c r="C217" s="68">
        <v>3920</v>
      </c>
      <c r="D217" s="65">
        <v>0.42</v>
      </c>
      <c r="E217" s="70">
        <f t="shared" si="21"/>
        <v>777.42</v>
      </c>
      <c r="F217" s="69">
        <f t="shared" si="22"/>
        <v>4697.42</v>
      </c>
      <c r="G217" t="s">
        <v>226</v>
      </c>
      <c r="H217" s="69">
        <f>AVERAGE(F215:F217)</f>
        <v>4728.2699999999995</v>
      </c>
      <c r="I217" s="71">
        <f>H217/$F$192</f>
        <v>46.955128862162155</v>
      </c>
      <c r="K217" s="67" t="s">
        <v>217</v>
      </c>
      <c r="M217" s="68">
        <v>4320</v>
      </c>
      <c r="N217" s="65">
        <v>0.42</v>
      </c>
      <c r="O217" s="70">
        <f t="shared" si="23"/>
        <v>711.9</v>
      </c>
      <c r="P217" s="68">
        <f t="shared" si="24"/>
        <v>5031.8999999999996</v>
      </c>
      <c r="Q217" t="s">
        <v>226</v>
      </c>
      <c r="R217" s="69">
        <f>AVERAGE(P215:P217)</f>
        <v>4993.4833333333327</v>
      </c>
      <c r="S217" s="71">
        <f>R217/$F$192</f>
        <v>49.588888406906896</v>
      </c>
    </row>
    <row r="218" spans="1:19" x14ac:dyDescent="0.3">
      <c r="A218" s="67" t="s">
        <v>247</v>
      </c>
      <c r="C218" s="68">
        <v>3920</v>
      </c>
      <c r="D218" s="65">
        <v>0.43</v>
      </c>
      <c r="E218" s="70">
        <f t="shared" si="21"/>
        <v>795.93</v>
      </c>
      <c r="F218" s="69">
        <f t="shared" si="22"/>
        <v>4715.93</v>
      </c>
      <c r="K218" s="67" t="s">
        <v>247</v>
      </c>
      <c r="M218" s="68">
        <v>4320</v>
      </c>
      <c r="N218" s="65">
        <v>0.43</v>
      </c>
      <c r="O218" s="70">
        <f t="shared" si="23"/>
        <v>728.85</v>
      </c>
      <c r="P218" s="68">
        <f t="shared" si="24"/>
        <v>5048.8500000000004</v>
      </c>
    </row>
    <row r="219" spans="1:19" x14ac:dyDescent="0.3">
      <c r="A219" s="67" t="s">
        <v>248</v>
      </c>
      <c r="C219" s="68">
        <v>4000</v>
      </c>
      <c r="D219" s="65">
        <v>0.43</v>
      </c>
      <c r="E219" s="70">
        <f t="shared" si="21"/>
        <v>795.93</v>
      </c>
      <c r="F219" s="69">
        <f t="shared" si="22"/>
        <v>4795.93</v>
      </c>
      <c r="K219" s="67" t="s">
        <v>248</v>
      </c>
      <c r="M219" s="68">
        <v>4320</v>
      </c>
      <c r="N219" s="65">
        <v>0.43</v>
      </c>
      <c r="O219" s="70">
        <f t="shared" si="23"/>
        <v>728.85</v>
      </c>
      <c r="P219" s="68">
        <f t="shared" si="24"/>
        <v>5048.8500000000004</v>
      </c>
    </row>
    <row r="220" spans="1:19" x14ac:dyDescent="0.3">
      <c r="A220" s="67" t="s">
        <v>249</v>
      </c>
      <c r="C220" s="68">
        <v>4120</v>
      </c>
      <c r="D220" s="65">
        <v>0.46</v>
      </c>
      <c r="E220" s="70">
        <f t="shared" si="21"/>
        <v>851.46</v>
      </c>
      <c r="F220" s="69">
        <f t="shared" si="22"/>
        <v>4971.46</v>
      </c>
      <c r="G220" t="s">
        <v>251</v>
      </c>
      <c r="H220" s="69">
        <f>AVERAGE(F218:F220)</f>
        <v>4827.7733333333335</v>
      </c>
      <c r="I220" s="71">
        <f>H220/$F$192</f>
        <v>47.943268676276276</v>
      </c>
      <c r="K220" s="67" t="s">
        <v>249</v>
      </c>
      <c r="M220" s="68">
        <v>4320</v>
      </c>
      <c r="N220" s="65">
        <v>0.46</v>
      </c>
      <c r="O220" s="70">
        <f t="shared" si="23"/>
        <v>779.7</v>
      </c>
      <c r="P220" s="68">
        <f t="shared" si="24"/>
        <v>5099.7</v>
      </c>
      <c r="Q220" t="s">
        <v>251</v>
      </c>
      <c r="R220" s="69">
        <f>AVERAGE(P218:P220)</f>
        <v>5065.8</v>
      </c>
      <c r="S220" s="71">
        <f>R220/$F$192</f>
        <v>50.30704502702703</v>
      </c>
    </row>
    <row r="221" spans="1:19" x14ac:dyDescent="0.3">
      <c r="A221" s="67" t="s">
        <v>252</v>
      </c>
      <c r="C221" s="68">
        <v>4120</v>
      </c>
      <c r="D221" s="65">
        <v>0.48</v>
      </c>
      <c r="E221" s="70">
        <f t="shared" si="21"/>
        <v>888.48</v>
      </c>
      <c r="F221" s="69">
        <f t="shared" si="22"/>
        <v>5008.4799999999996</v>
      </c>
      <c r="K221" s="67" t="s">
        <v>252</v>
      </c>
      <c r="M221" s="68">
        <v>4320</v>
      </c>
      <c r="N221" s="65">
        <v>0.48</v>
      </c>
      <c r="O221" s="70">
        <f t="shared" si="23"/>
        <v>813.6</v>
      </c>
      <c r="P221" s="68">
        <f t="shared" si="24"/>
        <v>5133.6000000000004</v>
      </c>
    </row>
    <row r="222" spans="1:19" x14ac:dyDescent="0.3">
      <c r="A222" s="67" t="s">
        <v>253</v>
      </c>
      <c r="C222" s="68">
        <v>4120</v>
      </c>
      <c r="D222" s="65">
        <v>0.5</v>
      </c>
      <c r="E222" s="70">
        <f t="shared" si="21"/>
        <v>925.5</v>
      </c>
      <c r="F222" s="69">
        <f t="shared" si="22"/>
        <v>5045.5</v>
      </c>
      <c r="K222" s="67" t="s">
        <v>253</v>
      </c>
      <c r="M222" s="68">
        <v>4320</v>
      </c>
      <c r="N222" s="65">
        <v>0.5</v>
      </c>
      <c r="O222" s="70">
        <f t="shared" si="23"/>
        <v>847.5</v>
      </c>
      <c r="P222" s="68">
        <f t="shared" si="24"/>
        <v>5167.5</v>
      </c>
    </row>
    <row r="223" spans="1:19" x14ac:dyDescent="0.3">
      <c r="A223" s="67" t="s">
        <v>254</v>
      </c>
      <c r="C223" s="68">
        <v>4120</v>
      </c>
      <c r="D223" s="65">
        <v>0.23</v>
      </c>
      <c r="E223" s="70">
        <f t="shared" si="21"/>
        <v>425.73</v>
      </c>
      <c r="F223" s="69">
        <f t="shared" si="22"/>
        <v>4545.7299999999996</v>
      </c>
      <c r="G223" t="s">
        <v>266</v>
      </c>
      <c r="H223" s="69">
        <f>AVERAGE(F221:F223)</f>
        <v>4866.57</v>
      </c>
      <c r="I223" s="70">
        <f>H223/$F$7</f>
        <v>48.328547537837835</v>
      </c>
      <c r="K223" s="67" t="s">
        <v>254</v>
      </c>
      <c r="M223" s="68">
        <v>4320</v>
      </c>
      <c r="N223" s="65">
        <v>0.23</v>
      </c>
      <c r="O223" s="70">
        <f t="shared" si="23"/>
        <v>389.85</v>
      </c>
      <c r="P223" s="68">
        <f t="shared" si="24"/>
        <v>4709.8500000000004</v>
      </c>
      <c r="Q223" t="s">
        <v>266</v>
      </c>
      <c r="R223" s="69">
        <f>AVERAGE(P221:P223)</f>
        <v>5003.6500000000005</v>
      </c>
      <c r="S223" s="70">
        <f>R223/$F$7</f>
        <v>49.689850734234234</v>
      </c>
    </row>
    <row r="224" spans="1:19" x14ac:dyDescent="0.3">
      <c r="A224" s="67" t="s">
        <v>255</v>
      </c>
      <c r="C224" s="68">
        <v>4680</v>
      </c>
      <c r="D224" s="65">
        <v>0.28000000000000003</v>
      </c>
      <c r="E224" s="70">
        <f t="shared" si="21"/>
        <v>518.28000000000009</v>
      </c>
      <c r="F224" s="69">
        <f t="shared" si="22"/>
        <v>5198.28</v>
      </c>
      <c r="K224" s="67" t="s">
        <v>255</v>
      </c>
      <c r="M224" s="68">
        <v>4840</v>
      </c>
      <c r="N224" s="65">
        <v>0.28000000000000003</v>
      </c>
      <c r="O224" s="70">
        <f t="shared" si="23"/>
        <v>474.6</v>
      </c>
      <c r="P224" s="68">
        <f t="shared" si="24"/>
        <v>5314.6</v>
      </c>
    </row>
    <row r="225" spans="1:19" x14ac:dyDescent="0.3">
      <c r="A225" s="67" t="s">
        <v>256</v>
      </c>
      <c r="C225" s="68">
        <v>4680</v>
      </c>
      <c r="D225" s="65">
        <v>0.36</v>
      </c>
      <c r="E225" s="70">
        <f t="shared" si="21"/>
        <v>666.36</v>
      </c>
      <c r="F225" s="69">
        <f t="shared" si="22"/>
        <v>5346.36</v>
      </c>
      <c r="K225" s="67" t="s">
        <v>256</v>
      </c>
      <c r="M225" s="68">
        <v>4840</v>
      </c>
      <c r="N225" s="65">
        <v>0.36</v>
      </c>
      <c r="O225" s="70">
        <f t="shared" si="23"/>
        <v>610.19999999999993</v>
      </c>
      <c r="P225" s="68">
        <f t="shared" si="24"/>
        <v>5450.2</v>
      </c>
    </row>
    <row r="226" spans="1:19" x14ac:dyDescent="0.3">
      <c r="A226" s="67" t="s">
        <v>257</v>
      </c>
      <c r="C226" s="68">
        <v>4680</v>
      </c>
      <c r="D226" s="65">
        <v>0.4</v>
      </c>
      <c r="E226" s="70">
        <f t="shared" si="21"/>
        <v>740.40000000000009</v>
      </c>
      <c r="F226" s="69">
        <f t="shared" si="22"/>
        <v>5420.4</v>
      </c>
      <c r="G226" t="s">
        <v>267</v>
      </c>
      <c r="H226" s="69">
        <f>AVERAGE(F224:F226)</f>
        <v>5321.6799999999994</v>
      </c>
      <c r="I226" s="70">
        <f>H226/$F$7</f>
        <v>52.848117845045039</v>
      </c>
      <c r="K226" s="67" t="s">
        <v>257</v>
      </c>
      <c r="M226" s="68">
        <v>4840</v>
      </c>
      <c r="N226" s="65">
        <v>0.4</v>
      </c>
      <c r="O226" s="70">
        <f t="shared" si="23"/>
        <v>678</v>
      </c>
      <c r="P226" s="68">
        <f t="shared" si="24"/>
        <v>5518</v>
      </c>
      <c r="Q226" t="s">
        <v>267</v>
      </c>
      <c r="R226" s="69">
        <f>AVERAGE(P224:P226)</f>
        <v>5427.5999999999995</v>
      </c>
      <c r="S226" s="70">
        <f>R226/$F$7</f>
        <v>53.899979783783778</v>
      </c>
    </row>
    <row r="227" spans="1:19" x14ac:dyDescent="0.3">
      <c r="A227" s="67" t="s">
        <v>258</v>
      </c>
      <c r="C227" s="68">
        <v>4680</v>
      </c>
      <c r="D227" s="65">
        <v>0.39</v>
      </c>
      <c r="E227" s="70">
        <f t="shared" si="21"/>
        <v>721.89</v>
      </c>
      <c r="F227" s="69">
        <f t="shared" si="22"/>
        <v>5401.89</v>
      </c>
      <c r="K227" s="67" t="s">
        <v>258</v>
      </c>
      <c r="M227" s="68">
        <v>4840</v>
      </c>
      <c r="N227" s="65">
        <v>0.39</v>
      </c>
      <c r="O227" s="70">
        <f t="shared" si="23"/>
        <v>661.05000000000007</v>
      </c>
      <c r="P227" s="68">
        <f t="shared" si="24"/>
        <v>5501.05</v>
      </c>
    </row>
    <row r="228" spans="1:19" x14ac:dyDescent="0.3">
      <c r="A228" s="67" t="s">
        <v>259</v>
      </c>
      <c r="C228" s="68">
        <v>4680</v>
      </c>
      <c r="D228" s="65">
        <v>0.36</v>
      </c>
      <c r="E228" s="70">
        <f t="shared" si="21"/>
        <v>666.36</v>
      </c>
      <c r="F228" s="69">
        <f t="shared" si="22"/>
        <v>5346.36</v>
      </c>
      <c r="K228" s="67" t="s">
        <v>259</v>
      </c>
      <c r="M228" s="68">
        <v>4840</v>
      </c>
      <c r="N228" s="65">
        <v>0.36</v>
      </c>
      <c r="O228" s="70">
        <f t="shared" si="23"/>
        <v>610.19999999999993</v>
      </c>
      <c r="P228" s="68">
        <f t="shared" si="24"/>
        <v>5450.2</v>
      </c>
    </row>
    <row r="229" spans="1:19" x14ac:dyDescent="0.3">
      <c r="A229" s="67" t="s">
        <v>260</v>
      </c>
      <c r="C229" s="68">
        <v>4680</v>
      </c>
      <c r="D229" s="65">
        <v>0.36</v>
      </c>
      <c r="E229" s="70">
        <f t="shared" si="21"/>
        <v>666.36</v>
      </c>
      <c r="F229" s="69">
        <f t="shared" si="22"/>
        <v>5346.36</v>
      </c>
      <c r="G229" t="s">
        <v>268</v>
      </c>
      <c r="H229" s="69">
        <f>AVERAGE(F227:F229)</f>
        <v>5364.87</v>
      </c>
      <c r="I229" s="70">
        <f>H229/$F$7</f>
        <v>53.277025672972968</v>
      </c>
      <c r="K229" s="67" t="s">
        <v>260</v>
      </c>
      <c r="M229" s="68">
        <v>4840</v>
      </c>
      <c r="N229" s="65">
        <v>0.36</v>
      </c>
      <c r="O229" s="70">
        <f t="shared" si="23"/>
        <v>610.19999999999993</v>
      </c>
      <c r="P229" s="68">
        <f t="shared" si="24"/>
        <v>5450.2</v>
      </c>
      <c r="Q229" t="s">
        <v>268</v>
      </c>
      <c r="R229" s="69">
        <f>AVERAGE(P227:P229)</f>
        <v>5467.1500000000005</v>
      </c>
      <c r="S229" s="70">
        <f>R229/$F$7</f>
        <v>54.292739788288294</v>
      </c>
    </row>
    <row r="230" spans="1:19" x14ac:dyDescent="0.3">
      <c r="A230" s="67" t="s">
        <v>261</v>
      </c>
      <c r="C230" s="68">
        <v>4800</v>
      </c>
      <c r="D230" s="65">
        <v>0.35</v>
      </c>
      <c r="E230" s="70">
        <f t="shared" si="21"/>
        <v>647.84999999999991</v>
      </c>
      <c r="F230" s="69">
        <f t="shared" si="22"/>
        <v>5447.85</v>
      </c>
      <c r="K230" s="67" t="s">
        <v>261</v>
      </c>
      <c r="M230" s="68">
        <v>5040</v>
      </c>
      <c r="N230" s="65">
        <v>0.35</v>
      </c>
      <c r="O230" s="70">
        <f t="shared" si="23"/>
        <v>593.25</v>
      </c>
      <c r="P230" s="68">
        <f t="shared" si="24"/>
        <v>5633.25</v>
      </c>
    </row>
    <row r="231" spans="1:19" x14ac:dyDescent="0.3">
      <c r="A231" s="67" t="s">
        <v>262</v>
      </c>
      <c r="C231" s="68">
        <v>4800</v>
      </c>
      <c r="D231" s="65">
        <v>0.34</v>
      </c>
      <c r="E231" s="70">
        <f t="shared" si="21"/>
        <v>629.34</v>
      </c>
      <c r="F231" s="69">
        <f t="shared" si="22"/>
        <v>5429.34</v>
      </c>
      <c r="K231" s="67" t="s">
        <v>262</v>
      </c>
      <c r="M231" s="68">
        <v>5040</v>
      </c>
      <c r="N231" s="65">
        <v>0.34</v>
      </c>
      <c r="O231" s="70">
        <f t="shared" si="23"/>
        <v>576.30000000000007</v>
      </c>
      <c r="P231" s="68">
        <f t="shared" si="24"/>
        <v>5616.3</v>
      </c>
    </row>
    <row r="232" spans="1:19" x14ac:dyDescent="0.3">
      <c r="A232" s="67" t="s">
        <v>263</v>
      </c>
      <c r="C232" s="68">
        <v>4800</v>
      </c>
      <c r="D232" s="65">
        <v>0.33</v>
      </c>
      <c r="E232" s="70">
        <f t="shared" si="21"/>
        <v>610.83000000000004</v>
      </c>
      <c r="F232" s="69">
        <f t="shared" si="22"/>
        <v>5410.83</v>
      </c>
      <c r="G232" t="s">
        <v>270</v>
      </c>
      <c r="H232" s="69">
        <f>AVERAGE(F230:F232)</f>
        <v>5429.34</v>
      </c>
      <c r="I232" s="70">
        <f>H232/$F$7</f>
        <v>53.91725923783784</v>
      </c>
      <c r="K232" s="67" t="s">
        <v>263</v>
      </c>
      <c r="M232" s="68">
        <v>5040</v>
      </c>
      <c r="N232" s="65">
        <v>0.33</v>
      </c>
      <c r="O232" s="70">
        <f t="shared" si="23"/>
        <v>559.35</v>
      </c>
      <c r="P232" s="68">
        <f t="shared" si="24"/>
        <v>5599.35</v>
      </c>
      <c r="Q232" t="s">
        <v>270</v>
      </c>
      <c r="R232" s="69">
        <f>AVERAGE(P230:P232)</f>
        <v>5616.3</v>
      </c>
      <c r="S232" s="70">
        <f>R232/$F$7</f>
        <v>55.773906783783779</v>
      </c>
    </row>
    <row r="233" spans="1:19" x14ac:dyDescent="0.3">
      <c r="A233" s="67" t="s">
        <v>276</v>
      </c>
      <c r="C233" s="68">
        <v>4800</v>
      </c>
      <c r="D233" s="65">
        <v>0.37</v>
      </c>
      <c r="E233" s="70">
        <f t="shared" si="21"/>
        <v>684.87</v>
      </c>
      <c r="F233" s="69">
        <f t="shared" si="22"/>
        <v>5484.87</v>
      </c>
      <c r="K233" s="67" t="s">
        <v>276</v>
      </c>
      <c r="M233" s="68">
        <v>5040</v>
      </c>
      <c r="N233" s="65">
        <v>0.37</v>
      </c>
      <c r="O233" s="70">
        <f t="shared" si="23"/>
        <v>627.15</v>
      </c>
      <c r="P233" s="68">
        <f t="shared" si="24"/>
        <v>5667.15</v>
      </c>
    </row>
    <row r="234" spans="1:19" x14ac:dyDescent="0.3">
      <c r="A234" s="67" t="s">
        <v>277</v>
      </c>
      <c r="C234" s="68">
        <v>4800</v>
      </c>
      <c r="D234" s="65">
        <v>0.35</v>
      </c>
      <c r="E234" s="70">
        <f t="shared" si="21"/>
        <v>647.84999999999991</v>
      </c>
      <c r="F234" s="69">
        <f t="shared" si="22"/>
        <v>5447.85</v>
      </c>
      <c r="K234" s="67" t="s">
        <v>277</v>
      </c>
      <c r="M234" s="68">
        <v>5040</v>
      </c>
      <c r="N234" s="65">
        <v>0.35</v>
      </c>
      <c r="O234" s="70">
        <f t="shared" si="23"/>
        <v>593.25</v>
      </c>
      <c r="P234" s="68">
        <f t="shared" si="24"/>
        <v>5633.25</v>
      </c>
    </row>
    <row r="235" spans="1:19" x14ac:dyDescent="0.3">
      <c r="A235" s="67" t="s">
        <v>278</v>
      </c>
      <c r="C235" s="68">
        <v>4800</v>
      </c>
      <c r="D235" s="65">
        <v>0.34</v>
      </c>
      <c r="E235" s="70">
        <f t="shared" si="21"/>
        <v>629.34</v>
      </c>
      <c r="F235" s="69">
        <f t="shared" si="22"/>
        <v>5429.34</v>
      </c>
      <c r="G235" t="s">
        <v>279</v>
      </c>
      <c r="H235" s="69">
        <f>AVERAGE(F233:F235)</f>
        <v>5454.02</v>
      </c>
      <c r="I235" s="70">
        <f>H235/$F$7</f>
        <v>54.16234942522523</v>
      </c>
      <c r="K235" s="67" t="s">
        <v>278</v>
      </c>
      <c r="M235" s="68">
        <v>5040</v>
      </c>
      <c r="N235" s="65">
        <v>0.34</v>
      </c>
      <c r="O235" s="70">
        <f t="shared" si="23"/>
        <v>576.30000000000007</v>
      </c>
      <c r="P235" s="68">
        <f t="shared" si="24"/>
        <v>5616.3</v>
      </c>
      <c r="Q235" t="s">
        <v>279</v>
      </c>
      <c r="R235" s="69">
        <f>AVERAGE(P233:P235)</f>
        <v>5638.9000000000005</v>
      </c>
      <c r="S235" s="70">
        <f>R235/$F$7</f>
        <v>55.998341072072073</v>
      </c>
    </row>
    <row r="236" spans="1:19" x14ac:dyDescent="0.3">
      <c r="A236" s="67" t="s">
        <v>281</v>
      </c>
      <c r="C236" s="68">
        <v>4800</v>
      </c>
      <c r="D236" s="65">
        <v>0.37</v>
      </c>
      <c r="E236" s="70">
        <f t="shared" si="21"/>
        <v>684.87</v>
      </c>
      <c r="F236" s="69">
        <f t="shared" si="22"/>
        <v>5484.87</v>
      </c>
      <c r="K236" s="67" t="s">
        <v>281</v>
      </c>
      <c r="M236" s="68">
        <v>5040</v>
      </c>
      <c r="N236" s="65">
        <v>0.37</v>
      </c>
      <c r="O236" s="70">
        <f t="shared" si="23"/>
        <v>627.15</v>
      </c>
      <c r="P236" s="68">
        <f t="shared" si="24"/>
        <v>5667.15</v>
      </c>
    </row>
    <row r="237" spans="1:19" x14ac:dyDescent="0.3">
      <c r="A237" s="67" t="s">
        <v>282</v>
      </c>
      <c r="C237" s="68">
        <v>4800</v>
      </c>
      <c r="D237" s="65">
        <v>0.41</v>
      </c>
      <c r="E237" s="70">
        <f t="shared" si="21"/>
        <v>758.91</v>
      </c>
      <c r="F237" s="69">
        <f t="shared" si="22"/>
        <v>5558.91</v>
      </c>
      <c r="K237" s="67" t="s">
        <v>282</v>
      </c>
      <c r="M237" s="68">
        <v>5040</v>
      </c>
      <c r="N237" s="65">
        <v>0.41</v>
      </c>
      <c r="O237" s="70">
        <f t="shared" si="23"/>
        <v>694.94999999999993</v>
      </c>
      <c r="P237" s="68">
        <f t="shared" si="24"/>
        <v>5734.95</v>
      </c>
    </row>
    <row r="238" spans="1:19" x14ac:dyDescent="0.3">
      <c r="A238" s="67" t="s">
        <v>283</v>
      </c>
      <c r="C238" s="68">
        <v>4800</v>
      </c>
      <c r="D238" s="65">
        <v>0.41</v>
      </c>
      <c r="E238" s="70">
        <f t="shared" si="21"/>
        <v>758.91</v>
      </c>
      <c r="F238" s="69">
        <f t="shared" si="22"/>
        <v>5558.91</v>
      </c>
      <c r="G238" t="s">
        <v>289</v>
      </c>
      <c r="H238" s="69">
        <f>AVERAGE(F236:F238)</f>
        <v>5534.23</v>
      </c>
      <c r="I238" s="70">
        <f>H238/$F$7</f>
        <v>54.958892534234231</v>
      </c>
      <c r="K238" s="67" t="s">
        <v>283</v>
      </c>
      <c r="M238" s="68">
        <v>5040</v>
      </c>
      <c r="N238" s="65">
        <v>0.41</v>
      </c>
      <c r="O238" s="70">
        <f t="shared" si="23"/>
        <v>694.94999999999993</v>
      </c>
      <c r="P238" s="68">
        <f t="shared" si="24"/>
        <v>5734.95</v>
      </c>
      <c r="Q238" t="s">
        <v>289</v>
      </c>
      <c r="R238" s="69">
        <f>AVERAGE(P236:P238)</f>
        <v>5712.3499999999995</v>
      </c>
      <c r="S238" s="70">
        <f>R238/$F$7</f>
        <v>56.727752509009001</v>
      </c>
    </row>
    <row r="239" spans="1:19" x14ac:dyDescent="0.3">
      <c r="A239" s="67" t="s">
        <v>284</v>
      </c>
      <c r="C239" s="68">
        <v>4800</v>
      </c>
      <c r="D239" s="65">
        <v>0.37</v>
      </c>
      <c r="E239" s="70">
        <f t="shared" si="21"/>
        <v>684.87</v>
      </c>
      <c r="F239" s="69">
        <f t="shared" si="22"/>
        <v>5484.87</v>
      </c>
      <c r="K239" s="67" t="s">
        <v>284</v>
      </c>
      <c r="M239" s="68">
        <v>5040</v>
      </c>
      <c r="N239" s="65">
        <v>0.37</v>
      </c>
      <c r="O239" s="70">
        <f t="shared" si="23"/>
        <v>627.15</v>
      </c>
      <c r="P239" s="68">
        <f t="shared" si="24"/>
        <v>5667.15</v>
      </c>
    </row>
    <row r="240" spans="1:19" x14ac:dyDescent="0.3">
      <c r="A240" s="67" t="s">
        <v>285</v>
      </c>
      <c r="C240" s="68">
        <v>4800</v>
      </c>
      <c r="D240" s="65">
        <v>0.32</v>
      </c>
      <c r="E240" s="70">
        <f t="shared" si="21"/>
        <v>592.32000000000005</v>
      </c>
      <c r="F240" s="69">
        <f t="shared" si="22"/>
        <v>5392.32</v>
      </c>
      <c r="K240" s="67" t="s">
        <v>285</v>
      </c>
      <c r="M240" s="68">
        <v>5040</v>
      </c>
      <c r="N240" s="65">
        <v>0.32</v>
      </c>
      <c r="O240" s="70">
        <f t="shared" si="23"/>
        <v>542.4</v>
      </c>
      <c r="P240" s="68">
        <f t="shared" si="24"/>
        <v>5582.4</v>
      </c>
    </row>
    <row r="241" spans="1:19" x14ac:dyDescent="0.3">
      <c r="A241" s="67" t="s">
        <v>286</v>
      </c>
      <c r="C241" s="68">
        <v>4800</v>
      </c>
      <c r="D241" s="65">
        <v>0.31</v>
      </c>
      <c r="E241" s="70">
        <f t="shared" ref="E241:E244" si="25">$C$194*D241</f>
        <v>573.80999999999995</v>
      </c>
      <c r="F241" s="69">
        <f t="shared" ref="F241:F244" si="26">C241+E241</f>
        <v>5373.8099999999995</v>
      </c>
      <c r="G241" t="s">
        <v>290</v>
      </c>
      <c r="H241" s="69">
        <f>AVERAGE(F239:F241)</f>
        <v>5416.9999999999991</v>
      </c>
      <c r="I241" s="70">
        <f>H241/$F$7</f>
        <v>53.79471414414413</v>
      </c>
      <c r="K241" s="67" t="s">
        <v>286</v>
      </c>
      <c r="M241" s="68">
        <v>5040</v>
      </c>
      <c r="N241" s="65">
        <v>0.31</v>
      </c>
      <c r="O241" s="70">
        <f t="shared" ref="O241:O244" si="27">N241*$M$194</f>
        <v>525.45000000000005</v>
      </c>
      <c r="P241" s="68">
        <f t="shared" ref="P241:P244" si="28">M241+O241</f>
        <v>5565.45</v>
      </c>
      <c r="Q241" t="s">
        <v>290</v>
      </c>
      <c r="R241" s="69">
        <f>AVERAGE(P239:P241)</f>
        <v>5605</v>
      </c>
      <c r="S241" s="70">
        <f>R241/$F$7</f>
        <v>55.66168963963964</v>
      </c>
    </row>
    <row r="242" spans="1:19" x14ac:dyDescent="0.3">
      <c r="A242" s="67" t="s">
        <v>280</v>
      </c>
      <c r="C242" s="68">
        <v>4800</v>
      </c>
      <c r="D242" s="65">
        <v>0.38</v>
      </c>
      <c r="E242" s="70">
        <f t="shared" si="25"/>
        <v>703.38</v>
      </c>
      <c r="F242" s="69">
        <f t="shared" si="26"/>
        <v>5503.38</v>
      </c>
      <c r="K242" s="67" t="s">
        <v>280</v>
      </c>
      <c r="M242" s="68">
        <v>5340</v>
      </c>
      <c r="N242" s="65">
        <v>0.38</v>
      </c>
      <c r="O242" s="70">
        <f t="shared" si="27"/>
        <v>644.1</v>
      </c>
      <c r="P242" s="68">
        <f t="shared" si="28"/>
        <v>5984.1</v>
      </c>
    </row>
    <row r="243" spans="1:19" x14ac:dyDescent="0.3">
      <c r="A243" s="67" t="s">
        <v>287</v>
      </c>
      <c r="C243" s="68">
        <v>4800</v>
      </c>
      <c r="D243" s="65">
        <v>0.41</v>
      </c>
      <c r="E243" s="70">
        <f t="shared" si="25"/>
        <v>758.91</v>
      </c>
      <c r="F243" s="69">
        <f t="shared" si="26"/>
        <v>5558.91</v>
      </c>
      <c r="K243" s="67" t="s">
        <v>287</v>
      </c>
      <c r="M243" s="68">
        <v>5340</v>
      </c>
      <c r="N243" s="65">
        <v>0.41</v>
      </c>
      <c r="O243" s="70">
        <f t="shared" si="27"/>
        <v>694.94999999999993</v>
      </c>
      <c r="P243" s="68">
        <f t="shared" si="28"/>
        <v>6034.95</v>
      </c>
    </row>
    <row r="244" spans="1:19" x14ac:dyDescent="0.3">
      <c r="A244" s="67" t="s">
        <v>288</v>
      </c>
      <c r="C244" s="68">
        <v>4800</v>
      </c>
      <c r="D244" s="65">
        <v>0.4</v>
      </c>
      <c r="E244" s="70">
        <f t="shared" si="25"/>
        <v>740.40000000000009</v>
      </c>
      <c r="F244" s="69">
        <f t="shared" si="26"/>
        <v>5540.4</v>
      </c>
      <c r="G244" t="s">
        <v>291</v>
      </c>
      <c r="H244" s="69">
        <f>AVERAGE(F242:F244)</f>
        <v>5534.2300000000005</v>
      </c>
      <c r="I244" s="70">
        <f>H244/$F$7</f>
        <v>54.958892534234238</v>
      </c>
      <c r="K244" s="67" t="s">
        <v>288</v>
      </c>
      <c r="M244" s="68">
        <v>5320</v>
      </c>
      <c r="N244" s="65">
        <v>0.4</v>
      </c>
      <c r="O244" s="70">
        <f t="shared" si="27"/>
        <v>678</v>
      </c>
      <c r="P244" s="68">
        <f t="shared" si="28"/>
        <v>5998</v>
      </c>
      <c r="Q244" t="s">
        <v>291</v>
      </c>
      <c r="R244" s="69">
        <f>AVERAGE(P242:P244)</f>
        <v>6005.6833333333334</v>
      </c>
      <c r="S244" s="70">
        <f>R244/$F$7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2013-12-02T17:43:54Z</dcterms:modified>
</cp:coreProperties>
</file>