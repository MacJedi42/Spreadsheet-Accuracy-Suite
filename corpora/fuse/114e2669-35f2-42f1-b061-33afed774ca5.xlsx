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5" yWindow="135" windowWidth="14160" windowHeight="8520"/>
  </bookViews>
  <sheets>
    <sheet name="Base SOW - Cost Table" sheetId="1" r:id="rId1"/>
  </sheets>
  <definedNames>
    <definedName name="_xlnm.Print_Area" localSheetId="0">'Base SOW - Cost Table'!$A$1:$J$53</definedName>
  </definedNames>
  <calcPr calcId="145621"/>
</workbook>
</file>

<file path=xl/calcChain.xml><?xml version="1.0" encoding="utf-8"?>
<calcChain xmlns="http://schemas.openxmlformats.org/spreadsheetml/2006/main">
  <c r="H32" i="1"/>
  <c r="G32"/>
  <c r="G33"/>
  <c r="E32"/>
  <c r="E33"/>
  <c r="D32"/>
  <c r="D33"/>
  <c r="J31"/>
  <c r="J30"/>
  <c r="J29"/>
  <c r="J28"/>
  <c r="J27"/>
  <c r="J26"/>
  <c r="J25"/>
  <c r="J24"/>
  <c r="J23"/>
  <c r="J22"/>
  <c r="J21"/>
  <c r="J19"/>
  <c r="J18"/>
  <c r="J17"/>
  <c r="J16"/>
  <c r="J14"/>
  <c r="I32"/>
  <c r="I33"/>
  <c r="H33"/>
  <c r="F32"/>
  <c r="F33"/>
  <c r="J33"/>
  <c r="C32"/>
  <c r="C33"/>
</calcChain>
</file>

<file path=xl/sharedStrings.xml><?xml version="1.0" encoding="utf-8"?>
<sst xmlns="http://schemas.openxmlformats.org/spreadsheetml/2006/main" count="71" uniqueCount="56">
  <si>
    <t>COST COMPONENT</t>
  </si>
  <si>
    <t>Base SOW Subtotal</t>
  </si>
  <si>
    <t>Anticipated # of Milestone Payments</t>
  </si>
  <si>
    <t>Labor</t>
  </si>
  <si>
    <t>Bidders shall enter costs for each labor/ODC/Sub category based on the proposed payment for achieving each milestone.  The total cost for completion of each Task will be the "Subtotal" multiplied by the "Anticipated # of Milestone Payments"</t>
  </si>
  <si>
    <r>
      <t>Other Direct Costs</t>
    </r>
    <r>
      <rPr>
        <b/>
        <vertAlign val="superscript"/>
        <sz val="12"/>
        <rFont val="Arial"/>
        <family val="2"/>
      </rPr>
      <t>1</t>
    </r>
  </si>
  <si>
    <r>
      <t xml:space="preserve">ODC </t>
    </r>
    <r>
      <rPr>
        <sz val="12"/>
        <rFont val="Arial"/>
        <family val="2"/>
      </rPr>
      <t>≥</t>
    </r>
    <r>
      <rPr>
        <sz val="12"/>
        <rFont val="Arial"/>
        <family val="2"/>
      </rPr>
      <t xml:space="preserve">$5,000 (Specify) </t>
    </r>
  </si>
  <si>
    <t>Other ODCs</t>
  </si>
  <si>
    <r>
      <t>Subcontracted Costs</t>
    </r>
    <r>
      <rPr>
        <b/>
        <vertAlign val="superscript"/>
        <sz val="12"/>
        <rFont val="Arial"/>
        <family val="2"/>
      </rPr>
      <t>2</t>
    </r>
  </si>
  <si>
    <t>Other (specify)</t>
  </si>
  <si>
    <t>Per Milestone Subtotal</t>
  </si>
  <si>
    <t>Total</t>
  </si>
  <si>
    <t>Schedule of Unit Labor Rates</t>
  </si>
  <si>
    <t>HOURLY RATE</t>
  </si>
  <si>
    <t>Sr. Project Engineer, P.E.</t>
  </si>
  <si>
    <t>Sr. Hydrogeologist, P.G.</t>
  </si>
  <si>
    <t>Project Manager</t>
  </si>
  <si>
    <t>Word Processor</t>
  </si>
  <si>
    <t>Project Coordinator</t>
  </si>
  <si>
    <t>Junior Professional</t>
  </si>
  <si>
    <t>Subcontractor / Vendor Mark-up (%)</t>
  </si>
  <si>
    <t xml:space="preserve"> (A mark-up percentage no greater than 10% is acceptable to the Solicitor &amp; USTIF)</t>
  </si>
  <si>
    <t xml:space="preserve">1 - Individual other direct cost line items totaling $5,000 or more must be specified (use separate sheet, if necessary).    </t>
  </si>
  <si>
    <t>2 - Details related to subcontracted costs are requested by the Solicitor to assist in the evaluation of the costs associated with the performance of this work.</t>
  </si>
  <si>
    <t>A</t>
  </si>
  <si>
    <t>C</t>
  </si>
  <si>
    <t>F</t>
  </si>
  <si>
    <t>Draftsman / CADD</t>
  </si>
  <si>
    <t>E</t>
  </si>
  <si>
    <t>Drilling Firm</t>
  </si>
  <si>
    <t>Analytical - Waste Disposal</t>
  </si>
  <si>
    <t>Analytical - Groundwater</t>
  </si>
  <si>
    <t>Waste T&amp;D</t>
  </si>
  <si>
    <t>Bid Cost Spreadsheet</t>
  </si>
  <si>
    <t>Professional Surveyor</t>
  </si>
  <si>
    <t>Analytical - Soil</t>
  </si>
  <si>
    <t>1900 Cumberland Street</t>
  </si>
  <si>
    <t>Lebanon, Pennyslvania</t>
  </si>
  <si>
    <t>Milestone D:                                                             Groundwater Attainment Demonstration</t>
  </si>
  <si>
    <t>D1 through D8</t>
  </si>
  <si>
    <t>Milestone E:                                                                 Prepare/Submit Draft and Final Remedial Action Completion Report</t>
  </si>
  <si>
    <t>B</t>
  </si>
  <si>
    <t>Milestone A:                                                    Site Vapor Intrusion Screening</t>
  </si>
  <si>
    <t>Ebersole, Inc.</t>
  </si>
  <si>
    <t>Attachment 2</t>
  </si>
  <si>
    <t>Schedule of Unit Rates</t>
  </si>
  <si>
    <t>Additional Cost per Unit</t>
  </si>
  <si>
    <t>Milestone C - All inclusive fixed unit-rate per soil boring ($/boring)</t>
  </si>
  <si>
    <t>Milestone D - All inclusive fixed unit-rate per additional attainment well ($/well)</t>
  </si>
  <si>
    <t>Milestone B:                              Professional Surveying of Well MW-9</t>
  </si>
  <si>
    <t>Milestone C:                                        Soil Attainment Demonstration</t>
  </si>
  <si>
    <t>Milestone F:                                  Site Restoration</t>
  </si>
  <si>
    <t>Sub-Milestones</t>
  </si>
  <si>
    <t>NA</t>
  </si>
  <si>
    <t>Milestones D1 - D8</t>
  </si>
  <si>
    <t>Milestone D - All inclusive fixed unit-rate per quarterly groundwater attainment sampling and reporting event ($/event)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</si>
</sst>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sz val="10"/>
      <name val="Arial"/>
    </font>
    <font>
      <b/>
      <sz val="14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vertAlign val="superscript"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20"/>
      <color indexed="10"/>
      <name val="Arial"/>
      <family val="2"/>
    </font>
    <font>
      <b/>
      <sz val="14"/>
      <color indexed="17"/>
      <name val="Arial"/>
      <family val="2"/>
    </font>
    <font>
      <sz val="14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164" fontId="3" fillId="2" borderId="1" xfId="0" applyNumberFormat="1" applyFont="1" applyFill="1" applyBorder="1" applyAlignment="1" applyProtection="1">
      <alignment horizontal="center"/>
    </xf>
    <xf numFmtId="0" fontId="4" fillId="0" borderId="0" xfId="0" applyFont="1"/>
    <xf numFmtId="164" fontId="2" fillId="2" borderId="1" xfId="0" applyNumberFormat="1" applyFont="1" applyFill="1" applyBorder="1" applyAlignment="1" applyProtection="1">
      <alignment horizontal="center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4" fontId="3" fillId="2" borderId="4" xfId="0" applyNumberFormat="1" applyFont="1" applyFill="1" applyBorder="1" applyAlignment="1" applyProtection="1">
      <alignment horizontal="center"/>
    </xf>
    <xf numFmtId="0" fontId="2" fillId="0" borderId="0" xfId="0" applyFont="1" applyProtection="1">
      <protection locked="0"/>
    </xf>
    <xf numFmtId="0" fontId="2" fillId="0" borderId="0" xfId="0" applyFont="1" applyBorder="1"/>
    <xf numFmtId="0" fontId="2" fillId="0" borderId="0" xfId="0" applyFont="1" applyAlignment="1" applyProtection="1">
      <alignment vertical="top"/>
      <protection locked="0"/>
    </xf>
    <xf numFmtId="0" fontId="2" fillId="0" borderId="5" xfId="0" applyFont="1" applyBorder="1" applyAlignment="1" applyProtection="1">
      <alignment vertical="top"/>
      <protection locked="0"/>
    </xf>
    <xf numFmtId="0" fontId="2" fillId="0" borderId="6" xfId="0" applyFont="1" applyBorder="1" applyAlignment="1" applyProtection="1">
      <alignment vertical="top"/>
      <protection locked="0"/>
    </xf>
    <xf numFmtId="0" fontId="2" fillId="0" borderId="5" xfId="0" applyFont="1" applyBorder="1" applyAlignment="1" applyProtection="1">
      <alignment vertical="top"/>
    </xf>
    <xf numFmtId="0" fontId="2" fillId="0" borderId="7" xfId="0" applyFont="1" applyBorder="1" applyAlignment="1" applyProtection="1">
      <alignment vertical="top"/>
    </xf>
    <xf numFmtId="0" fontId="2" fillId="0" borderId="0" xfId="0" applyFont="1" applyAlignment="1" applyProtection="1">
      <alignment vertical="top"/>
    </xf>
    <xf numFmtId="0" fontId="2" fillId="0" borderId="0" xfId="0" applyFont="1" applyAlignment="1" applyProtection="1">
      <alignment horizontal="left" vertical="top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</xf>
    <xf numFmtId="0" fontId="2" fillId="0" borderId="9" xfId="0" applyFont="1" applyBorder="1" applyAlignment="1" applyProtection="1">
      <alignment vertical="top"/>
    </xf>
    <xf numFmtId="0" fontId="4" fillId="0" borderId="2" xfId="0" applyFont="1" applyBorder="1" applyAlignment="1" applyProtection="1">
      <alignment horizontal="left"/>
    </xf>
    <xf numFmtId="0" fontId="4" fillId="0" borderId="2" xfId="0" applyFont="1" applyBorder="1" applyProtection="1"/>
    <xf numFmtId="164" fontId="2" fillId="4" borderId="10" xfId="0" applyNumberFormat="1" applyFont="1" applyFill="1" applyBorder="1" applyAlignment="1" applyProtection="1">
      <alignment horizontal="center"/>
      <protection locked="0"/>
    </xf>
    <xf numFmtId="164" fontId="2" fillId="4" borderId="11" xfId="0" applyNumberFormat="1" applyFont="1" applyFill="1" applyBorder="1" applyAlignment="1" applyProtection="1">
      <alignment horizontal="center"/>
      <protection locked="0"/>
    </xf>
    <xf numFmtId="164" fontId="2" fillId="4" borderId="12" xfId="0" applyNumberFormat="1" applyFont="1" applyFill="1" applyBorder="1" applyAlignment="1" applyProtection="1">
      <alignment horizontal="center"/>
      <protection locked="0"/>
    </xf>
    <xf numFmtId="10" fontId="2" fillId="4" borderId="1" xfId="0" applyNumberFormat="1" applyFont="1" applyFill="1" applyBorder="1" applyAlignment="1" applyProtection="1">
      <alignment horizontal="center"/>
      <protection locked="0"/>
    </xf>
    <xf numFmtId="164" fontId="2" fillId="4" borderId="1" xfId="0" applyNumberFormat="1" applyFont="1" applyFill="1" applyBorder="1" applyAlignment="1" applyProtection="1">
      <alignment horizontal="center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3" fillId="6" borderId="13" xfId="0" applyFont="1" applyFill="1" applyBorder="1" applyProtection="1"/>
    <xf numFmtId="0" fontId="3" fillId="6" borderId="2" xfId="0" applyFont="1" applyFill="1" applyBorder="1" applyProtection="1"/>
    <xf numFmtId="0" fontId="4" fillId="6" borderId="2" xfId="0" applyFont="1" applyFill="1" applyBorder="1" applyAlignment="1" applyProtection="1">
      <alignment horizontal="left"/>
      <protection locked="0"/>
    </xf>
    <xf numFmtId="0" fontId="9" fillId="0" borderId="0" xfId="0" applyFont="1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3" fillId="5" borderId="13" xfId="0" applyFont="1" applyFill="1" applyBorder="1" applyAlignment="1" applyProtection="1">
      <alignment horizontal="center" vertical="center" wrapText="1"/>
    </xf>
    <xf numFmtId="0" fontId="3" fillId="5" borderId="7" xfId="0" applyFont="1" applyFill="1" applyBorder="1" applyAlignment="1" applyProtection="1">
      <alignment horizontal="center" vertical="center" wrapText="1"/>
    </xf>
    <xf numFmtId="0" fontId="3" fillId="5" borderId="4" xfId="0" applyFont="1" applyFill="1" applyBorder="1" applyAlignment="1" applyProtection="1">
      <alignment horizontal="center" vertical="center" wrapText="1"/>
    </xf>
    <xf numFmtId="0" fontId="3" fillId="5" borderId="14" xfId="0" applyFont="1" applyFill="1" applyBorder="1" applyAlignment="1" applyProtection="1">
      <alignment horizontal="center" vertical="center" wrapText="1"/>
    </xf>
    <xf numFmtId="0" fontId="3" fillId="5" borderId="15" xfId="0" applyFont="1" applyFill="1" applyBorder="1" applyAlignment="1" applyProtection="1">
      <alignment horizontal="center" vertical="center" wrapText="1"/>
    </xf>
    <xf numFmtId="0" fontId="3" fillId="5" borderId="3" xfId="0" applyFont="1" applyFill="1" applyBorder="1" applyAlignment="1" applyProtection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 wrapText="1"/>
    </xf>
    <xf numFmtId="0" fontId="4" fillId="6" borderId="2" xfId="0" applyFont="1" applyFill="1" applyBorder="1" applyProtection="1"/>
    <xf numFmtId="0" fontId="2" fillId="0" borderId="0" xfId="0" applyFont="1" applyProtection="1"/>
    <xf numFmtId="0" fontId="10" fillId="0" borderId="0" xfId="0" applyFont="1" applyProtection="1"/>
    <xf numFmtId="0" fontId="2" fillId="0" borderId="0" xfId="0" applyFont="1" applyAlignment="1" applyProtection="1"/>
    <xf numFmtId="0" fontId="9" fillId="0" borderId="0" xfId="0" applyFont="1" applyBorder="1" applyAlignment="1" applyProtection="1">
      <alignment horizontal="left" vertical="top"/>
    </xf>
    <xf numFmtId="0" fontId="2" fillId="0" borderId="0" xfId="0" applyFont="1" applyBorder="1" applyAlignment="1" applyProtection="1">
      <alignment horizontal="left" vertical="top"/>
    </xf>
    <xf numFmtId="0" fontId="2" fillId="0" borderId="0" xfId="0" applyFont="1" applyBorder="1" applyAlignment="1" applyProtection="1">
      <alignment vertical="top"/>
    </xf>
    <xf numFmtId="164" fontId="1" fillId="0" borderId="0" xfId="0" applyNumberFormat="1" applyFont="1" applyBorder="1" applyAlignment="1" applyProtection="1">
      <alignment horizontal="center"/>
    </xf>
    <xf numFmtId="164" fontId="3" fillId="0" borderId="1" xfId="0" applyNumberFormat="1" applyFont="1" applyBorder="1" applyAlignment="1" applyProtection="1">
      <alignment horizontal="center"/>
    </xf>
    <xf numFmtId="164" fontId="11" fillId="0" borderId="15" xfId="0" applyNumberFormat="1" applyFont="1" applyBorder="1" applyAlignment="1" applyProtection="1">
      <alignment horizontal="center"/>
    </xf>
    <xf numFmtId="164" fontId="3" fillId="0" borderId="3" xfId="0" applyNumberFormat="1" applyFont="1" applyBorder="1" applyAlignment="1" applyProtection="1">
      <alignment horizontal="center"/>
    </xf>
    <xf numFmtId="0" fontId="3" fillId="0" borderId="0" xfId="0" applyFont="1" applyProtection="1"/>
    <xf numFmtId="164" fontId="4" fillId="0" borderId="0" xfId="0" applyNumberFormat="1" applyFont="1" applyAlignment="1" applyProtection="1">
      <alignment horizontal="center"/>
    </xf>
    <xf numFmtId="164" fontId="2" fillId="6" borderId="0" xfId="0" applyNumberFormat="1" applyFont="1" applyFill="1" applyBorder="1" applyAlignment="1" applyProtection="1"/>
    <xf numFmtId="0" fontId="1" fillId="0" borderId="0" xfId="0" applyFont="1" applyAlignment="1" applyProtection="1">
      <alignment horizontal="center"/>
    </xf>
    <xf numFmtId="164" fontId="3" fillId="7" borderId="1" xfId="0" applyNumberFormat="1" applyFont="1" applyFill="1" applyBorder="1" applyAlignment="1" applyProtection="1">
      <alignment horizontal="center"/>
    </xf>
    <xf numFmtId="0" fontId="13" fillId="0" borderId="0" xfId="0" applyFont="1" applyBorder="1" applyAlignment="1" applyProtection="1">
      <alignment horizontal="center" vertical="top"/>
    </xf>
    <xf numFmtId="164" fontId="2" fillId="6" borderId="0" xfId="0" applyNumberFormat="1" applyFont="1" applyFill="1" applyBorder="1" applyAlignment="1" applyProtection="1">
      <protection locked="0"/>
    </xf>
    <xf numFmtId="164" fontId="2" fillId="0" borderId="0" xfId="0" applyNumberFormat="1" applyFont="1" applyFill="1" applyBorder="1" applyAlignment="1" applyProtection="1">
      <alignment horizontal="center"/>
      <protection locked="0"/>
    </xf>
    <xf numFmtId="0" fontId="3" fillId="3" borderId="16" xfId="0" applyFont="1" applyFill="1" applyBorder="1" applyAlignment="1" applyProtection="1">
      <alignment horizontal="center" vertical="center" wrapText="1"/>
    </xf>
    <xf numFmtId="0" fontId="3" fillId="3" borderId="17" xfId="0" applyFont="1" applyFill="1" applyBorder="1" applyAlignment="1" applyProtection="1">
      <alignment horizontal="center" vertical="center" wrapText="1"/>
    </xf>
    <xf numFmtId="164" fontId="2" fillId="4" borderId="18" xfId="0" applyNumberFormat="1" applyFont="1" applyFill="1" applyBorder="1" applyAlignment="1" applyProtection="1">
      <alignment horizontal="center" vertical="center"/>
      <protection locked="0"/>
    </xf>
    <xf numFmtId="164" fontId="2" fillId="4" borderId="10" xfId="0" applyNumberFormat="1" applyFont="1" applyFill="1" applyBorder="1" applyAlignment="1" applyProtection="1">
      <alignment horizontal="center" vertical="center"/>
      <protection locked="0"/>
    </xf>
    <xf numFmtId="164" fontId="2" fillId="4" borderId="12" xfId="0" applyNumberFormat="1" applyFont="1" applyFill="1" applyBorder="1" applyAlignment="1" applyProtection="1">
      <alignment horizontal="center" vertical="center"/>
      <protection locked="0"/>
    </xf>
    <xf numFmtId="164" fontId="2" fillId="4" borderId="7" xfId="0" applyNumberFormat="1" applyFont="1" applyFill="1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</xf>
    <xf numFmtId="0" fontId="5" fillId="3" borderId="13" xfId="0" applyFont="1" applyFill="1" applyBorder="1" applyAlignment="1" applyProtection="1">
      <alignment horizontal="center" textRotation="90" wrapText="1"/>
    </xf>
    <xf numFmtId="0" fontId="5" fillId="3" borderId="2" xfId="0" applyFont="1" applyFill="1" applyBorder="1" applyAlignment="1" applyProtection="1">
      <alignment horizontal="center" textRotation="90" wrapText="1"/>
    </xf>
    <xf numFmtId="0" fontId="3" fillId="3" borderId="7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13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4" xfId="0" applyFont="1" applyBorder="1" applyAlignment="1" applyProtection="1">
      <alignment horizontal="center"/>
    </xf>
    <xf numFmtId="0" fontId="1" fillId="0" borderId="15" xfId="0" applyFont="1" applyBorder="1" applyAlignment="1" applyProtection="1">
      <alignment horizontal="center"/>
    </xf>
    <xf numFmtId="0" fontId="3" fillId="3" borderId="22" xfId="0" applyFont="1" applyFill="1" applyBorder="1" applyAlignment="1" applyProtection="1">
      <alignment horizontal="center" vertical="center" wrapText="1"/>
    </xf>
    <xf numFmtId="0" fontId="3" fillId="3" borderId="28" xfId="0" applyFont="1" applyFill="1" applyBorder="1" applyAlignment="1" applyProtection="1">
      <alignment horizontal="center" vertical="center" wrapText="1"/>
    </xf>
    <xf numFmtId="0" fontId="0" fillId="0" borderId="14" xfId="0" applyBorder="1" applyAlignment="1" applyProtection="1">
      <alignment horizontal="center" vertical="center" wrapText="1"/>
    </xf>
    <xf numFmtId="0" fontId="0" fillId="0" borderId="15" xfId="0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3" fillId="3" borderId="14" xfId="0" applyFont="1" applyFill="1" applyBorder="1" applyAlignment="1" applyProtection="1">
      <alignment horizontal="center" vertical="center" wrapText="1"/>
    </xf>
    <xf numFmtId="0" fontId="3" fillId="3" borderId="15" xfId="0" applyFont="1" applyFill="1" applyBorder="1" applyAlignment="1" applyProtection="1">
      <alignment horizontal="center" vertical="center" wrapText="1"/>
    </xf>
    <xf numFmtId="164" fontId="3" fillId="0" borderId="29" xfId="0" applyNumberFormat="1" applyFont="1" applyBorder="1" applyAlignment="1" applyProtection="1">
      <alignment horizontal="center"/>
    </xf>
    <xf numFmtId="164" fontId="3" fillId="0" borderId="4" xfId="0" applyNumberFormat="1" applyFont="1" applyBorder="1" applyAlignment="1" applyProtection="1">
      <alignment horizontal="center"/>
    </xf>
    <xf numFmtId="164" fontId="3" fillId="0" borderId="7" xfId="0" applyNumberFormat="1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3" fillId="5" borderId="22" xfId="0" applyFont="1" applyFill="1" applyBorder="1" applyAlignment="1" applyProtection="1">
      <alignment horizontal="center" vertical="center" wrapText="1"/>
    </xf>
    <xf numFmtId="0" fontId="3" fillId="5" borderId="28" xfId="0" applyFont="1" applyFill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/>
    </xf>
    <xf numFmtId="0" fontId="1" fillId="0" borderId="4" xfId="0" applyFont="1" applyBorder="1" applyAlignment="1" applyProtection="1">
      <alignment horizontal="center"/>
    </xf>
    <xf numFmtId="0" fontId="3" fillId="3" borderId="23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164" fontId="2" fillId="2" borderId="7" xfId="0" applyNumberFormat="1" applyFont="1" applyFill="1" applyBorder="1" applyAlignment="1" applyProtection="1">
      <alignment horizontal="center"/>
    </xf>
    <xf numFmtId="0" fontId="5" fillId="0" borderId="19" xfId="0" applyFont="1" applyBorder="1" applyAlignment="1" applyProtection="1">
      <alignment vertical="top" wrapText="1"/>
    </xf>
    <xf numFmtId="0" fontId="0" fillId="0" borderId="20" xfId="0" applyBorder="1" applyAlignment="1" applyProtection="1">
      <alignment vertical="top" wrapText="1"/>
    </xf>
    <xf numFmtId="0" fontId="0" fillId="0" borderId="21" xfId="0" applyBorder="1" applyAlignment="1" applyProtection="1">
      <alignment vertical="top" wrapText="1"/>
    </xf>
    <xf numFmtId="0" fontId="4" fillId="5" borderId="14" xfId="0" applyFont="1" applyFill="1" applyBorder="1" applyAlignment="1" applyProtection="1">
      <alignment horizontal="center" vertical="center" wrapText="1"/>
    </xf>
    <xf numFmtId="0" fontId="3" fillId="5" borderId="15" xfId="0" applyFont="1" applyFill="1" applyBorder="1" applyAlignment="1" applyProtection="1">
      <alignment horizontal="center" vertical="center" wrapText="1"/>
    </xf>
    <xf numFmtId="0" fontId="5" fillId="0" borderId="24" xfId="0" applyFont="1" applyBorder="1" applyAlignment="1" applyProtection="1">
      <alignment horizontal="left" vertical="center" wrapText="1"/>
    </xf>
    <xf numFmtId="0" fontId="5" fillId="0" borderId="25" xfId="0" applyFont="1" applyBorder="1" applyAlignment="1" applyProtection="1">
      <alignment horizontal="left" vertical="center" wrapText="1"/>
    </xf>
    <xf numFmtId="0" fontId="5" fillId="0" borderId="26" xfId="0" applyFont="1" applyBorder="1" applyAlignment="1" applyProtection="1">
      <alignment vertical="top"/>
    </xf>
    <xf numFmtId="0" fontId="0" fillId="0" borderId="27" xfId="0" applyBorder="1" applyAlignment="1" applyProtection="1">
      <alignment vertical="top"/>
    </xf>
    <xf numFmtId="0" fontId="3" fillId="5" borderId="7" xfId="0" applyFont="1" applyFill="1" applyBorder="1" applyAlignment="1" applyProtection="1">
      <alignment horizontal="center" vertical="center" wrapText="1"/>
    </xf>
    <xf numFmtId="0" fontId="0" fillId="0" borderId="4" xfId="0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3:K68"/>
  <sheetViews>
    <sheetView tabSelected="1" zoomScale="75" zoomScaleNormal="75" zoomScaleSheetLayoutView="50" workbookViewId="0">
      <selection activeCell="A8" sqref="A8"/>
    </sheetView>
  </sheetViews>
  <sheetFormatPr defaultColWidth="8.7109375" defaultRowHeight="12"/>
  <cols>
    <col min="1" max="1" width="32" style="1" customWidth="1"/>
    <col min="2" max="2" width="16.140625" style="1" customWidth="1"/>
    <col min="3" max="3" width="26.5703125" style="1" customWidth="1"/>
    <col min="4" max="4" width="17.42578125" style="1" customWidth="1"/>
    <col min="5" max="5" width="8.85546875" style="1" customWidth="1"/>
    <col min="6" max="6" width="26.28515625" style="1" customWidth="1"/>
    <col min="7" max="7" width="27" style="1" customWidth="1"/>
    <col min="8" max="8" width="24.7109375" style="1" customWidth="1"/>
    <col min="9" max="9" width="23" style="1" customWidth="1"/>
    <col min="10" max="10" width="20" style="1" customWidth="1"/>
    <col min="11" max="16384" width="8.7109375" style="1"/>
  </cols>
  <sheetData>
    <row r="3" spans="1:10" ht="18">
      <c r="A3" s="67" t="s">
        <v>44</v>
      </c>
      <c r="B3" s="67"/>
      <c r="C3" s="67"/>
      <c r="D3" s="67"/>
      <c r="E3" s="67"/>
      <c r="F3" s="67"/>
      <c r="G3" s="67"/>
      <c r="H3" s="67"/>
      <c r="I3" s="67"/>
      <c r="J3" s="67"/>
    </row>
    <row r="4" spans="1:10" ht="18">
      <c r="A4" s="67" t="s">
        <v>33</v>
      </c>
      <c r="B4" s="67"/>
      <c r="C4" s="67"/>
      <c r="D4" s="67"/>
      <c r="E4" s="67"/>
      <c r="F4" s="67"/>
      <c r="G4" s="67"/>
      <c r="H4" s="67"/>
      <c r="I4" s="67"/>
      <c r="J4" s="67"/>
    </row>
    <row r="5" spans="1:10" ht="18">
      <c r="A5" s="67" t="s">
        <v>43</v>
      </c>
      <c r="B5" s="67"/>
      <c r="C5" s="67"/>
      <c r="D5" s="67"/>
      <c r="E5" s="67"/>
      <c r="F5" s="67"/>
      <c r="G5" s="67"/>
      <c r="H5" s="67"/>
      <c r="I5" s="67"/>
      <c r="J5" s="67"/>
    </row>
    <row r="6" spans="1:10" s="55" customFormat="1" ht="18">
      <c r="A6" s="67" t="s">
        <v>36</v>
      </c>
      <c r="B6" s="67"/>
      <c r="C6" s="67"/>
      <c r="D6" s="67"/>
      <c r="E6" s="67"/>
      <c r="F6" s="67"/>
      <c r="G6" s="67"/>
      <c r="H6" s="67"/>
      <c r="I6" s="67"/>
      <c r="J6" s="67"/>
    </row>
    <row r="7" spans="1:10" ht="18.75" customHeight="1">
      <c r="A7" s="74" t="s">
        <v>37</v>
      </c>
      <c r="B7" s="74"/>
      <c r="C7" s="74"/>
      <c r="D7" s="74"/>
      <c r="E7" s="74"/>
      <c r="F7" s="74"/>
      <c r="G7" s="74"/>
      <c r="H7" s="74"/>
      <c r="I7" s="74"/>
      <c r="J7" s="74"/>
    </row>
    <row r="8" spans="1:10" ht="25.5" customHeight="1" thickBot="1">
      <c r="A8" s="28"/>
      <c r="B8" s="18"/>
      <c r="C8" s="18"/>
      <c r="D8" s="18"/>
      <c r="E8" s="18"/>
      <c r="F8" s="18"/>
      <c r="G8" s="18"/>
      <c r="H8" s="18"/>
      <c r="I8" s="18"/>
      <c r="J8" s="18"/>
    </row>
    <row r="9" spans="1:10" s="2" customFormat="1" ht="91.5" customHeight="1">
      <c r="A9" s="77" t="s">
        <v>0</v>
      </c>
      <c r="B9" s="78"/>
      <c r="C9" s="72" t="s">
        <v>42</v>
      </c>
      <c r="D9" s="92" t="s">
        <v>49</v>
      </c>
      <c r="E9" s="78"/>
      <c r="F9" s="72" t="s">
        <v>50</v>
      </c>
      <c r="G9" s="72" t="s">
        <v>38</v>
      </c>
      <c r="H9" s="72" t="s">
        <v>40</v>
      </c>
      <c r="I9" s="72" t="s">
        <v>51</v>
      </c>
      <c r="J9" s="72" t="s">
        <v>1</v>
      </c>
    </row>
    <row r="10" spans="1:10" s="2" customFormat="1" ht="19.5" customHeight="1" thickBot="1">
      <c r="A10" s="79"/>
      <c r="B10" s="80"/>
      <c r="C10" s="81"/>
      <c r="D10" s="93"/>
      <c r="E10" s="83"/>
      <c r="F10" s="73"/>
      <c r="G10" s="73"/>
      <c r="H10" s="73"/>
      <c r="I10" s="73"/>
      <c r="J10" s="73"/>
    </row>
    <row r="11" spans="1:10" s="2" customFormat="1" ht="18.75" customHeight="1" thickBot="1">
      <c r="A11" s="77" t="s">
        <v>52</v>
      </c>
      <c r="B11" s="78"/>
      <c r="C11" s="34" t="s">
        <v>53</v>
      </c>
      <c r="D11" s="88" t="s">
        <v>53</v>
      </c>
      <c r="E11" s="89"/>
      <c r="F11" s="34" t="s">
        <v>53</v>
      </c>
      <c r="G11" s="34" t="s">
        <v>54</v>
      </c>
      <c r="H11" s="34" t="s">
        <v>53</v>
      </c>
      <c r="I11" s="34" t="s">
        <v>53</v>
      </c>
      <c r="J11" s="3"/>
    </row>
    <row r="12" spans="1:10" s="2" customFormat="1" ht="2.25" customHeight="1" thickBot="1">
      <c r="A12" s="82"/>
      <c r="B12" s="83"/>
      <c r="C12" s="37" t="s">
        <v>24</v>
      </c>
      <c r="D12" s="98" t="s">
        <v>41</v>
      </c>
      <c r="E12" s="99"/>
      <c r="F12" s="38" t="s">
        <v>25</v>
      </c>
      <c r="G12" s="37" t="s">
        <v>39</v>
      </c>
      <c r="H12" s="37" t="s">
        <v>28</v>
      </c>
      <c r="I12" s="39" t="s">
        <v>26</v>
      </c>
      <c r="J12" s="3"/>
    </row>
    <row r="13" spans="1:10" s="2" customFormat="1" ht="16.5" thickBot="1">
      <c r="A13" s="70" t="s">
        <v>2</v>
      </c>
      <c r="B13" s="71"/>
      <c r="C13" s="35">
        <v>1</v>
      </c>
      <c r="D13" s="104">
        <v>1</v>
      </c>
      <c r="E13" s="105"/>
      <c r="F13" s="36">
        <v>1</v>
      </c>
      <c r="G13" s="35">
        <v>8</v>
      </c>
      <c r="H13" s="35">
        <v>1</v>
      </c>
      <c r="I13" s="40">
        <v>1</v>
      </c>
      <c r="J13" s="3"/>
    </row>
    <row r="14" spans="1:10" s="4" customFormat="1" ht="16.5" thickBot="1">
      <c r="A14" s="29" t="s">
        <v>3</v>
      </c>
      <c r="B14" s="68" t="s">
        <v>4</v>
      </c>
      <c r="C14" s="27">
        <v>0</v>
      </c>
      <c r="D14" s="65">
        <v>0</v>
      </c>
      <c r="E14" s="66"/>
      <c r="F14" s="27">
        <v>0</v>
      </c>
      <c r="G14" s="27">
        <v>0</v>
      </c>
      <c r="H14" s="27">
        <v>0</v>
      </c>
      <c r="I14" s="27">
        <v>0</v>
      </c>
      <c r="J14" s="49">
        <f>+(C14)+D14+F14+(G14*8)+H14+I14</f>
        <v>0</v>
      </c>
    </row>
    <row r="15" spans="1:10" s="4" customFormat="1" ht="19.5" thickBot="1">
      <c r="A15" s="30" t="s">
        <v>5</v>
      </c>
      <c r="B15" s="69"/>
      <c r="C15" s="5"/>
      <c r="D15" s="94"/>
      <c r="E15" s="87"/>
      <c r="F15" s="5"/>
      <c r="G15" s="5">
        <v>0</v>
      </c>
      <c r="H15" s="5"/>
      <c r="I15" s="5"/>
      <c r="J15" s="3"/>
    </row>
    <row r="16" spans="1:10" s="4" customFormat="1" ht="16.5" thickBot="1">
      <c r="A16" s="31" t="s">
        <v>6</v>
      </c>
      <c r="B16" s="69"/>
      <c r="C16" s="27">
        <v>0</v>
      </c>
      <c r="D16" s="65">
        <v>0</v>
      </c>
      <c r="E16" s="66"/>
      <c r="F16" s="27">
        <v>0</v>
      </c>
      <c r="G16" s="27">
        <v>0</v>
      </c>
      <c r="H16" s="27">
        <v>0</v>
      </c>
      <c r="I16" s="27">
        <v>0</v>
      </c>
      <c r="J16" s="49">
        <f t="shared" ref="J16:J31" si="0">+(C16)+D16+F16+(G16*8)+H16+I16</f>
        <v>0</v>
      </c>
    </row>
    <row r="17" spans="1:10" s="4" customFormat="1" ht="16.5" thickBot="1">
      <c r="A17" s="31" t="s">
        <v>6</v>
      </c>
      <c r="B17" s="69"/>
      <c r="C17" s="27">
        <v>0</v>
      </c>
      <c r="D17" s="65">
        <v>0</v>
      </c>
      <c r="E17" s="66"/>
      <c r="F17" s="27">
        <v>0</v>
      </c>
      <c r="G17" s="27">
        <v>0</v>
      </c>
      <c r="H17" s="27">
        <v>0</v>
      </c>
      <c r="I17" s="27">
        <v>0</v>
      </c>
      <c r="J17" s="49">
        <f t="shared" si="0"/>
        <v>0</v>
      </c>
    </row>
    <row r="18" spans="1:10" s="4" customFormat="1" ht="16.5" thickBot="1">
      <c r="A18" s="31" t="s">
        <v>6</v>
      </c>
      <c r="B18" s="69"/>
      <c r="C18" s="27">
        <v>0</v>
      </c>
      <c r="D18" s="65">
        <v>0</v>
      </c>
      <c r="E18" s="66"/>
      <c r="F18" s="27">
        <v>0</v>
      </c>
      <c r="G18" s="27">
        <v>0</v>
      </c>
      <c r="H18" s="27">
        <v>0</v>
      </c>
      <c r="I18" s="27">
        <v>0</v>
      </c>
      <c r="J18" s="49">
        <f t="shared" si="0"/>
        <v>0</v>
      </c>
    </row>
    <row r="19" spans="1:10" s="4" customFormat="1" ht="16.5" thickBot="1">
      <c r="A19" s="41" t="s">
        <v>7</v>
      </c>
      <c r="B19" s="69"/>
      <c r="C19" s="27">
        <v>0</v>
      </c>
      <c r="D19" s="65">
        <v>0</v>
      </c>
      <c r="E19" s="66"/>
      <c r="F19" s="27">
        <v>0</v>
      </c>
      <c r="G19" s="27">
        <v>0</v>
      </c>
      <c r="H19" s="27">
        <v>0</v>
      </c>
      <c r="I19" s="27">
        <v>0</v>
      </c>
      <c r="J19" s="49">
        <f t="shared" si="0"/>
        <v>0</v>
      </c>
    </row>
    <row r="20" spans="1:10" s="4" customFormat="1" ht="19.5" thickBot="1">
      <c r="A20" s="30" t="s">
        <v>8</v>
      </c>
      <c r="B20" s="69"/>
      <c r="C20" s="5"/>
      <c r="D20" s="94"/>
      <c r="E20" s="87"/>
      <c r="F20" s="5"/>
      <c r="G20" s="5">
        <v>0</v>
      </c>
      <c r="H20" s="5"/>
      <c r="I20" s="5">
        <v>0</v>
      </c>
      <c r="J20" s="56"/>
    </row>
    <row r="21" spans="1:10" s="4" customFormat="1" ht="16.5" thickBot="1">
      <c r="A21" s="22" t="s">
        <v>35</v>
      </c>
      <c r="B21" s="69"/>
      <c r="C21" s="27">
        <v>0</v>
      </c>
      <c r="D21" s="65">
        <v>0</v>
      </c>
      <c r="E21" s="66"/>
      <c r="F21" s="27">
        <v>0</v>
      </c>
      <c r="G21" s="27">
        <v>0</v>
      </c>
      <c r="H21" s="27">
        <v>0</v>
      </c>
      <c r="I21" s="27">
        <v>0</v>
      </c>
      <c r="J21" s="49">
        <f t="shared" si="0"/>
        <v>0</v>
      </c>
    </row>
    <row r="22" spans="1:10" s="4" customFormat="1" ht="16.5" thickBot="1">
      <c r="A22" s="21" t="s">
        <v>31</v>
      </c>
      <c r="B22" s="69"/>
      <c r="C22" s="27">
        <v>0</v>
      </c>
      <c r="D22" s="65">
        <v>0</v>
      </c>
      <c r="E22" s="66"/>
      <c r="F22" s="27">
        <v>0</v>
      </c>
      <c r="G22" s="27">
        <v>0</v>
      </c>
      <c r="H22" s="27">
        <v>0</v>
      </c>
      <c r="I22" s="27">
        <v>0</v>
      </c>
      <c r="J22" s="49">
        <f t="shared" si="0"/>
        <v>0</v>
      </c>
    </row>
    <row r="23" spans="1:10" s="4" customFormat="1" ht="16.5" thickBot="1">
      <c r="A23" s="22" t="s">
        <v>30</v>
      </c>
      <c r="B23" s="69"/>
      <c r="C23" s="27">
        <v>0</v>
      </c>
      <c r="D23" s="65">
        <v>0</v>
      </c>
      <c r="E23" s="66"/>
      <c r="F23" s="27">
        <v>0</v>
      </c>
      <c r="G23" s="27">
        <v>0</v>
      </c>
      <c r="H23" s="27">
        <v>0</v>
      </c>
      <c r="I23" s="27">
        <v>0</v>
      </c>
      <c r="J23" s="49">
        <f t="shared" si="0"/>
        <v>0</v>
      </c>
    </row>
    <row r="24" spans="1:10" s="4" customFormat="1" ht="16.5" thickBot="1">
      <c r="A24" s="22" t="s">
        <v>29</v>
      </c>
      <c r="B24" s="69"/>
      <c r="C24" s="27">
        <v>0</v>
      </c>
      <c r="D24" s="65">
        <v>0</v>
      </c>
      <c r="E24" s="66"/>
      <c r="F24" s="27">
        <v>0</v>
      </c>
      <c r="G24" s="27">
        <v>0</v>
      </c>
      <c r="H24" s="27">
        <v>0</v>
      </c>
      <c r="I24" s="27">
        <v>0</v>
      </c>
      <c r="J24" s="49">
        <f t="shared" si="0"/>
        <v>0</v>
      </c>
    </row>
    <row r="25" spans="1:10" s="4" customFormat="1" ht="16.5" thickBot="1">
      <c r="A25" s="21" t="s">
        <v>34</v>
      </c>
      <c r="B25" s="69"/>
      <c r="C25" s="27">
        <v>0</v>
      </c>
      <c r="D25" s="65">
        <v>0</v>
      </c>
      <c r="E25" s="66"/>
      <c r="F25" s="27">
        <v>0</v>
      </c>
      <c r="G25" s="27">
        <v>0</v>
      </c>
      <c r="H25" s="27">
        <v>0</v>
      </c>
      <c r="I25" s="27">
        <v>0</v>
      </c>
      <c r="J25" s="49">
        <f t="shared" si="0"/>
        <v>0</v>
      </c>
    </row>
    <row r="26" spans="1:10" s="4" customFormat="1" ht="16.5" thickBot="1">
      <c r="A26" s="21" t="s">
        <v>32</v>
      </c>
      <c r="B26" s="69"/>
      <c r="C26" s="27">
        <v>0</v>
      </c>
      <c r="D26" s="65">
        <v>0</v>
      </c>
      <c r="E26" s="66"/>
      <c r="F26" s="27">
        <v>0</v>
      </c>
      <c r="G26" s="27">
        <v>0</v>
      </c>
      <c r="H26" s="27">
        <v>0</v>
      </c>
      <c r="I26" s="27">
        <v>0</v>
      </c>
      <c r="J26" s="49">
        <f t="shared" si="0"/>
        <v>0</v>
      </c>
    </row>
    <row r="27" spans="1:10" s="4" customFormat="1" ht="16.5" thickBot="1">
      <c r="A27" s="6" t="s">
        <v>9</v>
      </c>
      <c r="B27" s="69"/>
      <c r="C27" s="27">
        <v>0</v>
      </c>
      <c r="D27" s="65">
        <v>0</v>
      </c>
      <c r="E27" s="66"/>
      <c r="F27" s="27">
        <v>0</v>
      </c>
      <c r="G27" s="27">
        <v>0</v>
      </c>
      <c r="H27" s="27">
        <v>0</v>
      </c>
      <c r="I27" s="27">
        <v>0</v>
      </c>
      <c r="J27" s="49">
        <f t="shared" si="0"/>
        <v>0</v>
      </c>
    </row>
    <row r="28" spans="1:10" s="4" customFormat="1" ht="16.5" thickBot="1">
      <c r="A28" s="6" t="s">
        <v>9</v>
      </c>
      <c r="B28" s="69"/>
      <c r="C28" s="27">
        <v>0</v>
      </c>
      <c r="D28" s="65">
        <v>0</v>
      </c>
      <c r="E28" s="66"/>
      <c r="F28" s="27">
        <v>0</v>
      </c>
      <c r="G28" s="27">
        <v>0</v>
      </c>
      <c r="H28" s="27">
        <v>0</v>
      </c>
      <c r="I28" s="27">
        <v>0</v>
      </c>
      <c r="J28" s="49">
        <f t="shared" si="0"/>
        <v>0</v>
      </c>
    </row>
    <row r="29" spans="1:10" s="4" customFormat="1" ht="16.5" thickBot="1">
      <c r="A29" s="6" t="s">
        <v>9</v>
      </c>
      <c r="B29" s="69"/>
      <c r="C29" s="27">
        <v>0</v>
      </c>
      <c r="D29" s="65">
        <v>0</v>
      </c>
      <c r="E29" s="66"/>
      <c r="F29" s="27">
        <v>0</v>
      </c>
      <c r="G29" s="27">
        <v>0</v>
      </c>
      <c r="H29" s="27">
        <v>0</v>
      </c>
      <c r="I29" s="27">
        <v>0</v>
      </c>
      <c r="J29" s="49">
        <f t="shared" si="0"/>
        <v>0</v>
      </c>
    </row>
    <row r="30" spans="1:10" s="4" customFormat="1" ht="16.5" thickBot="1">
      <c r="A30" s="6" t="s">
        <v>9</v>
      </c>
      <c r="B30" s="69"/>
      <c r="C30" s="27">
        <v>0</v>
      </c>
      <c r="D30" s="65">
        <v>0</v>
      </c>
      <c r="E30" s="66"/>
      <c r="F30" s="27">
        <v>0</v>
      </c>
      <c r="G30" s="27">
        <v>0</v>
      </c>
      <c r="H30" s="27">
        <v>0</v>
      </c>
      <c r="I30" s="27">
        <v>0</v>
      </c>
      <c r="J30" s="49">
        <f t="shared" si="0"/>
        <v>0</v>
      </c>
    </row>
    <row r="31" spans="1:10" s="4" customFormat="1" ht="16.5" thickBot="1">
      <c r="A31" s="7" t="s">
        <v>9</v>
      </c>
      <c r="B31" s="69"/>
      <c r="C31" s="27">
        <v>0</v>
      </c>
      <c r="D31" s="65">
        <v>0</v>
      </c>
      <c r="E31" s="66"/>
      <c r="F31" s="27">
        <v>0</v>
      </c>
      <c r="G31" s="27">
        <v>0</v>
      </c>
      <c r="H31" s="27">
        <v>0</v>
      </c>
      <c r="I31" s="27">
        <v>0</v>
      </c>
      <c r="J31" s="49">
        <f t="shared" si="0"/>
        <v>0</v>
      </c>
    </row>
    <row r="32" spans="1:10" s="4" customFormat="1" ht="18.75" thickBot="1">
      <c r="A32" s="90" t="s">
        <v>10</v>
      </c>
      <c r="B32" s="91"/>
      <c r="C32" s="49">
        <f>SUM(C14:C31)</f>
        <v>0</v>
      </c>
      <c r="D32" s="86">
        <f>SUM(D14:D31)</f>
        <v>0</v>
      </c>
      <c r="E32" s="87">
        <f>SUM(E14:E31)</f>
        <v>0</v>
      </c>
      <c r="F32" s="49">
        <f>SUM(F14:F31)</f>
        <v>0</v>
      </c>
      <c r="G32" s="49">
        <f>SUM(G14:G31)</f>
        <v>0</v>
      </c>
      <c r="H32" s="49">
        <f>+SUM(H14:H31)</f>
        <v>0</v>
      </c>
      <c r="I32" s="49">
        <f>SUM(I14:I31)</f>
        <v>0</v>
      </c>
      <c r="J32" s="8">
        <v>0</v>
      </c>
    </row>
    <row r="33" spans="1:11" s="4" customFormat="1" ht="18.75" thickBot="1">
      <c r="A33" s="75" t="s">
        <v>11</v>
      </c>
      <c r="B33" s="76"/>
      <c r="C33" s="51">
        <f t="shared" ref="C33:I33" si="1">+C32*C13</f>
        <v>0</v>
      </c>
      <c r="D33" s="84">
        <f t="shared" si="1"/>
        <v>0</v>
      </c>
      <c r="E33" s="85">
        <f t="shared" si="1"/>
        <v>0</v>
      </c>
      <c r="F33" s="51">
        <f t="shared" si="1"/>
        <v>0</v>
      </c>
      <c r="G33" s="51">
        <f t="shared" si="1"/>
        <v>0</v>
      </c>
      <c r="H33" s="51">
        <f t="shared" si="1"/>
        <v>0</v>
      </c>
      <c r="I33" s="51">
        <f t="shared" si="1"/>
        <v>0</v>
      </c>
      <c r="J33" s="50">
        <f>SUM(C33:I33)</f>
        <v>0</v>
      </c>
    </row>
    <row r="34" spans="1:11" s="4" customFormat="1" ht="18.75" thickBot="1">
      <c r="A34" s="52"/>
      <c r="B34" s="52"/>
      <c r="C34" s="53"/>
      <c r="D34" s="53"/>
      <c r="E34" s="53"/>
      <c r="F34" s="53"/>
      <c r="G34" s="53"/>
      <c r="H34" s="53"/>
      <c r="I34" s="53"/>
      <c r="J34" s="48"/>
      <c r="K34" s="2"/>
    </row>
    <row r="35" spans="1:11" s="9" customFormat="1" ht="46.5" customHeight="1" thickBot="1">
      <c r="A35" s="19" t="s">
        <v>12</v>
      </c>
      <c r="B35" s="19" t="s">
        <v>13</v>
      </c>
      <c r="C35" s="42"/>
      <c r="D35" s="44"/>
      <c r="E35" s="44"/>
      <c r="F35" s="77" t="s">
        <v>45</v>
      </c>
      <c r="G35" s="92"/>
      <c r="H35" s="92"/>
      <c r="I35" s="60" t="s">
        <v>46</v>
      </c>
      <c r="J35" s="43"/>
    </row>
    <row r="36" spans="1:11" s="11" customFormat="1" ht="13.5" customHeight="1" thickBot="1">
      <c r="A36" s="20" t="s">
        <v>14</v>
      </c>
      <c r="B36" s="24">
        <v>0</v>
      </c>
      <c r="C36" s="16"/>
      <c r="D36" s="16"/>
      <c r="E36" s="16"/>
      <c r="F36" s="82"/>
      <c r="G36" s="93"/>
      <c r="H36" s="93"/>
      <c r="I36" s="61"/>
      <c r="J36" s="16"/>
    </row>
    <row r="37" spans="1:11" s="11" customFormat="1" ht="17.25" customHeight="1">
      <c r="A37" s="14" t="s">
        <v>15</v>
      </c>
      <c r="B37" s="23">
        <v>0</v>
      </c>
      <c r="C37" s="16"/>
      <c r="D37" s="16"/>
      <c r="E37" s="32"/>
      <c r="F37" s="100" t="s">
        <v>47</v>
      </c>
      <c r="G37" s="101"/>
      <c r="H37" s="101"/>
      <c r="I37" s="62">
        <v>0</v>
      </c>
      <c r="J37" s="16"/>
    </row>
    <row r="38" spans="1:11" s="11" customFormat="1" ht="17.25" customHeight="1">
      <c r="A38" s="14" t="s">
        <v>16</v>
      </c>
      <c r="B38" s="23">
        <v>0</v>
      </c>
      <c r="C38" s="16"/>
      <c r="D38" s="16"/>
      <c r="E38" s="32"/>
      <c r="F38" s="102" t="s">
        <v>48</v>
      </c>
      <c r="G38" s="103"/>
      <c r="H38" s="103"/>
      <c r="I38" s="63">
        <v>0</v>
      </c>
      <c r="J38" s="16"/>
    </row>
    <row r="39" spans="1:11" s="11" customFormat="1" ht="28.5" customHeight="1" thickBot="1">
      <c r="A39" s="14" t="s">
        <v>17</v>
      </c>
      <c r="B39" s="23">
        <v>0</v>
      </c>
      <c r="C39" s="16"/>
      <c r="D39" s="16"/>
      <c r="E39" s="32"/>
      <c r="F39" s="95" t="s">
        <v>55</v>
      </c>
      <c r="G39" s="96"/>
      <c r="H39" s="97"/>
      <c r="I39" s="64">
        <v>0</v>
      </c>
      <c r="J39" s="16"/>
    </row>
    <row r="40" spans="1:11" s="11" customFormat="1" ht="12.75">
      <c r="A40" s="14" t="s">
        <v>27</v>
      </c>
      <c r="B40" s="23">
        <v>0</v>
      </c>
      <c r="C40" s="16"/>
      <c r="D40" s="16"/>
      <c r="E40" s="32"/>
      <c r="F40" s="33"/>
      <c r="G40" s="57"/>
      <c r="H40" s="58"/>
      <c r="I40" s="59"/>
      <c r="J40" s="16"/>
    </row>
    <row r="41" spans="1:11" s="11" customFormat="1" ht="12.75">
      <c r="A41" s="14" t="s">
        <v>18</v>
      </c>
      <c r="B41" s="23">
        <v>0</v>
      </c>
      <c r="C41" s="16"/>
      <c r="D41" s="16"/>
      <c r="E41" s="32"/>
      <c r="F41" s="33"/>
      <c r="G41" s="57"/>
      <c r="H41" s="58"/>
      <c r="I41" s="59"/>
      <c r="J41" s="16"/>
    </row>
    <row r="42" spans="1:11" s="11" customFormat="1" ht="12.75">
      <c r="A42" s="14" t="s">
        <v>19</v>
      </c>
      <c r="B42" s="23">
        <v>0</v>
      </c>
      <c r="C42" s="16"/>
      <c r="D42" s="16"/>
      <c r="E42" s="32"/>
      <c r="F42" s="33"/>
      <c r="G42" s="33"/>
      <c r="H42" s="54"/>
      <c r="I42" s="45"/>
      <c r="J42" s="16"/>
    </row>
    <row r="43" spans="1:11" s="11" customFormat="1" ht="12.75">
      <c r="A43" s="12" t="s">
        <v>9</v>
      </c>
      <c r="B43" s="23">
        <v>0</v>
      </c>
      <c r="C43" s="16"/>
      <c r="D43" s="16"/>
      <c r="E43" s="32"/>
      <c r="F43" s="33"/>
      <c r="G43" s="33"/>
      <c r="H43" s="54"/>
      <c r="I43" s="45"/>
      <c r="J43" s="16"/>
    </row>
    <row r="44" spans="1:11" s="11" customFormat="1" ht="12.75">
      <c r="A44" s="12" t="s">
        <v>9</v>
      </c>
      <c r="B44" s="23">
        <v>0</v>
      </c>
      <c r="C44" s="16"/>
      <c r="D44" s="16"/>
      <c r="E44" s="32"/>
      <c r="F44" s="33"/>
      <c r="G44" s="33"/>
      <c r="H44" s="54"/>
      <c r="I44" s="45"/>
      <c r="J44" s="16"/>
    </row>
    <row r="45" spans="1:11" s="11" customFormat="1" ht="12.75">
      <c r="A45" s="12" t="s">
        <v>9</v>
      </c>
      <c r="B45" s="23">
        <v>0</v>
      </c>
      <c r="C45" s="16"/>
      <c r="D45" s="16"/>
      <c r="E45" s="32"/>
      <c r="F45" s="33"/>
      <c r="G45" s="33"/>
      <c r="H45" s="54"/>
      <c r="I45" s="46"/>
      <c r="J45" s="16"/>
    </row>
    <row r="46" spans="1:11" s="11" customFormat="1">
      <c r="A46" s="12" t="s">
        <v>9</v>
      </c>
      <c r="B46" s="23">
        <v>0</v>
      </c>
      <c r="C46" s="16"/>
      <c r="D46" s="16"/>
      <c r="E46" s="45"/>
      <c r="F46" s="46"/>
      <c r="G46" s="46"/>
      <c r="H46" s="54"/>
      <c r="I46" s="46"/>
      <c r="J46" s="16"/>
    </row>
    <row r="47" spans="1:11" s="11" customFormat="1" ht="12.75" thickBot="1">
      <c r="A47" s="13" t="s">
        <v>9</v>
      </c>
      <c r="B47" s="25">
        <v>0</v>
      </c>
      <c r="C47" s="16"/>
      <c r="D47" s="16"/>
      <c r="E47" s="45"/>
      <c r="F47" s="46"/>
      <c r="G47" s="46"/>
      <c r="H47" s="46"/>
      <c r="I47" s="46"/>
      <c r="J47" s="16"/>
    </row>
    <row r="48" spans="1:11" s="11" customFormat="1" ht="12" customHeight="1" thickBot="1">
      <c r="A48" s="16"/>
      <c r="C48" s="16"/>
      <c r="D48" s="16"/>
      <c r="E48" s="47"/>
      <c r="F48" s="47"/>
      <c r="G48" s="47"/>
      <c r="H48" s="47"/>
      <c r="I48" s="47"/>
      <c r="J48" s="16"/>
    </row>
    <row r="49" spans="1:11" s="11" customFormat="1" ht="12.75" thickBot="1">
      <c r="A49" s="15" t="s">
        <v>20</v>
      </c>
      <c r="B49" s="26">
        <v>0</v>
      </c>
      <c r="C49" s="16" t="s">
        <v>21</v>
      </c>
      <c r="D49" s="16"/>
      <c r="E49" s="47"/>
      <c r="F49" s="47"/>
      <c r="G49" s="47"/>
      <c r="H49" s="47"/>
      <c r="I49" s="47"/>
      <c r="J49" s="16"/>
    </row>
    <row r="50" spans="1:11" s="11" customForma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 s="11" customFormat="1">
      <c r="A51" s="17" t="s">
        <v>22</v>
      </c>
      <c r="B51" s="17"/>
      <c r="C51" s="16"/>
      <c r="D51" s="16"/>
      <c r="E51" s="16"/>
      <c r="F51" s="16"/>
      <c r="G51" s="16"/>
      <c r="H51" s="16"/>
      <c r="I51" s="16"/>
      <c r="J51" s="16"/>
      <c r="K51" s="16"/>
    </row>
    <row r="52" spans="1:11" s="11" customFormat="1">
      <c r="A52" s="16" t="s">
        <v>23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 s="11" customFormat="1">
      <c r="A53" s="16"/>
      <c r="B53" s="16"/>
      <c r="C53" s="16"/>
      <c r="D53" s="16"/>
      <c r="E53" s="16"/>
      <c r="F53" s="16"/>
      <c r="G53" s="16"/>
      <c r="H53" s="16"/>
      <c r="I53" s="16"/>
    </row>
    <row r="54" spans="1:11" s="9" customFormat="1" ht="12" customHeight="1">
      <c r="E54" s="16"/>
      <c r="F54" s="16"/>
      <c r="G54" s="16"/>
      <c r="H54" s="16"/>
      <c r="I54" s="16"/>
    </row>
    <row r="55" spans="1:11">
      <c r="E55" s="16"/>
      <c r="F55" s="16"/>
      <c r="G55" s="16"/>
      <c r="H55" s="16"/>
      <c r="I55" s="16"/>
    </row>
    <row r="56" spans="1:11">
      <c r="E56" s="9"/>
      <c r="F56" s="9"/>
      <c r="G56" s="9"/>
      <c r="H56" s="9"/>
      <c r="I56" s="9"/>
    </row>
    <row r="65" spans="1:2">
      <c r="A65" s="10"/>
      <c r="B65" s="10"/>
    </row>
    <row r="66" spans="1:2">
      <c r="A66" s="10"/>
      <c r="B66" s="10"/>
    </row>
    <row r="68" spans="1:2" ht="12" customHeight="1"/>
  </sheetData>
  <sheetProtection password="D9B1" sheet="1" selectLockedCells="1"/>
  <protectedRanges>
    <protectedRange password="D1AF" sqref="B49 A43:A47 C16:I19 H42:I47 C14:I14 C21:I31 B36:B47 E38:G47 H40:H41 E37:F37 H37:H38 I37:I41" name="Range1"/>
  </protectedRanges>
  <mergeCells count="45">
    <mergeCell ref="D18:E18"/>
    <mergeCell ref="D21:E21"/>
    <mergeCell ref="D12:E12"/>
    <mergeCell ref="F35:H36"/>
    <mergeCell ref="F37:H37"/>
    <mergeCell ref="F38:H38"/>
    <mergeCell ref="D13:E13"/>
    <mergeCell ref="D14:E14"/>
    <mergeCell ref="D15:E15"/>
    <mergeCell ref="D28:E28"/>
    <mergeCell ref="D26:E26"/>
    <mergeCell ref="D27:E27"/>
    <mergeCell ref="D30:E30"/>
    <mergeCell ref="D23:E23"/>
    <mergeCell ref="F39:H39"/>
    <mergeCell ref="A33:B33"/>
    <mergeCell ref="A9:B10"/>
    <mergeCell ref="C9:C10"/>
    <mergeCell ref="A11:B12"/>
    <mergeCell ref="D29:E29"/>
    <mergeCell ref="D33:E33"/>
    <mergeCell ref="D32:E32"/>
    <mergeCell ref="D19:E19"/>
    <mergeCell ref="D11:E11"/>
    <mergeCell ref="A32:B32"/>
    <mergeCell ref="A3:J3"/>
    <mergeCell ref="A5:J5"/>
    <mergeCell ref="A6:J6"/>
    <mergeCell ref="J9:J10"/>
    <mergeCell ref="I9:I10"/>
    <mergeCell ref="F9:F10"/>
    <mergeCell ref="H9:H10"/>
    <mergeCell ref="G9:G10"/>
    <mergeCell ref="A7:J7"/>
    <mergeCell ref="D9:E10"/>
    <mergeCell ref="D25:E25"/>
    <mergeCell ref="A4:J4"/>
    <mergeCell ref="B14:B31"/>
    <mergeCell ref="A13:B13"/>
    <mergeCell ref="D24:E24"/>
    <mergeCell ref="D17:E17"/>
    <mergeCell ref="D31:E31"/>
    <mergeCell ref="D16:E16"/>
    <mergeCell ref="D20:E20"/>
    <mergeCell ref="D22:E22"/>
  </mergeCells>
  <phoneticPr fontId="8" type="noConversion"/>
  <printOptions horizontalCentered="1"/>
  <pageMargins left="0.75" right="0.75" top="0.75" bottom="1" header="0.5" footer="0.5"/>
  <pageSetup scale="44" orientation="landscape" horizontalDpi="1200" verticalDpi="1200" r:id="rId1"/>
  <headerFooter alignWithMargins="0">
    <oddFooter>&amp;RRFB Bid Quotation Form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Base SOW - Cost Table</vt:lpstr>
      <vt:lpstr>'Base SOW - Cost Table'!Print_Area</vt:lpstr>
    </vt:vector>
  </TitlesOfParts>
  <Company>Excalibur Group,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Roberts</dc:creator>
  <cp:lastModifiedBy>Amy Steiner</cp:lastModifiedBy>
  <cp:lastPrinted>2011-01-14T18:31:59Z</cp:lastPrinted>
  <dcterms:created xsi:type="dcterms:W3CDTF">2009-03-12T14:50:14Z</dcterms:created>
  <dcterms:modified xsi:type="dcterms:W3CDTF">2013-09-13T18:19:03Z</dcterms:modified>
</cp:coreProperties>
</file>