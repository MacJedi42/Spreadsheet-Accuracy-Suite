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0115" windowHeight="11820"/>
  </bookViews>
  <sheets>
    <sheet name="Pounds &amp; (US Gallons)" sheetId="1" r:id="rId1"/>
    <sheet name="Grams and Litres" sheetId="2" r:id="rId2"/>
    <sheet name="Calculator" sheetId="5" r:id="rId3"/>
  </sheets>
  <calcPr calcId="145621"/>
</workbook>
</file>

<file path=xl/calcChain.xml><?xml version="1.0" encoding="utf-8"?>
<calcChain xmlns="http://schemas.openxmlformats.org/spreadsheetml/2006/main">
  <c r="H10" i="5" l="1"/>
  <c r="H8" i="5" s="1"/>
  <c r="E8" i="5"/>
  <c r="E13" i="5" s="1"/>
  <c r="E10" i="5" l="1"/>
  <c r="E15" i="5" s="1"/>
</calcChain>
</file>

<file path=xl/sharedStrings.xml><?xml version="1.0" encoding="utf-8"?>
<sst xmlns="http://schemas.openxmlformats.org/spreadsheetml/2006/main" count="42" uniqueCount="32">
  <si>
    <t xml:space="preserve">Salometer Degrees </t>
  </si>
  <si>
    <t xml:space="preserve">Pounds of Salt per Gallon of Water </t>
  </si>
  <si>
    <t xml:space="preserve">Pounds of Salt per Gallon of Brine </t>
  </si>
  <si>
    <t>Pounds of Water per Gallon of Brine</t>
  </si>
  <si>
    <t>Sodium Chloride (Salt) Brine Tables for Brine at 60 F (15° C)</t>
  </si>
  <si>
    <t>Grams of Salt per Litre of Water</t>
  </si>
  <si>
    <t xml:space="preserve">Grams of Salt per Litre of Brine </t>
  </si>
  <si>
    <t>Grams of Water per Litre of Brine</t>
  </si>
  <si>
    <t xml:space="preserve">% of Sodium Chloride (Salt) by Weight </t>
  </si>
  <si>
    <t>Pounds/Gallons</t>
  </si>
  <si>
    <t>Grams/Litres</t>
  </si>
  <si>
    <t>Brine strength required:</t>
  </si>
  <si>
    <t>% salt by weight</t>
  </si>
  <si>
    <t>Salometer degrees</t>
  </si>
  <si>
    <t>Measurement units:</t>
  </si>
  <si>
    <t>Results</t>
  </si>
  <si>
    <t>Salt required per gallon</t>
  </si>
  <si>
    <t>Brine strength measurement</t>
  </si>
  <si>
    <t>Salt required per litre</t>
  </si>
  <si>
    <t>Pounds</t>
  </si>
  <si>
    <t>Ounces</t>
  </si>
  <si>
    <t>Salt required per quart</t>
  </si>
  <si>
    <t>or</t>
  </si>
  <si>
    <t>Kilograms</t>
  </si>
  <si>
    <t>Grams</t>
  </si>
  <si>
    <t>Instructions:</t>
  </si>
  <si>
    <r>
      <rPr>
        <b/>
        <sz val="11"/>
        <color rgb="FF0070C0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Choose your measurement units</t>
    </r>
  </si>
  <si>
    <r>
      <rPr>
        <b/>
        <sz val="11"/>
        <color rgb="FF0070C0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Choose your brine strength measurement method. Note: use the salinometer version if you are using a salinometer to measure brine strength.</t>
    </r>
  </si>
  <si>
    <r>
      <rPr>
        <b/>
        <sz val="11"/>
        <color rgb="FF0070C0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Enter the required brine strength. Note: make sure you input your value into the right field.</t>
    </r>
  </si>
  <si>
    <r>
      <rPr>
        <b/>
        <sz val="11"/>
        <color rgb="FF0070C0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Read your results in the results section.</t>
    </r>
  </si>
  <si>
    <t>Click on yellow cells to see options</t>
  </si>
  <si>
    <t>Brine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</si>
</sst>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169" fontId="0" fillId="0" borderId="8" xfId="0" applyNumberForma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9" fontId="0" fillId="0" borderId="16" xfId="0" applyNumberFormat="1" applyBorder="1" applyAlignment="1">
      <alignment horizontal="center"/>
    </xf>
    <xf numFmtId="0" fontId="0" fillId="2" borderId="0" xfId="0" applyFill="1"/>
    <xf numFmtId="169" fontId="0" fillId="0" borderId="0" xfId="0" applyNumberFormat="1" applyFill="1"/>
    <xf numFmtId="0" fontId="0" fillId="0" borderId="0" xfId="0" applyFill="1"/>
    <xf numFmtId="1" fontId="0" fillId="0" borderId="0" xfId="0" applyNumberFormat="1" applyFill="1"/>
    <xf numFmtId="0" fontId="2" fillId="0" borderId="0" xfId="0" applyFont="1"/>
    <xf numFmtId="2" fontId="0" fillId="3" borderId="0" xfId="0" applyNumberFormat="1" applyFill="1"/>
    <xf numFmtId="168" fontId="0" fillId="3" borderId="0" xfId="0" applyNumberFormat="1" applyFill="1"/>
    <xf numFmtId="1" fontId="0" fillId="3" borderId="0" xfId="0" applyNumberForma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0" fontId="0" fillId="2" borderId="1" xfId="0" applyFill="1" applyBorder="1"/>
    <xf numFmtId="168" fontId="0" fillId="2" borderId="1" xfId="1" applyNumberFormat="1" applyFont="1" applyFill="1" applyBorder="1"/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13">
    <dxf>
      <font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width="22.140625" customWidth="1"/>
    <col min="3" max="5" width="19.140625" customWidth="1"/>
    <col min="6" max="6" width="33.42578125" customWidth="1"/>
  </cols>
  <sheetData>
    <row r="1" spans="1:5" x14ac:dyDescent="0.25">
      <c r="A1" s="29" t="s">
        <v>4</v>
      </c>
    </row>
    <row r="2" spans="1:5" x14ac:dyDescent="0.25">
      <c r="A2" s="29" t="s">
        <v>9</v>
      </c>
    </row>
    <row r="3" spans="1:5" ht="15.75" thickBot="1" x14ac:dyDescent="0.3"/>
    <row r="4" spans="1:5" ht="35.25" customHeight="1" thickBot="1" x14ac:dyDescent="0.3">
      <c r="A4" s="39" t="s">
        <v>0</v>
      </c>
      <c r="B4" s="40" t="s">
        <v>8</v>
      </c>
      <c r="C4" s="41" t="s">
        <v>1</v>
      </c>
      <c r="D4" s="40" t="s">
        <v>2</v>
      </c>
      <c r="E4" s="42" t="s">
        <v>3</v>
      </c>
    </row>
    <row r="5" spans="1:5" x14ac:dyDescent="0.25">
      <c r="A5" s="1">
        <v>0</v>
      </c>
      <c r="B5" s="10">
        <v>0</v>
      </c>
      <c r="C5" s="19">
        <v>0</v>
      </c>
      <c r="D5" s="20">
        <v>0</v>
      </c>
      <c r="E5" s="16">
        <v>8.3279999999999994</v>
      </c>
    </row>
    <row r="6" spans="1:5" x14ac:dyDescent="0.25">
      <c r="A6" s="2">
        <v>1</v>
      </c>
      <c r="B6" s="11">
        <v>0.26400000000000001</v>
      </c>
      <c r="C6" s="21">
        <v>2.1999999999999999E-2</v>
      </c>
      <c r="D6" s="22">
        <v>2.1999999999999999E-2</v>
      </c>
      <c r="E6" s="17">
        <v>8.3230000000000004</v>
      </c>
    </row>
    <row r="7" spans="1:5" x14ac:dyDescent="0.25">
      <c r="A7" s="2">
        <v>2</v>
      </c>
      <c r="B7" s="11">
        <v>0.52600000000000002</v>
      </c>
      <c r="C7" s="21">
        <v>4.3999999999999997E-2</v>
      </c>
      <c r="D7" s="22">
        <v>4.3999999999999997E-2</v>
      </c>
      <c r="E7" s="17">
        <v>8.3170000000000002</v>
      </c>
    </row>
    <row r="8" spans="1:5" x14ac:dyDescent="0.25">
      <c r="A8" s="2">
        <v>3</v>
      </c>
      <c r="B8" s="11">
        <v>0.79200000000000004</v>
      </c>
      <c r="C8" s="21">
        <v>6.6000000000000003E-2</v>
      </c>
      <c r="D8" s="22">
        <v>6.6000000000000003E-2</v>
      </c>
      <c r="E8" s="17">
        <v>8.3070000000000004</v>
      </c>
    </row>
    <row r="9" spans="1:5" x14ac:dyDescent="0.25">
      <c r="A9" s="2">
        <v>4</v>
      </c>
      <c r="B9" s="11">
        <v>1.056</v>
      </c>
      <c r="C9" s="21">
        <v>8.8999999999999996E-2</v>
      </c>
      <c r="D9" s="22">
        <v>8.8999999999999996E-2</v>
      </c>
      <c r="E9" s="17">
        <v>8.298</v>
      </c>
    </row>
    <row r="10" spans="1:5" x14ac:dyDescent="0.25">
      <c r="A10" s="2">
        <v>5</v>
      </c>
      <c r="B10" s="11">
        <v>1.32</v>
      </c>
      <c r="C10" s="21">
        <v>0.111</v>
      </c>
      <c r="D10" s="22">
        <v>0.111</v>
      </c>
      <c r="E10" s="17">
        <v>8.2919999999999998</v>
      </c>
    </row>
    <row r="11" spans="1:5" x14ac:dyDescent="0.25">
      <c r="A11" s="2">
        <v>6</v>
      </c>
      <c r="B11" s="11">
        <v>1.5840000000000001</v>
      </c>
      <c r="C11" s="21">
        <v>0.13400000000000001</v>
      </c>
      <c r="D11" s="22">
        <v>0.13300000000000001</v>
      </c>
      <c r="E11" s="17">
        <v>8.2859999999999996</v>
      </c>
    </row>
    <row r="12" spans="1:5" x14ac:dyDescent="0.25">
      <c r="A12" s="2">
        <v>7</v>
      </c>
      <c r="B12" s="11">
        <v>1.8480000000000001</v>
      </c>
      <c r="C12" s="21">
        <v>0.157</v>
      </c>
      <c r="D12" s="22">
        <v>0.156</v>
      </c>
      <c r="E12" s="17">
        <v>8.2799999999999994</v>
      </c>
    </row>
    <row r="13" spans="1:5" x14ac:dyDescent="0.25">
      <c r="A13" s="2">
        <v>8</v>
      </c>
      <c r="B13" s="11">
        <v>2.1120000000000001</v>
      </c>
      <c r="C13" s="21">
        <v>0.18</v>
      </c>
      <c r="D13" s="22">
        <v>0.17799999999999999</v>
      </c>
      <c r="E13" s="17">
        <v>8.2739999999999991</v>
      </c>
    </row>
    <row r="14" spans="1:5" x14ac:dyDescent="0.25">
      <c r="A14" s="2">
        <v>9</v>
      </c>
      <c r="B14" s="11">
        <v>2.3759999999999999</v>
      </c>
      <c r="C14" s="21">
        <v>0.20300000000000001</v>
      </c>
      <c r="D14" s="22">
        <v>0.20100000000000001</v>
      </c>
      <c r="E14" s="17">
        <v>8.2680000000000007</v>
      </c>
    </row>
    <row r="15" spans="1:5" x14ac:dyDescent="0.25">
      <c r="A15" s="2">
        <v>10</v>
      </c>
      <c r="B15" s="11">
        <v>2.64</v>
      </c>
      <c r="C15" s="21">
        <v>0.22600000000000001</v>
      </c>
      <c r="D15" s="22">
        <v>0.224</v>
      </c>
      <c r="E15" s="17">
        <v>8.2620000000000005</v>
      </c>
    </row>
    <row r="16" spans="1:5" x14ac:dyDescent="0.25">
      <c r="A16" s="2">
        <v>11</v>
      </c>
      <c r="B16" s="11">
        <v>2.903</v>
      </c>
      <c r="C16" s="21">
        <v>0.249</v>
      </c>
      <c r="D16" s="22">
        <v>0.247</v>
      </c>
      <c r="E16" s="17">
        <v>8.2560000000000002</v>
      </c>
    </row>
    <row r="17" spans="1:5" x14ac:dyDescent="0.25">
      <c r="A17" s="2">
        <v>12</v>
      </c>
      <c r="B17" s="11">
        <v>3.1669999999999998</v>
      </c>
      <c r="C17" s="21">
        <v>0.27200000000000002</v>
      </c>
      <c r="D17" s="22">
        <v>0.27</v>
      </c>
      <c r="E17" s="17">
        <v>8.25</v>
      </c>
    </row>
    <row r="18" spans="1:5" x14ac:dyDescent="0.25">
      <c r="A18" s="2">
        <v>13</v>
      </c>
      <c r="B18" s="11">
        <v>3.431</v>
      </c>
      <c r="C18" s="21">
        <v>0.29599999999999999</v>
      </c>
      <c r="D18" s="22">
        <v>0.29299999999999998</v>
      </c>
      <c r="E18" s="17">
        <v>8.2390000000000008</v>
      </c>
    </row>
    <row r="19" spans="1:5" x14ac:dyDescent="0.25">
      <c r="A19" s="2">
        <v>14</v>
      </c>
      <c r="B19" s="11">
        <v>3.6949999999999998</v>
      </c>
      <c r="C19" s="21">
        <v>0.32</v>
      </c>
      <c r="D19" s="22">
        <v>0.316</v>
      </c>
      <c r="E19" s="17">
        <v>8.2289999999999992</v>
      </c>
    </row>
    <row r="20" spans="1:5" x14ac:dyDescent="0.25">
      <c r="A20" s="2">
        <v>15</v>
      </c>
      <c r="B20" s="11">
        <v>3.9590000000000001</v>
      </c>
      <c r="C20" s="21">
        <v>0.34300000000000003</v>
      </c>
      <c r="D20" s="22">
        <v>0.33900000000000002</v>
      </c>
      <c r="E20" s="17">
        <v>8.2219999999999995</v>
      </c>
    </row>
    <row r="21" spans="1:5" x14ac:dyDescent="0.25">
      <c r="A21" s="2">
        <v>16</v>
      </c>
      <c r="B21" s="11">
        <v>4.2229999999999999</v>
      </c>
      <c r="C21" s="21">
        <v>0.36699999999999999</v>
      </c>
      <c r="D21" s="22">
        <v>0.36199999999999999</v>
      </c>
      <c r="E21" s="17">
        <v>8.2159999999999993</v>
      </c>
    </row>
    <row r="22" spans="1:5" x14ac:dyDescent="0.25">
      <c r="A22" s="2">
        <v>17</v>
      </c>
      <c r="B22" s="11">
        <v>4.4870000000000001</v>
      </c>
      <c r="C22" s="21">
        <v>0.39100000000000001</v>
      </c>
      <c r="D22" s="22">
        <v>0.38600000000000001</v>
      </c>
      <c r="E22" s="17">
        <v>8.2089999999999996</v>
      </c>
    </row>
    <row r="23" spans="1:5" x14ac:dyDescent="0.25">
      <c r="A23" s="2">
        <v>18</v>
      </c>
      <c r="B23" s="11">
        <v>4.7510000000000003</v>
      </c>
      <c r="C23" s="21">
        <v>0.41499999999999998</v>
      </c>
      <c r="D23" s="22">
        <v>0.40899999999999997</v>
      </c>
      <c r="E23" s="17">
        <v>8.202</v>
      </c>
    </row>
    <row r="24" spans="1:5" x14ac:dyDescent="0.25">
      <c r="A24" s="2">
        <v>19</v>
      </c>
      <c r="B24" s="11">
        <v>5.0149999999999997</v>
      </c>
      <c r="C24" s="21">
        <v>0.44</v>
      </c>
      <c r="D24" s="22">
        <v>0.433</v>
      </c>
      <c r="E24" s="17">
        <v>8.1950000000000003</v>
      </c>
    </row>
    <row r="25" spans="1:5" x14ac:dyDescent="0.25">
      <c r="A25" s="2">
        <v>20</v>
      </c>
      <c r="B25" s="11">
        <v>5.2789999999999999</v>
      </c>
      <c r="C25" s="21">
        <v>0.46400000000000002</v>
      </c>
      <c r="D25" s="22">
        <v>0.45600000000000002</v>
      </c>
      <c r="E25" s="17">
        <v>8.1880000000000006</v>
      </c>
    </row>
    <row r="26" spans="1:5" x14ac:dyDescent="0.25">
      <c r="A26" s="2">
        <v>21</v>
      </c>
      <c r="B26" s="11">
        <v>5.5430000000000001</v>
      </c>
      <c r="C26" s="21">
        <v>0.48899999999999999</v>
      </c>
      <c r="D26" s="22">
        <v>0.48</v>
      </c>
      <c r="E26" s="17">
        <v>8.1809999999999992</v>
      </c>
    </row>
    <row r="27" spans="1:5" x14ac:dyDescent="0.25">
      <c r="A27" s="2">
        <v>22</v>
      </c>
      <c r="B27" s="11">
        <v>5.8070000000000004</v>
      </c>
      <c r="C27" s="21">
        <v>0.51300000000000001</v>
      </c>
      <c r="D27" s="22">
        <v>0.504</v>
      </c>
      <c r="E27" s="17">
        <v>8.1739999999999995</v>
      </c>
    </row>
    <row r="28" spans="1:5" x14ac:dyDescent="0.25">
      <c r="A28" s="2">
        <v>23</v>
      </c>
      <c r="B28" s="11">
        <v>6.0709999999999997</v>
      </c>
      <c r="C28" s="21">
        <v>0.53800000000000003</v>
      </c>
      <c r="D28" s="22">
        <v>0.52800000000000002</v>
      </c>
      <c r="E28" s="17">
        <v>8.1669999999999998</v>
      </c>
    </row>
    <row r="29" spans="1:5" x14ac:dyDescent="0.25">
      <c r="A29" s="2">
        <v>24</v>
      </c>
      <c r="B29" s="11">
        <v>6.335</v>
      </c>
      <c r="C29" s="21">
        <v>0.56299999999999994</v>
      </c>
      <c r="D29" s="22">
        <v>0.55200000000000005</v>
      </c>
      <c r="E29" s="17">
        <v>8.1590000000000007</v>
      </c>
    </row>
    <row r="30" spans="1:5" x14ac:dyDescent="0.25">
      <c r="A30" s="2">
        <v>25</v>
      </c>
      <c r="B30" s="11">
        <v>6.5990000000000002</v>
      </c>
      <c r="C30" s="21">
        <v>0.58799999999999997</v>
      </c>
      <c r="D30" s="22">
        <v>0.57599999999999996</v>
      </c>
      <c r="E30" s="17">
        <v>8.1519999999999992</v>
      </c>
    </row>
    <row r="31" spans="1:5" x14ac:dyDescent="0.25">
      <c r="A31" s="2">
        <v>26</v>
      </c>
      <c r="B31" s="11">
        <v>6.8630000000000004</v>
      </c>
      <c r="C31" s="21">
        <v>0.61399999999999999</v>
      </c>
      <c r="D31" s="22">
        <v>0.6</v>
      </c>
      <c r="E31" s="17">
        <v>8.1440000000000001</v>
      </c>
    </row>
    <row r="32" spans="1:5" x14ac:dyDescent="0.25">
      <c r="A32" s="2">
        <v>27</v>
      </c>
      <c r="B32" s="11">
        <v>7.1269999999999998</v>
      </c>
      <c r="C32" s="21">
        <v>0.63900000000000001</v>
      </c>
      <c r="D32" s="22">
        <v>0.624</v>
      </c>
      <c r="E32" s="17">
        <v>8.1370000000000005</v>
      </c>
    </row>
    <row r="33" spans="1:5" x14ac:dyDescent="0.25">
      <c r="A33" s="2">
        <v>28</v>
      </c>
      <c r="B33" s="11">
        <v>7.391</v>
      </c>
      <c r="C33" s="21">
        <v>0.66500000000000004</v>
      </c>
      <c r="D33" s="22">
        <v>0.64900000000000002</v>
      </c>
      <c r="E33" s="17">
        <v>8.1289999999999996</v>
      </c>
    </row>
    <row r="34" spans="1:5" x14ac:dyDescent="0.25">
      <c r="A34" s="2">
        <v>29</v>
      </c>
      <c r="B34" s="11">
        <v>7.6550000000000002</v>
      </c>
      <c r="C34" s="21">
        <v>0.69</v>
      </c>
      <c r="D34" s="22">
        <v>0.67300000000000004</v>
      </c>
      <c r="E34" s="17">
        <v>8.1210000000000004</v>
      </c>
    </row>
    <row r="35" spans="1:5" x14ac:dyDescent="0.25">
      <c r="A35" s="2">
        <v>30</v>
      </c>
      <c r="B35" s="11">
        <v>7.9189999999999996</v>
      </c>
      <c r="C35" s="21">
        <v>0.71599999999999997</v>
      </c>
      <c r="D35" s="22">
        <v>0.69799999999999995</v>
      </c>
      <c r="E35" s="17">
        <v>8.1129999999999995</v>
      </c>
    </row>
    <row r="36" spans="1:5" x14ac:dyDescent="0.25">
      <c r="A36" s="2">
        <v>31</v>
      </c>
      <c r="B36" s="11">
        <v>8.1620000000000008</v>
      </c>
      <c r="C36" s="21">
        <v>0.74199999999999999</v>
      </c>
      <c r="D36" s="22">
        <v>0.72199999999999998</v>
      </c>
      <c r="E36" s="17">
        <v>8.1050000000000004</v>
      </c>
    </row>
    <row r="37" spans="1:5" x14ac:dyDescent="0.25">
      <c r="A37" s="2">
        <v>32</v>
      </c>
      <c r="B37" s="11">
        <v>8.4459999999999997</v>
      </c>
      <c r="C37" s="21">
        <v>0.76800000000000002</v>
      </c>
      <c r="D37" s="22">
        <v>0.747</v>
      </c>
      <c r="E37" s="17">
        <v>8.0969999999999995</v>
      </c>
    </row>
    <row r="38" spans="1:5" x14ac:dyDescent="0.25">
      <c r="A38" s="2">
        <v>33</v>
      </c>
      <c r="B38" s="11">
        <v>8.7100000000000009</v>
      </c>
      <c r="C38" s="21">
        <v>0.79500000000000004</v>
      </c>
      <c r="D38" s="22">
        <v>0.77200000000000002</v>
      </c>
      <c r="E38" s="17">
        <v>8.0890000000000004</v>
      </c>
    </row>
    <row r="39" spans="1:5" x14ac:dyDescent="0.25">
      <c r="A39" s="2">
        <v>34</v>
      </c>
      <c r="B39" s="11">
        <v>8.9740000000000002</v>
      </c>
      <c r="C39" s="21">
        <v>0.82099999999999995</v>
      </c>
      <c r="D39" s="22">
        <v>0.79700000000000004</v>
      </c>
      <c r="E39" s="17">
        <v>8.0809999999999995</v>
      </c>
    </row>
    <row r="40" spans="1:5" x14ac:dyDescent="0.25">
      <c r="A40" s="2">
        <v>35</v>
      </c>
      <c r="B40" s="11">
        <v>9.2379999999999995</v>
      </c>
      <c r="C40" s="21">
        <v>0.84799999999999998</v>
      </c>
      <c r="D40" s="22">
        <v>0.82199999999999995</v>
      </c>
      <c r="E40" s="17">
        <v>8.0730000000000004</v>
      </c>
    </row>
    <row r="41" spans="1:5" x14ac:dyDescent="0.25">
      <c r="A41" s="2">
        <v>36</v>
      </c>
      <c r="B41" s="11">
        <v>9.5020000000000007</v>
      </c>
      <c r="C41" s="21">
        <v>0.874</v>
      </c>
      <c r="D41" s="22">
        <v>0.84699999999999998</v>
      </c>
      <c r="E41" s="17">
        <v>8.0640000000000001</v>
      </c>
    </row>
    <row r="42" spans="1:5" x14ac:dyDescent="0.25">
      <c r="A42" s="2">
        <v>37</v>
      </c>
      <c r="B42" s="11">
        <v>9.766</v>
      </c>
      <c r="C42" s="21">
        <v>0.90100000000000002</v>
      </c>
      <c r="D42" s="22">
        <v>0.872</v>
      </c>
      <c r="E42" s="17">
        <v>8.0559999999999992</v>
      </c>
    </row>
    <row r="43" spans="1:5" x14ac:dyDescent="0.25">
      <c r="A43" s="2">
        <v>38</v>
      </c>
      <c r="B43" s="11">
        <v>10.029999999999999</v>
      </c>
      <c r="C43" s="21">
        <v>0.92800000000000005</v>
      </c>
      <c r="D43" s="22">
        <v>0.89700000000000002</v>
      </c>
      <c r="E43" s="17">
        <v>8.0470000000000006</v>
      </c>
    </row>
    <row r="44" spans="1:5" x14ac:dyDescent="0.25">
      <c r="A44" s="2">
        <v>39</v>
      </c>
      <c r="B44" s="11">
        <v>10.294</v>
      </c>
      <c r="C44" s="21">
        <v>0.95599999999999996</v>
      </c>
      <c r="D44" s="22">
        <v>0.92200000000000004</v>
      </c>
      <c r="E44" s="17">
        <v>8.0380000000000003</v>
      </c>
    </row>
    <row r="45" spans="1:5" x14ac:dyDescent="0.25">
      <c r="A45" s="2">
        <v>40</v>
      </c>
      <c r="B45" s="11">
        <v>10.558</v>
      </c>
      <c r="C45" s="21">
        <v>0.98299999999999998</v>
      </c>
      <c r="D45" s="22">
        <v>0.94799999999999995</v>
      </c>
      <c r="E45" s="17">
        <v>8.0299999999999994</v>
      </c>
    </row>
    <row r="46" spans="1:5" x14ac:dyDescent="0.25">
      <c r="A46" s="2">
        <v>41</v>
      </c>
      <c r="B46" s="11">
        <v>10.821999999999999</v>
      </c>
      <c r="C46" s="21">
        <v>1.0109999999999999</v>
      </c>
      <c r="D46" s="22">
        <v>0.97299999999999998</v>
      </c>
      <c r="E46" s="17">
        <v>8.0210000000000008</v>
      </c>
    </row>
    <row r="47" spans="1:5" x14ac:dyDescent="0.25">
      <c r="A47" s="2">
        <v>42</v>
      </c>
      <c r="B47" s="11">
        <v>11.086</v>
      </c>
      <c r="C47" s="21">
        <v>1.038</v>
      </c>
      <c r="D47" s="22">
        <v>0.999</v>
      </c>
      <c r="E47" s="17">
        <v>8.0120000000000005</v>
      </c>
    </row>
    <row r="48" spans="1:5" x14ac:dyDescent="0.25">
      <c r="A48" s="2">
        <v>43</v>
      </c>
      <c r="B48" s="11">
        <v>11.35</v>
      </c>
      <c r="C48" s="21">
        <v>1.0660000000000001</v>
      </c>
      <c r="D48" s="22">
        <v>1.0249999999999999</v>
      </c>
      <c r="E48" s="17">
        <v>8.0030000000000001</v>
      </c>
    </row>
    <row r="49" spans="1:5" x14ac:dyDescent="0.25">
      <c r="A49" s="2">
        <v>44</v>
      </c>
      <c r="B49" s="11">
        <v>11.614000000000001</v>
      </c>
      <c r="C49" s="21">
        <v>1.0940000000000001</v>
      </c>
      <c r="D49" s="22">
        <v>1.05</v>
      </c>
      <c r="E49" s="17">
        <v>7.9939999999999998</v>
      </c>
    </row>
    <row r="50" spans="1:5" x14ac:dyDescent="0.25">
      <c r="A50" s="2">
        <v>45</v>
      </c>
      <c r="B50" s="11">
        <v>11.878</v>
      </c>
      <c r="C50" s="21">
        <v>1.123</v>
      </c>
      <c r="D50" s="22">
        <v>1.0760000000000001</v>
      </c>
      <c r="E50" s="17">
        <v>7.9850000000000003</v>
      </c>
    </row>
    <row r="51" spans="1:5" x14ac:dyDescent="0.25">
      <c r="A51" s="2">
        <v>46</v>
      </c>
      <c r="B51" s="11">
        <v>12.141999999999999</v>
      </c>
      <c r="C51" s="21">
        <v>1.151</v>
      </c>
      <c r="D51" s="22">
        <v>1.1020000000000001</v>
      </c>
      <c r="E51" s="17">
        <v>7.9749999999999996</v>
      </c>
    </row>
    <row r="52" spans="1:5" x14ac:dyDescent="0.25">
      <c r="A52" s="2">
        <v>47</v>
      </c>
      <c r="B52" s="11">
        <v>12.406000000000001</v>
      </c>
      <c r="C52" s="21">
        <v>1.179</v>
      </c>
      <c r="D52" s="22">
        <v>1.1279999999999999</v>
      </c>
      <c r="E52" s="17">
        <v>7.9660000000000002</v>
      </c>
    </row>
    <row r="53" spans="1:5" x14ac:dyDescent="0.25">
      <c r="A53" s="2">
        <v>48</v>
      </c>
      <c r="B53" s="11">
        <v>12.67</v>
      </c>
      <c r="C53" s="21">
        <v>1.208</v>
      </c>
      <c r="D53" s="22">
        <v>1.1539999999999999</v>
      </c>
      <c r="E53" s="17">
        <v>7.9569999999999999</v>
      </c>
    </row>
    <row r="54" spans="1:5" x14ac:dyDescent="0.25">
      <c r="A54" s="2">
        <v>49</v>
      </c>
      <c r="B54" s="11">
        <v>12.933999999999999</v>
      </c>
      <c r="C54" s="21">
        <v>1.2370000000000001</v>
      </c>
      <c r="D54" s="22">
        <v>1.181</v>
      </c>
      <c r="E54" s="17">
        <v>7.9470000000000001</v>
      </c>
    </row>
    <row r="55" spans="1:5" x14ac:dyDescent="0.25">
      <c r="A55" s="2">
        <v>50</v>
      </c>
      <c r="B55" s="11">
        <v>13.198</v>
      </c>
      <c r="C55" s="21">
        <v>1.266</v>
      </c>
      <c r="D55" s="22">
        <v>1.2070000000000001</v>
      </c>
      <c r="E55" s="17">
        <v>7.9370000000000003</v>
      </c>
    </row>
    <row r="56" spans="1:5" x14ac:dyDescent="0.25">
      <c r="A56" s="2">
        <v>51</v>
      </c>
      <c r="B56" s="11">
        <v>13.461</v>
      </c>
      <c r="C56" s="21">
        <v>1.2949999999999999</v>
      </c>
      <c r="D56" s="22">
        <v>1.2330000000000001</v>
      </c>
      <c r="E56" s="17">
        <v>7.9279999999999999</v>
      </c>
    </row>
    <row r="57" spans="1:5" x14ac:dyDescent="0.25">
      <c r="A57" s="2">
        <v>52</v>
      </c>
      <c r="B57" s="11">
        <v>13.725</v>
      </c>
      <c r="C57" s="21">
        <v>1.325</v>
      </c>
      <c r="D57" s="22">
        <v>1.26</v>
      </c>
      <c r="E57" s="17">
        <v>7.9180000000000001</v>
      </c>
    </row>
    <row r="58" spans="1:5" x14ac:dyDescent="0.25">
      <c r="A58" s="2">
        <v>53</v>
      </c>
      <c r="B58" s="11">
        <v>13.989000000000001</v>
      </c>
      <c r="C58" s="21">
        <v>1.355</v>
      </c>
      <c r="D58" s="22">
        <v>1.286</v>
      </c>
      <c r="E58" s="17">
        <v>7.9080000000000004</v>
      </c>
    </row>
    <row r="59" spans="1:5" x14ac:dyDescent="0.25">
      <c r="A59" s="2">
        <v>54</v>
      </c>
      <c r="B59" s="11">
        <v>14.253</v>
      </c>
      <c r="C59" s="21">
        <v>1.3839999999999999</v>
      </c>
      <c r="D59" s="22">
        <v>1.3129999999999999</v>
      </c>
      <c r="E59" s="17">
        <v>7.8979999999999997</v>
      </c>
    </row>
    <row r="60" spans="1:5" x14ac:dyDescent="0.25">
      <c r="A60" s="2">
        <v>55</v>
      </c>
      <c r="B60" s="11">
        <v>14.516999999999999</v>
      </c>
      <c r="C60" s="21">
        <v>1.4139999999999999</v>
      </c>
      <c r="D60" s="22">
        <v>1.34</v>
      </c>
      <c r="E60" s="17">
        <v>7.8879999999999999</v>
      </c>
    </row>
    <row r="61" spans="1:5" x14ac:dyDescent="0.25">
      <c r="A61" s="2">
        <v>56</v>
      </c>
      <c r="B61" s="11">
        <v>14.781000000000001</v>
      </c>
      <c r="C61" s="21">
        <v>1.444</v>
      </c>
      <c r="D61" s="22">
        <v>1.3680000000000001</v>
      </c>
      <c r="E61" s="17">
        <v>7.8780000000000001</v>
      </c>
    </row>
    <row r="62" spans="1:5" x14ac:dyDescent="0.25">
      <c r="A62" s="2">
        <v>57</v>
      </c>
      <c r="B62" s="11">
        <v>15.045</v>
      </c>
      <c r="C62" s="21">
        <v>1.4750000000000001</v>
      </c>
      <c r="D62" s="22">
        <v>1.393</v>
      </c>
      <c r="E62" s="17">
        <v>7.867</v>
      </c>
    </row>
    <row r="63" spans="1:5" x14ac:dyDescent="0.25">
      <c r="A63" s="2">
        <v>58</v>
      </c>
      <c r="B63" s="11">
        <v>15.308999999999999</v>
      </c>
      <c r="C63" s="21">
        <v>1.5049999999999999</v>
      </c>
      <c r="D63" s="22">
        <v>1.42</v>
      </c>
      <c r="E63" s="17">
        <v>7.8570000000000002</v>
      </c>
    </row>
    <row r="64" spans="1:5" x14ac:dyDescent="0.25">
      <c r="A64" s="2">
        <v>59</v>
      </c>
      <c r="B64" s="11">
        <v>15.573</v>
      </c>
      <c r="C64" s="21">
        <v>1.536</v>
      </c>
      <c r="D64" s="22">
        <v>1.4470000000000001</v>
      </c>
      <c r="E64" s="17">
        <v>7.8470000000000004</v>
      </c>
    </row>
    <row r="65" spans="1:5" x14ac:dyDescent="0.25">
      <c r="A65" s="2">
        <v>60</v>
      </c>
      <c r="B65" s="11">
        <v>15.837</v>
      </c>
      <c r="C65" s="21">
        <v>1.5669999999999999</v>
      </c>
      <c r="D65" s="22">
        <v>1.4750000000000001</v>
      </c>
      <c r="E65" s="17">
        <v>7.8360000000000003</v>
      </c>
    </row>
    <row r="66" spans="1:5" x14ac:dyDescent="0.25">
      <c r="A66" s="2">
        <v>61</v>
      </c>
      <c r="B66" s="11">
        <v>16.100999999999999</v>
      </c>
      <c r="C66" s="21">
        <v>1.5980000000000001</v>
      </c>
      <c r="D66" s="22">
        <v>1.502</v>
      </c>
      <c r="E66" s="17">
        <v>7.8259999999999996</v>
      </c>
    </row>
    <row r="67" spans="1:5" x14ac:dyDescent="0.25">
      <c r="A67" s="2">
        <v>62</v>
      </c>
      <c r="B67" s="11">
        <v>16.364999999999998</v>
      </c>
      <c r="C67" s="21">
        <v>1.63</v>
      </c>
      <c r="D67" s="22">
        <v>1.5289999999999999</v>
      </c>
      <c r="E67" s="17">
        <v>7.8150000000000004</v>
      </c>
    </row>
    <row r="68" spans="1:5" x14ac:dyDescent="0.25">
      <c r="A68" s="2">
        <v>63</v>
      </c>
      <c r="B68" s="11">
        <v>16.629000000000001</v>
      </c>
      <c r="C68" s="21">
        <v>1.661</v>
      </c>
      <c r="D68" s="22">
        <v>1.5569999999999999</v>
      </c>
      <c r="E68" s="17">
        <v>7.8040000000000003</v>
      </c>
    </row>
    <row r="69" spans="1:5" x14ac:dyDescent="0.25">
      <c r="A69" s="2">
        <v>64</v>
      </c>
      <c r="B69" s="11">
        <v>16.893000000000001</v>
      </c>
      <c r="C69" s="21">
        <v>1.6930000000000001</v>
      </c>
      <c r="D69" s="22">
        <v>1.5840000000000001</v>
      </c>
      <c r="E69" s="17">
        <v>7.7930000000000001</v>
      </c>
    </row>
    <row r="70" spans="1:5" x14ac:dyDescent="0.25">
      <c r="A70" s="2">
        <v>65</v>
      </c>
      <c r="B70" s="11">
        <v>17.157</v>
      </c>
      <c r="C70" s="21">
        <v>1.7250000000000001</v>
      </c>
      <c r="D70" s="22">
        <v>1.6120000000000001</v>
      </c>
      <c r="E70" s="17">
        <v>7.782</v>
      </c>
    </row>
    <row r="71" spans="1:5" x14ac:dyDescent="0.25">
      <c r="A71" s="2">
        <v>66</v>
      </c>
      <c r="B71" s="11">
        <v>17.420999999999999</v>
      </c>
      <c r="C71" s="21">
        <v>1.7569999999999999</v>
      </c>
      <c r="D71" s="22">
        <v>1.639</v>
      </c>
      <c r="E71" s="17">
        <v>7.7709999999999999</v>
      </c>
    </row>
    <row r="72" spans="1:5" x14ac:dyDescent="0.25">
      <c r="A72" s="2">
        <v>67</v>
      </c>
      <c r="B72" s="11">
        <v>17.684999999999999</v>
      </c>
      <c r="C72" s="21">
        <v>1.7889999999999999</v>
      </c>
      <c r="D72" s="22">
        <v>1.6679999999999999</v>
      </c>
      <c r="E72" s="17">
        <v>7.7640000000000002</v>
      </c>
    </row>
    <row r="73" spans="1:5" x14ac:dyDescent="0.25">
      <c r="A73" s="2">
        <v>68</v>
      </c>
      <c r="B73" s="11">
        <v>17.949000000000002</v>
      </c>
      <c r="C73" s="21">
        <v>1.8220000000000001</v>
      </c>
      <c r="D73" s="22">
        <v>1.6970000000000001</v>
      </c>
      <c r="E73" s="17">
        <v>7.7560000000000002</v>
      </c>
    </row>
    <row r="74" spans="1:5" x14ac:dyDescent="0.25">
      <c r="A74" s="2">
        <v>69</v>
      </c>
      <c r="B74" s="11">
        <v>18.213000000000001</v>
      </c>
      <c r="C74" s="21">
        <v>1.8540000000000001</v>
      </c>
      <c r="D74" s="22">
        <v>1.7250000000000001</v>
      </c>
      <c r="E74" s="17">
        <v>7.7439999999999998</v>
      </c>
    </row>
    <row r="75" spans="1:5" x14ac:dyDescent="0.25">
      <c r="A75" s="2">
        <v>70</v>
      </c>
      <c r="B75" s="11">
        <v>18.477</v>
      </c>
      <c r="C75" s="21">
        <v>1.887</v>
      </c>
      <c r="D75" s="22">
        <v>1.7529999999999999</v>
      </c>
      <c r="E75" s="17">
        <v>7.7329999999999997</v>
      </c>
    </row>
    <row r="76" spans="1:5" x14ac:dyDescent="0.25">
      <c r="A76" s="2">
        <v>71</v>
      </c>
      <c r="B76" s="11">
        <v>18.739999999999998</v>
      </c>
      <c r="C76" s="21">
        <v>1.921</v>
      </c>
      <c r="D76" s="22">
        <v>1.7809999999999999</v>
      </c>
      <c r="E76" s="17">
        <v>7.7210000000000001</v>
      </c>
    </row>
    <row r="77" spans="1:5" x14ac:dyDescent="0.25">
      <c r="A77" s="2">
        <v>72</v>
      </c>
      <c r="B77" s="11">
        <v>19.004000000000001</v>
      </c>
      <c r="C77" s="21">
        <v>1.954</v>
      </c>
      <c r="D77" s="22">
        <v>1.8089999999999999</v>
      </c>
      <c r="E77" s="17">
        <v>7.71</v>
      </c>
    </row>
    <row r="78" spans="1:5" x14ac:dyDescent="0.25">
      <c r="A78" s="2">
        <v>73</v>
      </c>
      <c r="B78" s="11">
        <v>19.268000000000001</v>
      </c>
      <c r="C78" s="21">
        <v>1.988</v>
      </c>
      <c r="D78" s="22">
        <v>1.837</v>
      </c>
      <c r="E78" s="17">
        <v>7.6980000000000004</v>
      </c>
    </row>
    <row r="79" spans="1:5" x14ac:dyDescent="0.25">
      <c r="A79" s="2">
        <v>74</v>
      </c>
      <c r="B79" s="11">
        <v>19.532</v>
      </c>
      <c r="C79" s="21">
        <v>2.0209999999999999</v>
      </c>
      <c r="D79" s="22">
        <v>1.8660000000000001</v>
      </c>
      <c r="E79" s="17">
        <v>7.6859999999999999</v>
      </c>
    </row>
    <row r="80" spans="1:5" x14ac:dyDescent="0.25">
      <c r="A80" s="2">
        <v>75</v>
      </c>
      <c r="B80" s="11">
        <v>19.795999999999999</v>
      </c>
      <c r="C80" s="21">
        <v>2.056</v>
      </c>
      <c r="D80" s="22">
        <v>1.895</v>
      </c>
      <c r="E80" s="17">
        <v>7.6779999999999999</v>
      </c>
    </row>
    <row r="81" spans="1:5" x14ac:dyDescent="0.25">
      <c r="A81" s="2">
        <v>76</v>
      </c>
      <c r="B81" s="11">
        <v>20.059999999999999</v>
      </c>
      <c r="C81" s="21">
        <v>2.09</v>
      </c>
      <c r="D81" s="22">
        <v>1.925</v>
      </c>
      <c r="E81" s="17">
        <v>7.6689999999999996</v>
      </c>
    </row>
    <row r="82" spans="1:5" x14ac:dyDescent="0.25">
      <c r="A82" s="2">
        <v>77</v>
      </c>
      <c r="B82" s="11">
        <v>20.324000000000002</v>
      </c>
      <c r="C82" s="21">
        <v>2.1240000000000001</v>
      </c>
      <c r="D82" s="22">
        <v>1.9530000000000001</v>
      </c>
      <c r="E82" s="17">
        <v>7.657</v>
      </c>
    </row>
    <row r="83" spans="1:5" x14ac:dyDescent="0.25">
      <c r="A83" s="2">
        <v>78</v>
      </c>
      <c r="B83" s="11">
        <v>20.588000000000001</v>
      </c>
      <c r="C83" s="21">
        <v>2.1589999999999998</v>
      </c>
      <c r="D83" s="22">
        <v>1.982</v>
      </c>
      <c r="E83" s="17">
        <v>7.6449999999999996</v>
      </c>
    </row>
    <row r="84" spans="1:5" x14ac:dyDescent="0.25">
      <c r="A84" s="2">
        <v>79</v>
      </c>
      <c r="B84" s="11">
        <v>20.852</v>
      </c>
      <c r="C84" s="21">
        <v>2.194</v>
      </c>
      <c r="D84" s="22">
        <v>2.0110000000000001</v>
      </c>
      <c r="E84" s="17">
        <v>7.633</v>
      </c>
    </row>
    <row r="85" spans="1:5" x14ac:dyDescent="0.25">
      <c r="A85" s="2">
        <v>80</v>
      </c>
      <c r="B85" s="11">
        <v>21.116</v>
      </c>
      <c r="C85" s="21">
        <v>2.2290000000000001</v>
      </c>
      <c r="D85" s="22">
        <v>2.04</v>
      </c>
      <c r="E85" s="17">
        <v>7.6210000000000004</v>
      </c>
    </row>
    <row r="86" spans="1:5" x14ac:dyDescent="0.25">
      <c r="A86" s="2">
        <v>81</v>
      </c>
      <c r="B86" s="11">
        <v>21.38</v>
      </c>
      <c r="C86" s="21">
        <v>2.2650000000000001</v>
      </c>
      <c r="D86" s="22">
        <v>2.069</v>
      </c>
      <c r="E86" s="17">
        <v>7.6079999999999997</v>
      </c>
    </row>
    <row r="87" spans="1:5" x14ac:dyDescent="0.25">
      <c r="A87" s="2">
        <v>82</v>
      </c>
      <c r="B87" s="11">
        <v>21.643999999999998</v>
      </c>
      <c r="C87" s="21">
        <v>2.2999999999999998</v>
      </c>
      <c r="D87" s="22">
        <v>2.0979999999999999</v>
      </c>
      <c r="E87" s="17">
        <v>7.5960000000000001</v>
      </c>
    </row>
    <row r="88" spans="1:5" x14ac:dyDescent="0.25">
      <c r="A88" s="2">
        <v>83</v>
      </c>
      <c r="B88" s="11">
        <v>21.908000000000001</v>
      </c>
      <c r="C88" s="21">
        <v>2.3359999999999999</v>
      </c>
      <c r="D88" s="22">
        <v>2.1280000000000001</v>
      </c>
      <c r="E88" s="17">
        <v>7.5860000000000003</v>
      </c>
    </row>
    <row r="89" spans="1:5" x14ac:dyDescent="0.25">
      <c r="A89" s="2">
        <v>84</v>
      </c>
      <c r="B89" s="11">
        <v>22.172000000000001</v>
      </c>
      <c r="C89" s="21">
        <v>2.3719999999999999</v>
      </c>
      <c r="D89" s="22">
        <v>2.1589999999999998</v>
      </c>
      <c r="E89" s="17">
        <v>7.577</v>
      </c>
    </row>
    <row r="90" spans="1:5" x14ac:dyDescent="0.25">
      <c r="A90" s="2">
        <v>85</v>
      </c>
      <c r="B90" s="11">
        <v>22.436</v>
      </c>
      <c r="C90" s="21">
        <v>2.4089999999999998</v>
      </c>
      <c r="D90" s="22">
        <v>2.1880000000000002</v>
      </c>
      <c r="E90" s="17">
        <v>7.5839999999999996</v>
      </c>
    </row>
    <row r="91" spans="1:5" x14ac:dyDescent="0.25">
      <c r="A91" s="2">
        <v>86</v>
      </c>
      <c r="B91" s="11">
        <v>22.7</v>
      </c>
      <c r="C91" s="21">
        <v>2.4460000000000002</v>
      </c>
      <c r="D91" s="22">
        <v>2.2170000000000001</v>
      </c>
      <c r="E91" s="17">
        <v>7.5510000000000002</v>
      </c>
    </row>
    <row r="92" spans="1:5" x14ac:dyDescent="0.25">
      <c r="A92" s="2">
        <v>87</v>
      </c>
      <c r="B92" s="11">
        <v>22.963999999999999</v>
      </c>
      <c r="C92" s="21">
        <v>2.4820000000000002</v>
      </c>
      <c r="D92" s="22">
        <v>2.2480000000000002</v>
      </c>
      <c r="E92" s="17">
        <v>7.5419999999999998</v>
      </c>
    </row>
    <row r="93" spans="1:5" x14ac:dyDescent="0.25">
      <c r="A93" s="2">
        <v>88</v>
      </c>
      <c r="B93" s="11">
        <v>23.228000000000002</v>
      </c>
      <c r="C93" s="21">
        <v>2.52</v>
      </c>
      <c r="D93" s="22">
        <v>2.2789999999999999</v>
      </c>
      <c r="E93" s="17">
        <v>7.532</v>
      </c>
    </row>
    <row r="94" spans="1:5" x14ac:dyDescent="0.25">
      <c r="A94" s="2">
        <v>89</v>
      </c>
      <c r="B94" s="11">
        <v>23.492000000000001</v>
      </c>
      <c r="C94" s="21">
        <v>2.5569999999999999</v>
      </c>
      <c r="D94" s="22">
        <v>2.3090000000000002</v>
      </c>
      <c r="E94" s="17">
        <v>7.5190000000000001</v>
      </c>
    </row>
    <row r="95" spans="1:5" x14ac:dyDescent="0.25">
      <c r="A95" s="2">
        <v>90</v>
      </c>
      <c r="B95" s="11">
        <v>23.756</v>
      </c>
      <c r="C95" s="21">
        <v>2.5950000000000002</v>
      </c>
      <c r="D95" s="22">
        <v>2.3380000000000001</v>
      </c>
      <c r="E95" s="17">
        <v>7.5049999999999999</v>
      </c>
    </row>
    <row r="96" spans="1:5" x14ac:dyDescent="0.25">
      <c r="A96" s="2">
        <v>91</v>
      </c>
      <c r="B96" s="11">
        <v>24.018999999999998</v>
      </c>
      <c r="C96" s="21">
        <v>2.633</v>
      </c>
      <c r="D96" s="22">
        <v>2.3679999999999999</v>
      </c>
      <c r="E96" s="17">
        <v>7.492</v>
      </c>
    </row>
    <row r="97" spans="1:5" x14ac:dyDescent="0.25">
      <c r="A97" s="2">
        <v>92</v>
      </c>
      <c r="B97" s="11">
        <v>24.283000000000001</v>
      </c>
      <c r="C97" s="21">
        <v>2.6709999999999998</v>
      </c>
      <c r="D97" s="22">
        <v>2.3980000000000001</v>
      </c>
      <c r="E97" s="17">
        <v>7.4790000000000001</v>
      </c>
    </row>
    <row r="98" spans="1:5" x14ac:dyDescent="0.25">
      <c r="A98" s="2">
        <v>93</v>
      </c>
      <c r="B98" s="11">
        <v>24.547000000000001</v>
      </c>
      <c r="C98" s="21">
        <v>2.7090000000000001</v>
      </c>
      <c r="D98" s="22">
        <v>2.4300000000000002</v>
      </c>
      <c r="E98" s="17">
        <v>7.468</v>
      </c>
    </row>
    <row r="99" spans="1:5" x14ac:dyDescent="0.25">
      <c r="A99" s="2">
        <v>94</v>
      </c>
      <c r="B99" s="11">
        <v>24.811</v>
      </c>
      <c r="C99" s="21">
        <v>2.7480000000000002</v>
      </c>
      <c r="D99" s="22">
        <v>2.4609999999999999</v>
      </c>
      <c r="E99" s="17">
        <v>7.4580000000000002</v>
      </c>
    </row>
    <row r="100" spans="1:5" x14ac:dyDescent="0.25">
      <c r="A100" s="2">
        <v>95</v>
      </c>
      <c r="B100" s="11">
        <v>25.074999999999999</v>
      </c>
      <c r="C100" s="21">
        <v>2.7869999999999999</v>
      </c>
      <c r="D100" s="22">
        <v>2.4910000000000001</v>
      </c>
      <c r="E100" s="17">
        <v>7.444</v>
      </c>
    </row>
    <row r="101" spans="1:5" x14ac:dyDescent="0.25">
      <c r="A101" s="2">
        <v>96</v>
      </c>
      <c r="B101" s="11">
        <v>25.338999999999999</v>
      </c>
      <c r="C101" s="21">
        <v>2.8260000000000001</v>
      </c>
      <c r="D101" s="22">
        <v>2.5219999999999998</v>
      </c>
      <c r="E101" s="17">
        <v>7.43</v>
      </c>
    </row>
    <row r="102" spans="1:5" x14ac:dyDescent="0.25">
      <c r="A102" s="2">
        <v>97</v>
      </c>
      <c r="B102" s="11">
        <v>25.603000000000002</v>
      </c>
      <c r="C102" s="21">
        <v>2.8660000000000001</v>
      </c>
      <c r="D102" s="22">
        <v>2.552</v>
      </c>
      <c r="E102" s="17">
        <v>7.4160000000000004</v>
      </c>
    </row>
    <row r="103" spans="1:5" x14ac:dyDescent="0.25">
      <c r="A103" s="2">
        <v>98</v>
      </c>
      <c r="B103" s="11">
        <v>25.867000000000001</v>
      </c>
      <c r="C103" s="21">
        <v>2.9079999999999999</v>
      </c>
      <c r="D103" s="22">
        <v>2.57</v>
      </c>
      <c r="E103" s="17">
        <v>7.4089999999999998</v>
      </c>
    </row>
    <row r="104" spans="1:5" x14ac:dyDescent="0.25">
      <c r="A104" s="2">
        <v>99</v>
      </c>
      <c r="B104" s="11">
        <v>26.131</v>
      </c>
      <c r="C104" s="21">
        <v>2.948</v>
      </c>
      <c r="D104" s="22">
        <v>2.6160000000000001</v>
      </c>
      <c r="E104" s="17">
        <v>7.3940000000000001</v>
      </c>
    </row>
    <row r="105" spans="1:5" x14ac:dyDescent="0.25">
      <c r="A105" s="2">
        <v>99.6</v>
      </c>
      <c r="B105" s="11">
        <v>26.289000000000001</v>
      </c>
      <c r="C105" s="21">
        <v>2.97</v>
      </c>
      <c r="D105" s="22">
        <v>2.6339999999999999</v>
      </c>
      <c r="E105" s="17">
        <v>7.3849999999999998</v>
      </c>
    </row>
    <row r="106" spans="1:5" ht="15.75" thickBot="1" x14ac:dyDescent="0.3">
      <c r="A106" s="3">
        <v>100</v>
      </c>
      <c r="B106" s="12">
        <v>26.395</v>
      </c>
      <c r="C106" s="23">
        <v>2.9860000000000002</v>
      </c>
      <c r="D106" s="24">
        <v>2.6469999999999998</v>
      </c>
      <c r="E106" s="18">
        <v>7.38</v>
      </c>
    </row>
  </sheetData>
  <pageMargins left="0.7" right="0.7" top="0.75" bottom="0.75" header="0.3" footer="0.3"/>
  <pageSetup paperSize="9" orientation="portrait" verticalDpi="0" r:id="rId1"/>
  <headerFooter>
    <oddFooter>&amp;LINTERNAL</oddFooter>
    <evenFooter>&amp;LINTERNAL</evenFooter>
    <firstFooter>&amp;LINTERNAL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selection activeCell="C13" sqref="C13"/>
    </sheetView>
  </sheetViews>
  <sheetFormatPr defaultRowHeight="15" x14ac:dyDescent="0.25"/>
  <cols>
    <col min="1" max="1" width="16.140625" customWidth="1"/>
    <col min="2" max="2" width="20.140625" customWidth="1"/>
    <col min="3" max="5" width="16.140625" customWidth="1"/>
  </cols>
  <sheetData>
    <row r="1" spans="1:5" x14ac:dyDescent="0.25">
      <c r="A1" s="29" t="s">
        <v>4</v>
      </c>
    </row>
    <row r="2" spans="1:5" x14ac:dyDescent="0.25">
      <c r="A2" s="29" t="s">
        <v>10</v>
      </c>
    </row>
    <row r="3" spans="1:5" ht="15.75" thickBot="1" x14ac:dyDescent="0.3"/>
    <row r="4" spans="1:5" ht="36.75" customHeight="1" thickBot="1" x14ac:dyDescent="0.3">
      <c r="A4" s="39" t="s">
        <v>0</v>
      </c>
      <c r="B4" s="40" t="s">
        <v>8</v>
      </c>
      <c r="C4" s="41" t="s">
        <v>5</v>
      </c>
      <c r="D4" s="40" t="s">
        <v>6</v>
      </c>
      <c r="E4" s="42" t="s">
        <v>7</v>
      </c>
    </row>
    <row r="5" spans="1:5" x14ac:dyDescent="0.25">
      <c r="A5" s="1">
        <v>0</v>
      </c>
      <c r="B5" s="10">
        <v>0</v>
      </c>
      <c r="C5" s="4">
        <v>0</v>
      </c>
      <c r="D5" s="13">
        <v>0</v>
      </c>
      <c r="E5" s="7">
        <v>997.91614376778409</v>
      </c>
    </row>
    <row r="6" spans="1:5" x14ac:dyDescent="0.25">
      <c r="A6" s="2">
        <v>1</v>
      </c>
      <c r="B6" s="11">
        <v>0.26400000000000001</v>
      </c>
      <c r="C6" s="5">
        <v>2.6361857784451548</v>
      </c>
      <c r="D6" s="14">
        <v>2.6361857784451548</v>
      </c>
      <c r="E6" s="8">
        <v>997.31701063631931</v>
      </c>
    </row>
    <row r="7" spans="1:5" x14ac:dyDescent="0.25">
      <c r="A7" s="2">
        <v>2</v>
      </c>
      <c r="B7" s="11">
        <v>0.52600000000000002</v>
      </c>
      <c r="C7" s="5">
        <v>5.2723715568903096</v>
      </c>
      <c r="D7" s="14">
        <v>5.2723715568903096</v>
      </c>
      <c r="E7" s="8">
        <v>996.59805087856148</v>
      </c>
    </row>
    <row r="8" spans="1:5" x14ac:dyDescent="0.25">
      <c r="A8" s="2">
        <v>3</v>
      </c>
      <c r="B8" s="11">
        <v>0.79200000000000004</v>
      </c>
      <c r="C8" s="5">
        <v>7.9085573353354661</v>
      </c>
      <c r="D8" s="14">
        <v>7.9085573353354661</v>
      </c>
      <c r="E8" s="8">
        <v>995.39978461563192</v>
      </c>
    </row>
    <row r="9" spans="1:5" x14ac:dyDescent="0.25">
      <c r="A9" s="2">
        <v>4</v>
      </c>
      <c r="B9" s="11">
        <v>1.056</v>
      </c>
      <c r="C9" s="5">
        <v>10.664569740073581</v>
      </c>
      <c r="D9" s="14">
        <v>10.664569740073581</v>
      </c>
      <c r="E9" s="8">
        <v>994.32134497899528</v>
      </c>
    </row>
    <row r="10" spans="1:5" x14ac:dyDescent="0.25">
      <c r="A10" s="2">
        <v>5</v>
      </c>
      <c r="B10" s="11">
        <v>1.32</v>
      </c>
      <c r="C10" s="5">
        <v>13.300755518518736</v>
      </c>
      <c r="D10" s="14">
        <v>13.300755518518736</v>
      </c>
      <c r="E10" s="8">
        <v>993.60238522123745</v>
      </c>
    </row>
    <row r="11" spans="1:5" x14ac:dyDescent="0.25">
      <c r="A11" s="2">
        <v>6</v>
      </c>
      <c r="B11" s="11">
        <v>1.5840000000000001</v>
      </c>
      <c r="C11" s="5">
        <v>16.056767923256857</v>
      </c>
      <c r="D11" s="14">
        <v>15.936941296963894</v>
      </c>
      <c r="E11" s="8">
        <v>992.88342546347963</v>
      </c>
    </row>
    <row r="12" spans="1:5" x14ac:dyDescent="0.25">
      <c r="A12" s="2">
        <v>7</v>
      </c>
      <c r="B12" s="11">
        <v>1.8480000000000001</v>
      </c>
      <c r="C12" s="5">
        <v>18.812780327994968</v>
      </c>
      <c r="D12" s="14">
        <v>18.692953701702006</v>
      </c>
      <c r="E12" s="8">
        <v>992.16446570572191</v>
      </c>
    </row>
    <row r="13" spans="1:5" x14ac:dyDescent="0.25">
      <c r="A13" s="2">
        <v>8</v>
      </c>
      <c r="B13" s="11">
        <v>2.1120000000000001</v>
      </c>
      <c r="C13" s="5">
        <v>21.568792732733087</v>
      </c>
      <c r="D13" s="14">
        <v>21.329139480147163</v>
      </c>
      <c r="E13" s="8">
        <v>991.44550594796408</v>
      </c>
    </row>
    <row r="14" spans="1:5" x14ac:dyDescent="0.25">
      <c r="A14" s="2">
        <v>9</v>
      </c>
      <c r="B14" s="11">
        <v>2.3759999999999999</v>
      </c>
      <c r="C14" s="5">
        <v>24.324805137471202</v>
      </c>
      <c r="D14" s="14">
        <v>24.085151884885278</v>
      </c>
      <c r="E14" s="8">
        <v>990.72654619020648</v>
      </c>
    </row>
    <row r="15" spans="1:5" x14ac:dyDescent="0.25">
      <c r="A15" s="2">
        <v>10</v>
      </c>
      <c r="B15" s="11">
        <v>2.64</v>
      </c>
      <c r="C15" s="5">
        <v>27.080817542209321</v>
      </c>
      <c r="D15" s="14">
        <v>26.841164289623396</v>
      </c>
      <c r="E15" s="8">
        <v>990.00758643244865</v>
      </c>
    </row>
    <row r="16" spans="1:5" x14ac:dyDescent="0.25">
      <c r="A16" s="2">
        <v>11</v>
      </c>
      <c r="B16" s="11">
        <v>2.903</v>
      </c>
      <c r="C16" s="5">
        <v>29.836829946947436</v>
      </c>
      <c r="D16" s="14">
        <v>29.597176694361512</v>
      </c>
      <c r="E16" s="8">
        <v>989.28862667469082</v>
      </c>
    </row>
    <row r="17" spans="1:5" x14ac:dyDescent="0.25">
      <c r="A17" s="2">
        <v>12</v>
      </c>
      <c r="B17" s="11">
        <v>3.1669999999999998</v>
      </c>
      <c r="C17" s="5">
        <v>32.592842351685555</v>
      </c>
      <c r="D17" s="14">
        <v>32.353189099099637</v>
      </c>
      <c r="E17" s="8">
        <v>988.5696669169331</v>
      </c>
    </row>
    <row r="18" spans="1:5" x14ac:dyDescent="0.25">
      <c r="A18" s="2">
        <v>13</v>
      </c>
      <c r="B18" s="11">
        <v>3.431</v>
      </c>
      <c r="C18" s="5">
        <v>35.468681382716632</v>
      </c>
      <c r="D18" s="14">
        <v>35.109201503837745</v>
      </c>
      <c r="E18" s="8">
        <v>987.2515740277106</v>
      </c>
    </row>
    <row r="19" spans="1:5" x14ac:dyDescent="0.25">
      <c r="A19" s="2">
        <v>14</v>
      </c>
      <c r="B19" s="11">
        <v>3.6949999999999998</v>
      </c>
      <c r="C19" s="5">
        <v>38.344520413747709</v>
      </c>
      <c r="D19" s="14">
        <v>37.865213908575861</v>
      </c>
      <c r="E19" s="8">
        <v>986.05330776478081</v>
      </c>
    </row>
    <row r="20" spans="1:5" x14ac:dyDescent="0.25">
      <c r="A20" s="2">
        <v>15</v>
      </c>
      <c r="B20" s="11">
        <v>3.9590000000000001</v>
      </c>
      <c r="C20" s="5">
        <v>41.100532818485824</v>
      </c>
      <c r="D20" s="14">
        <v>40.621226313313976</v>
      </c>
      <c r="E20" s="8">
        <v>985.21452138073005</v>
      </c>
    </row>
    <row r="21" spans="1:5" x14ac:dyDescent="0.25">
      <c r="A21" s="2">
        <v>16</v>
      </c>
      <c r="B21" s="11">
        <v>4.2229999999999999</v>
      </c>
      <c r="C21" s="5">
        <v>43.976371849516902</v>
      </c>
      <c r="D21" s="14">
        <v>43.377238718052098</v>
      </c>
      <c r="E21" s="8">
        <v>984.49556162297233</v>
      </c>
    </row>
    <row r="22" spans="1:5" x14ac:dyDescent="0.25">
      <c r="A22" s="2">
        <v>17</v>
      </c>
      <c r="B22" s="11">
        <v>4.4870000000000001</v>
      </c>
      <c r="C22" s="5">
        <v>46.852210880547986</v>
      </c>
      <c r="D22" s="14">
        <v>46.253077749083175</v>
      </c>
      <c r="E22" s="8">
        <v>983.65677523892157</v>
      </c>
    </row>
    <row r="23" spans="1:5" x14ac:dyDescent="0.25">
      <c r="A23" s="2">
        <v>18</v>
      </c>
      <c r="B23" s="11">
        <v>4.7510000000000003</v>
      </c>
      <c r="C23" s="5">
        <v>49.728049911579049</v>
      </c>
      <c r="D23" s="14">
        <v>49.009090153821283</v>
      </c>
      <c r="E23" s="8">
        <v>982.81798885487092</v>
      </c>
    </row>
    <row r="24" spans="1:5" x14ac:dyDescent="0.25">
      <c r="A24" s="2">
        <v>19</v>
      </c>
      <c r="B24" s="11">
        <v>5.0149999999999997</v>
      </c>
      <c r="C24" s="5">
        <v>52.723715568903096</v>
      </c>
      <c r="D24" s="14">
        <v>51.884929184852368</v>
      </c>
      <c r="E24" s="8">
        <v>981.97920247082016</v>
      </c>
    </row>
    <row r="25" spans="1:5" x14ac:dyDescent="0.25">
      <c r="A25" s="2">
        <v>20</v>
      </c>
      <c r="B25" s="11">
        <v>5.2789999999999999</v>
      </c>
      <c r="C25" s="5">
        <v>55.59955459993418</v>
      </c>
      <c r="D25" s="14">
        <v>54.640941589590483</v>
      </c>
      <c r="E25" s="8">
        <v>981.14041608676962</v>
      </c>
    </row>
    <row r="26" spans="1:5" x14ac:dyDescent="0.25">
      <c r="A26" s="2">
        <v>21</v>
      </c>
      <c r="B26" s="11">
        <v>5.5430000000000001</v>
      </c>
      <c r="C26" s="5">
        <v>58.595220257258212</v>
      </c>
      <c r="D26" s="14">
        <v>57.51678062062156</v>
      </c>
      <c r="E26" s="8">
        <v>980.30162970271874</v>
      </c>
    </row>
    <row r="27" spans="1:5" x14ac:dyDescent="0.25">
      <c r="A27" s="2">
        <v>22</v>
      </c>
      <c r="B27" s="11">
        <v>5.8070000000000004</v>
      </c>
      <c r="C27" s="5">
        <v>61.471059288289297</v>
      </c>
      <c r="D27" s="14">
        <v>60.392619651652645</v>
      </c>
      <c r="E27" s="8">
        <v>979.46284331866798</v>
      </c>
    </row>
    <row r="28" spans="1:5" x14ac:dyDescent="0.25">
      <c r="A28" s="2">
        <v>23</v>
      </c>
      <c r="B28" s="11">
        <v>6.0709999999999997</v>
      </c>
      <c r="C28" s="5">
        <v>64.466724945613336</v>
      </c>
      <c r="D28" s="14">
        <v>63.268458682683729</v>
      </c>
      <c r="E28" s="8">
        <v>978.62405693461733</v>
      </c>
    </row>
    <row r="29" spans="1:5" x14ac:dyDescent="0.25">
      <c r="A29" s="2">
        <v>24</v>
      </c>
      <c r="B29" s="11">
        <v>6.335</v>
      </c>
      <c r="C29" s="5">
        <v>67.462390602937361</v>
      </c>
      <c r="D29" s="14">
        <v>66.144297713714806</v>
      </c>
      <c r="E29" s="8">
        <v>977.66544392427363</v>
      </c>
    </row>
    <row r="30" spans="1:5" x14ac:dyDescent="0.25">
      <c r="A30" s="2">
        <v>25</v>
      </c>
      <c r="B30" s="11">
        <v>6.5990000000000002</v>
      </c>
      <c r="C30" s="5">
        <v>70.458056260261415</v>
      </c>
      <c r="D30" s="14">
        <v>69.020136744745869</v>
      </c>
      <c r="E30" s="8">
        <v>976.82665754022275</v>
      </c>
    </row>
    <row r="31" spans="1:5" x14ac:dyDescent="0.25">
      <c r="A31" s="2">
        <v>26</v>
      </c>
      <c r="B31" s="11">
        <v>6.8630000000000004</v>
      </c>
      <c r="C31" s="5">
        <v>73.573548543878417</v>
      </c>
      <c r="D31" s="14">
        <v>71.895975775776961</v>
      </c>
      <c r="E31" s="8">
        <v>975.86804452987917</v>
      </c>
    </row>
    <row r="32" spans="1:5" x14ac:dyDescent="0.25">
      <c r="A32" s="2">
        <v>27</v>
      </c>
      <c r="B32" s="11">
        <v>7.1269999999999998</v>
      </c>
      <c r="C32" s="5">
        <v>76.56921420120247</v>
      </c>
      <c r="D32" s="14">
        <v>74.771814806808024</v>
      </c>
      <c r="E32" s="8">
        <v>975.02925814582841</v>
      </c>
    </row>
    <row r="33" spans="1:5" x14ac:dyDescent="0.25">
      <c r="A33" s="2">
        <v>28</v>
      </c>
      <c r="B33" s="11">
        <v>7.391</v>
      </c>
      <c r="C33" s="5">
        <v>79.684706484819458</v>
      </c>
      <c r="D33" s="14">
        <v>77.767480464132078</v>
      </c>
      <c r="E33" s="8">
        <v>974.07064513548471</v>
      </c>
    </row>
    <row r="34" spans="1:5" x14ac:dyDescent="0.25">
      <c r="A34" s="2">
        <v>29</v>
      </c>
      <c r="B34" s="11">
        <v>7.6550000000000002</v>
      </c>
      <c r="C34" s="5">
        <v>82.680372142143483</v>
      </c>
      <c r="D34" s="14">
        <v>80.643319495163155</v>
      </c>
      <c r="E34" s="8">
        <v>973.11203212514113</v>
      </c>
    </row>
    <row r="35" spans="1:5" x14ac:dyDescent="0.25">
      <c r="A35" s="2">
        <v>30</v>
      </c>
      <c r="B35" s="11">
        <v>7.9189999999999996</v>
      </c>
      <c r="C35" s="5">
        <v>85.795864425760499</v>
      </c>
      <c r="D35" s="14">
        <v>83.63898515248718</v>
      </c>
      <c r="E35" s="8">
        <v>972.15341911479732</v>
      </c>
    </row>
    <row r="36" spans="1:5" x14ac:dyDescent="0.25">
      <c r="A36" s="2">
        <v>31</v>
      </c>
      <c r="B36" s="11">
        <v>8.1620000000000008</v>
      </c>
      <c r="C36" s="5">
        <v>88.9113567093775</v>
      </c>
      <c r="D36" s="14">
        <v>86.514824183518257</v>
      </c>
      <c r="E36" s="8">
        <v>971.19480610445373</v>
      </c>
    </row>
    <row r="37" spans="1:5" x14ac:dyDescent="0.25">
      <c r="A37" s="2">
        <v>32</v>
      </c>
      <c r="B37" s="11">
        <v>8.4459999999999997</v>
      </c>
      <c r="C37" s="5">
        <v>92.026848992994502</v>
      </c>
      <c r="D37" s="14">
        <v>89.510489840842311</v>
      </c>
      <c r="E37" s="8">
        <v>970.23619309410992</v>
      </c>
    </row>
    <row r="38" spans="1:5" x14ac:dyDescent="0.25">
      <c r="A38" s="2">
        <v>33</v>
      </c>
      <c r="B38" s="11">
        <v>8.7100000000000009</v>
      </c>
      <c r="C38" s="5">
        <v>95.262167902904466</v>
      </c>
      <c r="D38" s="14">
        <v>92.506155498166351</v>
      </c>
      <c r="E38" s="8">
        <v>969.27758008376645</v>
      </c>
    </row>
    <row r="39" spans="1:5" x14ac:dyDescent="0.25">
      <c r="A39" s="2">
        <v>34</v>
      </c>
      <c r="B39" s="11">
        <v>8.9740000000000002</v>
      </c>
      <c r="C39" s="5">
        <v>98.377660186521453</v>
      </c>
      <c r="D39" s="14">
        <v>95.50182115549039</v>
      </c>
      <c r="E39" s="8">
        <v>968.31896707342253</v>
      </c>
    </row>
    <row r="40" spans="1:5" x14ac:dyDescent="0.25">
      <c r="A40" s="2">
        <v>35</v>
      </c>
      <c r="B40" s="11">
        <v>9.2379999999999995</v>
      </c>
      <c r="C40" s="5">
        <v>101.61297909643143</v>
      </c>
      <c r="D40" s="14">
        <v>98.497486812814415</v>
      </c>
      <c r="E40" s="8">
        <v>967.36035406307894</v>
      </c>
    </row>
    <row r="41" spans="1:5" x14ac:dyDescent="0.25">
      <c r="A41" s="2">
        <v>36</v>
      </c>
      <c r="B41" s="11">
        <v>9.5020000000000007</v>
      </c>
      <c r="C41" s="5">
        <v>104.72847138004843</v>
      </c>
      <c r="D41" s="14">
        <v>101.49315247013845</v>
      </c>
      <c r="E41" s="8">
        <v>966.28191442644231</v>
      </c>
    </row>
    <row r="42" spans="1:5" x14ac:dyDescent="0.25">
      <c r="A42" s="2">
        <v>37</v>
      </c>
      <c r="B42" s="11">
        <v>9.766</v>
      </c>
      <c r="C42" s="5">
        <v>107.9637902899584</v>
      </c>
      <c r="D42" s="14">
        <v>104.48881812746251</v>
      </c>
      <c r="E42" s="8">
        <v>965.3233014160985</v>
      </c>
    </row>
    <row r="43" spans="1:5" x14ac:dyDescent="0.25">
      <c r="A43" s="2">
        <v>38</v>
      </c>
      <c r="B43" s="11">
        <v>10.029999999999999</v>
      </c>
      <c r="C43" s="5">
        <v>111.19910919986836</v>
      </c>
      <c r="D43" s="14">
        <v>107.48448378478655</v>
      </c>
      <c r="E43" s="8">
        <v>964.24486177946198</v>
      </c>
    </row>
    <row r="44" spans="1:5" x14ac:dyDescent="0.25">
      <c r="A44" s="2">
        <v>39</v>
      </c>
      <c r="B44" s="11">
        <v>10.294</v>
      </c>
      <c r="C44" s="5">
        <v>114.55425473607127</v>
      </c>
      <c r="D44" s="14">
        <v>110.4801494421106</v>
      </c>
      <c r="E44" s="8">
        <v>963.16642214282524</v>
      </c>
    </row>
    <row r="45" spans="1:5" x14ac:dyDescent="0.25">
      <c r="A45" s="2">
        <v>40</v>
      </c>
      <c r="B45" s="11">
        <v>10.558</v>
      </c>
      <c r="C45" s="5">
        <v>117.78957364598124</v>
      </c>
      <c r="D45" s="14">
        <v>113.59564172572759</v>
      </c>
      <c r="E45" s="8">
        <v>962.20780913248154</v>
      </c>
    </row>
    <row r="46" spans="1:5" x14ac:dyDescent="0.25">
      <c r="A46" s="2">
        <v>41</v>
      </c>
      <c r="B46" s="11">
        <v>10.821999999999999</v>
      </c>
      <c r="C46" s="5">
        <v>121.14471918218416</v>
      </c>
      <c r="D46" s="14">
        <v>116.59130738305163</v>
      </c>
      <c r="E46" s="8">
        <v>961.12936949584503</v>
      </c>
    </row>
    <row r="47" spans="1:5" x14ac:dyDescent="0.25">
      <c r="A47" s="2">
        <v>42</v>
      </c>
      <c r="B47" s="11">
        <v>11.086</v>
      </c>
      <c r="C47" s="5">
        <v>124.38003809209414</v>
      </c>
      <c r="D47" s="14">
        <v>119.70679966666863</v>
      </c>
      <c r="E47" s="8">
        <v>960.05092985920828</v>
      </c>
    </row>
    <row r="48" spans="1:5" x14ac:dyDescent="0.25">
      <c r="A48" s="2">
        <v>43</v>
      </c>
      <c r="B48" s="11">
        <v>11.35</v>
      </c>
      <c r="C48" s="5">
        <v>127.73518362829705</v>
      </c>
      <c r="D48" s="14">
        <v>122.82229195028562</v>
      </c>
      <c r="E48" s="8">
        <v>958.97249022257165</v>
      </c>
    </row>
    <row r="49" spans="1:5" x14ac:dyDescent="0.25">
      <c r="A49" s="2">
        <v>44</v>
      </c>
      <c r="B49" s="11">
        <v>11.614000000000001</v>
      </c>
      <c r="C49" s="5">
        <v>131.09032916449996</v>
      </c>
      <c r="D49" s="14">
        <v>125.81795760760967</v>
      </c>
      <c r="E49" s="8">
        <v>957.89405058593491</v>
      </c>
    </row>
    <row r="50" spans="1:5" x14ac:dyDescent="0.25">
      <c r="A50" s="2">
        <v>45</v>
      </c>
      <c r="B50" s="11">
        <v>11.878</v>
      </c>
      <c r="C50" s="5">
        <v>134.56530132699584</v>
      </c>
      <c r="D50" s="14">
        <v>128.93344989122667</v>
      </c>
      <c r="E50" s="8">
        <v>956.81561094929839</v>
      </c>
    </row>
    <row r="51" spans="1:5" x14ac:dyDescent="0.25">
      <c r="A51" s="2">
        <v>46</v>
      </c>
      <c r="B51" s="11">
        <v>12.141999999999999</v>
      </c>
      <c r="C51" s="5">
        <v>137.9204468631988</v>
      </c>
      <c r="D51" s="14">
        <v>132.04894217484366</v>
      </c>
      <c r="E51" s="8">
        <v>955.6173446863686</v>
      </c>
    </row>
    <row r="52" spans="1:5" x14ac:dyDescent="0.25">
      <c r="A52" s="2">
        <v>47</v>
      </c>
      <c r="B52" s="11">
        <v>12.406000000000001</v>
      </c>
      <c r="C52" s="5">
        <v>141.27559239940172</v>
      </c>
      <c r="D52" s="14">
        <v>135.16443445846065</v>
      </c>
      <c r="E52" s="8">
        <v>954.53890504973208</v>
      </c>
    </row>
    <row r="53" spans="1:5" x14ac:dyDescent="0.25">
      <c r="A53" s="2">
        <v>48</v>
      </c>
      <c r="B53" s="11">
        <v>12.67</v>
      </c>
      <c r="C53" s="5">
        <v>144.75056456189762</v>
      </c>
      <c r="D53" s="14">
        <v>138.27992674207763</v>
      </c>
      <c r="E53" s="8">
        <v>953.46046541309533</v>
      </c>
    </row>
    <row r="54" spans="1:5" x14ac:dyDescent="0.25">
      <c r="A54" s="2">
        <v>49</v>
      </c>
      <c r="B54" s="11">
        <v>12.933999999999999</v>
      </c>
      <c r="C54" s="5">
        <v>148.22553672439352</v>
      </c>
      <c r="D54" s="14">
        <v>141.51524565198764</v>
      </c>
      <c r="E54" s="8">
        <v>952.26219915016577</v>
      </c>
    </row>
    <row r="55" spans="1:5" x14ac:dyDescent="0.25">
      <c r="A55" s="2">
        <v>50</v>
      </c>
      <c r="B55" s="11">
        <v>13.198</v>
      </c>
      <c r="C55" s="5">
        <v>151.70050888688937</v>
      </c>
      <c r="D55" s="14">
        <v>144.63073793560466</v>
      </c>
      <c r="E55" s="8">
        <v>951.06393288723621</v>
      </c>
    </row>
    <row r="56" spans="1:5" x14ac:dyDescent="0.25">
      <c r="A56" s="2">
        <v>51</v>
      </c>
      <c r="B56" s="11">
        <v>13.461</v>
      </c>
      <c r="C56" s="5">
        <v>155.17548104938524</v>
      </c>
      <c r="D56" s="14">
        <v>147.74623021922164</v>
      </c>
      <c r="E56" s="8">
        <v>949.98549325059946</v>
      </c>
    </row>
    <row r="57" spans="1:5" x14ac:dyDescent="0.25">
      <c r="A57" s="2">
        <v>52</v>
      </c>
      <c r="B57" s="11">
        <v>13.725</v>
      </c>
      <c r="C57" s="5">
        <v>158.77027983817408</v>
      </c>
      <c r="D57" s="14">
        <v>150.98154912913162</v>
      </c>
      <c r="E57" s="8">
        <v>948.78722698766978</v>
      </c>
    </row>
    <row r="58" spans="1:5" x14ac:dyDescent="0.25">
      <c r="A58" s="2">
        <v>53</v>
      </c>
      <c r="B58" s="11">
        <v>13.989000000000001</v>
      </c>
      <c r="C58" s="5">
        <v>162.36507862696294</v>
      </c>
      <c r="D58" s="14">
        <v>154.09704141274864</v>
      </c>
      <c r="E58" s="8">
        <v>947.58896072474033</v>
      </c>
    </row>
    <row r="59" spans="1:5" x14ac:dyDescent="0.25">
      <c r="A59" s="2">
        <v>54</v>
      </c>
      <c r="B59" s="11">
        <v>14.253</v>
      </c>
      <c r="C59" s="5">
        <v>165.84005078945881</v>
      </c>
      <c r="D59" s="14">
        <v>157.33236032265856</v>
      </c>
      <c r="E59" s="8">
        <v>946.39069446181054</v>
      </c>
    </row>
    <row r="60" spans="1:5" x14ac:dyDescent="0.25">
      <c r="A60" s="2">
        <v>55</v>
      </c>
      <c r="B60" s="11">
        <v>14.516999999999999</v>
      </c>
      <c r="C60" s="5">
        <v>169.43484957824768</v>
      </c>
      <c r="D60" s="14">
        <v>160.56767923256854</v>
      </c>
      <c r="E60" s="8">
        <v>945.19242819888098</v>
      </c>
    </row>
    <row r="61" spans="1:5" x14ac:dyDescent="0.25">
      <c r="A61" s="2">
        <v>56</v>
      </c>
      <c r="B61" s="11">
        <v>14.781000000000001</v>
      </c>
      <c r="C61" s="5">
        <v>173.02964836703651</v>
      </c>
      <c r="D61" s="14">
        <v>163.92282476877145</v>
      </c>
      <c r="E61" s="8">
        <v>943.99416193595141</v>
      </c>
    </row>
    <row r="62" spans="1:5" x14ac:dyDescent="0.25">
      <c r="A62" s="2">
        <v>57</v>
      </c>
      <c r="B62" s="11">
        <v>15.045</v>
      </c>
      <c r="C62" s="5">
        <v>176.74427378211834</v>
      </c>
      <c r="D62" s="14">
        <v>166.9184904260955</v>
      </c>
      <c r="E62" s="8">
        <v>942.6760690467288</v>
      </c>
    </row>
    <row r="63" spans="1:5" x14ac:dyDescent="0.25">
      <c r="A63" s="2">
        <v>58</v>
      </c>
      <c r="B63" s="11">
        <v>15.308999999999999</v>
      </c>
      <c r="C63" s="5">
        <v>180.33907257090718</v>
      </c>
      <c r="D63" s="14">
        <v>170.15380933600542</v>
      </c>
      <c r="E63" s="8">
        <v>941.47780278379923</v>
      </c>
    </row>
    <row r="64" spans="1:5" x14ac:dyDescent="0.25">
      <c r="A64" s="2">
        <v>59</v>
      </c>
      <c r="B64" s="11">
        <v>15.573</v>
      </c>
      <c r="C64" s="5">
        <v>184.053697985989</v>
      </c>
      <c r="D64" s="14">
        <v>173.38912824591543</v>
      </c>
      <c r="E64" s="8">
        <v>940.27953652086967</v>
      </c>
    </row>
    <row r="65" spans="1:5" x14ac:dyDescent="0.25">
      <c r="A65" s="2">
        <v>60</v>
      </c>
      <c r="B65" s="11">
        <v>15.837</v>
      </c>
      <c r="C65" s="5">
        <v>187.7683234010708</v>
      </c>
      <c r="D65" s="14">
        <v>176.74427378211834</v>
      </c>
      <c r="E65" s="8">
        <v>938.96144363164706</v>
      </c>
    </row>
    <row r="66" spans="1:5" x14ac:dyDescent="0.25">
      <c r="A66" s="2">
        <v>61</v>
      </c>
      <c r="B66" s="11">
        <v>16.100999999999999</v>
      </c>
      <c r="C66" s="5">
        <v>191.4829488161526</v>
      </c>
      <c r="D66" s="14">
        <v>179.97959269202832</v>
      </c>
      <c r="E66" s="8">
        <v>937.76317736871727</v>
      </c>
    </row>
    <row r="67" spans="1:5" x14ac:dyDescent="0.25">
      <c r="A67" s="2">
        <v>62</v>
      </c>
      <c r="B67" s="11">
        <v>16.364999999999998</v>
      </c>
      <c r="C67" s="5">
        <v>195.31740085752736</v>
      </c>
      <c r="D67" s="14">
        <v>183.21491160193827</v>
      </c>
      <c r="E67" s="8">
        <v>936.44508447949488</v>
      </c>
    </row>
    <row r="68" spans="1:5" x14ac:dyDescent="0.25">
      <c r="A68" s="2">
        <v>63</v>
      </c>
      <c r="B68" s="11">
        <v>16.629000000000001</v>
      </c>
      <c r="C68" s="5">
        <v>199.03202627260919</v>
      </c>
      <c r="D68" s="14">
        <v>186.57005713814121</v>
      </c>
      <c r="E68" s="8">
        <v>935.12699159027227</v>
      </c>
    </row>
    <row r="69" spans="1:5" x14ac:dyDescent="0.25">
      <c r="A69" s="2">
        <v>64</v>
      </c>
      <c r="B69" s="11">
        <v>16.893000000000001</v>
      </c>
      <c r="C69" s="5">
        <v>202.86647831398398</v>
      </c>
      <c r="D69" s="14">
        <v>189.80537604805116</v>
      </c>
      <c r="E69" s="8">
        <v>933.80889870104966</v>
      </c>
    </row>
    <row r="70" spans="1:5" x14ac:dyDescent="0.25">
      <c r="A70" s="2">
        <v>65</v>
      </c>
      <c r="B70" s="11">
        <v>17.157</v>
      </c>
      <c r="C70" s="5">
        <v>206.70093035535874</v>
      </c>
      <c r="D70" s="14">
        <v>193.1605215842541</v>
      </c>
      <c r="E70" s="8">
        <v>932.49080581182704</v>
      </c>
    </row>
    <row r="71" spans="1:5" x14ac:dyDescent="0.25">
      <c r="A71" s="2">
        <v>66</v>
      </c>
      <c r="B71" s="11">
        <v>17.420999999999999</v>
      </c>
      <c r="C71" s="5">
        <v>210.5353823967335</v>
      </c>
      <c r="D71" s="14">
        <v>196.39584049416402</v>
      </c>
      <c r="E71" s="8">
        <v>931.17271292260455</v>
      </c>
    </row>
    <row r="72" spans="1:5" x14ac:dyDescent="0.25">
      <c r="A72" s="2">
        <v>67</v>
      </c>
      <c r="B72" s="11">
        <v>17.684999999999999</v>
      </c>
      <c r="C72" s="5">
        <v>214.36983443810828</v>
      </c>
      <c r="D72" s="14">
        <v>199.87081265665989</v>
      </c>
      <c r="E72" s="8">
        <v>930.33392653855378</v>
      </c>
    </row>
    <row r="73" spans="1:5" x14ac:dyDescent="0.25">
      <c r="A73" s="2">
        <v>68</v>
      </c>
      <c r="B73" s="11">
        <v>17.949000000000002</v>
      </c>
      <c r="C73" s="5">
        <v>218.32411310577604</v>
      </c>
      <c r="D73" s="14">
        <v>203.34578481915582</v>
      </c>
      <c r="E73" s="8">
        <v>929.37531352820997</v>
      </c>
    </row>
    <row r="74" spans="1:5" x14ac:dyDescent="0.25">
      <c r="A74" s="2">
        <v>69</v>
      </c>
      <c r="B74" s="11">
        <v>18.213000000000001</v>
      </c>
      <c r="C74" s="5">
        <v>222.1585651471508</v>
      </c>
      <c r="D74" s="14">
        <v>206.70093035535874</v>
      </c>
      <c r="E74" s="8">
        <v>927.93739401269454</v>
      </c>
    </row>
    <row r="75" spans="1:5" x14ac:dyDescent="0.25">
      <c r="A75" s="2">
        <v>70</v>
      </c>
      <c r="B75" s="11">
        <v>18.477</v>
      </c>
      <c r="C75" s="5">
        <v>226.11284381481852</v>
      </c>
      <c r="D75" s="14">
        <v>210.05607589156165</v>
      </c>
      <c r="E75" s="8">
        <v>926.61930112347193</v>
      </c>
    </row>
    <row r="76" spans="1:5" x14ac:dyDescent="0.25">
      <c r="A76" s="2">
        <v>71</v>
      </c>
      <c r="B76" s="11">
        <v>18.739999999999998</v>
      </c>
      <c r="C76" s="5">
        <v>230.1869491087792</v>
      </c>
      <c r="D76" s="14">
        <v>213.41122142776459</v>
      </c>
      <c r="E76" s="8">
        <v>925.1813816079565</v>
      </c>
    </row>
    <row r="77" spans="1:5" x14ac:dyDescent="0.25">
      <c r="A77" s="2">
        <v>72</v>
      </c>
      <c r="B77" s="11">
        <v>19.004000000000001</v>
      </c>
      <c r="C77" s="5">
        <v>234.14122777644695</v>
      </c>
      <c r="D77" s="14">
        <v>216.7663669639675</v>
      </c>
      <c r="E77" s="8">
        <v>923.86328871873377</v>
      </c>
    </row>
    <row r="78" spans="1:5" x14ac:dyDescent="0.25">
      <c r="A78" s="2">
        <v>73</v>
      </c>
      <c r="B78" s="11">
        <v>19.268000000000001</v>
      </c>
      <c r="C78" s="5">
        <v>238.21533307040764</v>
      </c>
      <c r="D78" s="14">
        <v>220.12151250017044</v>
      </c>
      <c r="E78" s="8">
        <v>922.42536920321822</v>
      </c>
    </row>
    <row r="79" spans="1:5" x14ac:dyDescent="0.25">
      <c r="A79" s="2">
        <v>74</v>
      </c>
      <c r="B79" s="11">
        <v>19.532</v>
      </c>
      <c r="C79" s="5">
        <v>242.16961173807536</v>
      </c>
      <c r="D79" s="14">
        <v>223.59648466266634</v>
      </c>
      <c r="E79" s="8">
        <v>920.98744968770279</v>
      </c>
    </row>
    <row r="80" spans="1:5" x14ac:dyDescent="0.25">
      <c r="A80" s="2">
        <v>75</v>
      </c>
      <c r="B80" s="11">
        <v>19.795999999999999</v>
      </c>
      <c r="C80" s="5">
        <v>246.36354365832901</v>
      </c>
      <c r="D80" s="14">
        <v>227.07145682516219</v>
      </c>
      <c r="E80" s="8">
        <v>920.02883667735898</v>
      </c>
    </row>
    <row r="81" spans="1:5" x14ac:dyDescent="0.25">
      <c r="A81" s="2">
        <v>76</v>
      </c>
      <c r="B81" s="11">
        <v>20.059999999999999</v>
      </c>
      <c r="C81" s="5">
        <v>250.43764895228969</v>
      </c>
      <c r="D81" s="14">
        <v>230.66625561395105</v>
      </c>
      <c r="E81" s="8">
        <v>918.95039704072235</v>
      </c>
    </row>
    <row r="82" spans="1:5" x14ac:dyDescent="0.25">
      <c r="A82" s="2">
        <v>77</v>
      </c>
      <c r="B82" s="11">
        <v>20.324000000000002</v>
      </c>
      <c r="C82" s="5">
        <v>254.51175424625043</v>
      </c>
      <c r="D82" s="14">
        <v>234.02140115015399</v>
      </c>
      <c r="E82" s="8">
        <v>917.51247752520692</v>
      </c>
    </row>
    <row r="83" spans="1:5" x14ac:dyDescent="0.25">
      <c r="A83" s="2">
        <v>78</v>
      </c>
      <c r="B83" s="11">
        <v>20.588000000000001</v>
      </c>
      <c r="C83" s="5">
        <v>258.70568616650405</v>
      </c>
      <c r="D83" s="14">
        <v>237.49637331264987</v>
      </c>
      <c r="E83" s="8">
        <v>916.07455800969126</v>
      </c>
    </row>
    <row r="84" spans="1:5" x14ac:dyDescent="0.25">
      <c r="A84" s="2">
        <v>79</v>
      </c>
      <c r="B84" s="11">
        <v>20.852</v>
      </c>
      <c r="C84" s="5">
        <v>262.8996180867577</v>
      </c>
      <c r="D84" s="14">
        <v>240.97134547514577</v>
      </c>
      <c r="E84" s="8">
        <v>914.63663849417571</v>
      </c>
    </row>
    <row r="85" spans="1:5" x14ac:dyDescent="0.25">
      <c r="A85" s="2">
        <v>80</v>
      </c>
      <c r="B85" s="11">
        <v>21.116</v>
      </c>
      <c r="C85" s="5">
        <v>267.0935500070114</v>
      </c>
      <c r="D85" s="14">
        <v>244.44631763764164</v>
      </c>
      <c r="E85" s="8">
        <v>913.19871897866039</v>
      </c>
    </row>
    <row r="86" spans="1:5" x14ac:dyDescent="0.25">
      <c r="A86" s="2">
        <v>81</v>
      </c>
      <c r="B86" s="11">
        <v>21.38</v>
      </c>
      <c r="C86" s="5">
        <v>271.40730855355798</v>
      </c>
      <c r="D86" s="14">
        <v>247.92128980013752</v>
      </c>
      <c r="E86" s="8">
        <v>911.6409728368518</v>
      </c>
    </row>
    <row r="87" spans="1:5" x14ac:dyDescent="0.25">
      <c r="A87" s="2">
        <v>82</v>
      </c>
      <c r="B87" s="11">
        <v>21.643999999999998</v>
      </c>
      <c r="C87" s="5">
        <v>275.60124047381163</v>
      </c>
      <c r="D87" s="14">
        <v>251.39626196263336</v>
      </c>
      <c r="E87" s="8">
        <v>910.20305332133626</v>
      </c>
    </row>
    <row r="88" spans="1:5" x14ac:dyDescent="0.25">
      <c r="A88" s="2">
        <v>83</v>
      </c>
      <c r="B88" s="11">
        <v>21.908000000000001</v>
      </c>
      <c r="C88" s="5">
        <v>279.91499902035827</v>
      </c>
      <c r="D88" s="14">
        <v>254.99106075142231</v>
      </c>
      <c r="E88" s="8">
        <v>909.00478705840658</v>
      </c>
    </row>
    <row r="89" spans="1:5" x14ac:dyDescent="0.25">
      <c r="A89" s="2">
        <v>84</v>
      </c>
      <c r="B89" s="11">
        <v>22.172000000000001</v>
      </c>
      <c r="C89" s="5">
        <v>284.22875756690485</v>
      </c>
      <c r="D89" s="14">
        <v>258.70568616650405</v>
      </c>
      <c r="E89" s="8">
        <v>907.92634742176995</v>
      </c>
    </row>
    <row r="90" spans="1:5" x14ac:dyDescent="0.25">
      <c r="A90" s="2">
        <v>85</v>
      </c>
      <c r="B90" s="11">
        <v>22.436</v>
      </c>
      <c r="C90" s="5">
        <v>288.66234273974447</v>
      </c>
      <c r="D90" s="14">
        <v>262.18065832899993</v>
      </c>
      <c r="E90" s="8">
        <v>908.76513380582071</v>
      </c>
    </row>
    <row r="91" spans="1:5" x14ac:dyDescent="0.25">
      <c r="A91" s="2">
        <v>86</v>
      </c>
      <c r="B91" s="11">
        <v>22.7</v>
      </c>
      <c r="C91" s="5">
        <v>293.0959279125841</v>
      </c>
      <c r="D91" s="14">
        <v>265.6556304914958</v>
      </c>
      <c r="E91" s="8">
        <v>904.81085513815299</v>
      </c>
    </row>
    <row r="92" spans="1:5" x14ac:dyDescent="0.25">
      <c r="A92" s="2">
        <v>87</v>
      </c>
      <c r="B92" s="11">
        <v>22.963999999999999</v>
      </c>
      <c r="C92" s="5">
        <v>297.40968645913068</v>
      </c>
      <c r="D92" s="14">
        <v>269.37025590657765</v>
      </c>
      <c r="E92" s="8">
        <v>903.73241550151624</v>
      </c>
    </row>
    <row r="93" spans="1:5" x14ac:dyDescent="0.25">
      <c r="A93" s="2">
        <v>88</v>
      </c>
      <c r="B93" s="11">
        <v>23.228000000000002</v>
      </c>
      <c r="C93" s="5">
        <v>301.96309825826324</v>
      </c>
      <c r="D93" s="14">
        <v>273.0848813216594</v>
      </c>
      <c r="E93" s="8">
        <v>902.53414923858679</v>
      </c>
    </row>
    <row r="94" spans="1:5" x14ac:dyDescent="0.25">
      <c r="A94" s="2">
        <v>89</v>
      </c>
      <c r="B94" s="11">
        <v>23.492000000000001</v>
      </c>
      <c r="C94" s="5">
        <v>306.39668343110276</v>
      </c>
      <c r="D94" s="14">
        <v>276.67968011044832</v>
      </c>
      <c r="E94" s="8">
        <v>900.9764030967782</v>
      </c>
    </row>
    <row r="95" spans="1:5" x14ac:dyDescent="0.25">
      <c r="A95" s="2">
        <v>90</v>
      </c>
      <c r="B95" s="11">
        <v>23.756</v>
      </c>
      <c r="C95" s="5">
        <v>310.95009523023538</v>
      </c>
      <c r="D95" s="14">
        <v>280.15465227294425</v>
      </c>
      <c r="E95" s="8">
        <v>899.29883032867679</v>
      </c>
    </row>
    <row r="96" spans="1:5" x14ac:dyDescent="0.25">
      <c r="A96" s="2">
        <v>91</v>
      </c>
      <c r="B96" s="11">
        <v>24.018999999999998</v>
      </c>
      <c r="C96" s="5">
        <v>315.50350702936788</v>
      </c>
      <c r="D96" s="14">
        <v>283.74945106173305</v>
      </c>
      <c r="E96" s="8">
        <v>897.74108418686831</v>
      </c>
    </row>
    <row r="97" spans="1:5" x14ac:dyDescent="0.25">
      <c r="A97" s="2">
        <v>92</v>
      </c>
      <c r="B97" s="11">
        <v>24.283000000000001</v>
      </c>
      <c r="C97" s="5">
        <v>320.05691882850033</v>
      </c>
      <c r="D97" s="14">
        <v>287.34424985052192</v>
      </c>
      <c r="E97" s="8">
        <v>896.18333804505971</v>
      </c>
    </row>
    <row r="98" spans="1:5" x14ac:dyDescent="0.25">
      <c r="A98" s="2">
        <v>93</v>
      </c>
      <c r="B98" s="11">
        <v>24.547000000000001</v>
      </c>
      <c r="C98" s="5">
        <v>324.61033062763295</v>
      </c>
      <c r="D98" s="14">
        <v>291.17870189189671</v>
      </c>
      <c r="E98" s="8">
        <v>894.86524515583721</v>
      </c>
    </row>
    <row r="99" spans="1:5" x14ac:dyDescent="0.25">
      <c r="A99" s="2">
        <v>94</v>
      </c>
      <c r="B99" s="11">
        <v>24.811</v>
      </c>
      <c r="C99" s="5">
        <v>329.28356905305844</v>
      </c>
      <c r="D99" s="14">
        <v>294.89332730697851</v>
      </c>
      <c r="E99" s="8">
        <v>893.66697889290754</v>
      </c>
    </row>
    <row r="100" spans="1:5" x14ac:dyDescent="0.25">
      <c r="A100" s="2">
        <v>95</v>
      </c>
      <c r="B100" s="11">
        <v>25.074999999999999</v>
      </c>
      <c r="C100" s="5">
        <v>333.95680747848394</v>
      </c>
      <c r="D100" s="14">
        <v>298.48812609576737</v>
      </c>
      <c r="E100" s="8">
        <v>891.98940612480612</v>
      </c>
    </row>
    <row r="101" spans="1:5" x14ac:dyDescent="0.25">
      <c r="A101" s="2">
        <v>96</v>
      </c>
      <c r="B101" s="11">
        <v>25.338999999999999</v>
      </c>
      <c r="C101" s="5">
        <v>338.63004590390943</v>
      </c>
      <c r="D101" s="14">
        <v>302.20275151084911</v>
      </c>
      <c r="E101" s="8">
        <v>890.3118333567046</v>
      </c>
    </row>
    <row r="102" spans="1:5" x14ac:dyDescent="0.25">
      <c r="A102" s="2">
        <v>97</v>
      </c>
      <c r="B102" s="11">
        <v>25.603000000000002</v>
      </c>
      <c r="C102" s="5">
        <v>343.42311095562792</v>
      </c>
      <c r="D102" s="14">
        <v>305.79755029963803</v>
      </c>
      <c r="E102" s="8">
        <v>888.63426058860318</v>
      </c>
    </row>
    <row r="103" spans="1:5" x14ac:dyDescent="0.25">
      <c r="A103" s="2">
        <v>98</v>
      </c>
      <c r="B103" s="11">
        <v>25.867000000000001</v>
      </c>
      <c r="C103" s="5">
        <v>348.45582925993227</v>
      </c>
      <c r="D103" s="14">
        <v>307.95442957291129</v>
      </c>
      <c r="E103" s="8">
        <v>887.79547420455242</v>
      </c>
    </row>
    <row r="104" spans="1:5" x14ac:dyDescent="0.25">
      <c r="A104" s="2">
        <v>99</v>
      </c>
      <c r="B104" s="11">
        <v>26.131</v>
      </c>
      <c r="C104" s="5">
        <v>353.24889431165076</v>
      </c>
      <c r="D104" s="14">
        <v>313.4664543823875</v>
      </c>
      <c r="E104" s="8">
        <v>885.99807481015807</v>
      </c>
    </row>
    <row r="105" spans="1:5" x14ac:dyDescent="0.25">
      <c r="A105" s="2">
        <v>99.6</v>
      </c>
      <c r="B105" s="11">
        <v>26.289000000000001</v>
      </c>
      <c r="C105" s="5">
        <v>355.88508009009593</v>
      </c>
      <c r="D105" s="14">
        <v>315.62333365566087</v>
      </c>
      <c r="E105" s="8">
        <v>884.91963517352121</v>
      </c>
    </row>
    <row r="106" spans="1:5" ht="15.75" thickBot="1" x14ac:dyDescent="0.3">
      <c r="A106" s="3">
        <v>100</v>
      </c>
      <c r="B106" s="12">
        <v>26.395</v>
      </c>
      <c r="C106" s="6">
        <v>357.80230611078332</v>
      </c>
      <c r="D106" s="15">
        <v>317.18107979746935</v>
      </c>
      <c r="E106" s="9">
        <v>884.32050204205655</v>
      </c>
    </row>
  </sheetData>
  <pageMargins left="0.7" right="0.7" top="0.75" bottom="0.75" header="0.3" footer="0.3"/>
  <pageSetup paperSize="9" orientation="portrait" verticalDpi="0" r:id="rId1"/>
  <headerFooter>
    <oddFooter>&amp;LINTERNAL</oddFooter>
    <evenFooter>&amp;LINTERNAL</evenFooter>
    <firstFooter>&amp;LINTERNAL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12" sqref="E12"/>
    </sheetView>
  </sheetViews>
  <sheetFormatPr defaultRowHeight="15" x14ac:dyDescent="0.25"/>
  <cols>
    <col min="1" max="1" width="2.7109375" customWidth="1"/>
    <col min="2" max="2" width="38.42578125" customWidth="1"/>
    <col min="3" max="3" width="5.7109375" customWidth="1"/>
    <col min="4" max="4" width="8.7109375" customWidth="1"/>
    <col min="5" max="5" width="31.140625" customWidth="1"/>
    <col min="6" max="6" width="2.140625" customWidth="1"/>
    <col min="7" max="7" width="10.140625" customWidth="1"/>
    <col min="8" max="8" width="21.140625" customWidth="1"/>
  </cols>
  <sheetData>
    <row r="1" spans="1:8" x14ac:dyDescent="0.25">
      <c r="B1" s="29" t="s">
        <v>31</v>
      </c>
    </row>
    <row r="3" spans="1:8" ht="15.75" thickBot="1" x14ac:dyDescent="0.3">
      <c r="B3" t="s">
        <v>14</v>
      </c>
    </row>
    <row r="4" spans="1:8" ht="15.75" thickBot="1" x14ac:dyDescent="0.3">
      <c r="A4" s="36">
        <v>1</v>
      </c>
      <c r="B4" s="37"/>
      <c r="D4" s="36">
        <v>4</v>
      </c>
      <c r="E4" s="29" t="s">
        <v>15</v>
      </c>
    </row>
    <row r="5" spans="1:8" x14ac:dyDescent="0.25">
      <c r="A5" s="34"/>
      <c r="E5" s="29" t="s">
        <v>9</v>
      </c>
      <c r="F5" s="29"/>
      <c r="G5" s="29"/>
      <c r="H5" s="29" t="s">
        <v>10</v>
      </c>
    </row>
    <row r="6" spans="1:8" ht="15.75" thickBot="1" x14ac:dyDescent="0.3">
      <c r="A6" s="34"/>
      <c r="B6" t="s">
        <v>17</v>
      </c>
    </row>
    <row r="7" spans="1:8" ht="15.75" thickBot="1" x14ac:dyDescent="0.3">
      <c r="A7" s="36">
        <v>2</v>
      </c>
      <c r="B7" s="37"/>
      <c r="E7" s="29" t="s">
        <v>16</v>
      </c>
      <c r="H7" s="29" t="s">
        <v>18</v>
      </c>
    </row>
    <row r="8" spans="1:8" x14ac:dyDescent="0.25">
      <c r="A8" s="34"/>
      <c r="D8" t="s">
        <v>19</v>
      </c>
      <c r="E8" s="30" t="str">
        <f>IF(B4="Pounds &amp; US Gallons",IF(B7="% Salt by Weight",VLOOKUP(B11,'Pounds &amp; (US Gallons)'!B5:C106,2,TRUE),IF(B7="Salometer Degrees",VLOOKUP(B14,'Pounds &amp; (US Gallons)'!A5:C106,3,TRUE),"")),"")</f>
        <v/>
      </c>
      <c r="G8" t="s">
        <v>23</v>
      </c>
      <c r="H8" s="30" t="str">
        <f>IF(H10="","",H10/1000)</f>
        <v/>
      </c>
    </row>
    <row r="9" spans="1:8" x14ac:dyDescent="0.25">
      <c r="A9" s="34"/>
      <c r="B9" t="s">
        <v>11</v>
      </c>
      <c r="D9" s="33" t="s">
        <v>22</v>
      </c>
      <c r="E9" s="26"/>
      <c r="F9" s="27"/>
      <c r="G9" s="35" t="s">
        <v>22</v>
      </c>
      <c r="H9" s="28"/>
    </row>
    <row r="10" spans="1:8" ht="15.75" thickBot="1" x14ac:dyDescent="0.3">
      <c r="A10" s="34"/>
      <c r="B10" t="s">
        <v>12</v>
      </c>
      <c r="D10" t="s">
        <v>20</v>
      </c>
      <c r="E10" s="31" t="str">
        <f>IF(E8="","",E8*16)</f>
        <v/>
      </c>
      <c r="G10" t="s">
        <v>24</v>
      </c>
      <c r="H10" s="32" t="str">
        <f>IF(B4="Grams and Litres",IF(B7="% Salt by Weight",VLOOKUP(B11,'Grams and Litres'!B5:C106,2,TRUE),IF(B7="Salometer Degrees",VLOOKUP(B14,'Grams and Litres'!A5:C106,3,TRUE),"")),"")</f>
        <v/>
      </c>
    </row>
    <row r="11" spans="1:8" ht="15.75" thickBot="1" x14ac:dyDescent="0.3">
      <c r="A11" s="36">
        <v>3</v>
      </c>
      <c r="B11" s="38"/>
      <c r="E11" s="27"/>
    </row>
    <row r="12" spans="1:8" x14ac:dyDescent="0.25">
      <c r="A12" s="34" t="s">
        <v>22</v>
      </c>
      <c r="E12" s="29" t="s">
        <v>21</v>
      </c>
    </row>
    <row r="13" spans="1:8" ht="15.75" thickBot="1" x14ac:dyDescent="0.3">
      <c r="A13" s="34"/>
      <c r="B13" t="s">
        <v>13</v>
      </c>
      <c r="D13" t="s">
        <v>19</v>
      </c>
      <c r="E13" s="30" t="str">
        <f>IF(E8="","",E8/4)</f>
        <v/>
      </c>
    </row>
    <row r="14" spans="1:8" ht="15.75" thickBot="1" x14ac:dyDescent="0.3">
      <c r="A14" s="36">
        <v>3</v>
      </c>
      <c r="B14" s="37"/>
      <c r="D14" s="33" t="s">
        <v>22</v>
      </c>
      <c r="G14" s="27"/>
    </row>
    <row r="15" spans="1:8" x14ac:dyDescent="0.25">
      <c r="D15" t="s">
        <v>20</v>
      </c>
      <c r="E15" s="31" t="str">
        <f>IF(E10="","",E10/4)</f>
        <v/>
      </c>
    </row>
    <row r="17" spans="2:2" x14ac:dyDescent="0.25">
      <c r="B17" t="s">
        <v>25</v>
      </c>
    </row>
    <row r="18" spans="2:2" x14ac:dyDescent="0.25">
      <c r="B18" s="25" t="s">
        <v>30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</sheetData>
  <conditionalFormatting sqref="G4:H10">
    <cfRule type="expression" dxfId="2" priority="7">
      <formula>$B$4="Pounds &amp; US Gallons"</formula>
    </cfRule>
  </conditionalFormatting>
  <conditionalFormatting sqref="D7:H15 E5 H5">
    <cfRule type="expression" dxfId="1" priority="8">
      <formula>$B$4=""</formula>
    </cfRule>
  </conditionalFormatting>
  <conditionalFormatting sqref="D5:E15">
    <cfRule type="expression" dxfId="0" priority="1">
      <formula>$B$4="Grams and Litres"</formula>
    </cfRule>
  </conditionalFormatting>
  <dataValidations count="4">
    <dataValidation type="list" showInputMessage="1" showErrorMessage="1" prompt="Select units" sqref="B4">
      <formula1>"Pounds &amp; US Gallons,Grams and Litres"</formula1>
    </dataValidation>
    <dataValidation type="decimal" showInputMessage="1" showErrorMessage="1" errorTitle="Error - Invalid Value" error="Please enter a percentage between 0% and 26.4%" prompt="Enter the percent salt by weight" sqref="B11">
      <formula1>0</formula1>
      <formula2>26.4</formula2>
    </dataValidation>
    <dataValidation type="decimal" allowBlank="1" showInputMessage="1" showErrorMessage="1" errorTitle="Error - Invalid value" error="Please enter a salometer value between 0 and 100." prompt="Enter the required salometer degrees." sqref="B14">
      <formula1>0</formula1>
      <formula2>100</formula2>
    </dataValidation>
    <dataValidation type="list" showInputMessage="1" showErrorMessage="1" prompt="Select measurement method" sqref="B7">
      <formula1>"% Salt by Weight,Salometer Degrees"</formula1>
    </dataValidation>
  </dataValidations>
  <pageMargins left="0.7" right="0.7" top="0.75" bottom="0.75" header="0.3" footer="0.3"/>
  <pageSetup paperSize="9" orientation="portrait" verticalDpi="0" r:id="rId1"/>
  <headerFooter>
    <oddFooter>&amp;LINTERNAL</oddFooter>
    <evenFooter>&amp;LINTERNAL</evenFooter>
    <firstFooter>&amp;LINTERNAL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Pounds &amp; (US Gallons)</vt:lpstr>
      <vt:lpstr>Grams and Litres</vt:lpstr>
      <vt:lpstr>Calculator</vt:lpstr>
    </vt:vector>
  </TitlesOfParts>
  <Company>HSBC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LEMPRIERE</dc:creator>
  <cp:keywords>INTERNAL</cp:keywords>
  <dc:description>INTERNAL</dc:description>
  <cp:lastModifiedBy>Samuel LEMPRIERE</cp:lastModifiedBy>
  <dcterms:created xsi:type="dcterms:W3CDTF">2013-07-29T07:56:10Z</dcterms:created>
  <dcterms:modified xsi:type="dcterms:W3CDTF">2013-07-29T13:40:15Z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CLAINTERN</vt:lpwstr>
  </property>
</Properties>
</file>