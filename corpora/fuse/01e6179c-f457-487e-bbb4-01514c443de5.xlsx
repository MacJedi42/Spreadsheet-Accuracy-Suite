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440" yWindow="-150" windowWidth="18735" windowHeight="8505" firstSheet="1" activeTab="1"/>
  </bookViews>
  <sheets>
    <sheet name="Sheet1" sheetId="1" state="hidden" r:id="rId1"/>
    <sheet name="Wkly Departures" sheetId="2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E48" i="1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50"/>
  <c r="E51"/>
  <c r="E52"/>
  <c r="E53"/>
  <c r="E54"/>
  <c r="E55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9"/>
  <c r="E82"/>
  <c r="E84"/>
  <c r="E85"/>
  <c r="E86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8"/>
  <c r="E109"/>
  <c r="E110"/>
  <c r="E111"/>
  <c r="E112"/>
  <c r="E113"/>
  <c r="E114"/>
  <c r="E115"/>
  <c r="E117"/>
  <c r="E118"/>
  <c r="E124"/>
  <c r="E128"/>
  <c r="E129"/>
  <c r="E19"/>
  <c r="F8"/>
  <c r="G8"/>
  <c r="H8"/>
  <c r="I8"/>
  <c r="J8"/>
  <c r="K8"/>
  <c r="L8"/>
  <c r="M8"/>
  <c r="N8"/>
  <c r="O8"/>
  <c r="P8"/>
  <c r="Q8"/>
  <c r="R8"/>
  <c r="S8"/>
  <c r="F9"/>
  <c r="G9"/>
  <c r="H9"/>
  <c r="I9"/>
  <c r="J9"/>
  <c r="K9"/>
  <c r="L9"/>
  <c r="M9"/>
  <c r="N9"/>
  <c r="O9"/>
  <c r="P9"/>
  <c r="Q9"/>
  <c r="R9"/>
  <c r="S9"/>
  <c r="F10"/>
  <c r="G10"/>
  <c r="H10"/>
  <c r="I10"/>
  <c r="J10"/>
  <c r="K10"/>
  <c r="L10"/>
  <c r="M10"/>
  <c r="N10"/>
  <c r="O10"/>
  <c r="P10"/>
  <c r="Q10"/>
  <c r="R10"/>
  <c r="S10"/>
  <c r="F11"/>
  <c r="G11"/>
  <c r="H11"/>
  <c r="I11"/>
  <c r="J11"/>
  <c r="K11"/>
  <c r="L11"/>
  <c r="M11"/>
  <c r="N11"/>
  <c r="O11"/>
  <c r="P11"/>
  <c r="Q11"/>
  <c r="R11"/>
  <c r="S11"/>
  <c r="F12"/>
  <c r="G12"/>
  <c r="H12"/>
  <c r="I12"/>
  <c r="J12"/>
  <c r="K12"/>
  <c r="L12"/>
  <c r="M12"/>
  <c r="N12"/>
  <c r="O12"/>
  <c r="P12"/>
  <c r="Q12"/>
  <c r="R12"/>
  <c r="S12"/>
  <c r="F13"/>
  <c r="G13"/>
  <c r="H13"/>
  <c r="I13"/>
  <c r="J13"/>
  <c r="K13"/>
  <c r="L13"/>
  <c r="M13"/>
  <c r="N13"/>
  <c r="O13"/>
  <c r="P13"/>
  <c r="Q13"/>
  <c r="R13"/>
  <c r="S13"/>
  <c r="F14"/>
  <c r="G14"/>
  <c r="H14"/>
  <c r="I14"/>
  <c r="J14"/>
  <c r="K14"/>
  <c r="L14"/>
  <c r="M14"/>
  <c r="N14"/>
  <c r="O14"/>
  <c r="P14"/>
  <c r="Q14"/>
  <c r="R14"/>
  <c r="S14"/>
  <c r="F15"/>
  <c r="G15"/>
  <c r="H15"/>
  <c r="I15"/>
  <c r="J15"/>
  <c r="K15"/>
  <c r="L15"/>
  <c r="M15"/>
  <c r="N15"/>
  <c r="O15"/>
  <c r="P15"/>
  <c r="Q15"/>
  <c r="R15"/>
  <c r="S15"/>
  <c r="F16"/>
  <c r="G16"/>
  <c r="H16"/>
  <c r="I16"/>
  <c r="J16"/>
  <c r="K16"/>
  <c r="L16"/>
  <c r="M16"/>
  <c r="N16"/>
  <c r="O16"/>
  <c r="P16"/>
  <c r="Q16"/>
  <c r="R16"/>
  <c r="S16"/>
  <c r="F17"/>
  <c r="G17"/>
  <c r="H17"/>
  <c r="I17"/>
  <c r="J17"/>
  <c r="K17"/>
  <c r="L17"/>
  <c r="M17"/>
  <c r="N17"/>
  <c r="O17"/>
  <c r="P17"/>
  <c r="Q17"/>
  <c r="R17"/>
  <c r="S17"/>
  <c r="F18"/>
  <c r="G18"/>
  <c r="H18"/>
  <c r="I18"/>
  <c r="J18"/>
  <c r="K18"/>
  <c r="L18"/>
  <c r="M18"/>
  <c r="N18"/>
  <c r="O18"/>
  <c r="P18"/>
  <c r="Q18"/>
  <c r="R18"/>
  <c r="S18"/>
  <c r="F19"/>
  <c r="G19"/>
  <c r="H19"/>
  <c r="I19"/>
  <c r="J19"/>
  <c r="K19"/>
  <c r="L19"/>
  <c r="M19"/>
  <c r="N19"/>
  <c r="O19"/>
  <c r="P19"/>
  <c r="Q19"/>
  <c r="R19"/>
  <c r="S19"/>
  <c r="F20"/>
  <c r="G20"/>
  <c r="H20"/>
  <c r="I20"/>
  <c r="J20"/>
  <c r="K20"/>
  <c r="L20"/>
  <c r="M20"/>
  <c r="N20"/>
  <c r="O20"/>
  <c r="P20"/>
  <c r="Q20"/>
  <c r="R20"/>
  <c r="S20"/>
  <c r="F21"/>
  <c r="G21"/>
  <c r="H21"/>
  <c r="I21"/>
  <c r="J21"/>
  <c r="K21"/>
  <c r="L21"/>
  <c r="M21"/>
  <c r="N21"/>
  <c r="O21"/>
  <c r="P21"/>
  <c r="Q21"/>
  <c r="R21"/>
  <c r="S21"/>
  <c r="F22"/>
  <c r="G22"/>
  <c r="H22"/>
  <c r="I22"/>
  <c r="J22"/>
  <c r="K22"/>
  <c r="L22"/>
  <c r="M22"/>
  <c r="N22"/>
  <c r="O22"/>
  <c r="P22"/>
  <c r="Q22"/>
  <c r="R22"/>
  <c r="S22"/>
  <c r="F23"/>
  <c r="G23"/>
  <c r="H23"/>
  <c r="I23"/>
  <c r="J23"/>
  <c r="K23"/>
  <c r="L23"/>
  <c r="M23"/>
  <c r="N23"/>
  <c r="O23"/>
  <c r="P23"/>
  <c r="Q23"/>
  <c r="R23"/>
  <c r="S23"/>
  <c r="F24"/>
  <c r="G24"/>
  <c r="H24"/>
  <c r="I24"/>
  <c r="J24"/>
  <c r="K24"/>
  <c r="L24"/>
  <c r="M24"/>
  <c r="N24"/>
  <c r="O24"/>
  <c r="P24"/>
  <c r="Q24"/>
  <c r="R24"/>
  <c r="S24"/>
  <c r="F25"/>
  <c r="G25"/>
  <c r="H25"/>
  <c r="I25"/>
  <c r="J25"/>
  <c r="K25"/>
  <c r="L25"/>
  <c r="M25"/>
  <c r="N25"/>
  <c r="O25"/>
  <c r="P25"/>
  <c r="Q25"/>
  <c r="R25"/>
  <c r="S25"/>
  <c r="F26"/>
  <c r="G26"/>
  <c r="H26"/>
  <c r="I26"/>
  <c r="J26"/>
  <c r="K26"/>
  <c r="L26"/>
  <c r="M26"/>
  <c r="N26"/>
  <c r="O26"/>
  <c r="P26"/>
  <c r="Q26"/>
  <c r="R26"/>
  <c r="S26"/>
  <c r="F27"/>
  <c r="G27"/>
  <c r="H27"/>
  <c r="I27"/>
  <c r="J27"/>
  <c r="K27"/>
  <c r="L27"/>
  <c r="M27"/>
  <c r="N27"/>
  <c r="O27"/>
  <c r="P27"/>
  <c r="Q27"/>
  <c r="R27"/>
  <c r="S27"/>
  <c r="F28"/>
  <c r="G28"/>
  <c r="H28"/>
  <c r="I28"/>
  <c r="J28"/>
  <c r="K28"/>
  <c r="L28"/>
  <c r="M28"/>
  <c r="N28"/>
  <c r="O28"/>
  <c r="P28"/>
  <c r="Q28"/>
  <c r="R28"/>
  <c r="S28"/>
  <c r="F29"/>
  <c r="G29"/>
  <c r="H29"/>
  <c r="I29"/>
  <c r="J29"/>
  <c r="K29"/>
  <c r="L29"/>
  <c r="M29"/>
  <c r="N29"/>
  <c r="O29"/>
  <c r="P29"/>
  <c r="Q29"/>
  <c r="R29"/>
  <c r="S29"/>
  <c r="F30"/>
  <c r="G30"/>
  <c r="H30"/>
  <c r="I30"/>
  <c r="J30"/>
  <c r="K30"/>
  <c r="L30"/>
  <c r="M30"/>
  <c r="N30"/>
  <c r="O30"/>
  <c r="P30"/>
  <c r="Q30"/>
  <c r="R30"/>
  <c r="S30"/>
  <c r="F31"/>
  <c r="G31"/>
  <c r="H31"/>
  <c r="I31"/>
  <c r="J31"/>
  <c r="K31"/>
  <c r="L31"/>
  <c r="M31"/>
  <c r="N31"/>
  <c r="O31"/>
  <c r="P31"/>
  <c r="Q31"/>
  <c r="R31"/>
  <c r="S31"/>
  <c r="F32"/>
  <c r="G32"/>
  <c r="H32"/>
  <c r="I32"/>
  <c r="J32"/>
  <c r="K32"/>
  <c r="L32"/>
  <c r="M32"/>
  <c r="N32"/>
  <c r="O32"/>
  <c r="P32"/>
  <c r="Q32"/>
  <c r="R32"/>
  <c r="S32"/>
  <c r="F33"/>
  <c r="G33"/>
  <c r="H33"/>
  <c r="I33"/>
  <c r="J33"/>
  <c r="K33"/>
  <c r="L33"/>
  <c r="M33"/>
  <c r="N33"/>
  <c r="O33"/>
  <c r="P33"/>
  <c r="Q33"/>
  <c r="R33"/>
  <c r="S33"/>
  <c r="F34"/>
  <c r="G34"/>
  <c r="H34"/>
  <c r="I34"/>
  <c r="J34"/>
  <c r="K34"/>
  <c r="L34"/>
  <c r="M34"/>
  <c r="N34"/>
  <c r="O34"/>
  <c r="P34"/>
  <c r="Q34"/>
  <c r="R34"/>
  <c r="S34"/>
  <c r="F35"/>
  <c r="G35"/>
  <c r="H35"/>
  <c r="I35"/>
  <c r="J35"/>
  <c r="K35"/>
  <c r="L35"/>
  <c r="M35"/>
  <c r="N35"/>
  <c r="O35"/>
  <c r="P35"/>
  <c r="Q35"/>
  <c r="R35"/>
  <c r="S35"/>
  <c r="F36"/>
  <c r="G36"/>
  <c r="H36"/>
  <c r="I36"/>
  <c r="J36"/>
  <c r="K36"/>
  <c r="L36"/>
  <c r="M36"/>
  <c r="N36"/>
  <c r="O36"/>
  <c r="P36"/>
  <c r="Q36"/>
  <c r="R36"/>
  <c r="S36"/>
  <c r="F37"/>
  <c r="G37"/>
  <c r="H37"/>
  <c r="I37"/>
  <c r="J37"/>
  <c r="K37"/>
  <c r="L37"/>
  <c r="M37"/>
  <c r="N37"/>
  <c r="O37"/>
  <c r="P37"/>
  <c r="Q37"/>
  <c r="R37"/>
  <c r="S37"/>
  <c r="F38"/>
  <c r="G38"/>
  <c r="H38"/>
  <c r="I38"/>
  <c r="J38"/>
  <c r="K38"/>
  <c r="L38"/>
  <c r="M38"/>
  <c r="N38"/>
  <c r="O38"/>
  <c r="P38"/>
  <c r="Q38"/>
  <c r="R38"/>
  <c r="S38"/>
  <c r="F39"/>
  <c r="G39"/>
  <c r="H39"/>
  <c r="I39"/>
  <c r="J39"/>
  <c r="K39"/>
  <c r="L39"/>
  <c r="M39"/>
  <c r="N39"/>
  <c r="O39"/>
  <c r="P39"/>
  <c r="Q39"/>
  <c r="R39"/>
  <c r="S39"/>
  <c r="F40"/>
  <c r="G40"/>
  <c r="H40"/>
  <c r="I40"/>
  <c r="J40"/>
  <c r="K40"/>
  <c r="L40"/>
  <c r="M40"/>
  <c r="N40"/>
  <c r="O40"/>
  <c r="P40"/>
  <c r="Q40"/>
  <c r="R40"/>
  <c r="S40"/>
  <c r="F41"/>
  <c r="G41"/>
  <c r="H41"/>
  <c r="I41"/>
  <c r="J41"/>
  <c r="K41"/>
  <c r="L41"/>
  <c r="M41"/>
  <c r="N41"/>
  <c r="O41"/>
  <c r="P41"/>
  <c r="Q41"/>
  <c r="R41"/>
  <c r="S41"/>
  <c r="F42"/>
  <c r="G42"/>
  <c r="H42"/>
  <c r="I42"/>
  <c r="J42"/>
  <c r="K42"/>
  <c r="L42"/>
  <c r="M42"/>
  <c r="N42"/>
  <c r="O42"/>
  <c r="P42"/>
  <c r="Q42"/>
  <c r="R42"/>
  <c r="S42"/>
  <c r="F43"/>
  <c r="G43"/>
  <c r="H43"/>
  <c r="I43"/>
  <c r="J43"/>
  <c r="K43"/>
  <c r="L43"/>
  <c r="M43"/>
  <c r="N43"/>
  <c r="O43"/>
  <c r="P43"/>
  <c r="Q43"/>
  <c r="R43"/>
  <c r="S43"/>
  <c r="F44"/>
  <c r="G44"/>
  <c r="H44"/>
  <c r="I44"/>
  <c r="J44"/>
  <c r="K44"/>
  <c r="L44"/>
  <c r="M44"/>
  <c r="N44"/>
  <c r="O44"/>
  <c r="P44"/>
  <c r="Q44"/>
  <c r="R44"/>
  <c r="S44"/>
  <c r="F45"/>
  <c r="G45"/>
  <c r="H45"/>
  <c r="I45"/>
  <c r="J45"/>
  <c r="K45"/>
  <c r="L45"/>
  <c r="M45"/>
  <c r="N45"/>
  <c r="O45"/>
  <c r="P45"/>
  <c r="Q45"/>
  <c r="R45"/>
  <c r="S45"/>
  <c r="F46"/>
  <c r="G46"/>
  <c r="H46"/>
  <c r="I46"/>
  <c r="J46"/>
  <c r="K46"/>
  <c r="L46"/>
  <c r="M46"/>
  <c r="N46"/>
  <c r="O46"/>
  <c r="P46"/>
  <c r="Q46"/>
  <c r="R46"/>
  <c r="S46"/>
  <c r="F47"/>
  <c r="G47"/>
  <c r="H47"/>
  <c r="I47"/>
  <c r="J47"/>
  <c r="K47"/>
  <c r="L47"/>
  <c r="M47"/>
  <c r="N47"/>
  <c r="O47"/>
  <c r="P47"/>
  <c r="Q47"/>
  <c r="R47"/>
  <c r="S47"/>
  <c r="F48"/>
  <c r="G48"/>
  <c r="H48"/>
  <c r="I48"/>
  <c r="J48"/>
  <c r="K48"/>
  <c r="L48"/>
  <c r="M48"/>
  <c r="N48"/>
  <c r="O48"/>
  <c r="P48"/>
  <c r="Q48"/>
  <c r="R48"/>
  <c r="S48"/>
  <c r="F49"/>
  <c r="G49"/>
  <c r="H49"/>
  <c r="I49"/>
  <c r="J49"/>
  <c r="K49"/>
  <c r="L49"/>
  <c r="M49"/>
  <c r="N49"/>
  <c r="O49"/>
  <c r="P49"/>
  <c r="Q49"/>
  <c r="R49"/>
  <c r="S49"/>
  <c r="F50"/>
  <c r="G50"/>
  <c r="H50"/>
  <c r="I50"/>
  <c r="J50"/>
  <c r="K50"/>
  <c r="L50"/>
  <c r="M50"/>
  <c r="N50"/>
  <c r="O50"/>
  <c r="P50"/>
  <c r="Q50"/>
  <c r="R50"/>
  <c r="S50"/>
  <c r="F51"/>
  <c r="G51"/>
  <c r="H51"/>
  <c r="I51"/>
  <c r="J51"/>
  <c r="K51"/>
  <c r="L51"/>
  <c r="M51"/>
  <c r="N51"/>
  <c r="O51"/>
  <c r="P51"/>
  <c r="Q51"/>
  <c r="R51"/>
  <c r="S51"/>
  <c r="F52"/>
  <c r="G52"/>
  <c r="H52"/>
  <c r="I52"/>
  <c r="J52"/>
  <c r="K52"/>
  <c r="L52"/>
  <c r="M52"/>
  <c r="N52"/>
  <c r="O52"/>
  <c r="P52"/>
  <c r="Q52"/>
  <c r="R52"/>
  <c r="S52"/>
  <c r="F53"/>
  <c r="G53"/>
  <c r="H53"/>
  <c r="I53"/>
  <c r="J53"/>
  <c r="K53"/>
  <c r="L53"/>
  <c r="M53"/>
  <c r="N53"/>
  <c r="O53"/>
  <c r="P53"/>
  <c r="Q53"/>
  <c r="R53"/>
  <c r="S53"/>
  <c r="F54"/>
  <c r="G54"/>
  <c r="H54"/>
  <c r="I54"/>
  <c r="J54"/>
  <c r="K54"/>
  <c r="L54"/>
  <c r="M54"/>
  <c r="N54"/>
  <c r="O54"/>
  <c r="P54"/>
  <c r="Q54"/>
  <c r="R54"/>
  <c r="S54"/>
  <c r="F55"/>
  <c r="G55"/>
  <c r="H55"/>
  <c r="I55"/>
  <c r="J55"/>
  <c r="K55"/>
  <c r="L55"/>
  <c r="M55"/>
  <c r="N55"/>
  <c r="O55"/>
  <c r="P55"/>
  <c r="Q55"/>
  <c r="R55"/>
  <c r="S55"/>
  <c r="F56"/>
  <c r="G56"/>
  <c r="H56"/>
  <c r="I56"/>
  <c r="J56"/>
  <c r="K56"/>
  <c r="L56"/>
  <c r="M56"/>
  <c r="N56"/>
  <c r="O56"/>
  <c r="P56"/>
  <c r="Q56"/>
  <c r="R56"/>
  <c r="S56"/>
  <c r="F57"/>
  <c r="G57"/>
  <c r="H57"/>
  <c r="I57"/>
  <c r="J57"/>
  <c r="K57"/>
  <c r="L57"/>
  <c r="M57"/>
  <c r="N57"/>
  <c r="O57"/>
  <c r="P57"/>
  <c r="Q57"/>
  <c r="R57"/>
  <c r="S57"/>
  <c r="F58"/>
  <c r="G58"/>
  <c r="H58"/>
  <c r="I58"/>
  <c r="J58"/>
  <c r="K58"/>
  <c r="L58"/>
  <c r="M58"/>
  <c r="N58"/>
  <c r="O58"/>
  <c r="P58"/>
  <c r="Q58"/>
  <c r="R58"/>
  <c r="S58"/>
  <c r="F59"/>
  <c r="G59"/>
  <c r="H59"/>
  <c r="I59"/>
  <c r="J59"/>
  <c r="K59"/>
  <c r="L59"/>
  <c r="M59"/>
  <c r="N59"/>
  <c r="O59"/>
  <c r="P59"/>
  <c r="Q59"/>
  <c r="R59"/>
  <c r="S59"/>
  <c r="F60"/>
  <c r="G60"/>
  <c r="H60"/>
  <c r="I60"/>
  <c r="J60"/>
  <c r="K60"/>
  <c r="L60"/>
  <c r="M60"/>
  <c r="N60"/>
  <c r="O60"/>
  <c r="P60"/>
  <c r="Q60"/>
  <c r="R60"/>
  <c r="S60"/>
  <c r="F61"/>
  <c r="G61"/>
  <c r="H61"/>
  <c r="I61"/>
  <c r="J61"/>
  <c r="K61"/>
  <c r="L61"/>
  <c r="M61"/>
  <c r="N61"/>
  <c r="O61"/>
  <c r="P61"/>
  <c r="Q61"/>
  <c r="R61"/>
  <c r="S61"/>
  <c r="F62"/>
  <c r="G62"/>
  <c r="H62"/>
  <c r="I62"/>
  <c r="J62"/>
  <c r="K62"/>
  <c r="L62"/>
  <c r="M62"/>
  <c r="N62"/>
  <c r="O62"/>
  <c r="P62"/>
  <c r="Q62"/>
  <c r="R62"/>
  <c r="S62"/>
  <c r="F63"/>
  <c r="G63"/>
  <c r="H63"/>
  <c r="I63"/>
  <c r="J63"/>
  <c r="K63"/>
  <c r="L63"/>
  <c r="M63"/>
  <c r="N63"/>
  <c r="O63"/>
  <c r="P63"/>
  <c r="Q63"/>
  <c r="R63"/>
  <c r="S63"/>
  <c r="F64"/>
  <c r="G64"/>
  <c r="H64"/>
  <c r="I64"/>
  <c r="J64"/>
  <c r="K64"/>
  <c r="L64"/>
  <c r="M64"/>
  <c r="N64"/>
  <c r="O64"/>
  <c r="P64"/>
  <c r="Q64"/>
  <c r="R64"/>
  <c r="S64"/>
  <c r="F65"/>
  <c r="G65"/>
  <c r="H65"/>
  <c r="I65"/>
  <c r="J65"/>
  <c r="K65"/>
  <c r="L65"/>
  <c r="M65"/>
  <c r="N65"/>
  <c r="O65"/>
  <c r="P65"/>
  <c r="Q65"/>
  <c r="R65"/>
  <c r="S65"/>
  <c r="F66"/>
  <c r="G66"/>
  <c r="H66"/>
  <c r="I66"/>
  <c r="J66"/>
  <c r="K66"/>
  <c r="L66"/>
  <c r="M66"/>
  <c r="N66"/>
  <c r="O66"/>
  <c r="P66"/>
  <c r="Q66"/>
  <c r="R66"/>
  <c r="S66"/>
  <c r="F67"/>
  <c r="G67"/>
  <c r="H67"/>
  <c r="I67"/>
  <c r="J67"/>
  <c r="K67"/>
  <c r="L67"/>
  <c r="M67"/>
  <c r="N67"/>
  <c r="O67"/>
  <c r="P67"/>
  <c r="Q67"/>
  <c r="R67"/>
  <c r="S67"/>
  <c r="F68"/>
  <c r="G68"/>
  <c r="H68"/>
  <c r="I68"/>
  <c r="J68"/>
  <c r="K68"/>
  <c r="L68"/>
  <c r="M68"/>
  <c r="N68"/>
  <c r="O68"/>
  <c r="P68"/>
  <c r="Q68"/>
  <c r="R68"/>
  <c r="S68"/>
  <c r="F69"/>
  <c r="G69"/>
  <c r="H69"/>
  <c r="I69"/>
  <c r="J69"/>
  <c r="K69"/>
  <c r="L69"/>
  <c r="M69"/>
  <c r="N69"/>
  <c r="O69"/>
  <c r="P69"/>
  <c r="Q69"/>
  <c r="R69"/>
  <c r="S69"/>
  <c r="F70"/>
  <c r="G70"/>
  <c r="H70"/>
  <c r="I70"/>
  <c r="J70"/>
  <c r="K70"/>
  <c r="L70"/>
  <c r="M70"/>
  <c r="N70"/>
  <c r="O70"/>
  <c r="P70"/>
  <c r="Q70"/>
  <c r="R70"/>
  <c r="S70"/>
  <c r="F71"/>
  <c r="G71"/>
  <c r="H71"/>
  <c r="I71"/>
  <c r="J71"/>
  <c r="K71"/>
  <c r="L71"/>
  <c r="M71"/>
  <c r="N71"/>
  <c r="O71"/>
  <c r="P71"/>
  <c r="Q71"/>
  <c r="R71"/>
  <c r="S71"/>
  <c r="F72"/>
  <c r="G72"/>
  <c r="H72"/>
  <c r="I72"/>
  <c r="J72"/>
  <c r="K72"/>
  <c r="L72"/>
  <c r="M72"/>
  <c r="N72"/>
  <c r="O72"/>
  <c r="P72"/>
  <c r="Q72"/>
  <c r="R72"/>
  <c r="S72"/>
  <c r="F73"/>
  <c r="G73"/>
  <c r="H73"/>
  <c r="I73"/>
  <c r="J73"/>
  <c r="K73"/>
  <c r="L73"/>
  <c r="M73"/>
  <c r="N73"/>
  <c r="O73"/>
  <c r="P73"/>
  <c r="Q73"/>
  <c r="R73"/>
  <c r="S73"/>
  <c r="F74"/>
  <c r="G74"/>
  <c r="H74"/>
  <c r="I74"/>
  <c r="J74"/>
  <c r="K74"/>
  <c r="L74"/>
  <c r="M74"/>
  <c r="N74"/>
  <c r="O74"/>
  <c r="P74"/>
  <c r="Q74"/>
  <c r="R74"/>
  <c r="S74"/>
  <c r="F75"/>
  <c r="G75"/>
  <c r="H75"/>
  <c r="I75"/>
  <c r="J75"/>
  <c r="K75"/>
  <c r="L75"/>
  <c r="M75"/>
  <c r="N75"/>
  <c r="O75"/>
  <c r="P75"/>
  <c r="Q75"/>
  <c r="R75"/>
  <c r="S75"/>
  <c r="F76"/>
  <c r="G76"/>
  <c r="H76"/>
  <c r="I76"/>
  <c r="J76"/>
  <c r="K76"/>
  <c r="L76"/>
  <c r="M76"/>
  <c r="N76"/>
  <c r="O76"/>
  <c r="P76"/>
  <c r="Q76"/>
  <c r="R76"/>
  <c r="S76"/>
  <c r="F77"/>
  <c r="G77"/>
  <c r="H77"/>
  <c r="I77"/>
  <c r="J77"/>
  <c r="K77"/>
  <c r="L77"/>
  <c r="M77"/>
  <c r="N77"/>
  <c r="O77"/>
  <c r="P77"/>
  <c r="Q77"/>
  <c r="R77"/>
  <c r="S77"/>
  <c r="F78"/>
  <c r="G78"/>
  <c r="H78"/>
  <c r="I78"/>
  <c r="J78"/>
  <c r="K78"/>
  <c r="L78"/>
  <c r="M78"/>
  <c r="N78"/>
  <c r="O78"/>
  <c r="P78"/>
  <c r="Q78"/>
  <c r="R78"/>
  <c r="S78"/>
  <c r="F79"/>
  <c r="G79"/>
  <c r="H79"/>
  <c r="I79"/>
  <c r="J79"/>
  <c r="K79"/>
  <c r="L79"/>
  <c r="M79"/>
  <c r="N79"/>
  <c r="O79"/>
  <c r="P79"/>
  <c r="Q79"/>
  <c r="R79"/>
  <c r="S79"/>
  <c r="F80"/>
  <c r="G80"/>
  <c r="H80"/>
  <c r="I80"/>
  <c r="J80"/>
  <c r="K80"/>
  <c r="L80"/>
  <c r="M80"/>
  <c r="N80"/>
  <c r="O80"/>
  <c r="P80"/>
  <c r="Q80"/>
  <c r="R80"/>
  <c r="S80"/>
  <c r="F81"/>
  <c r="G81"/>
  <c r="H81"/>
  <c r="I81"/>
  <c r="J81"/>
  <c r="K81"/>
  <c r="L81"/>
  <c r="M81"/>
  <c r="N81"/>
  <c r="O81"/>
  <c r="P81"/>
  <c r="Q81"/>
  <c r="R81"/>
  <c r="S81"/>
  <c r="F82"/>
  <c r="G82"/>
  <c r="H82"/>
  <c r="I82"/>
  <c r="J82"/>
  <c r="K82"/>
  <c r="L82"/>
  <c r="M82"/>
  <c r="N82"/>
  <c r="O82"/>
  <c r="P82"/>
  <c r="Q82"/>
  <c r="R82"/>
  <c r="S82"/>
  <c r="F83"/>
  <c r="G83"/>
  <c r="H83"/>
  <c r="I83"/>
  <c r="J83"/>
  <c r="K83"/>
  <c r="L83"/>
  <c r="M83"/>
  <c r="N83"/>
  <c r="O83"/>
  <c r="P83"/>
  <c r="Q83"/>
  <c r="R83"/>
  <c r="S83"/>
  <c r="F84"/>
  <c r="G84"/>
  <c r="H84"/>
  <c r="I84"/>
  <c r="J84"/>
  <c r="K84"/>
  <c r="L84"/>
  <c r="M84"/>
  <c r="N84"/>
  <c r="O84"/>
  <c r="P84"/>
  <c r="Q84"/>
  <c r="R84"/>
  <c r="S84"/>
  <c r="F85"/>
  <c r="G85"/>
  <c r="H85"/>
  <c r="I85"/>
  <c r="J85"/>
  <c r="K85"/>
  <c r="L85"/>
  <c r="M85"/>
  <c r="N85"/>
  <c r="O85"/>
  <c r="P85"/>
  <c r="Q85"/>
  <c r="R85"/>
  <c r="S85"/>
  <c r="F86"/>
  <c r="G86"/>
  <c r="H86"/>
  <c r="I86"/>
  <c r="J86"/>
  <c r="K86"/>
  <c r="L86"/>
  <c r="M86"/>
  <c r="N86"/>
  <c r="O86"/>
  <c r="P86"/>
  <c r="Q86"/>
  <c r="R86"/>
  <c r="S86"/>
  <c r="F87"/>
  <c r="G87"/>
  <c r="H87"/>
  <c r="I87"/>
  <c r="J87"/>
  <c r="K87"/>
  <c r="L87"/>
  <c r="M87"/>
  <c r="N87"/>
  <c r="O87"/>
  <c r="P87"/>
  <c r="Q87"/>
  <c r="R87"/>
  <c r="S87"/>
  <c r="F88"/>
  <c r="G88"/>
  <c r="H88"/>
  <c r="I88"/>
  <c r="J88"/>
  <c r="K88"/>
  <c r="L88"/>
  <c r="M88"/>
  <c r="N88"/>
  <c r="O88"/>
  <c r="P88"/>
  <c r="Q88"/>
  <c r="R88"/>
  <c r="S88"/>
  <c r="F89"/>
  <c r="G89"/>
  <c r="H89"/>
  <c r="I89"/>
  <c r="J89"/>
  <c r="K89"/>
  <c r="L89"/>
  <c r="M89"/>
  <c r="N89"/>
  <c r="O89"/>
  <c r="P89"/>
  <c r="Q89"/>
  <c r="R89"/>
  <c r="S89"/>
  <c r="F90"/>
  <c r="G90"/>
  <c r="H90"/>
  <c r="I90"/>
  <c r="J90"/>
  <c r="K90"/>
  <c r="L90"/>
  <c r="M90"/>
  <c r="N90"/>
  <c r="O90"/>
  <c r="P90"/>
  <c r="Q90"/>
  <c r="R90"/>
  <c r="S90"/>
  <c r="F91"/>
  <c r="G91"/>
  <c r="H91"/>
  <c r="I91"/>
  <c r="J91"/>
  <c r="K91"/>
  <c r="L91"/>
  <c r="M91"/>
  <c r="N91"/>
  <c r="O91"/>
  <c r="P91"/>
  <c r="Q91"/>
  <c r="R91"/>
  <c r="S91"/>
  <c r="F92"/>
  <c r="G92"/>
  <c r="H92"/>
  <c r="I92"/>
  <c r="J92"/>
  <c r="K92"/>
  <c r="L92"/>
  <c r="M92"/>
  <c r="N92"/>
  <c r="O92"/>
  <c r="P92"/>
  <c r="Q92"/>
  <c r="R92"/>
  <c r="S92"/>
  <c r="F93"/>
  <c r="G93"/>
  <c r="H93"/>
  <c r="I93"/>
  <c r="J93"/>
  <c r="K93"/>
  <c r="L93"/>
  <c r="M93"/>
  <c r="N93"/>
  <c r="O93"/>
  <c r="P93"/>
  <c r="Q93"/>
  <c r="R93"/>
  <c r="S93"/>
  <c r="F94"/>
  <c r="G94"/>
  <c r="H94"/>
  <c r="I94"/>
  <c r="J94"/>
  <c r="K94"/>
  <c r="L94"/>
  <c r="M94"/>
  <c r="N94"/>
  <c r="O94"/>
  <c r="P94"/>
  <c r="Q94"/>
  <c r="R94"/>
  <c r="S94"/>
  <c r="F95"/>
  <c r="G95"/>
  <c r="H95"/>
  <c r="I95"/>
  <c r="J95"/>
  <c r="K95"/>
  <c r="L95"/>
  <c r="M95"/>
  <c r="N95"/>
  <c r="O95"/>
  <c r="P95"/>
  <c r="Q95"/>
  <c r="R95"/>
  <c r="S95"/>
  <c r="F96"/>
  <c r="G96"/>
  <c r="H96"/>
  <c r="I96"/>
  <c r="J96"/>
  <c r="K96"/>
  <c r="L96"/>
  <c r="M96"/>
  <c r="N96"/>
  <c r="O96"/>
  <c r="P96"/>
  <c r="Q96"/>
  <c r="R96"/>
  <c r="S96"/>
  <c r="F97"/>
  <c r="G97"/>
  <c r="H97"/>
  <c r="I97"/>
  <c r="J97"/>
  <c r="K97"/>
  <c r="L97"/>
  <c r="M97"/>
  <c r="N97"/>
  <c r="O97"/>
  <c r="P97"/>
  <c r="Q97"/>
  <c r="R97"/>
  <c r="S97"/>
  <c r="F98"/>
  <c r="G98"/>
  <c r="H98"/>
  <c r="I98"/>
  <c r="J98"/>
  <c r="K98"/>
  <c r="L98"/>
  <c r="M98"/>
  <c r="N98"/>
  <c r="O98"/>
  <c r="P98"/>
  <c r="Q98"/>
  <c r="R98"/>
  <c r="S98"/>
  <c r="F99"/>
  <c r="G99"/>
  <c r="H99"/>
  <c r="I99"/>
  <c r="J99"/>
  <c r="K99"/>
  <c r="L99"/>
  <c r="M99"/>
  <c r="N99"/>
  <c r="O99"/>
  <c r="P99"/>
  <c r="Q99"/>
  <c r="R99"/>
  <c r="S99"/>
  <c r="F100"/>
  <c r="G100"/>
  <c r="H100"/>
  <c r="I100"/>
  <c r="J100"/>
  <c r="K100"/>
  <c r="L100"/>
  <c r="M100"/>
  <c r="N100"/>
  <c r="O100"/>
  <c r="P100"/>
  <c r="Q100"/>
  <c r="R100"/>
  <c r="S100"/>
  <c r="F101"/>
  <c r="G101"/>
  <c r="H101"/>
  <c r="I101"/>
  <c r="J101"/>
  <c r="K101"/>
  <c r="L101"/>
  <c r="M101"/>
  <c r="N101"/>
  <c r="O101"/>
  <c r="P101"/>
  <c r="Q101"/>
  <c r="R101"/>
  <c r="S101"/>
  <c r="F102"/>
  <c r="G102"/>
  <c r="H102"/>
  <c r="I102"/>
  <c r="J102"/>
  <c r="K102"/>
  <c r="L102"/>
  <c r="M102"/>
  <c r="N102"/>
  <c r="O102"/>
  <c r="P102"/>
  <c r="Q102"/>
  <c r="R102"/>
  <c r="S102"/>
  <c r="F103"/>
  <c r="G103"/>
  <c r="H103"/>
  <c r="I103"/>
  <c r="J103"/>
  <c r="K103"/>
  <c r="L103"/>
  <c r="M103"/>
  <c r="N103"/>
  <c r="O103"/>
  <c r="P103"/>
  <c r="Q103"/>
  <c r="R103"/>
  <c r="S103"/>
  <c r="F104"/>
  <c r="G104"/>
  <c r="H104"/>
  <c r="I104"/>
  <c r="J104"/>
  <c r="K104"/>
  <c r="L104"/>
  <c r="M104"/>
  <c r="N104"/>
  <c r="O104"/>
  <c r="P104"/>
  <c r="Q104"/>
  <c r="R104"/>
  <c r="S104"/>
  <c r="F105"/>
  <c r="G105"/>
  <c r="H105"/>
  <c r="I105"/>
  <c r="J105"/>
  <c r="K105"/>
  <c r="L105"/>
  <c r="M105"/>
  <c r="N105"/>
  <c r="O105"/>
  <c r="P105"/>
  <c r="Q105"/>
  <c r="R105"/>
  <c r="S105"/>
  <c r="F106"/>
  <c r="G106"/>
  <c r="H106"/>
  <c r="I106"/>
  <c r="J106"/>
  <c r="K106"/>
  <c r="L106"/>
  <c r="M106"/>
  <c r="N106"/>
  <c r="O106"/>
  <c r="P106"/>
  <c r="Q106"/>
  <c r="R106"/>
  <c r="S106"/>
  <c r="F107"/>
  <c r="G107"/>
  <c r="H107"/>
  <c r="I107"/>
  <c r="J107"/>
  <c r="K107"/>
  <c r="L107"/>
  <c r="M107"/>
  <c r="N107"/>
  <c r="O107"/>
  <c r="P107"/>
  <c r="Q107"/>
  <c r="R107"/>
  <c r="S107"/>
  <c r="F108"/>
  <c r="G108"/>
  <c r="H108"/>
  <c r="I108"/>
  <c r="J108"/>
  <c r="K108"/>
  <c r="L108"/>
  <c r="M108"/>
  <c r="N108"/>
  <c r="O108"/>
  <c r="P108"/>
  <c r="Q108"/>
  <c r="R108"/>
  <c r="S108"/>
  <c r="F109"/>
  <c r="G109"/>
  <c r="H109"/>
  <c r="I109"/>
  <c r="J109"/>
  <c r="K109"/>
  <c r="L109"/>
  <c r="M109"/>
  <c r="N109"/>
  <c r="O109"/>
  <c r="P109"/>
  <c r="Q109"/>
  <c r="R109"/>
  <c r="S109"/>
  <c r="F110"/>
  <c r="G110"/>
  <c r="H110"/>
  <c r="I110"/>
  <c r="J110"/>
  <c r="K110"/>
  <c r="L110"/>
  <c r="M110"/>
  <c r="N110"/>
  <c r="O110"/>
  <c r="P110"/>
  <c r="Q110"/>
  <c r="R110"/>
  <c r="S110"/>
  <c r="F111"/>
  <c r="G111"/>
  <c r="H111"/>
  <c r="I111"/>
  <c r="J111"/>
  <c r="K111"/>
  <c r="L111"/>
  <c r="M111"/>
  <c r="N111"/>
  <c r="O111"/>
  <c r="P111"/>
  <c r="Q111"/>
  <c r="R111"/>
  <c r="S111"/>
  <c r="F112"/>
  <c r="G112"/>
  <c r="H112"/>
  <c r="I112"/>
  <c r="J112"/>
  <c r="K112"/>
  <c r="L112"/>
  <c r="M112"/>
  <c r="N112"/>
  <c r="O112"/>
  <c r="P112"/>
  <c r="Q112"/>
  <c r="R112"/>
  <c r="S112"/>
  <c r="F113"/>
  <c r="G113"/>
  <c r="H113"/>
  <c r="I113"/>
  <c r="J113"/>
  <c r="K113"/>
  <c r="L113"/>
  <c r="M113"/>
  <c r="N113"/>
  <c r="O113"/>
  <c r="P113"/>
  <c r="Q113"/>
  <c r="R113"/>
  <c r="S113"/>
  <c r="F114"/>
  <c r="G114"/>
  <c r="H114"/>
  <c r="I114"/>
  <c r="J114"/>
  <c r="K114"/>
  <c r="L114"/>
  <c r="M114"/>
  <c r="N114"/>
  <c r="O114"/>
  <c r="P114"/>
  <c r="Q114"/>
  <c r="R114"/>
  <c r="S114"/>
  <c r="F115"/>
  <c r="G115"/>
  <c r="H115"/>
  <c r="I115"/>
  <c r="J115"/>
  <c r="K115"/>
  <c r="L115"/>
  <c r="M115"/>
  <c r="N115"/>
  <c r="O115"/>
  <c r="P115"/>
  <c r="Q115"/>
  <c r="R115"/>
  <c r="S115"/>
  <c r="F116"/>
  <c r="G116"/>
  <c r="H116"/>
  <c r="I116"/>
  <c r="J116"/>
  <c r="K116"/>
  <c r="L116"/>
  <c r="M116"/>
  <c r="N116"/>
  <c r="O116"/>
  <c r="P116"/>
  <c r="Q116"/>
  <c r="R116"/>
  <c r="S116"/>
  <c r="F117"/>
  <c r="G117"/>
  <c r="H117"/>
  <c r="I117"/>
  <c r="J117"/>
  <c r="K117"/>
  <c r="L117"/>
  <c r="M117"/>
  <c r="N117"/>
  <c r="O117"/>
  <c r="P117"/>
  <c r="Q117"/>
  <c r="R117"/>
  <c r="S117"/>
  <c r="F118"/>
  <c r="G118"/>
  <c r="H118"/>
  <c r="I118"/>
  <c r="J118"/>
  <c r="K118"/>
  <c r="L118"/>
  <c r="M118"/>
  <c r="N118"/>
  <c r="O118"/>
  <c r="P118"/>
  <c r="Q118"/>
  <c r="R118"/>
  <c r="S118"/>
  <c r="F119"/>
  <c r="G119"/>
  <c r="H119"/>
  <c r="I119"/>
  <c r="J119"/>
  <c r="K119"/>
  <c r="L119"/>
  <c r="M119"/>
  <c r="N119"/>
  <c r="O119"/>
  <c r="P119"/>
  <c r="Q119"/>
  <c r="R119"/>
  <c r="S119"/>
  <c r="F120"/>
  <c r="G120"/>
  <c r="H120"/>
  <c r="I120"/>
  <c r="J120"/>
  <c r="K120"/>
  <c r="L120"/>
  <c r="M120"/>
  <c r="N120"/>
  <c r="O120"/>
  <c r="P120"/>
  <c r="Q120"/>
  <c r="R120"/>
  <c r="S120"/>
  <c r="F121"/>
  <c r="G121"/>
  <c r="H121"/>
  <c r="I121"/>
  <c r="J121"/>
  <c r="K121"/>
  <c r="L121"/>
  <c r="M121"/>
  <c r="N121"/>
  <c r="O121"/>
  <c r="P121"/>
  <c r="Q121"/>
  <c r="R121"/>
  <c r="S121"/>
  <c r="F122"/>
  <c r="G122"/>
  <c r="H122"/>
  <c r="I122"/>
  <c r="J122"/>
  <c r="K122"/>
  <c r="L122"/>
  <c r="M122"/>
  <c r="N122"/>
  <c r="O122"/>
  <c r="P122"/>
  <c r="Q122"/>
  <c r="R122"/>
  <c r="S122"/>
  <c r="F123"/>
  <c r="G123"/>
  <c r="H123"/>
  <c r="I123"/>
  <c r="J123"/>
  <c r="K123"/>
  <c r="L123"/>
  <c r="M123"/>
  <c r="N123"/>
  <c r="O123"/>
  <c r="P123"/>
  <c r="Q123"/>
  <c r="R123"/>
  <c r="S123"/>
  <c r="F124"/>
  <c r="G124"/>
  <c r="H124"/>
  <c r="I124"/>
  <c r="J124"/>
  <c r="K124"/>
  <c r="L124"/>
  <c r="M124"/>
  <c r="N124"/>
  <c r="O124"/>
  <c r="P124"/>
  <c r="Q124"/>
  <c r="R124"/>
  <c r="S124"/>
  <c r="F125"/>
  <c r="G125"/>
  <c r="H125"/>
  <c r="I125"/>
  <c r="J125"/>
  <c r="K125"/>
  <c r="L125"/>
  <c r="M125"/>
  <c r="N125"/>
  <c r="O125"/>
  <c r="P125"/>
  <c r="Q125"/>
  <c r="R125"/>
  <c r="S125"/>
  <c r="F126"/>
  <c r="G126"/>
  <c r="H126"/>
  <c r="I126"/>
  <c r="J126"/>
  <c r="K126"/>
  <c r="L126"/>
  <c r="M126"/>
  <c r="N126"/>
  <c r="O126"/>
  <c r="P126"/>
  <c r="Q126"/>
  <c r="R126"/>
  <c r="S126"/>
  <c r="F127"/>
  <c r="G127"/>
  <c r="H127"/>
  <c r="I127"/>
  <c r="J127"/>
  <c r="K127"/>
  <c r="L127"/>
  <c r="M127"/>
  <c r="N127"/>
  <c r="O127"/>
  <c r="P127"/>
  <c r="Q127"/>
  <c r="R127"/>
  <c r="S127"/>
  <c r="F128"/>
  <c r="G128"/>
  <c r="H128"/>
  <c r="I128"/>
  <c r="J128"/>
  <c r="K128"/>
  <c r="L128"/>
  <c r="M128"/>
  <c r="N128"/>
  <c r="O128"/>
  <c r="P128"/>
  <c r="Q128"/>
  <c r="R128"/>
  <c r="S128"/>
  <c r="F129"/>
  <c r="G129"/>
  <c r="H129"/>
  <c r="I129"/>
  <c r="J129"/>
  <c r="K129"/>
  <c r="L129"/>
  <c r="M129"/>
  <c r="N129"/>
  <c r="O129"/>
  <c r="P129"/>
  <c r="Q129"/>
  <c r="R129"/>
  <c r="S129"/>
  <c r="G7"/>
  <c r="H7"/>
  <c r="I7"/>
  <c r="J7"/>
  <c r="K7"/>
  <c r="L7"/>
  <c r="M7"/>
  <c r="N7"/>
  <c r="O7"/>
  <c r="P7"/>
  <c r="Q7"/>
  <c r="R7"/>
  <c r="S7"/>
  <c r="F7"/>
  <c r="F5"/>
  <c r="G5"/>
  <c r="H5"/>
  <c r="I5"/>
  <c r="J5"/>
  <c r="K5"/>
  <c r="L5"/>
  <c r="M5"/>
  <c r="N5"/>
  <c r="O5"/>
  <c r="P5"/>
  <c r="Q5"/>
  <c r="R5"/>
  <c r="S5"/>
  <c r="F6"/>
  <c r="G6"/>
  <c r="H6"/>
  <c r="I6"/>
  <c r="J6"/>
  <c r="K6"/>
  <c r="L6"/>
  <c r="M6"/>
  <c r="N6"/>
  <c r="O6"/>
  <c r="P6"/>
  <c r="Q6"/>
  <c r="R6"/>
  <c r="S6"/>
  <c r="G1"/>
  <c r="H1"/>
  <c r="I1"/>
  <c r="J1"/>
  <c r="K1"/>
  <c r="L1"/>
  <c r="M1"/>
  <c r="N1"/>
  <c r="O1"/>
  <c r="P1"/>
  <c r="Q1"/>
  <c r="R1"/>
  <c r="S1"/>
  <c r="F1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</calcChain>
</file>

<file path=xl/sharedStrings.xml><?xml version="1.0" encoding="utf-8"?>
<sst xmlns="http://schemas.openxmlformats.org/spreadsheetml/2006/main" count="1055" uniqueCount="177">
  <si>
    <t>ATL</t>
  </si>
  <si>
    <t>FLL</t>
  </si>
  <si>
    <t>both</t>
  </si>
  <si>
    <t>MSY</t>
  </si>
  <si>
    <t>GSP</t>
  </si>
  <si>
    <t>ORF</t>
  </si>
  <si>
    <t>CAK</t>
  </si>
  <si>
    <t>DAY</t>
  </si>
  <si>
    <t>DTW</t>
  </si>
  <si>
    <t>HOU</t>
  </si>
  <si>
    <t>MDW</t>
  </si>
  <si>
    <t>MKE</t>
  </si>
  <si>
    <t>MSP</t>
  </si>
  <si>
    <t>PHL</t>
  </si>
  <si>
    <t>RDU</t>
  </si>
  <si>
    <t>RSW</t>
  </si>
  <si>
    <t>SFO</t>
  </si>
  <si>
    <t>BOS</t>
  </si>
  <si>
    <t>DEN</t>
  </si>
  <si>
    <t>STL</t>
  </si>
  <si>
    <t>BUF</t>
  </si>
  <si>
    <t>LAS</t>
  </si>
  <si>
    <t>PHX</t>
  </si>
  <si>
    <t>BWI</t>
  </si>
  <si>
    <t>IND</t>
  </si>
  <si>
    <t>JAX</t>
  </si>
  <si>
    <t>MCI</t>
  </si>
  <si>
    <t>MCO</t>
  </si>
  <si>
    <t>SAT</t>
  </si>
  <si>
    <t>SEA</t>
  </si>
  <si>
    <t>TPA</t>
  </si>
  <si>
    <t>CMH</t>
  </si>
  <si>
    <t>DCA</t>
  </si>
  <si>
    <t>PIT</t>
  </si>
  <si>
    <t>IAD</t>
  </si>
  <si>
    <t>LAX</t>
  </si>
  <si>
    <t>LGA</t>
  </si>
  <si>
    <t>PBI</t>
  </si>
  <si>
    <t>Dominant Carrier</t>
  </si>
  <si>
    <t>WN</t>
  </si>
  <si>
    <t>Jan</t>
  </si>
  <si>
    <t>Feb</t>
  </si>
  <si>
    <t>Mar</t>
  </si>
  <si>
    <t>Apr</t>
  </si>
  <si>
    <t>May</t>
  </si>
  <si>
    <t>Jun</t>
  </si>
  <si>
    <t>Jul</t>
  </si>
  <si>
    <t>FL</t>
  </si>
  <si>
    <t>AirTran</t>
  </si>
  <si>
    <t>Unserved</t>
  </si>
  <si>
    <t>ATL-FLL</t>
  </si>
  <si>
    <t>ATL-MSY</t>
  </si>
  <si>
    <t>GSP-ORF</t>
  </si>
  <si>
    <t>ATL-CAK</t>
  </si>
  <si>
    <t>ATL-DAY</t>
  </si>
  <si>
    <t>ATL-DTW</t>
  </si>
  <si>
    <t>ATL-HOU</t>
  </si>
  <si>
    <t>ATL-MDW</t>
  </si>
  <si>
    <t>ATL-MKE</t>
  </si>
  <si>
    <t>ATL-MSP</t>
  </si>
  <si>
    <t>ATL-PHL</t>
  </si>
  <si>
    <t>ATL-RDU</t>
  </si>
  <si>
    <t>ATL-RSW</t>
  </si>
  <si>
    <t>ATL-SFO</t>
  </si>
  <si>
    <t>BOS-DEN</t>
  </si>
  <si>
    <t>Southwest</t>
  </si>
  <si>
    <t>BOS-MDW</t>
  </si>
  <si>
    <t>BOS-MKE</t>
  </si>
  <si>
    <t>BOS-STL</t>
  </si>
  <si>
    <t>BUF-FLL</t>
  </si>
  <si>
    <t>BUF-LAS</t>
  </si>
  <si>
    <t>BUF-PHX</t>
  </si>
  <si>
    <t>BWI-DAY</t>
  </si>
  <si>
    <t>BWI-FLL</t>
  </si>
  <si>
    <t>BWI-HOU</t>
  </si>
  <si>
    <t>BWI-IND</t>
  </si>
  <si>
    <t>BWI-JAX</t>
  </si>
  <si>
    <t>BWI-LAS</t>
  </si>
  <si>
    <t>BWI-MCI</t>
  </si>
  <si>
    <t>BWI-MCO</t>
  </si>
  <si>
    <t>BWI-MDW</t>
  </si>
  <si>
    <t>BWI-MKE</t>
  </si>
  <si>
    <t>BWI-MSY</t>
  </si>
  <si>
    <t>BWI-PHX</t>
  </si>
  <si>
    <t>BWI-RSW</t>
  </si>
  <si>
    <t>BWI-SAT</t>
  </si>
  <si>
    <t>BWI-SEA</t>
  </si>
  <si>
    <t>BWI-STL</t>
  </si>
  <si>
    <t>BWI-TPA</t>
  </si>
  <si>
    <t>CAK-DEN</t>
  </si>
  <si>
    <t>CMH-LAS</t>
  </si>
  <si>
    <t>CMH-MCO</t>
  </si>
  <si>
    <t>CMH-PHX</t>
  </si>
  <si>
    <t>CMH-STL</t>
  </si>
  <si>
    <t>DAY-MCO</t>
  </si>
  <si>
    <t>DCA-HOU</t>
  </si>
  <si>
    <t>DCA-MKE</t>
  </si>
  <si>
    <t>DCA-RSW</t>
  </si>
  <si>
    <t>DEN-JAX</t>
  </si>
  <si>
    <t>DEN-RDU</t>
  </si>
  <si>
    <t>DEN-TPA</t>
  </si>
  <si>
    <t>DTW-MCO</t>
  </si>
  <si>
    <t>DTW-SEA</t>
  </si>
  <si>
    <t>FLL-HOU</t>
  </si>
  <si>
    <t>FLL-IND</t>
  </si>
  <si>
    <t>FLL-LAS</t>
  </si>
  <si>
    <t>FLL-MCI</t>
  </si>
  <si>
    <t>FLL-MDW</t>
  </si>
  <si>
    <t>FLL-MKE</t>
  </si>
  <si>
    <t>FLL-MSY</t>
  </si>
  <si>
    <t>FLL-PHL</t>
  </si>
  <si>
    <t>FLL-PIT</t>
  </si>
  <si>
    <t>FLL-STL</t>
  </si>
  <si>
    <t>HOU-JAX</t>
  </si>
  <si>
    <t>HOU-MCI</t>
  </si>
  <si>
    <t>HOU-MCO</t>
  </si>
  <si>
    <t>HOU-MDW</t>
  </si>
  <si>
    <t>HOU-PHL</t>
  </si>
  <si>
    <t>HOU-RDU</t>
  </si>
  <si>
    <t>HOU-STL</t>
  </si>
  <si>
    <t>HOU-TPA</t>
  </si>
  <si>
    <t>IAD-MDW</t>
  </si>
  <si>
    <t>IND-MCI</t>
  </si>
  <si>
    <t>IND-MCO</t>
  </si>
  <si>
    <t>IND-MSY</t>
  </si>
  <si>
    <t>IND-PHX</t>
  </si>
  <si>
    <t>IND-RDU</t>
  </si>
  <si>
    <t>IND-SFO</t>
  </si>
  <si>
    <t>JAX-LAS</t>
  </si>
  <si>
    <t>JAX-STL</t>
  </si>
  <si>
    <t>LAS-RDU</t>
  </si>
  <si>
    <t>LAS-STL</t>
  </si>
  <si>
    <t>LAS-TPA</t>
  </si>
  <si>
    <t>LAX-MSP</t>
  </si>
  <si>
    <t>LAX-STL</t>
  </si>
  <si>
    <t>LGA-MDW</t>
  </si>
  <si>
    <t>MCI-MCO</t>
  </si>
  <si>
    <t>MCI-TPA</t>
  </si>
  <si>
    <t>MCO-MDW</t>
  </si>
  <si>
    <t>MCO-MKE</t>
  </si>
  <si>
    <t>MCO-MSY</t>
  </si>
  <si>
    <t>MCO-PHX</t>
  </si>
  <si>
    <t>MCO-PIT</t>
  </si>
  <si>
    <t>MCO-SAT</t>
  </si>
  <si>
    <t>MCO-STL</t>
  </si>
  <si>
    <t>MDW-PHL</t>
  </si>
  <si>
    <t>MDW-PIT</t>
  </si>
  <si>
    <t>MDW-RDU</t>
  </si>
  <si>
    <t>MDW-RSW</t>
  </si>
  <si>
    <t>MDW-TPA</t>
  </si>
  <si>
    <t>MKE-PHX</t>
  </si>
  <si>
    <t>MKE-SEA</t>
  </si>
  <si>
    <t>MKE-SFO</t>
  </si>
  <si>
    <t>MSY-PHL</t>
  </si>
  <si>
    <t>MSY-PHX</t>
  </si>
  <si>
    <t>PBI-PHL</t>
  </si>
  <si>
    <t>PHL-PHX</t>
  </si>
  <si>
    <t>PHX-PIT</t>
  </si>
  <si>
    <t>PHX-RDU</t>
  </si>
  <si>
    <t>PHX-STL</t>
  </si>
  <si>
    <t>PHX-TPA</t>
  </si>
  <si>
    <t>PIT-TPA</t>
  </si>
  <si>
    <t>RDU-SEA</t>
  </si>
  <si>
    <t>RDU-TPA</t>
  </si>
  <si>
    <t>SAT-TPA</t>
  </si>
  <si>
    <t>SEA-TPA</t>
  </si>
  <si>
    <t>BUF-SAT</t>
  </si>
  <si>
    <t>CMH-JAX</t>
  </si>
  <si>
    <t>DAY-FLL</t>
  </si>
  <si>
    <t>DAY-JAX</t>
  </si>
  <si>
    <t>IND-TPA</t>
  </si>
  <si>
    <t>JAX-MCI</t>
  </si>
  <si>
    <t>JAX-MKE</t>
  </si>
  <si>
    <t>JAX-PHX</t>
  </si>
  <si>
    <t>MSY-STL</t>
  </si>
  <si>
    <t>STL-TPA</t>
  </si>
  <si>
    <t xml:space="preserve">Southwest/AirTran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</si>
</sst>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104121/Downloads/Schedule_Weekly_Summary_Enhanced_Report%20(1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chedule Weekly Summary Enhance"/>
    </sheetNames>
    <sheetDataSet>
      <sheetData sheetId="0">
        <row r="4">
          <cell r="B4" t="str">
            <v>2013-01_FL</v>
          </cell>
          <cell r="C4" t="str">
            <v>2013-01_WN</v>
          </cell>
          <cell r="D4" t="str">
            <v>2013-02_FL</v>
          </cell>
          <cell r="E4" t="str">
            <v>2013-02_WN</v>
          </cell>
          <cell r="F4" t="str">
            <v>2013-03_FL</v>
          </cell>
          <cell r="G4" t="str">
            <v>2013-03_WN</v>
          </cell>
          <cell r="H4" t="str">
            <v>2013-04_FL</v>
          </cell>
          <cell r="I4" t="str">
            <v>2013-04_WN</v>
          </cell>
          <cell r="J4" t="str">
            <v>2013-05_FL</v>
          </cell>
          <cell r="K4" t="str">
            <v>2013-05_WN</v>
          </cell>
          <cell r="L4" t="str">
            <v>2013-06_FL</v>
          </cell>
          <cell r="M4" t="str">
            <v>2013-06_WN</v>
          </cell>
          <cell r="N4" t="str">
            <v>2013-07_FL</v>
          </cell>
          <cell r="O4" t="str">
            <v>2013-07_WN</v>
          </cell>
        </row>
        <row r="8">
          <cell r="A8" t="str">
            <v>ABQ-BWI</v>
          </cell>
          <cell r="C8">
            <v>7</v>
          </cell>
          <cell r="E8">
            <v>7</v>
          </cell>
          <cell r="G8">
            <v>8</v>
          </cell>
          <cell r="I8">
            <v>14</v>
          </cell>
          <cell r="K8">
            <v>14</v>
          </cell>
          <cell r="M8">
            <v>14</v>
          </cell>
          <cell r="O8">
            <v>14</v>
          </cell>
          <cell r="P8">
            <v>78</v>
          </cell>
        </row>
        <row r="9">
          <cell r="A9" t="str">
            <v>ABQ-DAL</v>
          </cell>
          <cell r="C9">
            <v>45</v>
          </cell>
          <cell r="E9">
            <v>45</v>
          </cell>
          <cell r="G9">
            <v>53</v>
          </cell>
          <cell r="I9">
            <v>52</v>
          </cell>
          <cell r="K9">
            <v>52</v>
          </cell>
          <cell r="M9">
            <v>53</v>
          </cell>
          <cell r="O9">
            <v>53</v>
          </cell>
          <cell r="P9">
            <v>353</v>
          </cell>
        </row>
        <row r="10">
          <cell r="A10" t="str">
            <v>ABQ-DEN</v>
          </cell>
          <cell r="C10">
            <v>19</v>
          </cell>
          <cell r="E10">
            <v>19</v>
          </cell>
          <cell r="G10">
            <v>20</v>
          </cell>
          <cell r="I10">
            <v>20</v>
          </cell>
          <cell r="K10">
            <v>20</v>
          </cell>
          <cell r="M10">
            <v>20</v>
          </cell>
          <cell r="O10">
            <v>20</v>
          </cell>
          <cell r="P10">
            <v>138</v>
          </cell>
        </row>
        <row r="11">
          <cell r="A11" t="str">
            <v>ABQ-HOU</v>
          </cell>
          <cell r="C11">
            <v>19</v>
          </cell>
          <cell r="E11">
            <v>19</v>
          </cell>
          <cell r="G11">
            <v>20</v>
          </cell>
          <cell r="I11">
            <v>19</v>
          </cell>
          <cell r="K11">
            <v>19</v>
          </cell>
          <cell r="M11">
            <v>19</v>
          </cell>
          <cell r="O11">
            <v>19</v>
          </cell>
          <cell r="P11">
            <v>134</v>
          </cell>
        </row>
        <row r="12">
          <cell r="A12" t="str">
            <v>ABQ-LAS</v>
          </cell>
          <cell r="C12">
            <v>27</v>
          </cell>
          <cell r="E12">
            <v>27</v>
          </cell>
          <cell r="G12">
            <v>38</v>
          </cell>
          <cell r="I12">
            <v>39</v>
          </cell>
          <cell r="K12">
            <v>39</v>
          </cell>
          <cell r="M12">
            <v>40</v>
          </cell>
          <cell r="O12">
            <v>40</v>
          </cell>
          <cell r="P12">
            <v>250</v>
          </cell>
        </row>
        <row r="13">
          <cell r="A13" t="str">
            <v>ABQ-LAX</v>
          </cell>
          <cell r="C13">
            <v>19</v>
          </cell>
          <cell r="E13">
            <v>19</v>
          </cell>
          <cell r="G13">
            <v>27</v>
          </cell>
          <cell r="I13">
            <v>27</v>
          </cell>
          <cell r="K13">
            <v>27</v>
          </cell>
          <cell r="M13">
            <v>27</v>
          </cell>
          <cell r="O13">
            <v>27</v>
          </cell>
          <cell r="P13">
            <v>173</v>
          </cell>
        </row>
        <row r="14">
          <cell r="A14" t="str">
            <v>ABQ-MCI</v>
          </cell>
          <cell r="C14">
            <v>6</v>
          </cell>
          <cell r="E14">
            <v>6</v>
          </cell>
          <cell r="G14">
            <v>7</v>
          </cell>
          <cell r="I14">
            <v>7</v>
          </cell>
          <cell r="K14">
            <v>7</v>
          </cell>
          <cell r="M14">
            <v>7</v>
          </cell>
          <cell r="O14">
            <v>7</v>
          </cell>
          <cell r="P14">
            <v>47</v>
          </cell>
        </row>
        <row r="15">
          <cell r="A15" t="str">
            <v>ABQ-MCO</v>
          </cell>
          <cell r="G15">
            <v>7</v>
          </cell>
          <cell r="I15">
            <v>7</v>
          </cell>
          <cell r="K15">
            <v>7</v>
          </cell>
          <cell r="M15">
            <v>7</v>
          </cell>
          <cell r="O15">
            <v>7</v>
          </cell>
          <cell r="P15">
            <v>35</v>
          </cell>
        </row>
        <row r="16">
          <cell r="A16" t="str">
            <v>ABQ-MDW</v>
          </cell>
          <cell r="C16">
            <v>13</v>
          </cell>
          <cell r="E16">
            <v>13</v>
          </cell>
          <cell r="G16">
            <v>14</v>
          </cell>
          <cell r="I16">
            <v>14</v>
          </cell>
          <cell r="K16">
            <v>14</v>
          </cell>
          <cell r="M16">
            <v>14</v>
          </cell>
          <cell r="O16">
            <v>14</v>
          </cell>
          <cell r="P16">
            <v>96</v>
          </cell>
        </row>
        <row r="17">
          <cell r="A17" t="str">
            <v>ABQ-OAK</v>
          </cell>
          <cell r="C17">
            <v>12</v>
          </cell>
          <cell r="E17">
            <v>12</v>
          </cell>
          <cell r="G17">
            <v>13</v>
          </cell>
          <cell r="I17">
            <v>19</v>
          </cell>
          <cell r="K17">
            <v>19</v>
          </cell>
          <cell r="M17">
            <v>20</v>
          </cell>
          <cell r="O17">
            <v>20</v>
          </cell>
          <cell r="P17">
            <v>115</v>
          </cell>
        </row>
        <row r="18">
          <cell r="A18" t="str">
            <v>ABQ-PDX</v>
          </cell>
          <cell r="G18">
            <v>7</v>
          </cell>
          <cell r="I18">
            <v>7</v>
          </cell>
          <cell r="K18">
            <v>7</v>
          </cell>
          <cell r="M18">
            <v>7</v>
          </cell>
          <cell r="O18">
            <v>7</v>
          </cell>
          <cell r="P18">
            <v>35</v>
          </cell>
        </row>
        <row r="19">
          <cell r="A19" t="str">
            <v>ABQ-PHX</v>
          </cell>
          <cell r="C19">
            <v>52</v>
          </cell>
          <cell r="E19">
            <v>52</v>
          </cell>
          <cell r="G19">
            <v>52</v>
          </cell>
          <cell r="I19">
            <v>51</v>
          </cell>
          <cell r="K19">
            <v>51</v>
          </cell>
          <cell r="M19">
            <v>51</v>
          </cell>
          <cell r="O19">
            <v>51</v>
          </cell>
          <cell r="P19">
            <v>360</v>
          </cell>
        </row>
        <row r="20">
          <cell r="A20" t="str">
            <v>ABQ-SAN</v>
          </cell>
          <cell r="C20">
            <v>12</v>
          </cell>
          <cell r="E20">
            <v>12</v>
          </cell>
          <cell r="G20">
            <v>13</v>
          </cell>
          <cell r="I20">
            <v>21</v>
          </cell>
          <cell r="K20">
            <v>21</v>
          </cell>
          <cell r="M20">
            <v>20</v>
          </cell>
          <cell r="O20">
            <v>20</v>
          </cell>
          <cell r="P20">
            <v>119</v>
          </cell>
        </row>
        <row r="21">
          <cell r="A21" t="str">
            <v>ABQ-SEA</v>
          </cell>
          <cell r="C21">
            <v>7</v>
          </cell>
          <cell r="E21">
            <v>7</v>
          </cell>
          <cell r="G21">
            <v>14</v>
          </cell>
          <cell r="I21">
            <v>13</v>
          </cell>
          <cell r="K21">
            <v>13</v>
          </cell>
          <cell r="M21">
            <v>14</v>
          </cell>
          <cell r="O21">
            <v>14</v>
          </cell>
          <cell r="P21">
            <v>82</v>
          </cell>
        </row>
        <row r="22">
          <cell r="A22" t="str">
            <v>ABQ-TUS</v>
          </cell>
          <cell r="C22">
            <v>12</v>
          </cell>
          <cell r="E22">
            <v>12</v>
          </cell>
          <cell r="G22">
            <v>14</v>
          </cell>
          <cell r="I22">
            <v>7</v>
          </cell>
          <cell r="K22">
            <v>7</v>
          </cell>
          <cell r="P22">
            <v>52</v>
          </cell>
        </row>
        <row r="23">
          <cell r="A23" t="str">
            <v>ALB-BWI</v>
          </cell>
          <cell r="C23">
            <v>27</v>
          </cell>
          <cell r="E23">
            <v>27</v>
          </cell>
          <cell r="G23">
            <v>39</v>
          </cell>
          <cell r="I23">
            <v>40</v>
          </cell>
          <cell r="K23">
            <v>40</v>
          </cell>
          <cell r="M23">
            <v>40</v>
          </cell>
          <cell r="O23">
            <v>40</v>
          </cell>
          <cell r="P23">
            <v>253</v>
          </cell>
        </row>
        <row r="24">
          <cell r="A24" t="str">
            <v>ALB-FLL</v>
          </cell>
          <cell r="C24">
            <v>7</v>
          </cell>
          <cell r="E24">
            <v>7</v>
          </cell>
          <cell r="G24">
            <v>8</v>
          </cell>
          <cell r="I24">
            <v>7</v>
          </cell>
          <cell r="K24">
            <v>7</v>
          </cell>
          <cell r="M24">
            <v>7</v>
          </cell>
          <cell r="O24">
            <v>7</v>
          </cell>
          <cell r="P24">
            <v>50</v>
          </cell>
        </row>
        <row r="25">
          <cell r="A25" t="str">
            <v>ALB-LAS</v>
          </cell>
          <cell r="G25">
            <v>7</v>
          </cell>
          <cell r="I25">
            <v>7</v>
          </cell>
          <cell r="K25">
            <v>7</v>
          </cell>
          <cell r="M25">
            <v>7</v>
          </cell>
          <cell r="O25">
            <v>7</v>
          </cell>
          <cell r="P25">
            <v>35</v>
          </cell>
        </row>
        <row r="26">
          <cell r="A26" t="str">
            <v>ALB-MCO</v>
          </cell>
          <cell r="C26">
            <v>14</v>
          </cell>
          <cell r="E26">
            <v>14</v>
          </cell>
          <cell r="G26">
            <v>22</v>
          </cell>
          <cell r="I26">
            <v>14</v>
          </cell>
          <cell r="K26">
            <v>14</v>
          </cell>
          <cell r="M26">
            <v>8</v>
          </cell>
          <cell r="O26">
            <v>8</v>
          </cell>
          <cell r="P26">
            <v>94</v>
          </cell>
        </row>
        <row r="27">
          <cell r="A27" t="str">
            <v>ALB-MDW</v>
          </cell>
          <cell r="C27">
            <v>14</v>
          </cell>
          <cell r="E27">
            <v>14</v>
          </cell>
          <cell r="G27">
            <v>14</v>
          </cell>
          <cell r="I27">
            <v>14</v>
          </cell>
          <cell r="K27">
            <v>14</v>
          </cell>
          <cell r="M27">
            <v>14</v>
          </cell>
          <cell r="O27">
            <v>14</v>
          </cell>
          <cell r="P27">
            <v>98</v>
          </cell>
        </row>
        <row r="28">
          <cell r="A28" t="str">
            <v>ALB-TPA</v>
          </cell>
          <cell r="C28">
            <v>7</v>
          </cell>
          <cell r="E28">
            <v>7</v>
          </cell>
          <cell r="G28">
            <v>15</v>
          </cell>
          <cell r="I28">
            <v>7</v>
          </cell>
          <cell r="K28">
            <v>7</v>
          </cell>
          <cell r="M28">
            <v>7</v>
          </cell>
          <cell r="O28">
            <v>7</v>
          </cell>
          <cell r="P28">
            <v>57</v>
          </cell>
        </row>
        <row r="29">
          <cell r="A29" t="str">
            <v>AMA-DAL</v>
          </cell>
          <cell r="C29">
            <v>39</v>
          </cell>
          <cell r="E29">
            <v>39</v>
          </cell>
          <cell r="G29">
            <v>39</v>
          </cell>
          <cell r="I29">
            <v>39</v>
          </cell>
          <cell r="K29">
            <v>39</v>
          </cell>
          <cell r="M29">
            <v>39</v>
          </cell>
          <cell r="O29">
            <v>39</v>
          </cell>
          <cell r="P29">
            <v>273</v>
          </cell>
        </row>
        <row r="30">
          <cell r="A30" t="str">
            <v>AMA-DEN</v>
          </cell>
          <cell r="C30">
            <v>14</v>
          </cell>
          <cell r="E30">
            <v>14</v>
          </cell>
          <cell r="G30">
            <v>14</v>
          </cell>
          <cell r="I30">
            <v>13</v>
          </cell>
          <cell r="K30">
            <v>13</v>
          </cell>
          <cell r="M30">
            <v>14</v>
          </cell>
          <cell r="O30">
            <v>14</v>
          </cell>
          <cell r="P30">
            <v>96</v>
          </cell>
        </row>
        <row r="31">
          <cell r="A31" t="str">
            <v>AMA-LAS</v>
          </cell>
          <cell r="C31">
            <v>7</v>
          </cell>
          <cell r="E31">
            <v>7</v>
          </cell>
          <cell r="G31">
            <v>7</v>
          </cell>
          <cell r="I31">
            <v>7</v>
          </cell>
          <cell r="K31">
            <v>7</v>
          </cell>
          <cell r="M31">
            <v>7</v>
          </cell>
          <cell r="O31">
            <v>7</v>
          </cell>
          <cell r="P31">
            <v>49</v>
          </cell>
        </row>
        <row r="32">
          <cell r="A32" t="str">
            <v>ATL-AUA</v>
          </cell>
          <cell r="B32">
            <v>4</v>
          </cell>
          <cell r="D32">
            <v>4</v>
          </cell>
          <cell r="F32">
            <v>4</v>
          </cell>
          <cell r="H32">
            <v>4</v>
          </cell>
          <cell r="J32">
            <v>4</v>
          </cell>
          <cell r="L32">
            <v>4</v>
          </cell>
          <cell r="N32">
            <v>4</v>
          </cell>
          <cell r="P32">
            <v>28</v>
          </cell>
        </row>
        <row r="33">
          <cell r="A33" t="str">
            <v>ATL-AUS</v>
          </cell>
          <cell r="C33">
            <v>13</v>
          </cell>
          <cell r="E33">
            <v>14</v>
          </cell>
          <cell r="G33">
            <v>14</v>
          </cell>
          <cell r="I33">
            <v>14</v>
          </cell>
          <cell r="K33">
            <v>14</v>
          </cell>
          <cell r="M33">
            <v>14</v>
          </cell>
          <cell r="O33">
            <v>14</v>
          </cell>
          <cell r="P33">
            <v>97</v>
          </cell>
        </row>
        <row r="34">
          <cell r="A34" t="str">
            <v>ATL-BKG</v>
          </cell>
          <cell r="B34">
            <v>7</v>
          </cell>
          <cell r="D34">
            <v>7</v>
          </cell>
          <cell r="P34">
            <v>14</v>
          </cell>
        </row>
        <row r="35">
          <cell r="A35" t="str">
            <v>ATL-BOS</v>
          </cell>
          <cell r="B35">
            <v>21</v>
          </cell>
          <cell r="D35">
            <v>21</v>
          </cell>
          <cell r="F35">
            <v>27</v>
          </cell>
          <cell r="H35">
            <v>34</v>
          </cell>
          <cell r="J35">
            <v>34</v>
          </cell>
          <cell r="L35">
            <v>34</v>
          </cell>
          <cell r="N35">
            <v>34</v>
          </cell>
          <cell r="P35">
            <v>205</v>
          </cell>
        </row>
        <row r="36">
          <cell r="A36" t="str">
            <v>ATL-BUF</v>
          </cell>
          <cell r="B36">
            <v>21</v>
          </cell>
          <cell r="D36">
            <v>21</v>
          </cell>
          <cell r="F36">
            <v>20</v>
          </cell>
          <cell r="H36">
            <v>20</v>
          </cell>
          <cell r="J36">
            <v>20</v>
          </cell>
          <cell r="L36">
            <v>21</v>
          </cell>
          <cell r="N36">
            <v>21</v>
          </cell>
          <cell r="P36">
            <v>144</v>
          </cell>
        </row>
        <row r="37">
          <cell r="A37" t="str">
            <v>ATL-BWI</v>
          </cell>
          <cell r="B37">
            <v>29</v>
          </cell>
          <cell r="C37">
            <v>28</v>
          </cell>
          <cell r="D37">
            <v>29</v>
          </cell>
          <cell r="E37">
            <v>28</v>
          </cell>
          <cell r="F37">
            <v>31</v>
          </cell>
          <cell r="G37">
            <v>27</v>
          </cell>
          <cell r="H37">
            <v>41</v>
          </cell>
          <cell r="I37">
            <v>20</v>
          </cell>
          <cell r="J37">
            <v>41</v>
          </cell>
          <cell r="K37">
            <v>20</v>
          </cell>
          <cell r="L37">
            <v>34</v>
          </cell>
          <cell r="M37">
            <v>32</v>
          </cell>
          <cell r="N37">
            <v>34</v>
          </cell>
          <cell r="O37">
            <v>32</v>
          </cell>
          <cell r="P37">
            <v>426</v>
          </cell>
        </row>
        <row r="38">
          <cell r="A38" t="str">
            <v>ATL-CAK</v>
          </cell>
          <cell r="B38">
            <v>28</v>
          </cell>
          <cell r="D38">
            <v>28</v>
          </cell>
          <cell r="F38">
            <v>26</v>
          </cell>
          <cell r="H38">
            <v>27</v>
          </cell>
          <cell r="J38">
            <v>27</v>
          </cell>
          <cell r="L38">
            <v>30</v>
          </cell>
          <cell r="N38">
            <v>30</v>
          </cell>
          <cell r="P38">
            <v>196</v>
          </cell>
        </row>
        <row r="39">
          <cell r="A39" t="str">
            <v>ATL-CLT</v>
          </cell>
          <cell r="B39">
            <v>21</v>
          </cell>
          <cell r="D39">
            <v>21</v>
          </cell>
          <cell r="F39">
            <v>23</v>
          </cell>
          <cell r="P39">
            <v>65</v>
          </cell>
        </row>
        <row r="40">
          <cell r="A40" t="str">
            <v>ATL-CMH</v>
          </cell>
          <cell r="B40">
            <v>14</v>
          </cell>
          <cell r="D40">
            <v>14</v>
          </cell>
          <cell r="F40">
            <v>14</v>
          </cell>
          <cell r="H40">
            <v>14</v>
          </cell>
          <cell r="J40">
            <v>14</v>
          </cell>
          <cell r="L40">
            <v>15</v>
          </cell>
          <cell r="N40">
            <v>15</v>
          </cell>
          <cell r="P40">
            <v>100</v>
          </cell>
        </row>
        <row r="41">
          <cell r="A41" t="str">
            <v>ATL-CUN</v>
          </cell>
          <cell r="B41">
            <v>15</v>
          </cell>
          <cell r="D41">
            <v>15</v>
          </cell>
          <cell r="F41">
            <v>16</v>
          </cell>
          <cell r="H41">
            <v>15</v>
          </cell>
          <cell r="J41">
            <v>15</v>
          </cell>
          <cell r="L41">
            <v>14</v>
          </cell>
          <cell r="N41">
            <v>14</v>
          </cell>
          <cell r="P41">
            <v>104</v>
          </cell>
        </row>
        <row r="42">
          <cell r="A42" t="str">
            <v>ATL-DAY</v>
          </cell>
          <cell r="B42">
            <v>20</v>
          </cell>
          <cell r="D42">
            <v>20</v>
          </cell>
          <cell r="F42">
            <v>21</v>
          </cell>
          <cell r="H42">
            <v>21</v>
          </cell>
          <cell r="J42">
            <v>21</v>
          </cell>
          <cell r="L42">
            <v>21</v>
          </cell>
          <cell r="N42">
            <v>21</v>
          </cell>
          <cell r="P42">
            <v>145</v>
          </cell>
        </row>
        <row r="43">
          <cell r="A43" t="str">
            <v>ATL-DCA</v>
          </cell>
          <cell r="B43">
            <v>41</v>
          </cell>
          <cell r="D43">
            <v>41</v>
          </cell>
          <cell r="F43">
            <v>41</v>
          </cell>
          <cell r="H43">
            <v>40</v>
          </cell>
          <cell r="J43">
            <v>40</v>
          </cell>
          <cell r="L43">
            <v>42</v>
          </cell>
          <cell r="N43">
            <v>42</v>
          </cell>
          <cell r="P43">
            <v>287</v>
          </cell>
        </row>
        <row r="44">
          <cell r="A44" t="str">
            <v>ATL-DEN</v>
          </cell>
          <cell r="B44">
            <v>14</v>
          </cell>
          <cell r="C44">
            <v>14</v>
          </cell>
          <cell r="D44">
            <v>13</v>
          </cell>
          <cell r="E44">
            <v>14</v>
          </cell>
          <cell r="F44">
            <v>14</v>
          </cell>
          <cell r="G44">
            <v>13</v>
          </cell>
          <cell r="H44">
            <v>14</v>
          </cell>
          <cell r="I44">
            <v>13</v>
          </cell>
          <cell r="J44">
            <v>14</v>
          </cell>
          <cell r="K44">
            <v>13</v>
          </cell>
          <cell r="L44">
            <v>14</v>
          </cell>
          <cell r="M44">
            <v>14</v>
          </cell>
          <cell r="N44">
            <v>14</v>
          </cell>
          <cell r="O44">
            <v>14</v>
          </cell>
          <cell r="P44">
            <v>192</v>
          </cell>
        </row>
        <row r="45">
          <cell r="A45" t="str">
            <v>ATL-DTW</v>
          </cell>
          <cell r="B45">
            <v>23</v>
          </cell>
          <cell r="D45">
            <v>23</v>
          </cell>
          <cell r="F45">
            <v>21</v>
          </cell>
          <cell r="H45">
            <v>29</v>
          </cell>
          <cell r="J45">
            <v>27</v>
          </cell>
          <cell r="L45">
            <v>27</v>
          </cell>
          <cell r="N45">
            <v>27</v>
          </cell>
          <cell r="P45">
            <v>177</v>
          </cell>
        </row>
        <row r="46">
          <cell r="A46" t="str">
            <v>ATL-FLL</v>
          </cell>
          <cell r="B46">
            <v>58</v>
          </cell>
          <cell r="D46">
            <v>55</v>
          </cell>
          <cell r="F46">
            <v>56</v>
          </cell>
          <cell r="H46">
            <v>56</v>
          </cell>
          <cell r="J46">
            <v>56</v>
          </cell>
          <cell r="L46">
            <v>55</v>
          </cell>
          <cell r="N46">
            <v>55</v>
          </cell>
          <cell r="P46">
            <v>391</v>
          </cell>
        </row>
        <row r="47">
          <cell r="A47" t="str">
            <v>ATL-FNT</v>
          </cell>
          <cell r="B47">
            <v>14</v>
          </cell>
          <cell r="D47">
            <v>14</v>
          </cell>
          <cell r="F47">
            <v>14</v>
          </cell>
          <cell r="P47">
            <v>42</v>
          </cell>
        </row>
        <row r="48">
          <cell r="A48" t="str">
            <v>ATL-HOU</v>
          </cell>
          <cell r="B48">
            <v>34</v>
          </cell>
          <cell r="C48">
            <v>27</v>
          </cell>
          <cell r="D48">
            <v>34</v>
          </cell>
          <cell r="E48">
            <v>27</v>
          </cell>
          <cell r="F48">
            <v>34</v>
          </cell>
          <cell r="G48">
            <v>21</v>
          </cell>
          <cell r="H48">
            <v>33</v>
          </cell>
          <cell r="I48">
            <v>21</v>
          </cell>
          <cell r="J48">
            <v>33</v>
          </cell>
          <cell r="K48">
            <v>21</v>
          </cell>
          <cell r="L48">
            <v>34</v>
          </cell>
          <cell r="M48">
            <v>21</v>
          </cell>
          <cell r="N48">
            <v>34</v>
          </cell>
          <cell r="O48">
            <v>21</v>
          </cell>
          <cell r="P48">
            <v>395</v>
          </cell>
        </row>
        <row r="49">
          <cell r="A49" t="str">
            <v>ATL-ICT</v>
          </cell>
          <cell r="B49">
            <v>21</v>
          </cell>
          <cell r="D49">
            <v>21</v>
          </cell>
          <cell r="F49">
            <v>20</v>
          </cell>
          <cell r="H49">
            <v>20</v>
          </cell>
          <cell r="J49">
            <v>20</v>
          </cell>
          <cell r="P49">
            <v>102</v>
          </cell>
        </row>
        <row r="50">
          <cell r="A50" t="str">
            <v>ATL-IND</v>
          </cell>
          <cell r="B50">
            <v>21</v>
          </cell>
          <cell r="D50">
            <v>21</v>
          </cell>
          <cell r="F50">
            <v>23</v>
          </cell>
          <cell r="H50">
            <v>21</v>
          </cell>
          <cell r="J50">
            <v>21</v>
          </cell>
          <cell r="L50">
            <v>27</v>
          </cell>
          <cell r="N50">
            <v>27</v>
          </cell>
          <cell r="P50">
            <v>161</v>
          </cell>
        </row>
        <row r="51">
          <cell r="A51" t="str">
            <v>ATL-JAX</v>
          </cell>
          <cell r="B51">
            <v>27</v>
          </cell>
          <cell r="D51">
            <v>27</v>
          </cell>
          <cell r="F51">
            <v>29</v>
          </cell>
          <cell r="H51">
            <v>28</v>
          </cell>
          <cell r="J51">
            <v>28</v>
          </cell>
          <cell r="L51">
            <v>28</v>
          </cell>
          <cell r="N51">
            <v>28</v>
          </cell>
          <cell r="P51">
            <v>195</v>
          </cell>
        </row>
        <row r="52">
          <cell r="A52" t="str">
            <v>ATL-LAS</v>
          </cell>
          <cell r="B52">
            <v>13</v>
          </cell>
          <cell r="C52">
            <v>14</v>
          </cell>
          <cell r="D52">
            <v>14</v>
          </cell>
          <cell r="E52">
            <v>13</v>
          </cell>
          <cell r="F52">
            <v>14</v>
          </cell>
          <cell r="G52">
            <v>13</v>
          </cell>
          <cell r="H52">
            <v>14</v>
          </cell>
          <cell r="I52">
            <v>13</v>
          </cell>
          <cell r="J52">
            <v>14</v>
          </cell>
          <cell r="K52">
            <v>13</v>
          </cell>
          <cell r="L52">
            <v>20</v>
          </cell>
          <cell r="M52">
            <v>14</v>
          </cell>
          <cell r="N52">
            <v>13</v>
          </cell>
          <cell r="O52">
            <v>21</v>
          </cell>
          <cell r="P52">
            <v>203</v>
          </cell>
        </row>
        <row r="53">
          <cell r="A53" t="str">
            <v>ATL-LAX</v>
          </cell>
          <cell r="B53">
            <v>14</v>
          </cell>
          <cell r="C53">
            <v>7</v>
          </cell>
          <cell r="D53">
            <v>14</v>
          </cell>
          <cell r="E53">
            <v>7</v>
          </cell>
          <cell r="F53">
            <v>14</v>
          </cell>
          <cell r="G53">
            <v>7</v>
          </cell>
          <cell r="H53">
            <v>14</v>
          </cell>
          <cell r="I53">
            <v>7</v>
          </cell>
          <cell r="J53">
            <v>14</v>
          </cell>
          <cell r="K53">
            <v>7</v>
          </cell>
          <cell r="L53">
            <v>21</v>
          </cell>
          <cell r="M53">
            <v>7</v>
          </cell>
          <cell r="N53">
            <v>21</v>
          </cell>
          <cell r="O53">
            <v>7</v>
          </cell>
          <cell r="P53">
            <v>161</v>
          </cell>
        </row>
        <row r="54">
          <cell r="A54" t="str">
            <v>ATL-LGA</v>
          </cell>
          <cell r="B54">
            <v>54</v>
          </cell>
          <cell r="D54">
            <v>54</v>
          </cell>
          <cell r="F54">
            <v>52</v>
          </cell>
          <cell r="H54">
            <v>54</v>
          </cell>
          <cell r="J54">
            <v>54</v>
          </cell>
          <cell r="L54">
            <v>40</v>
          </cell>
          <cell r="N54">
            <v>40</v>
          </cell>
          <cell r="P54">
            <v>348</v>
          </cell>
        </row>
        <row r="55">
          <cell r="A55" t="str">
            <v>ATL-MBJ</v>
          </cell>
          <cell r="B55">
            <v>7</v>
          </cell>
          <cell r="D55">
            <v>7</v>
          </cell>
          <cell r="F55">
            <v>7</v>
          </cell>
          <cell r="H55">
            <v>7</v>
          </cell>
          <cell r="J55">
            <v>7</v>
          </cell>
          <cell r="L55">
            <v>7</v>
          </cell>
          <cell r="N55">
            <v>7</v>
          </cell>
          <cell r="P55">
            <v>49</v>
          </cell>
        </row>
        <row r="56">
          <cell r="A56" t="str">
            <v>ATL-MCI</v>
          </cell>
          <cell r="B56">
            <v>21</v>
          </cell>
          <cell r="D56">
            <v>21</v>
          </cell>
          <cell r="F56">
            <v>21</v>
          </cell>
          <cell r="H56">
            <v>21</v>
          </cell>
          <cell r="J56">
            <v>21</v>
          </cell>
          <cell r="L56">
            <v>27</v>
          </cell>
          <cell r="N56">
            <v>27</v>
          </cell>
          <cell r="P56">
            <v>159</v>
          </cell>
        </row>
        <row r="57">
          <cell r="A57" t="str">
            <v>ATL-MCO</v>
          </cell>
          <cell r="B57">
            <v>62</v>
          </cell>
          <cell r="C57">
            <v>7</v>
          </cell>
          <cell r="D57">
            <v>62</v>
          </cell>
          <cell r="E57">
            <v>7</v>
          </cell>
          <cell r="F57">
            <v>61</v>
          </cell>
          <cell r="G57">
            <v>7</v>
          </cell>
          <cell r="H57">
            <v>62</v>
          </cell>
          <cell r="I57">
            <v>7</v>
          </cell>
          <cell r="J57">
            <v>62</v>
          </cell>
          <cell r="K57">
            <v>7</v>
          </cell>
          <cell r="L57">
            <v>62</v>
          </cell>
          <cell r="M57">
            <v>7</v>
          </cell>
          <cell r="N57">
            <v>62</v>
          </cell>
          <cell r="O57">
            <v>7</v>
          </cell>
          <cell r="P57">
            <v>482</v>
          </cell>
        </row>
        <row r="58">
          <cell r="A58" t="str">
            <v>ATL-MDW</v>
          </cell>
          <cell r="B58">
            <v>40</v>
          </cell>
          <cell r="C58">
            <v>27</v>
          </cell>
          <cell r="D58">
            <v>40</v>
          </cell>
          <cell r="E58">
            <v>26</v>
          </cell>
          <cell r="F58">
            <v>38</v>
          </cell>
          <cell r="G58">
            <v>28</v>
          </cell>
          <cell r="H58">
            <v>33</v>
          </cell>
          <cell r="I58">
            <v>27</v>
          </cell>
          <cell r="J58">
            <v>33</v>
          </cell>
          <cell r="K58">
            <v>27</v>
          </cell>
          <cell r="L58">
            <v>40</v>
          </cell>
          <cell r="M58">
            <v>27</v>
          </cell>
          <cell r="N58">
            <v>40</v>
          </cell>
          <cell r="O58">
            <v>27</v>
          </cell>
          <cell r="P58">
            <v>453</v>
          </cell>
        </row>
        <row r="59">
          <cell r="A59" t="str">
            <v>ATL-MEM</v>
          </cell>
          <cell r="B59">
            <v>33</v>
          </cell>
          <cell r="D59">
            <v>32</v>
          </cell>
          <cell r="F59">
            <v>34</v>
          </cell>
          <cell r="H59">
            <v>33</v>
          </cell>
          <cell r="J59">
            <v>33</v>
          </cell>
          <cell r="L59">
            <v>33</v>
          </cell>
          <cell r="N59">
            <v>33</v>
          </cell>
          <cell r="P59">
            <v>231</v>
          </cell>
        </row>
        <row r="60">
          <cell r="A60" t="str">
            <v>ATL-MKE</v>
          </cell>
          <cell r="B60">
            <v>29</v>
          </cell>
          <cell r="D60">
            <v>30</v>
          </cell>
          <cell r="F60">
            <v>29</v>
          </cell>
          <cell r="H60">
            <v>34</v>
          </cell>
          <cell r="J60">
            <v>34</v>
          </cell>
          <cell r="L60">
            <v>34</v>
          </cell>
          <cell r="N60">
            <v>34</v>
          </cell>
          <cell r="P60">
            <v>224</v>
          </cell>
        </row>
        <row r="61">
          <cell r="A61" t="str">
            <v>ATL-MSP</v>
          </cell>
          <cell r="B61">
            <v>28</v>
          </cell>
          <cell r="D61">
            <v>28</v>
          </cell>
          <cell r="F61">
            <v>31</v>
          </cell>
          <cell r="H61">
            <v>27</v>
          </cell>
          <cell r="J61">
            <v>27</v>
          </cell>
          <cell r="L61">
            <v>28</v>
          </cell>
          <cell r="N61">
            <v>28</v>
          </cell>
          <cell r="P61">
            <v>197</v>
          </cell>
        </row>
        <row r="62">
          <cell r="A62" t="str">
            <v>ATL-MSY</v>
          </cell>
          <cell r="B62">
            <v>27</v>
          </cell>
          <cell r="D62">
            <v>27</v>
          </cell>
          <cell r="F62">
            <v>28</v>
          </cell>
          <cell r="H62">
            <v>27</v>
          </cell>
          <cell r="J62">
            <v>27</v>
          </cell>
          <cell r="L62">
            <v>27</v>
          </cell>
          <cell r="N62">
            <v>27</v>
          </cell>
          <cell r="P62">
            <v>190</v>
          </cell>
        </row>
        <row r="63">
          <cell r="A63" t="str">
            <v>ATL-NAS</v>
          </cell>
          <cell r="B63">
            <v>5</v>
          </cell>
          <cell r="D63">
            <v>5</v>
          </cell>
          <cell r="F63">
            <v>7</v>
          </cell>
          <cell r="H63">
            <v>7</v>
          </cell>
          <cell r="J63">
            <v>7</v>
          </cell>
          <cell r="L63">
            <v>7</v>
          </cell>
          <cell r="N63">
            <v>7</v>
          </cell>
          <cell r="P63">
            <v>45</v>
          </cell>
        </row>
        <row r="64">
          <cell r="A64" t="str">
            <v>ATL-ORF</v>
          </cell>
          <cell r="C64">
            <v>20</v>
          </cell>
          <cell r="E64">
            <v>19</v>
          </cell>
          <cell r="G64">
            <v>19</v>
          </cell>
          <cell r="I64">
            <v>20</v>
          </cell>
          <cell r="K64">
            <v>20</v>
          </cell>
          <cell r="M64">
            <v>20</v>
          </cell>
          <cell r="O64">
            <v>20</v>
          </cell>
          <cell r="P64">
            <v>138</v>
          </cell>
        </row>
        <row r="65">
          <cell r="A65" t="str">
            <v>ATL-PBI</v>
          </cell>
          <cell r="B65">
            <v>21</v>
          </cell>
          <cell r="D65">
            <v>21</v>
          </cell>
          <cell r="F65">
            <v>21</v>
          </cell>
          <cell r="H65">
            <v>14</v>
          </cell>
          <cell r="J65">
            <v>14</v>
          </cell>
          <cell r="L65">
            <v>14</v>
          </cell>
          <cell r="N65">
            <v>14</v>
          </cell>
          <cell r="P65">
            <v>119</v>
          </cell>
        </row>
        <row r="66">
          <cell r="A66" t="str">
            <v>ATL-PHL</v>
          </cell>
          <cell r="B66">
            <v>27</v>
          </cell>
          <cell r="D66">
            <v>27</v>
          </cell>
          <cell r="F66">
            <v>26</v>
          </cell>
          <cell r="H66">
            <v>27</v>
          </cell>
          <cell r="J66">
            <v>27</v>
          </cell>
          <cell r="L66">
            <v>30</v>
          </cell>
          <cell r="N66">
            <v>30</v>
          </cell>
          <cell r="P66">
            <v>194</v>
          </cell>
        </row>
        <row r="67">
          <cell r="A67" t="str">
            <v>ATL-PHX</v>
          </cell>
          <cell r="C67">
            <v>13</v>
          </cell>
          <cell r="E67">
            <v>14</v>
          </cell>
          <cell r="G67">
            <v>12</v>
          </cell>
          <cell r="I67">
            <v>14</v>
          </cell>
          <cell r="K67">
            <v>14</v>
          </cell>
          <cell r="M67">
            <v>14</v>
          </cell>
          <cell r="O67">
            <v>14</v>
          </cell>
          <cell r="P67">
            <v>95</v>
          </cell>
        </row>
        <row r="68">
          <cell r="A68" t="str">
            <v>ATL-PIT</v>
          </cell>
          <cell r="B68">
            <v>22</v>
          </cell>
          <cell r="D68">
            <v>22</v>
          </cell>
          <cell r="F68">
            <v>28</v>
          </cell>
          <cell r="H68">
            <v>27</v>
          </cell>
          <cell r="J68">
            <v>27</v>
          </cell>
          <cell r="L68">
            <v>27</v>
          </cell>
          <cell r="N68">
            <v>27</v>
          </cell>
          <cell r="P68">
            <v>180</v>
          </cell>
        </row>
        <row r="69">
          <cell r="A69" t="str">
            <v>ATL-PNS</v>
          </cell>
          <cell r="B69">
            <v>21</v>
          </cell>
          <cell r="D69">
            <v>21</v>
          </cell>
          <cell r="F69">
            <v>23</v>
          </cell>
          <cell r="H69">
            <v>21</v>
          </cell>
          <cell r="J69">
            <v>21</v>
          </cell>
          <cell r="L69">
            <v>21</v>
          </cell>
          <cell r="N69">
            <v>21</v>
          </cell>
          <cell r="P69">
            <v>149</v>
          </cell>
        </row>
        <row r="70">
          <cell r="A70" t="str">
            <v>ATL-PUJ</v>
          </cell>
          <cell r="B70">
            <v>11</v>
          </cell>
          <cell r="D70">
            <v>11</v>
          </cell>
          <cell r="F70">
            <v>11</v>
          </cell>
          <cell r="H70">
            <v>9</v>
          </cell>
          <cell r="J70">
            <v>9</v>
          </cell>
          <cell r="L70">
            <v>9</v>
          </cell>
          <cell r="N70">
            <v>9</v>
          </cell>
          <cell r="P70">
            <v>69</v>
          </cell>
        </row>
        <row r="71">
          <cell r="A71" t="str">
            <v>ATL-RDU</v>
          </cell>
          <cell r="B71">
            <v>21</v>
          </cell>
          <cell r="D71">
            <v>21</v>
          </cell>
          <cell r="F71">
            <v>21</v>
          </cell>
          <cell r="H71">
            <v>21</v>
          </cell>
          <cell r="J71">
            <v>21</v>
          </cell>
          <cell r="L71">
            <v>21</v>
          </cell>
          <cell r="N71">
            <v>21</v>
          </cell>
          <cell r="P71">
            <v>147</v>
          </cell>
        </row>
        <row r="72">
          <cell r="A72" t="str">
            <v>ATL-RIC</v>
          </cell>
          <cell r="B72">
            <v>27</v>
          </cell>
          <cell r="D72">
            <v>27</v>
          </cell>
          <cell r="F72">
            <v>27</v>
          </cell>
          <cell r="H72">
            <v>26</v>
          </cell>
          <cell r="J72">
            <v>26</v>
          </cell>
          <cell r="L72">
            <v>26</v>
          </cell>
          <cell r="N72">
            <v>26</v>
          </cell>
          <cell r="P72">
            <v>185</v>
          </cell>
        </row>
        <row r="73">
          <cell r="A73" t="str">
            <v>ATL-ROC</v>
          </cell>
          <cell r="B73">
            <v>14</v>
          </cell>
          <cell r="D73">
            <v>14</v>
          </cell>
          <cell r="F73">
            <v>16</v>
          </cell>
          <cell r="P73">
            <v>44</v>
          </cell>
        </row>
        <row r="74">
          <cell r="A74" t="str">
            <v>ATL-RSW</v>
          </cell>
          <cell r="B74">
            <v>28</v>
          </cell>
          <cell r="D74">
            <v>28</v>
          </cell>
          <cell r="F74">
            <v>32</v>
          </cell>
          <cell r="H74">
            <v>34</v>
          </cell>
          <cell r="J74">
            <v>34</v>
          </cell>
          <cell r="L74">
            <v>29</v>
          </cell>
          <cell r="N74">
            <v>29</v>
          </cell>
          <cell r="P74">
            <v>214</v>
          </cell>
        </row>
        <row r="75">
          <cell r="A75" t="str">
            <v>ATL-SAT</v>
          </cell>
          <cell r="B75">
            <v>26</v>
          </cell>
          <cell r="D75">
            <v>26</v>
          </cell>
          <cell r="F75">
            <v>26</v>
          </cell>
          <cell r="H75">
            <v>26</v>
          </cell>
          <cell r="J75">
            <v>26</v>
          </cell>
          <cell r="L75">
            <v>27</v>
          </cell>
          <cell r="N75">
            <v>27</v>
          </cell>
          <cell r="P75">
            <v>184</v>
          </cell>
        </row>
        <row r="76">
          <cell r="A76" t="str">
            <v>ATL-SDF</v>
          </cell>
          <cell r="C76">
            <v>19</v>
          </cell>
          <cell r="E76">
            <v>19</v>
          </cell>
          <cell r="G76">
            <v>19</v>
          </cell>
          <cell r="I76">
            <v>20</v>
          </cell>
          <cell r="K76">
            <v>20</v>
          </cell>
          <cell r="M76">
            <v>20</v>
          </cell>
          <cell r="O76">
            <v>20</v>
          </cell>
          <cell r="P76">
            <v>137</v>
          </cell>
        </row>
        <row r="77">
          <cell r="A77" t="str">
            <v>ATL-SEA</v>
          </cell>
          <cell r="M77">
            <v>7</v>
          </cell>
          <cell r="O77">
            <v>7</v>
          </cell>
          <cell r="P77">
            <v>14</v>
          </cell>
        </row>
        <row r="78">
          <cell r="A78" t="str">
            <v>ATL-SFO</v>
          </cell>
          <cell r="B78">
            <v>7</v>
          </cell>
          <cell r="C78">
            <v>7</v>
          </cell>
          <cell r="D78">
            <v>7</v>
          </cell>
          <cell r="E78">
            <v>7</v>
          </cell>
          <cell r="F78">
            <v>7</v>
          </cell>
          <cell r="G78">
            <v>7</v>
          </cell>
          <cell r="H78">
            <v>7</v>
          </cell>
          <cell r="I78">
            <v>7</v>
          </cell>
          <cell r="J78">
            <v>7</v>
          </cell>
          <cell r="K78">
            <v>7</v>
          </cell>
          <cell r="L78">
            <v>14</v>
          </cell>
          <cell r="M78">
            <v>7</v>
          </cell>
          <cell r="N78">
            <v>14</v>
          </cell>
          <cell r="O78">
            <v>7</v>
          </cell>
          <cell r="P78">
            <v>112</v>
          </cell>
        </row>
        <row r="79">
          <cell r="A79" t="str">
            <v>ATL-SJU</v>
          </cell>
          <cell r="B79">
            <v>7</v>
          </cell>
          <cell r="D79">
            <v>7</v>
          </cell>
          <cell r="F79">
            <v>9</v>
          </cell>
          <cell r="H79">
            <v>9</v>
          </cell>
          <cell r="J79">
            <v>9</v>
          </cell>
          <cell r="L79">
            <v>14</v>
          </cell>
          <cell r="N79">
            <v>14</v>
          </cell>
          <cell r="P79">
            <v>69</v>
          </cell>
        </row>
        <row r="80">
          <cell r="A80" t="str">
            <v>ATL-STL</v>
          </cell>
          <cell r="B80">
            <v>21</v>
          </cell>
          <cell r="D80">
            <v>21</v>
          </cell>
          <cell r="F80">
            <v>21</v>
          </cell>
          <cell r="H80">
            <v>27</v>
          </cell>
          <cell r="J80">
            <v>27</v>
          </cell>
          <cell r="L80">
            <v>27</v>
          </cell>
          <cell r="N80">
            <v>27</v>
          </cell>
          <cell r="P80">
            <v>171</v>
          </cell>
        </row>
        <row r="81">
          <cell r="A81" t="str">
            <v>ATL-TPA</v>
          </cell>
          <cell r="B81">
            <v>48</v>
          </cell>
          <cell r="D81">
            <v>48</v>
          </cell>
          <cell r="F81">
            <v>56</v>
          </cell>
          <cell r="H81">
            <v>55</v>
          </cell>
          <cell r="J81">
            <v>55</v>
          </cell>
          <cell r="L81">
            <v>56</v>
          </cell>
          <cell r="N81">
            <v>56</v>
          </cell>
          <cell r="P81">
            <v>374</v>
          </cell>
        </row>
        <row r="82">
          <cell r="A82" t="str">
            <v>AUA-ATL</v>
          </cell>
          <cell r="B82">
            <v>4</v>
          </cell>
          <cell r="D82">
            <v>4</v>
          </cell>
          <cell r="F82">
            <v>4</v>
          </cell>
          <cell r="H82">
            <v>4</v>
          </cell>
          <cell r="J82">
            <v>4</v>
          </cell>
          <cell r="L82">
            <v>4</v>
          </cell>
          <cell r="N82">
            <v>4</v>
          </cell>
          <cell r="P82">
            <v>28</v>
          </cell>
        </row>
        <row r="83">
          <cell r="A83" t="str">
            <v>AUA-BWI</v>
          </cell>
          <cell r="B83">
            <v>5</v>
          </cell>
          <cell r="D83">
            <v>5</v>
          </cell>
          <cell r="F83">
            <v>5</v>
          </cell>
          <cell r="H83">
            <v>5</v>
          </cell>
          <cell r="J83">
            <v>5</v>
          </cell>
          <cell r="L83">
            <v>5</v>
          </cell>
          <cell r="N83">
            <v>5</v>
          </cell>
          <cell r="P83">
            <v>35</v>
          </cell>
        </row>
        <row r="84">
          <cell r="A84" t="str">
            <v>AUA-MCO</v>
          </cell>
          <cell r="B84">
            <v>2</v>
          </cell>
          <cell r="D84">
            <v>2</v>
          </cell>
          <cell r="F84">
            <v>2</v>
          </cell>
          <cell r="H84">
            <v>2</v>
          </cell>
          <cell r="J84">
            <v>2</v>
          </cell>
          <cell r="L84">
            <v>2</v>
          </cell>
          <cell r="N84">
            <v>2</v>
          </cell>
          <cell r="P84">
            <v>14</v>
          </cell>
        </row>
        <row r="85">
          <cell r="A85" t="str">
            <v>AUS-ATL</v>
          </cell>
          <cell r="C85">
            <v>13</v>
          </cell>
          <cell r="E85">
            <v>14</v>
          </cell>
          <cell r="G85">
            <v>14</v>
          </cell>
          <cell r="I85">
            <v>13</v>
          </cell>
          <cell r="K85">
            <v>13</v>
          </cell>
          <cell r="M85">
            <v>14</v>
          </cell>
          <cell r="O85">
            <v>14</v>
          </cell>
          <cell r="P85">
            <v>95</v>
          </cell>
        </row>
        <row r="86">
          <cell r="A86" t="str">
            <v>AUS-BNA</v>
          </cell>
          <cell r="C86">
            <v>13</v>
          </cell>
          <cell r="E86">
            <v>13</v>
          </cell>
          <cell r="G86">
            <v>14</v>
          </cell>
          <cell r="I86">
            <v>14</v>
          </cell>
          <cell r="K86">
            <v>14</v>
          </cell>
          <cell r="M86">
            <v>14</v>
          </cell>
          <cell r="O86">
            <v>14</v>
          </cell>
          <cell r="P86">
            <v>96</v>
          </cell>
        </row>
        <row r="87">
          <cell r="A87" t="str">
            <v>AUS-BWI</v>
          </cell>
          <cell r="C87">
            <v>13</v>
          </cell>
          <cell r="E87">
            <v>13</v>
          </cell>
          <cell r="G87">
            <v>14</v>
          </cell>
          <cell r="I87">
            <v>14</v>
          </cell>
          <cell r="K87">
            <v>14</v>
          </cell>
          <cell r="M87">
            <v>20</v>
          </cell>
          <cell r="O87">
            <v>20</v>
          </cell>
          <cell r="P87">
            <v>108</v>
          </cell>
        </row>
        <row r="88">
          <cell r="A88" t="str">
            <v>AUS-CUN</v>
          </cell>
          <cell r="B88">
            <v>3</v>
          </cell>
          <cell r="D88">
            <v>3</v>
          </cell>
          <cell r="F88">
            <v>5</v>
          </cell>
          <cell r="H88">
            <v>3</v>
          </cell>
          <cell r="J88">
            <v>3</v>
          </cell>
          <cell r="L88">
            <v>4</v>
          </cell>
          <cell r="N88">
            <v>4</v>
          </cell>
          <cell r="P88">
            <v>25</v>
          </cell>
        </row>
        <row r="89">
          <cell r="A89" t="str">
            <v>AUS-DAL</v>
          </cell>
          <cell r="C89">
            <v>76</v>
          </cell>
          <cell r="E89">
            <v>76</v>
          </cell>
          <cell r="G89">
            <v>77</v>
          </cell>
          <cell r="I89">
            <v>75</v>
          </cell>
          <cell r="K89">
            <v>75</v>
          </cell>
          <cell r="M89">
            <v>77</v>
          </cell>
          <cell r="O89">
            <v>77</v>
          </cell>
          <cell r="P89">
            <v>533</v>
          </cell>
        </row>
        <row r="90">
          <cell r="A90" t="str">
            <v>AUS-DCA</v>
          </cell>
          <cell r="C90">
            <v>7</v>
          </cell>
          <cell r="E90">
            <v>7</v>
          </cell>
          <cell r="G90">
            <v>7</v>
          </cell>
          <cell r="I90">
            <v>7</v>
          </cell>
          <cell r="K90">
            <v>7</v>
          </cell>
          <cell r="M90">
            <v>7</v>
          </cell>
          <cell r="O90">
            <v>7</v>
          </cell>
          <cell r="P90">
            <v>49</v>
          </cell>
        </row>
        <row r="91">
          <cell r="A91" t="str">
            <v>AUS-DEN</v>
          </cell>
          <cell r="C91">
            <v>20</v>
          </cell>
          <cell r="E91">
            <v>20</v>
          </cell>
          <cell r="G91">
            <v>20</v>
          </cell>
          <cell r="I91">
            <v>20</v>
          </cell>
          <cell r="K91">
            <v>20</v>
          </cell>
          <cell r="M91">
            <v>20</v>
          </cell>
          <cell r="O91">
            <v>20</v>
          </cell>
          <cell r="P91">
            <v>140</v>
          </cell>
        </row>
        <row r="92">
          <cell r="A92" t="str">
            <v>AUS-ELP</v>
          </cell>
          <cell r="C92">
            <v>19</v>
          </cell>
          <cell r="E92">
            <v>19</v>
          </cell>
          <cell r="G92">
            <v>25</v>
          </cell>
          <cell r="I92">
            <v>26</v>
          </cell>
          <cell r="K92">
            <v>26</v>
          </cell>
          <cell r="M92">
            <v>20</v>
          </cell>
          <cell r="O92">
            <v>20</v>
          </cell>
          <cell r="P92">
            <v>155</v>
          </cell>
        </row>
        <row r="93">
          <cell r="A93" t="str">
            <v>AUS-EWR</v>
          </cell>
          <cell r="G93">
            <v>7</v>
          </cell>
          <cell r="I93">
            <v>7</v>
          </cell>
          <cell r="K93">
            <v>7</v>
          </cell>
          <cell r="M93">
            <v>7</v>
          </cell>
          <cell r="O93">
            <v>7</v>
          </cell>
          <cell r="P93">
            <v>35</v>
          </cell>
        </row>
        <row r="94">
          <cell r="A94" t="str">
            <v>AUS-FLL</v>
          </cell>
          <cell r="C94">
            <v>7</v>
          </cell>
          <cell r="E94">
            <v>7</v>
          </cell>
          <cell r="G94">
            <v>7</v>
          </cell>
          <cell r="I94">
            <v>7</v>
          </cell>
          <cell r="K94">
            <v>7</v>
          </cell>
          <cell r="M94">
            <v>7</v>
          </cell>
          <cell r="O94">
            <v>7</v>
          </cell>
          <cell r="P94">
            <v>49</v>
          </cell>
        </row>
        <row r="95">
          <cell r="A95" t="str">
            <v>AUS-HOU</v>
          </cell>
          <cell r="B95">
            <v>3</v>
          </cell>
          <cell r="C95">
            <v>33</v>
          </cell>
          <cell r="D95">
            <v>3</v>
          </cell>
          <cell r="E95">
            <v>33</v>
          </cell>
          <cell r="F95">
            <v>5</v>
          </cell>
          <cell r="G95">
            <v>33</v>
          </cell>
          <cell r="H95">
            <v>3</v>
          </cell>
          <cell r="I95">
            <v>33</v>
          </cell>
          <cell r="J95">
            <v>3</v>
          </cell>
          <cell r="K95">
            <v>33</v>
          </cell>
          <cell r="L95">
            <v>4</v>
          </cell>
          <cell r="M95">
            <v>32</v>
          </cell>
          <cell r="N95">
            <v>4</v>
          </cell>
          <cell r="O95">
            <v>32</v>
          </cell>
          <cell r="P95">
            <v>254</v>
          </cell>
        </row>
        <row r="96">
          <cell r="A96" t="str">
            <v>AUS-HRL</v>
          </cell>
          <cell r="C96">
            <v>7</v>
          </cell>
          <cell r="E96">
            <v>7</v>
          </cell>
          <cell r="G96">
            <v>7</v>
          </cell>
          <cell r="I96">
            <v>7</v>
          </cell>
          <cell r="K96">
            <v>7</v>
          </cell>
          <cell r="M96">
            <v>7</v>
          </cell>
          <cell r="O96">
            <v>7</v>
          </cell>
          <cell r="P96">
            <v>49</v>
          </cell>
        </row>
        <row r="97">
          <cell r="A97" t="str">
            <v>AUS-LAS</v>
          </cell>
          <cell r="C97">
            <v>20</v>
          </cell>
          <cell r="E97">
            <v>20</v>
          </cell>
          <cell r="G97">
            <v>21</v>
          </cell>
          <cell r="I97">
            <v>21</v>
          </cell>
          <cell r="K97">
            <v>21</v>
          </cell>
          <cell r="M97">
            <v>21</v>
          </cell>
          <cell r="O97">
            <v>21</v>
          </cell>
          <cell r="P97">
            <v>145</v>
          </cell>
        </row>
        <row r="98">
          <cell r="A98" t="str">
            <v>AUS-LAX</v>
          </cell>
          <cell r="C98">
            <v>7</v>
          </cell>
          <cell r="E98">
            <v>7</v>
          </cell>
          <cell r="G98">
            <v>14</v>
          </cell>
          <cell r="I98">
            <v>14</v>
          </cell>
          <cell r="K98">
            <v>14</v>
          </cell>
          <cell r="M98">
            <v>14</v>
          </cell>
          <cell r="O98">
            <v>14</v>
          </cell>
          <cell r="P98">
            <v>84</v>
          </cell>
        </row>
        <row r="99">
          <cell r="A99" t="str">
            <v>AUS-LBB</v>
          </cell>
          <cell r="C99">
            <v>7</v>
          </cell>
          <cell r="E99">
            <v>7</v>
          </cell>
          <cell r="G99">
            <v>12</v>
          </cell>
          <cell r="I99">
            <v>13</v>
          </cell>
          <cell r="K99">
            <v>13</v>
          </cell>
          <cell r="M99">
            <v>7</v>
          </cell>
          <cell r="O99">
            <v>7</v>
          </cell>
          <cell r="P99">
            <v>66</v>
          </cell>
        </row>
        <row r="100">
          <cell r="A100" t="str">
            <v>AUS-MCO</v>
          </cell>
          <cell r="C100">
            <v>7</v>
          </cell>
          <cell r="E100">
            <v>7</v>
          </cell>
          <cell r="G100">
            <v>14</v>
          </cell>
          <cell r="I100">
            <v>14</v>
          </cell>
          <cell r="K100">
            <v>14</v>
          </cell>
          <cell r="M100">
            <v>14</v>
          </cell>
          <cell r="O100">
            <v>14</v>
          </cell>
          <cell r="P100">
            <v>84</v>
          </cell>
        </row>
        <row r="101">
          <cell r="A101" t="str">
            <v>AUS-MDW</v>
          </cell>
          <cell r="C101">
            <v>12</v>
          </cell>
          <cell r="E101">
            <v>12</v>
          </cell>
          <cell r="G101">
            <v>19</v>
          </cell>
          <cell r="I101">
            <v>19</v>
          </cell>
          <cell r="K101">
            <v>19</v>
          </cell>
          <cell r="M101">
            <v>19</v>
          </cell>
          <cell r="O101">
            <v>19</v>
          </cell>
          <cell r="P101">
            <v>119</v>
          </cell>
        </row>
        <row r="102">
          <cell r="A102" t="str">
            <v>AUS-OAK</v>
          </cell>
          <cell r="C102">
            <v>6</v>
          </cell>
          <cell r="E102">
            <v>6</v>
          </cell>
          <cell r="G102">
            <v>7</v>
          </cell>
          <cell r="I102">
            <v>6</v>
          </cell>
          <cell r="K102">
            <v>6</v>
          </cell>
          <cell r="M102">
            <v>7</v>
          </cell>
          <cell r="O102">
            <v>7</v>
          </cell>
          <cell r="P102">
            <v>45</v>
          </cell>
        </row>
        <row r="103">
          <cell r="A103" t="str">
            <v>AUS-PDX</v>
          </cell>
          <cell r="M103">
            <v>7</v>
          </cell>
          <cell r="O103">
            <v>7</v>
          </cell>
          <cell r="P103">
            <v>14</v>
          </cell>
        </row>
        <row r="104">
          <cell r="A104" t="str">
            <v>AUS-PHX</v>
          </cell>
          <cell r="C104">
            <v>25</v>
          </cell>
          <cell r="E104">
            <v>25</v>
          </cell>
          <cell r="G104">
            <v>26</v>
          </cell>
          <cell r="I104">
            <v>26</v>
          </cell>
          <cell r="K104">
            <v>26</v>
          </cell>
          <cell r="M104">
            <v>26</v>
          </cell>
          <cell r="O104">
            <v>26</v>
          </cell>
          <cell r="P104">
            <v>180</v>
          </cell>
        </row>
        <row r="105">
          <cell r="A105" t="str">
            <v>AUS-SAN</v>
          </cell>
          <cell r="C105">
            <v>13</v>
          </cell>
          <cell r="E105">
            <v>13</v>
          </cell>
          <cell r="G105">
            <v>13</v>
          </cell>
          <cell r="I105">
            <v>13</v>
          </cell>
          <cell r="K105">
            <v>13</v>
          </cell>
          <cell r="M105">
            <v>14</v>
          </cell>
          <cell r="O105">
            <v>14</v>
          </cell>
          <cell r="P105">
            <v>93</v>
          </cell>
        </row>
        <row r="106">
          <cell r="A106" t="str">
            <v>AUS-SJC</v>
          </cell>
          <cell r="C106">
            <v>12</v>
          </cell>
          <cell r="E106">
            <v>12</v>
          </cell>
          <cell r="G106">
            <v>13</v>
          </cell>
          <cell r="I106">
            <v>12</v>
          </cell>
          <cell r="K106">
            <v>12</v>
          </cell>
          <cell r="M106">
            <v>13</v>
          </cell>
          <cell r="O106">
            <v>13</v>
          </cell>
          <cell r="P106">
            <v>87</v>
          </cell>
        </row>
        <row r="107">
          <cell r="A107" t="str">
            <v>AUS-TPA</v>
          </cell>
          <cell r="C107">
            <v>6</v>
          </cell>
          <cell r="E107">
            <v>6</v>
          </cell>
          <cell r="G107">
            <v>7</v>
          </cell>
          <cell r="I107">
            <v>7</v>
          </cell>
          <cell r="K107">
            <v>7</v>
          </cell>
          <cell r="M107">
            <v>7</v>
          </cell>
          <cell r="O107">
            <v>7</v>
          </cell>
          <cell r="P107">
            <v>47</v>
          </cell>
        </row>
        <row r="108">
          <cell r="A108" t="str">
            <v>BDA-BWI</v>
          </cell>
          <cell r="J108">
            <v>3</v>
          </cell>
          <cell r="L108">
            <v>7</v>
          </cell>
          <cell r="N108">
            <v>7</v>
          </cell>
          <cell r="P108">
            <v>17</v>
          </cell>
        </row>
        <row r="109">
          <cell r="A109" t="str">
            <v>BDL-BWI</v>
          </cell>
          <cell r="C109">
            <v>41</v>
          </cell>
          <cell r="E109">
            <v>41</v>
          </cell>
          <cell r="G109">
            <v>54</v>
          </cell>
          <cell r="I109">
            <v>53</v>
          </cell>
          <cell r="K109">
            <v>53</v>
          </cell>
          <cell r="M109">
            <v>53</v>
          </cell>
          <cell r="O109">
            <v>53</v>
          </cell>
          <cell r="P109">
            <v>348</v>
          </cell>
        </row>
        <row r="110">
          <cell r="A110" t="str">
            <v>BDL-DEN</v>
          </cell>
          <cell r="C110">
            <v>7</v>
          </cell>
          <cell r="E110">
            <v>7</v>
          </cell>
          <cell r="G110">
            <v>7</v>
          </cell>
          <cell r="I110">
            <v>7</v>
          </cell>
          <cell r="K110">
            <v>7</v>
          </cell>
          <cell r="M110">
            <v>7</v>
          </cell>
          <cell r="O110">
            <v>7</v>
          </cell>
          <cell r="P110">
            <v>49</v>
          </cell>
        </row>
        <row r="111">
          <cell r="A111" t="str">
            <v>BDL-FLL</v>
          </cell>
          <cell r="C111">
            <v>7</v>
          </cell>
          <cell r="E111">
            <v>7</v>
          </cell>
          <cell r="G111">
            <v>7</v>
          </cell>
          <cell r="I111">
            <v>7</v>
          </cell>
          <cell r="K111">
            <v>7</v>
          </cell>
          <cell r="M111">
            <v>7</v>
          </cell>
          <cell r="O111">
            <v>7</v>
          </cell>
          <cell r="P111">
            <v>49</v>
          </cell>
        </row>
        <row r="112">
          <cell r="A112" t="str">
            <v>BDL-LAS</v>
          </cell>
          <cell r="G112">
            <v>7</v>
          </cell>
          <cell r="I112">
            <v>7</v>
          </cell>
          <cell r="K112">
            <v>7</v>
          </cell>
          <cell r="M112">
            <v>7</v>
          </cell>
          <cell r="O112">
            <v>7</v>
          </cell>
          <cell r="P112">
            <v>35</v>
          </cell>
        </row>
        <row r="113">
          <cell r="A113" t="str">
            <v>BDL-MCO</v>
          </cell>
          <cell r="C113">
            <v>14</v>
          </cell>
          <cell r="E113">
            <v>14</v>
          </cell>
          <cell r="G113">
            <v>21</v>
          </cell>
          <cell r="I113">
            <v>21</v>
          </cell>
          <cell r="K113">
            <v>21</v>
          </cell>
          <cell r="M113">
            <v>21</v>
          </cell>
          <cell r="O113">
            <v>21</v>
          </cell>
          <cell r="P113">
            <v>133</v>
          </cell>
        </row>
        <row r="114">
          <cell r="A114" t="str">
            <v>BDL-MDW</v>
          </cell>
          <cell r="C114">
            <v>13</v>
          </cell>
          <cell r="E114">
            <v>12</v>
          </cell>
          <cell r="G114">
            <v>20</v>
          </cell>
          <cell r="I114">
            <v>19</v>
          </cell>
          <cell r="K114">
            <v>19</v>
          </cell>
          <cell r="M114">
            <v>21</v>
          </cell>
          <cell r="O114">
            <v>21</v>
          </cell>
          <cell r="P114">
            <v>125</v>
          </cell>
        </row>
        <row r="115">
          <cell r="A115" t="str">
            <v>BDL-RSW</v>
          </cell>
          <cell r="C115">
            <v>7</v>
          </cell>
          <cell r="E115">
            <v>7</v>
          </cell>
          <cell r="G115">
            <v>7</v>
          </cell>
          <cell r="I115">
            <v>6</v>
          </cell>
          <cell r="K115">
            <v>6</v>
          </cell>
          <cell r="P115">
            <v>33</v>
          </cell>
        </row>
        <row r="116">
          <cell r="A116" t="str">
            <v>BDL-TPA</v>
          </cell>
          <cell r="C116">
            <v>14</v>
          </cell>
          <cell r="E116">
            <v>14</v>
          </cell>
          <cell r="G116">
            <v>14</v>
          </cell>
          <cell r="I116">
            <v>13</v>
          </cell>
          <cell r="K116">
            <v>13</v>
          </cell>
          <cell r="M116">
            <v>14</v>
          </cell>
          <cell r="O116">
            <v>14</v>
          </cell>
          <cell r="P116">
            <v>96</v>
          </cell>
        </row>
        <row r="117">
          <cell r="A117" t="str">
            <v>BHM-BWI</v>
          </cell>
          <cell r="C117">
            <v>12</v>
          </cell>
          <cell r="E117">
            <v>12</v>
          </cell>
          <cell r="G117">
            <v>20</v>
          </cell>
          <cell r="I117">
            <v>19</v>
          </cell>
          <cell r="K117">
            <v>19</v>
          </cell>
          <cell r="M117">
            <v>20</v>
          </cell>
          <cell r="O117">
            <v>20</v>
          </cell>
          <cell r="P117">
            <v>122</v>
          </cell>
        </row>
        <row r="118">
          <cell r="A118" t="str">
            <v>BHM-DAL</v>
          </cell>
          <cell r="C118">
            <v>20</v>
          </cell>
          <cell r="E118">
            <v>20</v>
          </cell>
          <cell r="G118">
            <v>19</v>
          </cell>
          <cell r="I118">
            <v>20</v>
          </cell>
          <cell r="K118">
            <v>20</v>
          </cell>
          <cell r="M118">
            <v>20</v>
          </cell>
          <cell r="O118">
            <v>20</v>
          </cell>
          <cell r="P118">
            <v>139</v>
          </cell>
        </row>
        <row r="119">
          <cell r="A119" t="str">
            <v>BHM-FLL</v>
          </cell>
          <cell r="C119">
            <v>2</v>
          </cell>
          <cell r="P119">
            <v>2</v>
          </cell>
        </row>
        <row r="120">
          <cell r="A120" t="str">
            <v>BHM-HOU</v>
          </cell>
          <cell r="C120">
            <v>13</v>
          </cell>
          <cell r="E120">
            <v>13</v>
          </cell>
          <cell r="G120">
            <v>13</v>
          </cell>
          <cell r="I120">
            <v>13</v>
          </cell>
          <cell r="K120">
            <v>13</v>
          </cell>
          <cell r="M120">
            <v>14</v>
          </cell>
          <cell r="O120">
            <v>14</v>
          </cell>
          <cell r="P120">
            <v>93</v>
          </cell>
        </row>
        <row r="121">
          <cell r="A121" t="str">
            <v>BHM-JAX</v>
          </cell>
          <cell r="C121">
            <v>7</v>
          </cell>
          <cell r="E121">
            <v>7</v>
          </cell>
          <cell r="G121">
            <v>7</v>
          </cell>
          <cell r="I121">
            <v>6</v>
          </cell>
          <cell r="K121">
            <v>6</v>
          </cell>
          <cell r="P121">
            <v>33</v>
          </cell>
        </row>
        <row r="122">
          <cell r="A122" t="str">
            <v>BHM-LAS</v>
          </cell>
          <cell r="C122">
            <v>7</v>
          </cell>
          <cell r="E122">
            <v>7</v>
          </cell>
          <cell r="G122">
            <v>7</v>
          </cell>
          <cell r="I122">
            <v>7</v>
          </cell>
          <cell r="K122">
            <v>7</v>
          </cell>
          <cell r="M122">
            <v>7</v>
          </cell>
          <cell r="O122">
            <v>7</v>
          </cell>
          <cell r="P122">
            <v>49</v>
          </cell>
        </row>
        <row r="123">
          <cell r="A123" t="str">
            <v>BHM-MCO</v>
          </cell>
          <cell r="C123">
            <v>14</v>
          </cell>
          <cell r="E123">
            <v>14</v>
          </cell>
          <cell r="G123">
            <v>14</v>
          </cell>
          <cell r="I123">
            <v>14</v>
          </cell>
          <cell r="K123">
            <v>14</v>
          </cell>
          <cell r="M123">
            <v>14</v>
          </cell>
          <cell r="O123">
            <v>14</v>
          </cell>
          <cell r="P123">
            <v>98</v>
          </cell>
        </row>
        <row r="124">
          <cell r="A124" t="str">
            <v>BHM-MDW</v>
          </cell>
          <cell r="C124">
            <v>12</v>
          </cell>
          <cell r="E124">
            <v>12</v>
          </cell>
          <cell r="G124">
            <v>13</v>
          </cell>
          <cell r="I124">
            <v>14</v>
          </cell>
          <cell r="K124">
            <v>14</v>
          </cell>
          <cell r="M124">
            <v>14</v>
          </cell>
          <cell r="O124">
            <v>14</v>
          </cell>
          <cell r="P124">
            <v>93</v>
          </cell>
        </row>
        <row r="125">
          <cell r="A125" t="str">
            <v>BHM-MSY</v>
          </cell>
          <cell r="C125">
            <v>13</v>
          </cell>
          <cell r="E125">
            <v>13</v>
          </cell>
          <cell r="G125">
            <v>13</v>
          </cell>
          <cell r="I125">
            <v>12</v>
          </cell>
          <cell r="K125">
            <v>12</v>
          </cell>
          <cell r="P125">
            <v>63</v>
          </cell>
        </row>
        <row r="126">
          <cell r="A126" t="str">
            <v>BHM-STL</v>
          </cell>
          <cell r="C126">
            <v>7</v>
          </cell>
          <cell r="E126">
            <v>7</v>
          </cell>
          <cell r="G126">
            <v>7</v>
          </cell>
          <cell r="I126">
            <v>6</v>
          </cell>
          <cell r="K126">
            <v>6</v>
          </cell>
          <cell r="M126">
            <v>7</v>
          </cell>
          <cell r="O126">
            <v>7</v>
          </cell>
          <cell r="P126">
            <v>47</v>
          </cell>
        </row>
        <row r="127">
          <cell r="A127" t="str">
            <v>BHM-TPA</v>
          </cell>
          <cell r="C127">
            <v>13</v>
          </cell>
          <cell r="E127">
            <v>13</v>
          </cell>
          <cell r="G127">
            <v>13</v>
          </cell>
          <cell r="I127">
            <v>13</v>
          </cell>
          <cell r="K127">
            <v>13</v>
          </cell>
          <cell r="M127">
            <v>14</v>
          </cell>
          <cell r="O127">
            <v>14</v>
          </cell>
          <cell r="P127">
            <v>93</v>
          </cell>
        </row>
        <row r="128">
          <cell r="A128" t="str">
            <v>BKG-ATL</v>
          </cell>
          <cell r="B128">
            <v>7</v>
          </cell>
          <cell r="D128">
            <v>7</v>
          </cell>
          <cell r="P128">
            <v>14</v>
          </cell>
        </row>
        <row r="129">
          <cell r="A129" t="str">
            <v>BKG-DAL</v>
          </cell>
          <cell r="G129">
            <v>7</v>
          </cell>
          <cell r="I129">
            <v>7</v>
          </cell>
          <cell r="K129">
            <v>7</v>
          </cell>
          <cell r="M129">
            <v>7</v>
          </cell>
          <cell r="O129">
            <v>7</v>
          </cell>
          <cell r="P129">
            <v>35</v>
          </cell>
        </row>
        <row r="130">
          <cell r="A130" t="str">
            <v>BKG-HOU</v>
          </cell>
          <cell r="G130">
            <v>7</v>
          </cell>
          <cell r="I130">
            <v>7</v>
          </cell>
          <cell r="K130">
            <v>7</v>
          </cell>
          <cell r="M130">
            <v>7</v>
          </cell>
          <cell r="O130">
            <v>7</v>
          </cell>
          <cell r="P130">
            <v>35</v>
          </cell>
        </row>
        <row r="131">
          <cell r="A131" t="str">
            <v>BKG-MCO</v>
          </cell>
          <cell r="B131">
            <v>1</v>
          </cell>
          <cell r="D131">
            <v>1</v>
          </cell>
          <cell r="G131">
            <v>1</v>
          </cell>
          <cell r="I131">
            <v>1</v>
          </cell>
          <cell r="K131">
            <v>1</v>
          </cell>
          <cell r="M131">
            <v>1</v>
          </cell>
          <cell r="O131">
            <v>1</v>
          </cell>
          <cell r="P131">
            <v>7</v>
          </cell>
        </row>
        <row r="132">
          <cell r="A132" t="str">
            <v>BKG-MDW</v>
          </cell>
          <cell r="G132">
            <v>7</v>
          </cell>
          <cell r="I132">
            <v>7</v>
          </cell>
          <cell r="K132">
            <v>7</v>
          </cell>
          <cell r="M132">
            <v>14</v>
          </cell>
          <cell r="O132">
            <v>14</v>
          </cell>
          <cell r="P132">
            <v>49</v>
          </cell>
        </row>
        <row r="133">
          <cell r="A133" t="str">
            <v>BNA-AUS</v>
          </cell>
          <cell r="C133">
            <v>12</v>
          </cell>
          <cell r="E133">
            <v>12</v>
          </cell>
          <cell r="G133">
            <v>14</v>
          </cell>
          <cell r="I133">
            <v>14</v>
          </cell>
          <cell r="K133">
            <v>14</v>
          </cell>
          <cell r="M133">
            <v>14</v>
          </cell>
          <cell r="O133">
            <v>14</v>
          </cell>
          <cell r="P133">
            <v>94</v>
          </cell>
        </row>
        <row r="134">
          <cell r="A134" t="str">
            <v>BNA-BOS</v>
          </cell>
          <cell r="C134">
            <v>7</v>
          </cell>
          <cell r="E134">
            <v>7</v>
          </cell>
          <cell r="G134">
            <v>13</v>
          </cell>
          <cell r="I134">
            <v>13</v>
          </cell>
          <cell r="K134">
            <v>13</v>
          </cell>
          <cell r="M134">
            <v>13</v>
          </cell>
          <cell r="O134">
            <v>13</v>
          </cell>
          <cell r="P134">
            <v>79</v>
          </cell>
        </row>
        <row r="135">
          <cell r="A135" t="str">
            <v>BNA-BWI</v>
          </cell>
          <cell r="C135">
            <v>38</v>
          </cell>
          <cell r="E135">
            <v>38</v>
          </cell>
          <cell r="G135">
            <v>41</v>
          </cell>
          <cell r="I135">
            <v>40</v>
          </cell>
          <cell r="K135">
            <v>40</v>
          </cell>
          <cell r="M135">
            <v>40</v>
          </cell>
          <cell r="O135">
            <v>40</v>
          </cell>
          <cell r="P135">
            <v>277</v>
          </cell>
        </row>
        <row r="136">
          <cell r="A136" t="str">
            <v>BNA-CHS</v>
          </cell>
          <cell r="C136">
            <v>7</v>
          </cell>
          <cell r="E136">
            <v>7</v>
          </cell>
          <cell r="G136">
            <v>7</v>
          </cell>
          <cell r="I136">
            <v>7</v>
          </cell>
          <cell r="K136">
            <v>7</v>
          </cell>
          <cell r="M136">
            <v>7</v>
          </cell>
          <cell r="O136">
            <v>7</v>
          </cell>
          <cell r="P136">
            <v>49</v>
          </cell>
        </row>
        <row r="137">
          <cell r="A137" t="str">
            <v>BNA-CLE</v>
          </cell>
          <cell r="C137">
            <v>19</v>
          </cell>
          <cell r="E137">
            <v>19</v>
          </cell>
          <cell r="G137">
            <v>19</v>
          </cell>
          <cell r="I137">
            <v>13</v>
          </cell>
          <cell r="K137">
            <v>13</v>
          </cell>
          <cell r="M137">
            <v>14</v>
          </cell>
          <cell r="O137">
            <v>14</v>
          </cell>
          <cell r="P137">
            <v>111</v>
          </cell>
        </row>
        <row r="138">
          <cell r="A138" t="str">
            <v>BNA-CMH</v>
          </cell>
          <cell r="C138">
            <v>13</v>
          </cell>
          <cell r="E138">
            <v>13</v>
          </cell>
          <cell r="G138">
            <v>14</v>
          </cell>
          <cell r="I138">
            <v>14</v>
          </cell>
          <cell r="K138">
            <v>14</v>
          </cell>
          <cell r="M138">
            <v>14</v>
          </cell>
          <cell r="O138">
            <v>14</v>
          </cell>
          <cell r="P138">
            <v>96</v>
          </cell>
        </row>
        <row r="139">
          <cell r="A139" t="str">
            <v>BNA-DEN</v>
          </cell>
          <cell r="C139">
            <v>20</v>
          </cell>
          <cell r="E139">
            <v>20</v>
          </cell>
          <cell r="G139">
            <v>27</v>
          </cell>
          <cell r="I139">
            <v>25</v>
          </cell>
          <cell r="K139">
            <v>25</v>
          </cell>
          <cell r="M139">
            <v>27</v>
          </cell>
          <cell r="O139">
            <v>27</v>
          </cell>
          <cell r="P139">
            <v>171</v>
          </cell>
        </row>
        <row r="140">
          <cell r="A140" t="str">
            <v>BNA-DTW</v>
          </cell>
          <cell r="C140">
            <v>13</v>
          </cell>
          <cell r="E140">
            <v>13</v>
          </cell>
          <cell r="G140">
            <v>14</v>
          </cell>
          <cell r="I140">
            <v>14</v>
          </cell>
          <cell r="K140">
            <v>14</v>
          </cell>
          <cell r="M140">
            <v>14</v>
          </cell>
          <cell r="O140">
            <v>14</v>
          </cell>
          <cell r="P140">
            <v>96</v>
          </cell>
        </row>
        <row r="141">
          <cell r="A141" t="str">
            <v>BNA-ECP</v>
          </cell>
          <cell r="C141">
            <v>13</v>
          </cell>
          <cell r="E141">
            <v>13</v>
          </cell>
          <cell r="G141">
            <v>14</v>
          </cell>
          <cell r="I141">
            <v>14</v>
          </cell>
          <cell r="K141">
            <v>14</v>
          </cell>
          <cell r="M141">
            <v>14</v>
          </cell>
          <cell r="O141">
            <v>14</v>
          </cell>
          <cell r="P141">
            <v>96</v>
          </cell>
        </row>
        <row r="142">
          <cell r="A142" t="str">
            <v>BNA-EWR</v>
          </cell>
          <cell r="G142">
            <v>14</v>
          </cell>
          <cell r="I142">
            <v>14</v>
          </cell>
          <cell r="K142">
            <v>14</v>
          </cell>
          <cell r="M142">
            <v>13</v>
          </cell>
          <cell r="O142">
            <v>13</v>
          </cell>
          <cell r="P142">
            <v>68</v>
          </cell>
        </row>
        <row r="143">
          <cell r="A143" t="str">
            <v>BNA-FLL</v>
          </cell>
          <cell r="C143">
            <v>14</v>
          </cell>
          <cell r="E143">
            <v>14</v>
          </cell>
          <cell r="G143">
            <v>22</v>
          </cell>
          <cell r="I143">
            <v>20</v>
          </cell>
          <cell r="K143">
            <v>20</v>
          </cell>
          <cell r="M143">
            <v>14</v>
          </cell>
          <cell r="O143">
            <v>14</v>
          </cell>
          <cell r="P143">
            <v>118</v>
          </cell>
        </row>
        <row r="144">
          <cell r="A144" t="str">
            <v>BNA-GSP</v>
          </cell>
          <cell r="C144">
            <v>7</v>
          </cell>
          <cell r="E144">
            <v>7</v>
          </cell>
          <cell r="G144">
            <v>7</v>
          </cell>
          <cell r="I144">
            <v>7</v>
          </cell>
          <cell r="K144">
            <v>7</v>
          </cell>
          <cell r="M144">
            <v>7</v>
          </cell>
          <cell r="O144">
            <v>7</v>
          </cell>
          <cell r="P144">
            <v>49</v>
          </cell>
        </row>
        <row r="145">
          <cell r="A145" t="str">
            <v>BNA-HOU</v>
          </cell>
          <cell r="C145">
            <v>25</v>
          </cell>
          <cell r="E145">
            <v>25</v>
          </cell>
          <cell r="G145">
            <v>27</v>
          </cell>
          <cell r="I145">
            <v>27</v>
          </cell>
          <cell r="K145">
            <v>27</v>
          </cell>
          <cell r="M145">
            <v>27</v>
          </cell>
          <cell r="O145">
            <v>27</v>
          </cell>
          <cell r="P145">
            <v>185</v>
          </cell>
        </row>
        <row r="146">
          <cell r="A146" t="str">
            <v>BNA-JAX</v>
          </cell>
          <cell r="C146">
            <v>19</v>
          </cell>
          <cell r="E146">
            <v>19</v>
          </cell>
          <cell r="G146">
            <v>21</v>
          </cell>
          <cell r="I146">
            <v>26</v>
          </cell>
          <cell r="K146">
            <v>26</v>
          </cell>
          <cell r="M146">
            <v>27</v>
          </cell>
          <cell r="O146">
            <v>27</v>
          </cell>
          <cell r="P146">
            <v>165</v>
          </cell>
        </row>
        <row r="147">
          <cell r="A147" t="str">
            <v>BNA-LAS</v>
          </cell>
          <cell r="C147">
            <v>14</v>
          </cell>
          <cell r="E147">
            <v>14</v>
          </cell>
          <cell r="G147">
            <v>20</v>
          </cell>
          <cell r="I147">
            <v>20</v>
          </cell>
          <cell r="K147">
            <v>20</v>
          </cell>
          <cell r="M147">
            <v>20</v>
          </cell>
          <cell r="O147">
            <v>20</v>
          </cell>
          <cell r="P147">
            <v>128</v>
          </cell>
        </row>
        <row r="148">
          <cell r="A148" t="str">
            <v>BNA-LAX</v>
          </cell>
          <cell r="C148">
            <v>13</v>
          </cell>
          <cell r="E148">
            <v>13</v>
          </cell>
          <cell r="G148">
            <v>14</v>
          </cell>
          <cell r="I148">
            <v>14</v>
          </cell>
          <cell r="K148">
            <v>14</v>
          </cell>
          <cell r="M148">
            <v>14</v>
          </cell>
          <cell r="O148">
            <v>14</v>
          </cell>
          <cell r="P148">
            <v>96</v>
          </cell>
        </row>
        <row r="149">
          <cell r="A149" t="str">
            <v>BNA-LGA</v>
          </cell>
          <cell r="C149">
            <v>14</v>
          </cell>
          <cell r="E149">
            <v>14</v>
          </cell>
          <cell r="G149">
            <v>13</v>
          </cell>
          <cell r="I149">
            <v>14</v>
          </cell>
          <cell r="K149">
            <v>14</v>
          </cell>
          <cell r="M149">
            <v>14</v>
          </cell>
          <cell r="O149">
            <v>14</v>
          </cell>
          <cell r="P149">
            <v>97</v>
          </cell>
        </row>
        <row r="150">
          <cell r="A150" t="str">
            <v>BNA-MCI</v>
          </cell>
          <cell r="C150">
            <v>19</v>
          </cell>
          <cell r="E150">
            <v>19</v>
          </cell>
          <cell r="G150">
            <v>20</v>
          </cell>
          <cell r="I150">
            <v>26</v>
          </cell>
          <cell r="K150">
            <v>26</v>
          </cell>
          <cell r="M150">
            <v>27</v>
          </cell>
          <cell r="O150">
            <v>27</v>
          </cell>
          <cell r="P150">
            <v>164</v>
          </cell>
        </row>
        <row r="151">
          <cell r="A151" t="str">
            <v>BNA-MCO</v>
          </cell>
          <cell r="C151">
            <v>28</v>
          </cell>
          <cell r="E151">
            <v>28</v>
          </cell>
          <cell r="G151">
            <v>35</v>
          </cell>
          <cell r="I151">
            <v>34</v>
          </cell>
          <cell r="K151">
            <v>34</v>
          </cell>
          <cell r="M151">
            <v>34</v>
          </cell>
          <cell r="O151">
            <v>34</v>
          </cell>
          <cell r="P151">
            <v>227</v>
          </cell>
        </row>
        <row r="152">
          <cell r="A152" t="str">
            <v>BNA-MDW</v>
          </cell>
          <cell r="C152">
            <v>44</v>
          </cell>
          <cell r="E152">
            <v>44</v>
          </cell>
          <cell r="G152">
            <v>52</v>
          </cell>
          <cell r="I152">
            <v>51</v>
          </cell>
          <cell r="K152">
            <v>51</v>
          </cell>
          <cell r="M152">
            <v>52</v>
          </cell>
          <cell r="O152">
            <v>52</v>
          </cell>
          <cell r="P152">
            <v>346</v>
          </cell>
        </row>
        <row r="153">
          <cell r="A153" t="str">
            <v>BNA-MSY</v>
          </cell>
          <cell r="C153">
            <v>26</v>
          </cell>
          <cell r="E153">
            <v>26</v>
          </cell>
          <cell r="G153">
            <v>27</v>
          </cell>
          <cell r="I153">
            <v>26</v>
          </cell>
          <cell r="K153">
            <v>26</v>
          </cell>
          <cell r="M153">
            <v>26</v>
          </cell>
          <cell r="O153">
            <v>26</v>
          </cell>
          <cell r="P153">
            <v>183</v>
          </cell>
        </row>
        <row r="154">
          <cell r="A154" t="str">
            <v>BNA-ORF</v>
          </cell>
          <cell r="C154">
            <v>7</v>
          </cell>
          <cell r="E154">
            <v>7</v>
          </cell>
          <cell r="G154">
            <v>7</v>
          </cell>
          <cell r="I154">
            <v>7</v>
          </cell>
          <cell r="K154">
            <v>7</v>
          </cell>
          <cell r="M154">
            <v>7</v>
          </cell>
          <cell r="O154">
            <v>7</v>
          </cell>
          <cell r="P154">
            <v>49</v>
          </cell>
        </row>
        <row r="155">
          <cell r="A155" t="str">
            <v>BNA-PHL</v>
          </cell>
          <cell r="C155">
            <v>13</v>
          </cell>
          <cell r="E155">
            <v>13</v>
          </cell>
          <cell r="G155">
            <v>13</v>
          </cell>
          <cell r="I155">
            <v>14</v>
          </cell>
          <cell r="K155">
            <v>14</v>
          </cell>
          <cell r="M155">
            <v>14</v>
          </cell>
          <cell r="O155">
            <v>14</v>
          </cell>
          <cell r="P155">
            <v>95</v>
          </cell>
        </row>
        <row r="156">
          <cell r="A156" t="str">
            <v>BNA-PHX</v>
          </cell>
          <cell r="C156">
            <v>13</v>
          </cell>
          <cell r="E156">
            <v>13</v>
          </cell>
          <cell r="G156">
            <v>20</v>
          </cell>
          <cell r="I156">
            <v>13</v>
          </cell>
          <cell r="K156">
            <v>13</v>
          </cell>
          <cell r="M156">
            <v>20</v>
          </cell>
          <cell r="O156">
            <v>20</v>
          </cell>
          <cell r="P156">
            <v>112</v>
          </cell>
        </row>
        <row r="157">
          <cell r="A157" t="str">
            <v>BNA-RDU</v>
          </cell>
          <cell r="C157">
            <v>25</v>
          </cell>
          <cell r="E157">
            <v>25</v>
          </cell>
          <cell r="G157">
            <v>27</v>
          </cell>
          <cell r="I157">
            <v>26</v>
          </cell>
          <cell r="K157">
            <v>26</v>
          </cell>
          <cell r="M157">
            <v>25</v>
          </cell>
          <cell r="O157">
            <v>25</v>
          </cell>
          <cell r="P157">
            <v>179</v>
          </cell>
        </row>
        <row r="158">
          <cell r="A158" t="str">
            <v>BNA-RSW</v>
          </cell>
          <cell r="C158">
            <v>7</v>
          </cell>
          <cell r="E158">
            <v>7</v>
          </cell>
          <cell r="G158">
            <v>8</v>
          </cell>
          <cell r="P158">
            <v>22</v>
          </cell>
        </row>
        <row r="159">
          <cell r="A159" t="str">
            <v>BNA-SAN</v>
          </cell>
          <cell r="C159">
            <v>7</v>
          </cell>
          <cell r="E159">
            <v>7</v>
          </cell>
          <cell r="G159">
            <v>7</v>
          </cell>
          <cell r="I159">
            <v>7</v>
          </cell>
          <cell r="K159">
            <v>7</v>
          </cell>
          <cell r="M159">
            <v>13</v>
          </cell>
          <cell r="O159">
            <v>13</v>
          </cell>
          <cell r="P159">
            <v>61</v>
          </cell>
        </row>
        <row r="160">
          <cell r="A160" t="str">
            <v>BNA-SAT</v>
          </cell>
          <cell r="C160">
            <v>13</v>
          </cell>
          <cell r="E160">
            <v>13</v>
          </cell>
          <cell r="G160">
            <v>13</v>
          </cell>
          <cell r="I160">
            <v>13</v>
          </cell>
          <cell r="K160">
            <v>13</v>
          </cell>
          <cell r="M160">
            <v>14</v>
          </cell>
          <cell r="O160">
            <v>14</v>
          </cell>
          <cell r="P160">
            <v>93</v>
          </cell>
        </row>
        <row r="161">
          <cell r="A161" t="str">
            <v>BNA-SEA</v>
          </cell>
          <cell r="M161">
            <v>7</v>
          </cell>
          <cell r="O161">
            <v>7</v>
          </cell>
          <cell r="P161">
            <v>14</v>
          </cell>
        </row>
        <row r="162">
          <cell r="A162" t="str">
            <v>BNA-STL</v>
          </cell>
          <cell r="C162">
            <v>13</v>
          </cell>
          <cell r="E162">
            <v>13</v>
          </cell>
          <cell r="G162">
            <v>14</v>
          </cell>
          <cell r="I162">
            <v>14</v>
          </cell>
          <cell r="K162">
            <v>14</v>
          </cell>
          <cell r="M162">
            <v>14</v>
          </cell>
          <cell r="O162">
            <v>14</v>
          </cell>
          <cell r="P162">
            <v>96</v>
          </cell>
        </row>
        <row r="163">
          <cell r="A163" t="str">
            <v>BNA-TPA</v>
          </cell>
          <cell r="C163">
            <v>26</v>
          </cell>
          <cell r="E163">
            <v>26</v>
          </cell>
          <cell r="G163">
            <v>29</v>
          </cell>
          <cell r="I163">
            <v>27</v>
          </cell>
          <cell r="K163">
            <v>27</v>
          </cell>
          <cell r="M163">
            <v>28</v>
          </cell>
          <cell r="O163">
            <v>28</v>
          </cell>
          <cell r="P163">
            <v>191</v>
          </cell>
        </row>
        <row r="164">
          <cell r="A164" t="str">
            <v>BOI-DEN</v>
          </cell>
          <cell r="C164">
            <v>13</v>
          </cell>
          <cell r="E164">
            <v>13</v>
          </cell>
          <cell r="G164">
            <v>13</v>
          </cell>
          <cell r="I164">
            <v>13</v>
          </cell>
          <cell r="K164">
            <v>13</v>
          </cell>
          <cell r="M164">
            <v>14</v>
          </cell>
          <cell r="O164">
            <v>14</v>
          </cell>
          <cell r="P164">
            <v>93</v>
          </cell>
        </row>
        <row r="165">
          <cell r="A165" t="str">
            <v>BOI-GEG</v>
          </cell>
          <cell r="C165">
            <v>13</v>
          </cell>
          <cell r="E165">
            <v>13</v>
          </cell>
          <cell r="G165">
            <v>14</v>
          </cell>
          <cell r="I165">
            <v>13</v>
          </cell>
          <cell r="K165">
            <v>13</v>
          </cell>
          <cell r="M165">
            <v>12</v>
          </cell>
          <cell r="O165">
            <v>12</v>
          </cell>
          <cell r="P165">
            <v>90</v>
          </cell>
        </row>
        <row r="166">
          <cell r="A166" t="str">
            <v>BOI-LAS</v>
          </cell>
          <cell r="C166">
            <v>14</v>
          </cell>
          <cell r="E166">
            <v>14</v>
          </cell>
          <cell r="G166">
            <v>14</v>
          </cell>
          <cell r="I166">
            <v>12</v>
          </cell>
          <cell r="K166">
            <v>12</v>
          </cell>
          <cell r="M166">
            <v>14</v>
          </cell>
          <cell r="O166">
            <v>14</v>
          </cell>
          <cell r="P166">
            <v>94</v>
          </cell>
        </row>
        <row r="167">
          <cell r="A167" t="str">
            <v>BOI-OAK</v>
          </cell>
          <cell r="C167">
            <v>13</v>
          </cell>
          <cell r="E167">
            <v>13</v>
          </cell>
          <cell r="G167">
            <v>13</v>
          </cell>
          <cell r="I167">
            <v>13</v>
          </cell>
          <cell r="K167">
            <v>13</v>
          </cell>
          <cell r="M167">
            <v>14</v>
          </cell>
          <cell r="O167">
            <v>14</v>
          </cell>
          <cell r="P167">
            <v>93</v>
          </cell>
        </row>
        <row r="168">
          <cell r="A168" t="str">
            <v>BOI-PDX</v>
          </cell>
          <cell r="C168">
            <v>12</v>
          </cell>
          <cell r="E168">
            <v>12</v>
          </cell>
          <cell r="G168">
            <v>13</v>
          </cell>
          <cell r="P168">
            <v>37</v>
          </cell>
        </row>
        <row r="169">
          <cell r="A169" t="str">
            <v>BOI-PHX</v>
          </cell>
          <cell r="C169">
            <v>7</v>
          </cell>
          <cell r="E169">
            <v>7</v>
          </cell>
          <cell r="G169">
            <v>7</v>
          </cell>
          <cell r="I169">
            <v>7</v>
          </cell>
          <cell r="K169">
            <v>7</v>
          </cell>
          <cell r="M169">
            <v>7</v>
          </cell>
          <cell r="O169">
            <v>7</v>
          </cell>
          <cell r="P169">
            <v>49</v>
          </cell>
        </row>
        <row r="170">
          <cell r="A170" t="str">
            <v>BOS-ATL</v>
          </cell>
          <cell r="B170">
            <v>21</v>
          </cell>
          <cell r="D170">
            <v>21</v>
          </cell>
          <cell r="F170">
            <v>27</v>
          </cell>
          <cell r="H170">
            <v>34</v>
          </cell>
          <cell r="J170">
            <v>34</v>
          </cell>
          <cell r="L170">
            <v>34</v>
          </cell>
          <cell r="N170">
            <v>34</v>
          </cell>
          <cell r="P170">
            <v>205</v>
          </cell>
        </row>
        <row r="171">
          <cell r="A171" t="str">
            <v>BOS-BNA</v>
          </cell>
          <cell r="C171">
            <v>7</v>
          </cell>
          <cell r="E171">
            <v>7</v>
          </cell>
          <cell r="G171">
            <v>13</v>
          </cell>
          <cell r="I171">
            <v>13</v>
          </cell>
          <cell r="K171">
            <v>13</v>
          </cell>
          <cell r="M171">
            <v>13</v>
          </cell>
          <cell r="O171">
            <v>13</v>
          </cell>
          <cell r="P171">
            <v>79</v>
          </cell>
        </row>
        <row r="172">
          <cell r="A172" t="str">
            <v>BOS-BWI</v>
          </cell>
          <cell r="B172">
            <v>21</v>
          </cell>
          <cell r="C172">
            <v>53</v>
          </cell>
          <cell r="D172">
            <v>21</v>
          </cell>
          <cell r="E172">
            <v>53</v>
          </cell>
          <cell r="F172">
            <v>21</v>
          </cell>
          <cell r="G172">
            <v>54</v>
          </cell>
          <cell r="H172">
            <v>34</v>
          </cell>
          <cell r="I172">
            <v>47</v>
          </cell>
          <cell r="J172">
            <v>34</v>
          </cell>
          <cell r="K172">
            <v>47</v>
          </cell>
          <cell r="L172">
            <v>28</v>
          </cell>
          <cell r="M172">
            <v>53</v>
          </cell>
          <cell r="N172">
            <v>28</v>
          </cell>
          <cell r="O172">
            <v>53</v>
          </cell>
          <cell r="P172">
            <v>547</v>
          </cell>
        </row>
        <row r="173">
          <cell r="A173" t="str">
            <v>BOS-CAK</v>
          </cell>
          <cell r="B173">
            <v>7</v>
          </cell>
          <cell r="D173">
            <v>7</v>
          </cell>
          <cell r="F173">
            <v>7</v>
          </cell>
          <cell r="H173">
            <v>14</v>
          </cell>
          <cell r="J173">
            <v>14</v>
          </cell>
          <cell r="L173">
            <v>14</v>
          </cell>
          <cell r="N173">
            <v>14</v>
          </cell>
          <cell r="P173">
            <v>77</v>
          </cell>
        </row>
        <row r="174">
          <cell r="A174" t="str">
            <v>BOS-DEN</v>
          </cell>
          <cell r="C174">
            <v>7</v>
          </cell>
          <cell r="E174">
            <v>7</v>
          </cell>
          <cell r="G174">
            <v>13</v>
          </cell>
          <cell r="I174">
            <v>12</v>
          </cell>
          <cell r="K174">
            <v>12</v>
          </cell>
          <cell r="M174">
            <v>14</v>
          </cell>
          <cell r="O174">
            <v>14</v>
          </cell>
          <cell r="P174">
            <v>79</v>
          </cell>
        </row>
        <row r="175">
          <cell r="A175" t="str">
            <v>BOS-MCI</v>
          </cell>
          <cell r="I175">
            <v>13</v>
          </cell>
          <cell r="K175">
            <v>13</v>
          </cell>
          <cell r="M175">
            <v>13</v>
          </cell>
          <cell r="O175">
            <v>13</v>
          </cell>
          <cell r="P175">
            <v>52</v>
          </cell>
        </row>
        <row r="176">
          <cell r="A176" t="str">
            <v>BOS-MCO</v>
          </cell>
          <cell r="B176">
            <v>7</v>
          </cell>
          <cell r="D176">
            <v>7</v>
          </cell>
          <cell r="F176">
            <v>9</v>
          </cell>
          <cell r="H176">
            <v>13</v>
          </cell>
          <cell r="J176">
            <v>13</v>
          </cell>
          <cell r="L176">
            <v>13</v>
          </cell>
          <cell r="N176">
            <v>13</v>
          </cell>
          <cell r="P176">
            <v>75</v>
          </cell>
        </row>
        <row r="177">
          <cell r="A177" t="str">
            <v>BOS-MDW</v>
          </cell>
          <cell r="C177">
            <v>27</v>
          </cell>
          <cell r="E177">
            <v>27</v>
          </cell>
          <cell r="G177">
            <v>28</v>
          </cell>
          <cell r="I177">
            <v>34</v>
          </cell>
          <cell r="K177">
            <v>34</v>
          </cell>
          <cell r="M177">
            <v>34</v>
          </cell>
          <cell r="O177">
            <v>34</v>
          </cell>
          <cell r="P177">
            <v>218</v>
          </cell>
        </row>
        <row r="178">
          <cell r="A178" t="str">
            <v>BOS-MKE</v>
          </cell>
          <cell r="C178">
            <v>13</v>
          </cell>
          <cell r="E178">
            <v>9</v>
          </cell>
          <cell r="G178">
            <v>13</v>
          </cell>
          <cell r="H178">
            <v>7</v>
          </cell>
          <cell r="I178">
            <v>13</v>
          </cell>
          <cell r="J178">
            <v>7</v>
          </cell>
          <cell r="K178">
            <v>13</v>
          </cell>
          <cell r="M178">
            <v>19</v>
          </cell>
          <cell r="O178">
            <v>19</v>
          </cell>
          <cell r="P178">
            <v>113</v>
          </cell>
        </row>
        <row r="179">
          <cell r="A179" t="str">
            <v>BOS-RSW</v>
          </cell>
          <cell r="C179">
            <v>7</v>
          </cell>
          <cell r="E179">
            <v>7</v>
          </cell>
          <cell r="G179">
            <v>14</v>
          </cell>
          <cell r="P179">
            <v>28</v>
          </cell>
        </row>
        <row r="180">
          <cell r="A180" t="str">
            <v>BOS-STL</v>
          </cell>
          <cell r="C180">
            <v>12</v>
          </cell>
          <cell r="E180">
            <v>12</v>
          </cell>
          <cell r="G180">
            <v>14</v>
          </cell>
          <cell r="I180">
            <v>14</v>
          </cell>
          <cell r="K180">
            <v>14</v>
          </cell>
          <cell r="M180">
            <v>20</v>
          </cell>
          <cell r="O180">
            <v>20</v>
          </cell>
          <cell r="P180">
            <v>106</v>
          </cell>
        </row>
        <row r="181">
          <cell r="A181" t="str">
            <v>BUF-ATL</v>
          </cell>
          <cell r="B181">
            <v>21</v>
          </cell>
          <cell r="D181">
            <v>21</v>
          </cell>
          <cell r="F181">
            <v>20</v>
          </cell>
          <cell r="H181">
            <v>20</v>
          </cell>
          <cell r="J181">
            <v>20</v>
          </cell>
          <cell r="L181">
            <v>21</v>
          </cell>
          <cell r="N181">
            <v>21</v>
          </cell>
          <cell r="P181">
            <v>144</v>
          </cell>
        </row>
        <row r="182">
          <cell r="A182" t="str">
            <v>BUF-BWI</v>
          </cell>
          <cell r="C182">
            <v>33</v>
          </cell>
          <cell r="E182">
            <v>33</v>
          </cell>
          <cell r="G182">
            <v>40</v>
          </cell>
          <cell r="I182">
            <v>41</v>
          </cell>
          <cell r="K182">
            <v>41</v>
          </cell>
          <cell r="M182">
            <v>48</v>
          </cell>
          <cell r="O182">
            <v>48</v>
          </cell>
          <cell r="P182">
            <v>284</v>
          </cell>
        </row>
        <row r="183">
          <cell r="A183" t="str">
            <v>BUF-FLL</v>
          </cell>
          <cell r="C183">
            <v>8</v>
          </cell>
          <cell r="E183">
            <v>8</v>
          </cell>
          <cell r="G183">
            <v>10</v>
          </cell>
          <cell r="H183">
            <v>7</v>
          </cell>
          <cell r="J183">
            <v>7</v>
          </cell>
          <cell r="L183">
            <v>7</v>
          </cell>
          <cell r="N183">
            <v>7</v>
          </cell>
          <cell r="P183">
            <v>54</v>
          </cell>
        </row>
        <row r="184">
          <cell r="A184" t="str">
            <v>BUF-LAS</v>
          </cell>
          <cell r="C184">
            <v>7</v>
          </cell>
          <cell r="E184">
            <v>7</v>
          </cell>
          <cell r="G184">
            <v>14</v>
          </cell>
          <cell r="I184">
            <v>14</v>
          </cell>
          <cell r="K184">
            <v>14</v>
          </cell>
          <cell r="M184">
            <v>14</v>
          </cell>
          <cell r="O184">
            <v>14</v>
          </cell>
          <cell r="P184">
            <v>84</v>
          </cell>
        </row>
        <row r="185">
          <cell r="A185" t="str">
            <v>BUF-MCO</v>
          </cell>
          <cell r="B185">
            <v>7</v>
          </cell>
          <cell r="C185">
            <v>15</v>
          </cell>
          <cell r="D185">
            <v>7</v>
          </cell>
          <cell r="E185">
            <v>15</v>
          </cell>
          <cell r="F185">
            <v>12</v>
          </cell>
          <cell r="G185">
            <v>22</v>
          </cell>
          <cell r="H185">
            <v>27</v>
          </cell>
          <cell r="I185">
            <v>7</v>
          </cell>
          <cell r="J185">
            <v>27</v>
          </cell>
          <cell r="K185">
            <v>7</v>
          </cell>
          <cell r="L185">
            <v>14</v>
          </cell>
          <cell r="M185">
            <v>14</v>
          </cell>
          <cell r="N185">
            <v>14</v>
          </cell>
          <cell r="O185">
            <v>14</v>
          </cell>
          <cell r="P185">
            <v>202</v>
          </cell>
        </row>
        <row r="186">
          <cell r="A186" t="str">
            <v>BUF-MDW</v>
          </cell>
          <cell r="C186">
            <v>19</v>
          </cell>
          <cell r="E186">
            <v>19</v>
          </cell>
          <cell r="G186">
            <v>21</v>
          </cell>
          <cell r="I186">
            <v>21</v>
          </cell>
          <cell r="K186">
            <v>21</v>
          </cell>
          <cell r="M186">
            <v>27</v>
          </cell>
          <cell r="O186">
            <v>27</v>
          </cell>
          <cell r="P186">
            <v>155</v>
          </cell>
        </row>
        <row r="187">
          <cell r="A187" t="str">
            <v>BUF-PBI</v>
          </cell>
          <cell r="B187">
            <v>7</v>
          </cell>
          <cell r="D187">
            <v>7</v>
          </cell>
          <cell r="P187">
            <v>14</v>
          </cell>
        </row>
        <row r="188">
          <cell r="A188" t="str">
            <v>BUF-PHX</v>
          </cell>
          <cell r="C188">
            <v>7</v>
          </cell>
          <cell r="E188">
            <v>7</v>
          </cell>
          <cell r="G188">
            <v>7</v>
          </cell>
          <cell r="I188">
            <v>7</v>
          </cell>
          <cell r="K188">
            <v>7</v>
          </cell>
          <cell r="M188">
            <v>7</v>
          </cell>
          <cell r="O188">
            <v>7</v>
          </cell>
          <cell r="P188">
            <v>49</v>
          </cell>
        </row>
        <row r="189">
          <cell r="A189" t="str">
            <v>BUF-RSW</v>
          </cell>
          <cell r="F189">
            <v>7</v>
          </cell>
          <cell r="P189">
            <v>7</v>
          </cell>
        </row>
        <row r="190">
          <cell r="A190" t="str">
            <v>BUF-TPA</v>
          </cell>
          <cell r="C190">
            <v>8</v>
          </cell>
          <cell r="E190">
            <v>8</v>
          </cell>
          <cell r="G190">
            <v>15</v>
          </cell>
          <cell r="H190">
            <v>7</v>
          </cell>
          <cell r="I190">
            <v>7</v>
          </cell>
          <cell r="J190">
            <v>7</v>
          </cell>
          <cell r="K190">
            <v>7</v>
          </cell>
          <cell r="L190">
            <v>7</v>
          </cell>
          <cell r="M190">
            <v>8</v>
          </cell>
          <cell r="N190">
            <v>7</v>
          </cell>
          <cell r="O190">
            <v>8</v>
          </cell>
          <cell r="P190">
            <v>89</v>
          </cell>
        </row>
        <row r="191">
          <cell r="A191" t="str">
            <v>BUR-DEN</v>
          </cell>
          <cell r="C191">
            <v>13</v>
          </cell>
          <cell r="E191">
            <v>12</v>
          </cell>
          <cell r="G191">
            <v>13</v>
          </cell>
          <cell r="P191">
            <v>38</v>
          </cell>
        </row>
        <row r="192">
          <cell r="A192" t="str">
            <v>BUR-LAS</v>
          </cell>
          <cell r="C192">
            <v>67</v>
          </cell>
          <cell r="E192">
            <v>67</v>
          </cell>
          <cell r="G192">
            <v>66</v>
          </cell>
          <cell r="I192">
            <v>74</v>
          </cell>
          <cell r="K192">
            <v>74</v>
          </cell>
          <cell r="M192">
            <v>75</v>
          </cell>
          <cell r="O192">
            <v>75</v>
          </cell>
          <cell r="P192">
            <v>498</v>
          </cell>
        </row>
        <row r="193">
          <cell r="A193" t="str">
            <v>BUR-OAK</v>
          </cell>
          <cell r="C193">
            <v>90</v>
          </cell>
          <cell r="E193">
            <v>90</v>
          </cell>
          <cell r="G193">
            <v>93</v>
          </cell>
          <cell r="I193">
            <v>92</v>
          </cell>
          <cell r="K193">
            <v>92</v>
          </cell>
          <cell r="M193">
            <v>91</v>
          </cell>
          <cell r="O193">
            <v>91</v>
          </cell>
          <cell r="P193">
            <v>639</v>
          </cell>
        </row>
        <row r="194">
          <cell r="A194" t="str">
            <v>BUR-PHX</v>
          </cell>
          <cell r="C194">
            <v>45</v>
          </cell>
          <cell r="E194">
            <v>45</v>
          </cell>
          <cell r="G194">
            <v>46</v>
          </cell>
          <cell r="I194">
            <v>46</v>
          </cell>
          <cell r="K194">
            <v>46</v>
          </cell>
          <cell r="M194">
            <v>47</v>
          </cell>
          <cell r="O194">
            <v>47</v>
          </cell>
          <cell r="P194">
            <v>322</v>
          </cell>
        </row>
        <row r="195">
          <cell r="A195" t="str">
            <v>BUR-SJC</v>
          </cell>
          <cell r="C195">
            <v>51</v>
          </cell>
          <cell r="E195">
            <v>51</v>
          </cell>
          <cell r="G195">
            <v>51</v>
          </cell>
          <cell r="I195">
            <v>52</v>
          </cell>
          <cell r="K195">
            <v>52</v>
          </cell>
          <cell r="M195">
            <v>52</v>
          </cell>
          <cell r="O195">
            <v>52</v>
          </cell>
          <cell r="P195">
            <v>361</v>
          </cell>
        </row>
        <row r="196">
          <cell r="A196" t="str">
            <v>BUR-SMF</v>
          </cell>
          <cell r="C196">
            <v>50</v>
          </cell>
          <cell r="E196">
            <v>50</v>
          </cell>
          <cell r="G196">
            <v>51</v>
          </cell>
          <cell r="I196">
            <v>51</v>
          </cell>
          <cell r="K196">
            <v>51</v>
          </cell>
          <cell r="M196">
            <v>51</v>
          </cell>
          <cell r="O196">
            <v>51</v>
          </cell>
          <cell r="P196">
            <v>355</v>
          </cell>
        </row>
        <row r="197">
          <cell r="A197" t="str">
            <v>BWI-ABQ</v>
          </cell>
          <cell r="C197">
            <v>7</v>
          </cell>
          <cell r="E197">
            <v>7</v>
          </cell>
          <cell r="G197">
            <v>8</v>
          </cell>
          <cell r="I197">
            <v>14</v>
          </cell>
          <cell r="K197">
            <v>14</v>
          </cell>
          <cell r="M197">
            <v>14</v>
          </cell>
          <cell r="O197">
            <v>14</v>
          </cell>
          <cell r="P197">
            <v>78</v>
          </cell>
        </row>
        <row r="198">
          <cell r="A198" t="str">
            <v>BWI-ALB</v>
          </cell>
          <cell r="C198">
            <v>27</v>
          </cell>
          <cell r="E198">
            <v>27</v>
          </cell>
          <cell r="G198">
            <v>39</v>
          </cell>
          <cell r="I198">
            <v>40</v>
          </cell>
          <cell r="K198">
            <v>40</v>
          </cell>
          <cell r="M198">
            <v>40</v>
          </cell>
          <cell r="O198">
            <v>40</v>
          </cell>
          <cell r="P198">
            <v>253</v>
          </cell>
        </row>
        <row r="199">
          <cell r="A199" t="str">
            <v>BWI-ATL</v>
          </cell>
          <cell r="B199">
            <v>29</v>
          </cell>
          <cell r="C199">
            <v>28</v>
          </cell>
          <cell r="D199">
            <v>29</v>
          </cell>
          <cell r="E199">
            <v>28</v>
          </cell>
          <cell r="F199">
            <v>31</v>
          </cell>
          <cell r="G199">
            <v>27</v>
          </cell>
          <cell r="H199">
            <v>41</v>
          </cell>
          <cell r="I199">
            <v>20</v>
          </cell>
          <cell r="J199">
            <v>41</v>
          </cell>
          <cell r="K199">
            <v>20</v>
          </cell>
          <cell r="L199">
            <v>34</v>
          </cell>
          <cell r="M199">
            <v>33</v>
          </cell>
          <cell r="N199">
            <v>34</v>
          </cell>
          <cell r="O199">
            <v>33</v>
          </cell>
          <cell r="P199">
            <v>428</v>
          </cell>
        </row>
        <row r="200">
          <cell r="A200" t="str">
            <v>BWI-AUA</v>
          </cell>
          <cell r="B200">
            <v>5</v>
          </cell>
          <cell r="D200">
            <v>5</v>
          </cell>
          <cell r="F200">
            <v>5</v>
          </cell>
          <cell r="H200">
            <v>5</v>
          </cell>
          <cell r="J200">
            <v>5</v>
          </cell>
          <cell r="L200">
            <v>5</v>
          </cell>
          <cell r="N200">
            <v>5</v>
          </cell>
          <cell r="P200">
            <v>35</v>
          </cell>
        </row>
        <row r="201">
          <cell r="A201" t="str">
            <v>BWI-AUS</v>
          </cell>
          <cell r="C201">
            <v>12</v>
          </cell>
          <cell r="E201">
            <v>12</v>
          </cell>
          <cell r="G201">
            <v>14</v>
          </cell>
          <cell r="I201">
            <v>14</v>
          </cell>
          <cell r="K201">
            <v>14</v>
          </cell>
          <cell r="M201">
            <v>20</v>
          </cell>
          <cell r="O201">
            <v>20</v>
          </cell>
          <cell r="P201">
            <v>106</v>
          </cell>
        </row>
        <row r="202">
          <cell r="A202" t="str">
            <v>BWI-BDA</v>
          </cell>
          <cell r="J202">
            <v>3</v>
          </cell>
          <cell r="L202">
            <v>7</v>
          </cell>
          <cell r="N202">
            <v>7</v>
          </cell>
          <cell r="P202">
            <v>17</v>
          </cell>
        </row>
        <row r="203">
          <cell r="A203" t="str">
            <v>BWI-BDL</v>
          </cell>
          <cell r="C203">
            <v>40</v>
          </cell>
          <cell r="E203">
            <v>40</v>
          </cell>
          <cell r="G203">
            <v>53</v>
          </cell>
          <cell r="I203">
            <v>52</v>
          </cell>
          <cell r="K203">
            <v>52</v>
          </cell>
          <cell r="M203">
            <v>53</v>
          </cell>
          <cell r="O203">
            <v>53</v>
          </cell>
          <cell r="P203">
            <v>343</v>
          </cell>
        </row>
        <row r="204">
          <cell r="A204" t="str">
            <v>BWI-BHM</v>
          </cell>
          <cell r="C204">
            <v>13</v>
          </cell>
          <cell r="E204">
            <v>13</v>
          </cell>
          <cell r="G204">
            <v>19</v>
          </cell>
          <cell r="I204">
            <v>19</v>
          </cell>
          <cell r="K204">
            <v>19</v>
          </cell>
          <cell r="M204">
            <v>20</v>
          </cell>
          <cell r="O204">
            <v>20</v>
          </cell>
          <cell r="P204">
            <v>123</v>
          </cell>
        </row>
        <row r="205">
          <cell r="A205" t="str">
            <v>BWI-BNA</v>
          </cell>
          <cell r="C205">
            <v>37</v>
          </cell>
          <cell r="E205">
            <v>37</v>
          </cell>
          <cell r="G205">
            <v>41</v>
          </cell>
          <cell r="I205">
            <v>41</v>
          </cell>
          <cell r="K205">
            <v>41</v>
          </cell>
          <cell r="M205">
            <v>41</v>
          </cell>
          <cell r="O205">
            <v>41</v>
          </cell>
          <cell r="P205">
            <v>279</v>
          </cell>
        </row>
        <row r="206">
          <cell r="A206" t="str">
            <v>BWI-BOS</v>
          </cell>
          <cell r="B206">
            <v>21</v>
          </cell>
          <cell r="C206">
            <v>53</v>
          </cell>
          <cell r="D206">
            <v>21</v>
          </cell>
          <cell r="E206">
            <v>53</v>
          </cell>
          <cell r="F206">
            <v>21</v>
          </cell>
          <cell r="G206">
            <v>54</v>
          </cell>
          <cell r="H206">
            <v>34</v>
          </cell>
          <cell r="I206">
            <v>47</v>
          </cell>
          <cell r="J206">
            <v>34</v>
          </cell>
          <cell r="K206">
            <v>47</v>
          </cell>
          <cell r="L206">
            <v>28</v>
          </cell>
          <cell r="M206">
            <v>53</v>
          </cell>
          <cell r="N206">
            <v>28</v>
          </cell>
          <cell r="O206">
            <v>53</v>
          </cell>
          <cell r="P206">
            <v>547</v>
          </cell>
        </row>
        <row r="207">
          <cell r="A207" t="str">
            <v>BWI-BUF</v>
          </cell>
          <cell r="C207">
            <v>33</v>
          </cell>
          <cell r="E207">
            <v>33</v>
          </cell>
          <cell r="G207">
            <v>40</v>
          </cell>
          <cell r="I207">
            <v>41</v>
          </cell>
          <cell r="K207">
            <v>41</v>
          </cell>
          <cell r="M207">
            <v>48</v>
          </cell>
          <cell r="O207">
            <v>48</v>
          </cell>
          <cell r="P207">
            <v>284</v>
          </cell>
        </row>
        <row r="208">
          <cell r="A208" t="str">
            <v>BWI-CHS</v>
          </cell>
          <cell r="C208">
            <v>19</v>
          </cell>
          <cell r="E208">
            <v>19</v>
          </cell>
          <cell r="G208">
            <v>21</v>
          </cell>
          <cell r="I208">
            <v>21</v>
          </cell>
          <cell r="K208">
            <v>21</v>
          </cell>
          <cell r="M208">
            <v>21</v>
          </cell>
          <cell r="O208">
            <v>21</v>
          </cell>
          <cell r="P208">
            <v>143</v>
          </cell>
        </row>
        <row r="209">
          <cell r="A209" t="str">
            <v>BWI-CLE</v>
          </cell>
          <cell r="C209">
            <v>20</v>
          </cell>
          <cell r="E209">
            <v>20</v>
          </cell>
          <cell r="G209">
            <v>26</v>
          </cell>
          <cell r="I209">
            <v>25</v>
          </cell>
          <cell r="K209">
            <v>25</v>
          </cell>
          <cell r="M209">
            <v>26</v>
          </cell>
          <cell r="O209">
            <v>26</v>
          </cell>
          <cell r="P209">
            <v>168</v>
          </cell>
        </row>
        <row r="210">
          <cell r="A210" t="str">
            <v>BWI-CLT</v>
          </cell>
          <cell r="B210">
            <v>14</v>
          </cell>
          <cell r="D210">
            <v>14</v>
          </cell>
          <cell r="F210">
            <v>14</v>
          </cell>
          <cell r="I210">
            <v>14</v>
          </cell>
          <cell r="K210">
            <v>14</v>
          </cell>
          <cell r="M210">
            <v>14</v>
          </cell>
          <cell r="O210">
            <v>14</v>
          </cell>
          <cell r="P210">
            <v>98</v>
          </cell>
        </row>
        <row r="211">
          <cell r="A211" t="str">
            <v>BWI-CMH</v>
          </cell>
          <cell r="C211">
            <v>25</v>
          </cell>
          <cell r="E211">
            <v>25</v>
          </cell>
          <cell r="G211">
            <v>33</v>
          </cell>
          <cell r="I211">
            <v>32</v>
          </cell>
          <cell r="K211">
            <v>32</v>
          </cell>
          <cell r="M211">
            <v>32</v>
          </cell>
          <cell r="O211">
            <v>32</v>
          </cell>
          <cell r="P211">
            <v>211</v>
          </cell>
        </row>
        <row r="212">
          <cell r="A212" t="str">
            <v>BWI-CUN</v>
          </cell>
          <cell r="B212">
            <v>14</v>
          </cell>
          <cell r="D212">
            <v>14</v>
          </cell>
          <cell r="F212">
            <v>14</v>
          </cell>
          <cell r="H212">
            <v>14</v>
          </cell>
          <cell r="J212">
            <v>14</v>
          </cell>
          <cell r="L212">
            <v>14</v>
          </cell>
          <cell r="N212">
            <v>14</v>
          </cell>
          <cell r="P212">
            <v>98</v>
          </cell>
        </row>
        <row r="213">
          <cell r="A213" t="str">
            <v>BWI-DAY</v>
          </cell>
          <cell r="B213">
            <v>14</v>
          </cell>
          <cell r="D213">
            <v>14</v>
          </cell>
          <cell r="F213">
            <v>14</v>
          </cell>
          <cell r="H213">
            <v>19</v>
          </cell>
          <cell r="J213">
            <v>19</v>
          </cell>
          <cell r="L213">
            <v>20</v>
          </cell>
          <cell r="N213">
            <v>20</v>
          </cell>
          <cell r="P213">
            <v>120</v>
          </cell>
        </row>
        <row r="214">
          <cell r="A214" t="str">
            <v>BWI-DEN</v>
          </cell>
          <cell r="C214">
            <v>19</v>
          </cell>
          <cell r="E214">
            <v>19</v>
          </cell>
          <cell r="G214">
            <v>27</v>
          </cell>
          <cell r="I214">
            <v>26</v>
          </cell>
          <cell r="K214">
            <v>26</v>
          </cell>
          <cell r="M214">
            <v>28</v>
          </cell>
          <cell r="O214">
            <v>28</v>
          </cell>
          <cell r="P214">
            <v>173</v>
          </cell>
        </row>
        <row r="215">
          <cell r="A215" t="str">
            <v>BWI-DTW</v>
          </cell>
          <cell r="C215">
            <v>19</v>
          </cell>
          <cell r="E215">
            <v>19</v>
          </cell>
          <cell r="G215">
            <v>26</v>
          </cell>
          <cell r="I215">
            <v>26</v>
          </cell>
          <cell r="K215">
            <v>26</v>
          </cell>
          <cell r="M215">
            <v>25</v>
          </cell>
          <cell r="O215">
            <v>25</v>
          </cell>
          <cell r="P215">
            <v>166</v>
          </cell>
        </row>
        <row r="216">
          <cell r="A216" t="str">
            <v>BWI-ECP</v>
          </cell>
          <cell r="C216">
            <v>7</v>
          </cell>
          <cell r="E216">
            <v>7</v>
          </cell>
          <cell r="G216">
            <v>14</v>
          </cell>
          <cell r="I216">
            <v>8</v>
          </cell>
          <cell r="K216">
            <v>8</v>
          </cell>
          <cell r="M216">
            <v>14</v>
          </cell>
          <cell r="O216">
            <v>14</v>
          </cell>
          <cell r="P216">
            <v>72</v>
          </cell>
        </row>
        <row r="217">
          <cell r="A217" t="str">
            <v>BWI-EWR</v>
          </cell>
          <cell r="C217">
            <v>20</v>
          </cell>
          <cell r="E217">
            <v>20</v>
          </cell>
          <cell r="P217">
            <v>40</v>
          </cell>
        </row>
        <row r="218">
          <cell r="A218" t="str">
            <v>BWI-FLL</v>
          </cell>
          <cell r="B218">
            <v>42</v>
          </cell>
          <cell r="C218">
            <v>34</v>
          </cell>
          <cell r="D218">
            <v>42</v>
          </cell>
          <cell r="E218">
            <v>34</v>
          </cell>
          <cell r="F218">
            <v>41</v>
          </cell>
          <cell r="G218">
            <v>34</v>
          </cell>
          <cell r="H218">
            <v>34</v>
          </cell>
          <cell r="I218">
            <v>43</v>
          </cell>
          <cell r="J218">
            <v>34</v>
          </cell>
          <cell r="K218">
            <v>43</v>
          </cell>
          <cell r="L218">
            <v>50</v>
          </cell>
          <cell r="M218">
            <v>25</v>
          </cell>
          <cell r="N218">
            <v>50</v>
          </cell>
          <cell r="O218">
            <v>25</v>
          </cell>
          <cell r="P218">
            <v>531</v>
          </cell>
        </row>
        <row r="219">
          <cell r="A219" t="str">
            <v>BWI-FNT</v>
          </cell>
          <cell r="I219">
            <v>20</v>
          </cell>
          <cell r="K219">
            <v>20</v>
          </cell>
          <cell r="M219">
            <v>20</v>
          </cell>
          <cell r="O219">
            <v>20</v>
          </cell>
          <cell r="P219">
            <v>80</v>
          </cell>
        </row>
        <row r="220">
          <cell r="A220" t="str">
            <v>BWI-GRR</v>
          </cell>
          <cell r="B220">
            <v>14</v>
          </cell>
          <cell r="D220">
            <v>14</v>
          </cell>
          <cell r="F220">
            <v>14</v>
          </cell>
          <cell r="H220">
            <v>14</v>
          </cell>
          <cell r="J220">
            <v>14</v>
          </cell>
          <cell r="L220">
            <v>14</v>
          </cell>
          <cell r="N220">
            <v>14</v>
          </cell>
          <cell r="P220">
            <v>98</v>
          </cell>
        </row>
        <row r="221">
          <cell r="A221" t="str">
            <v>BWI-GSP</v>
          </cell>
          <cell r="C221">
            <v>12</v>
          </cell>
          <cell r="E221">
            <v>12</v>
          </cell>
          <cell r="G221">
            <v>12</v>
          </cell>
          <cell r="I221">
            <v>13</v>
          </cell>
          <cell r="K221">
            <v>13</v>
          </cell>
          <cell r="M221">
            <v>13</v>
          </cell>
          <cell r="O221">
            <v>13</v>
          </cell>
          <cell r="P221">
            <v>88</v>
          </cell>
        </row>
        <row r="222">
          <cell r="A222" t="str">
            <v>BWI-HOU</v>
          </cell>
          <cell r="C222">
            <v>19</v>
          </cell>
          <cell r="E222">
            <v>19</v>
          </cell>
          <cell r="G222">
            <v>21</v>
          </cell>
          <cell r="I222">
            <v>27</v>
          </cell>
          <cell r="K222">
            <v>27</v>
          </cell>
          <cell r="M222">
            <v>27</v>
          </cell>
          <cell r="O222">
            <v>27</v>
          </cell>
          <cell r="P222">
            <v>167</v>
          </cell>
        </row>
        <row r="223">
          <cell r="A223" t="str">
            <v>BWI-IND</v>
          </cell>
          <cell r="C223">
            <v>18</v>
          </cell>
          <cell r="E223">
            <v>18</v>
          </cell>
          <cell r="G223">
            <v>27</v>
          </cell>
          <cell r="I223">
            <v>27</v>
          </cell>
          <cell r="K223">
            <v>27</v>
          </cell>
          <cell r="M223">
            <v>26</v>
          </cell>
          <cell r="O223">
            <v>26</v>
          </cell>
          <cell r="P223">
            <v>169</v>
          </cell>
        </row>
        <row r="224">
          <cell r="A224" t="str">
            <v>BWI-ISP</v>
          </cell>
          <cell r="C224">
            <v>33</v>
          </cell>
          <cell r="E224">
            <v>33</v>
          </cell>
          <cell r="G224">
            <v>33</v>
          </cell>
          <cell r="I224">
            <v>33</v>
          </cell>
          <cell r="K224">
            <v>33</v>
          </cell>
          <cell r="M224">
            <v>34</v>
          </cell>
          <cell r="O224">
            <v>34</v>
          </cell>
          <cell r="P224">
            <v>233</v>
          </cell>
        </row>
        <row r="225">
          <cell r="A225" t="str">
            <v>BWI-JAN</v>
          </cell>
          <cell r="C225">
            <v>7</v>
          </cell>
          <cell r="E225">
            <v>7</v>
          </cell>
          <cell r="G225">
            <v>7</v>
          </cell>
          <cell r="I225">
            <v>7</v>
          </cell>
          <cell r="K225">
            <v>7</v>
          </cell>
          <cell r="M225">
            <v>7</v>
          </cell>
          <cell r="O225">
            <v>7</v>
          </cell>
          <cell r="P225">
            <v>49</v>
          </cell>
        </row>
        <row r="226">
          <cell r="A226" t="str">
            <v>BWI-JAX</v>
          </cell>
          <cell r="C226">
            <v>21</v>
          </cell>
          <cell r="E226">
            <v>21</v>
          </cell>
          <cell r="G226">
            <v>26</v>
          </cell>
          <cell r="I226">
            <v>26</v>
          </cell>
          <cell r="K226">
            <v>26</v>
          </cell>
          <cell r="M226">
            <v>26</v>
          </cell>
          <cell r="O226">
            <v>26</v>
          </cell>
          <cell r="P226">
            <v>172</v>
          </cell>
        </row>
        <row r="227">
          <cell r="A227" t="str">
            <v>BWI-LAS</v>
          </cell>
          <cell r="C227">
            <v>14</v>
          </cell>
          <cell r="E227">
            <v>14</v>
          </cell>
          <cell r="G227">
            <v>21</v>
          </cell>
          <cell r="I227">
            <v>27</v>
          </cell>
          <cell r="K227">
            <v>27</v>
          </cell>
          <cell r="M227">
            <v>26</v>
          </cell>
          <cell r="O227">
            <v>26</v>
          </cell>
          <cell r="P227">
            <v>155</v>
          </cell>
        </row>
        <row r="228">
          <cell r="A228" t="str">
            <v>BWI-LAX</v>
          </cell>
          <cell r="C228">
            <v>7</v>
          </cell>
          <cell r="E228">
            <v>7</v>
          </cell>
          <cell r="G228">
            <v>7</v>
          </cell>
          <cell r="I228">
            <v>7</v>
          </cell>
          <cell r="K228">
            <v>7</v>
          </cell>
          <cell r="M228">
            <v>14</v>
          </cell>
          <cell r="O228">
            <v>14</v>
          </cell>
          <cell r="P228">
            <v>63</v>
          </cell>
        </row>
        <row r="229">
          <cell r="A229" t="str">
            <v>BWI-LIT</v>
          </cell>
          <cell r="C229">
            <v>7</v>
          </cell>
          <cell r="E229">
            <v>7</v>
          </cell>
          <cell r="G229">
            <v>7</v>
          </cell>
          <cell r="I229">
            <v>7</v>
          </cell>
          <cell r="K229">
            <v>7</v>
          </cell>
          <cell r="M229">
            <v>7</v>
          </cell>
          <cell r="O229">
            <v>7</v>
          </cell>
          <cell r="P229">
            <v>49</v>
          </cell>
        </row>
        <row r="230">
          <cell r="A230" t="str">
            <v>BWI-MBJ</v>
          </cell>
          <cell r="B230">
            <v>11</v>
          </cell>
          <cell r="D230">
            <v>11</v>
          </cell>
          <cell r="F230">
            <v>11</v>
          </cell>
          <cell r="H230">
            <v>11</v>
          </cell>
          <cell r="J230">
            <v>11</v>
          </cell>
          <cell r="L230">
            <v>14</v>
          </cell>
          <cell r="N230">
            <v>14</v>
          </cell>
          <cell r="P230">
            <v>83</v>
          </cell>
        </row>
        <row r="231">
          <cell r="A231" t="str">
            <v>BWI-MCI</v>
          </cell>
          <cell r="C231">
            <v>12</v>
          </cell>
          <cell r="E231">
            <v>12</v>
          </cell>
          <cell r="G231">
            <v>20</v>
          </cell>
          <cell r="I231">
            <v>20</v>
          </cell>
          <cell r="K231">
            <v>20</v>
          </cell>
          <cell r="M231">
            <v>21</v>
          </cell>
          <cell r="O231">
            <v>21</v>
          </cell>
          <cell r="P231">
            <v>126</v>
          </cell>
        </row>
        <row r="232">
          <cell r="A232" t="str">
            <v>BWI-MCO</v>
          </cell>
          <cell r="B232">
            <v>27</v>
          </cell>
          <cell r="C232">
            <v>48</v>
          </cell>
          <cell r="D232">
            <v>27</v>
          </cell>
          <cell r="E232">
            <v>48</v>
          </cell>
          <cell r="F232">
            <v>34</v>
          </cell>
          <cell r="G232">
            <v>50</v>
          </cell>
          <cell r="H232">
            <v>35</v>
          </cell>
          <cell r="I232">
            <v>48</v>
          </cell>
          <cell r="J232">
            <v>35</v>
          </cell>
          <cell r="K232">
            <v>48</v>
          </cell>
          <cell r="L232">
            <v>47</v>
          </cell>
          <cell r="M232">
            <v>26</v>
          </cell>
          <cell r="N232">
            <v>47</v>
          </cell>
          <cell r="O232">
            <v>26</v>
          </cell>
          <cell r="P232">
            <v>546</v>
          </cell>
        </row>
        <row r="233">
          <cell r="A233" t="str">
            <v>BWI-MDW</v>
          </cell>
          <cell r="C233">
            <v>39</v>
          </cell>
          <cell r="E233">
            <v>39</v>
          </cell>
          <cell r="G233">
            <v>46</v>
          </cell>
          <cell r="I233">
            <v>46</v>
          </cell>
          <cell r="K233">
            <v>46</v>
          </cell>
          <cell r="M233">
            <v>49</v>
          </cell>
          <cell r="O233">
            <v>49</v>
          </cell>
          <cell r="P233">
            <v>314</v>
          </cell>
        </row>
        <row r="234">
          <cell r="A234" t="str">
            <v>BWI-MHT</v>
          </cell>
          <cell r="C234">
            <v>46</v>
          </cell>
          <cell r="E234">
            <v>46</v>
          </cell>
          <cell r="G234">
            <v>53</v>
          </cell>
          <cell r="I234">
            <v>54</v>
          </cell>
          <cell r="K234">
            <v>54</v>
          </cell>
          <cell r="M234">
            <v>60</v>
          </cell>
          <cell r="O234">
            <v>60</v>
          </cell>
          <cell r="P234">
            <v>373</v>
          </cell>
        </row>
        <row r="235">
          <cell r="A235" t="str">
            <v>BWI-MKE</v>
          </cell>
          <cell r="C235">
            <v>19</v>
          </cell>
          <cell r="E235">
            <v>19</v>
          </cell>
          <cell r="G235">
            <v>20</v>
          </cell>
          <cell r="I235">
            <v>19</v>
          </cell>
          <cell r="K235">
            <v>19</v>
          </cell>
          <cell r="M235">
            <v>21</v>
          </cell>
          <cell r="O235">
            <v>21</v>
          </cell>
          <cell r="P235">
            <v>138</v>
          </cell>
        </row>
        <row r="236">
          <cell r="A236" t="str">
            <v>BWI-MSY</v>
          </cell>
          <cell r="C236">
            <v>14</v>
          </cell>
          <cell r="E236">
            <v>14</v>
          </cell>
          <cell r="G236">
            <v>21</v>
          </cell>
          <cell r="I236">
            <v>21</v>
          </cell>
          <cell r="K236">
            <v>21</v>
          </cell>
          <cell r="M236">
            <v>22</v>
          </cell>
          <cell r="O236">
            <v>22</v>
          </cell>
          <cell r="P236">
            <v>135</v>
          </cell>
        </row>
        <row r="237">
          <cell r="A237" t="str">
            <v>BWI-NAS</v>
          </cell>
          <cell r="B237">
            <v>7</v>
          </cell>
          <cell r="D237">
            <v>7</v>
          </cell>
          <cell r="F237">
            <v>7</v>
          </cell>
          <cell r="H237">
            <v>7</v>
          </cell>
          <cell r="J237">
            <v>7</v>
          </cell>
          <cell r="L237">
            <v>7</v>
          </cell>
          <cell r="N237">
            <v>7</v>
          </cell>
          <cell r="P237">
            <v>49</v>
          </cell>
        </row>
        <row r="238">
          <cell r="A238" t="str">
            <v>BWI-OKC</v>
          </cell>
          <cell r="C238">
            <v>7</v>
          </cell>
          <cell r="E238">
            <v>7</v>
          </cell>
          <cell r="G238">
            <v>7</v>
          </cell>
          <cell r="I238">
            <v>7</v>
          </cell>
          <cell r="K238">
            <v>7</v>
          </cell>
          <cell r="M238">
            <v>7</v>
          </cell>
          <cell r="O238">
            <v>7</v>
          </cell>
          <cell r="P238">
            <v>49</v>
          </cell>
        </row>
        <row r="239">
          <cell r="A239" t="str">
            <v>BWI-ORF</v>
          </cell>
          <cell r="C239">
            <v>27</v>
          </cell>
          <cell r="E239">
            <v>27</v>
          </cell>
          <cell r="G239">
            <v>28</v>
          </cell>
          <cell r="I239">
            <v>34</v>
          </cell>
          <cell r="K239">
            <v>34</v>
          </cell>
          <cell r="M239">
            <v>34</v>
          </cell>
          <cell r="O239">
            <v>34</v>
          </cell>
          <cell r="P239">
            <v>218</v>
          </cell>
        </row>
        <row r="240">
          <cell r="A240" t="str">
            <v>BWI-PBI</v>
          </cell>
          <cell r="C240">
            <v>21</v>
          </cell>
          <cell r="E240">
            <v>21</v>
          </cell>
          <cell r="G240">
            <v>35</v>
          </cell>
          <cell r="I240">
            <v>21</v>
          </cell>
          <cell r="K240">
            <v>21</v>
          </cell>
          <cell r="M240">
            <v>15</v>
          </cell>
          <cell r="O240">
            <v>15</v>
          </cell>
          <cell r="P240">
            <v>149</v>
          </cell>
        </row>
        <row r="241">
          <cell r="A241" t="str">
            <v>BWI-PHX</v>
          </cell>
          <cell r="C241">
            <v>14</v>
          </cell>
          <cell r="E241">
            <v>14</v>
          </cell>
          <cell r="G241">
            <v>21</v>
          </cell>
          <cell r="I241">
            <v>19</v>
          </cell>
          <cell r="K241">
            <v>19</v>
          </cell>
          <cell r="M241">
            <v>21</v>
          </cell>
          <cell r="O241">
            <v>21</v>
          </cell>
          <cell r="P241">
            <v>129</v>
          </cell>
        </row>
        <row r="242">
          <cell r="A242" t="str">
            <v>BWI-PIT</v>
          </cell>
          <cell r="C242">
            <v>20</v>
          </cell>
          <cell r="E242">
            <v>20</v>
          </cell>
          <cell r="G242">
            <v>27</v>
          </cell>
          <cell r="I242">
            <v>26</v>
          </cell>
          <cell r="K242">
            <v>26</v>
          </cell>
          <cell r="M242">
            <v>27</v>
          </cell>
          <cell r="O242">
            <v>27</v>
          </cell>
          <cell r="P242">
            <v>173</v>
          </cell>
        </row>
        <row r="243">
          <cell r="A243" t="str">
            <v>BWI-PUJ</v>
          </cell>
          <cell r="H243">
            <v>7</v>
          </cell>
          <cell r="J243">
            <v>7</v>
          </cell>
          <cell r="L243">
            <v>7</v>
          </cell>
          <cell r="N243">
            <v>7</v>
          </cell>
          <cell r="P243">
            <v>28</v>
          </cell>
        </row>
        <row r="244">
          <cell r="A244" t="str">
            <v>BWI-PVD</v>
          </cell>
          <cell r="C244">
            <v>52</v>
          </cell>
          <cell r="E244">
            <v>52</v>
          </cell>
          <cell r="G244">
            <v>54</v>
          </cell>
          <cell r="I244">
            <v>54</v>
          </cell>
          <cell r="K244">
            <v>54</v>
          </cell>
          <cell r="M244">
            <v>65</v>
          </cell>
          <cell r="O244">
            <v>65</v>
          </cell>
          <cell r="P244">
            <v>396</v>
          </cell>
        </row>
        <row r="245">
          <cell r="A245" t="str">
            <v>BWI-PWM</v>
          </cell>
          <cell r="B245">
            <v>14</v>
          </cell>
          <cell r="D245">
            <v>14</v>
          </cell>
          <cell r="F245">
            <v>20</v>
          </cell>
          <cell r="I245">
            <v>20</v>
          </cell>
          <cell r="K245">
            <v>20</v>
          </cell>
          <cell r="M245">
            <v>20</v>
          </cell>
          <cell r="O245">
            <v>20</v>
          </cell>
          <cell r="P245">
            <v>128</v>
          </cell>
        </row>
        <row r="246">
          <cell r="A246" t="str">
            <v>BWI-RDU</v>
          </cell>
          <cell r="C246">
            <v>33</v>
          </cell>
          <cell r="E246">
            <v>33</v>
          </cell>
          <cell r="G246">
            <v>38</v>
          </cell>
          <cell r="I246">
            <v>46</v>
          </cell>
          <cell r="K246">
            <v>46</v>
          </cell>
          <cell r="M246">
            <v>46</v>
          </cell>
          <cell r="O246">
            <v>46</v>
          </cell>
          <cell r="P246">
            <v>288</v>
          </cell>
        </row>
        <row r="247">
          <cell r="A247" t="str">
            <v>BWI-ROC</v>
          </cell>
          <cell r="B247">
            <v>14</v>
          </cell>
          <cell r="D247">
            <v>14</v>
          </cell>
          <cell r="F247">
            <v>14</v>
          </cell>
          <cell r="I247">
            <v>14</v>
          </cell>
          <cell r="K247">
            <v>14</v>
          </cell>
          <cell r="M247">
            <v>14</v>
          </cell>
          <cell r="O247">
            <v>14</v>
          </cell>
          <cell r="P247">
            <v>98</v>
          </cell>
        </row>
        <row r="248">
          <cell r="A248" t="str">
            <v>BWI-RSW</v>
          </cell>
          <cell r="B248">
            <v>14</v>
          </cell>
          <cell r="C248">
            <v>15</v>
          </cell>
          <cell r="D248">
            <v>14</v>
          </cell>
          <cell r="E248">
            <v>15</v>
          </cell>
          <cell r="F248">
            <v>21</v>
          </cell>
          <cell r="G248">
            <v>21</v>
          </cell>
          <cell r="H248">
            <v>14</v>
          </cell>
          <cell r="I248">
            <v>13</v>
          </cell>
          <cell r="J248">
            <v>14</v>
          </cell>
          <cell r="K248">
            <v>13</v>
          </cell>
          <cell r="L248">
            <v>8</v>
          </cell>
          <cell r="M248">
            <v>14</v>
          </cell>
          <cell r="N248">
            <v>8</v>
          </cell>
          <cell r="O248">
            <v>14</v>
          </cell>
          <cell r="P248">
            <v>198</v>
          </cell>
        </row>
        <row r="249">
          <cell r="A249" t="str">
            <v>BWI-SAN</v>
          </cell>
          <cell r="C249">
            <v>14</v>
          </cell>
          <cell r="E249">
            <v>14</v>
          </cell>
          <cell r="G249">
            <v>14</v>
          </cell>
          <cell r="I249">
            <v>14</v>
          </cell>
          <cell r="K249">
            <v>14</v>
          </cell>
          <cell r="M249">
            <v>14</v>
          </cell>
          <cell r="O249">
            <v>14</v>
          </cell>
          <cell r="P249">
            <v>98</v>
          </cell>
        </row>
        <row r="250">
          <cell r="A250" t="str">
            <v>BWI-SAT</v>
          </cell>
          <cell r="C250">
            <v>12</v>
          </cell>
          <cell r="E250">
            <v>12</v>
          </cell>
          <cell r="G250">
            <v>20</v>
          </cell>
          <cell r="I250">
            <v>20</v>
          </cell>
          <cell r="K250">
            <v>20</v>
          </cell>
          <cell r="M250">
            <v>21</v>
          </cell>
          <cell r="O250">
            <v>21</v>
          </cell>
          <cell r="P250">
            <v>126</v>
          </cell>
        </row>
        <row r="251">
          <cell r="A251" t="str">
            <v>BWI-SDF</v>
          </cell>
          <cell r="C251">
            <v>18</v>
          </cell>
          <cell r="E251">
            <v>18</v>
          </cell>
          <cell r="G251">
            <v>26</v>
          </cell>
          <cell r="I251">
            <v>27</v>
          </cell>
          <cell r="K251">
            <v>27</v>
          </cell>
          <cell r="M251">
            <v>26</v>
          </cell>
          <cell r="O251">
            <v>26</v>
          </cell>
          <cell r="P251">
            <v>168</v>
          </cell>
        </row>
        <row r="252">
          <cell r="A252" t="str">
            <v>BWI-SEA</v>
          </cell>
          <cell r="I252">
            <v>7</v>
          </cell>
          <cell r="K252">
            <v>7</v>
          </cell>
          <cell r="M252">
            <v>13</v>
          </cell>
          <cell r="O252">
            <v>13</v>
          </cell>
          <cell r="P252">
            <v>40</v>
          </cell>
        </row>
        <row r="253">
          <cell r="A253" t="str">
            <v>BWI-SJU</v>
          </cell>
          <cell r="B253">
            <v>12</v>
          </cell>
          <cell r="D253">
            <v>12</v>
          </cell>
          <cell r="F253">
            <v>14</v>
          </cell>
          <cell r="H253">
            <v>14</v>
          </cell>
          <cell r="J253">
            <v>14</v>
          </cell>
          <cell r="M253">
            <v>14</v>
          </cell>
          <cell r="O253">
            <v>14</v>
          </cell>
          <cell r="P253">
            <v>94</v>
          </cell>
        </row>
        <row r="254">
          <cell r="A254" t="str">
            <v>BWI-SLC</v>
          </cell>
          <cell r="C254">
            <v>7</v>
          </cell>
          <cell r="E254">
            <v>7</v>
          </cell>
          <cell r="G254">
            <v>7</v>
          </cell>
          <cell r="I254">
            <v>7</v>
          </cell>
          <cell r="K254">
            <v>7</v>
          </cell>
          <cell r="M254">
            <v>7</v>
          </cell>
          <cell r="O254">
            <v>7</v>
          </cell>
          <cell r="P254">
            <v>49</v>
          </cell>
        </row>
        <row r="255">
          <cell r="A255" t="str">
            <v>BWI-STL</v>
          </cell>
          <cell r="C255">
            <v>26</v>
          </cell>
          <cell r="E255">
            <v>26</v>
          </cell>
          <cell r="G255">
            <v>34</v>
          </cell>
          <cell r="I255">
            <v>34</v>
          </cell>
          <cell r="K255">
            <v>34</v>
          </cell>
          <cell r="M255">
            <v>34</v>
          </cell>
          <cell r="O255">
            <v>34</v>
          </cell>
          <cell r="P255">
            <v>222</v>
          </cell>
        </row>
        <row r="256">
          <cell r="A256" t="str">
            <v>BWI-TPA</v>
          </cell>
          <cell r="B256">
            <v>13</v>
          </cell>
          <cell r="C256">
            <v>33</v>
          </cell>
          <cell r="D256">
            <v>13</v>
          </cell>
          <cell r="E256">
            <v>33</v>
          </cell>
          <cell r="F256">
            <v>16</v>
          </cell>
          <cell r="G256">
            <v>40</v>
          </cell>
          <cell r="H256">
            <v>26</v>
          </cell>
          <cell r="I256">
            <v>35</v>
          </cell>
          <cell r="J256">
            <v>26</v>
          </cell>
          <cell r="K256">
            <v>35</v>
          </cell>
          <cell r="L256">
            <v>32</v>
          </cell>
          <cell r="M256">
            <v>17</v>
          </cell>
          <cell r="N256">
            <v>32</v>
          </cell>
          <cell r="O256">
            <v>17</v>
          </cell>
          <cell r="P256">
            <v>368</v>
          </cell>
        </row>
        <row r="257">
          <cell r="A257" t="str">
            <v>CAK-ATL</v>
          </cell>
          <cell r="B257">
            <v>28</v>
          </cell>
          <cell r="D257">
            <v>28</v>
          </cell>
          <cell r="F257">
            <v>26</v>
          </cell>
          <cell r="H257">
            <v>27</v>
          </cell>
          <cell r="J257">
            <v>27</v>
          </cell>
          <cell r="L257">
            <v>30</v>
          </cell>
          <cell r="N257">
            <v>30</v>
          </cell>
          <cell r="P257">
            <v>196</v>
          </cell>
        </row>
        <row r="258">
          <cell r="A258" t="str">
            <v>CAK-BOS</v>
          </cell>
          <cell r="B258">
            <v>7</v>
          </cell>
          <cell r="D258">
            <v>7</v>
          </cell>
          <cell r="F258">
            <v>7</v>
          </cell>
          <cell r="H258">
            <v>14</v>
          </cell>
          <cell r="J258">
            <v>14</v>
          </cell>
          <cell r="L258">
            <v>14</v>
          </cell>
          <cell r="N258">
            <v>14</v>
          </cell>
          <cell r="P258">
            <v>77</v>
          </cell>
        </row>
        <row r="259">
          <cell r="A259" t="str">
            <v>CAK-DEN</v>
          </cell>
          <cell r="C259">
            <v>7</v>
          </cell>
          <cell r="E259">
            <v>7</v>
          </cell>
          <cell r="G259">
            <v>7</v>
          </cell>
          <cell r="I259">
            <v>7</v>
          </cell>
          <cell r="K259">
            <v>7</v>
          </cell>
          <cell r="M259">
            <v>7</v>
          </cell>
          <cell r="O259">
            <v>7</v>
          </cell>
          <cell r="P259">
            <v>49</v>
          </cell>
        </row>
        <row r="260">
          <cell r="A260" t="str">
            <v>CAK-LGA</v>
          </cell>
          <cell r="B260">
            <v>14</v>
          </cell>
          <cell r="D260">
            <v>14</v>
          </cell>
          <cell r="F260">
            <v>19</v>
          </cell>
          <cell r="H260">
            <v>19</v>
          </cell>
          <cell r="J260">
            <v>19</v>
          </cell>
          <cell r="L260">
            <v>19</v>
          </cell>
          <cell r="N260">
            <v>19</v>
          </cell>
          <cell r="P260">
            <v>123</v>
          </cell>
        </row>
        <row r="261">
          <cell r="A261" t="str">
            <v>CAK-MCO</v>
          </cell>
          <cell r="B261">
            <v>14</v>
          </cell>
          <cell r="D261">
            <v>14</v>
          </cell>
          <cell r="F261">
            <v>17</v>
          </cell>
          <cell r="H261">
            <v>15</v>
          </cell>
          <cell r="J261">
            <v>15</v>
          </cell>
          <cell r="L261">
            <v>15</v>
          </cell>
          <cell r="N261">
            <v>15</v>
          </cell>
          <cell r="P261">
            <v>105</v>
          </cell>
        </row>
        <row r="262">
          <cell r="A262" t="str">
            <v>CAK-MDW</v>
          </cell>
          <cell r="C262">
            <v>13</v>
          </cell>
          <cell r="E262">
            <v>13</v>
          </cell>
          <cell r="G262">
            <v>14</v>
          </cell>
          <cell r="I262">
            <v>13</v>
          </cell>
          <cell r="K262">
            <v>13</v>
          </cell>
          <cell r="M262">
            <v>13</v>
          </cell>
          <cell r="O262">
            <v>13</v>
          </cell>
          <cell r="P262">
            <v>92</v>
          </cell>
        </row>
        <row r="263">
          <cell r="A263" t="str">
            <v>CAK-RSW</v>
          </cell>
          <cell r="B263">
            <v>15</v>
          </cell>
          <cell r="D263">
            <v>15</v>
          </cell>
          <cell r="F263">
            <v>14</v>
          </cell>
          <cell r="P263">
            <v>44</v>
          </cell>
        </row>
        <row r="264">
          <cell r="A264" t="str">
            <v>CAK-TPA</v>
          </cell>
          <cell r="B264">
            <v>7</v>
          </cell>
          <cell r="D264">
            <v>7</v>
          </cell>
          <cell r="F264">
            <v>14</v>
          </cell>
          <cell r="H264">
            <v>7</v>
          </cell>
          <cell r="J264">
            <v>7</v>
          </cell>
          <cell r="L264">
            <v>8</v>
          </cell>
          <cell r="N264">
            <v>8</v>
          </cell>
          <cell r="P264">
            <v>58</v>
          </cell>
        </row>
        <row r="265">
          <cell r="A265" t="str">
            <v>CHS-BNA</v>
          </cell>
          <cell r="C265">
            <v>7</v>
          </cell>
          <cell r="E265">
            <v>7</v>
          </cell>
          <cell r="G265">
            <v>7</v>
          </cell>
          <cell r="I265">
            <v>7</v>
          </cell>
          <cell r="K265">
            <v>7</v>
          </cell>
          <cell r="M265">
            <v>7</v>
          </cell>
          <cell r="O265">
            <v>7</v>
          </cell>
          <cell r="P265">
            <v>49</v>
          </cell>
        </row>
        <row r="266">
          <cell r="A266" t="str">
            <v>CHS-BWI</v>
          </cell>
          <cell r="C266">
            <v>19</v>
          </cell>
          <cell r="E266">
            <v>19</v>
          </cell>
          <cell r="G266">
            <v>21</v>
          </cell>
          <cell r="I266">
            <v>21</v>
          </cell>
          <cell r="K266">
            <v>21</v>
          </cell>
          <cell r="M266">
            <v>21</v>
          </cell>
          <cell r="O266">
            <v>21</v>
          </cell>
          <cell r="P266">
            <v>143</v>
          </cell>
        </row>
        <row r="267">
          <cell r="A267" t="str">
            <v>CHS-HOU</v>
          </cell>
          <cell r="C267">
            <v>7</v>
          </cell>
          <cell r="E267">
            <v>7</v>
          </cell>
          <cell r="G267">
            <v>7</v>
          </cell>
          <cell r="I267">
            <v>7</v>
          </cell>
          <cell r="K267">
            <v>7</v>
          </cell>
          <cell r="M267">
            <v>7</v>
          </cell>
          <cell r="O267">
            <v>7</v>
          </cell>
          <cell r="P267">
            <v>49</v>
          </cell>
        </row>
        <row r="268">
          <cell r="A268" t="str">
            <v>CHS-MDW</v>
          </cell>
          <cell r="C268">
            <v>7</v>
          </cell>
          <cell r="E268">
            <v>7</v>
          </cell>
          <cell r="G268">
            <v>14</v>
          </cell>
          <cell r="I268">
            <v>14</v>
          </cell>
          <cell r="K268">
            <v>14</v>
          </cell>
          <cell r="M268">
            <v>14</v>
          </cell>
          <cell r="O268">
            <v>14</v>
          </cell>
          <cell r="P268">
            <v>84</v>
          </cell>
        </row>
        <row r="269">
          <cell r="A269" t="str">
            <v>CLE-BNA</v>
          </cell>
          <cell r="C269">
            <v>19</v>
          </cell>
          <cell r="E269">
            <v>19</v>
          </cell>
          <cell r="G269">
            <v>19</v>
          </cell>
          <cell r="I269">
            <v>13</v>
          </cell>
          <cell r="K269">
            <v>13</v>
          </cell>
          <cell r="M269">
            <v>14</v>
          </cell>
          <cell r="O269">
            <v>14</v>
          </cell>
          <cell r="P269">
            <v>111</v>
          </cell>
        </row>
        <row r="270">
          <cell r="A270" t="str">
            <v>CLE-BWI</v>
          </cell>
          <cell r="C270">
            <v>20</v>
          </cell>
          <cell r="E270">
            <v>20</v>
          </cell>
          <cell r="G270">
            <v>26</v>
          </cell>
          <cell r="I270">
            <v>25</v>
          </cell>
          <cell r="K270">
            <v>25</v>
          </cell>
          <cell r="M270">
            <v>26</v>
          </cell>
          <cell r="O270">
            <v>26</v>
          </cell>
          <cell r="P270">
            <v>168</v>
          </cell>
        </row>
        <row r="271">
          <cell r="A271" t="str">
            <v>CLE-LAS</v>
          </cell>
          <cell r="I271">
            <v>6</v>
          </cell>
          <cell r="K271">
            <v>6</v>
          </cell>
          <cell r="M271">
            <v>7</v>
          </cell>
          <cell r="O271">
            <v>7</v>
          </cell>
          <cell r="P271">
            <v>26</v>
          </cell>
        </row>
        <row r="272">
          <cell r="A272" t="str">
            <v>CLE-MCO</v>
          </cell>
          <cell r="G272">
            <v>1</v>
          </cell>
          <cell r="P272">
            <v>1</v>
          </cell>
        </row>
        <row r="273">
          <cell r="A273" t="str">
            <v>CLE-MDW</v>
          </cell>
          <cell r="C273">
            <v>38</v>
          </cell>
          <cell r="E273">
            <v>38</v>
          </cell>
          <cell r="G273">
            <v>45</v>
          </cell>
          <cell r="I273">
            <v>46</v>
          </cell>
          <cell r="K273">
            <v>46</v>
          </cell>
          <cell r="M273">
            <v>46</v>
          </cell>
          <cell r="O273">
            <v>46</v>
          </cell>
          <cell r="P273">
            <v>305</v>
          </cell>
        </row>
        <row r="274">
          <cell r="A274" t="str">
            <v>CLE-RSW</v>
          </cell>
          <cell r="G274">
            <v>1</v>
          </cell>
          <cell r="P274">
            <v>1</v>
          </cell>
        </row>
        <row r="275">
          <cell r="A275" t="str">
            <v>CLT-ATL</v>
          </cell>
          <cell r="B275">
            <v>21</v>
          </cell>
          <cell r="D275">
            <v>21</v>
          </cell>
          <cell r="F275">
            <v>23</v>
          </cell>
          <cell r="P275">
            <v>65</v>
          </cell>
        </row>
        <row r="276">
          <cell r="A276" t="str">
            <v>CLT-BWI</v>
          </cell>
          <cell r="B276">
            <v>14</v>
          </cell>
          <cell r="D276">
            <v>14</v>
          </cell>
          <cell r="F276">
            <v>14</v>
          </cell>
          <cell r="I276">
            <v>14</v>
          </cell>
          <cell r="K276">
            <v>14</v>
          </cell>
          <cell r="M276">
            <v>14</v>
          </cell>
          <cell r="O276">
            <v>14</v>
          </cell>
          <cell r="P276">
            <v>98</v>
          </cell>
        </row>
        <row r="277">
          <cell r="A277" t="str">
            <v>CLT-HOU</v>
          </cell>
          <cell r="I277">
            <v>7</v>
          </cell>
          <cell r="K277">
            <v>7</v>
          </cell>
          <cell r="M277">
            <v>7</v>
          </cell>
          <cell r="O277">
            <v>7</v>
          </cell>
          <cell r="P277">
            <v>28</v>
          </cell>
        </row>
        <row r="278">
          <cell r="A278" t="str">
            <v>CLT-MCO</v>
          </cell>
          <cell r="I278">
            <v>7</v>
          </cell>
          <cell r="K278">
            <v>7</v>
          </cell>
          <cell r="M278">
            <v>7</v>
          </cell>
          <cell r="O278">
            <v>7</v>
          </cell>
          <cell r="P278">
            <v>28</v>
          </cell>
        </row>
        <row r="279">
          <cell r="A279" t="str">
            <v>CLT-MDW</v>
          </cell>
          <cell r="I279">
            <v>14</v>
          </cell>
          <cell r="K279">
            <v>14</v>
          </cell>
          <cell r="M279">
            <v>14</v>
          </cell>
          <cell r="O279">
            <v>14</v>
          </cell>
          <cell r="P279">
            <v>56</v>
          </cell>
        </row>
        <row r="280">
          <cell r="A280" t="str">
            <v>CMH-ATL</v>
          </cell>
          <cell r="B280">
            <v>14</v>
          </cell>
          <cell r="D280">
            <v>14</v>
          </cell>
          <cell r="F280">
            <v>14</v>
          </cell>
          <cell r="H280">
            <v>14</v>
          </cell>
          <cell r="J280">
            <v>14</v>
          </cell>
          <cell r="L280">
            <v>15</v>
          </cell>
          <cell r="N280">
            <v>15</v>
          </cell>
          <cell r="P280">
            <v>100</v>
          </cell>
        </row>
        <row r="281">
          <cell r="A281" t="str">
            <v>CMH-BNA</v>
          </cell>
          <cell r="C281">
            <v>13</v>
          </cell>
          <cell r="E281">
            <v>13</v>
          </cell>
          <cell r="G281">
            <v>14</v>
          </cell>
          <cell r="I281">
            <v>13</v>
          </cell>
          <cell r="K281">
            <v>13</v>
          </cell>
          <cell r="M281">
            <v>14</v>
          </cell>
          <cell r="O281">
            <v>14</v>
          </cell>
          <cell r="P281">
            <v>94</v>
          </cell>
        </row>
        <row r="282">
          <cell r="A282" t="str">
            <v>CMH-BWI</v>
          </cell>
          <cell r="C282">
            <v>25</v>
          </cell>
          <cell r="E282">
            <v>25</v>
          </cell>
          <cell r="G282">
            <v>33</v>
          </cell>
          <cell r="I282">
            <v>32</v>
          </cell>
          <cell r="K282">
            <v>32</v>
          </cell>
          <cell r="M282">
            <v>32</v>
          </cell>
          <cell r="O282">
            <v>32</v>
          </cell>
          <cell r="P282">
            <v>211</v>
          </cell>
        </row>
        <row r="283">
          <cell r="A283" t="str">
            <v>CMH-DEN</v>
          </cell>
          <cell r="C283">
            <v>7</v>
          </cell>
          <cell r="E283">
            <v>7</v>
          </cell>
          <cell r="G283">
            <v>7</v>
          </cell>
          <cell r="I283">
            <v>7</v>
          </cell>
          <cell r="K283">
            <v>7</v>
          </cell>
          <cell r="M283">
            <v>7</v>
          </cell>
          <cell r="O283">
            <v>7</v>
          </cell>
          <cell r="P283">
            <v>49</v>
          </cell>
        </row>
        <row r="284">
          <cell r="A284" t="str">
            <v>CMH-FLL</v>
          </cell>
          <cell r="B284">
            <v>7</v>
          </cell>
          <cell r="D284">
            <v>7</v>
          </cell>
          <cell r="F284">
            <v>7</v>
          </cell>
          <cell r="H284">
            <v>7</v>
          </cell>
          <cell r="J284">
            <v>7</v>
          </cell>
          <cell r="L284">
            <v>8</v>
          </cell>
          <cell r="N284">
            <v>8</v>
          </cell>
          <cell r="P284">
            <v>51</v>
          </cell>
        </row>
        <row r="285">
          <cell r="A285" t="str">
            <v>CMH-LAS</v>
          </cell>
          <cell r="C285">
            <v>7</v>
          </cell>
          <cell r="E285">
            <v>7</v>
          </cell>
          <cell r="G285">
            <v>14</v>
          </cell>
          <cell r="I285">
            <v>14</v>
          </cell>
          <cell r="K285">
            <v>14</v>
          </cell>
          <cell r="M285">
            <v>14</v>
          </cell>
          <cell r="O285">
            <v>14</v>
          </cell>
          <cell r="P285">
            <v>84</v>
          </cell>
        </row>
        <row r="286">
          <cell r="A286" t="str">
            <v>CMH-MCO</v>
          </cell>
          <cell r="B286">
            <v>7</v>
          </cell>
          <cell r="C286">
            <v>20</v>
          </cell>
          <cell r="D286">
            <v>7</v>
          </cell>
          <cell r="E286">
            <v>20</v>
          </cell>
          <cell r="F286">
            <v>14</v>
          </cell>
          <cell r="G286">
            <v>15</v>
          </cell>
          <cell r="H286">
            <v>7</v>
          </cell>
          <cell r="I286">
            <v>14</v>
          </cell>
          <cell r="J286">
            <v>7</v>
          </cell>
          <cell r="K286">
            <v>14</v>
          </cell>
          <cell r="L286">
            <v>20</v>
          </cell>
          <cell r="M286">
            <v>9</v>
          </cell>
          <cell r="N286">
            <v>20</v>
          </cell>
          <cell r="O286">
            <v>9</v>
          </cell>
          <cell r="P286">
            <v>183</v>
          </cell>
        </row>
        <row r="287">
          <cell r="A287" t="str">
            <v>CMH-MDW</v>
          </cell>
          <cell r="C287">
            <v>38</v>
          </cell>
          <cell r="E287">
            <v>38</v>
          </cell>
          <cell r="G287">
            <v>45</v>
          </cell>
          <cell r="I287">
            <v>45</v>
          </cell>
          <cell r="K287">
            <v>45</v>
          </cell>
          <cell r="M287">
            <v>45</v>
          </cell>
          <cell r="O287">
            <v>45</v>
          </cell>
          <cell r="P287">
            <v>301</v>
          </cell>
        </row>
        <row r="288">
          <cell r="A288" t="str">
            <v>CMH-PHX</v>
          </cell>
          <cell r="C288">
            <v>7</v>
          </cell>
          <cell r="E288">
            <v>7</v>
          </cell>
          <cell r="G288">
            <v>7</v>
          </cell>
          <cell r="I288">
            <v>7</v>
          </cell>
          <cell r="K288">
            <v>7</v>
          </cell>
          <cell r="M288">
            <v>14</v>
          </cell>
          <cell r="O288">
            <v>14</v>
          </cell>
          <cell r="P288">
            <v>63</v>
          </cell>
        </row>
        <row r="289">
          <cell r="A289" t="str">
            <v>CMH-RSW</v>
          </cell>
          <cell r="B289">
            <v>14</v>
          </cell>
          <cell r="D289">
            <v>14</v>
          </cell>
          <cell r="F289">
            <v>21</v>
          </cell>
          <cell r="H289">
            <v>7</v>
          </cell>
          <cell r="J289">
            <v>7</v>
          </cell>
          <cell r="L289">
            <v>8</v>
          </cell>
          <cell r="N289">
            <v>8</v>
          </cell>
          <cell r="P289">
            <v>79</v>
          </cell>
        </row>
        <row r="290">
          <cell r="A290" t="str">
            <v>CMH-STL</v>
          </cell>
          <cell r="C290">
            <v>11</v>
          </cell>
          <cell r="E290">
            <v>11</v>
          </cell>
          <cell r="G290">
            <v>13</v>
          </cell>
          <cell r="I290">
            <v>13</v>
          </cell>
          <cell r="K290">
            <v>13</v>
          </cell>
          <cell r="M290">
            <v>13</v>
          </cell>
          <cell r="O290">
            <v>13</v>
          </cell>
          <cell r="P290">
            <v>87</v>
          </cell>
        </row>
        <row r="291">
          <cell r="A291" t="str">
            <v>CMH-TPA</v>
          </cell>
          <cell r="B291">
            <v>7</v>
          </cell>
          <cell r="C291">
            <v>7</v>
          </cell>
          <cell r="D291">
            <v>7</v>
          </cell>
          <cell r="E291">
            <v>7</v>
          </cell>
          <cell r="G291">
            <v>22</v>
          </cell>
          <cell r="H291">
            <v>7</v>
          </cell>
          <cell r="I291">
            <v>7</v>
          </cell>
          <cell r="J291">
            <v>7</v>
          </cell>
          <cell r="K291">
            <v>7</v>
          </cell>
          <cell r="L291">
            <v>7</v>
          </cell>
          <cell r="M291">
            <v>7</v>
          </cell>
          <cell r="N291">
            <v>7</v>
          </cell>
          <cell r="O291">
            <v>7</v>
          </cell>
          <cell r="P291">
            <v>106</v>
          </cell>
        </row>
        <row r="292">
          <cell r="A292" t="str">
            <v>CRP-HOU</v>
          </cell>
          <cell r="C292">
            <v>31</v>
          </cell>
          <cell r="E292">
            <v>31</v>
          </cell>
          <cell r="G292">
            <v>32</v>
          </cell>
          <cell r="I292">
            <v>32</v>
          </cell>
          <cell r="K292">
            <v>32</v>
          </cell>
          <cell r="M292">
            <v>32</v>
          </cell>
          <cell r="O292">
            <v>32</v>
          </cell>
          <cell r="P292">
            <v>222</v>
          </cell>
        </row>
        <row r="293">
          <cell r="A293" t="str">
            <v>CUN-ATL</v>
          </cell>
          <cell r="B293">
            <v>15</v>
          </cell>
          <cell r="D293">
            <v>15</v>
          </cell>
          <cell r="F293">
            <v>16</v>
          </cell>
          <cell r="H293">
            <v>15</v>
          </cell>
          <cell r="J293">
            <v>15</v>
          </cell>
          <cell r="L293">
            <v>14</v>
          </cell>
          <cell r="N293">
            <v>14</v>
          </cell>
          <cell r="P293">
            <v>104</v>
          </cell>
        </row>
        <row r="294">
          <cell r="A294" t="str">
            <v>CUN-AUS</v>
          </cell>
          <cell r="B294">
            <v>3</v>
          </cell>
          <cell r="D294">
            <v>3</v>
          </cell>
          <cell r="F294">
            <v>5</v>
          </cell>
          <cell r="H294">
            <v>3</v>
          </cell>
          <cell r="J294">
            <v>3</v>
          </cell>
          <cell r="L294">
            <v>4</v>
          </cell>
          <cell r="N294">
            <v>4</v>
          </cell>
          <cell r="P294">
            <v>25</v>
          </cell>
        </row>
        <row r="295">
          <cell r="A295" t="str">
            <v>CUN-BWI</v>
          </cell>
          <cell r="B295">
            <v>14</v>
          </cell>
          <cell r="D295">
            <v>14</v>
          </cell>
          <cell r="F295">
            <v>14</v>
          </cell>
          <cell r="H295">
            <v>14</v>
          </cell>
          <cell r="J295">
            <v>14</v>
          </cell>
          <cell r="L295">
            <v>14</v>
          </cell>
          <cell r="N295">
            <v>14</v>
          </cell>
          <cell r="P295">
            <v>98</v>
          </cell>
        </row>
        <row r="296">
          <cell r="A296" t="str">
            <v>CUN-DEN</v>
          </cell>
          <cell r="B296">
            <v>7</v>
          </cell>
          <cell r="D296">
            <v>7</v>
          </cell>
          <cell r="F296">
            <v>7</v>
          </cell>
          <cell r="H296">
            <v>7</v>
          </cell>
          <cell r="J296">
            <v>7</v>
          </cell>
          <cell r="L296">
            <v>7</v>
          </cell>
          <cell r="N296">
            <v>7</v>
          </cell>
          <cell r="P296">
            <v>49</v>
          </cell>
        </row>
        <row r="297">
          <cell r="A297" t="str">
            <v>CUN-MDW</v>
          </cell>
          <cell r="B297">
            <v>14</v>
          </cell>
          <cell r="D297">
            <v>14</v>
          </cell>
          <cell r="F297">
            <v>12</v>
          </cell>
          <cell r="H297">
            <v>14</v>
          </cell>
          <cell r="J297">
            <v>14</v>
          </cell>
          <cell r="L297">
            <v>7</v>
          </cell>
          <cell r="N297">
            <v>7</v>
          </cell>
          <cell r="P297">
            <v>82</v>
          </cell>
        </row>
        <row r="298">
          <cell r="A298" t="str">
            <v>CUN-MKE</v>
          </cell>
          <cell r="B298">
            <v>1</v>
          </cell>
          <cell r="D298">
            <v>1</v>
          </cell>
          <cell r="F298">
            <v>1</v>
          </cell>
          <cell r="H298">
            <v>1</v>
          </cell>
          <cell r="J298">
            <v>1</v>
          </cell>
          <cell r="L298">
            <v>1</v>
          </cell>
          <cell r="N298">
            <v>1</v>
          </cell>
          <cell r="P298">
            <v>7</v>
          </cell>
        </row>
        <row r="299">
          <cell r="A299" t="str">
            <v>CUN-SAT</v>
          </cell>
          <cell r="B299">
            <v>3</v>
          </cell>
          <cell r="D299">
            <v>3</v>
          </cell>
          <cell r="F299">
            <v>3</v>
          </cell>
          <cell r="H299">
            <v>3</v>
          </cell>
          <cell r="J299">
            <v>3</v>
          </cell>
          <cell r="L299">
            <v>4</v>
          </cell>
          <cell r="N299">
            <v>4</v>
          </cell>
          <cell r="P299">
            <v>23</v>
          </cell>
        </row>
        <row r="300">
          <cell r="A300" t="str">
            <v>DAL-ABQ</v>
          </cell>
          <cell r="C300">
            <v>44</v>
          </cell>
          <cell r="E300">
            <v>44</v>
          </cell>
          <cell r="G300">
            <v>53</v>
          </cell>
          <cell r="I300">
            <v>54</v>
          </cell>
          <cell r="K300">
            <v>54</v>
          </cell>
          <cell r="M300">
            <v>53</v>
          </cell>
          <cell r="O300">
            <v>53</v>
          </cell>
          <cell r="P300">
            <v>355</v>
          </cell>
        </row>
        <row r="301">
          <cell r="A301" t="str">
            <v>DAL-AMA</v>
          </cell>
          <cell r="C301">
            <v>39</v>
          </cell>
          <cell r="E301">
            <v>39</v>
          </cell>
          <cell r="G301">
            <v>39</v>
          </cell>
          <cell r="I301">
            <v>39</v>
          </cell>
          <cell r="K301">
            <v>39</v>
          </cell>
          <cell r="M301">
            <v>39</v>
          </cell>
          <cell r="O301">
            <v>39</v>
          </cell>
          <cell r="P301">
            <v>273</v>
          </cell>
        </row>
        <row r="302">
          <cell r="A302" t="str">
            <v>DAL-AUS</v>
          </cell>
          <cell r="C302">
            <v>76</v>
          </cell>
          <cell r="E302">
            <v>76</v>
          </cell>
          <cell r="G302">
            <v>77</v>
          </cell>
          <cell r="I302">
            <v>74</v>
          </cell>
          <cell r="K302">
            <v>74</v>
          </cell>
          <cell r="M302">
            <v>76</v>
          </cell>
          <cell r="O302">
            <v>76</v>
          </cell>
          <cell r="P302">
            <v>529</v>
          </cell>
        </row>
        <row r="303">
          <cell r="A303" t="str">
            <v>DAL-BHM</v>
          </cell>
          <cell r="C303">
            <v>20</v>
          </cell>
          <cell r="E303">
            <v>20</v>
          </cell>
          <cell r="G303">
            <v>20</v>
          </cell>
          <cell r="I303">
            <v>20</v>
          </cell>
          <cell r="K303">
            <v>20</v>
          </cell>
          <cell r="M303">
            <v>20</v>
          </cell>
          <cell r="O303">
            <v>20</v>
          </cell>
          <cell r="P303">
            <v>140</v>
          </cell>
        </row>
        <row r="304">
          <cell r="A304" t="str">
            <v>DAL-BKG</v>
          </cell>
          <cell r="G304">
            <v>7</v>
          </cell>
          <cell r="I304">
            <v>7</v>
          </cell>
          <cell r="K304">
            <v>7</v>
          </cell>
          <cell r="M304">
            <v>7</v>
          </cell>
          <cell r="O304">
            <v>7</v>
          </cell>
          <cell r="P304">
            <v>35</v>
          </cell>
        </row>
        <row r="305">
          <cell r="A305" t="str">
            <v>DAL-ELP</v>
          </cell>
          <cell r="C305">
            <v>45</v>
          </cell>
          <cell r="E305">
            <v>44</v>
          </cell>
          <cell r="G305">
            <v>46</v>
          </cell>
          <cell r="I305">
            <v>46</v>
          </cell>
          <cell r="K305">
            <v>46</v>
          </cell>
          <cell r="M305">
            <v>46</v>
          </cell>
          <cell r="O305">
            <v>46</v>
          </cell>
          <cell r="P305">
            <v>319</v>
          </cell>
        </row>
        <row r="306">
          <cell r="A306" t="str">
            <v>DAL-HOU</v>
          </cell>
          <cell r="C306">
            <v>159</v>
          </cell>
          <cell r="E306">
            <v>159</v>
          </cell>
          <cell r="G306">
            <v>161</v>
          </cell>
          <cell r="I306">
            <v>159</v>
          </cell>
          <cell r="K306">
            <v>159</v>
          </cell>
          <cell r="M306">
            <v>160</v>
          </cell>
          <cell r="O306">
            <v>160</v>
          </cell>
          <cell r="P306">
            <v>1117</v>
          </cell>
        </row>
        <row r="307">
          <cell r="A307" t="str">
            <v>DAL-HRL</v>
          </cell>
          <cell r="C307">
            <v>12</v>
          </cell>
          <cell r="E307">
            <v>13</v>
          </cell>
          <cell r="G307">
            <v>13</v>
          </cell>
          <cell r="I307">
            <v>13</v>
          </cell>
          <cell r="K307">
            <v>13</v>
          </cell>
          <cell r="M307">
            <v>14</v>
          </cell>
          <cell r="O307">
            <v>14</v>
          </cell>
          <cell r="P307">
            <v>92</v>
          </cell>
        </row>
        <row r="308">
          <cell r="A308" t="str">
            <v>DAL-ICT</v>
          </cell>
          <cell r="M308">
            <v>14</v>
          </cell>
          <cell r="O308">
            <v>14</v>
          </cell>
          <cell r="P308">
            <v>28</v>
          </cell>
        </row>
        <row r="309">
          <cell r="A309" t="str">
            <v>DAL-LBB</v>
          </cell>
          <cell r="C309">
            <v>33</v>
          </cell>
          <cell r="E309">
            <v>33</v>
          </cell>
          <cell r="G309">
            <v>41</v>
          </cell>
          <cell r="I309">
            <v>39</v>
          </cell>
          <cell r="K309">
            <v>39</v>
          </cell>
          <cell r="M309">
            <v>39</v>
          </cell>
          <cell r="O309">
            <v>39</v>
          </cell>
          <cell r="P309">
            <v>263</v>
          </cell>
        </row>
        <row r="310">
          <cell r="A310" t="str">
            <v>DAL-LIT</v>
          </cell>
          <cell r="C310">
            <v>33</v>
          </cell>
          <cell r="E310">
            <v>33</v>
          </cell>
          <cell r="G310">
            <v>39</v>
          </cell>
          <cell r="I310">
            <v>39</v>
          </cell>
          <cell r="K310">
            <v>39</v>
          </cell>
          <cell r="M310">
            <v>33</v>
          </cell>
          <cell r="O310">
            <v>33</v>
          </cell>
          <cell r="P310">
            <v>249</v>
          </cell>
        </row>
        <row r="311">
          <cell r="A311" t="str">
            <v>DAL-MAF</v>
          </cell>
          <cell r="C311">
            <v>33</v>
          </cell>
          <cell r="E311">
            <v>33</v>
          </cell>
          <cell r="G311">
            <v>32</v>
          </cell>
          <cell r="I311">
            <v>32</v>
          </cell>
          <cell r="K311">
            <v>32</v>
          </cell>
          <cell r="M311">
            <v>33</v>
          </cell>
          <cell r="O311">
            <v>33</v>
          </cell>
          <cell r="P311">
            <v>228</v>
          </cell>
        </row>
        <row r="312">
          <cell r="A312" t="str">
            <v>DAL-MCI</v>
          </cell>
          <cell r="C312">
            <v>65</v>
          </cell>
          <cell r="E312">
            <v>65</v>
          </cell>
          <cell r="G312">
            <v>59</v>
          </cell>
          <cell r="I312">
            <v>64</v>
          </cell>
          <cell r="K312">
            <v>64</v>
          </cell>
          <cell r="M312">
            <v>58</v>
          </cell>
          <cell r="O312">
            <v>58</v>
          </cell>
          <cell r="P312">
            <v>433</v>
          </cell>
        </row>
        <row r="313">
          <cell r="A313" t="str">
            <v>DAL-MSY</v>
          </cell>
          <cell r="C313">
            <v>52</v>
          </cell>
          <cell r="E313">
            <v>52</v>
          </cell>
          <cell r="G313">
            <v>52</v>
          </cell>
          <cell r="I313">
            <v>53</v>
          </cell>
          <cell r="K313">
            <v>53</v>
          </cell>
          <cell r="M313">
            <v>54</v>
          </cell>
          <cell r="O313">
            <v>54</v>
          </cell>
          <cell r="P313">
            <v>370</v>
          </cell>
        </row>
        <row r="314">
          <cell r="A314" t="str">
            <v>DAL-OKC</v>
          </cell>
          <cell r="C314">
            <v>31</v>
          </cell>
          <cell r="E314">
            <v>31</v>
          </cell>
          <cell r="G314">
            <v>32</v>
          </cell>
          <cell r="I314">
            <v>32</v>
          </cell>
          <cell r="K314">
            <v>32</v>
          </cell>
          <cell r="M314">
            <v>26</v>
          </cell>
          <cell r="O314">
            <v>26</v>
          </cell>
          <cell r="P314">
            <v>210</v>
          </cell>
        </row>
        <row r="315">
          <cell r="A315" t="str">
            <v>DAL-SAT</v>
          </cell>
          <cell r="C315">
            <v>83</v>
          </cell>
          <cell r="E315">
            <v>83</v>
          </cell>
          <cell r="G315">
            <v>90</v>
          </cell>
          <cell r="I315">
            <v>89</v>
          </cell>
          <cell r="K315">
            <v>89</v>
          </cell>
          <cell r="M315">
            <v>83</v>
          </cell>
          <cell r="O315">
            <v>83</v>
          </cell>
          <cell r="P315">
            <v>600</v>
          </cell>
        </row>
        <row r="316">
          <cell r="A316" t="str">
            <v>DAL-STL</v>
          </cell>
          <cell r="C316">
            <v>52</v>
          </cell>
          <cell r="E316">
            <v>52</v>
          </cell>
          <cell r="G316">
            <v>53</v>
          </cell>
          <cell r="I316">
            <v>60</v>
          </cell>
          <cell r="K316">
            <v>60</v>
          </cell>
          <cell r="M316">
            <v>59</v>
          </cell>
          <cell r="O316">
            <v>59</v>
          </cell>
          <cell r="P316">
            <v>395</v>
          </cell>
        </row>
        <row r="317">
          <cell r="A317" t="str">
            <v>DAL-TUL</v>
          </cell>
          <cell r="C317">
            <v>32</v>
          </cell>
          <cell r="E317">
            <v>32</v>
          </cell>
          <cell r="G317">
            <v>38</v>
          </cell>
          <cell r="I317">
            <v>38</v>
          </cell>
          <cell r="K317">
            <v>38</v>
          </cell>
          <cell r="M317">
            <v>38</v>
          </cell>
          <cell r="O317">
            <v>38</v>
          </cell>
          <cell r="P317">
            <v>254</v>
          </cell>
        </row>
        <row r="318">
          <cell r="A318" t="str">
            <v>DAY-ATL</v>
          </cell>
          <cell r="B318">
            <v>20</v>
          </cell>
          <cell r="D318">
            <v>20</v>
          </cell>
          <cell r="F318">
            <v>21</v>
          </cell>
          <cell r="H318">
            <v>21</v>
          </cell>
          <cell r="J318">
            <v>21</v>
          </cell>
          <cell r="L318">
            <v>21</v>
          </cell>
          <cell r="N318">
            <v>21</v>
          </cell>
          <cell r="P318">
            <v>145</v>
          </cell>
        </row>
        <row r="319">
          <cell r="A319" t="str">
            <v>DAY-BWI</v>
          </cell>
          <cell r="B319">
            <v>14</v>
          </cell>
          <cell r="D319">
            <v>14</v>
          </cell>
          <cell r="F319">
            <v>14</v>
          </cell>
          <cell r="H319">
            <v>19</v>
          </cell>
          <cell r="J319">
            <v>19</v>
          </cell>
          <cell r="L319">
            <v>20</v>
          </cell>
          <cell r="N319">
            <v>20</v>
          </cell>
          <cell r="P319">
            <v>120</v>
          </cell>
        </row>
        <row r="320">
          <cell r="A320" t="str">
            <v>DAY-DEN</v>
          </cell>
          <cell r="C320">
            <v>7</v>
          </cell>
          <cell r="E320">
            <v>7</v>
          </cell>
          <cell r="G320">
            <v>7</v>
          </cell>
          <cell r="I320">
            <v>7</v>
          </cell>
          <cell r="K320">
            <v>7</v>
          </cell>
          <cell r="M320">
            <v>7</v>
          </cell>
          <cell r="O320">
            <v>7</v>
          </cell>
          <cell r="P320">
            <v>49</v>
          </cell>
        </row>
        <row r="321">
          <cell r="A321" t="str">
            <v>DAY-MCO</v>
          </cell>
          <cell r="B321">
            <v>7</v>
          </cell>
          <cell r="D321">
            <v>7</v>
          </cell>
          <cell r="F321">
            <v>10</v>
          </cell>
          <cell r="G321">
            <v>7</v>
          </cell>
          <cell r="H321">
            <v>7</v>
          </cell>
          <cell r="J321">
            <v>7</v>
          </cell>
          <cell r="L321">
            <v>8</v>
          </cell>
          <cell r="N321">
            <v>8</v>
          </cell>
          <cell r="P321">
            <v>61</v>
          </cell>
        </row>
        <row r="322">
          <cell r="A322" t="str">
            <v>DAY-TPA</v>
          </cell>
          <cell r="B322">
            <v>7</v>
          </cell>
          <cell r="D322">
            <v>7</v>
          </cell>
          <cell r="F322">
            <v>7</v>
          </cell>
          <cell r="H322">
            <v>7</v>
          </cell>
          <cell r="J322">
            <v>7</v>
          </cell>
          <cell r="L322">
            <v>8</v>
          </cell>
          <cell r="N322">
            <v>8</v>
          </cell>
          <cell r="P322">
            <v>51</v>
          </cell>
        </row>
        <row r="323">
          <cell r="A323" t="str">
            <v>DCA-ATL</v>
          </cell>
          <cell r="B323">
            <v>41</v>
          </cell>
          <cell r="D323">
            <v>41</v>
          </cell>
          <cell r="F323">
            <v>41</v>
          </cell>
          <cell r="H323">
            <v>40</v>
          </cell>
          <cell r="J323">
            <v>40</v>
          </cell>
          <cell r="L323">
            <v>42</v>
          </cell>
          <cell r="N323">
            <v>42</v>
          </cell>
          <cell r="P323">
            <v>287</v>
          </cell>
        </row>
        <row r="324">
          <cell r="A324" t="str">
            <v>DCA-AUS</v>
          </cell>
          <cell r="C324">
            <v>7</v>
          </cell>
          <cell r="E324">
            <v>7</v>
          </cell>
          <cell r="G324">
            <v>7</v>
          </cell>
          <cell r="I324">
            <v>7</v>
          </cell>
          <cell r="K324">
            <v>7</v>
          </cell>
          <cell r="M324">
            <v>7</v>
          </cell>
          <cell r="O324">
            <v>7</v>
          </cell>
          <cell r="P324">
            <v>49</v>
          </cell>
        </row>
        <row r="325">
          <cell r="A325" t="str">
            <v>DCA-MCO</v>
          </cell>
          <cell r="B325">
            <v>7</v>
          </cell>
          <cell r="D325">
            <v>7</v>
          </cell>
          <cell r="F325">
            <v>7</v>
          </cell>
          <cell r="H325">
            <v>7</v>
          </cell>
          <cell r="J325">
            <v>7</v>
          </cell>
          <cell r="L325">
            <v>7</v>
          </cell>
          <cell r="N325">
            <v>7</v>
          </cell>
          <cell r="P325">
            <v>49</v>
          </cell>
        </row>
        <row r="326">
          <cell r="A326" t="str">
            <v>DCA-MKE</v>
          </cell>
          <cell r="B326">
            <v>27</v>
          </cell>
          <cell r="D326">
            <v>27</v>
          </cell>
          <cell r="F326">
            <v>27</v>
          </cell>
          <cell r="H326">
            <v>27</v>
          </cell>
          <cell r="J326">
            <v>27</v>
          </cell>
          <cell r="L326">
            <v>28</v>
          </cell>
          <cell r="N326">
            <v>28</v>
          </cell>
          <cell r="P326">
            <v>191</v>
          </cell>
        </row>
        <row r="327">
          <cell r="A327" t="str">
            <v>DCA-RSW</v>
          </cell>
          <cell r="B327">
            <v>7</v>
          </cell>
          <cell r="D327">
            <v>7</v>
          </cell>
          <cell r="F327">
            <v>7</v>
          </cell>
          <cell r="H327">
            <v>7</v>
          </cell>
          <cell r="J327">
            <v>7</v>
          </cell>
          <cell r="L327">
            <v>7</v>
          </cell>
          <cell r="N327">
            <v>7</v>
          </cell>
          <cell r="P327">
            <v>49</v>
          </cell>
        </row>
        <row r="328">
          <cell r="A328" t="str">
            <v>DCA-STL</v>
          </cell>
          <cell r="C328">
            <v>14</v>
          </cell>
          <cell r="E328">
            <v>14</v>
          </cell>
          <cell r="G328">
            <v>14</v>
          </cell>
          <cell r="I328">
            <v>14</v>
          </cell>
          <cell r="K328">
            <v>14</v>
          </cell>
          <cell r="M328">
            <v>14</v>
          </cell>
          <cell r="O328">
            <v>14</v>
          </cell>
          <cell r="P328">
            <v>98</v>
          </cell>
        </row>
        <row r="329">
          <cell r="A329" t="str">
            <v>DEN-ABQ</v>
          </cell>
          <cell r="C329">
            <v>19</v>
          </cell>
          <cell r="E329">
            <v>19</v>
          </cell>
          <cell r="G329">
            <v>20</v>
          </cell>
          <cell r="I329">
            <v>20</v>
          </cell>
          <cell r="K329">
            <v>20</v>
          </cell>
          <cell r="M329">
            <v>20</v>
          </cell>
          <cell r="O329">
            <v>20</v>
          </cell>
          <cell r="P329">
            <v>138</v>
          </cell>
        </row>
        <row r="330">
          <cell r="A330" t="str">
            <v>DEN-AMA</v>
          </cell>
          <cell r="C330">
            <v>14</v>
          </cell>
          <cell r="E330">
            <v>14</v>
          </cell>
          <cell r="G330">
            <v>14</v>
          </cell>
          <cell r="I330">
            <v>13</v>
          </cell>
          <cell r="K330">
            <v>13</v>
          </cell>
          <cell r="M330">
            <v>14</v>
          </cell>
          <cell r="O330">
            <v>14</v>
          </cell>
          <cell r="P330">
            <v>96</v>
          </cell>
        </row>
        <row r="331">
          <cell r="A331" t="str">
            <v>DEN-ATL</v>
          </cell>
          <cell r="B331">
            <v>14</v>
          </cell>
          <cell r="C331">
            <v>14</v>
          </cell>
          <cell r="D331">
            <v>13</v>
          </cell>
          <cell r="E331">
            <v>14</v>
          </cell>
          <cell r="F331">
            <v>14</v>
          </cell>
          <cell r="G331">
            <v>14</v>
          </cell>
          <cell r="H331">
            <v>14</v>
          </cell>
          <cell r="I331">
            <v>14</v>
          </cell>
          <cell r="J331">
            <v>14</v>
          </cell>
          <cell r="K331">
            <v>14</v>
          </cell>
          <cell r="L331">
            <v>14</v>
          </cell>
          <cell r="M331">
            <v>14</v>
          </cell>
          <cell r="N331">
            <v>14</v>
          </cell>
          <cell r="O331">
            <v>14</v>
          </cell>
          <cell r="P331">
            <v>195</v>
          </cell>
        </row>
        <row r="332">
          <cell r="A332" t="str">
            <v>DEN-AUS</v>
          </cell>
          <cell r="C332">
            <v>20</v>
          </cell>
          <cell r="E332">
            <v>20</v>
          </cell>
          <cell r="G332">
            <v>20</v>
          </cell>
          <cell r="I332">
            <v>20</v>
          </cell>
          <cell r="K332">
            <v>20</v>
          </cell>
          <cell r="M332">
            <v>20</v>
          </cell>
          <cell r="O332">
            <v>20</v>
          </cell>
          <cell r="P332">
            <v>140</v>
          </cell>
        </row>
        <row r="333">
          <cell r="A333" t="str">
            <v>DEN-BDL</v>
          </cell>
          <cell r="C333">
            <v>7</v>
          </cell>
          <cell r="E333">
            <v>7</v>
          </cell>
          <cell r="G333">
            <v>7</v>
          </cell>
          <cell r="I333">
            <v>7</v>
          </cell>
          <cell r="K333">
            <v>7</v>
          </cell>
          <cell r="M333">
            <v>7</v>
          </cell>
          <cell r="O333">
            <v>7</v>
          </cell>
          <cell r="P333">
            <v>49</v>
          </cell>
        </row>
        <row r="334">
          <cell r="A334" t="str">
            <v>DEN-BNA</v>
          </cell>
          <cell r="C334">
            <v>20</v>
          </cell>
          <cell r="E334">
            <v>20</v>
          </cell>
          <cell r="G334">
            <v>27</v>
          </cell>
          <cell r="I334">
            <v>25</v>
          </cell>
          <cell r="K334">
            <v>25</v>
          </cell>
          <cell r="M334">
            <v>27</v>
          </cell>
          <cell r="O334">
            <v>27</v>
          </cell>
          <cell r="P334">
            <v>171</v>
          </cell>
        </row>
        <row r="335">
          <cell r="A335" t="str">
            <v>DEN-BOI</v>
          </cell>
          <cell r="C335">
            <v>13</v>
          </cell>
          <cell r="E335">
            <v>13</v>
          </cell>
          <cell r="G335">
            <v>14</v>
          </cell>
          <cell r="I335">
            <v>13</v>
          </cell>
          <cell r="K335">
            <v>13</v>
          </cell>
          <cell r="M335">
            <v>14</v>
          </cell>
          <cell r="O335">
            <v>14</v>
          </cell>
          <cell r="P335">
            <v>94</v>
          </cell>
        </row>
        <row r="336">
          <cell r="A336" t="str">
            <v>DEN-BOS</v>
          </cell>
          <cell r="C336">
            <v>7</v>
          </cell>
          <cell r="E336">
            <v>7</v>
          </cell>
          <cell r="G336">
            <v>14</v>
          </cell>
          <cell r="I336">
            <v>13</v>
          </cell>
          <cell r="K336">
            <v>13</v>
          </cell>
          <cell r="M336">
            <v>14</v>
          </cell>
          <cell r="O336">
            <v>14</v>
          </cell>
          <cell r="P336">
            <v>82</v>
          </cell>
        </row>
        <row r="337">
          <cell r="A337" t="str">
            <v>DEN-BUR</v>
          </cell>
          <cell r="C337">
            <v>12</v>
          </cell>
          <cell r="E337">
            <v>11</v>
          </cell>
          <cell r="G337">
            <v>12</v>
          </cell>
          <cell r="P337">
            <v>35</v>
          </cell>
        </row>
        <row r="338">
          <cell r="A338" t="str">
            <v>DEN-BWI</v>
          </cell>
          <cell r="C338">
            <v>20</v>
          </cell>
          <cell r="E338">
            <v>20</v>
          </cell>
          <cell r="G338">
            <v>27</v>
          </cell>
          <cell r="I338">
            <v>27</v>
          </cell>
          <cell r="K338">
            <v>27</v>
          </cell>
          <cell r="M338">
            <v>28</v>
          </cell>
          <cell r="O338">
            <v>28</v>
          </cell>
          <cell r="P338">
            <v>177</v>
          </cell>
        </row>
        <row r="339">
          <cell r="A339" t="str">
            <v>DEN-CAK</v>
          </cell>
          <cell r="C339">
            <v>7</v>
          </cell>
          <cell r="E339">
            <v>7</v>
          </cell>
          <cell r="G339">
            <v>7</v>
          </cell>
          <cell r="I339">
            <v>7</v>
          </cell>
          <cell r="K339">
            <v>7</v>
          </cell>
          <cell r="M339">
            <v>7</v>
          </cell>
          <cell r="O339">
            <v>7</v>
          </cell>
          <cell r="P339">
            <v>49</v>
          </cell>
        </row>
        <row r="340">
          <cell r="A340" t="str">
            <v>DEN-CMH</v>
          </cell>
          <cell r="C340">
            <v>7</v>
          </cell>
          <cell r="E340">
            <v>7</v>
          </cell>
          <cell r="G340">
            <v>7</v>
          </cell>
          <cell r="I340">
            <v>7</v>
          </cell>
          <cell r="K340">
            <v>7</v>
          </cell>
          <cell r="M340">
            <v>7</v>
          </cell>
          <cell r="O340">
            <v>7</v>
          </cell>
          <cell r="P340">
            <v>49</v>
          </cell>
        </row>
        <row r="341">
          <cell r="A341" t="str">
            <v>DEN-CUN</v>
          </cell>
          <cell r="B341">
            <v>7</v>
          </cell>
          <cell r="D341">
            <v>7</v>
          </cell>
          <cell r="F341">
            <v>7</v>
          </cell>
          <cell r="H341">
            <v>7</v>
          </cell>
          <cell r="J341">
            <v>7</v>
          </cell>
          <cell r="L341">
            <v>7</v>
          </cell>
          <cell r="N341">
            <v>7</v>
          </cell>
          <cell r="P341">
            <v>49</v>
          </cell>
        </row>
        <row r="342">
          <cell r="A342" t="str">
            <v>DEN-DAY</v>
          </cell>
          <cell r="C342">
            <v>7</v>
          </cell>
          <cell r="E342">
            <v>7</v>
          </cell>
          <cell r="G342">
            <v>7</v>
          </cell>
          <cell r="I342">
            <v>7</v>
          </cell>
          <cell r="K342">
            <v>7</v>
          </cell>
          <cell r="M342">
            <v>7</v>
          </cell>
          <cell r="O342">
            <v>7</v>
          </cell>
          <cell r="P342">
            <v>49</v>
          </cell>
        </row>
        <row r="343">
          <cell r="A343" t="str">
            <v>DEN-DTW</v>
          </cell>
          <cell r="C343">
            <v>14</v>
          </cell>
          <cell r="E343">
            <v>14</v>
          </cell>
          <cell r="G343">
            <v>13</v>
          </cell>
          <cell r="I343">
            <v>13</v>
          </cell>
          <cell r="K343">
            <v>13</v>
          </cell>
          <cell r="M343">
            <v>14</v>
          </cell>
          <cell r="O343">
            <v>14</v>
          </cell>
          <cell r="P343">
            <v>95</v>
          </cell>
        </row>
        <row r="344">
          <cell r="A344" t="str">
            <v>DEN-EWR</v>
          </cell>
          <cell r="C344">
            <v>14</v>
          </cell>
          <cell r="E344">
            <v>14</v>
          </cell>
          <cell r="G344">
            <v>14</v>
          </cell>
          <cell r="I344">
            <v>13</v>
          </cell>
          <cell r="K344">
            <v>13</v>
          </cell>
          <cell r="M344">
            <v>14</v>
          </cell>
          <cell r="O344">
            <v>14</v>
          </cell>
          <cell r="P344">
            <v>96</v>
          </cell>
        </row>
        <row r="345">
          <cell r="A345" t="str">
            <v>DEN-FLL</v>
          </cell>
          <cell r="C345">
            <v>13</v>
          </cell>
          <cell r="E345">
            <v>13</v>
          </cell>
          <cell r="G345">
            <v>14</v>
          </cell>
          <cell r="I345">
            <v>14</v>
          </cell>
          <cell r="K345">
            <v>14</v>
          </cell>
          <cell r="M345">
            <v>8</v>
          </cell>
          <cell r="O345">
            <v>8</v>
          </cell>
          <cell r="P345">
            <v>84</v>
          </cell>
        </row>
        <row r="346">
          <cell r="A346" t="str">
            <v>DEN-GEG</v>
          </cell>
          <cell r="C346">
            <v>12</v>
          </cell>
          <cell r="E346">
            <v>12</v>
          </cell>
          <cell r="G346">
            <v>14</v>
          </cell>
          <cell r="I346">
            <v>13</v>
          </cell>
          <cell r="K346">
            <v>13</v>
          </cell>
          <cell r="M346">
            <v>14</v>
          </cell>
          <cell r="O346">
            <v>14</v>
          </cell>
          <cell r="P346">
            <v>92</v>
          </cell>
        </row>
        <row r="347">
          <cell r="A347" t="str">
            <v>DEN-HOU</v>
          </cell>
          <cell r="C347">
            <v>27</v>
          </cell>
          <cell r="E347">
            <v>27</v>
          </cell>
          <cell r="G347">
            <v>28</v>
          </cell>
          <cell r="I347">
            <v>27</v>
          </cell>
          <cell r="K347">
            <v>27</v>
          </cell>
          <cell r="M347">
            <v>34</v>
          </cell>
          <cell r="O347">
            <v>34</v>
          </cell>
          <cell r="P347">
            <v>204</v>
          </cell>
        </row>
        <row r="348">
          <cell r="A348" t="str">
            <v>DEN-IAD</v>
          </cell>
          <cell r="C348">
            <v>14</v>
          </cell>
          <cell r="E348">
            <v>14</v>
          </cell>
          <cell r="G348">
            <v>14</v>
          </cell>
          <cell r="I348">
            <v>13</v>
          </cell>
          <cell r="K348">
            <v>13</v>
          </cell>
          <cell r="M348">
            <v>14</v>
          </cell>
          <cell r="O348">
            <v>14</v>
          </cell>
          <cell r="P348">
            <v>96</v>
          </cell>
        </row>
        <row r="349">
          <cell r="A349" t="str">
            <v>DEN-IND</v>
          </cell>
          <cell r="C349">
            <v>13</v>
          </cell>
          <cell r="E349">
            <v>13</v>
          </cell>
          <cell r="G349">
            <v>19</v>
          </cell>
          <cell r="I349">
            <v>20</v>
          </cell>
          <cell r="K349">
            <v>20</v>
          </cell>
          <cell r="M349">
            <v>21</v>
          </cell>
          <cell r="O349">
            <v>21</v>
          </cell>
          <cell r="P349">
            <v>127</v>
          </cell>
        </row>
        <row r="350">
          <cell r="A350" t="str">
            <v>DEN-JAX</v>
          </cell>
          <cell r="C350">
            <v>7</v>
          </cell>
          <cell r="E350">
            <v>7</v>
          </cell>
          <cell r="G350">
            <v>7</v>
          </cell>
          <cell r="I350">
            <v>7</v>
          </cell>
          <cell r="K350">
            <v>7</v>
          </cell>
          <cell r="M350">
            <v>7</v>
          </cell>
          <cell r="O350">
            <v>7</v>
          </cell>
          <cell r="P350">
            <v>49</v>
          </cell>
        </row>
        <row r="351">
          <cell r="A351" t="str">
            <v>DEN-LAS</v>
          </cell>
          <cell r="C351">
            <v>53</v>
          </cell>
          <cell r="E351">
            <v>53</v>
          </cell>
          <cell r="G351">
            <v>61</v>
          </cell>
          <cell r="I351">
            <v>61</v>
          </cell>
          <cell r="K351">
            <v>61</v>
          </cell>
          <cell r="M351">
            <v>61</v>
          </cell>
          <cell r="O351">
            <v>61</v>
          </cell>
          <cell r="P351">
            <v>411</v>
          </cell>
        </row>
        <row r="352">
          <cell r="A352" t="str">
            <v>DEN-LAX</v>
          </cell>
          <cell r="C352">
            <v>40</v>
          </cell>
          <cell r="E352">
            <v>40</v>
          </cell>
          <cell r="G352">
            <v>41</v>
          </cell>
          <cell r="I352">
            <v>47</v>
          </cell>
          <cell r="K352">
            <v>47</v>
          </cell>
          <cell r="M352">
            <v>47</v>
          </cell>
          <cell r="O352">
            <v>47</v>
          </cell>
          <cell r="P352">
            <v>309</v>
          </cell>
        </row>
        <row r="353">
          <cell r="A353" t="str">
            <v>DEN-LGA</v>
          </cell>
          <cell r="C353">
            <v>14</v>
          </cell>
          <cell r="E353">
            <v>14</v>
          </cell>
          <cell r="G353">
            <v>14</v>
          </cell>
          <cell r="I353">
            <v>14</v>
          </cell>
          <cell r="K353">
            <v>14</v>
          </cell>
          <cell r="M353">
            <v>14</v>
          </cell>
          <cell r="O353">
            <v>14</v>
          </cell>
          <cell r="P353">
            <v>98</v>
          </cell>
        </row>
        <row r="354">
          <cell r="A354" t="str">
            <v>DEN-MCI</v>
          </cell>
          <cell r="C354">
            <v>33</v>
          </cell>
          <cell r="E354">
            <v>33</v>
          </cell>
          <cell r="G354">
            <v>33</v>
          </cell>
          <cell r="I354">
            <v>33</v>
          </cell>
          <cell r="K354">
            <v>33</v>
          </cell>
          <cell r="M354">
            <v>33</v>
          </cell>
          <cell r="O354">
            <v>33</v>
          </cell>
          <cell r="P354">
            <v>231</v>
          </cell>
        </row>
        <row r="355">
          <cell r="A355" t="str">
            <v>DEN-MCO</v>
          </cell>
          <cell r="C355">
            <v>14</v>
          </cell>
          <cell r="E355">
            <v>14</v>
          </cell>
          <cell r="G355">
            <v>22</v>
          </cell>
          <cell r="I355">
            <v>21</v>
          </cell>
          <cell r="K355">
            <v>21</v>
          </cell>
          <cell r="M355">
            <v>21</v>
          </cell>
          <cell r="O355">
            <v>21</v>
          </cell>
          <cell r="P355">
            <v>134</v>
          </cell>
        </row>
        <row r="356">
          <cell r="A356" t="str">
            <v>DEN-MDW</v>
          </cell>
          <cell r="C356">
            <v>52</v>
          </cell>
          <cell r="E356">
            <v>52</v>
          </cell>
          <cell r="G356">
            <v>60</v>
          </cell>
          <cell r="I356">
            <v>58</v>
          </cell>
          <cell r="K356">
            <v>58</v>
          </cell>
          <cell r="M356">
            <v>61</v>
          </cell>
          <cell r="O356">
            <v>61</v>
          </cell>
          <cell r="P356">
            <v>402</v>
          </cell>
        </row>
        <row r="357">
          <cell r="A357" t="str">
            <v>DEN-MHT</v>
          </cell>
          <cell r="C357">
            <v>7</v>
          </cell>
          <cell r="E357">
            <v>7</v>
          </cell>
          <cell r="G357">
            <v>7</v>
          </cell>
          <cell r="I357">
            <v>7</v>
          </cell>
          <cell r="K357">
            <v>7</v>
          </cell>
          <cell r="M357">
            <v>7</v>
          </cell>
          <cell r="O357">
            <v>7</v>
          </cell>
          <cell r="P357">
            <v>49</v>
          </cell>
        </row>
        <row r="358">
          <cell r="A358" t="str">
            <v>DEN-MKE</v>
          </cell>
          <cell r="C358">
            <v>18</v>
          </cell>
          <cell r="E358">
            <v>18</v>
          </cell>
          <cell r="G358">
            <v>14</v>
          </cell>
          <cell r="I358">
            <v>13</v>
          </cell>
          <cell r="K358">
            <v>13</v>
          </cell>
          <cell r="M358">
            <v>14</v>
          </cell>
          <cell r="O358">
            <v>14</v>
          </cell>
          <cell r="P358">
            <v>104</v>
          </cell>
        </row>
        <row r="359">
          <cell r="A359" t="str">
            <v>DEN-MSP</v>
          </cell>
          <cell r="C359">
            <v>27</v>
          </cell>
          <cell r="E359">
            <v>27</v>
          </cell>
          <cell r="G359">
            <v>27</v>
          </cell>
          <cell r="I359">
            <v>27</v>
          </cell>
          <cell r="K359">
            <v>27</v>
          </cell>
          <cell r="M359">
            <v>27</v>
          </cell>
          <cell r="O359">
            <v>27</v>
          </cell>
          <cell r="P359">
            <v>189</v>
          </cell>
        </row>
        <row r="360">
          <cell r="A360" t="str">
            <v>DEN-MSY</v>
          </cell>
          <cell r="C360">
            <v>14</v>
          </cell>
          <cell r="E360">
            <v>14</v>
          </cell>
          <cell r="G360">
            <v>14</v>
          </cell>
          <cell r="I360">
            <v>14</v>
          </cell>
          <cell r="K360">
            <v>14</v>
          </cell>
          <cell r="M360">
            <v>14</v>
          </cell>
          <cell r="O360">
            <v>14</v>
          </cell>
          <cell r="P360">
            <v>98</v>
          </cell>
        </row>
        <row r="361">
          <cell r="A361" t="str">
            <v>DEN-OAK</v>
          </cell>
          <cell r="C361">
            <v>24</v>
          </cell>
          <cell r="E361">
            <v>25</v>
          </cell>
          <cell r="G361">
            <v>27</v>
          </cell>
          <cell r="I361">
            <v>26</v>
          </cell>
          <cell r="K361">
            <v>26</v>
          </cell>
          <cell r="M361">
            <v>27</v>
          </cell>
          <cell r="O361">
            <v>27</v>
          </cell>
          <cell r="P361">
            <v>182</v>
          </cell>
        </row>
        <row r="362">
          <cell r="A362" t="str">
            <v>DEN-OKC</v>
          </cell>
          <cell r="C362">
            <v>20</v>
          </cell>
          <cell r="E362">
            <v>20</v>
          </cell>
          <cell r="G362">
            <v>20</v>
          </cell>
          <cell r="I362">
            <v>20</v>
          </cell>
          <cell r="K362">
            <v>20</v>
          </cell>
          <cell r="M362">
            <v>20</v>
          </cell>
          <cell r="O362">
            <v>20</v>
          </cell>
          <cell r="P362">
            <v>140</v>
          </cell>
        </row>
        <row r="363">
          <cell r="A363" t="str">
            <v>DEN-OMA</v>
          </cell>
          <cell r="C363">
            <v>20</v>
          </cell>
          <cell r="E363">
            <v>20</v>
          </cell>
          <cell r="G363">
            <v>20</v>
          </cell>
          <cell r="I363">
            <v>20</v>
          </cell>
          <cell r="K363">
            <v>20</v>
          </cell>
          <cell r="M363">
            <v>20</v>
          </cell>
          <cell r="O363">
            <v>20</v>
          </cell>
          <cell r="P363">
            <v>140</v>
          </cell>
        </row>
        <row r="364">
          <cell r="A364" t="str">
            <v>DEN-ONT</v>
          </cell>
          <cell r="C364">
            <v>13</v>
          </cell>
          <cell r="E364">
            <v>12</v>
          </cell>
          <cell r="G364">
            <v>14</v>
          </cell>
          <cell r="I364">
            <v>12</v>
          </cell>
          <cell r="K364">
            <v>12</v>
          </cell>
          <cell r="M364">
            <v>14</v>
          </cell>
          <cell r="O364">
            <v>14</v>
          </cell>
          <cell r="P364">
            <v>91</v>
          </cell>
        </row>
        <row r="365">
          <cell r="A365" t="str">
            <v>DEN-PDX</v>
          </cell>
          <cell r="C365">
            <v>19</v>
          </cell>
          <cell r="E365">
            <v>19</v>
          </cell>
          <cell r="G365">
            <v>20</v>
          </cell>
          <cell r="I365">
            <v>19</v>
          </cell>
          <cell r="K365">
            <v>19</v>
          </cell>
          <cell r="M365">
            <v>21</v>
          </cell>
          <cell r="O365">
            <v>21</v>
          </cell>
          <cell r="P365">
            <v>138</v>
          </cell>
        </row>
        <row r="366">
          <cell r="A366" t="str">
            <v>DEN-PHL</v>
          </cell>
          <cell r="C366">
            <v>13</v>
          </cell>
          <cell r="E366">
            <v>13</v>
          </cell>
          <cell r="G366">
            <v>20</v>
          </cell>
          <cell r="I366">
            <v>18</v>
          </cell>
          <cell r="K366">
            <v>18</v>
          </cell>
          <cell r="M366">
            <v>21</v>
          </cell>
          <cell r="O366">
            <v>21</v>
          </cell>
          <cell r="P366">
            <v>124</v>
          </cell>
        </row>
        <row r="367">
          <cell r="A367" t="str">
            <v>DEN-PHX</v>
          </cell>
          <cell r="C367">
            <v>59</v>
          </cell>
          <cell r="E367">
            <v>59</v>
          </cell>
          <cell r="G367">
            <v>60</v>
          </cell>
          <cell r="I367">
            <v>59</v>
          </cell>
          <cell r="K367">
            <v>59</v>
          </cell>
          <cell r="M367">
            <v>54</v>
          </cell>
          <cell r="O367">
            <v>54</v>
          </cell>
          <cell r="P367">
            <v>404</v>
          </cell>
        </row>
        <row r="368">
          <cell r="A368" t="str">
            <v>DEN-PIT</v>
          </cell>
          <cell r="C368">
            <v>7</v>
          </cell>
          <cell r="E368">
            <v>7</v>
          </cell>
          <cell r="G368">
            <v>7</v>
          </cell>
          <cell r="I368">
            <v>7</v>
          </cell>
          <cell r="K368">
            <v>7</v>
          </cell>
          <cell r="M368">
            <v>7</v>
          </cell>
          <cell r="O368">
            <v>7</v>
          </cell>
          <cell r="P368">
            <v>49</v>
          </cell>
        </row>
        <row r="369">
          <cell r="A369" t="str">
            <v>DEN-PVD</v>
          </cell>
          <cell r="C369">
            <v>7</v>
          </cell>
          <cell r="E369">
            <v>7</v>
          </cell>
          <cell r="G369">
            <v>7</v>
          </cell>
          <cell r="I369">
            <v>7</v>
          </cell>
          <cell r="K369">
            <v>7</v>
          </cell>
          <cell r="M369">
            <v>7</v>
          </cell>
          <cell r="O369">
            <v>7</v>
          </cell>
          <cell r="P369">
            <v>49</v>
          </cell>
        </row>
        <row r="370">
          <cell r="A370" t="str">
            <v>DEN-RDU</v>
          </cell>
          <cell r="C370">
            <v>7</v>
          </cell>
          <cell r="E370">
            <v>7</v>
          </cell>
          <cell r="G370">
            <v>7</v>
          </cell>
          <cell r="I370">
            <v>7</v>
          </cell>
          <cell r="K370">
            <v>7</v>
          </cell>
          <cell r="M370">
            <v>14</v>
          </cell>
          <cell r="O370">
            <v>14</v>
          </cell>
          <cell r="P370">
            <v>63</v>
          </cell>
        </row>
        <row r="371">
          <cell r="A371" t="str">
            <v>DEN-RNO</v>
          </cell>
          <cell r="C371">
            <v>7</v>
          </cell>
          <cell r="E371">
            <v>7</v>
          </cell>
          <cell r="G371">
            <v>14</v>
          </cell>
          <cell r="I371">
            <v>14</v>
          </cell>
          <cell r="K371">
            <v>14</v>
          </cell>
          <cell r="M371">
            <v>14</v>
          </cell>
          <cell r="O371">
            <v>14</v>
          </cell>
          <cell r="P371">
            <v>84</v>
          </cell>
        </row>
        <row r="372">
          <cell r="A372" t="str">
            <v>DEN-SAN</v>
          </cell>
          <cell r="C372">
            <v>27</v>
          </cell>
          <cell r="E372">
            <v>27</v>
          </cell>
          <cell r="G372">
            <v>34</v>
          </cell>
          <cell r="I372">
            <v>34</v>
          </cell>
          <cell r="K372">
            <v>34</v>
          </cell>
          <cell r="M372">
            <v>34</v>
          </cell>
          <cell r="O372">
            <v>34</v>
          </cell>
          <cell r="P372">
            <v>224</v>
          </cell>
        </row>
        <row r="373">
          <cell r="A373" t="str">
            <v>DEN-SAT</v>
          </cell>
          <cell r="C373">
            <v>14</v>
          </cell>
          <cell r="E373">
            <v>14</v>
          </cell>
          <cell r="G373">
            <v>20</v>
          </cell>
          <cell r="I373">
            <v>20</v>
          </cell>
          <cell r="K373">
            <v>20</v>
          </cell>
          <cell r="M373">
            <v>20</v>
          </cell>
          <cell r="O373">
            <v>20</v>
          </cell>
          <cell r="P373">
            <v>128</v>
          </cell>
        </row>
        <row r="374">
          <cell r="A374" t="str">
            <v>DEN-SDF</v>
          </cell>
          <cell r="C374">
            <v>7</v>
          </cell>
          <cell r="E374">
            <v>7</v>
          </cell>
          <cell r="G374">
            <v>7</v>
          </cell>
          <cell r="I374">
            <v>7</v>
          </cell>
          <cell r="K374">
            <v>7</v>
          </cell>
          <cell r="M374">
            <v>7</v>
          </cell>
          <cell r="O374">
            <v>7</v>
          </cell>
          <cell r="P374">
            <v>49</v>
          </cell>
        </row>
        <row r="375">
          <cell r="A375" t="str">
            <v>DEN-SEA</v>
          </cell>
          <cell r="C375">
            <v>20</v>
          </cell>
          <cell r="E375">
            <v>20</v>
          </cell>
          <cell r="G375">
            <v>20</v>
          </cell>
          <cell r="I375">
            <v>20</v>
          </cell>
          <cell r="K375">
            <v>20</v>
          </cell>
          <cell r="M375">
            <v>28</v>
          </cell>
          <cell r="O375">
            <v>28</v>
          </cell>
          <cell r="P375">
            <v>156</v>
          </cell>
        </row>
        <row r="376">
          <cell r="A376" t="str">
            <v>DEN-SFO</v>
          </cell>
          <cell r="C376">
            <v>21</v>
          </cell>
          <cell r="E376">
            <v>21</v>
          </cell>
          <cell r="G376">
            <v>21</v>
          </cell>
          <cell r="I376">
            <v>26</v>
          </cell>
          <cell r="K376">
            <v>26</v>
          </cell>
          <cell r="M376">
            <v>27</v>
          </cell>
          <cell r="O376">
            <v>27</v>
          </cell>
          <cell r="P376">
            <v>169</v>
          </cell>
        </row>
        <row r="377">
          <cell r="A377" t="str">
            <v>DEN-SJC</v>
          </cell>
          <cell r="C377">
            <v>19</v>
          </cell>
          <cell r="E377">
            <v>19</v>
          </cell>
          <cell r="G377">
            <v>20</v>
          </cell>
          <cell r="I377">
            <v>26</v>
          </cell>
          <cell r="K377">
            <v>26</v>
          </cell>
          <cell r="M377">
            <v>27</v>
          </cell>
          <cell r="O377">
            <v>27</v>
          </cell>
          <cell r="P377">
            <v>164</v>
          </cell>
        </row>
        <row r="378">
          <cell r="A378" t="str">
            <v>DEN-SLC</v>
          </cell>
          <cell r="C378">
            <v>39</v>
          </cell>
          <cell r="E378">
            <v>39</v>
          </cell>
          <cell r="G378">
            <v>39</v>
          </cell>
          <cell r="I378">
            <v>38</v>
          </cell>
          <cell r="K378">
            <v>38</v>
          </cell>
          <cell r="M378">
            <v>39</v>
          </cell>
          <cell r="O378">
            <v>39</v>
          </cell>
          <cell r="P378">
            <v>271</v>
          </cell>
        </row>
        <row r="379">
          <cell r="A379" t="str">
            <v>DEN-SMF</v>
          </cell>
          <cell r="C379">
            <v>19</v>
          </cell>
          <cell r="E379">
            <v>19</v>
          </cell>
          <cell r="G379">
            <v>20</v>
          </cell>
          <cell r="I379">
            <v>20</v>
          </cell>
          <cell r="K379">
            <v>20</v>
          </cell>
          <cell r="M379">
            <v>27</v>
          </cell>
          <cell r="O379">
            <v>27</v>
          </cell>
          <cell r="P379">
            <v>152</v>
          </cell>
        </row>
        <row r="380">
          <cell r="A380" t="str">
            <v>DEN-SNA</v>
          </cell>
          <cell r="C380">
            <v>19</v>
          </cell>
          <cell r="E380">
            <v>19</v>
          </cell>
          <cell r="G380">
            <v>25</v>
          </cell>
          <cell r="I380">
            <v>26</v>
          </cell>
          <cell r="K380">
            <v>26</v>
          </cell>
          <cell r="M380">
            <v>26</v>
          </cell>
          <cell r="O380">
            <v>26</v>
          </cell>
          <cell r="P380">
            <v>167</v>
          </cell>
        </row>
        <row r="381">
          <cell r="A381" t="str">
            <v>DEN-STL</v>
          </cell>
          <cell r="C381">
            <v>26</v>
          </cell>
          <cell r="E381">
            <v>26</v>
          </cell>
          <cell r="G381">
            <v>28</v>
          </cell>
          <cell r="I381">
            <v>26</v>
          </cell>
          <cell r="K381">
            <v>26</v>
          </cell>
          <cell r="M381">
            <v>27</v>
          </cell>
          <cell r="O381">
            <v>27</v>
          </cell>
          <cell r="P381">
            <v>186</v>
          </cell>
        </row>
        <row r="382">
          <cell r="A382" t="str">
            <v>DEN-TPA</v>
          </cell>
          <cell r="C382">
            <v>14</v>
          </cell>
          <cell r="E382">
            <v>14</v>
          </cell>
          <cell r="G382">
            <v>15</v>
          </cell>
          <cell r="I382">
            <v>14</v>
          </cell>
          <cell r="K382">
            <v>14</v>
          </cell>
          <cell r="M382">
            <v>14</v>
          </cell>
          <cell r="O382">
            <v>14</v>
          </cell>
          <cell r="P382">
            <v>99</v>
          </cell>
        </row>
        <row r="383">
          <cell r="A383" t="str">
            <v>DEN-TUL</v>
          </cell>
          <cell r="C383">
            <v>19</v>
          </cell>
          <cell r="E383">
            <v>19</v>
          </cell>
          <cell r="G383">
            <v>19</v>
          </cell>
          <cell r="I383">
            <v>19</v>
          </cell>
          <cell r="K383">
            <v>19</v>
          </cell>
          <cell r="M383">
            <v>20</v>
          </cell>
          <cell r="O383">
            <v>20</v>
          </cell>
          <cell r="P383">
            <v>135</v>
          </cell>
        </row>
        <row r="384">
          <cell r="A384" t="str">
            <v>DEN-TUS</v>
          </cell>
          <cell r="C384">
            <v>14</v>
          </cell>
          <cell r="E384">
            <v>14</v>
          </cell>
          <cell r="G384">
            <v>14</v>
          </cell>
          <cell r="I384">
            <v>13</v>
          </cell>
          <cell r="K384">
            <v>13</v>
          </cell>
          <cell r="M384">
            <v>14</v>
          </cell>
          <cell r="O384">
            <v>14</v>
          </cell>
          <cell r="P384">
            <v>96</v>
          </cell>
        </row>
        <row r="385">
          <cell r="A385" t="str">
            <v>DSM-MDW</v>
          </cell>
          <cell r="C385">
            <v>14</v>
          </cell>
          <cell r="E385">
            <v>14</v>
          </cell>
          <cell r="G385">
            <v>14</v>
          </cell>
          <cell r="I385">
            <v>14</v>
          </cell>
          <cell r="K385">
            <v>14</v>
          </cell>
          <cell r="M385">
            <v>14</v>
          </cell>
          <cell r="O385">
            <v>14</v>
          </cell>
          <cell r="P385">
            <v>98</v>
          </cell>
        </row>
        <row r="386">
          <cell r="A386" t="str">
            <v>DTW-ATL</v>
          </cell>
          <cell r="B386">
            <v>23</v>
          </cell>
          <cell r="D386">
            <v>23</v>
          </cell>
          <cell r="F386">
            <v>21</v>
          </cell>
          <cell r="H386">
            <v>29</v>
          </cell>
          <cell r="J386">
            <v>27</v>
          </cell>
          <cell r="L386">
            <v>27</v>
          </cell>
          <cell r="N386">
            <v>27</v>
          </cell>
          <cell r="P386">
            <v>177</v>
          </cell>
        </row>
        <row r="387">
          <cell r="A387" t="str">
            <v>DTW-BNA</v>
          </cell>
          <cell r="C387">
            <v>12</v>
          </cell>
          <cell r="E387">
            <v>12</v>
          </cell>
          <cell r="G387">
            <v>14</v>
          </cell>
          <cell r="I387">
            <v>14</v>
          </cell>
          <cell r="K387">
            <v>14</v>
          </cell>
          <cell r="M387">
            <v>14</v>
          </cell>
          <cell r="O387">
            <v>14</v>
          </cell>
          <cell r="P387">
            <v>94</v>
          </cell>
        </row>
        <row r="388">
          <cell r="A388" t="str">
            <v>DTW-BWI</v>
          </cell>
          <cell r="C388">
            <v>20</v>
          </cell>
          <cell r="E388">
            <v>20</v>
          </cell>
          <cell r="G388">
            <v>27</v>
          </cell>
          <cell r="I388">
            <v>26</v>
          </cell>
          <cell r="K388">
            <v>26</v>
          </cell>
          <cell r="M388">
            <v>25</v>
          </cell>
          <cell r="O388">
            <v>25</v>
          </cell>
          <cell r="P388">
            <v>169</v>
          </cell>
        </row>
        <row r="389">
          <cell r="A389" t="str">
            <v>DTW-DEN</v>
          </cell>
          <cell r="C389">
            <v>13</v>
          </cell>
          <cell r="E389">
            <v>13</v>
          </cell>
          <cell r="G389">
            <v>13</v>
          </cell>
          <cell r="I389">
            <v>13</v>
          </cell>
          <cell r="K389">
            <v>13</v>
          </cell>
          <cell r="M389">
            <v>14</v>
          </cell>
          <cell r="O389">
            <v>14</v>
          </cell>
          <cell r="P389">
            <v>93</v>
          </cell>
        </row>
        <row r="390">
          <cell r="A390" t="str">
            <v>DTW-LAS</v>
          </cell>
          <cell r="C390">
            <v>7</v>
          </cell>
          <cell r="E390">
            <v>7</v>
          </cell>
          <cell r="G390">
            <v>7</v>
          </cell>
          <cell r="I390">
            <v>7</v>
          </cell>
          <cell r="K390">
            <v>7</v>
          </cell>
          <cell r="M390">
            <v>7</v>
          </cell>
          <cell r="O390">
            <v>7</v>
          </cell>
          <cell r="P390">
            <v>49</v>
          </cell>
        </row>
        <row r="391">
          <cell r="A391" t="str">
            <v>DTW-MCO</v>
          </cell>
          <cell r="B391">
            <v>14</v>
          </cell>
          <cell r="D391">
            <v>14</v>
          </cell>
          <cell r="F391">
            <v>14</v>
          </cell>
          <cell r="G391">
            <v>2</v>
          </cell>
          <cell r="H391">
            <v>14</v>
          </cell>
          <cell r="J391">
            <v>14</v>
          </cell>
          <cell r="L391">
            <v>14</v>
          </cell>
          <cell r="N391">
            <v>14</v>
          </cell>
          <cell r="P391">
            <v>100</v>
          </cell>
        </row>
        <row r="392">
          <cell r="A392" t="str">
            <v>DTW-MDW</v>
          </cell>
          <cell r="C392">
            <v>33</v>
          </cell>
          <cell r="E392">
            <v>33</v>
          </cell>
          <cell r="G392">
            <v>33</v>
          </cell>
          <cell r="I392">
            <v>39</v>
          </cell>
          <cell r="K392">
            <v>39</v>
          </cell>
          <cell r="M392">
            <v>38</v>
          </cell>
          <cell r="O392">
            <v>38</v>
          </cell>
          <cell r="P392">
            <v>253</v>
          </cell>
        </row>
        <row r="393">
          <cell r="A393" t="str">
            <v>DTW-PHX</v>
          </cell>
          <cell r="C393">
            <v>7</v>
          </cell>
          <cell r="E393">
            <v>7</v>
          </cell>
          <cell r="G393">
            <v>13</v>
          </cell>
          <cell r="I393">
            <v>12</v>
          </cell>
          <cell r="K393">
            <v>12</v>
          </cell>
          <cell r="M393">
            <v>14</v>
          </cell>
          <cell r="O393">
            <v>14</v>
          </cell>
          <cell r="P393">
            <v>79</v>
          </cell>
        </row>
        <row r="394">
          <cell r="A394" t="str">
            <v>DTW-RSW</v>
          </cell>
          <cell r="F394">
            <v>7</v>
          </cell>
          <cell r="P394">
            <v>7</v>
          </cell>
        </row>
        <row r="395">
          <cell r="A395" t="str">
            <v>DTW-STL</v>
          </cell>
          <cell r="C395">
            <v>13</v>
          </cell>
          <cell r="E395">
            <v>13</v>
          </cell>
          <cell r="G395">
            <v>13</v>
          </cell>
          <cell r="I395">
            <v>13</v>
          </cell>
          <cell r="K395">
            <v>13</v>
          </cell>
          <cell r="M395">
            <v>13</v>
          </cell>
          <cell r="O395">
            <v>13</v>
          </cell>
          <cell r="P395">
            <v>91</v>
          </cell>
        </row>
        <row r="396">
          <cell r="A396" t="str">
            <v>ECP-BNA</v>
          </cell>
          <cell r="C396">
            <v>13</v>
          </cell>
          <cell r="E396">
            <v>13</v>
          </cell>
          <cell r="G396">
            <v>14</v>
          </cell>
          <cell r="I396">
            <v>14</v>
          </cell>
          <cell r="K396">
            <v>14</v>
          </cell>
          <cell r="M396">
            <v>14</v>
          </cell>
          <cell r="O396">
            <v>14</v>
          </cell>
          <cell r="P396">
            <v>96</v>
          </cell>
        </row>
        <row r="397">
          <cell r="A397" t="str">
            <v>ECP-BWI</v>
          </cell>
          <cell r="C397">
            <v>7</v>
          </cell>
          <cell r="E397">
            <v>7</v>
          </cell>
          <cell r="G397">
            <v>14</v>
          </cell>
          <cell r="I397">
            <v>8</v>
          </cell>
          <cell r="K397">
            <v>8</v>
          </cell>
          <cell r="M397">
            <v>14</v>
          </cell>
          <cell r="O397">
            <v>14</v>
          </cell>
          <cell r="P397">
            <v>72</v>
          </cell>
        </row>
        <row r="398">
          <cell r="A398" t="str">
            <v>ECP-HOU</v>
          </cell>
          <cell r="C398">
            <v>13</v>
          </cell>
          <cell r="E398">
            <v>13</v>
          </cell>
          <cell r="G398">
            <v>14</v>
          </cell>
          <cell r="I398">
            <v>20</v>
          </cell>
          <cell r="K398">
            <v>20</v>
          </cell>
          <cell r="M398">
            <v>15</v>
          </cell>
          <cell r="O398">
            <v>15</v>
          </cell>
          <cell r="P398">
            <v>110</v>
          </cell>
        </row>
        <row r="399">
          <cell r="A399" t="str">
            <v>ECP-STL</v>
          </cell>
          <cell r="G399">
            <v>7</v>
          </cell>
          <cell r="I399">
            <v>7</v>
          </cell>
          <cell r="K399">
            <v>7</v>
          </cell>
          <cell r="M399">
            <v>7</v>
          </cell>
          <cell r="O399">
            <v>7</v>
          </cell>
          <cell r="P399">
            <v>35</v>
          </cell>
        </row>
        <row r="400">
          <cell r="A400" t="str">
            <v>ELP-AUS</v>
          </cell>
          <cell r="C400">
            <v>19</v>
          </cell>
          <cell r="E400">
            <v>19</v>
          </cell>
          <cell r="G400">
            <v>25</v>
          </cell>
          <cell r="I400">
            <v>25</v>
          </cell>
          <cell r="K400">
            <v>25</v>
          </cell>
          <cell r="M400">
            <v>19</v>
          </cell>
          <cell r="O400">
            <v>19</v>
          </cell>
          <cell r="P400">
            <v>151</v>
          </cell>
        </row>
        <row r="401">
          <cell r="A401" t="str">
            <v>ELP-DAL</v>
          </cell>
          <cell r="C401">
            <v>46</v>
          </cell>
          <cell r="E401">
            <v>45</v>
          </cell>
          <cell r="G401">
            <v>46</v>
          </cell>
          <cell r="I401">
            <v>46</v>
          </cell>
          <cell r="K401">
            <v>46</v>
          </cell>
          <cell r="M401">
            <v>46</v>
          </cell>
          <cell r="O401">
            <v>46</v>
          </cell>
          <cell r="P401">
            <v>321</v>
          </cell>
        </row>
        <row r="402">
          <cell r="A402" t="str">
            <v>ELP-HOU</v>
          </cell>
          <cell r="C402">
            <v>19</v>
          </cell>
          <cell r="E402">
            <v>19</v>
          </cell>
          <cell r="G402">
            <v>20</v>
          </cell>
          <cell r="I402">
            <v>20</v>
          </cell>
          <cell r="K402">
            <v>20</v>
          </cell>
          <cell r="M402">
            <v>20</v>
          </cell>
          <cell r="O402">
            <v>20</v>
          </cell>
          <cell r="P402">
            <v>138</v>
          </cell>
        </row>
        <row r="403">
          <cell r="A403" t="str">
            <v>ELP-LAS</v>
          </cell>
          <cell r="C403">
            <v>20</v>
          </cell>
          <cell r="E403">
            <v>20</v>
          </cell>
          <cell r="G403">
            <v>21</v>
          </cell>
          <cell r="I403">
            <v>21</v>
          </cell>
          <cell r="K403">
            <v>21</v>
          </cell>
          <cell r="M403">
            <v>21</v>
          </cell>
          <cell r="O403">
            <v>21</v>
          </cell>
          <cell r="P403">
            <v>145</v>
          </cell>
        </row>
        <row r="404">
          <cell r="A404" t="str">
            <v>ELP-LAX</v>
          </cell>
          <cell r="C404">
            <v>12</v>
          </cell>
          <cell r="E404">
            <v>12</v>
          </cell>
          <cell r="G404">
            <v>20</v>
          </cell>
          <cell r="I404">
            <v>19</v>
          </cell>
          <cell r="K404">
            <v>19</v>
          </cell>
          <cell r="M404">
            <v>20</v>
          </cell>
          <cell r="O404">
            <v>20</v>
          </cell>
          <cell r="P404">
            <v>122</v>
          </cell>
        </row>
        <row r="405">
          <cell r="A405" t="str">
            <v>ELP-PHX</v>
          </cell>
          <cell r="C405">
            <v>32</v>
          </cell>
          <cell r="E405">
            <v>32</v>
          </cell>
          <cell r="G405">
            <v>38</v>
          </cell>
          <cell r="I405">
            <v>39</v>
          </cell>
          <cell r="K405">
            <v>39</v>
          </cell>
          <cell r="M405">
            <v>33</v>
          </cell>
          <cell r="O405">
            <v>33</v>
          </cell>
          <cell r="P405">
            <v>246</v>
          </cell>
        </row>
        <row r="406">
          <cell r="A406" t="str">
            <v>ELP-SAN</v>
          </cell>
          <cell r="C406">
            <v>7</v>
          </cell>
          <cell r="E406">
            <v>7</v>
          </cell>
          <cell r="G406">
            <v>7</v>
          </cell>
          <cell r="I406">
            <v>7</v>
          </cell>
          <cell r="K406">
            <v>7</v>
          </cell>
          <cell r="M406">
            <v>7</v>
          </cell>
          <cell r="O406">
            <v>7</v>
          </cell>
          <cell r="P406">
            <v>49</v>
          </cell>
        </row>
        <row r="407">
          <cell r="A407" t="str">
            <v>ELP-SAT</v>
          </cell>
          <cell r="C407">
            <v>18</v>
          </cell>
          <cell r="E407">
            <v>18</v>
          </cell>
          <cell r="G407">
            <v>19</v>
          </cell>
          <cell r="I407">
            <v>19</v>
          </cell>
          <cell r="K407">
            <v>19</v>
          </cell>
          <cell r="M407">
            <v>19</v>
          </cell>
          <cell r="O407">
            <v>19</v>
          </cell>
          <cell r="P407">
            <v>131</v>
          </cell>
        </row>
        <row r="408">
          <cell r="A408" t="str">
            <v>EWR-AUS</v>
          </cell>
          <cell r="G408">
            <v>7</v>
          </cell>
          <cell r="I408">
            <v>7</v>
          </cell>
          <cell r="K408">
            <v>7</v>
          </cell>
          <cell r="M408">
            <v>7</v>
          </cell>
          <cell r="O408">
            <v>7</v>
          </cell>
          <cell r="P408">
            <v>35</v>
          </cell>
        </row>
        <row r="409">
          <cell r="A409" t="str">
            <v>EWR-BNA</v>
          </cell>
          <cell r="G409">
            <v>14</v>
          </cell>
          <cell r="I409">
            <v>14</v>
          </cell>
          <cell r="K409">
            <v>14</v>
          </cell>
          <cell r="M409">
            <v>13</v>
          </cell>
          <cell r="O409">
            <v>13</v>
          </cell>
          <cell r="P409">
            <v>68</v>
          </cell>
        </row>
        <row r="410">
          <cell r="A410" t="str">
            <v>EWR-BWI</v>
          </cell>
          <cell r="C410">
            <v>20</v>
          </cell>
          <cell r="E410">
            <v>20</v>
          </cell>
          <cell r="P410">
            <v>40</v>
          </cell>
        </row>
        <row r="411">
          <cell r="A411" t="str">
            <v>EWR-DEN</v>
          </cell>
          <cell r="C411">
            <v>14</v>
          </cell>
          <cell r="E411">
            <v>14</v>
          </cell>
          <cell r="G411">
            <v>13</v>
          </cell>
          <cell r="I411">
            <v>13</v>
          </cell>
          <cell r="K411">
            <v>13</v>
          </cell>
          <cell r="M411">
            <v>14</v>
          </cell>
          <cell r="O411">
            <v>14</v>
          </cell>
          <cell r="P411">
            <v>95</v>
          </cell>
        </row>
        <row r="412">
          <cell r="A412" t="str">
            <v>EWR-HOU</v>
          </cell>
          <cell r="C412">
            <v>19</v>
          </cell>
          <cell r="E412">
            <v>19</v>
          </cell>
          <cell r="G412">
            <v>18</v>
          </cell>
          <cell r="I412">
            <v>19</v>
          </cell>
          <cell r="K412">
            <v>19</v>
          </cell>
          <cell r="M412">
            <v>18</v>
          </cell>
          <cell r="O412">
            <v>18</v>
          </cell>
          <cell r="P412">
            <v>130</v>
          </cell>
        </row>
        <row r="413">
          <cell r="A413" t="str">
            <v>EWR-MDW</v>
          </cell>
          <cell r="C413">
            <v>40</v>
          </cell>
          <cell r="E413">
            <v>40</v>
          </cell>
          <cell r="G413">
            <v>40</v>
          </cell>
          <cell r="I413">
            <v>39</v>
          </cell>
          <cell r="K413">
            <v>39</v>
          </cell>
          <cell r="M413">
            <v>39</v>
          </cell>
          <cell r="O413">
            <v>39</v>
          </cell>
          <cell r="P413">
            <v>276</v>
          </cell>
        </row>
        <row r="414">
          <cell r="A414" t="str">
            <v>EWR-MSY</v>
          </cell>
          <cell r="G414">
            <v>7</v>
          </cell>
          <cell r="I414">
            <v>7</v>
          </cell>
          <cell r="K414">
            <v>7</v>
          </cell>
          <cell r="M414">
            <v>7</v>
          </cell>
          <cell r="O414">
            <v>7</v>
          </cell>
          <cell r="P414">
            <v>35</v>
          </cell>
        </row>
        <row r="415">
          <cell r="A415" t="str">
            <v>EWR-PHX</v>
          </cell>
          <cell r="C415">
            <v>14</v>
          </cell>
          <cell r="E415">
            <v>14</v>
          </cell>
          <cell r="G415">
            <v>7</v>
          </cell>
          <cell r="I415">
            <v>7</v>
          </cell>
          <cell r="K415">
            <v>7</v>
          </cell>
          <cell r="M415">
            <v>7</v>
          </cell>
          <cell r="O415">
            <v>7</v>
          </cell>
          <cell r="P415">
            <v>63</v>
          </cell>
        </row>
        <row r="416">
          <cell r="A416" t="str">
            <v>EWR-STL</v>
          </cell>
          <cell r="C416">
            <v>14</v>
          </cell>
          <cell r="E416">
            <v>14</v>
          </cell>
          <cell r="G416">
            <v>14</v>
          </cell>
          <cell r="I416">
            <v>14</v>
          </cell>
          <cell r="K416">
            <v>14</v>
          </cell>
          <cell r="M416">
            <v>13</v>
          </cell>
          <cell r="O416">
            <v>13</v>
          </cell>
          <cell r="P416">
            <v>96</v>
          </cell>
        </row>
        <row r="417">
          <cell r="A417" t="str">
            <v>EYW-MCO</v>
          </cell>
          <cell r="C417">
            <v>7</v>
          </cell>
          <cell r="E417">
            <v>7</v>
          </cell>
          <cell r="G417">
            <v>7</v>
          </cell>
          <cell r="I417">
            <v>7</v>
          </cell>
          <cell r="K417">
            <v>7</v>
          </cell>
          <cell r="M417">
            <v>7</v>
          </cell>
          <cell r="O417">
            <v>7</v>
          </cell>
          <cell r="P417">
            <v>49</v>
          </cell>
        </row>
        <row r="418">
          <cell r="A418" t="str">
            <v>EYW-MSY</v>
          </cell>
          <cell r="G418">
            <v>7</v>
          </cell>
          <cell r="I418">
            <v>7</v>
          </cell>
          <cell r="K418">
            <v>7</v>
          </cell>
          <cell r="M418">
            <v>7</v>
          </cell>
          <cell r="O418">
            <v>7</v>
          </cell>
          <cell r="P418">
            <v>35</v>
          </cell>
        </row>
        <row r="419">
          <cell r="A419" t="str">
            <v>EYW-TPA</v>
          </cell>
          <cell r="C419">
            <v>7</v>
          </cell>
          <cell r="E419">
            <v>7</v>
          </cell>
          <cell r="G419">
            <v>7</v>
          </cell>
          <cell r="I419">
            <v>7</v>
          </cell>
          <cell r="K419">
            <v>7</v>
          </cell>
          <cell r="M419">
            <v>7</v>
          </cell>
          <cell r="O419">
            <v>7</v>
          </cell>
          <cell r="P419">
            <v>49</v>
          </cell>
        </row>
        <row r="420">
          <cell r="A420" t="str">
            <v>FLL-ALB</v>
          </cell>
          <cell r="C420">
            <v>7</v>
          </cell>
          <cell r="E420">
            <v>7</v>
          </cell>
          <cell r="G420">
            <v>8</v>
          </cell>
          <cell r="I420">
            <v>7</v>
          </cell>
          <cell r="K420">
            <v>7</v>
          </cell>
          <cell r="M420">
            <v>7</v>
          </cell>
          <cell r="O420">
            <v>7</v>
          </cell>
          <cell r="P420">
            <v>50</v>
          </cell>
        </row>
        <row r="421">
          <cell r="A421" t="str">
            <v>FLL-ATL</v>
          </cell>
          <cell r="B421">
            <v>58</v>
          </cell>
          <cell r="D421">
            <v>55</v>
          </cell>
          <cell r="F421">
            <v>56</v>
          </cell>
          <cell r="H421">
            <v>56</v>
          </cell>
          <cell r="J421">
            <v>56</v>
          </cell>
          <cell r="L421">
            <v>55</v>
          </cell>
          <cell r="N421">
            <v>55</v>
          </cell>
          <cell r="P421">
            <v>391</v>
          </cell>
        </row>
        <row r="422">
          <cell r="A422" t="str">
            <v>FLL-AUS</v>
          </cell>
          <cell r="C422">
            <v>7</v>
          </cell>
          <cell r="E422">
            <v>7</v>
          </cell>
          <cell r="G422">
            <v>7</v>
          </cell>
          <cell r="I422">
            <v>7</v>
          </cell>
          <cell r="K422">
            <v>7</v>
          </cell>
          <cell r="M422">
            <v>7</v>
          </cell>
          <cell r="O422">
            <v>7</v>
          </cell>
          <cell r="P422">
            <v>49</v>
          </cell>
        </row>
        <row r="423">
          <cell r="A423" t="str">
            <v>FLL-BDL</v>
          </cell>
          <cell r="C423">
            <v>7</v>
          </cell>
          <cell r="E423">
            <v>7</v>
          </cell>
          <cell r="G423">
            <v>7</v>
          </cell>
          <cell r="I423">
            <v>7</v>
          </cell>
          <cell r="K423">
            <v>7</v>
          </cell>
          <cell r="M423">
            <v>7</v>
          </cell>
          <cell r="O423">
            <v>7</v>
          </cell>
          <cell r="P423">
            <v>49</v>
          </cell>
        </row>
        <row r="424">
          <cell r="A424" t="str">
            <v>FLL-BHM</v>
          </cell>
          <cell r="C424">
            <v>3</v>
          </cell>
          <cell r="P424">
            <v>3</v>
          </cell>
        </row>
        <row r="425">
          <cell r="A425" t="str">
            <v>FLL-BNA</v>
          </cell>
          <cell r="C425">
            <v>14</v>
          </cell>
          <cell r="E425">
            <v>14</v>
          </cell>
          <cell r="G425">
            <v>22</v>
          </cell>
          <cell r="I425">
            <v>20</v>
          </cell>
          <cell r="K425">
            <v>20</v>
          </cell>
          <cell r="M425">
            <v>14</v>
          </cell>
          <cell r="O425">
            <v>14</v>
          </cell>
          <cell r="P425">
            <v>118</v>
          </cell>
        </row>
        <row r="426">
          <cell r="A426" t="str">
            <v>FLL-BUF</v>
          </cell>
          <cell r="C426">
            <v>8</v>
          </cell>
          <cell r="E426">
            <v>8</v>
          </cell>
          <cell r="G426">
            <v>10</v>
          </cell>
          <cell r="H426">
            <v>7</v>
          </cell>
          <cell r="J426">
            <v>7</v>
          </cell>
          <cell r="L426">
            <v>7</v>
          </cell>
          <cell r="N426">
            <v>7</v>
          </cell>
          <cell r="P426">
            <v>54</v>
          </cell>
        </row>
        <row r="427">
          <cell r="A427" t="str">
            <v>FLL-BWI</v>
          </cell>
          <cell r="B427">
            <v>42</v>
          </cell>
          <cell r="C427">
            <v>33</v>
          </cell>
          <cell r="D427">
            <v>42</v>
          </cell>
          <cell r="E427">
            <v>33</v>
          </cell>
          <cell r="F427">
            <v>41</v>
          </cell>
          <cell r="G427">
            <v>34</v>
          </cell>
          <cell r="H427">
            <v>34</v>
          </cell>
          <cell r="I427">
            <v>41</v>
          </cell>
          <cell r="J427">
            <v>34</v>
          </cell>
          <cell r="K427">
            <v>41</v>
          </cell>
          <cell r="L427">
            <v>50</v>
          </cell>
          <cell r="M427">
            <v>25</v>
          </cell>
          <cell r="N427">
            <v>50</v>
          </cell>
          <cell r="O427">
            <v>25</v>
          </cell>
          <cell r="P427">
            <v>525</v>
          </cell>
        </row>
        <row r="428">
          <cell r="A428" t="str">
            <v>FLL-CMH</v>
          </cell>
          <cell r="B428">
            <v>7</v>
          </cell>
          <cell r="D428">
            <v>7</v>
          </cell>
          <cell r="F428">
            <v>7</v>
          </cell>
          <cell r="H428">
            <v>7</v>
          </cell>
          <cell r="J428">
            <v>7</v>
          </cell>
          <cell r="L428">
            <v>8</v>
          </cell>
          <cell r="N428">
            <v>8</v>
          </cell>
          <cell r="P428">
            <v>51</v>
          </cell>
        </row>
        <row r="429">
          <cell r="A429" t="str">
            <v>FLL-DEN</v>
          </cell>
          <cell r="C429">
            <v>12</v>
          </cell>
          <cell r="E429">
            <v>12</v>
          </cell>
          <cell r="G429">
            <v>14</v>
          </cell>
          <cell r="I429">
            <v>14</v>
          </cell>
          <cell r="K429">
            <v>14</v>
          </cell>
          <cell r="M429">
            <v>8</v>
          </cell>
          <cell r="O429">
            <v>8</v>
          </cell>
          <cell r="P429">
            <v>82</v>
          </cell>
        </row>
        <row r="430">
          <cell r="A430" t="str">
            <v>FLL-HOU</v>
          </cell>
          <cell r="C430">
            <v>14</v>
          </cell>
          <cell r="E430">
            <v>14</v>
          </cell>
          <cell r="G430">
            <v>14</v>
          </cell>
          <cell r="I430">
            <v>14</v>
          </cell>
          <cell r="K430">
            <v>14</v>
          </cell>
          <cell r="M430">
            <v>14</v>
          </cell>
          <cell r="O430">
            <v>14</v>
          </cell>
          <cell r="P430">
            <v>98</v>
          </cell>
        </row>
        <row r="431">
          <cell r="A431" t="str">
            <v>FLL-IND</v>
          </cell>
          <cell r="B431">
            <v>8</v>
          </cell>
          <cell r="D431">
            <v>8</v>
          </cell>
          <cell r="F431">
            <v>7</v>
          </cell>
          <cell r="H431">
            <v>7</v>
          </cell>
          <cell r="J431">
            <v>7</v>
          </cell>
          <cell r="L431">
            <v>8</v>
          </cell>
          <cell r="N431">
            <v>8</v>
          </cell>
          <cell r="P431">
            <v>53</v>
          </cell>
        </row>
        <row r="432">
          <cell r="A432" t="str">
            <v>FLL-ISP</v>
          </cell>
          <cell r="C432">
            <v>14</v>
          </cell>
          <cell r="E432">
            <v>14</v>
          </cell>
          <cell r="G432">
            <v>14</v>
          </cell>
          <cell r="I432">
            <v>14</v>
          </cell>
          <cell r="K432">
            <v>14</v>
          </cell>
          <cell r="M432">
            <v>8</v>
          </cell>
          <cell r="O432">
            <v>8</v>
          </cell>
          <cell r="P432">
            <v>86</v>
          </cell>
        </row>
        <row r="433">
          <cell r="A433" t="str">
            <v>FLL-JAX</v>
          </cell>
          <cell r="C433">
            <v>27</v>
          </cell>
          <cell r="E433">
            <v>27</v>
          </cell>
          <cell r="G433">
            <v>26</v>
          </cell>
          <cell r="I433">
            <v>25</v>
          </cell>
          <cell r="K433">
            <v>25</v>
          </cell>
          <cell r="M433">
            <v>19</v>
          </cell>
          <cell r="O433">
            <v>19</v>
          </cell>
          <cell r="P433">
            <v>168</v>
          </cell>
        </row>
        <row r="434">
          <cell r="A434" t="str">
            <v>FLL-LAS</v>
          </cell>
          <cell r="C434">
            <v>7</v>
          </cell>
          <cell r="E434">
            <v>7</v>
          </cell>
          <cell r="G434">
            <v>7</v>
          </cell>
          <cell r="I434">
            <v>7</v>
          </cell>
          <cell r="K434">
            <v>7</v>
          </cell>
          <cell r="M434">
            <v>7</v>
          </cell>
          <cell r="O434">
            <v>7</v>
          </cell>
          <cell r="P434">
            <v>49</v>
          </cell>
        </row>
        <row r="435">
          <cell r="A435" t="str">
            <v>FLL-MCI</v>
          </cell>
          <cell r="C435">
            <v>7</v>
          </cell>
          <cell r="E435">
            <v>7</v>
          </cell>
          <cell r="G435">
            <v>14</v>
          </cell>
          <cell r="I435">
            <v>7</v>
          </cell>
          <cell r="K435">
            <v>7</v>
          </cell>
          <cell r="M435">
            <v>7</v>
          </cell>
          <cell r="O435">
            <v>7</v>
          </cell>
          <cell r="P435">
            <v>56</v>
          </cell>
        </row>
        <row r="436">
          <cell r="A436" t="str">
            <v>FLL-MDW</v>
          </cell>
          <cell r="C436">
            <v>24</v>
          </cell>
          <cell r="E436">
            <v>22</v>
          </cell>
          <cell r="G436">
            <v>38</v>
          </cell>
          <cell r="H436">
            <v>6</v>
          </cell>
          <cell r="I436">
            <v>22</v>
          </cell>
          <cell r="J436">
            <v>6</v>
          </cell>
          <cell r="K436">
            <v>22</v>
          </cell>
          <cell r="L436">
            <v>7</v>
          </cell>
          <cell r="M436">
            <v>21</v>
          </cell>
          <cell r="N436">
            <v>7</v>
          </cell>
          <cell r="O436">
            <v>21</v>
          </cell>
          <cell r="P436">
            <v>196</v>
          </cell>
        </row>
        <row r="437">
          <cell r="A437" t="str">
            <v>FLL-MHT</v>
          </cell>
          <cell r="C437">
            <v>7</v>
          </cell>
          <cell r="E437">
            <v>7</v>
          </cell>
          <cell r="G437">
            <v>7</v>
          </cell>
          <cell r="P437">
            <v>21</v>
          </cell>
        </row>
        <row r="438">
          <cell r="A438" t="str">
            <v>FLL-MKE</v>
          </cell>
          <cell r="C438">
            <v>7</v>
          </cell>
          <cell r="E438">
            <v>7</v>
          </cell>
          <cell r="G438">
            <v>7</v>
          </cell>
          <cell r="I438">
            <v>7</v>
          </cell>
          <cell r="K438">
            <v>7</v>
          </cell>
          <cell r="L438">
            <v>7</v>
          </cell>
          <cell r="N438">
            <v>7</v>
          </cell>
          <cell r="P438">
            <v>49</v>
          </cell>
        </row>
        <row r="439">
          <cell r="A439" t="str">
            <v>FLL-MSY</v>
          </cell>
          <cell r="C439">
            <v>20</v>
          </cell>
          <cell r="E439">
            <v>20</v>
          </cell>
          <cell r="G439">
            <v>19</v>
          </cell>
          <cell r="I439">
            <v>19</v>
          </cell>
          <cell r="K439">
            <v>19</v>
          </cell>
          <cell r="M439">
            <v>20</v>
          </cell>
          <cell r="O439">
            <v>20</v>
          </cell>
          <cell r="P439">
            <v>137</v>
          </cell>
        </row>
        <row r="440">
          <cell r="A440" t="str">
            <v>FLL-PHL</v>
          </cell>
          <cell r="B440">
            <v>7</v>
          </cell>
          <cell r="C440">
            <v>14</v>
          </cell>
          <cell r="D440">
            <v>7</v>
          </cell>
          <cell r="E440">
            <v>14</v>
          </cell>
          <cell r="F440">
            <v>7</v>
          </cell>
          <cell r="G440">
            <v>15</v>
          </cell>
          <cell r="H440">
            <v>14</v>
          </cell>
          <cell r="I440">
            <v>7</v>
          </cell>
          <cell r="J440">
            <v>14</v>
          </cell>
          <cell r="K440">
            <v>7</v>
          </cell>
          <cell r="L440">
            <v>7</v>
          </cell>
          <cell r="M440">
            <v>8</v>
          </cell>
          <cell r="N440">
            <v>7</v>
          </cell>
          <cell r="O440">
            <v>8</v>
          </cell>
          <cell r="P440">
            <v>136</v>
          </cell>
        </row>
        <row r="441">
          <cell r="A441" t="str">
            <v>FLL-PHX</v>
          </cell>
          <cell r="C441">
            <v>6</v>
          </cell>
          <cell r="E441">
            <v>6</v>
          </cell>
          <cell r="G441">
            <v>7</v>
          </cell>
          <cell r="I441">
            <v>7</v>
          </cell>
          <cell r="K441">
            <v>7</v>
          </cell>
          <cell r="M441">
            <v>7</v>
          </cell>
          <cell r="O441">
            <v>7</v>
          </cell>
          <cell r="P441">
            <v>47</v>
          </cell>
        </row>
        <row r="442">
          <cell r="A442" t="str">
            <v>FLL-PIT</v>
          </cell>
          <cell r="B442">
            <v>8</v>
          </cell>
          <cell r="D442">
            <v>8</v>
          </cell>
          <cell r="F442">
            <v>14</v>
          </cell>
          <cell r="H442">
            <v>14</v>
          </cell>
          <cell r="J442">
            <v>14</v>
          </cell>
          <cell r="L442">
            <v>14</v>
          </cell>
          <cell r="N442">
            <v>14</v>
          </cell>
          <cell r="P442">
            <v>86</v>
          </cell>
        </row>
        <row r="443">
          <cell r="A443" t="str">
            <v>FLL-PVD</v>
          </cell>
          <cell r="C443">
            <v>8</v>
          </cell>
          <cell r="E443">
            <v>8</v>
          </cell>
          <cell r="G443">
            <v>15</v>
          </cell>
          <cell r="I443">
            <v>8</v>
          </cell>
          <cell r="K443">
            <v>8</v>
          </cell>
          <cell r="M443">
            <v>14</v>
          </cell>
          <cell r="O443">
            <v>14</v>
          </cell>
          <cell r="P443">
            <v>75</v>
          </cell>
        </row>
        <row r="444">
          <cell r="A444" t="str">
            <v>FLL-RDU</v>
          </cell>
          <cell r="C444">
            <v>7</v>
          </cell>
          <cell r="E444">
            <v>7</v>
          </cell>
          <cell r="G444">
            <v>7</v>
          </cell>
          <cell r="I444">
            <v>7</v>
          </cell>
          <cell r="K444">
            <v>7</v>
          </cell>
          <cell r="L444">
            <v>7</v>
          </cell>
          <cell r="N444">
            <v>7</v>
          </cell>
          <cell r="P444">
            <v>49</v>
          </cell>
        </row>
        <row r="445">
          <cell r="A445" t="str">
            <v>FLL-SJU</v>
          </cell>
          <cell r="B445">
            <v>14</v>
          </cell>
          <cell r="D445">
            <v>14</v>
          </cell>
          <cell r="F445">
            <v>14</v>
          </cell>
          <cell r="H445">
            <v>14</v>
          </cell>
          <cell r="J445">
            <v>14</v>
          </cell>
          <cell r="L445">
            <v>14</v>
          </cell>
          <cell r="N445">
            <v>14</v>
          </cell>
          <cell r="P445">
            <v>98</v>
          </cell>
        </row>
        <row r="446">
          <cell r="A446" t="str">
            <v>FLL-STL</v>
          </cell>
          <cell r="C446">
            <v>7</v>
          </cell>
          <cell r="E446">
            <v>7</v>
          </cell>
          <cell r="G446">
            <v>14</v>
          </cell>
          <cell r="I446">
            <v>7</v>
          </cell>
          <cell r="K446">
            <v>7</v>
          </cell>
          <cell r="M446">
            <v>7</v>
          </cell>
          <cell r="O446">
            <v>7</v>
          </cell>
          <cell r="P446">
            <v>56</v>
          </cell>
        </row>
        <row r="447">
          <cell r="A447" t="str">
            <v>FLL-TPA</v>
          </cell>
          <cell r="C447">
            <v>34</v>
          </cell>
          <cell r="E447">
            <v>34</v>
          </cell>
          <cell r="G447">
            <v>32</v>
          </cell>
          <cell r="I447">
            <v>33</v>
          </cell>
          <cell r="K447">
            <v>33</v>
          </cell>
          <cell r="M447">
            <v>33</v>
          </cell>
          <cell r="O447">
            <v>33</v>
          </cell>
          <cell r="P447">
            <v>232</v>
          </cell>
        </row>
        <row r="448">
          <cell r="A448" t="str">
            <v>FNT-ATL</v>
          </cell>
          <cell r="B448">
            <v>14</v>
          </cell>
          <cell r="D448">
            <v>14</v>
          </cell>
          <cell r="F448">
            <v>14</v>
          </cell>
          <cell r="P448">
            <v>42</v>
          </cell>
        </row>
        <row r="449">
          <cell r="A449" t="str">
            <v>FNT-BWI</v>
          </cell>
          <cell r="I449">
            <v>20</v>
          </cell>
          <cell r="K449">
            <v>20</v>
          </cell>
          <cell r="M449">
            <v>20</v>
          </cell>
          <cell r="O449">
            <v>20</v>
          </cell>
          <cell r="P449">
            <v>80</v>
          </cell>
        </row>
        <row r="450">
          <cell r="A450" t="str">
            <v>FNT-MCO</v>
          </cell>
          <cell r="B450">
            <v>5</v>
          </cell>
          <cell r="D450">
            <v>5</v>
          </cell>
          <cell r="F450">
            <v>7</v>
          </cell>
          <cell r="I450">
            <v>7</v>
          </cell>
          <cell r="K450">
            <v>7</v>
          </cell>
          <cell r="M450">
            <v>7</v>
          </cell>
          <cell r="O450">
            <v>7</v>
          </cell>
          <cell r="P450">
            <v>45</v>
          </cell>
        </row>
        <row r="451">
          <cell r="A451" t="str">
            <v>FNT-RSW</v>
          </cell>
          <cell r="B451">
            <v>4</v>
          </cell>
          <cell r="D451">
            <v>4</v>
          </cell>
          <cell r="F451">
            <v>7</v>
          </cell>
          <cell r="P451">
            <v>15</v>
          </cell>
        </row>
        <row r="452">
          <cell r="A452" t="str">
            <v>FNT-TPA</v>
          </cell>
          <cell r="B452">
            <v>3</v>
          </cell>
          <cell r="D452">
            <v>3</v>
          </cell>
          <cell r="F452">
            <v>7</v>
          </cell>
          <cell r="I452">
            <v>7</v>
          </cell>
          <cell r="K452">
            <v>7</v>
          </cell>
          <cell r="M452">
            <v>7</v>
          </cell>
          <cell r="O452">
            <v>7</v>
          </cell>
          <cell r="P452">
            <v>41</v>
          </cell>
        </row>
        <row r="453">
          <cell r="A453" t="str">
            <v>GEG-BOI</v>
          </cell>
          <cell r="C453">
            <v>13</v>
          </cell>
          <cell r="E453">
            <v>13</v>
          </cell>
          <cell r="G453">
            <v>13</v>
          </cell>
          <cell r="I453">
            <v>12</v>
          </cell>
          <cell r="K453">
            <v>12</v>
          </cell>
          <cell r="M453">
            <v>12</v>
          </cell>
          <cell r="O453">
            <v>12</v>
          </cell>
          <cell r="P453">
            <v>87</v>
          </cell>
        </row>
        <row r="454">
          <cell r="A454" t="str">
            <v>GEG-DEN</v>
          </cell>
          <cell r="C454">
            <v>12</v>
          </cell>
          <cell r="E454">
            <v>12</v>
          </cell>
          <cell r="G454">
            <v>14</v>
          </cell>
          <cell r="I454">
            <v>13</v>
          </cell>
          <cell r="K454">
            <v>13</v>
          </cell>
          <cell r="M454">
            <v>14</v>
          </cell>
          <cell r="O454">
            <v>14</v>
          </cell>
          <cell r="P454">
            <v>92</v>
          </cell>
        </row>
        <row r="455">
          <cell r="A455" t="str">
            <v>GEG-LAS</v>
          </cell>
          <cell r="C455">
            <v>14</v>
          </cell>
          <cell r="E455">
            <v>14</v>
          </cell>
          <cell r="G455">
            <v>14</v>
          </cell>
          <cell r="I455">
            <v>13</v>
          </cell>
          <cell r="K455">
            <v>13</v>
          </cell>
          <cell r="M455">
            <v>13</v>
          </cell>
          <cell r="O455">
            <v>13</v>
          </cell>
          <cell r="P455">
            <v>94</v>
          </cell>
        </row>
        <row r="456">
          <cell r="A456" t="str">
            <v>GEG-OAK</v>
          </cell>
          <cell r="C456">
            <v>12</v>
          </cell>
          <cell r="E456">
            <v>12</v>
          </cell>
          <cell r="G456">
            <v>14</v>
          </cell>
          <cell r="I456">
            <v>14</v>
          </cell>
          <cell r="K456">
            <v>14</v>
          </cell>
          <cell r="M456">
            <v>14</v>
          </cell>
          <cell r="O456">
            <v>14</v>
          </cell>
          <cell r="P456">
            <v>94</v>
          </cell>
        </row>
        <row r="457">
          <cell r="A457" t="str">
            <v>GEG-PHX</v>
          </cell>
          <cell r="C457">
            <v>7</v>
          </cell>
          <cell r="E457">
            <v>7</v>
          </cell>
          <cell r="G457">
            <v>7</v>
          </cell>
          <cell r="I457">
            <v>7</v>
          </cell>
          <cell r="K457">
            <v>7</v>
          </cell>
          <cell r="M457">
            <v>7</v>
          </cell>
          <cell r="O457">
            <v>7</v>
          </cell>
          <cell r="P457">
            <v>49</v>
          </cell>
        </row>
        <row r="458">
          <cell r="A458" t="str">
            <v>GRR-BWI</v>
          </cell>
          <cell r="B458">
            <v>14</v>
          </cell>
          <cell r="D458">
            <v>14</v>
          </cell>
          <cell r="F458">
            <v>14</v>
          </cell>
          <cell r="H458">
            <v>14</v>
          </cell>
          <cell r="J458">
            <v>14</v>
          </cell>
          <cell r="L458">
            <v>14</v>
          </cell>
          <cell r="N458">
            <v>14</v>
          </cell>
          <cell r="P458">
            <v>98</v>
          </cell>
        </row>
        <row r="459">
          <cell r="A459" t="str">
            <v>GRR-MCO</v>
          </cell>
          <cell r="B459">
            <v>7</v>
          </cell>
          <cell r="D459">
            <v>7</v>
          </cell>
          <cell r="F459">
            <v>7</v>
          </cell>
          <cell r="H459">
            <v>7</v>
          </cell>
          <cell r="J459">
            <v>7</v>
          </cell>
          <cell r="L459">
            <v>7</v>
          </cell>
          <cell r="N459">
            <v>7</v>
          </cell>
          <cell r="P459">
            <v>49</v>
          </cell>
        </row>
        <row r="460">
          <cell r="A460" t="str">
            <v>GRR-RSW</v>
          </cell>
          <cell r="B460">
            <v>4</v>
          </cell>
          <cell r="D460">
            <v>4</v>
          </cell>
          <cell r="F460">
            <v>8</v>
          </cell>
          <cell r="P460">
            <v>16</v>
          </cell>
        </row>
        <row r="461">
          <cell r="A461" t="str">
            <v>GRR-TPA</v>
          </cell>
          <cell r="B461">
            <v>3</v>
          </cell>
          <cell r="D461">
            <v>3</v>
          </cell>
          <cell r="F461">
            <v>7</v>
          </cell>
          <cell r="H461">
            <v>1</v>
          </cell>
          <cell r="J461">
            <v>1</v>
          </cell>
          <cell r="L461">
            <v>1</v>
          </cell>
          <cell r="N461">
            <v>1</v>
          </cell>
          <cell r="P461">
            <v>17</v>
          </cell>
        </row>
        <row r="462">
          <cell r="A462" t="str">
            <v>GSP-BNA</v>
          </cell>
          <cell r="C462">
            <v>7</v>
          </cell>
          <cell r="E462">
            <v>7</v>
          </cell>
          <cell r="G462">
            <v>7</v>
          </cell>
          <cell r="I462">
            <v>7</v>
          </cell>
          <cell r="K462">
            <v>7</v>
          </cell>
          <cell r="M462">
            <v>7</v>
          </cell>
          <cell r="O462">
            <v>7</v>
          </cell>
          <cell r="P462">
            <v>49</v>
          </cell>
        </row>
        <row r="463">
          <cell r="A463" t="str">
            <v>GSP-BWI</v>
          </cell>
          <cell r="C463">
            <v>12</v>
          </cell>
          <cell r="E463">
            <v>12</v>
          </cell>
          <cell r="G463">
            <v>12</v>
          </cell>
          <cell r="I463">
            <v>13</v>
          </cell>
          <cell r="K463">
            <v>13</v>
          </cell>
          <cell r="M463">
            <v>13</v>
          </cell>
          <cell r="O463">
            <v>13</v>
          </cell>
          <cell r="P463">
            <v>88</v>
          </cell>
        </row>
        <row r="464">
          <cell r="A464" t="str">
            <v>GSP-HOU</v>
          </cell>
          <cell r="C464">
            <v>7</v>
          </cell>
          <cell r="E464">
            <v>7</v>
          </cell>
          <cell r="G464">
            <v>7</v>
          </cell>
          <cell r="I464">
            <v>7</v>
          </cell>
          <cell r="K464">
            <v>7</v>
          </cell>
          <cell r="M464">
            <v>7</v>
          </cell>
          <cell r="O464">
            <v>7</v>
          </cell>
          <cell r="P464">
            <v>49</v>
          </cell>
        </row>
        <row r="465">
          <cell r="A465" t="str">
            <v>GSP-MCO</v>
          </cell>
          <cell r="C465">
            <v>7</v>
          </cell>
          <cell r="E465">
            <v>7</v>
          </cell>
          <cell r="G465">
            <v>7</v>
          </cell>
          <cell r="I465">
            <v>7</v>
          </cell>
          <cell r="K465">
            <v>7</v>
          </cell>
          <cell r="M465">
            <v>7</v>
          </cell>
          <cell r="O465">
            <v>7</v>
          </cell>
          <cell r="P465">
            <v>49</v>
          </cell>
        </row>
        <row r="466">
          <cell r="A466" t="str">
            <v>GSP-MDW</v>
          </cell>
          <cell r="C466">
            <v>12</v>
          </cell>
          <cell r="E466">
            <v>12</v>
          </cell>
          <cell r="G466">
            <v>13</v>
          </cell>
          <cell r="I466">
            <v>13</v>
          </cell>
          <cell r="K466">
            <v>13</v>
          </cell>
          <cell r="M466">
            <v>13</v>
          </cell>
          <cell r="O466">
            <v>13</v>
          </cell>
          <cell r="P466">
            <v>89</v>
          </cell>
        </row>
        <row r="467">
          <cell r="A467" t="str">
            <v>HOU-ABQ</v>
          </cell>
          <cell r="C467">
            <v>19</v>
          </cell>
          <cell r="E467">
            <v>19</v>
          </cell>
          <cell r="G467">
            <v>19</v>
          </cell>
          <cell r="I467">
            <v>20</v>
          </cell>
          <cell r="K467">
            <v>20</v>
          </cell>
          <cell r="M467">
            <v>20</v>
          </cell>
          <cell r="O467">
            <v>20</v>
          </cell>
          <cell r="P467">
            <v>137</v>
          </cell>
        </row>
        <row r="468">
          <cell r="A468" t="str">
            <v>HOU-ATL</v>
          </cell>
          <cell r="B468">
            <v>34</v>
          </cell>
          <cell r="C468">
            <v>27</v>
          </cell>
          <cell r="D468">
            <v>34</v>
          </cell>
          <cell r="E468">
            <v>27</v>
          </cell>
          <cell r="F468">
            <v>34</v>
          </cell>
          <cell r="G468">
            <v>21</v>
          </cell>
          <cell r="H468">
            <v>33</v>
          </cell>
          <cell r="I468">
            <v>21</v>
          </cell>
          <cell r="J468">
            <v>33</v>
          </cell>
          <cell r="K468">
            <v>21</v>
          </cell>
          <cell r="L468">
            <v>34</v>
          </cell>
          <cell r="M468">
            <v>20</v>
          </cell>
          <cell r="N468">
            <v>34</v>
          </cell>
          <cell r="O468">
            <v>20</v>
          </cell>
          <cell r="P468">
            <v>393</v>
          </cell>
        </row>
        <row r="469">
          <cell r="A469" t="str">
            <v>HOU-AUS</v>
          </cell>
          <cell r="B469">
            <v>3</v>
          </cell>
          <cell r="C469">
            <v>33</v>
          </cell>
          <cell r="D469">
            <v>3</v>
          </cell>
          <cell r="E469">
            <v>33</v>
          </cell>
          <cell r="F469">
            <v>5</v>
          </cell>
          <cell r="G469">
            <v>33</v>
          </cell>
          <cell r="H469">
            <v>3</v>
          </cell>
          <cell r="I469">
            <v>33</v>
          </cell>
          <cell r="J469">
            <v>3</v>
          </cell>
          <cell r="K469">
            <v>33</v>
          </cell>
          <cell r="L469">
            <v>4</v>
          </cell>
          <cell r="M469">
            <v>32</v>
          </cell>
          <cell r="N469">
            <v>4</v>
          </cell>
          <cell r="O469">
            <v>32</v>
          </cell>
          <cell r="P469">
            <v>254</v>
          </cell>
        </row>
        <row r="470">
          <cell r="A470" t="str">
            <v>HOU-BHM</v>
          </cell>
          <cell r="C470">
            <v>12</v>
          </cell>
          <cell r="E470">
            <v>12</v>
          </cell>
          <cell r="G470">
            <v>13</v>
          </cell>
          <cell r="I470">
            <v>12</v>
          </cell>
          <cell r="K470">
            <v>12</v>
          </cell>
          <cell r="M470">
            <v>14</v>
          </cell>
          <cell r="O470">
            <v>14</v>
          </cell>
          <cell r="P470">
            <v>89</v>
          </cell>
        </row>
        <row r="471">
          <cell r="A471" t="str">
            <v>HOU-BKG</v>
          </cell>
          <cell r="G471">
            <v>7</v>
          </cell>
          <cell r="I471">
            <v>7</v>
          </cell>
          <cell r="K471">
            <v>7</v>
          </cell>
          <cell r="M471">
            <v>7</v>
          </cell>
          <cell r="O471">
            <v>7</v>
          </cell>
          <cell r="P471">
            <v>35</v>
          </cell>
        </row>
        <row r="472">
          <cell r="A472" t="str">
            <v>HOU-BNA</v>
          </cell>
          <cell r="C472">
            <v>26</v>
          </cell>
          <cell r="E472">
            <v>26</v>
          </cell>
          <cell r="G472">
            <v>27</v>
          </cell>
          <cell r="I472">
            <v>27</v>
          </cell>
          <cell r="K472">
            <v>27</v>
          </cell>
          <cell r="M472">
            <v>26</v>
          </cell>
          <cell r="O472">
            <v>26</v>
          </cell>
          <cell r="P472">
            <v>185</v>
          </cell>
        </row>
        <row r="473">
          <cell r="A473" t="str">
            <v>HOU-BWI</v>
          </cell>
          <cell r="C473">
            <v>19</v>
          </cell>
          <cell r="E473">
            <v>19</v>
          </cell>
          <cell r="G473">
            <v>21</v>
          </cell>
          <cell r="I473">
            <v>27</v>
          </cell>
          <cell r="K473">
            <v>27</v>
          </cell>
          <cell r="M473">
            <v>27</v>
          </cell>
          <cell r="O473">
            <v>27</v>
          </cell>
          <cell r="P473">
            <v>167</v>
          </cell>
        </row>
        <row r="474">
          <cell r="A474" t="str">
            <v>HOU-CHS</v>
          </cell>
          <cell r="C474">
            <v>7</v>
          </cell>
          <cell r="E474">
            <v>7</v>
          </cell>
          <cell r="G474">
            <v>7</v>
          </cell>
          <cell r="I474">
            <v>7</v>
          </cell>
          <cell r="K474">
            <v>7</v>
          </cell>
          <cell r="M474">
            <v>7</v>
          </cell>
          <cell r="O474">
            <v>7</v>
          </cell>
          <cell r="P474">
            <v>49</v>
          </cell>
        </row>
        <row r="475">
          <cell r="A475" t="str">
            <v>HOU-CLT</v>
          </cell>
          <cell r="I475">
            <v>7</v>
          </cell>
          <cell r="K475">
            <v>7</v>
          </cell>
          <cell r="M475">
            <v>7</v>
          </cell>
          <cell r="O475">
            <v>7</v>
          </cell>
          <cell r="P475">
            <v>28</v>
          </cell>
        </row>
        <row r="476">
          <cell r="A476" t="str">
            <v>HOU-CRP</v>
          </cell>
          <cell r="C476">
            <v>31</v>
          </cell>
          <cell r="E476">
            <v>31</v>
          </cell>
          <cell r="G476">
            <v>32</v>
          </cell>
          <cell r="I476">
            <v>32</v>
          </cell>
          <cell r="K476">
            <v>32</v>
          </cell>
          <cell r="M476">
            <v>32</v>
          </cell>
          <cell r="O476">
            <v>32</v>
          </cell>
          <cell r="P476">
            <v>222</v>
          </cell>
        </row>
        <row r="477">
          <cell r="A477" t="str">
            <v>HOU-DAL</v>
          </cell>
          <cell r="C477">
            <v>159</v>
          </cell>
          <cell r="E477">
            <v>159</v>
          </cell>
          <cell r="G477">
            <v>161</v>
          </cell>
          <cell r="I477">
            <v>160</v>
          </cell>
          <cell r="K477">
            <v>160</v>
          </cell>
          <cell r="M477">
            <v>159</v>
          </cell>
          <cell r="O477">
            <v>159</v>
          </cell>
          <cell r="P477">
            <v>1117</v>
          </cell>
        </row>
        <row r="478">
          <cell r="A478" t="str">
            <v>HOU-DEN</v>
          </cell>
          <cell r="C478">
            <v>28</v>
          </cell>
          <cell r="E478">
            <v>28</v>
          </cell>
          <cell r="G478">
            <v>29</v>
          </cell>
          <cell r="I478">
            <v>27</v>
          </cell>
          <cell r="K478">
            <v>27</v>
          </cell>
          <cell r="M478">
            <v>33</v>
          </cell>
          <cell r="O478">
            <v>33</v>
          </cell>
          <cell r="P478">
            <v>205</v>
          </cell>
        </row>
        <row r="479">
          <cell r="A479" t="str">
            <v>HOU-ECP</v>
          </cell>
          <cell r="C479">
            <v>13</v>
          </cell>
          <cell r="E479">
            <v>13</v>
          </cell>
          <cell r="G479">
            <v>14</v>
          </cell>
          <cell r="I479">
            <v>20</v>
          </cell>
          <cell r="K479">
            <v>20</v>
          </cell>
          <cell r="M479">
            <v>15</v>
          </cell>
          <cell r="O479">
            <v>15</v>
          </cell>
          <cell r="P479">
            <v>110</v>
          </cell>
        </row>
        <row r="480">
          <cell r="A480" t="str">
            <v>HOU-ELP</v>
          </cell>
          <cell r="C480">
            <v>20</v>
          </cell>
          <cell r="E480">
            <v>20</v>
          </cell>
          <cell r="G480">
            <v>19</v>
          </cell>
          <cell r="I480">
            <v>19</v>
          </cell>
          <cell r="K480">
            <v>19</v>
          </cell>
          <cell r="M480">
            <v>20</v>
          </cell>
          <cell r="O480">
            <v>20</v>
          </cell>
          <cell r="P480">
            <v>137</v>
          </cell>
        </row>
        <row r="481">
          <cell r="A481" t="str">
            <v>HOU-EWR</v>
          </cell>
          <cell r="C481">
            <v>19</v>
          </cell>
          <cell r="E481">
            <v>19</v>
          </cell>
          <cell r="G481">
            <v>18</v>
          </cell>
          <cell r="I481">
            <v>19</v>
          </cell>
          <cell r="K481">
            <v>19</v>
          </cell>
          <cell r="M481">
            <v>18</v>
          </cell>
          <cell r="O481">
            <v>18</v>
          </cell>
          <cell r="P481">
            <v>130</v>
          </cell>
        </row>
        <row r="482">
          <cell r="A482" t="str">
            <v>HOU-FLL</v>
          </cell>
          <cell r="C482">
            <v>14</v>
          </cell>
          <cell r="E482">
            <v>14</v>
          </cell>
          <cell r="G482">
            <v>14</v>
          </cell>
          <cell r="I482">
            <v>14</v>
          </cell>
          <cell r="K482">
            <v>14</v>
          </cell>
          <cell r="M482">
            <v>14</v>
          </cell>
          <cell r="O482">
            <v>14</v>
          </cell>
          <cell r="P482">
            <v>98</v>
          </cell>
        </row>
        <row r="483">
          <cell r="A483" t="str">
            <v>HOU-GSP</v>
          </cell>
          <cell r="C483">
            <v>7</v>
          </cell>
          <cell r="E483">
            <v>7</v>
          </cell>
          <cell r="G483">
            <v>7</v>
          </cell>
          <cell r="I483">
            <v>7</v>
          </cell>
          <cell r="K483">
            <v>7</v>
          </cell>
          <cell r="M483">
            <v>7</v>
          </cell>
          <cell r="O483">
            <v>7</v>
          </cell>
          <cell r="P483">
            <v>49</v>
          </cell>
        </row>
        <row r="484">
          <cell r="A484" t="str">
            <v>HOU-HRL</v>
          </cell>
          <cell r="C484">
            <v>27</v>
          </cell>
          <cell r="E484">
            <v>27</v>
          </cell>
          <cell r="G484">
            <v>28</v>
          </cell>
          <cell r="I484">
            <v>27</v>
          </cell>
          <cell r="K484">
            <v>27</v>
          </cell>
          <cell r="M484">
            <v>28</v>
          </cell>
          <cell r="O484">
            <v>28</v>
          </cell>
          <cell r="P484">
            <v>192</v>
          </cell>
        </row>
        <row r="485">
          <cell r="A485" t="str">
            <v>HOU-IND</v>
          </cell>
          <cell r="C485">
            <v>13</v>
          </cell>
          <cell r="E485">
            <v>13</v>
          </cell>
          <cell r="G485">
            <v>13</v>
          </cell>
          <cell r="I485">
            <v>13</v>
          </cell>
          <cell r="K485">
            <v>13</v>
          </cell>
          <cell r="M485">
            <v>13</v>
          </cell>
          <cell r="O485">
            <v>13</v>
          </cell>
          <cell r="P485">
            <v>91</v>
          </cell>
        </row>
        <row r="486">
          <cell r="A486" t="str">
            <v>HOU-JAN</v>
          </cell>
          <cell r="C486">
            <v>18</v>
          </cell>
          <cell r="E486">
            <v>18</v>
          </cell>
          <cell r="G486">
            <v>19</v>
          </cell>
          <cell r="I486">
            <v>19</v>
          </cell>
          <cell r="K486">
            <v>19</v>
          </cell>
          <cell r="M486">
            <v>14</v>
          </cell>
          <cell r="O486">
            <v>14</v>
          </cell>
          <cell r="P486">
            <v>121</v>
          </cell>
        </row>
        <row r="487">
          <cell r="A487" t="str">
            <v>HOU-JAX</v>
          </cell>
          <cell r="C487">
            <v>7</v>
          </cell>
          <cell r="E487">
            <v>7</v>
          </cell>
          <cell r="G487">
            <v>12</v>
          </cell>
          <cell r="I487">
            <v>7</v>
          </cell>
          <cell r="K487">
            <v>7</v>
          </cell>
          <cell r="M487">
            <v>13</v>
          </cell>
          <cell r="O487">
            <v>13</v>
          </cell>
          <cell r="P487">
            <v>66</v>
          </cell>
        </row>
        <row r="488">
          <cell r="A488" t="str">
            <v>HOU-LAS</v>
          </cell>
          <cell r="C488">
            <v>27</v>
          </cell>
          <cell r="E488">
            <v>27</v>
          </cell>
          <cell r="G488">
            <v>34</v>
          </cell>
          <cell r="I488">
            <v>34</v>
          </cell>
          <cell r="K488">
            <v>34</v>
          </cell>
          <cell r="M488">
            <v>34</v>
          </cell>
          <cell r="O488">
            <v>34</v>
          </cell>
          <cell r="P488">
            <v>224</v>
          </cell>
        </row>
        <row r="489">
          <cell r="A489" t="str">
            <v>HOU-LAX</v>
          </cell>
          <cell r="C489">
            <v>26</v>
          </cell>
          <cell r="E489">
            <v>26</v>
          </cell>
          <cell r="G489">
            <v>28</v>
          </cell>
          <cell r="I489">
            <v>27</v>
          </cell>
          <cell r="K489">
            <v>27</v>
          </cell>
          <cell r="M489">
            <v>28</v>
          </cell>
          <cell r="O489">
            <v>28</v>
          </cell>
          <cell r="P489">
            <v>190</v>
          </cell>
        </row>
        <row r="490">
          <cell r="A490" t="str">
            <v>HOU-LGA</v>
          </cell>
          <cell r="M490">
            <v>14</v>
          </cell>
          <cell r="O490">
            <v>14</v>
          </cell>
          <cell r="P490">
            <v>28</v>
          </cell>
        </row>
        <row r="491">
          <cell r="A491" t="str">
            <v>HOU-LIT</v>
          </cell>
          <cell r="C491">
            <v>7</v>
          </cell>
          <cell r="E491">
            <v>7</v>
          </cell>
          <cell r="G491">
            <v>7</v>
          </cell>
          <cell r="I491">
            <v>7</v>
          </cell>
          <cell r="K491">
            <v>7</v>
          </cell>
          <cell r="M491">
            <v>7</v>
          </cell>
          <cell r="O491">
            <v>7</v>
          </cell>
          <cell r="P491">
            <v>49</v>
          </cell>
        </row>
        <row r="492">
          <cell r="A492" t="str">
            <v>HOU-MAF</v>
          </cell>
          <cell r="C492">
            <v>18</v>
          </cell>
          <cell r="E492">
            <v>18</v>
          </cell>
          <cell r="G492">
            <v>18</v>
          </cell>
          <cell r="I492">
            <v>18</v>
          </cell>
          <cell r="K492">
            <v>18</v>
          </cell>
          <cell r="M492">
            <v>18</v>
          </cell>
          <cell r="O492">
            <v>18</v>
          </cell>
          <cell r="P492">
            <v>126</v>
          </cell>
        </row>
        <row r="493">
          <cell r="A493" t="str">
            <v>HOU-MCI</v>
          </cell>
          <cell r="C493">
            <v>13</v>
          </cell>
          <cell r="E493">
            <v>13</v>
          </cell>
          <cell r="G493">
            <v>13</v>
          </cell>
          <cell r="I493">
            <v>12</v>
          </cell>
          <cell r="K493">
            <v>12</v>
          </cell>
          <cell r="M493">
            <v>12</v>
          </cell>
          <cell r="O493">
            <v>12</v>
          </cell>
          <cell r="P493">
            <v>87</v>
          </cell>
        </row>
        <row r="494">
          <cell r="A494" t="str">
            <v>HOU-MCO</v>
          </cell>
          <cell r="C494">
            <v>27</v>
          </cell>
          <cell r="E494">
            <v>27</v>
          </cell>
          <cell r="F494">
            <v>7</v>
          </cell>
          <cell r="G494">
            <v>29</v>
          </cell>
          <cell r="H494">
            <v>7</v>
          </cell>
          <cell r="I494">
            <v>21</v>
          </cell>
          <cell r="J494">
            <v>7</v>
          </cell>
          <cell r="K494">
            <v>21</v>
          </cell>
          <cell r="L494">
            <v>7</v>
          </cell>
          <cell r="M494">
            <v>28</v>
          </cell>
          <cell r="N494">
            <v>7</v>
          </cell>
          <cell r="O494">
            <v>28</v>
          </cell>
          <cell r="P494">
            <v>216</v>
          </cell>
        </row>
        <row r="495">
          <cell r="A495" t="str">
            <v>HOU-MDW</v>
          </cell>
          <cell r="C495">
            <v>39</v>
          </cell>
          <cell r="E495">
            <v>39</v>
          </cell>
          <cell r="G495">
            <v>47</v>
          </cell>
          <cell r="I495">
            <v>45</v>
          </cell>
          <cell r="K495">
            <v>45</v>
          </cell>
          <cell r="M495">
            <v>48</v>
          </cell>
          <cell r="O495">
            <v>48</v>
          </cell>
          <cell r="P495">
            <v>311</v>
          </cell>
        </row>
        <row r="496">
          <cell r="A496" t="str">
            <v>HOU-MSY</v>
          </cell>
          <cell r="C496">
            <v>64</v>
          </cell>
          <cell r="E496">
            <v>64</v>
          </cell>
          <cell r="G496">
            <v>66</v>
          </cell>
          <cell r="I496">
            <v>66</v>
          </cell>
          <cell r="K496">
            <v>66</v>
          </cell>
          <cell r="M496">
            <v>65</v>
          </cell>
          <cell r="O496">
            <v>65</v>
          </cell>
          <cell r="P496">
            <v>456</v>
          </cell>
        </row>
        <row r="497">
          <cell r="A497" t="str">
            <v>HOU-OAK</v>
          </cell>
          <cell r="C497">
            <v>12</v>
          </cell>
          <cell r="E497">
            <v>12</v>
          </cell>
          <cell r="G497">
            <v>13</v>
          </cell>
          <cell r="I497">
            <v>13</v>
          </cell>
          <cell r="K497">
            <v>13</v>
          </cell>
          <cell r="M497">
            <v>14</v>
          </cell>
          <cell r="O497">
            <v>14</v>
          </cell>
          <cell r="P497">
            <v>91</v>
          </cell>
        </row>
        <row r="498">
          <cell r="A498" t="str">
            <v>HOU-OKC</v>
          </cell>
          <cell r="C498">
            <v>26</v>
          </cell>
          <cell r="E498">
            <v>25</v>
          </cell>
          <cell r="G498">
            <v>25</v>
          </cell>
          <cell r="I498">
            <v>26</v>
          </cell>
          <cell r="K498">
            <v>26</v>
          </cell>
          <cell r="M498">
            <v>25</v>
          </cell>
          <cell r="O498">
            <v>25</v>
          </cell>
          <cell r="P498">
            <v>178</v>
          </cell>
        </row>
        <row r="499">
          <cell r="A499" t="str">
            <v>HOU-PHL</v>
          </cell>
          <cell r="C499">
            <v>7</v>
          </cell>
          <cell r="E499">
            <v>7</v>
          </cell>
          <cell r="G499">
            <v>7</v>
          </cell>
          <cell r="P499">
            <v>21</v>
          </cell>
        </row>
        <row r="500">
          <cell r="A500" t="str">
            <v>HOU-PHX</v>
          </cell>
          <cell r="C500">
            <v>25</v>
          </cell>
          <cell r="E500">
            <v>25</v>
          </cell>
          <cell r="G500">
            <v>27</v>
          </cell>
          <cell r="I500">
            <v>27</v>
          </cell>
          <cell r="K500">
            <v>27</v>
          </cell>
          <cell r="M500">
            <v>27</v>
          </cell>
          <cell r="O500">
            <v>27</v>
          </cell>
          <cell r="P500">
            <v>185</v>
          </cell>
        </row>
        <row r="501">
          <cell r="A501" t="str">
            <v>HOU-PIT</v>
          </cell>
          <cell r="I501">
            <v>7</v>
          </cell>
          <cell r="K501">
            <v>7</v>
          </cell>
          <cell r="M501">
            <v>7</v>
          </cell>
          <cell r="O501">
            <v>7</v>
          </cell>
          <cell r="P501">
            <v>28</v>
          </cell>
        </row>
        <row r="502">
          <cell r="A502" t="str">
            <v>HOU-RDU</v>
          </cell>
          <cell r="C502">
            <v>7</v>
          </cell>
          <cell r="E502">
            <v>7</v>
          </cell>
          <cell r="G502">
            <v>13</v>
          </cell>
          <cell r="I502">
            <v>12</v>
          </cell>
          <cell r="K502">
            <v>12</v>
          </cell>
          <cell r="M502">
            <v>12</v>
          </cell>
          <cell r="O502">
            <v>12</v>
          </cell>
          <cell r="P502">
            <v>75</v>
          </cell>
        </row>
        <row r="503">
          <cell r="A503" t="str">
            <v>HOU-SAN</v>
          </cell>
          <cell r="C503">
            <v>12</v>
          </cell>
          <cell r="E503">
            <v>12</v>
          </cell>
          <cell r="G503">
            <v>14</v>
          </cell>
          <cell r="I503">
            <v>14</v>
          </cell>
          <cell r="K503">
            <v>14</v>
          </cell>
          <cell r="M503">
            <v>15</v>
          </cell>
          <cell r="O503">
            <v>15</v>
          </cell>
          <cell r="P503">
            <v>96</v>
          </cell>
        </row>
        <row r="504">
          <cell r="A504" t="str">
            <v>HOU-SAT</v>
          </cell>
          <cell r="B504">
            <v>2</v>
          </cell>
          <cell r="C504">
            <v>36</v>
          </cell>
          <cell r="D504">
            <v>2</v>
          </cell>
          <cell r="E504">
            <v>36</v>
          </cell>
          <cell r="F504">
            <v>2</v>
          </cell>
          <cell r="G504">
            <v>33</v>
          </cell>
          <cell r="H504">
            <v>2</v>
          </cell>
          <cell r="I504">
            <v>33</v>
          </cell>
          <cell r="J504">
            <v>2</v>
          </cell>
          <cell r="K504">
            <v>33</v>
          </cell>
          <cell r="L504">
            <v>3</v>
          </cell>
          <cell r="M504">
            <v>32</v>
          </cell>
          <cell r="N504">
            <v>3</v>
          </cell>
          <cell r="O504">
            <v>32</v>
          </cell>
          <cell r="P504">
            <v>251</v>
          </cell>
        </row>
        <row r="505">
          <cell r="A505" t="str">
            <v>HOU-SEA</v>
          </cell>
          <cell r="M505">
            <v>7</v>
          </cell>
          <cell r="O505">
            <v>7</v>
          </cell>
          <cell r="P505">
            <v>14</v>
          </cell>
        </row>
        <row r="506">
          <cell r="A506" t="str">
            <v>HOU-SNA</v>
          </cell>
          <cell r="C506">
            <v>7</v>
          </cell>
          <cell r="E506">
            <v>7</v>
          </cell>
          <cell r="G506">
            <v>7</v>
          </cell>
          <cell r="I506">
            <v>7</v>
          </cell>
          <cell r="K506">
            <v>7</v>
          </cell>
          <cell r="M506">
            <v>7</v>
          </cell>
          <cell r="O506">
            <v>7</v>
          </cell>
          <cell r="P506">
            <v>49</v>
          </cell>
        </row>
        <row r="507">
          <cell r="A507" t="str">
            <v>HOU-STL</v>
          </cell>
          <cell r="C507">
            <v>25</v>
          </cell>
          <cell r="E507">
            <v>25</v>
          </cell>
          <cell r="G507">
            <v>26</v>
          </cell>
          <cell r="I507">
            <v>26</v>
          </cell>
          <cell r="K507">
            <v>26</v>
          </cell>
          <cell r="M507">
            <v>27</v>
          </cell>
          <cell r="O507">
            <v>27</v>
          </cell>
          <cell r="P507">
            <v>182</v>
          </cell>
        </row>
        <row r="508">
          <cell r="A508" t="str">
            <v>HOU-TPA</v>
          </cell>
          <cell r="C508">
            <v>26</v>
          </cell>
          <cell r="E508">
            <v>26</v>
          </cell>
          <cell r="G508">
            <v>27</v>
          </cell>
          <cell r="I508">
            <v>26</v>
          </cell>
          <cell r="K508">
            <v>26</v>
          </cell>
          <cell r="L508">
            <v>7</v>
          </cell>
          <cell r="M508">
            <v>20</v>
          </cell>
          <cell r="N508">
            <v>7</v>
          </cell>
          <cell r="O508">
            <v>20</v>
          </cell>
          <cell r="P508">
            <v>185</v>
          </cell>
        </row>
        <row r="509">
          <cell r="A509" t="str">
            <v>HOU-TUL</v>
          </cell>
          <cell r="C509">
            <v>19</v>
          </cell>
          <cell r="E509">
            <v>19</v>
          </cell>
          <cell r="G509">
            <v>19</v>
          </cell>
          <cell r="I509">
            <v>20</v>
          </cell>
          <cell r="K509">
            <v>20</v>
          </cell>
          <cell r="M509">
            <v>20</v>
          </cell>
          <cell r="O509">
            <v>20</v>
          </cell>
          <cell r="P509">
            <v>137</v>
          </cell>
        </row>
        <row r="510">
          <cell r="A510" t="str">
            <v>HRL-AUS</v>
          </cell>
          <cell r="C510">
            <v>7</v>
          </cell>
          <cell r="E510">
            <v>7</v>
          </cell>
          <cell r="G510">
            <v>7</v>
          </cell>
          <cell r="I510">
            <v>7</v>
          </cell>
          <cell r="K510">
            <v>7</v>
          </cell>
          <cell r="M510">
            <v>7</v>
          </cell>
          <cell r="O510">
            <v>7</v>
          </cell>
          <cell r="P510">
            <v>49</v>
          </cell>
        </row>
        <row r="511">
          <cell r="A511" t="str">
            <v>HRL-DAL</v>
          </cell>
          <cell r="C511">
            <v>12</v>
          </cell>
          <cell r="E511">
            <v>13</v>
          </cell>
          <cell r="G511">
            <v>13</v>
          </cell>
          <cell r="I511">
            <v>13</v>
          </cell>
          <cell r="K511">
            <v>13</v>
          </cell>
          <cell r="M511">
            <v>14</v>
          </cell>
          <cell r="O511">
            <v>14</v>
          </cell>
          <cell r="P511">
            <v>92</v>
          </cell>
        </row>
        <row r="512">
          <cell r="A512" t="str">
            <v>HRL-HOU</v>
          </cell>
          <cell r="C512">
            <v>27</v>
          </cell>
          <cell r="E512">
            <v>27</v>
          </cell>
          <cell r="G512">
            <v>28</v>
          </cell>
          <cell r="I512">
            <v>27</v>
          </cell>
          <cell r="K512">
            <v>27</v>
          </cell>
          <cell r="M512">
            <v>28</v>
          </cell>
          <cell r="O512">
            <v>28</v>
          </cell>
          <cell r="P512">
            <v>192</v>
          </cell>
        </row>
        <row r="513">
          <cell r="A513" t="str">
            <v>HRL-SAT</v>
          </cell>
          <cell r="C513">
            <v>7</v>
          </cell>
          <cell r="E513">
            <v>7</v>
          </cell>
          <cell r="G513">
            <v>7</v>
          </cell>
          <cell r="I513">
            <v>6</v>
          </cell>
          <cell r="K513">
            <v>6</v>
          </cell>
          <cell r="M513">
            <v>7</v>
          </cell>
          <cell r="O513">
            <v>7</v>
          </cell>
          <cell r="P513">
            <v>47</v>
          </cell>
        </row>
        <row r="514">
          <cell r="A514" t="str">
            <v>IAD-DEN</v>
          </cell>
          <cell r="C514">
            <v>14</v>
          </cell>
          <cell r="E514">
            <v>14</v>
          </cell>
          <cell r="G514">
            <v>14</v>
          </cell>
          <cell r="I514">
            <v>13</v>
          </cell>
          <cell r="K514">
            <v>13</v>
          </cell>
          <cell r="M514">
            <v>14</v>
          </cell>
          <cell r="O514">
            <v>14</v>
          </cell>
          <cell r="P514">
            <v>96</v>
          </cell>
        </row>
        <row r="515">
          <cell r="A515" t="str">
            <v>IAD-MDW</v>
          </cell>
          <cell r="C515">
            <v>31</v>
          </cell>
          <cell r="E515">
            <v>31</v>
          </cell>
          <cell r="G515">
            <v>34</v>
          </cell>
          <cell r="I515">
            <v>34</v>
          </cell>
          <cell r="K515">
            <v>34</v>
          </cell>
          <cell r="M515">
            <v>41</v>
          </cell>
          <cell r="O515">
            <v>41</v>
          </cell>
          <cell r="P515">
            <v>246</v>
          </cell>
        </row>
        <row r="516">
          <cell r="A516" t="str">
            <v>ICT-ATL</v>
          </cell>
          <cell r="B516">
            <v>21</v>
          </cell>
          <cell r="D516">
            <v>21</v>
          </cell>
          <cell r="F516">
            <v>20</v>
          </cell>
          <cell r="H516">
            <v>20</v>
          </cell>
          <cell r="J516">
            <v>20</v>
          </cell>
          <cell r="P516">
            <v>102</v>
          </cell>
        </row>
        <row r="517">
          <cell r="A517" t="str">
            <v>ICT-DAL</v>
          </cell>
          <cell r="M517">
            <v>14</v>
          </cell>
          <cell r="O517">
            <v>14</v>
          </cell>
          <cell r="P517">
            <v>28</v>
          </cell>
        </row>
        <row r="518">
          <cell r="A518" t="str">
            <v>ICT-LAS</v>
          </cell>
          <cell r="M518">
            <v>7</v>
          </cell>
          <cell r="O518">
            <v>7</v>
          </cell>
          <cell r="P518">
            <v>14</v>
          </cell>
        </row>
        <row r="519">
          <cell r="A519" t="str">
            <v>ICT-MDW</v>
          </cell>
          <cell r="M519">
            <v>14</v>
          </cell>
          <cell r="O519">
            <v>14</v>
          </cell>
          <cell r="P519">
            <v>28</v>
          </cell>
        </row>
        <row r="520">
          <cell r="A520" t="str">
            <v>IND-ATL</v>
          </cell>
          <cell r="B520">
            <v>21</v>
          </cell>
          <cell r="D520">
            <v>21</v>
          </cell>
          <cell r="F520">
            <v>23</v>
          </cell>
          <cell r="H520">
            <v>21</v>
          </cell>
          <cell r="J520">
            <v>21</v>
          </cell>
          <cell r="L520">
            <v>27</v>
          </cell>
          <cell r="N520">
            <v>27</v>
          </cell>
          <cell r="P520">
            <v>161</v>
          </cell>
        </row>
        <row r="521">
          <cell r="A521" t="str">
            <v>IND-BWI</v>
          </cell>
          <cell r="C521">
            <v>18</v>
          </cell>
          <cell r="E521">
            <v>18</v>
          </cell>
          <cell r="G521">
            <v>27</v>
          </cell>
          <cell r="I521">
            <v>27</v>
          </cell>
          <cell r="K521">
            <v>27</v>
          </cell>
          <cell r="M521">
            <v>26</v>
          </cell>
          <cell r="O521">
            <v>26</v>
          </cell>
          <cell r="P521">
            <v>169</v>
          </cell>
        </row>
        <row r="522">
          <cell r="A522" t="str">
            <v>IND-DEN</v>
          </cell>
          <cell r="C522">
            <v>13</v>
          </cell>
          <cell r="E522">
            <v>13</v>
          </cell>
          <cell r="G522">
            <v>19</v>
          </cell>
          <cell r="I522">
            <v>20</v>
          </cell>
          <cell r="K522">
            <v>20</v>
          </cell>
          <cell r="M522">
            <v>21</v>
          </cell>
          <cell r="O522">
            <v>21</v>
          </cell>
          <cell r="P522">
            <v>127</v>
          </cell>
        </row>
        <row r="523">
          <cell r="A523" t="str">
            <v>IND-FLL</v>
          </cell>
          <cell r="B523">
            <v>8</v>
          </cell>
          <cell r="D523">
            <v>8</v>
          </cell>
          <cell r="F523">
            <v>7</v>
          </cell>
          <cell r="H523">
            <v>7</v>
          </cell>
          <cell r="J523">
            <v>7</v>
          </cell>
          <cell r="L523">
            <v>8</v>
          </cell>
          <cell r="N523">
            <v>8</v>
          </cell>
          <cell r="P523">
            <v>53</v>
          </cell>
        </row>
        <row r="524">
          <cell r="A524" t="str">
            <v>IND-HOU</v>
          </cell>
          <cell r="C524">
            <v>13</v>
          </cell>
          <cell r="E524">
            <v>13</v>
          </cell>
          <cell r="G524">
            <v>13</v>
          </cell>
          <cell r="I524">
            <v>13</v>
          </cell>
          <cell r="K524">
            <v>13</v>
          </cell>
          <cell r="M524">
            <v>13</v>
          </cell>
          <cell r="O524">
            <v>13</v>
          </cell>
          <cell r="P524">
            <v>91</v>
          </cell>
        </row>
        <row r="525">
          <cell r="A525" t="str">
            <v>IND-LAS</v>
          </cell>
          <cell r="C525">
            <v>13</v>
          </cell>
          <cell r="E525">
            <v>13</v>
          </cell>
          <cell r="G525">
            <v>22</v>
          </cell>
          <cell r="I525">
            <v>21</v>
          </cell>
          <cell r="K525">
            <v>21</v>
          </cell>
          <cell r="M525">
            <v>22</v>
          </cell>
          <cell r="O525">
            <v>22</v>
          </cell>
          <cell r="P525">
            <v>134</v>
          </cell>
        </row>
        <row r="526">
          <cell r="A526" t="str">
            <v>IND-MCI</v>
          </cell>
          <cell r="C526">
            <v>13</v>
          </cell>
          <cell r="E526">
            <v>13</v>
          </cell>
          <cell r="G526">
            <v>13</v>
          </cell>
          <cell r="I526">
            <v>13</v>
          </cell>
          <cell r="K526">
            <v>13</v>
          </cell>
          <cell r="M526">
            <v>13</v>
          </cell>
          <cell r="O526">
            <v>13</v>
          </cell>
          <cell r="P526">
            <v>91</v>
          </cell>
        </row>
        <row r="527">
          <cell r="A527" t="str">
            <v>IND-MCO</v>
          </cell>
          <cell r="B527">
            <v>21</v>
          </cell>
          <cell r="C527">
            <v>7</v>
          </cell>
          <cell r="D527">
            <v>21</v>
          </cell>
          <cell r="E527">
            <v>7</v>
          </cell>
          <cell r="F527">
            <v>27</v>
          </cell>
          <cell r="G527">
            <v>9</v>
          </cell>
          <cell r="H527">
            <v>28</v>
          </cell>
          <cell r="I527">
            <v>1</v>
          </cell>
          <cell r="J527">
            <v>28</v>
          </cell>
          <cell r="K527">
            <v>1</v>
          </cell>
          <cell r="L527">
            <v>28</v>
          </cell>
          <cell r="M527">
            <v>1</v>
          </cell>
          <cell r="N527">
            <v>28</v>
          </cell>
          <cell r="O527">
            <v>1</v>
          </cell>
          <cell r="P527">
            <v>208</v>
          </cell>
        </row>
        <row r="528">
          <cell r="A528" t="str">
            <v>IND-PHX</v>
          </cell>
          <cell r="C528">
            <v>12</v>
          </cell>
          <cell r="E528">
            <v>12</v>
          </cell>
          <cell r="G528">
            <v>15</v>
          </cell>
          <cell r="I528">
            <v>14</v>
          </cell>
          <cell r="K528">
            <v>14</v>
          </cell>
          <cell r="M528">
            <v>14</v>
          </cell>
          <cell r="O528">
            <v>14</v>
          </cell>
          <cell r="P528">
            <v>95</v>
          </cell>
        </row>
        <row r="529">
          <cell r="A529" t="str">
            <v>IND-RSW</v>
          </cell>
          <cell r="B529">
            <v>21</v>
          </cell>
          <cell r="D529">
            <v>21</v>
          </cell>
          <cell r="F529">
            <v>24</v>
          </cell>
          <cell r="H529">
            <v>14</v>
          </cell>
          <cell r="J529">
            <v>14</v>
          </cell>
          <cell r="L529">
            <v>15</v>
          </cell>
          <cell r="N529">
            <v>15</v>
          </cell>
          <cell r="P529">
            <v>124</v>
          </cell>
        </row>
        <row r="530">
          <cell r="A530" t="str">
            <v>IND-TPA</v>
          </cell>
          <cell r="B530">
            <v>7</v>
          </cell>
          <cell r="C530">
            <v>8</v>
          </cell>
          <cell r="D530">
            <v>7</v>
          </cell>
          <cell r="E530">
            <v>8</v>
          </cell>
          <cell r="F530">
            <v>14</v>
          </cell>
          <cell r="G530">
            <v>7</v>
          </cell>
          <cell r="H530">
            <v>14</v>
          </cell>
          <cell r="I530">
            <v>7</v>
          </cell>
          <cell r="J530">
            <v>14</v>
          </cell>
          <cell r="K530">
            <v>7</v>
          </cell>
          <cell r="L530">
            <v>14</v>
          </cell>
          <cell r="M530">
            <v>9</v>
          </cell>
          <cell r="N530">
            <v>14</v>
          </cell>
          <cell r="O530">
            <v>9</v>
          </cell>
          <cell r="P530">
            <v>139</v>
          </cell>
        </row>
        <row r="531">
          <cell r="A531" t="str">
            <v>ISP-BWI</v>
          </cell>
          <cell r="C531">
            <v>33</v>
          </cell>
          <cell r="E531">
            <v>33</v>
          </cell>
          <cell r="G531">
            <v>34</v>
          </cell>
          <cell r="I531">
            <v>33</v>
          </cell>
          <cell r="K531">
            <v>33</v>
          </cell>
          <cell r="M531">
            <v>34</v>
          </cell>
          <cell r="O531">
            <v>34</v>
          </cell>
          <cell r="P531">
            <v>234</v>
          </cell>
        </row>
        <row r="532">
          <cell r="A532" t="str">
            <v>ISP-FLL</v>
          </cell>
          <cell r="C532">
            <v>14</v>
          </cell>
          <cell r="E532">
            <v>14</v>
          </cell>
          <cell r="G532">
            <v>14</v>
          </cell>
          <cell r="I532">
            <v>13</v>
          </cell>
          <cell r="K532">
            <v>13</v>
          </cell>
          <cell r="M532">
            <v>8</v>
          </cell>
          <cell r="O532">
            <v>8</v>
          </cell>
          <cell r="P532">
            <v>84</v>
          </cell>
        </row>
        <row r="533">
          <cell r="A533" t="str">
            <v>ISP-MCO</v>
          </cell>
          <cell r="C533">
            <v>21</v>
          </cell>
          <cell r="E533">
            <v>21</v>
          </cell>
          <cell r="G533">
            <v>27</v>
          </cell>
          <cell r="I533">
            <v>28</v>
          </cell>
          <cell r="K533">
            <v>28</v>
          </cell>
          <cell r="M533">
            <v>22</v>
          </cell>
          <cell r="O533">
            <v>22</v>
          </cell>
          <cell r="P533">
            <v>169</v>
          </cell>
        </row>
        <row r="534">
          <cell r="A534" t="str">
            <v>ISP-PBI</v>
          </cell>
          <cell r="C534">
            <v>14</v>
          </cell>
          <cell r="E534">
            <v>14</v>
          </cell>
          <cell r="G534">
            <v>20</v>
          </cell>
          <cell r="I534">
            <v>14</v>
          </cell>
          <cell r="K534">
            <v>14</v>
          </cell>
          <cell r="M534">
            <v>14</v>
          </cell>
          <cell r="O534">
            <v>14</v>
          </cell>
          <cell r="P534">
            <v>104</v>
          </cell>
        </row>
        <row r="535">
          <cell r="A535" t="str">
            <v>ISP-RSW</v>
          </cell>
          <cell r="G535">
            <v>7</v>
          </cell>
          <cell r="P535">
            <v>7</v>
          </cell>
        </row>
        <row r="536">
          <cell r="A536" t="str">
            <v>ISP-TPA</v>
          </cell>
          <cell r="C536">
            <v>8</v>
          </cell>
          <cell r="E536">
            <v>8</v>
          </cell>
          <cell r="G536">
            <v>14</v>
          </cell>
          <cell r="I536">
            <v>14</v>
          </cell>
          <cell r="K536">
            <v>14</v>
          </cell>
          <cell r="M536">
            <v>14</v>
          </cell>
          <cell r="O536">
            <v>14</v>
          </cell>
          <cell r="P536">
            <v>86</v>
          </cell>
        </row>
        <row r="537">
          <cell r="A537" t="str">
            <v>JAN-BWI</v>
          </cell>
          <cell r="C537">
            <v>7</v>
          </cell>
          <cell r="E537">
            <v>7</v>
          </cell>
          <cell r="G537">
            <v>7</v>
          </cell>
          <cell r="I537">
            <v>7</v>
          </cell>
          <cell r="K537">
            <v>7</v>
          </cell>
          <cell r="M537">
            <v>7</v>
          </cell>
          <cell r="O537">
            <v>7</v>
          </cell>
          <cell r="P537">
            <v>49</v>
          </cell>
        </row>
        <row r="538">
          <cell r="A538" t="str">
            <v>JAN-HOU</v>
          </cell>
          <cell r="C538">
            <v>18</v>
          </cell>
          <cell r="E538">
            <v>18</v>
          </cell>
          <cell r="G538">
            <v>19</v>
          </cell>
          <cell r="I538">
            <v>19</v>
          </cell>
          <cell r="K538">
            <v>19</v>
          </cell>
          <cell r="M538">
            <v>14</v>
          </cell>
          <cell r="O538">
            <v>14</v>
          </cell>
          <cell r="P538">
            <v>121</v>
          </cell>
        </row>
        <row r="539">
          <cell r="A539" t="str">
            <v>JAN-MCO</v>
          </cell>
          <cell r="C539">
            <v>7</v>
          </cell>
          <cell r="E539">
            <v>7</v>
          </cell>
          <cell r="G539">
            <v>7</v>
          </cell>
          <cell r="I539">
            <v>7</v>
          </cell>
          <cell r="K539">
            <v>7</v>
          </cell>
          <cell r="M539">
            <v>7</v>
          </cell>
          <cell r="O539">
            <v>7</v>
          </cell>
          <cell r="P539">
            <v>49</v>
          </cell>
        </row>
        <row r="540">
          <cell r="A540" t="str">
            <v>JAN-MDW</v>
          </cell>
          <cell r="C540">
            <v>7</v>
          </cell>
          <cell r="E540">
            <v>7</v>
          </cell>
          <cell r="G540">
            <v>7</v>
          </cell>
          <cell r="I540">
            <v>7</v>
          </cell>
          <cell r="K540">
            <v>7</v>
          </cell>
          <cell r="M540">
            <v>7</v>
          </cell>
          <cell r="O540">
            <v>7</v>
          </cell>
          <cell r="P540">
            <v>49</v>
          </cell>
        </row>
        <row r="541">
          <cell r="A541" t="str">
            <v>JAX-ATL</v>
          </cell>
          <cell r="B541">
            <v>27</v>
          </cell>
          <cell r="D541">
            <v>27</v>
          </cell>
          <cell r="F541">
            <v>29</v>
          </cell>
          <cell r="H541">
            <v>28</v>
          </cell>
          <cell r="J541">
            <v>28</v>
          </cell>
          <cell r="L541">
            <v>28</v>
          </cell>
          <cell r="N541">
            <v>28</v>
          </cell>
          <cell r="P541">
            <v>195</v>
          </cell>
        </row>
        <row r="542">
          <cell r="A542" t="str">
            <v>JAX-BHM</v>
          </cell>
          <cell r="C542">
            <v>7</v>
          </cell>
          <cell r="E542">
            <v>7</v>
          </cell>
          <cell r="G542">
            <v>7</v>
          </cell>
          <cell r="I542">
            <v>6</v>
          </cell>
          <cell r="K542">
            <v>6</v>
          </cell>
          <cell r="P542">
            <v>33</v>
          </cell>
        </row>
        <row r="543">
          <cell r="A543" t="str">
            <v>JAX-BNA</v>
          </cell>
          <cell r="C543">
            <v>20</v>
          </cell>
          <cell r="E543">
            <v>20</v>
          </cell>
          <cell r="G543">
            <v>21</v>
          </cell>
          <cell r="I543">
            <v>27</v>
          </cell>
          <cell r="K543">
            <v>27</v>
          </cell>
          <cell r="M543">
            <v>26</v>
          </cell>
          <cell r="O543">
            <v>26</v>
          </cell>
          <cell r="P543">
            <v>167</v>
          </cell>
        </row>
        <row r="544">
          <cell r="A544" t="str">
            <v>JAX-BWI</v>
          </cell>
          <cell r="C544">
            <v>21</v>
          </cell>
          <cell r="E544">
            <v>21</v>
          </cell>
          <cell r="G544">
            <v>26</v>
          </cell>
          <cell r="I544">
            <v>26</v>
          </cell>
          <cell r="K544">
            <v>26</v>
          </cell>
          <cell r="M544">
            <v>27</v>
          </cell>
          <cell r="O544">
            <v>27</v>
          </cell>
          <cell r="P544">
            <v>174</v>
          </cell>
        </row>
        <row r="545">
          <cell r="A545" t="str">
            <v>JAX-DEN</v>
          </cell>
          <cell r="C545">
            <v>7</v>
          </cell>
          <cell r="E545">
            <v>7</v>
          </cell>
          <cell r="G545">
            <v>7</v>
          </cell>
          <cell r="I545">
            <v>7</v>
          </cell>
          <cell r="K545">
            <v>7</v>
          </cell>
          <cell r="M545">
            <v>7</v>
          </cell>
          <cell r="O545">
            <v>7</v>
          </cell>
          <cell r="P545">
            <v>49</v>
          </cell>
        </row>
        <row r="546">
          <cell r="A546" t="str">
            <v>JAX-FLL</v>
          </cell>
          <cell r="C546">
            <v>26</v>
          </cell>
          <cell r="E546">
            <v>26</v>
          </cell>
          <cell r="G546">
            <v>25</v>
          </cell>
          <cell r="I546">
            <v>24</v>
          </cell>
          <cell r="K546">
            <v>24</v>
          </cell>
          <cell r="M546">
            <v>20</v>
          </cell>
          <cell r="O546">
            <v>20</v>
          </cell>
          <cell r="P546">
            <v>165</v>
          </cell>
        </row>
        <row r="547">
          <cell r="A547" t="str">
            <v>JAX-HOU</v>
          </cell>
          <cell r="C547">
            <v>7</v>
          </cell>
          <cell r="E547">
            <v>7</v>
          </cell>
          <cell r="G547">
            <v>13</v>
          </cell>
          <cell r="I547">
            <v>7</v>
          </cell>
          <cell r="K547">
            <v>7</v>
          </cell>
          <cell r="M547">
            <v>12</v>
          </cell>
          <cell r="O547">
            <v>12</v>
          </cell>
          <cell r="P547">
            <v>65</v>
          </cell>
        </row>
        <row r="548">
          <cell r="A548" t="str">
            <v>JAX-LAS</v>
          </cell>
          <cell r="G548">
            <v>7</v>
          </cell>
          <cell r="I548">
            <v>7</v>
          </cell>
          <cell r="K548">
            <v>7</v>
          </cell>
          <cell r="M548">
            <v>7</v>
          </cell>
          <cell r="O548">
            <v>7</v>
          </cell>
          <cell r="P548">
            <v>35</v>
          </cell>
        </row>
        <row r="549">
          <cell r="A549" t="str">
            <v>JAX-ORF</v>
          </cell>
          <cell r="C549">
            <v>7</v>
          </cell>
          <cell r="E549">
            <v>7</v>
          </cell>
          <cell r="G549">
            <v>14</v>
          </cell>
          <cell r="I549">
            <v>13</v>
          </cell>
          <cell r="K549">
            <v>13</v>
          </cell>
          <cell r="M549">
            <v>7</v>
          </cell>
          <cell r="O549">
            <v>7</v>
          </cell>
          <cell r="P549">
            <v>68</v>
          </cell>
        </row>
        <row r="550">
          <cell r="A550" t="str">
            <v>LAS-ABQ</v>
          </cell>
          <cell r="C550">
            <v>27</v>
          </cell>
          <cell r="E550">
            <v>27</v>
          </cell>
          <cell r="G550">
            <v>39</v>
          </cell>
          <cell r="I550">
            <v>39</v>
          </cell>
          <cell r="K550">
            <v>39</v>
          </cell>
          <cell r="M550">
            <v>40</v>
          </cell>
          <cell r="O550">
            <v>40</v>
          </cell>
          <cell r="P550">
            <v>251</v>
          </cell>
        </row>
        <row r="551">
          <cell r="A551" t="str">
            <v>LAS-ALB</v>
          </cell>
          <cell r="G551">
            <v>7</v>
          </cell>
          <cell r="I551">
            <v>7</v>
          </cell>
          <cell r="K551">
            <v>7</v>
          </cell>
          <cell r="M551">
            <v>7</v>
          </cell>
          <cell r="O551">
            <v>7</v>
          </cell>
          <cell r="P551">
            <v>35</v>
          </cell>
        </row>
        <row r="552">
          <cell r="A552" t="str">
            <v>LAS-AMA</v>
          </cell>
          <cell r="C552">
            <v>7</v>
          </cell>
          <cell r="E552">
            <v>7</v>
          </cell>
          <cell r="G552">
            <v>7</v>
          </cell>
          <cell r="I552">
            <v>7</v>
          </cell>
          <cell r="K552">
            <v>7</v>
          </cell>
          <cell r="M552">
            <v>7</v>
          </cell>
          <cell r="O552">
            <v>7</v>
          </cell>
          <cell r="P552">
            <v>49</v>
          </cell>
        </row>
        <row r="553">
          <cell r="A553" t="str">
            <v>LAS-ATL</v>
          </cell>
          <cell r="B553">
            <v>13</v>
          </cell>
          <cell r="C553">
            <v>14</v>
          </cell>
          <cell r="D553">
            <v>14</v>
          </cell>
          <cell r="E553">
            <v>13</v>
          </cell>
          <cell r="F553">
            <v>14</v>
          </cell>
          <cell r="G553">
            <v>12</v>
          </cell>
          <cell r="H553">
            <v>14</v>
          </cell>
          <cell r="I553">
            <v>13</v>
          </cell>
          <cell r="J553">
            <v>14</v>
          </cell>
          <cell r="K553">
            <v>13</v>
          </cell>
          <cell r="L553">
            <v>20</v>
          </cell>
          <cell r="M553">
            <v>14</v>
          </cell>
          <cell r="N553">
            <v>13</v>
          </cell>
          <cell r="O553">
            <v>21</v>
          </cell>
          <cell r="P553">
            <v>202</v>
          </cell>
        </row>
        <row r="554">
          <cell r="A554" t="str">
            <v>LAS-AUS</v>
          </cell>
          <cell r="C554">
            <v>21</v>
          </cell>
          <cell r="E554">
            <v>21</v>
          </cell>
          <cell r="G554">
            <v>21</v>
          </cell>
          <cell r="I554">
            <v>21</v>
          </cell>
          <cell r="K554">
            <v>21</v>
          </cell>
          <cell r="M554">
            <v>21</v>
          </cell>
          <cell r="O554">
            <v>21</v>
          </cell>
          <cell r="P554">
            <v>147</v>
          </cell>
        </row>
        <row r="555">
          <cell r="A555" t="str">
            <v>LAS-BDL</v>
          </cell>
          <cell r="G555">
            <v>7</v>
          </cell>
          <cell r="I555">
            <v>7</v>
          </cell>
          <cell r="K555">
            <v>7</v>
          </cell>
          <cell r="M555">
            <v>7</v>
          </cell>
          <cell r="O555">
            <v>7</v>
          </cell>
          <cell r="P555">
            <v>35</v>
          </cell>
        </row>
        <row r="556">
          <cell r="A556" t="str">
            <v>LAS-BHM</v>
          </cell>
          <cell r="C556">
            <v>7</v>
          </cell>
          <cell r="E556">
            <v>7</v>
          </cell>
          <cell r="G556">
            <v>7</v>
          </cell>
          <cell r="I556">
            <v>7</v>
          </cell>
          <cell r="K556">
            <v>7</v>
          </cell>
          <cell r="M556">
            <v>7</v>
          </cell>
          <cell r="O556">
            <v>7</v>
          </cell>
          <cell r="P556">
            <v>49</v>
          </cell>
        </row>
        <row r="557">
          <cell r="A557" t="str">
            <v>LAS-BNA</v>
          </cell>
          <cell r="C557">
            <v>14</v>
          </cell>
          <cell r="E557">
            <v>14</v>
          </cell>
          <cell r="G557">
            <v>19</v>
          </cell>
          <cell r="I557">
            <v>20</v>
          </cell>
          <cell r="K557">
            <v>20</v>
          </cell>
          <cell r="M557">
            <v>20</v>
          </cell>
          <cell r="O557">
            <v>20</v>
          </cell>
          <cell r="P557">
            <v>127</v>
          </cell>
        </row>
        <row r="558">
          <cell r="A558" t="str">
            <v>LAS-BOI</v>
          </cell>
          <cell r="C558">
            <v>14</v>
          </cell>
          <cell r="E558">
            <v>14</v>
          </cell>
          <cell r="G558">
            <v>14</v>
          </cell>
          <cell r="I558">
            <v>13</v>
          </cell>
          <cell r="K558">
            <v>13</v>
          </cell>
          <cell r="M558">
            <v>14</v>
          </cell>
          <cell r="O558">
            <v>14</v>
          </cell>
          <cell r="P558">
            <v>96</v>
          </cell>
        </row>
        <row r="559">
          <cell r="A559" t="str">
            <v>LAS-BUF</v>
          </cell>
          <cell r="C559">
            <v>7</v>
          </cell>
          <cell r="E559">
            <v>7</v>
          </cell>
          <cell r="G559">
            <v>14</v>
          </cell>
          <cell r="I559">
            <v>14</v>
          </cell>
          <cell r="K559">
            <v>14</v>
          </cell>
          <cell r="M559">
            <v>14</v>
          </cell>
          <cell r="O559">
            <v>14</v>
          </cell>
          <cell r="P559">
            <v>84</v>
          </cell>
        </row>
        <row r="560">
          <cell r="A560" t="str">
            <v>LAS-BUR</v>
          </cell>
          <cell r="C560">
            <v>68</v>
          </cell>
          <cell r="E560">
            <v>68</v>
          </cell>
          <cell r="G560">
            <v>68</v>
          </cell>
          <cell r="I560">
            <v>75</v>
          </cell>
          <cell r="K560">
            <v>75</v>
          </cell>
          <cell r="M560">
            <v>75</v>
          </cell>
          <cell r="O560">
            <v>75</v>
          </cell>
          <cell r="P560">
            <v>504</v>
          </cell>
        </row>
        <row r="561">
          <cell r="A561" t="str">
            <v>LAS-BWI</v>
          </cell>
          <cell r="C561">
            <v>14</v>
          </cell>
          <cell r="E561">
            <v>14</v>
          </cell>
          <cell r="G561">
            <v>21</v>
          </cell>
          <cell r="I561">
            <v>27</v>
          </cell>
          <cell r="K561">
            <v>27</v>
          </cell>
          <cell r="M561">
            <v>27</v>
          </cell>
          <cell r="O561">
            <v>27</v>
          </cell>
          <cell r="P561">
            <v>157</v>
          </cell>
        </row>
        <row r="562">
          <cell r="A562" t="str">
            <v>LAS-CLE</v>
          </cell>
          <cell r="I562">
            <v>6</v>
          </cell>
          <cell r="K562">
            <v>6</v>
          </cell>
          <cell r="M562">
            <v>7</v>
          </cell>
          <cell r="O562">
            <v>7</v>
          </cell>
          <cell r="P562">
            <v>26</v>
          </cell>
        </row>
        <row r="563">
          <cell r="A563" t="str">
            <v>LAS-CMH</v>
          </cell>
          <cell r="C563">
            <v>7</v>
          </cell>
          <cell r="E563">
            <v>7</v>
          </cell>
          <cell r="G563">
            <v>14</v>
          </cell>
          <cell r="I563">
            <v>14</v>
          </cell>
          <cell r="K563">
            <v>14</v>
          </cell>
          <cell r="M563">
            <v>14</v>
          </cell>
          <cell r="O563">
            <v>14</v>
          </cell>
          <cell r="P563">
            <v>84</v>
          </cell>
        </row>
        <row r="564">
          <cell r="A564" t="str">
            <v>LAS-DEN</v>
          </cell>
          <cell r="C564">
            <v>54</v>
          </cell>
          <cell r="E564">
            <v>54</v>
          </cell>
          <cell r="G564">
            <v>61</v>
          </cell>
          <cell r="I564">
            <v>61</v>
          </cell>
          <cell r="K564">
            <v>61</v>
          </cell>
          <cell r="M564">
            <v>62</v>
          </cell>
          <cell r="O564">
            <v>62</v>
          </cell>
          <cell r="P564">
            <v>415</v>
          </cell>
        </row>
        <row r="565">
          <cell r="A565" t="str">
            <v>LAS-DTW</v>
          </cell>
          <cell r="C565">
            <v>7</v>
          </cell>
          <cell r="E565">
            <v>7</v>
          </cell>
          <cell r="G565">
            <v>7</v>
          </cell>
          <cell r="I565">
            <v>7</v>
          </cell>
          <cell r="K565">
            <v>7</v>
          </cell>
          <cell r="M565">
            <v>7</v>
          </cell>
          <cell r="O565">
            <v>7</v>
          </cell>
          <cell r="P565">
            <v>49</v>
          </cell>
        </row>
        <row r="566">
          <cell r="A566" t="str">
            <v>LAS-ELP</v>
          </cell>
          <cell r="C566">
            <v>20</v>
          </cell>
          <cell r="E566">
            <v>20</v>
          </cell>
          <cell r="G566">
            <v>21</v>
          </cell>
          <cell r="I566">
            <v>21</v>
          </cell>
          <cell r="K566">
            <v>21</v>
          </cell>
          <cell r="M566">
            <v>21</v>
          </cell>
          <cell r="O566">
            <v>21</v>
          </cell>
          <cell r="P566">
            <v>145</v>
          </cell>
        </row>
        <row r="567">
          <cell r="A567" t="str">
            <v>LAS-FLL</v>
          </cell>
          <cell r="C567">
            <v>7</v>
          </cell>
          <cell r="E567">
            <v>7</v>
          </cell>
          <cell r="G567">
            <v>7</v>
          </cell>
          <cell r="I567">
            <v>7</v>
          </cell>
          <cell r="K567">
            <v>7</v>
          </cell>
          <cell r="M567">
            <v>7</v>
          </cell>
          <cell r="O567">
            <v>7</v>
          </cell>
          <cell r="P567">
            <v>49</v>
          </cell>
        </row>
        <row r="568">
          <cell r="A568" t="str">
            <v>LAS-GEG</v>
          </cell>
          <cell r="C568">
            <v>14</v>
          </cell>
          <cell r="E568">
            <v>14</v>
          </cell>
          <cell r="G568">
            <v>14</v>
          </cell>
          <cell r="I568">
            <v>13</v>
          </cell>
          <cell r="K568">
            <v>13</v>
          </cell>
          <cell r="M568">
            <v>13</v>
          </cell>
          <cell r="O568">
            <v>13</v>
          </cell>
          <cell r="P568">
            <v>94</v>
          </cell>
        </row>
        <row r="569">
          <cell r="A569" t="str">
            <v>LAS-HOU</v>
          </cell>
          <cell r="C569">
            <v>27</v>
          </cell>
          <cell r="E569">
            <v>27</v>
          </cell>
          <cell r="G569">
            <v>33</v>
          </cell>
          <cell r="I569">
            <v>33</v>
          </cell>
          <cell r="K569">
            <v>33</v>
          </cell>
          <cell r="M569">
            <v>33</v>
          </cell>
          <cell r="O569">
            <v>33</v>
          </cell>
          <cell r="P569">
            <v>219</v>
          </cell>
        </row>
        <row r="570">
          <cell r="A570" t="str">
            <v>LAS-ICT</v>
          </cell>
          <cell r="M570">
            <v>7</v>
          </cell>
          <cell r="O570">
            <v>7</v>
          </cell>
          <cell r="P570">
            <v>14</v>
          </cell>
        </row>
        <row r="571">
          <cell r="A571" t="str">
            <v>LAS-IND</v>
          </cell>
          <cell r="C571">
            <v>13</v>
          </cell>
          <cell r="E571">
            <v>13</v>
          </cell>
          <cell r="G571">
            <v>22</v>
          </cell>
          <cell r="I571">
            <v>21</v>
          </cell>
          <cell r="K571">
            <v>21</v>
          </cell>
          <cell r="M571">
            <v>22</v>
          </cell>
          <cell r="O571">
            <v>22</v>
          </cell>
          <cell r="P571">
            <v>134</v>
          </cell>
        </row>
        <row r="572">
          <cell r="A572" t="str">
            <v>LAS-JAX</v>
          </cell>
          <cell r="G572">
            <v>7</v>
          </cell>
          <cell r="I572">
            <v>7</v>
          </cell>
          <cell r="K572">
            <v>7</v>
          </cell>
          <cell r="M572">
            <v>7</v>
          </cell>
          <cell r="O572">
            <v>7</v>
          </cell>
          <cell r="P572">
            <v>35</v>
          </cell>
        </row>
        <row r="573">
          <cell r="A573" t="str">
            <v>LAS-LAX</v>
          </cell>
          <cell r="C573">
            <v>80</v>
          </cell>
          <cell r="E573">
            <v>80</v>
          </cell>
          <cell r="G573">
            <v>80</v>
          </cell>
          <cell r="I573">
            <v>79</v>
          </cell>
          <cell r="K573">
            <v>79</v>
          </cell>
          <cell r="M573">
            <v>79</v>
          </cell>
          <cell r="O573">
            <v>79</v>
          </cell>
          <cell r="P573">
            <v>556</v>
          </cell>
        </row>
        <row r="574">
          <cell r="A574" t="str">
            <v>LAS-LBB</v>
          </cell>
          <cell r="C574">
            <v>7</v>
          </cell>
          <cell r="E574">
            <v>7</v>
          </cell>
          <cell r="G574">
            <v>7</v>
          </cell>
          <cell r="I574">
            <v>7</v>
          </cell>
          <cell r="K574">
            <v>7</v>
          </cell>
          <cell r="M574">
            <v>7</v>
          </cell>
          <cell r="O574">
            <v>7</v>
          </cell>
          <cell r="P574">
            <v>49</v>
          </cell>
        </row>
        <row r="575">
          <cell r="A575" t="str">
            <v>LAS-LIT</v>
          </cell>
          <cell r="C575">
            <v>7</v>
          </cell>
          <cell r="E575">
            <v>7</v>
          </cell>
          <cell r="G575">
            <v>7</v>
          </cell>
          <cell r="I575">
            <v>7</v>
          </cell>
          <cell r="K575">
            <v>7</v>
          </cell>
          <cell r="M575">
            <v>7</v>
          </cell>
          <cell r="O575">
            <v>7</v>
          </cell>
          <cell r="P575">
            <v>49</v>
          </cell>
        </row>
        <row r="576">
          <cell r="A576" t="str">
            <v>LAS-MAF</v>
          </cell>
          <cell r="C576">
            <v>7</v>
          </cell>
          <cell r="E576">
            <v>7</v>
          </cell>
          <cell r="G576">
            <v>12</v>
          </cell>
          <cell r="I576">
            <v>12</v>
          </cell>
          <cell r="K576">
            <v>12</v>
          </cell>
          <cell r="M576">
            <v>13</v>
          </cell>
          <cell r="O576">
            <v>13</v>
          </cell>
          <cell r="P576">
            <v>76</v>
          </cell>
        </row>
        <row r="577">
          <cell r="A577" t="str">
            <v>LAS-MCI</v>
          </cell>
          <cell r="C577">
            <v>26</v>
          </cell>
          <cell r="E577">
            <v>26</v>
          </cell>
          <cell r="G577">
            <v>27</v>
          </cell>
          <cell r="I577">
            <v>28</v>
          </cell>
          <cell r="K577">
            <v>28</v>
          </cell>
          <cell r="M577">
            <v>28</v>
          </cell>
          <cell r="O577">
            <v>28</v>
          </cell>
          <cell r="P577">
            <v>191</v>
          </cell>
        </row>
        <row r="578">
          <cell r="A578" t="str">
            <v>LAS-MCO</v>
          </cell>
          <cell r="C578">
            <v>7</v>
          </cell>
          <cell r="E578">
            <v>7</v>
          </cell>
          <cell r="G578">
            <v>14</v>
          </cell>
          <cell r="I578">
            <v>13</v>
          </cell>
          <cell r="K578">
            <v>13</v>
          </cell>
          <cell r="M578">
            <v>14</v>
          </cell>
          <cell r="O578">
            <v>14</v>
          </cell>
          <cell r="P578">
            <v>82</v>
          </cell>
        </row>
        <row r="579">
          <cell r="A579" t="str">
            <v>LAS-MDW</v>
          </cell>
          <cell r="C579">
            <v>46</v>
          </cell>
          <cell r="E579">
            <v>46</v>
          </cell>
          <cell r="G579">
            <v>67</v>
          </cell>
          <cell r="I579">
            <v>62</v>
          </cell>
          <cell r="K579">
            <v>62</v>
          </cell>
          <cell r="M579">
            <v>62</v>
          </cell>
          <cell r="O579">
            <v>62</v>
          </cell>
          <cell r="P579">
            <v>407</v>
          </cell>
        </row>
        <row r="580">
          <cell r="A580" t="str">
            <v>LAS-MHT</v>
          </cell>
          <cell r="M580">
            <v>7</v>
          </cell>
          <cell r="O580">
            <v>7</v>
          </cell>
          <cell r="P580">
            <v>14</v>
          </cell>
        </row>
        <row r="581">
          <cell r="A581" t="str">
            <v>LAS-MKE</v>
          </cell>
          <cell r="C581">
            <v>19</v>
          </cell>
          <cell r="E581">
            <v>19</v>
          </cell>
          <cell r="G581">
            <v>20</v>
          </cell>
          <cell r="I581">
            <v>21</v>
          </cell>
          <cell r="K581">
            <v>21</v>
          </cell>
          <cell r="M581">
            <v>26</v>
          </cell>
          <cell r="O581">
            <v>26</v>
          </cell>
          <cell r="P581">
            <v>152</v>
          </cell>
        </row>
        <row r="582">
          <cell r="A582" t="str">
            <v>LAS-MSY</v>
          </cell>
          <cell r="C582">
            <v>7</v>
          </cell>
          <cell r="E582">
            <v>7</v>
          </cell>
          <cell r="G582">
            <v>14</v>
          </cell>
          <cell r="I582">
            <v>14</v>
          </cell>
          <cell r="K582">
            <v>14</v>
          </cell>
          <cell r="M582">
            <v>14</v>
          </cell>
          <cell r="O582">
            <v>14</v>
          </cell>
          <cell r="P582">
            <v>84</v>
          </cell>
        </row>
        <row r="583">
          <cell r="A583" t="str">
            <v>LAS-OAK</v>
          </cell>
          <cell r="C583">
            <v>54</v>
          </cell>
          <cell r="E583">
            <v>54</v>
          </cell>
          <cell r="G583">
            <v>53</v>
          </cell>
          <cell r="I583">
            <v>60</v>
          </cell>
          <cell r="K583">
            <v>60</v>
          </cell>
          <cell r="M583">
            <v>61</v>
          </cell>
          <cell r="O583">
            <v>61</v>
          </cell>
          <cell r="P583">
            <v>403</v>
          </cell>
        </row>
        <row r="584">
          <cell r="A584" t="str">
            <v>LAS-OKC</v>
          </cell>
          <cell r="C584">
            <v>14</v>
          </cell>
          <cell r="E584">
            <v>14</v>
          </cell>
          <cell r="G584">
            <v>14</v>
          </cell>
          <cell r="I584">
            <v>14</v>
          </cell>
          <cell r="K584">
            <v>14</v>
          </cell>
          <cell r="M584">
            <v>14</v>
          </cell>
          <cell r="O584">
            <v>14</v>
          </cell>
          <cell r="P584">
            <v>98</v>
          </cell>
        </row>
        <row r="585">
          <cell r="A585" t="str">
            <v>LAS-OMA</v>
          </cell>
          <cell r="C585">
            <v>14</v>
          </cell>
          <cell r="E585">
            <v>14</v>
          </cell>
          <cell r="G585">
            <v>20</v>
          </cell>
          <cell r="I585">
            <v>19</v>
          </cell>
          <cell r="K585">
            <v>19</v>
          </cell>
          <cell r="M585">
            <v>20</v>
          </cell>
          <cell r="O585">
            <v>20</v>
          </cell>
          <cell r="P585">
            <v>126</v>
          </cell>
        </row>
        <row r="586">
          <cell r="A586" t="str">
            <v>LAS-ONT</v>
          </cell>
          <cell r="C586">
            <v>41</v>
          </cell>
          <cell r="E586">
            <v>41</v>
          </cell>
          <cell r="G586">
            <v>41</v>
          </cell>
          <cell r="I586">
            <v>39</v>
          </cell>
          <cell r="K586">
            <v>39</v>
          </cell>
          <cell r="M586">
            <v>40</v>
          </cell>
          <cell r="O586">
            <v>40</v>
          </cell>
          <cell r="P586">
            <v>281</v>
          </cell>
        </row>
        <row r="587">
          <cell r="A587" t="str">
            <v>LAS-PDX</v>
          </cell>
          <cell r="C587">
            <v>21</v>
          </cell>
          <cell r="E587">
            <v>21</v>
          </cell>
          <cell r="G587">
            <v>27</v>
          </cell>
          <cell r="I587">
            <v>28</v>
          </cell>
          <cell r="K587">
            <v>28</v>
          </cell>
          <cell r="M587">
            <v>28</v>
          </cell>
          <cell r="O587">
            <v>28</v>
          </cell>
          <cell r="P587">
            <v>181</v>
          </cell>
        </row>
        <row r="588">
          <cell r="A588" t="str">
            <v>LAS-PHL</v>
          </cell>
          <cell r="C588">
            <v>7</v>
          </cell>
          <cell r="E588">
            <v>7</v>
          </cell>
          <cell r="G588">
            <v>7</v>
          </cell>
          <cell r="I588">
            <v>7</v>
          </cell>
          <cell r="K588">
            <v>7</v>
          </cell>
          <cell r="M588">
            <v>7</v>
          </cell>
          <cell r="O588">
            <v>7</v>
          </cell>
          <cell r="P588">
            <v>49</v>
          </cell>
        </row>
        <row r="589">
          <cell r="A589" t="str">
            <v>LAS-PHX</v>
          </cell>
          <cell r="C589">
            <v>87</v>
          </cell>
          <cell r="E589">
            <v>87</v>
          </cell>
          <cell r="G589">
            <v>86</v>
          </cell>
          <cell r="I589">
            <v>86</v>
          </cell>
          <cell r="K589">
            <v>86</v>
          </cell>
          <cell r="M589">
            <v>81</v>
          </cell>
          <cell r="O589">
            <v>81</v>
          </cell>
          <cell r="P589">
            <v>594</v>
          </cell>
        </row>
        <row r="590">
          <cell r="A590" t="str">
            <v>LAS-PIT</v>
          </cell>
          <cell r="C590">
            <v>7</v>
          </cell>
          <cell r="E590">
            <v>7</v>
          </cell>
          <cell r="G590">
            <v>14</v>
          </cell>
          <cell r="I590">
            <v>14</v>
          </cell>
          <cell r="K590">
            <v>14</v>
          </cell>
          <cell r="M590">
            <v>14</v>
          </cell>
          <cell r="O590">
            <v>14</v>
          </cell>
          <cell r="P590">
            <v>84</v>
          </cell>
        </row>
        <row r="591">
          <cell r="A591" t="str">
            <v>LAS-RDU</v>
          </cell>
          <cell r="C591">
            <v>7</v>
          </cell>
          <cell r="E591">
            <v>7</v>
          </cell>
          <cell r="G591">
            <v>7</v>
          </cell>
          <cell r="I591">
            <v>7</v>
          </cell>
          <cell r="K591">
            <v>7</v>
          </cell>
          <cell r="M591">
            <v>7</v>
          </cell>
          <cell r="O591">
            <v>7</v>
          </cell>
          <cell r="P591">
            <v>49</v>
          </cell>
        </row>
        <row r="592">
          <cell r="A592" t="str">
            <v>LAS-RNO</v>
          </cell>
          <cell r="C592">
            <v>66</v>
          </cell>
          <cell r="E592">
            <v>67</v>
          </cell>
          <cell r="G592">
            <v>68</v>
          </cell>
          <cell r="I592">
            <v>72</v>
          </cell>
          <cell r="K592">
            <v>72</v>
          </cell>
          <cell r="M592">
            <v>74</v>
          </cell>
          <cell r="O592">
            <v>74</v>
          </cell>
          <cell r="P592">
            <v>493</v>
          </cell>
        </row>
        <row r="593">
          <cell r="A593" t="str">
            <v>LAS-SAN</v>
          </cell>
          <cell r="C593">
            <v>73</v>
          </cell>
          <cell r="E593">
            <v>73</v>
          </cell>
          <cell r="G593">
            <v>81</v>
          </cell>
          <cell r="I593">
            <v>82</v>
          </cell>
          <cell r="K593">
            <v>82</v>
          </cell>
          <cell r="M593">
            <v>81</v>
          </cell>
          <cell r="O593">
            <v>81</v>
          </cell>
          <cell r="P593">
            <v>553</v>
          </cell>
        </row>
        <row r="594">
          <cell r="A594" t="str">
            <v>LAS-SAT</v>
          </cell>
          <cell r="C594">
            <v>27</v>
          </cell>
          <cell r="E594">
            <v>27</v>
          </cell>
          <cell r="G594">
            <v>28</v>
          </cell>
          <cell r="I594">
            <v>22</v>
          </cell>
          <cell r="K594">
            <v>22</v>
          </cell>
          <cell r="M594">
            <v>28</v>
          </cell>
          <cell r="O594">
            <v>28</v>
          </cell>
          <cell r="P594">
            <v>182</v>
          </cell>
        </row>
        <row r="595">
          <cell r="A595" t="str">
            <v>LAS-SDF</v>
          </cell>
          <cell r="C595">
            <v>7</v>
          </cell>
          <cell r="E595">
            <v>7</v>
          </cell>
          <cell r="G595">
            <v>7</v>
          </cell>
          <cell r="I595">
            <v>7</v>
          </cell>
          <cell r="K595">
            <v>7</v>
          </cell>
          <cell r="M595">
            <v>7</v>
          </cell>
          <cell r="O595">
            <v>7</v>
          </cell>
          <cell r="P595">
            <v>49</v>
          </cell>
        </row>
        <row r="596">
          <cell r="A596" t="str">
            <v>LAS-SEA</v>
          </cell>
          <cell r="C596">
            <v>21</v>
          </cell>
          <cell r="E596">
            <v>21</v>
          </cell>
          <cell r="G596">
            <v>28</v>
          </cell>
          <cell r="I596">
            <v>28</v>
          </cell>
          <cell r="K596">
            <v>28</v>
          </cell>
          <cell r="M596">
            <v>35</v>
          </cell>
          <cell r="O596">
            <v>35</v>
          </cell>
          <cell r="P596">
            <v>196</v>
          </cell>
        </row>
        <row r="597">
          <cell r="A597" t="str">
            <v>LAS-SFO</v>
          </cell>
          <cell r="C597">
            <v>47</v>
          </cell>
          <cell r="E597">
            <v>47</v>
          </cell>
          <cell r="G597">
            <v>48</v>
          </cell>
          <cell r="I597">
            <v>47</v>
          </cell>
          <cell r="K597">
            <v>47</v>
          </cell>
          <cell r="M597">
            <v>48</v>
          </cell>
          <cell r="O597">
            <v>48</v>
          </cell>
          <cell r="P597">
            <v>332</v>
          </cell>
        </row>
        <row r="598">
          <cell r="A598" t="str">
            <v>LAS-SJC</v>
          </cell>
          <cell r="C598">
            <v>59</v>
          </cell>
          <cell r="E598">
            <v>59</v>
          </cell>
          <cell r="G598">
            <v>59</v>
          </cell>
          <cell r="I598">
            <v>59</v>
          </cell>
          <cell r="K598">
            <v>59</v>
          </cell>
          <cell r="M598">
            <v>60</v>
          </cell>
          <cell r="O598">
            <v>60</v>
          </cell>
          <cell r="P598">
            <v>415</v>
          </cell>
        </row>
        <row r="599">
          <cell r="A599" t="str">
            <v>LAS-SLC</v>
          </cell>
          <cell r="C599">
            <v>34</v>
          </cell>
          <cell r="E599">
            <v>34</v>
          </cell>
          <cell r="G599">
            <v>40</v>
          </cell>
          <cell r="I599">
            <v>41</v>
          </cell>
          <cell r="K599">
            <v>41</v>
          </cell>
          <cell r="M599">
            <v>41</v>
          </cell>
          <cell r="O599">
            <v>41</v>
          </cell>
          <cell r="P599">
            <v>272</v>
          </cell>
        </row>
        <row r="600">
          <cell r="A600" t="str">
            <v>LAS-SMF</v>
          </cell>
          <cell r="C600">
            <v>52</v>
          </cell>
          <cell r="E600">
            <v>52</v>
          </cell>
          <cell r="G600">
            <v>53</v>
          </cell>
          <cell r="I600">
            <v>53</v>
          </cell>
          <cell r="K600">
            <v>53</v>
          </cell>
          <cell r="M600">
            <v>53</v>
          </cell>
          <cell r="O600">
            <v>53</v>
          </cell>
          <cell r="P600">
            <v>369</v>
          </cell>
        </row>
        <row r="601">
          <cell r="A601" t="str">
            <v>LAS-SNA</v>
          </cell>
          <cell r="B601">
            <v>7</v>
          </cell>
          <cell r="C601">
            <v>48</v>
          </cell>
          <cell r="D601">
            <v>7</v>
          </cell>
          <cell r="E601">
            <v>48</v>
          </cell>
          <cell r="F601">
            <v>7</v>
          </cell>
          <cell r="G601">
            <v>47</v>
          </cell>
          <cell r="H601">
            <v>7</v>
          </cell>
          <cell r="I601">
            <v>47</v>
          </cell>
          <cell r="J601">
            <v>7</v>
          </cell>
          <cell r="K601">
            <v>47</v>
          </cell>
          <cell r="L601">
            <v>7</v>
          </cell>
          <cell r="M601">
            <v>46</v>
          </cell>
          <cell r="N601">
            <v>7</v>
          </cell>
          <cell r="O601">
            <v>46</v>
          </cell>
          <cell r="P601">
            <v>378</v>
          </cell>
        </row>
        <row r="602">
          <cell r="A602" t="str">
            <v>LAS-STL</v>
          </cell>
          <cell r="C602">
            <v>21</v>
          </cell>
          <cell r="E602">
            <v>21</v>
          </cell>
          <cell r="G602">
            <v>28</v>
          </cell>
          <cell r="I602">
            <v>28</v>
          </cell>
          <cell r="K602">
            <v>28</v>
          </cell>
          <cell r="M602">
            <v>28</v>
          </cell>
          <cell r="O602">
            <v>28</v>
          </cell>
          <cell r="P602">
            <v>182</v>
          </cell>
        </row>
        <row r="603">
          <cell r="A603" t="str">
            <v>LAS-TPA</v>
          </cell>
          <cell r="C603">
            <v>7</v>
          </cell>
          <cell r="E603">
            <v>7</v>
          </cell>
          <cell r="G603">
            <v>14</v>
          </cell>
          <cell r="I603">
            <v>13</v>
          </cell>
          <cell r="K603">
            <v>13</v>
          </cell>
          <cell r="M603">
            <v>14</v>
          </cell>
          <cell r="O603">
            <v>14</v>
          </cell>
          <cell r="P603">
            <v>82</v>
          </cell>
        </row>
        <row r="604">
          <cell r="A604" t="str">
            <v>LAS-TUL</v>
          </cell>
          <cell r="C604">
            <v>7</v>
          </cell>
          <cell r="E604">
            <v>7</v>
          </cell>
          <cell r="G604">
            <v>7</v>
          </cell>
          <cell r="I604">
            <v>7</v>
          </cell>
          <cell r="K604">
            <v>7</v>
          </cell>
          <cell r="M604">
            <v>7</v>
          </cell>
          <cell r="O604">
            <v>7</v>
          </cell>
          <cell r="P604">
            <v>49</v>
          </cell>
        </row>
        <row r="605">
          <cell r="A605" t="str">
            <v>LAS-TUS</v>
          </cell>
          <cell r="C605">
            <v>27</v>
          </cell>
          <cell r="E605">
            <v>27</v>
          </cell>
          <cell r="G605">
            <v>34</v>
          </cell>
          <cell r="I605">
            <v>32</v>
          </cell>
          <cell r="K605">
            <v>32</v>
          </cell>
          <cell r="M605">
            <v>27</v>
          </cell>
          <cell r="O605">
            <v>27</v>
          </cell>
          <cell r="P605">
            <v>206</v>
          </cell>
        </row>
        <row r="606">
          <cell r="A606" t="str">
            <v>LAX-ABQ</v>
          </cell>
          <cell r="C606">
            <v>19</v>
          </cell>
          <cell r="E606">
            <v>19</v>
          </cell>
          <cell r="G606">
            <v>26</v>
          </cell>
          <cell r="I606">
            <v>26</v>
          </cell>
          <cell r="K606">
            <v>26</v>
          </cell>
          <cell r="M606">
            <v>27</v>
          </cell>
          <cell r="O606">
            <v>27</v>
          </cell>
          <cell r="P606">
            <v>170</v>
          </cell>
        </row>
        <row r="607">
          <cell r="A607" t="str">
            <v>LAX-ATL</v>
          </cell>
          <cell r="B607">
            <v>14</v>
          </cell>
          <cell r="C607">
            <v>7</v>
          </cell>
          <cell r="D607">
            <v>14</v>
          </cell>
          <cell r="E607">
            <v>7</v>
          </cell>
          <cell r="F607">
            <v>14</v>
          </cell>
          <cell r="G607">
            <v>7</v>
          </cell>
          <cell r="H607">
            <v>14</v>
          </cell>
          <cell r="I607">
            <v>7</v>
          </cell>
          <cell r="J607">
            <v>14</v>
          </cell>
          <cell r="K607">
            <v>7</v>
          </cell>
          <cell r="L607">
            <v>21</v>
          </cell>
          <cell r="M607">
            <v>7</v>
          </cell>
          <cell r="N607">
            <v>21</v>
          </cell>
          <cell r="O607">
            <v>7</v>
          </cell>
          <cell r="P607">
            <v>161</v>
          </cell>
        </row>
        <row r="608">
          <cell r="A608" t="str">
            <v>LAX-AUS</v>
          </cell>
          <cell r="C608">
            <v>7</v>
          </cell>
          <cell r="E608">
            <v>7</v>
          </cell>
          <cell r="G608">
            <v>14</v>
          </cell>
          <cell r="I608">
            <v>14</v>
          </cell>
          <cell r="K608">
            <v>14</v>
          </cell>
          <cell r="M608">
            <v>14</v>
          </cell>
          <cell r="O608">
            <v>14</v>
          </cell>
          <cell r="P608">
            <v>84</v>
          </cell>
        </row>
        <row r="609">
          <cell r="A609" t="str">
            <v>LAX-BNA</v>
          </cell>
          <cell r="C609">
            <v>13</v>
          </cell>
          <cell r="E609">
            <v>13</v>
          </cell>
          <cell r="G609">
            <v>14</v>
          </cell>
          <cell r="I609">
            <v>13</v>
          </cell>
          <cell r="K609">
            <v>13</v>
          </cell>
          <cell r="M609">
            <v>14</v>
          </cell>
          <cell r="O609">
            <v>14</v>
          </cell>
          <cell r="P609">
            <v>94</v>
          </cell>
        </row>
        <row r="610">
          <cell r="A610" t="str">
            <v>LAX-BWI</v>
          </cell>
          <cell r="C610">
            <v>7</v>
          </cell>
          <cell r="E610">
            <v>7</v>
          </cell>
          <cell r="G610">
            <v>7</v>
          </cell>
          <cell r="I610">
            <v>7</v>
          </cell>
          <cell r="K610">
            <v>7</v>
          </cell>
          <cell r="M610">
            <v>14</v>
          </cell>
          <cell r="O610">
            <v>14</v>
          </cell>
          <cell r="P610">
            <v>63</v>
          </cell>
        </row>
        <row r="611">
          <cell r="A611" t="str">
            <v>LAX-DEN</v>
          </cell>
          <cell r="C611">
            <v>40</v>
          </cell>
          <cell r="E611">
            <v>40</v>
          </cell>
          <cell r="G611">
            <v>42</v>
          </cell>
          <cell r="I611">
            <v>47</v>
          </cell>
          <cell r="K611">
            <v>47</v>
          </cell>
          <cell r="M611">
            <v>47</v>
          </cell>
          <cell r="O611">
            <v>47</v>
          </cell>
          <cell r="P611">
            <v>310</v>
          </cell>
        </row>
        <row r="612">
          <cell r="A612" t="str">
            <v>LAX-ELP</v>
          </cell>
          <cell r="C612">
            <v>12</v>
          </cell>
          <cell r="E612">
            <v>12</v>
          </cell>
          <cell r="G612">
            <v>20</v>
          </cell>
          <cell r="I612">
            <v>19</v>
          </cell>
          <cell r="K612">
            <v>19</v>
          </cell>
          <cell r="M612">
            <v>20</v>
          </cell>
          <cell r="O612">
            <v>20</v>
          </cell>
          <cell r="P612">
            <v>122</v>
          </cell>
        </row>
        <row r="613">
          <cell r="A613" t="str">
            <v>LAX-HOU</v>
          </cell>
          <cell r="C613">
            <v>25</v>
          </cell>
          <cell r="E613">
            <v>25</v>
          </cell>
          <cell r="G613">
            <v>28</v>
          </cell>
          <cell r="I613">
            <v>28</v>
          </cell>
          <cell r="K613">
            <v>28</v>
          </cell>
          <cell r="M613">
            <v>28</v>
          </cell>
          <cell r="O613">
            <v>28</v>
          </cell>
          <cell r="P613">
            <v>190</v>
          </cell>
        </row>
        <row r="614">
          <cell r="A614" t="str">
            <v>LAX-LAS</v>
          </cell>
          <cell r="C614">
            <v>80</v>
          </cell>
          <cell r="E614">
            <v>80</v>
          </cell>
          <cell r="G614">
            <v>80</v>
          </cell>
          <cell r="I614">
            <v>79</v>
          </cell>
          <cell r="K614">
            <v>79</v>
          </cell>
          <cell r="M614">
            <v>81</v>
          </cell>
          <cell r="O614">
            <v>81</v>
          </cell>
          <cell r="P614">
            <v>560</v>
          </cell>
        </row>
        <row r="615">
          <cell r="A615" t="str">
            <v>LAX-MCI</v>
          </cell>
          <cell r="C615">
            <v>12</v>
          </cell>
          <cell r="E615">
            <v>12</v>
          </cell>
          <cell r="G615">
            <v>14</v>
          </cell>
          <cell r="I615">
            <v>19</v>
          </cell>
          <cell r="K615">
            <v>19</v>
          </cell>
          <cell r="M615">
            <v>20</v>
          </cell>
          <cell r="O615">
            <v>20</v>
          </cell>
          <cell r="P615">
            <v>116</v>
          </cell>
        </row>
        <row r="616">
          <cell r="A616" t="str">
            <v>LAX-MDW</v>
          </cell>
          <cell r="C616">
            <v>33</v>
          </cell>
          <cell r="E616">
            <v>33</v>
          </cell>
          <cell r="G616">
            <v>35</v>
          </cell>
          <cell r="I616">
            <v>40</v>
          </cell>
          <cell r="K616">
            <v>40</v>
          </cell>
          <cell r="M616">
            <v>48</v>
          </cell>
          <cell r="O616">
            <v>48</v>
          </cell>
          <cell r="P616">
            <v>277</v>
          </cell>
        </row>
        <row r="617">
          <cell r="A617" t="str">
            <v>LAX-MKE</v>
          </cell>
          <cell r="C617">
            <v>7</v>
          </cell>
          <cell r="E617">
            <v>7</v>
          </cell>
          <cell r="G617">
            <v>7</v>
          </cell>
          <cell r="I617">
            <v>7</v>
          </cell>
          <cell r="K617">
            <v>7</v>
          </cell>
          <cell r="M617">
            <v>13</v>
          </cell>
          <cell r="O617">
            <v>13</v>
          </cell>
          <cell r="P617">
            <v>61</v>
          </cell>
        </row>
        <row r="618">
          <cell r="A618" t="str">
            <v>LAX-MSY</v>
          </cell>
          <cell r="C618">
            <v>7</v>
          </cell>
          <cell r="E618">
            <v>7</v>
          </cell>
          <cell r="G618">
            <v>7</v>
          </cell>
          <cell r="I618">
            <v>7</v>
          </cell>
          <cell r="K618">
            <v>7</v>
          </cell>
          <cell r="M618">
            <v>7</v>
          </cell>
          <cell r="O618">
            <v>7</v>
          </cell>
          <cell r="P618">
            <v>49</v>
          </cell>
        </row>
        <row r="619">
          <cell r="A619" t="str">
            <v>LAX-OAK</v>
          </cell>
          <cell r="C619">
            <v>80</v>
          </cell>
          <cell r="E619">
            <v>80</v>
          </cell>
          <cell r="G619">
            <v>81</v>
          </cell>
          <cell r="I619">
            <v>80</v>
          </cell>
          <cell r="K619">
            <v>80</v>
          </cell>
          <cell r="M619">
            <v>80</v>
          </cell>
          <cell r="O619">
            <v>80</v>
          </cell>
          <cell r="P619">
            <v>561</v>
          </cell>
        </row>
        <row r="620">
          <cell r="A620" t="str">
            <v>LAX-PHX</v>
          </cell>
          <cell r="C620">
            <v>60</v>
          </cell>
          <cell r="E620">
            <v>60</v>
          </cell>
          <cell r="G620">
            <v>59</v>
          </cell>
          <cell r="I620">
            <v>59</v>
          </cell>
          <cell r="K620">
            <v>59</v>
          </cell>
          <cell r="M620">
            <v>60</v>
          </cell>
          <cell r="O620">
            <v>60</v>
          </cell>
          <cell r="P620">
            <v>417</v>
          </cell>
        </row>
        <row r="621">
          <cell r="A621" t="str">
            <v>LAX-RNO</v>
          </cell>
          <cell r="C621">
            <v>14</v>
          </cell>
          <cell r="E621">
            <v>14</v>
          </cell>
          <cell r="G621">
            <v>19</v>
          </cell>
          <cell r="I621">
            <v>21</v>
          </cell>
          <cell r="K621">
            <v>21</v>
          </cell>
          <cell r="M621">
            <v>21</v>
          </cell>
          <cell r="O621">
            <v>21</v>
          </cell>
          <cell r="P621">
            <v>131</v>
          </cell>
        </row>
        <row r="622">
          <cell r="A622" t="str">
            <v>LAX-SAT</v>
          </cell>
          <cell r="C622">
            <v>7</v>
          </cell>
          <cell r="E622">
            <v>7</v>
          </cell>
          <cell r="G622">
            <v>14</v>
          </cell>
          <cell r="I622">
            <v>13</v>
          </cell>
          <cell r="K622">
            <v>13</v>
          </cell>
          <cell r="M622">
            <v>14</v>
          </cell>
          <cell r="O622">
            <v>14</v>
          </cell>
          <cell r="P622">
            <v>82</v>
          </cell>
        </row>
        <row r="623">
          <cell r="A623" t="str">
            <v>LAX-SFO</v>
          </cell>
          <cell r="C623">
            <v>72</v>
          </cell>
          <cell r="E623">
            <v>72</v>
          </cell>
          <cell r="G623">
            <v>72</v>
          </cell>
          <cell r="I623">
            <v>72</v>
          </cell>
          <cell r="K623">
            <v>72</v>
          </cell>
          <cell r="M623">
            <v>72</v>
          </cell>
          <cell r="O623">
            <v>72</v>
          </cell>
          <cell r="P623">
            <v>504</v>
          </cell>
        </row>
        <row r="624">
          <cell r="A624" t="str">
            <v>LAX-SJC</v>
          </cell>
          <cell r="C624">
            <v>65</v>
          </cell>
          <cell r="E624">
            <v>65</v>
          </cell>
          <cell r="G624">
            <v>65</v>
          </cell>
          <cell r="I624">
            <v>66</v>
          </cell>
          <cell r="K624">
            <v>66</v>
          </cell>
          <cell r="M624">
            <v>66</v>
          </cell>
          <cell r="O624">
            <v>66</v>
          </cell>
          <cell r="P624">
            <v>459</v>
          </cell>
        </row>
        <row r="625">
          <cell r="A625" t="str">
            <v>LAX-SLC</v>
          </cell>
          <cell r="C625">
            <v>20</v>
          </cell>
          <cell r="E625">
            <v>20</v>
          </cell>
          <cell r="G625">
            <v>21</v>
          </cell>
          <cell r="I625">
            <v>20</v>
          </cell>
          <cell r="K625">
            <v>20</v>
          </cell>
          <cell r="M625">
            <v>20</v>
          </cell>
          <cell r="O625">
            <v>20</v>
          </cell>
          <cell r="P625">
            <v>141</v>
          </cell>
        </row>
        <row r="626">
          <cell r="A626" t="str">
            <v>LAX-SMF</v>
          </cell>
          <cell r="C626">
            <v>51</v>
          </cell>
          <cell r="E626">
            <v>51</v>
          </cell>
          <cell r="G626">
            <v>52</v>
          </cell>
          <cell r="I626">
            <v>53</v>
          </cell>
          <cell r="K626">
            <v>53</v>
          </cell>
          <cell r="M626">
            <v>52</v>
          </cell>
          <cell r="O626">
            <v>52</v>
          </cell>
          <cell r="P626">
            <v>364</v>
          </cell>
        </row>
        <row r="627">
          <cell r="A627" t="str">
            <v>LAX-STL</v>
          </cell>
          <cell r="C627">
            <v>7</v>
          </cell>
          <cell r="E627">
            <v>7</v>
          </cell>
          <cell r="G627">
            <v>8</v>
          </cell>
          <cell r="I627">
            <v>13</v>
          </cell>
          <cell r="K627">
            <v>13</v>
          </cell>
          <cell r="M627">
            <v>14</v>
          </cell>
          <cell r="O627">
            <v>14</v>
          </cell>
          <cell r="P627">
            <v>76</v>
          </cell>
        </row>
        <row r="628">
          <cell r="A628" t="str">
            <v>LAX-TUS</v>
          </cell>
          <cell r="C628">
            <v>28</v>
          </cell>
          <cell r="E628">
            <v>28</v>
          </cell>
          <cell r="G628">
            <v>34</v>
          </cell>
          <cell r="I628">
            <v>28</v>
          </cell>
          <cell r="K628">
            <v>28</v>
          </cell>
          <cell r="M628">
            <v>21</v>
          </cell>
          <cell r="O628">
            <v>21</v>
          </cell>
          <cell r="P628">
            <v>188</v>
          </cell>
        </row>
        <row r="629">
          <cell r="A629" t="str">
            <v>LBB-AUS</v>
          </cell>
          <cell r="C629">
            <v>7</v>
          </cell>
          <cell r="E629">
            <v>7</v>
          </cell>
          <cell r="G629">
            <v>12</v>
          </cell>
          <cell r="I629">
            <v>13</v>
          </cell>
          <cell r="K629">
            <v>13</v>
          </cell>
          <cell r="M629">
            <v>7</v>
          </cell>
          <cell r="O629">
            <v>7</v>
          </cell>
          <cell r="P629">
            <v>66</v>
          </cell>
        </row>
        <row r="630">
          <cell r="A630" t="str">
            <v>LBB-DAL</v>
          </cell>
          <cell r="C630">
            <v>33</v>
          </cell>
          <cell r="E630">
            <v>33</v>
          </cell>
          <cell r="G630">
            <v>41</v>
          </cell>
          <cell r="I630">
            <v>39</v>
          </cell>
          <cell r="K630">
            <v>39</v>
          </cell>
          <cell r="M630">
            <v>39</v>
          </cell>
          <cell r="O630">
            <v>39</v>
          </cell>
          <cell r="P630">
            <v>263</v>
          </cell>
        </row>
        <row r="631">
          <cell r="A631" t="str">
            <v>LBB-LAS</v>
          </cell>
          <cell r="C631">
            <v>7</v>
          </cell>
          <cell r="E631">
            <v>7</v>
          </cell>
          <cell r="G631">
            <v>7</v>
          </cell>
          <cell r="I631">
            <v>7</v>
          </cell>
          <cell r="K631">
            <v>7</v>
          </cell>
          <cell r="M631">
            <v>7</v>
          </cell>
          <cell r="O631">
            <v>7</v>
          </cell>
          <cell r="P631">
            <v>49</v>
          </cell>
        </row>
        <row r="632">
          <cell r="A632" t="str">
            <v>LGA-ATL</v>
          </cell>
          <cell r="B632">
            <v>54</v>
          </cell>
          <cell r="D632">
            <v>54</v>
          </cell>
          <cell r="F632">
            <v>52</v>
          </cell>
          <cell r="H632">
            <v>54</v>
          </cell>
          <cell r="J632">
            <v>54</v>
          </cell>
          <cell r="L632">
            <v>40</v>
          </cell>
          <cell r="N632">
            <v>40</v>
          </cell>
          <cell r="P632">
            <v>348</v>
          </cell>
        </row>
        <row r="633">
          <cell r="A633" t="str">
            <v>LGA-BNA</v>
          </cell>
          <cell r="C633">
            <v>14</v>
          </cell>
          <cell r="E633">
            <v>14</v>
          </cell>
          <cell r="G633">
            <v>14</v>
          </cell>
          <cell r="I633">
            <v>14</v>
          </cell>
          <cell r="K633">
            <v>14</v>
          </cell>
          <cell r="M633">
            <v>14</v>
          </cell>
          <cell r="O633">
            <v>14</v>
          </cell>
          <cell r="P633">
            <v>98</v>
          </cell>
        </row>
        <row r="634">
          <cell r="A634" t="str">
            <v>LGA-CAK</v>
          </cell>
          <cell r="B634">
            <v>14</v>
          </cell>
          <cell r="D634">
            <v>14</v>
          </cell>
          <cell r="F634">
            <v>19</v>
          </cell>
          <cell r="H634">
            <v>19</v>
          </cell>
          <cell r="J634">
            <v>19</v>
          </cell>
          <cell r="L634">
            <v>19</v>
          </cell>
          <cell r="N634">
            <v>19</v>
          </cell>
          <cell r="P634">
            <v>123</v>
          </cell>
        </row>
        <row r="635">
          <cell r="A635" t="str">
            <v>LGA-DEN</v>
          </cell>
          <cell r="C635">
            <v>14</v>
          </cell>
          <cell r="E635">
            <v>14</v>
          </cell>
          <cell r="G635">
            <v>14</v>
          </cell>
          <cell r="I635">
            <v>14</v>
          </cell>
          <cell r="K635">
            <v>14</v>
          </cell>
          <cell r="M635">
            <v>14</v>
          </cell>
          <cell r="O635">
            <v>14</v>
          </cell>
          <cell r="P635">
            <v>98</v>
          </cell>
        </row>
        <row r="636">
          <cell r="A636" t="str">
            <v>LGA-HOU</v>
          </cell>
          <cell r="M636">
            <v>14</v>
          </cell>
          <cell r="O636">
            <v>14</v>
          </cell>
          <cell r="P636">
            <v>28</v>
          </cell>
        </row>
        <row r="637">
          <cell r="A637" t="str">
            <v>LGA-MDW</v>
          </cell>
          <cell r="C637">
            <v>38</v>
          </cell>
          <cell r="E637">
            <v>38</v>
          </cell>
          <cell r="G637">
            <v>39</v>
          </cell>
          <cell r="I637">
            <v>40</v>
          </cell>
          <cell r="K637">
            <v>40</v>
          </cell>
          <cell r="M637">
            <v>41</v>
          </cell>
          <cell r="O637">
            <v>41</v>
          </cell>
          <cell r="P637">
            <v>277</v>
          </cell>
        </row>
        <row r="638">
          <cell r="A638" t="str">
            <v>LGA-MKE</v>
          </cell>
          <cell r="B638">
            <v>6</v>
          </cell>
          <cell r="C638">
            <v>25</v>
          </cell>
          <cell r="D638">
            <v>6</v>
          </cell>
          <cell r="E638">
            <v>24</v>
          </cell>
          <cell r="G638">
            <v>25</v>
          </cell>
          <cell r="I638">
            <v>26</v>
          </cell>
          <cell r="K638">
            <v>26</v>
          </cell>
          <cell r="M638">
            <v>27</v>
          </cell>
          <cell r="O638">
            <v>27</v>
          </cell>
          <cell r="P638">
            <v>192</v>
          </cell>
        </row>
        <row r="639">
          <cell r="A639" t="str">
            <v>LGA-STL</v>
          </cell>
          <cell r="C639">
            <v>14</v>
          </cell>
          <cell r="E639">
            <v>14</v>
          </cell>
          <cell r="G639">
            <v>14</v>
          </cell>
          <cell r="I639">
            <v>14</v>
          </cell>
          <cell r="K639">
            <v>14</v>
          </cell>
          <cell r="M639">
            <v>14</v>
          </cell>
          <cell r="O639">
            <v>14</v>
          </cell>
          <cell r="P639">
            <v>98</v>
          </cell>
        </row>
        <row r="640">
          <cell r="A640" t="str">
            <v>LIT-BWI</v>
          </cell>
          <cell r="C640">
            <v>7</v>
          </cell>
          <cell r="E640">
            <v>7</v>
          </cell>
          <cell r="G640">
            <v>7</v>
          </cell>
          <cell r="I640">
            <v>7</v>
          </cell>
          <cell r="K640">
            <v>7</v>
          </cell>
          <cell r="M640">
            <v>7</v>
          </cell>
          <cell r="O640">
            <v>7</v>
          </cell>
          <cell r="P640">
            <v>49</v>
          </cell>
        </row>
        <row r="641">
          <cell r="A641" t="str">
            <v>LIT-DAL</v>
          </cell>
          <cell r="C641">
            <v>33</v>
          </cell>
          <cell r="E641">
            <v>33</v>
          </cell>
          <cell r="G641">
            <v>39</v>
          </cell>
          <cell r="I641">
            <v>39</v>
          </cell>
          <cell r="K641">
            <v>39</v>
          </cell>
          <cell r="M641">
            <v>33</v>
          </cell>
          <cell r="O641">
            <v>33</v>
          </cell>
          <cell r="P641">
            <v>249</v>
          </cell>
        </row>
        <row r="642">
          <cell r="A642" t="str">
            <v>LIT-HOU</v>
          </cell>
          <cell r="C642">
            <v>7</v>
          </cell>
          <cell r="E642">
            <v>7</v>
          </cell>
          <cell r="G642">
            <v>7</v>
          </cell>
          <cell r="I642">
            <v>7</v>
          </cell>
          <cell r="K642">
            <v>7</v>
          </cell>
          <cell r="M642">
            <v>7</v>
          </cell>
          <cell r="O642">
            <v>7</v>
          </cell>
          <cell r="P642">
            <v>49</v>
          </cell>
        </row>
        <row r="643">
          <cell r="A643" t="str">
            <v>LIT-LAS</v>
          </cell>
          <cell r="C643">
            <v>7</v>
          </cell>
          <cell r="E643">
            <v>7</v>
          </cell>
          <cell r="G643">
            <v>7</v>
          </cell>
          <cell r="I643">
            <v>7</v>
          </cell>
          <cell r="K643">
            <v>7</v>
          </cell>
          <cell r="M643">
            <v>7</v>
          </cell>
          <cell r="O643">
            <v>7</v>
          </cell>
          <cell r="P643">
            <v>49</v>
          </cell>
        </row>
        <row r="644">
          <cell r="A644" t="str">
            <v>LIT-MCO</v>
          </cell>
          <cell r="G644">
            <v>7</v>
          </cell>
          <cell r="P644">
            <v>7</v>
          </cell>
        </row>
        <row r="645">
          <cell r="A645" t="str">
            <v>LIT-MDW</v>
          </cell>
          <cell r="C645">
            <v>7</v>
          </cell>
          <cell r="E645">
            <v>7</v>
          </cell>
          <cell r="G645">
            <v>7</v>
          </cell>
          <cell r="I645">
            <v>7</v>
          </cell>
          <cell r="K645">
            <v>7</v>
          </cell>
          <cell r="M645">
            <v>7</v>
          </cell>
          <cell r="O645">
            <v>7</v>
          </cell>
          <cell r="P645">
            <v>49</v>
          </cell>
        </row>
        <row r="646">
          <cell r="A646" t="str">
            <v>LIT-PHX</v>
          </cell>
          <cell r="C646">
            <v>7</v>
          </cell>
          <cell r="E646">
            <v>7</v>
          </cell>
          <cell r="G646">
            <v>7</v>
          </cell>
          <cell r="I646">
            <v>7</v>
          </cell>
          <cell r="K646">
            <v>7</v>
          </cell>
          <cell r="M646">
            <v>7</v>
          </cell>
          <cell r="O646">
            <v>7</v>
          </cell>
          <cell r="P646">
            <v>49</v>
          </cell>
        </row>
        <row r="647">
          <cell r="A647" t="str">
            <v>LIT-STL</v>
          </cell>
          <cell r="C647">
            <v>7</v>
          </cell>
          <cell r="E647">
            <v>7</v>
          </cell>
          <cell r="G647">
            <v>7</v>
          </cell>
          <cell r="I647">
            <v>7</v>
          </cell>
          <cell r="K647">
            <v>7</v>
          </cell>
          <cell r="P647">
            <v>35</v>
          </cell>
        </row>
        <row r="648">
          <cell r="A648" t="str">
            <v>MAF-DAL</v>
          </cell>
          <cell r="C648">
            <v>33</v>
          </cell>
          <cell r="E648">
            <v>33</v>
          </cell>
          <cell r="G648">
            <v>32</v>
          </cell>
          <cell r="I648">
            <v>32</v>
          </cell>
          <cell r="K648">
            <v>32</v>
          </cell>
          <cell r="M648">
            <v>32</v>
          </cell>
          <cell r="O648">
            <v>32</v>
          </cell>
          <cell r="P648">
            <v>226</v>
          </cell>
        </row>
        <row r="649">
          <cell r="A649" t="str">
            <v>MAF-HOU</v>
          </cell>
          <cell r="C649">
            <v>18</v>
          </cell>
          <cell r="E649">
            <v>18</v>
          </cell>
          <cell r="G649">
            <v>18</v>
          </cell>
          <cell r="I649">
            <v>18</v>
          </cell>
          <cell r="K649">
            <v>18</v>
          </cell>
          <cell r="M649">
            <v>19</v>
          </cell>
          <cell r="O649">
            <v>19</v>
          </cell>
          <cell r="P649">
            <v>128</v>
          </cell>
        </row>
        <row r="650">
          <cell r="A650" t="str">
            <v>MAF-LAS</v>
          </cell>
          <cell r="C650">
            <v>7</v>
          </cell>
          <cell r="E650">
            <v>7</v>
          </cell>
          <cell r="G650">
            <v>12</v>
          </cell>
          <cell r="I650">
            <v>12</v>
          </cell>
          <cell r="K650">
            <v>12</v>
          </cell>
          <cell r="M650">
            <v>13</v>
          </cell>
          <cell r="O650">
            <v>13</v>
          </cell>
          <cell r="P650">
            <v>76</v>
          </cell>
        </row>
        <row r="651">
          <cell r="A651" t="str">
            <v>MBJ-ATL</v>
          </cell>
          <cell r="B651">
            <v>7</v>
          </cell>
          <cell r="D651">
            <v>7</v>
          </cell>
          <cell r="F651">
            <v>7</v>
          </cell>
          <cell r="H651">
            <v>7</v>
          </cell>
          <cell r="J651">
            <v>7</v>
          </cell>
          <cell r="L651">
            <v>7</v>
          </cell>
          <cell r="N651">
            <v>7</v>
          </cell>
          <cell r="P651">
            <v>49</v>
          </cell>
        </row>
        <row r="652">
          <cell r="A652" t="str">
            <v>MBJ-BWI</v>
          </cell>
          <cell r="B652">
            <v>11</v>
          </cell>
          <cell r="D652">
            <v>11</v>
          </cell>
          <cell r="F652">
            <v>11</v>
          </cell>
          <cell r="H652">
            <v>11</v>
          </cell>
          <cell r="J652">
            <v>11</v>
          </cell>
          <cell r="L652">
            <v>14</v>
          </cell>
          <cell r="N652">
            <v>14</v>
          </cell>
          <cell r="P652">
            <v>83</v>
          </cell>
        </row>
        <row r="653">
          <cell r="A653" t="str">
            <v>MBJ-MCO</v>
          </cell>
          <cell r="B653">
            <v>5</v>
          </cell>
          <cell r="D653">
            <v>7</v>
          </cell>
          <cell r="F653">
            <v>7</v>
          </cell>
          <cell r="H653">
            <v>5</v>
          </cell>
          <cell r="J653">
            <v>5</v>
          </cell>
          <cell r="L653">
            <v>7</v>
          </cell>
          <cell r="N653">
            <v>7</v>
          </cell>
          <cell r="P653">
            <v>43</v>
          </cell>
        </row>
        <row r="654">
          <cell r="A654" t="str">
            <v>MCI-ABQ</v>
          </cell>
          <cell r="C654">
            <v>6</v>
          </cell>
          <cell r="E654">
            <v>6</v>
          </cell>
          <cell r="G654">
            <v>7</v>
          </cell>
          <cell r="I654">
            <v>7</v>
          </cell>
          <cell r="K654">
            <v>7</v>
          </cell>
          <cell r="M654">
            <v>7</v>
          </cell>
          <cell r="O654">
            <v>7</v>
          </cell>
          <cell r="P654">
            <v>47</v>
          </cell>
        </row>
        <row r="655">
          <cell r="A655" t="str">
            <v>MCI-ATL</v>
          </cell>
          <cell r="B655">
            <v>21</v>
          </cell>
          <cell r="D655">
            <v>21</v>
          </cell>
          <cell r="F655">
            <v>21</v>
          </cell>
          <cell r="H655">
            <v>21</v>
          </cell>
          <cell r="J655">
            <v>21</v>
          </cell>
          <cell r="L655">
            <v>27</v>
          </cell>
          <cell r="N655">
            <v>27</v>
          </cell>
          <cell r="P655">
            <v>159</v>
          </cell>
        </row>
        <row r="656">
          <cell r="A656" t="str">
            <v>MCI-BNA</v>
          </cell>
          <cell r="C656">
            <v>19</v>
          </cell>
          <cell r="E656">
            <v>19</v>
          </cell>
          <cell r="G656">
            <v>20</v>
          </cell>
          <cell r="I656">
            <v>26</v>
          </cell>
          <cell r="K656">
            <v>26</v>
          </cell>
          <cell r="M656">
            <v>26</v>
          </cell>
          <cell r="O656">
            <v>26</v>
          </cell>
          <cell r="P656">
            <v>162</v>
          </cell>
        </row>
        <row r="657">
          <cell r="A657" t="str">
            <v>MCI-BOS</v>
          </cell>
          <cell r="I657">
            <v>13</v>
          </cell>
          <cell r="K657">
            <v>13</v>
          </cell>
          <cell r="M657">
            <v>13</v>
          </cell>
          <cell r="O657">
            <v>13</v>
          </cell>
          <cell r="P657">
            <v>52</v>
          </cell>
        </row>
        <row r="658">
          <cell r="A658" t="str">
            <v>MCI-BWI</v>
          </cell>
          <cell r="C658">
            <v>12</v>
          </cell>
          <cell r="E658">
            <v>12</v>
          </cell>
          <cell r="G658">
            <v>19</v>
          </cell>
          <cell r="I658">
            <v>20</v>
          </cell>
          <cell r="K658">
            <v>20</v>
          </cell>
          <cell r="M658">
            <v>21</v>
          </cell>
          <cell r="O658">
            <v>21</v>
          </cell>
          <cell r="P658">
            <v>125</v>
          </cell>
        </row>
        <row r="659">
          <cell r="A659" t="str">
            <v>MCI-DAL</v>
          </cell>
          <cell r="C659">
            <v>63</v>
          </cell>
          <cell r="E659">
            <v>63</v>
          </cell>
          <cell r="G659">
            <v>59</v>
          </cell>
          <cell r="I659">
            <v>65</v>
          </cell>
          <cell r="K659">
            <v>65</v>
          </cell>
          <cell r="M659">
            <v>59</v>
          </cell>
          <cell r="O659">
            <v>59</v>
          </cell>
          <cell r="P659">
            <v>433</v>
          </cell>
        </row>
        <row r="660">
          <cell r="A660" t="str">
            <v>MCI-DEN</v>
          </cell>
          <cell r="C660">
            <v>33</v>
          </cell>
          <cell r="E660">
            <v>33</v>
          </cell>
          <cell r="G660">
            <v>34</v>
          </cell>
          <cell r="I660">
            <v>34</v>
          </cell>
          <cell r="K660">
            <v>34</v>
          </cell>
          <cell r="M660">
            <v>34</v>
          </cell>
          <cell r="O660">
            <v>34</v>
          </cell>
          <cell r="P660">
            <v>236</v>
          </cell>
        </row>
        <row r="661">
          <cell r="A661" t="str">
            <v>MCI-FLL</v>
          </cell>
          <cell r="C661">
            <v>7</v>
          </cell>
          <cell r="E661">
            <v>7</v>
          </cell>
          <cell r="G661">
            <v>14</v>
          </cell>
          <cell r="I661">
            <v>7</v>
          </cell>
          <cell r="K661">
            <v>7</v>
          </cell>
          <cell r="M661">
            <v>7</v>
          </cell>
          <cell r="O661">
            <v>7</v>
          </cell>
          <cell r="P661">
            <v>56</v>
          </cell>
        </row>
        <row r="662">
          <cell r="A662" t="str">
            <v>MCI-HOU</v>
          </cell>
          <cell r="C662">
            <v>13</v>
          </cell>
          <cell r="E662">
            <v>13</v>
          </cell>
          <cell r="G662">
            <v>13</v>
          </cell>
          <cell r="I662">
            <v>12</v>
          </cell>
          <cell r="K662">
            <v>12</v>
          </cell>
          <cell r="M662">
            <v>12</v>
          </cell>
          <cell r="O662">
            <v>12</v>
          </cell>
          <cell r="P662">
            <v>87</v>
          </cell>
        </row>
        <row r="663">
          <cell r="A663" t="str">
            <v>MCI-IND</v>
          </cell>
          <cell r="C663">
            <v>12</v>
          </cell>
          <cell r="E663">
            <v>12</v>
          </cell>
          <cell r="G663">
            <v>13</v>
          </cell>
          <cell r="I663">
            <v>13</v>
          </cell>
          <cell r="K663">
            <v>13</v>
          </cell>
          <cell r="M663">
            <v>13</v>
          </cell>
          <cell r="O663">
            <v>13</v>
          </cell>
          <cell r="P663">
            <v>89</v>
          </cell>
        </row>
        <row r="664">
          <cell r="A664" t="str">
            <v>MCI-LAS</v>
          </cell>
          <cell r="C664">
            <v>27</v>
          </cell>
          <cell r="E664">
            <v>27</v>
          </cell>
          <cell r="G664">
            <v>27</v>
          </cell>
          <cell r="I664">
            <v>28</v>
          </cell>
          <cell r="K664">
            <v>28</v>
          </cell>
          <cell r="M664">
            <v>28</v>
          </cell>
          <cell r="O664">
            <v>28</v>
          </cell>
          <cell r="P664">
            <v>193</v>
          </cell>
        </row>
        <row r="665">
          <cell r="A665" t="str">
            <v>MCI-LAX</v>
          </cell>
          <cell r="C665">
            <v>13</v>
          </cell>
          <cell r="E665">
            <v>13</v>
          </cell>
          <cell r="G665">
            <v>14</v>
          </cell>
          <cell r="I665">
            <v>19</v>
          </cell>
          <cell r="K665">
            <v>19</v>
          </cell>
          <cell r="M665">
            <v>20</v>
          </cell>
          <cell r="O665">
            <v>20</v>
          </cell>
          <cell r="P665">
            <v>118</v>
          </cell>
        </row>
        <row r="666">
          <cell r="A666" t="str">
            <v>MCI-MCO</v>
          </cell>
          <cell r="C666">
            <v>14</v>
          </cell>
          <cell r="E666">
            <v>14</v>
          </cell>
          <cell r="G666">
            <v>21</v>
          </cell>
          <cell r="H666">
            <v>7</v>
          </cell>
          <cell r="I666">
            <v>14</v>
          </cell>
          <cell r="J666">
            <v>7</v>
          </cell>
          <cell r="K666">
            <v>14</v>
          </cell>
          <cell r="L666">
            <v>14</v>
          </cell>
          <cell r="M666">
            <v>9</v>
          </cell>
          <cell r="N666">
            <v>14</v>
          </cell>
          <cell r="O666">
            <v>9</v>
          </cell>
          <cell r="P666">
            <v>137</v>
          </cell>
        </row>
        <row r="667">
          <cell r="A667" t="str">
            <v>MCI-MDW</v>
          </cell>
          <cell r="C667">
            <v>59</v>
          </cell>
          <cell r="E667">
            <v>59</v>
          </cell>
          <cell r="G667">
            <v>65</v>
          </cell>
          <cell r="I667">
            <v>65</v>
          </cell>
          <cell r="K667">
            <v>65</v>
          </cell>
          <cell r="M667">
            <v>65</v>
          </cell>
          <cell r="O667">
            <v>65</v>
          </cell>
          <cell r="P667">
            <v>443</v>
          </cell>
        </row>
        <row r="668">
          <cell r="A668" t="str">
            <v>MCI-MKE</v>
          </cell>
          <cell r="C668">
            <v>12</v>
          </cell>
          <cell r="E668">
            <v>12</v>
          </cell>
          <cell r="G668">
            <v>12</v>
          </cell>
          <cell r="I668">
            <v>12</v>
          </cell>
          <cell r="K668">
            <v>12</v>
          </cell>
          <cell r="M668">
            <v>14</v>
          </cell>
          <cell r="O668">
            <v>14</v>
          </cell>
          <cell r="P668">
            <v>88</v>
          </cell>
        </row>
        <row r="669">
          <cell r="A669" t="str">
            <v>MCI-MSP</v>
          </cell>
          <cell r="G669">
            <v>12</v>
          </cell>
          <cell r="I669">
            <v>14</v>
          </cell>
          <cell r="K669">
            <v>14</v>
          </cell>
          <cell r="M669">
            <v>14</v>
          </cell>
          <cell r="O669">
            <v>14</v>
          </cell>
          <cell r="P669">
            <v>68</v>
          </cell>
        </row>
        <row r="670">
          <cell r="A670" t="str">
            <v>MCI-MSY</v>
          </cell>
          <cell r="C670">
            <v>7</v>
          </cell>
          <cell r="E670">
            <v>7</v>
          </cell>
          <cell r="G670">
            <v>7</v>
          </cell>
          <cell r="I670">
            <v>7</v>
          </cell>
          <cell r="K670">
            <v>7</v>
          </cell>
          <cell r="M670">
            <v>7</v>
          </cell>
          <cell r="O670">
            <v>7</v>
          </cell>
          <cell r="P670">
            <v>49</v>
          </cell>
        </row>
        <row r="671">
          <cell r="A671" t="str">
            <v>MCI-OAK</v>
          </cell>
          <cell r="I671">
            <v>6</v>
          </cell>
          <cell r="K671">
            <v>6</v>
          </cell>
          <cell r="M671">
            <v>7</v>
          </cell>
          <cell r="O671">
            <v>7</v>
          </cell>
          <cell r="P671">
            <v>26</v>
          </cell>
        </row>
        <row r="672">
          <cell r="A672" t="str">
            <v>MCI-OKC</v>
          </cell>
          <cell r="C672">
            <v>12</v>
          </cell>
          <cell r="E672">
            <v>12</v>
          </cell>
          <cell r="G672">
            <v>13</v>
          </cell>
          <cell r="I672">
            <v>12</v>
          </cell>
          <cell r="K672">
            <v>12</v>
          </cell>
          <cell r="M672">
            <v>13</v>
          </cell>
          <cell r="O672">
            <v>13</v>
          </cell>
          <cell r="P672">
            <v>87</v>
          </cell>
        </row>
        <row r="673">
          <cell r="A673" t="str">
            <v>MCI-PDX</v>
          </cell>
          <cell r="C673">
            <v>7</v>
          </cell>
          <cell r="E673">
            <v>7</v>
          </cell>
          <cell r="G673">
            <v>7</v>
          </cell>
          <cell r="I673">
            <v>7</v>
          </cell>
          <cell r="K673">
            <v>7</v>
          </cell>
          <cell r="M673">
            <v>7</v>
          </cell>
          <cell r="O673">
            <v>7</v>
          </cell>
          <cell r="P673">
            <v>49</v>
          </cell>
        </row>
        <row r="674">
          <cell r="A674" t="str">
            <v>MCI-PHX</v>
          </cell>
          <cell r="C674">
            <v>21</v>
          </cell>
          <cell r="E674">
            <v>21</v>
          </cell>
          <cell r="G674">
            <v>28</v>
          </cell>
          <cell r="I674">
            <v>21</v>
          </cell>
          <cell r="K674">
            <v>21</v>
          </cell>
          <cell r="M674">
            <v>20</v>
          </cell>
          <cell r="O674">
            <v>20</v>
          </cell>
          <cell r="P674">
            <v>152</v>
          </cell>
        </row>
        <row r="675">
          <cell r="A675" t="str">
            <v>MCI-SAN</v>
          </cell>
          <cell r="C675">
            <v>7</v>
          </cell>
          <cell r="E675">
            <v>7</v>
          </cell>
          <cell r="G675">
            <v>13</v>
          </cell>
          <cell r="I675">
            <v>13</v>
          </cell>
          <cell r="K675">
            <v>13</v>
          </cell>
          <cell r="M675">
            <v>14</v>
          </cell>
          <cell r="O675">
            <v>14</v>
          </cell>
          <cell r="P675">
            <v>81</v>
          </cell>
        </row>
        <row r="676">
          <cell r="A676" t="str">
            <v>MCI-SEA</v>
          </cell>
          <cell r="M676">
            <v>7</v>
          </cell>
          <cell r="O676">
            <v>7</v>
          </cell>
          <cell r="P676">
            <v>14</v>
          </cell>
        </row>
        <row r="677">
          <cell r="A677" t="str">
            <v>MCI-STL</v>
          </cell>
          <cell r="C677">
            <v>30</v>
          </cell>
          <cell r="E677">
            <v>30</v>
          </cell>
          <cell r="G677">
            <v>32</v>
          </cell>
          <cell r="I677">
            <v>32</v>
          </cell>
          <cell r="K677">
            <v>32</v>
          </cell>
          <cell r="M677">
            <v>32</v>
          </cell>
          <cell r="O677">
            <v>32</v>
          </cell>
          <cell r="P677">
            <v>220</v>
          </cell>
        </row>
        <row r="678">
          <cell r="A678" t="str">
            <v>MCI-TPA</v>
          </cell>
          <cell r="C678">
            <v>7</v>
          </cell>
          <cell r="E678">
            <v>7</v>
          </cell>
          <cell r="G678">
            <v>15</v>
          </cell>
          <cell r="I678">
            <v>14</v>
          </cell>
          <cell r="K678">
            <v>14</v>
          </cell>
          <cell r="M678">
            <v>14</v>
          </cell>
          <cell r="O678">
            <v>14</v>
          </cell>
          <cell r="P678">
            <v>85</v>
          </cell>
        </row>
        <row r="679">
          <cell r="A679" t="str">
            <v>MCO-ABQ</v>
          </cell>
          <cell r="G679">
            <v>7</v>
          </cell>
          <cell r="I679">
            <v>7</v>
          </cell>
          <cell r="K679">
            <v>7</v>
          </cell>
          <cell r="M679">
            <v>7</v>
          </cell>
          <cell r="O679">
            <v>7</v>
          </cell>
          <cell r="P679">
            <v>35</v>
          </cell>
        </row>
        <row r="680">
          <cell r="A680" t="str">
            <v>MCO-ALB</v>
          </cell>
          <cell r="C680">
            <v>14</v>
          </cell>
          <cell r="E680">
            <v>14</v>
          </cell>
          <cell r="G680">
            <v>22</v>
          </cell>
          <cell r="I680">
            <v>14</v>
          </cell>
          <cell r="K680">
            <v>14</v>
          </cell>
          <cell r="M680">
            <v>8</v>
          </cell>
          <cell r="O680">
            <v>8</v>
          </cell>
          <cell r="P680">
            <v>94</v>
          </cell>
        </row>
        <row r="681">
          <cell r="A681" t="str">
            <v>MCO-ATL</v>
          </cell>
          <cell r="B681">
            <v>62</v>
          </cell>
          <cell r="C681">
            <v>7</v>
          </cell>
          <cell r="D681">
            <v>62</v>
          </cell>
          <cell r="E681">
            <v>7</v>
          </cell>
          <cell r="F681">
            <v>61</v>
          </cell>
          <cell r="G681">
            <v>7</v>
          </cell>
          <cell r="H681">
            <v>62</v>
          </cell>
          <cell r="I681">
            <v>7</v>
          </cell>
          <cell r="J681">
            <v>62</v>
          </cell>
          <cell r="K681">
            <v>7</v>
          </cell>
          <cell r="L681">
            <v>62</v>
          </cell>
          <cell r="M681">
            <v>7</v>
          </cell>
          <cell r="N681">
            <v>62</v>
          </cell>
          <cell r="O681">
            <v>7</v>
          </cell>
          <cell r="P681">
            <v>482</v>
          </cell>
        </row>
        <row r="682">
          <cell r="A682" t="str">
            <v>MCO-AUA</v>
          </cell>
          <cell r="B682">
            <v>2</v>
          </cell>
          <cell r="D682">
            <v>2</v>
          </cell>
          <cell r="F682">
            <v>2</v>
          </cell>
          <cell r="H682">
            <v>2</v>
          </cell>
          <cell r="J682">
            <v>2</v>
          </cell>
          <cell r="L682">
            <v>2</v>
          </cell>
          <cell r="N682">
            <v>2</v>
          </cell>
          <cell r="P682">
            <v>14</v>
          </cell>
        </row>
        <row r="683">
          <cell r="A683" t="str">
            <v>MCO-AUS</v>
          </cell>
          <cell r="C683">
            <v>7</v>
          </cell>
          <cell r="E683">
            <v>7</v>
          </cell>
          <cell r="G683">
            <v>14</v>
          </cell>
          <cell r="I683">
            <v>14</v>
          </cell>
          <cell r="K683">
            <v>14</v>
          </cell>
          <cell r="M683">
            <v>14</v>
          </cell>
          <cell r="O683">
            <v>14</v>
          </cell>
          <cell r="P683">
            <v>84</v>
          </cell>
        </row>
        <row r="684">
          <cell r="A684" t="str">
            <v>MCO-BDL</v>
          </cell>
          <cell r="C684">
            <v>14</v>
          </cell>
          <cell r="E684">
            <v>14</v>
          </cell>
          <cell r="G684">
            <v>22</v>
          </cell>
          <cell r="I684">
            <v>20</v>
          </cell>
          <cell r="K684">
            <v>20</v>
          </cell>
          <cell r="M684">
            <v>21</v>
          </cell>
          <cell r="O684">
            <v>21</v>
          </cell>
          <cell r="P684">
            <v>132</v>
          </cell>
        </row>
        <row r="685">
          <cell r="A685" t="str">
            <v>MCO-BHM</v>
          </cell>
          <cell r="C685">
            <v>14</v>
          </cell>
          <cell r="E685">
            <v>14</v>
          </cell>
          <cell r="G685">
            <v>14</v>
          </cell>
          <cell r="I685">
            <v>14</v>
          </cell>
          <cell r="K685">
            <v>14</v>
          </cell>
          <cell r="M685">
            <v>14</v>
          </cell>
          <cell r="O685">
            <v>14</v>
          </cell>
          <cell r="P685">
            <v>98</v>
          </cell>
        </row>
        <row r="686">
          <cell r="A686" t="str">
            <v>MCO-BKG</v>
          </cell>
          <cell r="B686">
            <v>1</v>
          </cell>
          <cell r="D686">
            <v>1</v>
          </cell>
          <cell r="G686">
            <v>1</v>
          </cell>
          <cell r="I686">
            <v>1</v>
          </cell>
          <cell r="K686">
            <v>1</v>
          </cell>
          <cell r="M686">
            <v>1</v>
          </cell>
          <cell r="O686">
            <v>1</v>
          </cell>
          <cell r="P686">
            <v>7</v>
          </cell>
        </row>
        <row r="687">
          <cell r="A687" t="str">
            <v>MCO-BNA</v>
          </cell>
          <cell r="C687">
            <v>28</v>
          </cell>
          <cell r="E687">
            <v>28</v>
          </cell>
          <cell r="G687">
            <v>36</v>
          </cell>
          <cell r="I687">
            <v>34</v>
          </cell>
          <cell r="K687">
            <v>34</v>
          </cell>
          <cell r="M687">
            <v>35</v>
          </cell>
          <cell r="O687">
            <v>35</v>
          </cell>
          <cell r="P687">
            <v>230</v>
          </cell>
        </row>
        <row r="688">
          <cell r="A688" t="str">
            <v>MCO-BOS</v>
          </cell>
          <cell r="B688">
            <v>7</v>
          </cell>
          <cell r="D688">
            <v>7</v>
          </cell>
          <cell r="F688">
            <v>9</v>
          </cell>
          <cell r="H688">
            <v>13</v>
          </cell>
          <cell r="J688">
            <v>13</v>
          </cell>
          <cell r="L688">
            <v>13</v>
          </cell>
          <cell r="N688">
            <v>13</v>
          </cell>
          <cell r="P688">
            <v>75</v>
          </cell>
        </row>
        <row r="689">
          <cell r="A689" t="str">
            <v>MCO-BUF</v>
          </cell>
          <cell r="B689">
            <v>7</v>
          </cell>
          <cell r="C689">
            <v>15</v>
          </cell>
          <cell r="D689">
            <v>7</v>
          </cell>
          <cell r="E689">
            <v>15</v>
          </cell>
          <cell r="F689">
            <v>12</v>
          </cell>
          <cell r="G689">
            <v>22</v>
          </cell>
          <cell r="H689">
            <v>27</v>
          </cell>
          <cell r="I689">
            <v>7</v>
          </cell>
          <cell r="J689">
            <v>27</v>
          </cell>
          <cell r="K689">
            <v>7</v>
          </cell>
          <cell r="L689">
            <v>14</v>
          </cell>
          <cell r="M689">
            <v>14</v>
          </cell>
          <cell r="N689">
            <v>14</v>
          </cell>
          <cell r="O689">
            <v>14</v>
          </cell>
          <cell r="P689">
            <v>202</v>
          </cell>
        </row>
        <row r="690">
          <cell r="A690" t="str">
            <v>MCO-BWI</v>
          </cell>
          <cell r="B690">
            <v>27</v>
          </cell>
          <cell r="C690">
            <v>49</v>
          </cell>
          <cell r="D690">
            <v>27</v>
          </cell>
          <cell r="E690">
            <v>49</v>
          </cell>
          <cell r="F690">
            <v>34</v>
          </cell>
          <cell r="G690">
            <v>49</v>
          </cell>
          <cell r="H690">
            <v>35</v>
          </cell>
          <cell r="I690">
            <v>49</v>
          </cell>
          <cell r="J690">
            <v>35</v>
          </cell>
          <cell r="K690">
            <v>49</v>
          </cell>
          <cell r="L690">
            <v>47</v>
          </cell>
          <cell r="M690">
            <v>26</v>
          </cell>
          <cell r="N690">
            <v>47</v>
          </cell>
          <cell r="O690">
            <v>26</v>
          </cell>
          <cell r="P690">
            <v>549</v>
          </cell>
        </row>
        <row r="691">
          <cell r="A691" t="str">
            <v>MCO-CAK</v>
          </cell>
          <cell r="B691">
            <v>14</v>
          </cell>
          <cell r="D691">
            <v>14</v>
          </cell>
          <cell r="F691">
            <v>17</v>
          </cell>
          <cell r="H691">
            <v>15</v>
          </cell>
          <cell r="J691">
            <v>15</v>
          </cell>
          <cell r="L691">
            <v>15</v>
          </cell>
          <cell r="N691">
            <v>15</v>
          </cell>
          <cell r="P691">
            <v>105</v>
          </cell>
        </row>
        <row r="692">
          <cell r="A692" t="str">
            <v>MCO-CLE</v>
          </cell>
          <cell r="G692">
            <v>1</v>
          </cell>
          <cell r="P692">
            <v>1</v>
          </cell>
        </row>
        <row r="693">
          <cell r="A693" t="str">
            <v>MCO-CLT</v>
          </cell>
          <cell r="I693">
            <v>7</v>
          </cell>
          <cell r="K693">
            <v>7</v>
          </cell>
          <cell r="M693">
            <v>7</v>
          </cell>
          <cell r="O693">
            <v>7</v>
          </cell>
          <cell r="P693">
            <v>28</v>
          </cell>
        </row>
        <row r="694">
          <cell r="A694" t="str">
            <v>MCO-CMH</v>
          </cell>
          <cell r="B694">
            <v>7</v>
          </cell>
          <cell r="C694">
            <v>20</v>
          </cell>
          <cell r="D694">
            <v>7</v>
          </cell>
          <cell r="E694">
            <v>20</v>
          </cell>
          <cell r="F694">
            <v>14</v>
          </cell>
          <cell r="G694">
            <v>15</v>
          </cell>
          <cell r="H694">
            <v>7</v>
          </cell>
          <cell r="I694">
            <v>14</v>
          </cell>
          <cell r="J694">
            <v>7</v>
          </cell>
          <cell r="K694">
            <v>14</v>
          </cell>
          <cell r="L694">
            <v>20</v>
          </cell>
          <cell r="M694">
            <v>9</v>
          </cell>
          <cell r="N694">
            <v>20</v>
          </cell>
          <cell r="O694">
            <v>9</v>
          </cell>
          <cell r="P694">
            <v>183</v>
          </cell>
        </row>
        <row r="695">
          <cell r="A695" t="str">
            <v>MCO-DAY</v>
          </cell>
          <cell r="B695">
            <v>7</v>
          </cell>
          <cell r="D695">
            <v>7</v>
          </cell>
          <cell r="F695">
            <v>10</v>
          </cell>
          <cell r="G695">
            <v>7</v>
          </cell>
          <cell r="H695">
            <v>7</v>
          </cell>
          <cell r="J695">
            <v>7</v>
          </cell>
          <cell r="L695">
            <v>8</v>
          </cell>
          <cell r="N695">
            <v>8</v>
          </cell>
          <cell r="P695">
            <v>61</v>
          </cell>
        </row>
        <row r="696">
          <cell r="A696" t="str">
            <v>MCO-DCA</v>
          </cell>
          <cell r="B696">
            <v>7</v>
          </cell>
          <cell r="D696">
            <v>7</v>
          </cell>
          <cell r="F696">
            <v>7</v>
          </cell>
          <cell r="H696">
            <v>7</v>
          </cell>
          <cell r="J696">
            <v>7</v>
          </cell>
          <cell r="L696">
            <v>7</v>
          </cell>
          <cell r="N696">
            <v>7</v>
          </cell>
          <cell r="P696">
            <v>49</v>
          </cell>
        </row>
        <row r="697">
          <cell r="A697" t="str">
            <v>MCO-DEN</v>
          </cell>
          <cell r="C697">
            <v>14</v>
          </cell>
          <cell r="E697">
            <v>14</v>
          </cell>
          <cell r="G697">
            <v>22</v>
          </cell>
          <cell r="I697">
            <v>20</v>
          </cell>
          <cell r="K697">
            <v>20</v>
          </cell>
          <cell r="M697">
            <v>21</v>
          </cell>
          <cell r="O697">
            <v>21</v>
          </cell>
          <cell r="P697">
            <v>132</v>
          </cell>
        </row>
        <row r="698">
          <cell r="A698" t="str">
            <v>MCO-DTW</v>
          </cell>
          <cell r="B698">
            <v>14</v>
          </cell>
          <cell r="D698">
            <v>14</v>
          </cell>
          <cell r="F698">
            <v>14</v>
          </cell>
          <cell r="G698">
            <v>2</v>
          </cell>
          <cell r="H698">
            <v>14</v>
          </cell>
          <cell r="J698">
            <v>14</v>
          </cell>
          <cell r="L698">
            <v>14</v>
          </cell>
          <cell r="N698">
            <v>14</v>
          </cell>
          <cell r="P698">
            <v>100</v>
          </cell>
        </row>
        <row r="699">
          <cell r="A699" t="str">
            <v>MCO-EYW</v>
          </cell>
          <cell r="C699">
            <v>7</v>
          </cell>
          <cell r="E699">
            <v>7</v>
          </cell>
          <cell r="G699">
            <v>7</v>
          </cell>
          <cell r="I699">
            <v>7</v>
          </cell>
          <cell r="K699">
            <v>7</v>
          </cell>
          <cell r="M699">
            <v>7</v>
          </cell>
          <cell r="O699">
            <v>7</v>
          </cell>
          <cell r="P699">
            <v>49</v>
          </cell>
        </row>
        <row r="700">
          <cell r="A700" t="str">
            <v>MCO-FNT</v>
          </cell>
          <cell r="B700">
            <v>5</v>
          </cell>
          <cell r="D700">
            <v>5</v>
          </cell>
          <cell r="F700">
            <v>7</v>
          </cell>
          <cell r="I700">
            <v>7</v>
          </cell>
          <cell r="K700">
            <v>7</v>
          </cell>
          <cell r="M700">
            <v>7</v>
          </cell>
          <cell r="O700">
            <v>7</v>
          </cell>
          <cell r="P700">
            <v>45</v>
          </cell>
        </row>
        <row r="701">
          <cell r="A701" t="str">
            <v>MCO-GRR</v>
          </cell>
          <cell r="B701">
            <v>7</v>
          </cell>
          <cell r="D701">
            <v>7</v>
          </cell>
          <cell r="F701">
            <v>7</v>
          </cell>
          <cell r="H701">
            <v>7</v>
          </cell>
          <cell r="J701">
            <v>7</v>
          </cell>
          <cell r="L701">
            <v>7</v>
          </cell>
          <cell r="N701">
            <v>7</v>
          </cell>
          <cell r="P701">
            <v>49</v>
          </cell>
        </row>
        <row r="702">
          <cell r="A702" t="str">
            <v>MCO-GSP</v>
          </cell>
          <cell r="C702">
            <v>7</v>
          </cell>
          <cell r="E702">
            <v>7</v>
          </cell>
          <cell r="G702">
            <v>7</v>
          </cell>
          <cell r="I702">
            <v>7</v>
          </cell>
          <cell r="K702">
            <v>7</v>
          </cell>
          <cell r="M702">
            <v>7</v>
          </cell>
          <cell r="O702">
            <v>7</v>
          </cell>
          <cell r="P702">
            <v>49</v>
          </cell>
        </row>
        <row r="703">
          <cell r="A703" t="str">
            <v>MCO-HOU</v>
          </cell>
          <cell r="C703">
            <v>27</v>
          </cell>
          <cell r="E703">
            <v>27</v>
          </cell>
          <cell r="F703">
            <v>7</v>
          </cell>
          <cell r="G703">
            <v>29</v>
          </cell>
          <cell r="H703">
            <v>7</v>
          </cell>
          <cell r="I703">
            <v>21</v>
          </cell>
          <cell r="J703">
            <v>7</v>
          </cell>
          <cell r="K703">
            <v>21</v>
          </cell>
          <cell r="L703">
            <v>7</v>
          </cell>
          <cell r="M703">
            <v>28</v>
          </cell>
          <cell r="N703">
            <v>7</v>
          </cell>
          <cell r="O703">
            <v>28</v>
          </cell>
          <cell r="P703">
            <v>216</v>
          </cell>
        </row>
        <row r="704">
          <cell r="A704" t="str">
            <v>MCO-IND</v>
          </cell>
          <cell r="B704">
            <v>21</v>
          </cell>
          <cell r="C704">
            <v>7</v>
          </cell>
          <cell r="D704">
            <v>21</v>
          </cell>
          <cell r="E704">
            <v>7</v>
          </cell>
          <cell r="F704">
            <v>27</v>
          </cell>
          <cell r="G704">
            <v>9</v>
          </cell>
          <cell r="H704">
            <v>28</v>
          </cell>
          <cell r="I704">
            <v>1</v>
          </cell>
          <cell r="J704">
            <v>28</v>
          </cell>
          <cell r="K704">
            <v>1</v>
          </cell>
          <cell r="L704">
            <v>28</v>
          </cell>
          <cell r="M704">
            <v>1</v>
          </cell>
          <cell r="N704">
            <v>28</v>
          </cell>
          <cell r="O704">
            <v>1</v>
          </cell>
          <cell r="P704">
            <v>208</v>
          </cell>
        </row>
        <row r="705">
          <cell r="A705" t="str">
            <v>MCO-ISP</v>
          </cell>
          <cell r="C705">
            <v>21</v>
          </cell>
          <cell r="E705">
            <v>21</v>
          </cell>
          <cell r="G705">
            <v>28</v>
          </cell>
          <cell r="I705">
            <v>28</v>
          </cell>
          <cell r="K705">
            <v>28</v>
          </cell>
          <cell r="M705">
            <v>22</v>
          </cell>
          <cell r="O705">
            <v>22</v>
          </cell>
          <cell r="P705">
            <v>170</v>
          </cell>
        </row>
        <row r="706">
          <cell r="A706" t="str">
            <v>MCO-JAN</v>
          </cell>
          <cell r="C706">
            <v>7</v>
          </cell>
          <cell r="E706">
            <v>7</v>
          </cell>
          <cell r="G706">
            <v>7</v>
          </cell>
          <cell r="I706">
            <v>7</v>
          </cell>
          <cell r="K706">
            <v>7</v>
          </cell>
          <cell r="M706">
            <v>7</v>
          </cell>
          <cell r="O706">
            <v>7</v>
          </cell>
          <cell r="P706">
            <v>49</v>
          </cell>
        </row>
        <row r="707">
          <cell r="A707" t="str">
            <v>MCO-LAS</v>
          </cell>
          <cell r="C707">
            <v>7</v>
          </cell>
          <cell r="E707">
            <v>7</v>
          </cell>
          <cell r="G707">
            <v>14</v>
          </cell>
          <cell r="I707">
            <v>13</v>
          </cell>
          <cell r="K707">
            <v>13</v>
          </cell>
          <cell r="M707">
            <v>13</v>
          </cell>
          <cell r="O707">
            <v>13</v>
          </cell>
          <cell r="P707">
            <v>80</v>
          </cell>
        </row>
        <row r="708">
          <cell r="A708" t="str">
            <v>MCO-LIT</v>
          </cell>
          <cell r="G708">
            <v>7</v>
          </cell>
          <cell r="P708">
            <v>7</v>
          </cell>
        </row>
        <row r="709">
          <cell r="A709" t="str">
            <v>MCO-MBJ</v>
          </cell>
          <cell r="B709">
            <v>5</v>
          </cell>
          <cell r="D709">
            <v>7</v>
          </cell>
          <cell r="F709">
            <v>7</v>
          </cell>
          <cell r="H709">
            <v>5</v>
          </cell>
          <cell r="J709">
            <v>5</v>
          </cell>
          <cell r="L709">
            <v>7</v>
          </cell>
          <cell r="N709">
            <v>7</v>
          </cell>
          <cell r="P709">
            <v>43</v>
          </cell>
        </row>
        <row r="710">
          <cell r="A710" t="str">
            <v>MCO-MCI</v>
          </cell>
          <cell r="C710">
            <v>14</v>
          </cell>
          <cell r="E710">
            <v>14</v>
          </cell>
          <cell r="G710">
            <v>21</v>
          </cell>
          <cell r="H710">
            <v>7</v>
          </cell>
          <cell r="I710">
            <v>14</v>
          </cell>
          <cell r="J710">
            <v>7</v>
          </cell>
          <cell r="K710">
            <v>14</v>
          </cell>
          <cell r="L710">
            <v>14</v>
          </cell>
          <cell r="M710">
            <v>9</v>
          </cell>
          <cell r="N710">
            <v>14</v>
          </cell>
          <cell r="O710">
            <v>9</v>
          </cell>
          <cell r="P710">
            <v>137</v>
          </cell>
        </row>
        <row r="711">
          <cell r="A711" t="str">
            <v>MCO-MDW</v>
          </cell>
          <cell r="B711">
            <v>21</v>
          </cell>
          <cell r="C711">
            <v>28</v>
          </cell>
          <cell r="D711">
            <v>21</v>
          </cell>
          <cell r="E711">
            <v>28</v>
          </cell>
          <cell r="F711">
            <v>21</v>
          </cell>
          <cell r="G711">
            <v>46</v>
          </cell>
          <cell r="H711">
            <v>21</v>
          </cell>
          <cell r="I711">
            <v>36</v>
          </cell>
          <cell r="J711">
            <v>21</v>
          </cell>
          <cell r="K711">
            <v>36</v>
          </cell>
          <cell r="L711">
            <v>28</v>
          </cell>
          <cell r="M711">
            <v>43</v>
          </cell>
          <cell r="N711">
            <v>28</v>
          </cell>
          <cell r="O711">
            <v>43</v>
          </cell>
          <cell r="P711">
            <v>421</v>
          </cell>
        </row>
        <row r="712">
          <cell r="A712" t="str">
            <v>MCO-MHT</v>
          </cell>
          <cell r="C712">
            <v>15</v>
          </cell>
          <cell r="E712">
            <v>15</v>
          </cell>
          <cell r="G712">
            <v>21</v>
          </cell>
          <cell r="I712">
            <v>15</v>
          </cell>
          <cell r="K712">
            <v>15</v>
          </cell>
          <cell r="M712">
            <v>15</v>
          </cell>
          <cell r="O712">
            <v>15</v>
          </cell>
          <cell r="P712">
            <v>111</v>
          </cell>
        </row>
        <row r="713">
          <cell r="A713" t="str">
            <v>MCO-MKE</v>
          </cell>
          <cell r="B713">
            <v>15</v>
          </cell>
          <cell r="C713">
            <v>7</v>
          </cell>
          <cell r="D713">
            <v>15</v>
          </cell>
          <cell r="E713">
            <v>7</v>
          </cell>
          <cell r="F713">
            <v>31</v>
          </cell>
          <cell r="G713">
            <v>9</v>
          </cell>
          <cell r="H713">
            <v>20</v>
          </cell>
          <cell r="I713">
            <v>7</v>
          </cell>
          <cell r="J713">
            <v>20</v>
          </cell>
          <cell r="K713">
            <v>7</v>
          </cell>
          <cell r="L713">
            <v>20</v>
          </cell>
          <cell r="M713">
            <v>8</v>
          </cell>
          <cell r="N713">
            <v>20</v>
          </cell>
          <cell r="O713">
            <v>8</v>
          </cell>
          <cell r="P713">
            <v>194</v>
          </cell>
        </row>
        <row r="714">
          <cell r="A714" t="str">
            <v>MCO-MSP</v>
          </cell>
          <cell r="C714">
            <v>7</v>
          </cell>
          <cell r="E714">
            <v>7</v>
          </cell>
          <cell r="G714">
            <v>7</v>
          </cell>
          <cell r="H714">
            <v>7</v>
          </cell>
          <cell r="J714">
            <v>7</v>
          </cell>
          <cell r="L714">
            <v>7</v>
          </cell>
          <cell r="N714">
            <v>7</v>
          </cell>
          <cell r="P714">
            <v>49</v>
          </cell>
        </row>
        <row r="715">
          <cell r="A715" t="str">
            <v>MCO-MSY</v>
          </cell>
          <cell r="C715">
            <v>28</v>
          </cell>
          <cell r="E715">
            <v>28</v>
          </cell>
          <cell r="F715">
            <v>7</v>
          </cell>
          <cell r="G715">
            <v>28</v>
          </cell>
          <cell r="H715">
            <v>7</v>
          </cell>
          <cell r="I715">
            <v>27</v>
          </cell>
          <cell r="J715">
            <v>7</v>
          </cell>
          <cell r="K715">
            <v>27</v>
          </cell>
          <cell r="L715">
            <v>7</v>
          </cell>
          <cell r="M715">
            <v>28</v>
          </cell>
          <cell r="N715">
            <v>7</v>
          </cell>
          <cell r="O715">
            <v>28</v>
          </cell>
          <cell r="P715">
            <v>229</v>
          </cell>
        </row>
        <row r="716">
          <cell r="A716" t="str">
            <v>MCO-OKC</v>
          </cell>
          <cell r="G716">
            <v>7</v>
          </cell>
          <cell r="P716">
            <v>7</v>
          </cell>
        </row>
        <row r="717">
          <cell r="A717" t="str">
            <v>MCO-ORF</v>
          </cell>
          <cell r="C717">
            <v>13</v>
          </cell>
          <cell r="E717">
            <v>13</v>
          </cell>
          <cell r="G717">
            <v>21</v>
          </cell>
          <cell r="I717">
            <v>14</v>
          </cell>
          <cell r="K717">
            <v>14</v>
          </cell>
          <cell r="M717">
            <v>14</v>
          </cell>
          <cell r="O717">
            <v>14</v>
          </cell>
          <cell r="P717">
            <v>103</v>
          </cell>
        </row>
        <row r="718">
          <cell r="A718" t="str">
            <v>MCO-PHL</v>
          </cell>
          <cell r="B718">
            <v>14</v>
          </cell>
          <cell r="C718">
            <v>21</v>
          </cell>
          <cell r="D718">
            <v>14</v>
          </cell>
          <cell r="E718">
            <v>21</v>
          </cell>
          <cell r="F718">
            <v>21</v>
          </cell>
          <cell r="G718">
            <v>27</v>
          </cell>
          <cell r="H718">
            <v>27</v>
          </cell>
          <cell r="I718">
            <v>14</v>
          </cell>
          <cell r="J718">
            <v>27</v>
          </cell>
          <cell r="K718">
            <v>14</v>
          </cell>
          <cell r="L718">
            <v>28</v>
          </cell>
          <cell r="M718">
            <v>15</v>
          </cell>
          <cell r="N718">
            <v>28</v>
          </cell>
          <cell r="O718">
            <v>15</v>
          </cell>
          <cell r="P718">
            <v>286</v>
          </cell>
        </row>
        <row r="719">
          <cell r="A719" t="str">
            <v>MCO-PHX</v>
          </cell>
          <cell r="C719">
            <v>7</v>
          </cell>
          <cell r="E719">
            <v>7</v>
          </cell>
          <cell r="G719">
            <v>8</v>
          </cell>
          <cell r="I719">
            <v>7</v>
          </cell>
          <cell r="K719">
            <v>7</v>
          </cell>
          <cell r="M719">
            <v>7</v>
          </cell>
          <cell r="O719">
            <v>7</v>
          </cell>
          <cell r="P719">
            <v>50</v>
          </cell>
        </row>
        <row r="720">
          <cell r="A720" t="str">
            <v>MCO-PIT</v>
          </cell>
          <cell r="B720">
            <v>21</v>
          </cell>
          <cell r="C720">
            <v>15</v>
          </cell>
          <cell r="D720">
            <v>21</v>
          </cell>
          <cell r="E720">
            <v>15</v>
          </cell>
          <cell r="F720">
            <v>29</v>
          </cell>
          <cell r="G720">
            <v>15</v>
          </cell>
          <cell r="H720">
            <v>27</v>
          </cell>
          <cell r="I720">
            <v>7</v>
          </cell>
          <cell r="J720">
            <v>27</v>
          </cell>
          <cell r="K720">
            <v>7</v>
          </cell>
          <cell r="L720">
            <v>22</v>
          </cell>
          <cell r="M720">
            <v>15</v>
          </cell>
          <cell r="N720">
            <v>22</v>
          </cell>
          <cell r="O720">
            <v>15</v>
          </cell>
          <cell r="P720">
            <v>258</v>
          </cell>
        </row>
        <row r="721">
          <cell r="A721" t="str">
            <v>MCO-PVD</v>
          </cell>
          <cell r="C721">
            <v>22</v>
          </cell>
          <cell r="E721">
            <v>22</v>
          </cell>
          <cell r="G721">
            <v>34</v>
          </cell>
          <cell r="I721">
            <v>35</v>
          </cell>
          <cell r="K721">
            <v>35</v>
          </cell>
          <cell r="M721">
            <v>29</v>
          </cell>
          <cell r="O721">
            <v>29</v>
          </cell>
          <cell r="P721">
            <v>206</v>
          </cell>
        </row>
        <row r="722">
          <cell r="A722" t="str">
            <v>MCO-RDU</v>
          </cell>
          <cell r="C722">
            <v>20</v>
          </cell>
          <cell r="E722">
            <v>20</v>
          </cell>
          <cell r="F722">
            <v>7</v>
          </cell>
          <cell r="G722">
            <v>21</v>
          </cell>
          <cell r="H722">
            <v>14</v>
          </cell>
          <cell r="I722">
            <v>14</v>
          </cell>
          <cell r="J722">
            <v>14</v>
          </cell>
          <cell r="K722">
            <v>14</v>
          </cell>
          <cell r="L722">
            <v>14</v>
          </cell>
          <cell r="M722">
            <v>8</v>
          </cell>
          <cell r="N722">
            <v>14</v>
          </cell>
          <cell r="O722">
            <v>8</v>
          </cell>
          <cell r="P722">
            <v>168</v>
          </cell>
        </row>
        <row r="723">
          <cell r="A723" t="str">
            <v>MCO-RIC</v>
          </cell>
          <cell r="B723">
            <v>7</v>
          </cell>
          <cell r="D723">
            <v>7</v>
          </cell>
          <cell r="F723">
            <v>7</v>
          </cell>
          <cell r="H723">
            <v>7</v>
          </cell>
          <cell r="J723">
            <v>7</v>
          </cell>
          <cell r="L723">
            <v>7</v>
          </cell>
          <cell r="N723">
            <v>7</v>
          </cell>
          <cell r="P723">
            <v>49</v>
          </cell>
        </row>
        <row r="724">
          <cell r="A724" t="str">
            <v>MCO-ROC</v>
          </cell>
          <cell r="B724">
            <v>7</v>
          </cell>
          <cell r="D724">
            <v>7</v>
          </cell>
          <cell r="F724">
            <v>14</v>
          </cell>
          <cell r="I724">
            <v>13</v>
          </cell>
          <cell r="K724">
            <v>13</v>
          </cell>
          <cell r="M724">
            <v>14</v>
          </cell>
          <cell r="O724">
            <v>14</v>
          </cell>
          <cell r="P724">
            <v>82</v>
          </cell>
        </row>
        <row r="725">
          <cell r="A725" t="str">
            <v>MCO-SAT</v>
          </cell>
          <cell r="C725">
            <v>7</v>
          </cell>
          <cell r="E725">
            <v>7</v>
          </cell>
          <cell r="G725">
            <v>8</v>
          </cell>
          <cell r="I725">
            <v>7</v>
          </cell>
          <cell r="K725">
            <v>7</v>
          </cell>
          <cell r="M725">
            <v>15</v>
          </cell>
          <cell r="O725">
            <v>15</v>
          </cell>
          <cell r="P725">
            <v>66</v>
          </cell>
        </row>
        <row r="726">
          <cell r="A726" t="str">
            <v>MCO-SDF</v>
          </cell>
          <cell r="C726">
            <v>8</v>
          </cell>
          <cell r="E726">
            <v>8</v>
          </cell>
          <cell r="G726">
            <v>8</v>
          </cell>
          <cell r="I726">
            <v>7</v>
          </cell>
          <cell r="K726">
            <v>7</v>
          </cell>
          <cell r="M726">
            <v>8</v>
          </cell>
          <cell r="O726">
            <v>8</v>
          </cell>
          <cell r="P726">
            <v>54</v>
          </cell>
        </row>
        <row r="727">
          <cell r="A727" t="str">
            <v>MCO-SJU</v>
          </cell>
          <cell r="B727">
            <v>23</v>
          </cell>
          <cell r="D727">
            <v>20</v>
          </cell>
          <cell r="F727">
            <v>21</v>
          </cell>
          <cell r="I727">
            <v>21</v>
          </cell>
          <cell r="K727">
            <v>21</v>
          </cell>
          <cell r="M727">
            <v>28</v>
          </cell>
          <cell r="O727">
            <v>28</v>
          </cell>
          <cell r="P727">
            <v>162</v>
          </cell>
        </row>
        <row r="728">
          <cell r="A728" t="str">
            <v>MCO-STL</v>
          </cell>
          <cell r="C728">
            <v>27</v>
          </cell>
          <cell r="E728">
            <v>27</v>
          </cell>
          <cell r="G728">
            <v>35</v>
          </cell>
          <cell r="H728">
            <v>7</v>
          </cell>
          <cell r="I728">
            <v>27</v>
          </cell>
          <cell r="J728">
            <v>7</v>
          </cell>
          <cell r="K728">
            <v>27</v>
          </cell>
          <cell r="L728">
            <v>19</v>
          </cell>
          <cell r="M728">
            <v>17</v>
          </cell>
          <cell r="N728">
            <v>19</v>
          </cell>
          <cell r="O728">
            <v>17</v>
          </cell>
          <cell r="P728">
            <v>229</v>
          </cell>
        </row>
        <row r="729">
          <cell r="A729" t="str">
            <v>MDW-ABQ</v>
          </cell>
          <cell r="C729">
            <v>13</v>
          </cell>
          <cell r="E729">
            <v>13</v>
          </cell>
          <cell r="G729">
            <v>14</v>
          </cell>
          <cell r="I729">
            <v>14</v>
          </cell>
          <cell r="K729">
            <v>14</v>
          </cell>
          <cell r="M729">
            <v>14</v>
          </cell>
          <cell r="O729">
            <v>14</v>
          </cell>
          <cell r="P729">
            <v>96</v>
          </cell>
        </row>
        <row r="730">
          <cell r="A730" t="str">
            <v>MDW-ALB</v>
          </cell>
          <cell r="C730">
            <v>14</v>
          </cell>
          <cell r="E730">
            <v>14</v>
          </cell>
          <cell r="G730">
            <v>14</v>
          </cell>
          <cell r="I730">
            <v>14</v>
          </cell>
          <cell r="K730">
            <v>14</v>
          </cell>
          <cell r="M730">
            <v>14</v>
          </cell>
          <cell r="O730">
            <v>14</v>
          </cell>
          <cell r="P730">
            <v>98</v>
          </cell>
        </row>
        <row r="731">
          <cell r="A731" t="str">
            <v>MDW-ATL</v>
          </cell>
          <cell r="B731">
            <v>40</v>
          </cell>
          <cell r="C731">
            <v>27</v>
          </cell>
          <cell r="D731">
            <v>40</v>
          </cell>
          <cell r="E731">
            <v>26</v>
          </cell>
          <cell r="F731">
            <v>38</v>
          </cell>
          <cell r="G731">
            <v>27</v>
          </cell>
          <cell r="H731">
            <v>33</v>
          </cell>
          <cell r="I731">
            <v>27</v>
          </cell>
          <cell r="J731">
            <v>33</v>
          </cell>
          <cell r="K731">
            <v>27</v>
          </cell>
          <cell r="L731">
            <v>40</v>
          </cell>
          <cell r="M731">
            <v>28</v>
          </cell>
          <cell r="N731">
            <v>40</v>
          </cell>
          <cell r="O731">
            <v>28</v>
          </cell>
          <cell r="P731">
            <v>454</v>
          </cell>
        </row>
        <row r="732">
          <cell r="A732" t="str">
            <v>MDW-AUS</v>
          </cell>
          <cell r="C732">
            <v>12</v>
          </cell>
          <cell r="E732">
            <v>12</v>
          </cell>
          <cell r="G732">
            <v>20</v>
          </cell>
          <cell r="I732">
            <v>19</v>
          </cell>
          <cell r="K732">
            <v>19</v>
          </cell>
          <cell r="M732">
            <v>20</v>
          </cell>
          <cell r="O732">
            <v>20</v>
          </cell>
          <cell r="P732">
            <v>122</v>
          </cell>
        </row>
        <row r="733">
          <cell r="A733" t="str">
            <v>MDW-BDL</v>
          </cell>
          <cell r="C733">
            <v>14</v>
          </cell>
          <cell r="E733">
            <v>13</v>
          </cell>
          <cell r="G733">
            <v>20</v>
          </cell>
          <cell r="I733">
            <v>20</v>
          </cell>
          <cell r="K733">
            <v>20</v>
          </cell>
          <cell r="M733">
            <v>21</v>
          </cell>
          <cell r="O733">
            <v>21</v>
          </cell>
          <cell r="P733">
            <v>129</v>
          </cell>
        </row>
        <row r="734">
          <cell r="A734" t="str">
            <v>MDW-BHM</v>
          </cell>
          <cell r="C734">
            <v>13</v>
          </cell>
          <cell r="E734">
            <v>13</v>
          </cell>
          <cell r="G734">
            <v>13</v>
          </cell>
          <cell r="I734">
            <v>14</v>
          </cell>
          <cell r="K734">
            <v>14</v>
          </cell>
          <cell r="M734">
            <v>14</v>
          </cell>
          <cell r="O734">
            <v>14</v>
          </cell>
          <cell r="P734">
            <v>95</v>
          </cell>
        </row>
        <row r="735">
          <cell r="A735" t="str">
            <v>MDW-BKG</v>
          </cell>
          <cell r="G735">
            <v>7</v>
          </cell>
          <cell r="I735">
            <v>7</v>
          </cell>
          <cell r="K735">
            <v>7</v>
          </cell>
          <cell r="M735">
            <v>14</v>
          </cell>
          <cell r="O735">
            <v>14</v>
          </cell>
          <cell r="P735">
            <v>49</v>
          </cell>
        </row>
        <row r="736">
          <cell r="A736" t="str">
            <v>MDW-BNA</v>
          </cell>
          <cell r="C736">
            <v>45</v>
          </cell>
          <cell r="E736">
            <v>45</v>
          </cell>
          <cell r="G736">
            <v>52</v>
          </cell>
          <cell r="I736">
            <v>52</v>
          </cell>
          <cell r="K736">
            <v>52</v>
          </cell>
          <cell r="M736">
            <v>53</v>
          </cell>
          <cell r="O736">
            <v>53</v>
          </cell>
          <cell r="P736">
            <v>352</v>
          </cell>
        </row>
        <row r="737">
          <cell r="A737" t="str">
            <v>MDW-BOS</v>
          </cell>
          <cell r="C737">
            <v>27</v>
          </cell>
          <cell r="E737">
            <v>27</v>
          </cell>
          <cell r="G737">
            <v>28</v>
          </cell>
          <cell r="I737">
            <v>33</v>
          </cell>
          <cell r="K737">
            <v>33</v>
          </cell>
          <cell r="M737">
            <v>34</v>
          </cell>
          <cell r="O737">
            <v>34</v>
          </cell>
          <cell r="P737">
            <v>216</v>
          </cell>
        </row>
        <row r="738">
          <cell r="A738" t="str">
            <v>MDW-BUF</v>
          </cell>
          <cell r="C738">
            <v>19</v>
          </cell>
          <cell r="E738">
            <v>19</v>
          </cell>
          <cell r="G738">
            <v>21</v>
          </cell>
          <cell r="I738">
            <v>21</v>
          </cell>
          <cell r="K738">
            <v>21</v>
          </cell>
          <cell r="M738">
            <v>27</v>
          </cell>
          <cell r="O738">
            <v>27</v>
          </cell>
          <cell r="P738">
            <v>155</v>
          </cell>
        </row>
        <row r="739">
          <cell r="A739" t="str">
            <v>MDW-BWI</v>
          </cell>
          <cell r="C739">
            <v>38</v>
          </cell>
          <cell r="E739">
            <v>38</v>
          </cell>
          <cell r="G739">
            <v>46</v>
          </cell>
          <cell r="I739">
            <v>46</v>
          </cell>
          <cell r="K739">
            <v>46</v>
          </cell>
          <cell r="M739">
            <v>48</v>
          </cell>
          <cell r="O739">
            <v>48</v>
          </cell>
          <cell r="P739">
            <v>310</v>
          </cell>
        </row>
        <row r="740">
          <cell r="A740" t="str">
            <v>MDW-CAK</v>
          </cell>
          <cell r="C740">
            <v>13</v>
          </cell>
          <cell r="E740">
            <v>13</v>
          </cell>
          <cell r="G740">
            <v>14</v>
          </cell>
          <cell r="I740">
            <v>13</v>
          </cell>
          <cell r="K740">
            <v>13</v>
          </cell>
          <cell r="M740">
            <v>13</v>
          </cell>
          <cell r="O740">
            <v>13</v>
          </cell>
          <cell r="P740">
            <v>92</v>
          </cell>
        </row>
        <row r="741">
          <cell r="A741" t="str">
            <v>MDW-CHS</v>
          </cell>
          <cell r="C741">
            <v>7</v>
          </cell>
          <cell r="E741">
            <v>7</v>
          </cell>
          <cell r="G741">
            <v>14</v>
          </cell>
          <cell r="I741">
            <v>14</v>
          </cell>
          <cell r="K741">
            <v>14</v>
          </cell>
          <cell r="M741">
            <v>14</v>
          </cell>
          <cell r="O741">
            <v>14</v>
          </cell>
          <cell r="P741">
            <v>84</v>
          </cell>
        </row>
        <row r="742">
          <cell r="A742" t="str">
            <v>MDW-CLE</v>
          </cell>
          <cell r="C742">
            <v>38</v>
          </cell>
          <cell r="E742">
            <v>38</v>
          </cell>
          <cell r="G742">
            <v>45</v>
          </cell>
          <cell r="I742">
            <v>46</v>
          </cell>
          <cell r="K742">
            <v>46</v>
          </cell>
          <cell r="M742">
            <v>46</v>
          </cell>
          <cell r="O742">
            <v>46</v>
          </cell>
          <cell r="P742">
            <v>305</v>
          </cell>
        </row>
        <row r="743">
          <cell r="A743" t="str">
            <v>MDW-CLT</v>
          </cell>
          <cell r="I743">
            <v>14</v>
          </cell>
          <cell r="K743">
            <v>14</v>
          </cell>
          <cell r="M743">
            <v>14</v>
          </cell>
          <cell r="O743">
            <v>14</v>
          </cell>
          <cell r="P743">
            <v>56</v>
          </cell>
        </row>
        <row r="744">
          <cell r="A744" t="str">
            <v>MDW-CMH</v>
          </cell>
          <cell r="C744">
            <v>38</v>
          </cell>
          <cell r="E744">
            <v>38</v>
          </cell>
          <cell r="G744">
            <v>45</v>
          </cell>
          <cell r="I744">
            <v>44</v>
          </cell>
          <cell r="K744">
            <v>44</v>
          </cell>
          <cell r="M744">
            <v>45</v>
          </cell>
          <cell r="O744">
            <v>45</v>
          </cell>
          <cell r="P744">
            <v>299</v>
          </cell>
        </row>
        <row r="745">
          <cell r="A745" t="str">
            <v>MDW-CUN</v>
          </cell>
          <cell r="B745">
            <v>14</v>
          </cell>
          <cell r="D745">
            <v>14</v>
          </cell>
          <cell r="F745">
            <v>12</v>
          </cell>
          <cell r="H745">
            <v>14</v>
          </cell>
          <cell r="J745">
            <v>14</v>
          </cell>
          <cell r="L745">
            <v>7</v>
          </cell>
          <cell r="N745">
            <v>7</v>
          </cell>
          <cell r="P745">
            <v>82</v>
          </cell>
        </row>
        <row r="746">
          <cell r="A746" t="str">
            <v>MDW-DEN</v>
          </cell>
          <cell r="C746">
            <v>52</v>
          </cell>
          <cell r="E746">
            <v>52</v>
          </cell>
          <cell r="G746">
            <v>61</v>
          </cell>
          <cell r="I746">
            <v>58</v>
          </cell>
          <cell r="K746">
            <v>58</v>
          </cell>
          <cell r="M746">
            <v>61</v>
          </cell>
          <cell r="O746">
            <v>61</v>
          </cell>
          <cell r="P746">
            <v>403</v>
          </cell>
        </row>
        <row r="747">
          <cell r="A747" t="str">
            <v>MDW-DSM</v>
          </cell>
          <cell r="C747">
            <v>14</v>
          </cell>
          <cell r="E747">
            <v>14</v>
          </cell>
          <cell r="G747">
            <v>14</v>
          </cell>
          <cell r="I747">
            <v>14</v>
          </cell>
          <cell r="K747">
            <v>14</v>
          </cell>
          <cell r="M747">
            <v>14</v>
          </cell>
          <cell r="O747">
            <v>14</v>
          </cell>
          <cell r="P747">
            <v>98</v>
          </cell>
        </row>
        <row r="748">
          <cell r="A748" t="str">
            <v>MDW-DTW</v>
          </cell>
          <cell r="C748">
            <v>33</v>
          </cell>
          <cell r="E748">
            <v>33</v>
          </cell>
          <cell r="G748">
            <v>33</v>
          </cell>
          <cell r="I748">
            <v>39</v>
          </cell>
          <cell r="K748">
            <v>39</v>
          </cell>
          <cell r="M748">
            <v>38</v>
          </cell>
          <cell r="O748">
            <v>38</v>
          </cell>
          <cell r="P748">
            <v>253</v>
          </cell>
        </row>
        <row r="749">
          <cell r="A749" t="str">
            <v>MDW-EWR</v>
          </cell>
          <cell r="C749">
            <v>40</v>
          </cell>
          <cell r="E749">
            <v>40</v>
          </cell>
          <cell r="G749">
            <v>39</v>
          </cell>
          <cell r="I749">
            <v>39</v>
          </cell>
          <cell r="K749">
            <v>39</v>
          </cell>
          <cell r="M749">
            <v>39</v>
          </cell>
          <cell r="O749">
            <v>39</v>
          </cell>
          <cell r="P749">
            <v>275</v>
          </cell>
        </row>
        <row r="750">
          <cell r="A750" t="str">
            <v>MDW-FLL</v>
          </cell>
          <cell r="C750">
            <v>23</v>
          </cell>
          <cell r="E750">
            <v>22</v>
          </cell>
          <cell r="G750">
            <v>39</v>
          </cell>
          <cell r="H750">
            <v>6</v>
          </cell>
          <cell r="I750">
            <v>22</v>
          </cell>
          <cell r="J750">
            <v>6</v>
          </cell>
          <cell r="K750">
            <v>22</v>
          </cell>
          <cell r="L750">
            <v>7</v>
          </cell>
          <cell r="M750">
            <v>21</v>
          </cell>
          <cell r="N750">
            <v>7</v>
          </cell>
          <cell r="O750">
            <v>21</v>
          </cell>
          <cell r="P750">
            <v>196</v>
          </cell>
        </row>
        <row r="751">
          <cell r="A751" t="str">
            <v>MDW-GSP</v>
          </cell>
          <cell r="C751">
            <v>12</v>
          </cell>
          <cell r="E751">
            <v>12</v>
          </cell>
          <cell r="G751">
            <v>13</v>
          </cell>
          <cell r="I751">
            <v>13</v>
          </cell>
          <cell r="K751">
            <v>13</v>
          </cell>
          <cell r="M751">
            <v>13</v>
          </cell>
          <cell r="O751">
            <v>13</v>
          </cell>
          <cell r="P751">
            <v>89</v>
          </cell>
        </row>
        <row r="752">
          <cell r="A752" t="str">
            <v>MDW-HOU</v>
          </cell>
          <cell r="C752">
            <v>40</v>
          </cell>
          <cell r="E752">
            <v>40</v>
          </cell>
          <cell r="G752">
            <v>46</v>
          </cell>
          <cell r="I752">
            <v>46</v>
          </cell>
          <cell r="K752">
            <v>46</v>
          </cell>
          <cell r="M752">
            <v>47</v>
          </cell>
          <cell r="O752">
            <v>47</v>
          </cell>
          <cell r="P752">
            <v>312</v>
          </cell>
        </row>
        <row r="753">
          <cell r="A753" t="str">
            <v>MDW-IAD</v>
          </cell>
          <cell r="C753">
            <v>31</v>
          </cell>
          <cell r="E753">
            <v>31</v>
          </cell>
          <cell r="G753">
            <v>34</v>
          </cell>
          <cell r="I753">
            <v>34</v>
          </cell>
          <cell r="K753">
            <v>34</v>
          </cell>
          <cell r="M753">
            <v>41</v>
          </cell>
          <cell r="O753">
            <v>41</v>
          </cell>
          <cell r="P753">
            <v>246</v>
          </cell>
        </row>
        <row r="754">
          <cell r="A754" t="str">
            <v>MDW-ICT</v>
          </cell>
          <cell r="M754">
            <v>14</v>
          </cell>
          <cell r="O754">
            <v>14</v>
          </cell>
          <cell r="P754">
            <v>28</v>
          </cell>
        </row>
        <row r="755">
          <cell r="A755" t="str">
            <v>MDW-JAN</v>
          </cell>
          <cell r="C755">
            <v>7</v>
          </cell>
          <cell r="E755">
            <v>7</v>
          </cell>
          <cell r="G755">
            <v>7</v>
          </cell>
          <cell r="I755">
            <v>7</v>
          </cell>
          <cell r="K755">
            <v>7</v>
          </cell>
          <cell r="M755">
            <v>7</v>
          </cell>
          <cell r="O755">
            <v>7</v>
          </cell>
          <cell r="P755">
            <v>49</v>
          </cell>
        </row>
        <row r="756">
          <cell r="A756" t="str">
            <v>MDW-LAS</v>
          </cell>
          <cell r="C756">
            <v>48</v>
          </cell>
          <cell r="E756">
            <v>48</v>
          </cell>
          <cell r="G756">
            <v>67</v>
          </cell>
          <cell r="I756">
            <v>62</v>
          </cell>
          <cell r="K756">
            <v>62</v>
          </cell>
          <cell r="M756">
            <v>62</v>
          </cell>
          <cell r="O756">
            <v>62</v>
          </cell>
          <cell r="P756">
            <v>411</v>
          </cell>
        </row>
        <row r="757">
          <cell r="A757" t="str">
            <v>MDW-LAX</v>
          </cell>
          <cell r="C757">
            <v>33</v>
          </cell>
          <cell r="E757">
            <v>33</v>
          </cell>
          <cell r="G757">
            <v>34</v>
          </cell>
          <cell r="I757">
            <v>40</v>
          </cell>
          <cell r="K757">
            <v>40</v>
          </cell>
          <cell r="M757">
            <v>48</v>
          </cell>
          <cell r="O757">
            <v>48</v>
          </cell>
          <cell r="P757">
            <v>276</v>
          </cell>
        </row>
        <row r="758">
          <cell r="A758" t="str">
            <v>MDW-LGA</v>
          </cell>
          <cell r="C758">
            <v>38</v>
          </cell>
          <cell r="E758">
            <v>38</v>
          </cell>
          <cell r="G758">
            <v>40</v>
          </cell>
          <cell r="I758">
            <v>40</v>
          </cell>
          <cell r="K758">
            <v>40</v>
          </cell>
          <cell r="M758">
            <v>41</v>
          </cell>
          <cell r="O758">
            <v>41</v>
          </cell>
          <cell r="P758">
            <v>278</v>
          </cell>
        </row>
        <row r="759">
          <cell r="A759" t="str">
            <v>MDW-LIT</v>
          </cell>
          <cell r="C759">
            <v>7</v>
          </cell>
          <cell r="E759">
            <v>7</v>
          </cell>
          <cell r="G759">
            <v>7</v>
          </cell>
          <cell r="I759">
            <v>7</v>
          </cell>
          <cell r="K759">
            <v>7</v>
          </cell>
          <cell r="M759">
            <v>7</v>
          </cell>
          <cell r="O759">
            <v>7</v>
          </cell>
          <cell r="P759">
            <v>49</v>
          </cell>
        </row>
        <row r="760">
          <cell r="A760" t="str">
            <v>MDW-MCI</v>
          </cell>
          <cell r="C760">
            <v>58</v>
          </cell>
          <cell r="E760">
            <v>58</v>
          </cell>
          <cell r="G760">
            <v>64</v>
          </cell>
          <cell r="I760">
            <v>65</v>
          </cell>
          <cell r="K760">
            <v>65</v>
          </cell>
          <cell r="M760">
            <v>65</v>
          </cell>
          <cell r="O760">
            <v>65</v>
          </cell>
          <cell r="P760">
            <v>440</v>
          </cell>
        </row>
        <row r="761">
          <cell r="A761" t="str">
            <v>MDW-MCO</v>
          </cell>
          <cell r="B761">
            <v>21</v>
          </cell>
          <cell r="C761">
            <v>27</v>
          </cell>
          <cell r="D761">
            <v>21</v>
          </cell>
          <cell r="E761">
            <v>27</v>
          </cell>
          <cell r="F761">
            <v>21</v>
          </cell>
          <cell r="G761">
            <v>46</v>
          </cell>
          <cell r="H761">
            <v>21</v>
          </cell>
          <cell r="I761">
            <v>36</v>
          </cell>
          <cell r="J761">
            <v>21</v>
          </cell>
          <cell r="K761">
            <v>36</v>
          </cell>
          <cell r="L761">
            <v>28</v>
          </cell>
          <cell r="M761">
            <v>43</v>
          </cell>
          <cell r="N761">
            <v>28</v>
          </cell>
          <cell r="O761">
            <v>43</v>
          </cell>
          <cell r="P761">
            <v>419</v>
          </cell>
        </row>
        <row r="762">
          <cell r="A762" t="str">
            <v>MDW-MHT</v>
          </cell>
          <cell r="C762">
            <v>13</v>
          </cell>
          <cell r="E762">
            <v>13</v>
          </cell>
          <cell r="G762">
            <v>20</v>
          </cell>
          <cell r="I762">
            <v>20</v>
          </cell>
          <cell r="K762">
            <v>20</v>
          </cell>
          <cell r="M762">
            <v>21</v>
          </cell>
          <cell r="O762">
            <v>21</v>
          </cell>
          <cell r="P762">
            <v>128</v>
          </cell>
        </row>
        <row r="763">
          <cell r="A763" t="str">
            <v>MDW-MSP</v>
          </cell>
          <cell r="C763">
            <v>46</v>
          </cell>
          <cell r="E763">
            <v>46</v>
          </cell>
          <cell r="G763">
            <v>52</v>
          </cell>
          <cell r="I763">
            <v>50</v>
          </cell>
          <cell r="K763">
            <v>50</v>
          </cell>
          <cell r="M763">
            <v>52</v>
          </cell>
          <cell r="O763">
            <v>52</v>
          </cell>
          <cell r="P763">
            <v>348</v>
          </cell>
        </row>
        <row r="764">
          <cell r="A764" t="str">
            <v>MDW-MSY</v>
          </cell>
          <cell r="C764">
            <v>8</v>
          </cell>
          <cell r="E764">
            <v>8</v>
          </cell>
          <cell r="G764">
            <v>13</v>
          </cell>
          <cell r="I764">
            <v>14</v>
          </cell>
          <cell r="K764">
            <v>14</v>
          </cell>
          <cell r="M764">
            <v>20</v>
          </cell>
          <cell r="O764">
            <v>20</v>
          </cell>
          <cell r="P764">
            <v>97</v>
          </cell>
        </row>
        <row r="765">
          <cell r="A765" t="str">
            <v>MDW-OAK</v>
          </cell>
          <cell r="C765">
            <v>12</v>
          </cell>
          <cell r="E765">
            <v>12</v>
          </cell>
          <cell r="G765">
            <v>14</v>
          </cell>
          <cell r="I765">
            <v>19</v>
          </cell>
          <cell r="K765">
            <v>19</v>
          </cell>
          <cell r="M765">
            <v>28</v>
          </cell>
          <cell r="O765">
            <v>28</v>
          </cell>
          <cell r="P765">
            <v>132</v>
          </cell>
        </row>
        <row r="766">
          <cell r="A766" t="str">
            <v>MDW-OKC</v>
          </cell>
          <cell r="C766">
            <v>13</v>
          </cell>
          <cell r="E766">
            <v>13</v>
          </cell>
          <cell r="G766">
            <v>13</v>
          </cell>
          <cell r="I766">
            <v>13</v>
          </cell>
          <cell r="K766">
            <v>13</v>
          </cell>
          <cell r="M766">
            <v>12</v>
          </cell>
          <cell r="O766">
            <v>12</v>
          </cell>
          <cell r="P766">
            <v>89</v>
          </cell>
        </row>
        <row r="767">
          <cell r="A767" t="str">
            <v>MDW-OMA</v>
          </cell>
          <cell r="C767">
            <v>32</v>
          </cell>
          <cell r="E767">
            <v>32</v>
          </cell>
          <cell r="G767">
            <v>38</v>
          </cell>
          <cell r="I767">
            <v>40</v>
          </cell>
          <cell r="K767">
            <v>40</v>
          </cell>
          <cell r="M767">
            <v>41</v>
          </cell>
          <cell r="O767">
            <v>41</v>
          </cell>
          <cell r="P767">
            <v>264</v>
          </cell>
        </row>
        <row r="768">
          <cell r="A768" t="str">
            <v>MDW-ONT</v>
          </cell>
          <cell r="C768">
            <v>7</v>
          </cell>
          <cell r="E768">
            <v>7</v>
          </cell>
          <cell r="G768">
            <v>7</v>
          </cell>
          <cell r="I768">
            <v>6</v>
          </cell>
          <cell r="K768">
            <v>6</v>
          </cell>
          <cell r="M768">
            <v>7</v>
          </cell>
          <cell r="O768">
            <v>7</v>
          </cell>
          <cell r="P768">
            <v>47</v>
          </cell>
        </row>
        <row r="769">
          <cell r="A769" t="str">
            <v>MDW-ORF</v>
          </cell>
          <cell r="C769">
            <v>7</v>
          </cell>
          <cell r="E769">
            <v>7</v>
          </cell>
          <cell r="G769">
            <v>7</v>
          </cell>
          <cell r="I769">
            <v>13</v>
          </cell>
          <cell r="K769">
            <v>13</v>
          </cell>
          <cell r="M769">
            <v>15</v>
          </cell>
          <cell r="O769">
            <v>15</v>
          </cell>
          <cell r="P769">
            <v>77</v>
          </cell>
        </row>
        <row r="770">
          <cell r="A770" t="str">
            <v>MDW-PBI</v>
          </cell>
          <cell r="G770">
            <v>1</v>
          </cell>
          <cell r="P770">
            <v>1</v>
          </cell>
        </row>
        <row r="771">
          <cell r="A771" t="str">
            <v>MDW-PDX</v>
          </cell>
          <cell r="C771">
            <v>7</v>
          </cell>
          <cell r="E771">
            <v>7</v>
          </cell>
          <cell r="G771">
            <v>13</v>
          </cell>
          <cell r="I771">
            <v>13</v>
          </cell>
          <cell r="K771">
            <v>13</v>
          </cell>
          <cell r="M771">
            <v>21</v>
          </cell>
          <cell r="O771">
            <v>21</v>
          </cell>
          <cell r="P771">
            <v>95</v>
          </cell>
        </row>
        <row r="772">
          <cell r="A772" t="str">
            <v>MDW-PHL</v>
          </cell>
          <cell r="C772">
            <v>39</v>
          </cell>
          <cell r="E772">
            <v>38</v>
          </cell>
          <cell r="G772">
            <v>45</v>
          </cell>
          <cell r="I772">
            <v>45</v>
          </cell>
          <cell r="K772">
            <v>45</v>
          </cell>
          <cell r="M772">
            <v>40</v>
          </cell>
          <cell r="O772">
            <v>40</v>
          </cell>
          <cell r="P772">
            <v>292</v>
          </cell>
        </row>
        <row r="773">
          <cell r="A773" t="str">
            <v>MDW-PHX</v>
          </cell>
          <cell r="C773">
            <v>40</v>
          </cell>
          <cell r="E773">
            <v>40</v>
          </cell>
          <cell r="G773">
            <v>49</v>
          </cell>
          <cell r="I773">
            <v>49</v>
          </cell>
          <cell r="K773">
            <v>49</v>
          </cell>
          <cell r="M773">
            <v>49</v>
          </cell>
          <cell r="O773">
            <v>49</v>
          </cell>
          <cell r="P773">
            <v>325</v>
          </cell>
        </row>
        <row r="774">
          <cell r="A774" t="str">
            <v>MDW-PIT</v>
          </cell>
          <cell r="C774">
            <v>31</v>
          </cell>
          <cell r="E774">
            <v>31</v>
          </cell>
          <cell r="G774">
            <v>33</v>
          </cell>
          <cell r="I774">
            <v>39</v>
          </cell>
          <cell r="K774">
            <v>39</v>
          </cell>
          <cell r="M774">
            <v>39</v>
          </cell>
          <cell r="O774">
            <v>39</v>
          </cell>
          <cell r="P774">
            <v>251</v>
          </cell>
        </row>
        <row r="775">
          <cell r="A775" t="str">
            <v>MDW-PVD</v>
          </cell>
          <cell r="C775">
            <v>13</v>
          </cell>
          <cell r="E775">
            <v>13</v>
          </cell>
          <cell r="G775">
            <v>20</v>
          </cell>
          <cell r="I775">
            <v>20</v>
          </cell>
          <cell r="K775">
            <v>20</v>
          </cell>
          <cell r="M775">
            <v>21</v>
          </cell>
          <cell r="O775">
            <v>21</v>
          </cell>
          <cell r="P775">
            <v>128</v>
          </cell>
        </row>
        <row r="776">
          <cell r="A776" t="str">
            <v>MDW-RDU</v>
          </cell>
          <cell r="C776">
            <v>18</v>
          </cell>
          <cell r="E776">
            <v>18</v>
          </cell>
          <cell r="G776">
            <v>19</v>
          </cell>
          <cell r="I776">
            <v>25</v>
          </cell>
          <cell r="K776">
            <v>25</v>
          </cell>
          <cell r="M776">
            <v>28</v>
          </cell>
          <cell r="O776">
            <v>28</v>
          </cell>
          <cell r="P776">
            <v>161</v>
          </cell>
        </row>
        <row r="777">
          <cell r="A777" t="str">
            <v>MDW-RNO</v>
          </cell>
          <cell r="C777">
            <v>7</v>
          </cell>
          <cell r="E777">
            <v>7</v>
          </cell>
          <cell r="G777">
            <v>7</v>
          </cell>
          <cell r="I777">
            <v>6</v>
          </cell>
          <cell r="K777">
            <v>6</v>
          </cell>
          <cell r="M777">
            <v>7</v>
          </cell>
          <cell r="O777">
            <v>7</v>
          </cell>
          <cell r="P777">
            <v>47</v>
          </cell>
        </row>
        <row r="778">
          <cell r="A778" t="str">
            <v>MDW-ROC</v>
          </cell>
          <cell r="I778">
            <v>14</v>
          </cell>
          <cell r="K778">
            <v>14</v>
          </cell>
          <cell r="M778">
            <v>14</v>
          </cell>
          <cell r="O778">
            <v>14</v>
          </cell>
          <cell r="P778">
            <v>56</v>
          </cell>
        </row>
        <row r="779">
          <cell r="A779" t="str">
            <v>MDW-RSW</v>
          </cell>
          <cell r="C779">
            <v>22</v>
          </cell>
          <cell r="E779">
            <v>22</v>
          </cell>
          <cell r="F779">
            <v>14</v>
          </cell>
          <cell r="G779">
            <v>36</v>
          </cell>
          <cell r="H779">
            <v>7</v>
          </cell>
          <cell r="I779">
            <v>21</v>
          </cell>
          <cell r="J779">
            <v>7</v>
          </cell>
          <cell r="K779">
            <v>21</v>
          </cell>
          <cell r="L779">
            <v>7</v>
          </cell>
          <cell r="M779">
            <v>15</v>
          </cell>
          <cell r="N779">
            <v>7</v>
          </cell>
          <cell r="O779">
            <v>15</v>
          </cell>
          <cell r="P779">
            <v>194</v>
          </cell>
        </row>
        <row r="780">
          <cell r="A780" t="str">
            <v>MDW-SAN</v>
          </cell>
          <cell r="C780">
            <v>20</v>
          </cell>
          <cell r="E780">
            <v>20</v>
          </cell>
          <cell r="G780">
            <v>28</v>
          </cell>
          <cell r="I780">
            <v>27</v>
          </cell>
          <cell r="K780">
            <v>27</v>
          </cell>
          <cell r="M780">
            <v>28</v>
          </cell>
          <cell r="O780">
            <v>28</v>
          </cell>
          <cell r="P780">
            <v>178</v>
          </cell>
        </row>
        <row r="781">
          <cell r="A781" t="str">
            <v>MDW-SAT</v>
          </cell>
          <cell r="C781">
            <v>12</v>
          </cell>
          <cell r="E781">
            <v>12</v>
          </cell>
          <cell r="G781">
            <v>14</v>
          </cell>
          <cell r="I781">
            <v>14</v>
          </cell>
          <cell r="K781">
            <v>14</v>
          </cell>
          <cell r="M781">
            <v>14</v>
          </cell>
          <cell r="O781">
            <v>14</v>
          </cell>
          <cell r="P781">
            <v>94</v>
          </cell>
        </row>
        <row r="782">
          <cell r="A782" t="str">
            <v>MDW-SDF</v>
          </cell>
          <cell r="C782">
            <v>20</v>
          </cell>
          <cell r="E782">
            <v>20</v>
          </cell>
          <cell r="G782">
            <v>33</v>
          </cell>
          <cell r="I782">
            <v>32</v>
          </cell>
          <cell r="K782">
            <v>32</v>
          </cell>
          <cell r="M782">
            <v>32</v>
          </cell>
          <cell r="O782">
            <v>32</v>
          </cell>
          <cell r="P782">
            <v>201</v>
          </cell>
        </row>
        <row r="783">
          <cell r="A783" t="str">
            <v>MDW-SEA</v>
          </cell>
          <cell r="C783">
            <v>13</v>
          </cell>
          <cell r="E783">
            <v>13</v>
          </cell>
          <cell r="G783">
            <v>20</v>
          </cell>
          <cell r="I783">
            <v>20</v>
          </cell>
          <cell r="K783">
            <v>20</v>
          </cell>
          <cell r="M783">
            <v>28</v>
          </cell>
          <cell r="O783">
            <v>28</v>
          </cell>
          <cell r="P783">
            <v>142</v>
          </cell>
        </row>
        <row r="784">
          <cell r="A784" t="str">
            <v>MDW-SFO</v>
          </cell>
          <cell r="C784">
            <v>12</v>
          </cell>
          <cell r="E784">
            <v>12</v>
          </cell>
          <cell r="G784">
            <v>14</v>
          </cell>
          <cell r="I784">
            <v>14</v>
          </cell>
          <cell r="K784">
            <v>14</v>
          </cell>
          <cell r="M784">
            <v>21</v>
          </cell>
          <cell r="O784">
            <v>21</v>
          </cell>
          <cell r="P784">
            <v>108</v>
          </cell>
        </row>
        <row r="785">
          <cell r="A785" t="str">
            <v>MDW-SJC</v>
          </cell>
          <cell r="C785">
            <v>7</v>
          </cell>
          <cell r="E785">
            <v>7</v>
          </cell>
          <cell r="G785">
            <v>7</v>
          </cell>
          <cell r="I785">
            <v>7</v>
          </cell>
          <cell r="K785">
            <v>7</v>
          </cell>
          <cell r="M785">
            <v>7</v>
          </cell>
          <cell r="O785">
            <v>7</v>
          </cell>
          <cell r="P785">
            <v>49</v>
          </cell>
        </row>
        <row r="786">
          <cell r="A786" t="str">
            <v>MDW-SLC</v>
          </cell>
          <cell r="C786">
            <v>14</v>
          </cell>
          <cell r="E786">
            <v>14</v>
          </cell>
          <cell r="G786">
            <v>14</v>
          </cell>
          <cell r="I786">
            <v>14</v>
          </cell>
          <cell r="K786">
            <v>14</v>
          </cell>
          <cell r="M786">
            <v>14</v>
          </cell>
          <cell r="O786">
            <v>14</v>
          </cell>
          <cell r="P786">
            <v>98</v>
          </cell>
        </row>
        <row r="787">
          <cell r="A787" t="str">
            <v>MDW-SMF</v>
          </cell>
          <cell r="C787">
            <v>6</v>
          </cell>
          <cell r="E787">
            <v>6</v>
          </cell>
          <cell r="G787">
            <v>7</v>
          </cell>
          <cell r="I787">
            <v>7</v>
          </cell>
          <cell r="K787">
            <v>7</v>
          </cell>
          <cell r="M787">
            <v>8</v>
          </cell>
          <cell r="O787">
            <v>8</v>
          </cell>
          <cell r="P787">
            <v>49</v>
          </cell>
        </row>
        <row r="788">
          <cell r="A788" t="str">
            <v>MDW-SNA</v>
          </cell>
          <cell r="C788">
            <v>7</v>
          </cell>
          <cell r="E788">
            <v>7</v>
          </cell>
          <cell r="G788">
            <v>7</v>
          </cell>
          <cell r="I788">
            <v>7</v>
          </cell>
          <cell r="K788">
            <v>7</v>
          </cell>
          <cell r="M788">
            <v>7</v>
          </cell>
          <cell r="O788">
            <v>7</v>
          </cell>
          <cell r="P788">
            <v>49</v>
          </cell>
        </row>
        <row r="789">
          <cell r="A789" t="str">
            <v>MDW-STL</v>
          </cell>
          <cell r="C789">
            <v>56</v>
          </cell>
          <cell r="E789">
            <v>56</v>
          </cell>
          <cell r="G789">
            <v>63</v>
          </cell>
          <cell r="I789">
            <v>65</v>
          </cell>
          <cell r="K789">
            <v>65</v>
          </cell>
          <cell r="M789">
            <v>64</v>
          </cell>
          <cell r="O789">
            <v>64</v>
          </cell>
          <cell r="P789">
            <v>433</v>
          </cell>
        </row>
        <row r="790">
          <cell r="A790" t="str">
            <v>MDW-TPA</v>
          </cell>
          <cell r="C790">
            <v>26</v>
          </cell>
          <cell r="E790">
            <v>26</v>
          </cell>
          <cell r="G790">
            <v>44</v>
          </cell>
          <cell r="H790">
            <v>6</v>
          </cell>
          <cell r="I790">
            <v>29</v>
          </cell>
          <cell r="J790">
            <v>6</v>
          </cell>
          <cell r="K790">
            <v>29</v>
          </cell>
          <cell r="L790">
            <v>7</v>
          </cell>
          <cell r="M790">
            <v>29</v>
          </cell>
          <cell r="N790">
            <v>7</v>
          </cell>
          <cell r="O790">
            <v>29</v>
          </cell>
          <cell r="P790">
            <v>238</v>
          </cell>
        </row>
        <row r="791">
          <cell r="A791" t="str">
            <v>MDW-TUL</v>
          </cell>
          <cell r="M791">
            <v>7</v>
          </cell>
          <cell r="O791">
            <v>7</v>
          </cell>
          <cell r="P791">
            <v>14</v>
          </cell>
        </row>
        <row r="792">
          <cell r="A792" t="str">
            <v>MDW-TUS</v>
          </cell>
          <cell r="C792">
            <v>7</v>
          </cell>
          <cell r="E792">
            <v>7</v>
          </cell>
          <cell r="G792">
            <v>14</v>
          </cell>
          <cell r="I792">
            <v>14</v>
          </cell>
          <cell r="K792">
            <v>14</v>
          </cell>
          <cell r="M792">
            <v>14</v>
          </cell>
          <cell r="O792">
            <v>14</v>
          </cell>
          <cell r="P792">
            <v>84</v>
          </cell>
        </row>
        <row r="793">
          <cell r="A793" t="str">
            <v>MEM-ATL</v>
          </cell>
          <cell r="B793">
            <v>33</v>
          </cell>
          <cell r="D793">
            <v>32</v>
          </cell>
          <cell r="F793">
            <v>34</v>
          </cell>
          <cell r="H793">
            <v>33</v>
          </cell>
          <cell r="J793">
            <v>33</v>
          </cell>
          <cell r="L793">
            <v>33</v>
          </cell>
          <cell r="N793">
            <v>33</v>
          </cell>
          <cell r="P793">
            <v>231</v>
          </cell>
        </row>
        <row r="794">
          <cell r="A794" t="str">
            <v>MEX-SAT</v>
          </cell>
          <cell r="B794">
            <v>7</v>
          </cell>
          <cell r="D794">
            <v>7</v>
          </cell>
          <cell r="F794">
            <v>7</v>
          </cell>
          <cell r="H794">
            <v>7</v>
          </cell>
          <cell r="J794">
            <v>7</v>
          </cell>
          <cell r="L794">
            <v>7</v>
          </cell>
          <cell r="N794">
            <v>7</v>
          </cell>
          <cell r="P794">
            <v>49</v>
          </cell>
        </row>
        <row r="795">
          <cell r="A795" t="str">
            <v>MEX-SNA</v>
          </cell>
          <cell r="B795">
            <v>7</v>
          </cell>
          <cell r="D795">
            <v>7</v>
          </cell>
          <cell r="F795">
            <v>7</v>
          </cell>
          <cell r="H795">
            <v>7</v>
          </cell>
          <cell r="J795">
            <v>7</v>
          </cell>
          <cell r="L795">
            <v>7</v>
          </cell>
          <cell r="N795">
            <v>7</v>
          </cell>
          <cell r="P795">
            <v>49</v>
          </cell>
        </row>
        <row r="796">
          <cell r="A796" t="str">
            <v>MHT-BWI</v>
          </cell>
          <cell r="C796">
            <v>46</v>
          </cell>
          <cell r="E796">
            <v>46</v>
          </cell>
          <cell r="G796">
            <v>53</v>
          </cell>
          <cell r="I796">
            <v>54</v>
          </cell>
          <cell r="K796">
            <v>54</v>
          </cell>
          <cell r="M796">
            <v>60</v>
          </cell>
          <cell r="O796">
            <v>60</v>
          </cell>
          <cell r="P796">
            <v>373</v>
          </cell>
        </row>
        <row r="797">
          <cell r="A797" t="str">
            <v>MHT-DEN</v>
          </cell>
          <cell r="C797">
            <v>7</v>
          </cell>
          <cell r="E797">
            <v>7</v>
          </cell>
          <cell r="G797">
            <v>7</v>
          </cell>
          <cell r="I797">
            <v>7</v>
          </cell>
          <cell r="K797">
            <v>7</v>
          </cell>
          <cell r="M797">
            <v>7</v>
          </cell>
          <cell r="O797">
            <v>7</v>
          </cell>
          <cell r="P797">
            <v>49</v>
          </cell>
        </row>
        <row r="798">
          <cell r="A798" t="str">
            <v>MHT-FLL</v>
          </cell>
          <cell r="C798">
            <v>7</v>
          </cell>
          <cell r="E798">
            <v>7</v>
          </cell>
          <cell r="G798">
            <v>7</v>
          </cell>
          <cell r="P798">
            <v>21</v>
          </cell>
        </row>
        <row r="799">
          <cell r="A799" t="str">
            <v>MHT-LAS</v>
          </cell>
          <cell r="M799">
            <v>7</v>
          </cell>
          <cell r="O799">
            <v>7</v>
          </cell>
          <cell r="P799">
            <v>14</v>
          </cell>
        </row>
        <row r="800">
          <cell r="A800" t="str">
            <v>MHT-MCO</v>
          </cell>
          <cell r="C800">
            <v>15</v>
          </cell>
          <cell r="E800">
            <v>15</v>
          </cell>
          <cell r="G800">
            <v>22</v>
          </cell>
          <cell r="I800">
            <v>15</v>
          </cell>
          <cell r="K800">
            <v>15</v>
          </cell>
          <cell r="M800">
            <v>15</v>
          </cell>
          <cell r="O800">
            <v>15</v>
          </cell>
          <cell r="P800">
            <v>112</v>
          </cell>
        </row>
        <row r="801">
          <cell r="A801" t="str">
            <v>MHT-MDW</v>
          </cell>
          <cell r="C801">
            <v>13</v>
          </cell>
          <cell r="E801">
            <v>13</v>
          </cell>
          <cell r="G801">
            <v>19</v>
          </cell>
          <cell r="I801">
            <v>20</v>
          </cell>
          <cell r="K801">
            <v>20</v>
          </cell>
          <cell r="M801">
            <v>21</v>
          </cell>
          <cell r="O801">
            <v>21</v>
          </cell>
          <cell r="P801">
            <v>127</v>
          </cell>
        </row>
        <row r="802">
          <cell r="A802" t="str">
            <v>MHT-TPA</v>
          </cell>
          <cell r="C802">
            <v>7</v>
          </cell>
          <cell r="E802">
            <v>7</v>
          </cell>
          <cell r="G802">
            <v>14</v>
          </cell>
          <cell r="I802">
            <v>14</v>
          </cell>
          <cell r="K802">
            <v>14</v>
          </cell>
          <cell r="M802">
            <v>8</v>
          </cell>
          <cell r="O802">
            <v>8</v>
          </cell>
          <cell r="P802">
            <v>72</v>
          </cell>
        </row>
        <row r="803">
          <cell r="A803" t="str">
            <v>MKE-ATL</v>
          </cell>
          <cell r="B803">
            <v>29</v>
          </cell>
          <cell r="D803">
            <v>30</v>
          </cell>
          <cell r="F803">
            <v>29</v>
          </cell>
          <cell r="H803">
            <v>34</v>
          </cell>
          <cell r="J803">
            <v>34</v>
          </cell>
          <cell r="L803">
            <v>34</v>
          </cell>
          <cell r="N803">
            <v>34</v>
          </cell>
          <cell r="P803">
            <v>224</v>
          </cell>
        </row>
        <row r="804">
          <cell r="A804" t="str">
            <v>MKE-BOS</v>
          </cell>
          <cell r="C804">
            <v>13</v>
          </cell>
          <cell r="E804">
            <v>9</v>
          </cell>
          <cell r="G804">
            <v>12</v>
          </cell>
          <cell r="H804">
            <v>7</v>
          </cell>
          <cell r="I804">
            <v>13</v>
          </cell>
          <cell r="J804">
            <v>7</v>
          </cell>
          <cell r="K804">
            <v>13</v>
          </cell>
          <cell r="M804">
            <v>19</v>
          </cell>
          <cell r="O804">
            <v>19</v>
          </cell>
          <cell r="P804">
            <v>112</v>
          </cell>
        </row>
        <row r="805">
          <cell r="A805" t="str">
            <v>MKE-BWI</v>
          </cell>
          <cell r="C805">
            <v>19</v>
          </cell>
          <cell r="E805">
            <v>19</v>
          </cell>
          <cell r="G805">
            <v>19</v>
          </cell>
          <cell r="I805">
            <v>19</v>
          </cell>
          <cell r="K805">
            <v>19</v>
          </cell>
          <cell r="M805">
            <v>21</v>
          </cell>
          <cell r="O805">
            <v>21</v>
          </cell>
          <cell r="P805">
            <v>137</v>
          </cell>
        </row>
        <row r="806">
          <cell r="A806" t="str">
            <v>MKE-CUN</v>
          </cell>
          <cell r="B806">
            <v>1</v>
          </cell>
          <cell r="D806">
            <v>1</v>
          </cell>
          <cell r="F806">
            <v>1</v>
          </cell>
          <cell r="H806">
            <v>1</v>
          </cell>
          <cell r="J806">
            <v>1</v>
          </cell>
          <cell r="L806">
            <v>1</v>
          </cell>
          <cell r="N806">
            <v>1</v>
          </cell>
          <cell r="P806">
            <v>7</v>
          </cell>
        </row>
        <row r="807">
          <cell r="A807" t="str">
            <v>MKE-DCA</v>
          </cell>
          <cell r="B807">
            <v>27</v>
          </cell>
          <cell r="D807">
            <v>27</v>
          </cell>
          <cell r="F807">
            <v>27</v>
          </cell>
          <cell r="H807">
            <v>27</v>
          </cell>
          <cell r="J807">
            <v>27</v>
          </cell>
          <cell r="L807">
            <v>28</v>
          </cell>
          <cell r="N807">
            <v>28</v>
          </cell>
          <cell r="P807">
            <v>191</v>
          </cell>
        </row>
        <row r="808">
          <cell r="A808" t="str">
            <v>MKE-DEN</v>
          </cell>
          <cell r="C808">
            <v>18</v>
          </cell>
          <cell r="E808">
            <v>18</v>
          </cell>
          <cell r="G808">
            <v>14</v>
          </cell>
          <cell r="I808">
            <v>13</v>
          </cell>
          <cell r="K808">
            <v>13</v>
          </cell>
          <cell r="M808">
            <v>14</v>
          </cell>
          <cell r="O808">
            <v>14</v>
          </cell>
          <cell r="P808">
            <v>104</v>
          </cell>
        </row>
        <row r="809">
          <cell r="A809" t="str">
            <v>MKE-FLL</v>
          </cell>
          <cell r="C809">
            <v>7</v>
          </cell>
          <cell r="E809">
            <v>7</v>
          </cell>
          <cell r="G809">
            <v>7</v>
          </cell>
          <cell r="I809">
            <v>7</v>
          </cell>
          <cell r="K809">
            <v>7</v>
          </cell>
          <cell r="L809">
            <v>7</v>
          </cell>
          <cell r="N809">
            <v>7</v>
          </cell>
          <cell r="P809">
            <v>49</v>
          </cell>
        </row>
        <row r="810">
          <cell r="A810" t="str">
            <v>MKE-LAS</v>
          </cell>
          <cell r="C810">
            <v>19</v>
          </cell>
          <cell r="E810">
            <v>19</v>
          </cell>
          <cell r="G810">
            <v>21</v>
          </cell>
          <cell r="I810">
            <v>21</v>
          </cell>
          <cell r="K810">
            <v>21</v>
          </cell>
          <cell r="M810">
            <v>26</v>
          </cell>
          <cell r="O810">
            <v>26</v>
          </cell>
          <cell r="P810">
            <v>153</v>
          </cell>
        </row>
        <row r="811">
          <cell r="A811" t="str">
            <v>MKE-LAX</v>
          </cell>
          <cell r="C811">
            <v>7</v>
          </cell>
          <cell r="E811">
            <v>7</v>
          </cell>
          <cell r="G811">
            <v>7</v>
          </cell>
          <cell r="I811">
            <v>7</v>
          </cell>
          <cell r="K811">
            <v>7</v>
          </cell>
          <cell r="M811">
            <v>13</v>
          </cell>
          <cell r="O811">
            <v>13</v>
          </cell>
          <cell r="P811">
            <v>61</v>
          </cell>
        </row>
        <row r="812">
          <cell r="A812" t="str">
            <v>MKE-LGA</v>
          </cell>
          <cell r="B812">
            <v>6</v>
          </cell>
          <cell r="C812">
            <v>25</v>
          </cell>
          <cell r="D812">
            <v>6</v>
          </cell>
          <cell r="E812">
            <v>24</v>
          </cell>
          <cell r="G812">
            <v>25</v>
          </cell>
          <cell r="I812">
            <v>26</v>
          </cell>
          <cell r="K812">
            <v>26</v>
          </cell>
          <cell r="M812">
            <v>27</v>
          </cell>
          <cell r="O812">
            <v>27</v>
          </cell>
          <cell r="P812">
            <v>192</v>
          </cell>
        </row>
        <row r="813">
          <cell r="A813" t="str">
            <v>MKE-MCI</v>
          </cell>
          <cell r="C813">
            <v>12</v>
          </cell>
          <cell r="E813">
            <v>12</v>
          </cell>
          <cell r="G813">
            <v>13</v>
          </cell>
          <cell r="I813">
            <v>13</v>
          </cell>
          <cell r="K813">
            <v>13</v>
          </cell>
          <cell r="M813">
            <v>14</v>
          </cell>
          <cell r="O813">
            <v>14</v>
          </cell>
          <cell r="P813">
            <v>91</v>
          </cell>
        </row>
        <row r="814">
          <cell r="A814" t="str">
            <v>MKE-MCO</v>
          </cell>
          <cell r="B814">
            <v>15</v>
          </cell>
          <cell r="C814">
            <v>7</v>
          </cell>
          <cell r="D814">
            <v>15</v>
          </cell>
          <cell r="E814">
            <v>7</v>
          </cell>
          <cell r="F814">
            <v>31</v>
          </cell>
          <cell r="G814">
            <v>9</v>
          </cell>
          <cell r="H814">
            <v>20</v>
          </cell>
          <cell r="I814">
            <v>7</v>
          </cell>
          <cell r="J814">
            <v>20</v>
          </cell>
          <cell r="K814">
            <v>7</v>
          </cell>
          <cell r="L814">
            <v>20</v>
          </cell>
          <cell r="M814">
            <v>8</v>
          </cell>
          <cell r="N814">
            <v>20</v>
          </cell>
          <cell r="O814">
            <v>8</v>
          </cell>
          <cell r="P814">
            <v>194</v>
          </cell>
        </row>
        <row r="815">
          <cell r="A815" t="str">
            <v>MKE-MSP</v>
          </cell>
          <cell r="C815">
            <v>19</v>
          </cell>
          <cell r="E815">
            <v>19</v>
          </cell>
          <cell r="G815">
            <v>19</v>
          </cell>
          <cell r="I815">
            <v>20</v>
          </cell>
          <cell r="K815">
            <v>20</v>
          </cell>
          <cell r="M815">
            <v>20</v>
          </cell>
          <cell r="O815">
            <v>20</v>
          </cell>
          <cell r="P815">
            <v>137</v>
          </cell>
        </row>
        <row r="816">
          <cell r="A816" t="str">
            <v>MKE-MSY</v>
          </cell>
          <cell r="C816">
            <v>7</v>
          </cell>
          <cell r="E816">
            <v>7</v>
          </cell>
          <cell r="G816">
            <v>7</v>
          </cell>
          <cell r="I816">
            <v>7</v>
          </cell>
          <cell r="K816">
            <v>7</v>
          </cell>
          <cell r="M816">
            <v>7</v>
          </cell>
          <cell r="O816">
            <v>7</v>
          </cell>
          <cell r="P816">
            <v>49</v>
          </cell>
        </row>
        <row r="817">
          <cell r="A817" t="str">
            <v>MKE-PHX</v>
          </cell>
          <cell r="C817">
            <v>19</v>
          </cell>
          <cell r="E817">
            <v>19</v>
          </cell>
          <cell r="G817">
            <v>21</v>
          </cell>
          <cell r="I817">
            <v>19</v>
          </cell>
          <cell r="K817">
            <v>19</v>
          </cell>
          <cell r="M817">
            <v>14</v>
          </cell>
          <cell r="O817">
            <v>14</v>
          </cell>
          <cell r="P817">
            <v>125</v>
          </cell>
        </row>
        <row r="818">
          <cell r="A818" t="str">
            <v>MKE-RSW</v>
          </cell>
          <cell r="B818">
            <v>14</v>
          </cell>
          <cell r="D818">
            <v>14</v>
          </cell>
          <cell r="F818">
            <v>28</v>
          </cell>
          <cell r="H818">
            <v>14</v>
          </cell>
          <cell r="J818">
            <v>14</v>
          </cell>
          <cell r="L818">
            <v>8</v>
          </cell>
          <cell r="N818">
            <v>8</v>
          </cell>
          <cell r="P818">
            <v>100</v>
          </cell>
        </row>
        <row r="819">
          <cell r="A819" t="str">
            <v>MKE-SEA</v>
          </cell>
          <cell r="C819">
            <v>6</v>
          </cell>
          <cell r="E819">
            <v>6</v>
          </cell>
          <cell r="G819">
            <v>7</v>
          </cell>
          <cell r="I819">
            <v>7</v>
          </cell>
          <cell r="K819">
            <v>7</v>
          </cell>
          <cell r="M819">
            <v>7</v>
          </cell>
          <cell r="O819">
            <v>7</v>
          </cell>
          <cell r="P819">
            <v>47</v>
          </cell>
        </row>
        <row r="820">
          <cell r="A820" t="str">
            <v>MKE-SFO</v>
          </cell>
          <cell r="C820">
            <v>6</v>
          </cell>
          <cell r="E820">
            <v>6</v>
          </cell>
          <cell r="G820">
            <v>7</v>
          </cell>
          <cell r="I820">
            <v>7</v>
          </cell>
          <cell r="K820">
            <v>7</v>
          </cell>
          <cell r="M820">
            <v>14</v>
          </cell>
          <cell r="O820">
            <v>14</v>
          </cell>
          <cell r="P820">
            <v>61</v>
          </cell>
        </row>
        <row r="821">
          <cell r="A821" t="str">
            <v>MKE-STL</v>
          </cell>
          <cell r="C821">
            <v>11</v>
          </cell>
          <cell r="E821">
            <v>11</v>
          </cell>
          <cell r="G821">
            <v>13</v>
          </cell>
          <cell r="I821">
            <v>13</v>
          </cell>
          <cell r="K821">
            <v>13</v>
          </cell>
          <cell r="M821">
            <v>13</v>
          </cell>
          <cell r="O821">
            <v>13</v>
          </cell>
          <cell r="P821">
            <v>87</v>
          </cell>
        </row>
        <row r="822">
          <cell r="A822" t="str">
            <v>MKE-TPA</v>
          </cell>
          <cell r="B822">
            <v>7</v>
          </cell>
          <cell r="C822">
            <v>7</v>
          </cell>
          <cell r="D822">
            <v>7</v>
          </cell>
          <cell r="E822">
            <v>7</v>
          </cell>
          <cell r="F822">
            <v>15</v>
          </cell>
          <cell r="G822">
            <v>9</v>
          </cell>
          <cell r="H822">
            <v>7</v>
          </cell>
          <cell r="I822">
            <v>7</v>
          </cell>
          <cell r="J822">
            <v>7</v>
          </cell>
          <cell r="K822">
            <v>7</v>
          </cell>
          <cell r="L822">
            <v>7</v>
          </cell>
          <cell r="M822">
            <v>7</v>
          </cell>
          <cell r="N822">
            <v>7</v>
          </cell>
          <cell r="O822">
            <v>7</v>
          </cell>
          <cell r="P822">
            <v>108</v>
          </cell>
        </row>
        <row r="823">
          <cell r="A823" t="str">
            <v>MSP-ATL</v>
          </cell>
          <cell r="B823">
            <v>28</v>
          </cell>
          <cell r="D823">
            <v>28</v>
          </cell>
          <cell r="F823">
            <v>31</v>
          </cell>
          <cell r="H823">
            <v>27</v>
          </cell>
          <cell r="J823">
            <v>27</v>
          </cell>
          <cell r="L823">
            <v>28</v>
          </cell>
          <cell r="N823">
            <v>28</v>
          </cell>
          <cell r="P823">
            <v>197</v>
          </cell>
        </row>
        <row r="824">
          <cell r="A824" t="str">
            <v>MSP-DEN</v>
          </cell>
          <cell r="C824">
            <v>27</v>
          </cell>
          <cell r="E824">
            <v>27</v>
          </cell>
          <cell r="G824">
            <v>27</v>
          </cell>
          <cell r="I824">
            <v>27</v>
          </cell>
          <cell r="K824">
            <v>27</v>
          </cell>
          <cell r="M824">
            <v>27</v>
          </cell>
          <cell r="O824">
            <v>27</v>
          </cell>
          <cell r="P824">
            <v>189</v>
          </cell>
        </row>
        <row r="825">
          <cell r="A825" t="str">
            <v>MSP-MCI</v>
          </cell>
          <cell r="G825">
            <v>12</v>
          </cell>
          <cell r="I825">
            <v>14</v>
          </cell>
          <cell r="K825">
            <v>14</v>
          </cell>
          <cell r="M825">
            <v>14</v>
          </cell>
          <cell r="O825">
            <v>14</v>
          </cell>
          <cell r="P825">
            <v>68</v>
          </cell>
        </row>
        <row r="826">
          <cell r="A826" t="str">
            <v>MSP-MCO</v>
          </cell>
          <cell r="C826">
            <v>7</v>
          </cell>
          <cell r="E826">
            <v>7</v>
          </cell>
          <cell r="G826">
            <v>7</v>
          </cell>
          <cell r="H826">
            <v>7</v>
          </cell>
          <cell r="J826">
            <v>7</v>
          </cell>
          <cell r="L826">
            <v>7</v>
          </cell>
          <cell r="N826">
            <v>7</v>
          </cell>
          <cell r="P826">
            <v>49</v>
          </cell>
        </row>
        <row r="827">
          <cell r="A827" t="str">
            <v>MSP-MDW</v>
          </cell>
          <cell r="C827">
            <v>46</v>
          </cell>
          <cell r="E827">
            <v>46</v>
          </cell>
          <cell r="G827">
            <v>53</v>
          </cell>
          <cell r="I827">
            <v>50</v>
          </cell>
          <cell r="K827">
            <v>50</v>
          </cell>
          <cell r="M827">
            <v>52</v>
          </cell>
          <cell r="O827">
            <v>52</v>
          </cell>
          <cell r="P827">
            <v>349</v>
          </cell>
        </row>
        <row r="828">
          <cell r="A828" t="str">
            <v>MSP-MKE</v>
          </cell>
          <cell r="C828">
            <v>19</v>
          </cell>
          <cell r="E828">
            <v>19</v>
          </cell>
          <cell r="G828">
            <v>19</v>
          </cell>
          <cell r="I828">
            <v>20</v>
          </cell>
          <cell r="K828">
            <v>20</v>
          </cell>
          <cell r="M828">
            <v>20</v>
          </cell>
          <cell r="O828">
            <v>20</v>
          </cell>
          <cell r="P828">
            <v>137</v>
          </cell>
        </row>
        <row r="829">
          <cell r="A829" t="str">
            <v>MSP-PHX</v>
          </cell>
          <cell r="C829">
            <v>13</v>
          </cell>
          <cell r="E829">
            <v>13</v>
          </cell>
          <cell r="G829">
            <v>13</v>
          </cell>
          <cell r="I829">
            <v>13</v>
          </cell>
          <cell r="K829">
            <v>13</v>
          </cell>
          <cell r="M829">
            <v>14</v>
          </cell>
          <cell r="O829">
            <v>14</v>
          </cell>
          <cell r="P829">
            <v>93</v>
          </cell>
        </row>
        <row r="830">
          <cell r="A830" t="str">
            <v>MSP-STL</v>
          </cell>
          <cell r="C830">
            <v>12</v>
          </cell>
          <cell r="E830">
            <v>12</v>
          </cell>
          <cell r="G830">
            <v>20</v>
          </cell>
          <cell r="I830">
            <v>20</v>
          </cell>
          <cell r="K830">
            <v>20</v>
          </cell>
          <cell r="M830">
            <v>20</v>
          </cell>
          <cell r="O830">
            <v>20</v>
          </cell>
          <cell r="P830">
            <v>124</v>
          </cell>
        </row>
        <row r="831">
          <cell r="A831" t="str">
            <v>MSY-ATL</v>
          </cell>
          <cell r="B831">
            <v>27</v>
          </cell>
          <cell r="D831">
            <v>27</v>
          </cell>
          <cell r="F831">
            <v>28</v>
          </cell>
          <cell r="H831">
            <v>27</v>
          </cell>
          <cell r="J831">
            <v>27</v>
          </cell>
          <cell r="L831">
            <v>27</v>
          </cell>
          <cell r="N831">
            <v>27</v>
          </cell>
          <cell r="P831">
            <v>190</v>
          </cell>
        </row>
        <row r="832">
          <cell r="A832" t="str">
            <v>MSY-BHM</v>
          </cell>
          <cell r="C832">
            <v>13</v>
          </cell>
          <cell r="E832">
            <v>13</v>
          </cell>
          <cell r="G832">
            <v>13</v>
          </cell>
          <cell r="I832">
            <v>13</v>
          </cell>
          <cell r="K832">
            <v>13</v>
          </cell>
          <cell r="P832">
            <v>65</v>
          </cell>
        </row>
        <row r="833">
          <cell r="A833" t="str">
            <v>MSY-BNA</v>
          </cell>
          <cell r="C833">
            <v>26</v>
          </cell>
          <cell r="E833">
            <v>26</v>
          </cell>
          <cell r="G833">
            <v>26</v>
          </cell>
          <cell r="I833">
            <v>26</v>
          </cell>
          <cell r="K833">
            <v>26</v>
          </cell>
          <cell r="M833">
            <v>26</v>
          </cell>
          <cell r="O833">
            <v>26</v>
          </cell>
          <cell r="P833">
            <v>182</v>
          </cell>
        </row>
        <row r="834">
          <cell r="A834" t="str">
            <v>MSY-BWI</v>
          </cell>
          <cell r="C834">
            <v>14</v>
          </cell>
          <cell r="E834">
            <v>14</v>
          </cell>
          <cell r="G834">
            <v>20</v>
          </cell>
          <cell r="I834">
            <v>20</v>
          </cell>
          <cell r="K834">
            <v>20</v>
          </cell>
          <cell r="M834">
            <v>22</v>
          </cell>
          <cell r="O834">
            <v>22</v>
          </cell>
          <cell r="P834">
            <v>132</v>
          </cell>
        </row>
        <row r="835">
          <cell r="A835" t="str">
            <v>MSY-DAL</v>
          </cell>
          <cell r="C835">
            <v>52</v>
          </cell>
          <cell r="E835">
            <v>52</v>
          </cell>
          <cell r="G835">
            <v>53</v>
          </cell>
          <cell r="I835">
            <v>53</v>
          </cell>
          <cell r="K835">
            <v>53</v>
          </cell>
          <cell r="M835">
            <v>53</v>
          </cell>
          <cell r="O835">
            <v>53</v>
          </cell>
          <cell r="P835">
            <v>369</v>
          </cell>
        </row>
        <row r="836">
          <cell r="A836" t="str">
            <v>MSY-DEN</v>
          </cell>
          <cell r="C836">
            <v>14</v>
          </cell>
          <cell r="E836">
            <v>14</v>
          </cell>
          <cell r="G836">
            <v>14</v>
          </cell>
          <cell r="I836">
            <v>13</v>
          </cell>
          <cell r="K836">
            <v>13</v>
          </cell>
          <cell r="M836">
            <v>14</v>
          </cell>
          <cell r="O836">
            <v>14</v>
          </cell>
          <cell r="P836">
            <v>96</v>
          </cell>
        </row>
        <row r="837">
          <cell r="A837" t="str">
            <v>MSY-EWR</v>
          </cell>
          <cell r="G837">
            <v>7</v>
          </cell>
          <cell r="I837">
            <v>7</v>
          </cell>
          <cell r="K837">
            <v>7</v>
          </cell>
          <cell r="M837">
            <v>7</v>
          </cell>
          <cell r="O837">
            <v>7</v>
          </cell>
          <cell r="P837">
            <v>35</v>
          </cell>
        </row>
        <row r="838">
          <cell r="A838" t="str">
            <v>MSY-EYW</v>
          </cell>
          <cell r="G838">
            <v>7</v>
          </cell>
          <cell r="I838">
            <v>7</v>
          </cell>
          <cell r="K838">
            <v>7</v>
          </cell>
          <cell r="M838">
            <v>7</v>
          </cell>
          <cell r="O838">
            <v>7</v>
          </cell>
          <cell r="P838">
            <v>35</v>
          </cell>
        </row>
        <row r="839">
          <cell r="A839" t="str">
            <v>MSY-FLL</v>
          </cell>
          <cell r="C839">
            <v>20</v>
          </cell>
          <cell r="E839">
            <v>20</v>
          </cell>
          <cell r="G839">
            <v>19</v>
          </cell>
          <cell r="I839">
            <v>19</v>
          </cell>
          <cell r="K839">
            <v>19</v>
          </cell>
          <cell r="M839">
            <v>20</v>
          </cell>
          <cell r="O839">
            <v>20</v>
          </cell>
          <cell r="P839">
            <v>137</v>
          </cell>
        </row>
        <row r="840">
          <cell r="A840" t="str">
            <v>MSY-HOU</v>
          </cell>
          <cell r="C840">
            <v>65</v>
          </cell>
          <cell r="E840">
            <v>65</v>
          </cell>
          <cell r="G840">
            <v>66</v>
          </cell>
          <cell r="I840">
            <v>66</v>
          </cell>
          <cell r="K840">
            <v>66</v>
          </cell>
          <cell r="M840">
            <v>65</v>
          </cell>
          <cell r="O840">
            <v>65</v>
          </cell>
          <cell r="P840">
            <v>458</v>
          </cell>
        </row>
        <row r="841">
          <cell r="A841" t="str">
            <v>MSY-LAS</v>
          </cell>
          <cell r="C841">
            <v>7</v>
          </cell>
          <cell r="E841">
            <v>7</v>
          </cell>
          <cell r="G841">
            <v>14</v>
          </cell>
          <cell r="I841">
            <v>14</v>
          </cell>
          <cell r="K841">
            <v>14</v>
          </cell>
          <cell r="M841">
            <v>14</v>
          </cell>
          <cell r="O841">
            <v>14</v>
          </cell>
          <cell r="P841">
            <v>84</v>
          </cell>
        </row>
        <row r="842">
          <cell r="A842" t="str">
            <v>MSY-LAX</v>
          </cell>
          <cell r="C842">
            <v>7</v>
          </cell>
          <cell r="E842">
            <v>7</v>
          </cell>
          <cell r="G842">
            <v>7</v>
          </cell>
          <cell r="I842">
            <v>7</v>
          </cell>
          <cell r="K842">
            <v>7</v>
          </cell>
          <cell r="M842">
            <v>7</v>
          </cell>
          <cell r="O842">
            <v>7</v>
          </cell>
          <cell r="P842">
            <v>49</v>
          </cell>
        </row>
        <row r="843">
          <cell r="A843" t="str">
            <v>MSY-MCI</v>
          </cell>
          <cell r="C843">
            <v>7</v>
          </cell>
          <cell r="E843">
            <v>7</v>
          </cell>
          <cell r="G843">
            <v>7</v>
          </cell>
          <cell r="I843">
            <v>7</v>
          </cell>
          <cell r="K843">
            <v>7</v>
          </cell>
          <cell r="M843">
            <v>7</v>
          </cell>
          <cell r="O843">
            <v>7</v>
          </cell>
          <cell r="P843">
            <v>49</v>
          </cell>
        </row>
        <row r="844">
          <cell r="A844" t="str">
            <v>MSY-MCO</v>
          </cell>
          <cell r="C844">
            <v>28</v>
          </cell>
          <cell r="E844">
            <v>28</v>
          </cell>
          <cell r="F844">
            <v>7</v>
          </cell>
          <cell r="G844">
            <v>28</v>
          </cell>
          <cell r="H844">
            <v>7</v>
          </cell>
          <cell r="I844">
            <v>28</v>
          </cell>
          <cell r="J844">
            <v>7</v>
          </cell>
          <cell r="K844">
            <v>28</v>
          </cell>
          <cell r="L844">
            <v>7</v>
          </cell>
          <cell r="M844">
            <v>28</v>
          </cell>
          <cell r="N844">
            <v>7</v>
          </cell>
          <cell r="O844">
            <v>28</v>
          </cell>
          <cell r="P844">
            <v>231</v>
          </cell>
        </row>
        <row r="845">
          <cell r="A845" t="str">
            <v>MSY-MDW</v>
          </cell>
          <cell r="C845">
            <v>8</v>
          </cell>
          <cell r="E845">
            <v>8</v>
          </cell>
          <cell r="G845">
            <v>13</v>
          </cell>
          <cell r="I845">
            <v>14</v>
          </cell>
          <cell r="K845">
            <v>14</v>
          </cell>
          <cell r="M845">
            <v>20</v>
          </cell>
          <cell r="O845">
            <v>20</v>
          </cell>
          <cell r="P845">
            <v>97</v>
          </cell>
        </row>
        <row r="846">
          <cell r="A846" t="str">
            <v>MSY-MKE</v>
          </cell>
          <cell r="C846">
            <v>7</v>
          </cell>
          <cell r="E846">
            <v>7</v>
          </cell>
          <cell r="G846">
            <v>7</v>
          </cell>
          <cell r="I846">
            <v>7</v>
          </cell>
          <cell r="K846">
            <v>7</v>
          </cell>
          <cell r="M846">
            <v>7</v>
          </cell>
          <cell r="O846">
            <v>7</v>
          </cell>
          <cell r="P846">
            <v>49</v>
          </cell>
        </row>
        <row r="847">
          <cell r="A847" t="str">
            <v>MSY-PHX</v>
          </cell>
          <cell r="C847">
            <v>7</v>
          </cell>
          <cell r="E847">
            <v>7</v>
          </cell>
          <cell r="G847">
            <v>7</v>
          </cell>
          <cell r="I847">
            <v>7</v>
          </cell>
          <cell r="K847">
            <v>7</v>
          </cell>
          <cell r="M847">
            <v>7</v>
          </cell>
          <cell r="O847">
            <v>7</v>
          </cell>
          <cell r="P847">
            <v>49</v>
          </cell>
        </row>
        <row r="848">
          <cell r="A848" t="str">
            <v>MSY-STL</v>
          </cell>
          <cell r="C848">
            <v>12</v>
          </cell>
          <cell r="E848">
            <v>12</v>
          </cell>
          <cell r="G848">
            <v>12</v>
          </cell>
          <cell r="I848">
            <v>12</v>
          </cell>
          <cell r="K848">
            <v>12</v>
          </cell>
          <cell r="M848">
            <v>13</v>
          </cell>
          <cell r="O848">
            <v>13</v>
          </cell>
          <cell r="P848">
            <v>86</v>
          </cell>
        </row>
        <row r="849">
          <cell r="A849" t="str">
            <v>MSY-TPA</v>
          </cell>
          <cell r="C849">
            <v>20</v>
          </cell>
          <cell r="E849">
            <v>20</v>
          </cell>
          <cell r="G849">
            <v>27</v>
          </cell>
          <cell r="I849">
            <v>25</v>
          </cell>
          <cell r="K849">
            <v>25</v>
          </cell>
          <cell r="M849">
            <v>27</v>
          </cell>
          <cell r="O849">
            <v>27</v>
          </cell>
          <cell r="P849">
            <v>171</v>
          </cell>
        </row>
        <row r="850">
          <cell r="A850" t="str">
            <v>NAS-ATL</v>
          </cell>
          <cell r="B850">
            <v>5</v>
          </cell>
          <cell r="D850">
            <v>5</v>
          </cell>
          <cell r="F850">
            <v>7</v>
          </cell>
          <cell r="H850">
            <v>7</v>
          </cell>
          <cell r="J850">
            <v>7</v>
          </cell>
          <cell r="L850">
            <v>7</v>
          </cell>
          <cell r="N850">
            <v>7</v>
          </cell>
          <cell r="P850">
            <v>45</v>
          </cell>
        </row>
        <row r="851">
          <cell r="A851" t="str">
            <v>NAS-BWI</v>
          </cell>
          <cell r="B851">
            <v>7</v>
          </cell>
          <cell r="D851">
            <v>7</v>
          </cell>
          <cell r="F851">
            <v>7</v>
          </cell>
          <cell r="H851">
            <v>7</v>
          </cell>
          <cell r="J851">
            <v>7</v>
          </cell>
          <cell r="L851">
            <v>7</v>
          </cell>
          <cell r="N851">
            <v>7</v>
          </cell>
          <cell r="P851">
            <v>49</v>
          </cell>
        </row>
        <row r="852">
          <cell r="A852" t="str">
            <v>OAK-ABQ</v>
          </cell>
          <cell r="C852">
            <v>12</v>
          </cell>
          <cell r="E852">
            <v>12</v>
          </cell>
          <cell r="G852">
            <v>14</v>
          </cell>
          <cell r="I852">
            <v>19</v>
          </cell>
          <cell r="K852">
            <v>19</v>
          </cell>
          <cell r="M852">
            <v>20</v>
          </cell>
          <cell r="O852">
            <v>20</v>
          </cell>
          <cell r="P852">
            <v>116</v>
          </cell>
        </row>
        <row r="853">
          <cell r="A853" t="str">
            <v>OAK-AUS</v>
          </cell>
          <cell r="C853">
            <v>6</v>
          </cell>
          <cell r="E853">
            <v>6</v>
          </cell>
          <cell r="G853">
            <v>7</v>
          </cell>
          <cell r="I853">
            <v>6</v>
          </cell>
          <cell r="K853">
            <v>6</v>
          </cell>
          <cell r="M853">
            <v>7</v>
          </cell>
          <cell r="O853">
            <v>7</v>
          </cell>
          <cell r="P853">
            <v>45</v>
          </cell>
        </row>
        <row r="854">
          <cell r="A854" t="str">
            <v>OAK-BOI</v>
          </cell>
          <cell r="C854">
            <v>13</v>
          </cell>
          <cell r="E854">
            <v>13</v>
          </cell>
          <cell r="G854">
            <v>13</v>
          </cell>
          <cell r="I854">
            <v>13</v>
          </cell>
          <cell r="K854">
            <v>13</v>
          </cell>
          <cell r="M854">
            <v>14</v>
          </cell>
          <cell r="O854">
            <v>14</v>
          </cell>
          <cell r="P854">
            <v>93</v>
          </cell>
        </row>
        <row r="855">
          <cell r="A855" t="str">
            <v>OAK-BUR</v>
          </cell>
          <cell r="C855">
            <v>89</v>
          </cell>
          <cell r="E855">
            <v>89</v>
          </cell>
          <cell r="G855">
            <v>91</v>
          </cell>
          <cell r="I855">
            <v>91</v>
          </cell>
          <cell r="K855">
            <v>91</v>
          </cell>
          <cell r="M855">
            <v>91</v>
          </cell>
          <cell r="O855">
            <v>91</v>
          </cell>
          <cell r="P855">
            <v>633</v>
          </cell>
        </row>
        <row r="856">
          <cell r="A856" t="str">
            <v>OAK-DEN</v>
          </cell>
          <cell r="C856">
            <v>24</v>
          </cell>
          <cell r="E856">
            <v>25</v>
          </cell>
          <cell r="G856">
            <v>26</v>
          </cell>
          <cell r="I856">
            <v>26</v>
          </cell>
          <cell r="K856">
            <v>26</v>
          </cell>
          <cell r="M856">
            <v>27</v>
          </cell>
          <cell r="O856">
            <v>27</v>
          </cell>
          <cell r="P856">
            <v>181</v>
          </cell>
        </row>
        <row r="857">
          <cell r="A857" t="str">
            <v>OAK-GEG</v>
          </cell>
          <cell r="C857">
            <v>12</v>
          </cell>
          <cell r="E857">
            <v>12</v>
          </cell>
          <cell r="G857">
            <v>13</v>
          </cell>
          <cell r="I857">
            <v>13</v>
          </cell>
          <cell r="K857">
            <v>13</v>
          </cell>
          <cell r="M857">
            <v>14</v>
          </cell>
          <cell r="O857">
            <v>14</v>
          </cell>
          <cell r="P857">
            <v>91</v>
          </cell>
        </row>
        <row r="858">
          <cell r="A858" t="str">
            <v>OAK-HOU</v>
          </cell>
          <cell r="C858">
            <v>12</v>
          </cell>
          <cell r="E858">
            <v>12</v>
          </cell>
          <cell r="G858">
            <v>13</v>
          </cell>
          <cell r="I858">
            <v>12</v>
          </cell>
          <cell r="K858">
            <v>12</v>
          </cell>
          <cell r="M858">
            <v>13</v>
          </cell>
          <cell r="O858">
            <v>13</v>
          </cell>
          <cell r="P858">
            <v>87</v>
          </cell>
        </row>
        <row r="859">
          <cell r="A859" t="str">
            <v>OAK-LAS</v>
          </cell>
          <cell r="C859">
            <v>53</v>
          </cell>
          <cell r="E859">
            <v>53</v>
          </cell>
          <cell r="G859">
            <v>54</v>
          </cell>
          <cell r="I859">
            <v>61</v>
          </cell>
          <cell r="K859">
            <v>61</v>
          </cell>
          <cell r="M859">
            <v>61</v>
          </cell>
          <cell r="O859">
            <v>61</v>
          </cell>
          <cell r="P859">
            <v>404</v>
          </cell>
        </row>
        <row r="860">
          <cell r="A860" t="str">
            <v>OAK-LAX</v>
          </cell>
          <cell r="C860">
            <v>80</v>
          </cell>
          <cell r="E860">
            <v>80</v>
          </cell>
          <cell r="G860">
            <v>81</v>
          </cell>
          <cell r="I860">
            <v>80</v>
          </cell>
          <cell r="K860">
            <v>80</v>
          </cell>
          <cell r="M860">
            <v>79</v>
          </cell>
          <cell r="O860">
            <v>79</v>
          </cell>
          <cell r="P860">
            <v>559</v>
          </cell>
        </row>
        <row r="861">
          <cell r="A861" t="str">
            <v>OAK-MCI</v>
          </cell>
          <cell r="I861">
            <v>6</v>
          </cell>
          <cell r="K861">
            <v>6</v>
          </cell>
          <cell r="M861">
            <v>7</v>
          </cell>
          <cell r="O861">
            <v>7</v>
          </cell>
          <cell r="P861">
            <v>26</v>
          </cell>
        </row>
        <row r="862">
          <cell r="A862" t="str">
            <v>OAK-MDW</v>
          </cell>
          <cell r="C862">
            <v>12</v>
          </cell>
          <cell r="E862">
            <v>12</v>
          </cell>
          <cell r="G862">
            <v>14</v>
          </cell>
          <cell r="I862">
            <v>20</v>
          </cell>
          <cell r="K862">
            <v>20</v>
          </cell>
          <cell r="M862">
            <v>27</v>
          </cell>
          <cell r="O862">
            <v>27</v>
          </cell>
          <cell r="P862">
            <v>132</v>
          </cell>
        </row>
        <row r="863">
          <cell r="A863" t="str">
            <v>OAK-ONT</v>
          </cell>
          <cell r="C863">
            <v>46</v>
          </cell>
          <cell r="E863">
            <v>46</v>
          </cell>
          <cell r="G863">
            <v>47</v>
          </cell>
          <cell r="I863">
            <v>48</v>
          </cell>
          <cell r="K863">
            <v>48</v>
          </cell>
          <cell r="M863">
            <v>52</v>
          </cell>
          <cell r="O863">
            <v>52</v>
          </cell>
          <cell r="P863">
            <v>339</v>
          </cell>
        </row>
        <row r="864">
          <cell r="A864" t="str">
            <v>OAK-PDX</v>
          </cell>
          <cell r="C864">
            <v>32</v>
          </cell>
          <cell r="E864">
            <v>32</v>
          </cell>
          <cell r="G864">
            <v>38</v>
          </cell>
          <cell r="I864">
            <v>37</v>
          </cell>
          <cell r="K864">
            <v>37</v>
          </cell>
          <cell r="M864">
            <v>39</v>
          </cell>
          <cell r="O864">
            <v>39</v>
          </cell>
          <cell r="P864">
            <v>254</v>
          </cell>
        </row>
        <row r="865">
          <cell r="A865" t="str">
            <v>OAK-PHX</v>
          </cell>
          <cell r="C865">
            <v>40</v>
          </cell>
          <cell r="E865">
            <v>40</v>
          </cell>
          <cell r="G865">
            <v>40</v>
          </cell>
          <cell r="I865">
            <v>40</v>
          </cell>
          <cell r="K865">
            <v>40</v>
          </cell>
          <cell r="M865">
            <v>41</v>
          </cell>
          <cell r="O865">
            <v>41</v>
          </cell>
          <cell r="P865">
            <v>282</v>
          </cell>
        </row>
        <row r="866">
          <cell r="A866" t="str">
            <v>OAK-RNO</v>
          </cell>
          <cell r="C866">
            <v>13</v>
          </cell>
          <cell r="E866">
            <v>13</v>
          </cell>
          <cell r="G866">
            <v>14</v>
          </cell>
          <cell r="I866">
            <v>14</v>
          </cell>
          <cell r="K866">
            <v>14</v>
          </cell>
          <cell r="P866">
            <v>68</v>
          </cell>
        </row>
        <row r="867">
          <cell r="A867" t="str">
            <v>OAK-SAN</v>
          </cell>
          <cell r="C867">
            <v>73</v>
          </cell>
          <cell r="E867">
            <v>73</v>
          </cell>
          <cell r="G867">
            <v>79</v>
          </cell>
          <cell r="I867">
            <v>79</v>
          </cell>
          <cell r="K867">
            <v>79</v>
          </cell>
          <cell r="M867">
            <v>82</v>
          </cell>
          <cell r="O867">
            <v>82</v>
          </cell>
          <cell r="P867">
            <v>547</v>
          </cell>
        </row>
        <row r="868">
          <cell r="A868" t="str">
            <v>OAK-SEA</v>
          </cell>
          <cell r="C868">
            <v>32</v>
          </cell>
          <cell r="E868">
            <v>32</v>
          </cell>
          <cell r="G868">
            <v>39</v>
          </cell>
          <cell r="I868">
            <v>39</v>
          </cell>
          <cell r="K868">
            <v>39</v>
          </cell>
          <cell r="M868">
            <v>47</v>
          </cell>
          <cell r="O868">
            <v>47</v>
          </cell>
          <cell r="P868">
            <v>275</v>
          </cell>
        </row>
        <row r="869">
          <cell r="A869" t="str">
            <v>OAK-SLC</v>
          </cell>
          <cell r="C869">
            <v>20</v>
          </cell>
          <cell r="E869">
            <v>20</v>
          </cell>
          <cell r="G869">
            <v>25</v>
          </cell>
          <cell r="I869">
            <v>25</v>
          </cell>
          <cell r="K869">
            <v>25</v>
          </cell>
          <cell r="M869">
            <v>25</v>
          </cell>
          <cell r="O869">
            <v>25</v>
          </cell>
          <cell r="P869">
            <v>165</v>
          </cell>
        </row>
        <row r="870">
          <cell r="A870" t="str">
            <v>OAK-SNA</v>
          </cell>
          <cell r="C870">
            <v>52</v>
          </cell>
          <cell r="E870">
            <v>52</v>
          </cell>
          <cell r="G870">
            <v>53</v>
          </cell>
          <cell r="I870">
            <v>53</v>
          </cell>
          <cell r="K870">
            <v>53</v>
          </cell>
          <cell r="M870">
            <v>54</v>
          </cell>
          <cell r="O870">
            <v>54</v>
          </cell>
          <cell r="P870">
            <v>371</v>
          </cell>
        </row>
        <row r="871">
          <cell r="A871" t="str">
            <v>OKC-BWI</v>
          </cell>
          <cell r="C871">
            <v>7</v>
          </cell>
          <cell r="E871">
            <v>7</v>
          </cell>
          <cell r="G871">
            <v>7</v>
          </cell>
          <cell r="I871">
            <v>7</v>
          </cell>
          <cell r="K871">
            <v>7</v>
          </cell>
          <cell r="M871">
            <v>7</v>
          </cell>
          <cell r="O871">
            <v>7</v>
          </cell>
          <cell r="P871">
            <v>49</v>
          </cell>
        </row>
        <row r="872">
          <cell r="A872" t="str">
            <v>OKC-DAL</v>
          </cell>
          <cell r="C872">
            <v>31</v>
          </cell>
          <cell r="E872">
            <v>31</v>
          </cell>
          <cell r="G872">
            <v>32</v>
          </cell>
          <cell r="I872">
            <v>32</v>
          </cell>
          <cell r="K872">
            <v>32</v>
          </cell>
          <cell r="M872">
            <v>26</v>
          </cell>
          <cell r="O872">
            <v>26</v>
          </cell>
          <cell r="P872">
            <v>210</v>
          </cell>
        </row>
        <row r="873">
          <cell r="A873" t="str">
            <v>OKC-DEN</v>
          </cell>
          <cell r="C873">
            <v>20</v>
          </cell>
          <cell r="E873">
            <v>20</v>
          </cell>
          <cell r="G873">
            <v>19</v>
          </cell>
          <cell r="I873">
            <v>19</v>
          </cell>
          <cell r="K873">
            <v>19</v>
          </cell>
          <cell r="M873">
            <v>20</v>
          </cell>
          <cell r="O873">
            <v>20</v>
          </cell>
          <cell r="P873">
            <v>137</v>
          </cell>
        </row>
        <row r="874">
          <cell r="A874" t="str">
            <v>OKC-HOU</v>
          </cell>
          <cell r="C874">
            <v>25</v>
          </cell>
          <cell r="E874">
            <v>24</v>
          </cell>
          <cell r="G874">
            <v>25</v>
          </cell>
          <cell r="I874">
            <v>26</v>
          </cell>
          <cell r="K874">
            <v>26</v>
          </cell>
          <cell r="M874">
            <v>25</v>
          </cell>
          <cell r="O874">
            <v>25</v>
          </cell>
          <cell r="P874">
            <v>176</v>
          </cell>
        </row>
        <row r="875">
          <cell r="A875" t="str">
            <v>OKC-LAS</v>
          </cell>
          <cell r="C875">
            <v>14</v>
          </cell>
          <cell r="E875">
            <v>14</v>
          </cell>
          <cell r="G875">
            <v>14</v>
          </cell>
          <cell r="I875">
            <v>14</v>
          </cell>
          <cell r="K875">
            <v>14</v>
          </cell>
          <cell r="M875">
            <v>14</v>
          </cell>
          <cell r="O875">
            <v>14</v>
          </cell>
          <cell r="P875">
            <v>98</v>
          </cell>
        </row>
        <row r="876">
          <cell r="A876" t="str">
            <v>OKC-MCI</v>
          </cell>
          <cell r="C876">
            <v>13</v>
          </cell>
          <cell r="E876">
            <v>13</v>
          </cell>
          <cell r="G876">
            <v>13</v>
          </cell>
          <cell r="I876">
            <v>13</v>
          </cell>
          <cell r="K876">
            <v>13</v>
          </cell>
          <cell r="M876">
            <v>13</v>
          </cell>
          <cell r="O876">
            <v>13</v>
          </cell>
          <cell r="P876">
            <v>91</v>
          </cell>
        </row>
        <row r="877">
          <cell r="A877" t="str">
            <v>OKC-MCO</v>
          </cell>
          <cell r="G877">
            <v>7</v>
          </cell>
          <cell r="P877">
            <v>7</v>
          </cell>
        </row>
        <row r="878">
          <cell r="A878" t="str">
            <v>OKC-MDW</v>
          </cell>
          <cell r="C878">
            <v>13</v>
          </cell>
          <cell r="E878">
            <v>13</v>
          </cell>
          <cell r="G878">
            <v>13</v>
          </cell>
          <cell r="I878">
            <v>13</v>
          </cell>
          <cell r="K878">
            <v>13</v>
          </cell>
          <cell r="M878">
            <v>12</v>
          </cell>
          <cell r="O878">
            <v>12</v>
          </cell>
          <cell r="P878">
            <v>89</v>
          </cell>
        </row>
        <row r="879">
          <cell r="A879" t="str">
            <v>OKC-PHX</v>
          </cell>
          <cell r="C879">
            <v>13</v>
          </cell>
          <cell r="E879">
            <v>13</v>
          </cell>
          <cell r="G879">
            <v>14</v>
          </cell>
          <cell r="I879">
            <v>13</v>
          </cell>
          <cell r="K879">
            <v>13</v>
          </cell>
          <cell r="M879">
            <v>14</v>
          </cell>
          <cell r="O879">
            <v>14</v>
          </cell>
          <cell r="P879">
            <v>94</v>
          </cell>
        </row>
        <row r="880">
          <cell r="A880" t="str">
            <v>OKC-STL</v>
          </cell>
          <cell r="C880">
            <v>12</v>
          </cell>
          <cell r="E880">
            <v>12</v>
          </cell>
          <cell r="G880">
            <v>13</v>
          </cell>
          <cell r="I880">
            <v>13</v>
          </cell>
          <cell r="K880">
            <v>13</v>
          </cell>
          <cell r="M880">
            <v>13</v>
          </cell>
          <cell r="O880">
            <v>13</v>
          </cell>
          <cell r="P880">
            <v>89</v>
          </cell>
        </row>
        <row r="881">
          <cell r="A881" t="str">
            <v>OMA-DEN</v>
          </cell>
          <cell r="C881">
            <v>20</v>
          </cell>
          <cell r="E881">
            <v>20</v>
          </cell>
          <cell r="G881">
            <v>20</v>
          </cell>
          <cell r="I881">
            <v>20</v>
          </cell>
          <cell r="K881">
            <v>20</v>
          </cell>
          <cell r="M881">
            <v>20</v>
          </cell>
          <cell r="O881">
            <v>20</v>
          </cell>
          <cell r="P881">
            <v>140</v>
          </cell>
        </row>
        <row r="882">
          <cell r="A882" t="str">
            <v>OMA-LAS</v>
          </cell>
          <cell r="C882">
            <v>14</v>
          </cell>
          <cell r="E882">
            <v>14</v>
          </cell>
          <cell r="G882">
            <v>19</v>
          </cell>
          <cell r="I882">
            <v>19</v>
          </cell>
          <cell r="K882">
            <v>19</v>
          </cell>
          <cell r="M882">
            <v>20</v>
          </cell>
          <cell r="O882">
            <v>20</v>
          </cell>
          <cell r="P882">
            <v>125</v>
          </cell>
        </row>
        <row r="883">
          <cell r="A883" t="str">
            <v>OMA-MDW</v>
          </cell>
          <cell r="C883">
            <v>32</v>
          </cell>
          <cell r="E883">
            <v>32</v>
          </cell>
          <cell r="G883">
            <v>39</v>
          </cell>
          <cell r="I883">
            <v>39</v>
          </cell>
          <cell r="K883">
            <v>39</v>
          </cell>
          <cell r="M883">
            <v>41</v>
          </cell>
          <cell r="O883">
            <v>41</v>
          </cell>
          <cell r="P883">
            <v>263</v>
          </cell>
        </row>
        <row r="884">
          <cell r="A884" t="str">
            <v>OMA-PHX</v>
          </cell>
          <cell r="C884">
            <v>14</v>
          </cell>
          <cell r="E884">
            <v>14</v>
          </cell>
          <cell r="G884">
            <v>14</v>
          </cell>
          <cell r="I884">
            <v>14</v>
          </cell>
          <cell r="K884">
            <v>14</v>
          </cell>
          <cell r="M884">
            <v>8</v>
          </cell>
          <cell r="O884">
            <v>8</v>
          </cell>
          <cell r="P884">
            <v>86</v>
          </cell>
        </row>
        <row r="885">
          <cell r="A885" t="str">
            <v>OMA-STL</v>
          </cell>
          <cell r="C885">
            <v>18</v>
          </cell>
          <cell r="E885">
            <v>18</v>
          </cell>
          <cell r="G885">
            <v>20</v>
          </cell>
          <cell r="I885">
            <v>20</v>
          </cell>
          <cell r="K885">
            <v>20</v>
          </cell>
          <cell r="M885">
            <v>20</v>
          </cell>
          <cell r="O885">
            <v>20</v>
          </cell>
          <cell r="P885">
            <v>136</v>
          </cell>
        </row>
        <row r="886">
          <cell r="A886" t="str">
            <v>ONT-DEN</v>
          </cell>
          <cell r="C886">
            <v>13</v>
          </cell>
          <cell r="E886">
            <v>12</v>
          </cell>
          <cell r="G886">
            <v>14</v>
          </cell>
          <cell r="I886">
            <v>13</v>
          </cell>
          <cell r="K886">
            <v>13</v>
          </cell>
          <cell r="M886">
            <v>14</v>
          </cell>
          <cell r="O886">
            <v>14</v>
          </cell>
          <cell r="P886">
            <v>93</v>
          </cell>
        </row>
        <row r="887">
          <cell r="A887" t="str">
            <v>ONT-LAS</v>
          </cell>
          <cell r="C887">
            <v>41</v>
          </cell>
          <cell r="E887">
            <v>41</v>
          </cell>
          <cell r="G887">
            <v>41</v>
          </cell>
          <cell r="I887">
            <v>40</v>
          </cell>
          <cell r="K887">
            <v>40</v>
          </cell>
          <cell r="M887">
            <v>40</v>
          </cell>
          <cell r="O887">
            <v>40</v>
          </cell>
          <cell r="P887">
            <v>283</v>
          </cell>
        </row>
        <row r="888">
          <cell r="A888" t="str">
            <v>ONT-MDW</v>
          </cell>
          <cell r="C888">
            <v>7</v>
          </cell>
          <cell r="E888">
            <v>7</v>
          </cell>
          <cell r="G888">
            <v>7</v>
          </cell>
          <cell r="I888">
            <v>6</v>
          </cell>
          <cell r="K888">
            <v>6</v>
          </cell>
          <cell r="M888">
            <v>7</v>
          </cell>
          <cell r="O888">
            <v>7</v>
          </cell>
          <cell r="P888">
            <v>47</v>
          </cell>
        </row>
        <row r="889">
          <cell r="A889" t="str">
            <v>ONT-OAK</v>
          </cell>
          <cell r="C889">
            <v>45</v>
          </cell>
          <cell r="E889">
            <v>45</v>
          </cell>
          <cell r="G889">
            <v>47</v>
          </cell>
          <cell r="I889">
            <v>46</v>
          </cell>
          <cell r="K889">
            <v>46</v>
          </cell>
          <cell r="M889">
            <v>52</v>
          </cell>
          <cell r="O889">
            <v>52</v>
          </cell>
          <cell r="P889">
            <v>333</v>
          </cell>
        </row>
        <row r="890">
          <cell r="A890" t="str">
            <v>ONT-PHX</v>
          </cell>
          <cell r="C890">
            <v>39</v>
          </cell>
          <cell r="E890">
            <v>39</v>
          </cell>
          <cell r="G890">
            <v>41</v>
          </cell>
          <cell r="I890">
            <v>39</v>
          </cell>
          <cell r="K890">
            <v>39</v>
          </cell>
          <cell r="M890">
            <v>39</v>
          </cell>
          <cell r="O890">
            <v>39</v>
          </cell>
          <cell r="P890">
            <v>275</v>
          </cell>
        </row>
        <row r="891">
          <cell r="A891" t="str">
            <v>ONT-RNO</v>
          </cell>
          <cell r="C891">
            <v>7</v>
          </cell>
          <cell r="E891">
            <v>7</v>
          </cell>
          <cell r="P891">
            <v>14</v>
          </cell>
        </row>
        <row r="892">
          <cell r="A892" t="str">
            <v>ONT-SJC</v>
          </cell>
          <cell r="C892">
            <v>32</v>
          </cell>
          <cell r="E892">
            <v>32</v>
          </cell>
          <cell r="G892">
            <v>33</v>
          </cell>
          <cell r="I892">
            <v>33</v>
          </cell>
          <cell r="K892">
            <v>33</v>
          </cell>
          <cell r="M892">
            <v>32</v>
          </cell>
          <cell r="O892">
            <v>32</v>
          </cell>
          <cell r="P892">
            <v>227</v>
          </cell>
        </row>
        <row r="893">
          <cell r="A893" t="str">
            <v>ONT-SMF</v>
          </cell>
          <cell r="C893">
            <v>51</v>
          </cell>
          <cell r="E893">
            <v>51</v>
          </cell>
          <cell r="G893">
            <v>52</v>
          </cell>
          <cell r="I893">
            <v>51</v>
          </cell>
          <cell r="K893">
            <v>51</v>
          </cell>
          <cell r="M893">
            <v>51</v>
          </cell>
          <cell r="O893">
            <v>51</v>
          </cell>
          <cell r="P893">
            <v>358</v>
          </cell>
        </row>
        <row r="894">
          <cell r="A894" t="str">
            <v>ORF-ATL</v>
          </cell>
          <cell r="C894">
            <v>20</v>
          </cell>
          <cell r="E894">
            <v>19</v>
          </cell>
          <cell r="G894">
            <v>19</v>
          </cell>
          <cell r="I894">
            <v>20</v>
          </cell>
          <cell r="K894">
            <v>20</v>
          </cell>
          <cell r="M894">
            <v>20</v>
          </cell>
          <cell r="O894">
            <v>20</v>
          </cell>
          <cell r="P894">
            <v>138</v>
          </cell>
        </row>
        <row r="895">
          <cell r="A895" t="str">
            <v>ORF-BNA</v>
          </cell>
          <cell r="C895">
            <v>7</v>
          </cell>
          <cell r="E895">
            <v>7</v>
          </cell>
          <cell r="G895">
            <v>7</v>
          </cell>
          <cell r="I895">
            <v>7</v>
          </cell>
          <cell r="K895">
            <v>7</v>
          </cell>
          <cell r="M895">
            <v>7</v>
          </cell>
          <cell r="O895">
            <v>7</v>
          </cell>
          <cell r="P895">
            <v>49</v>
          </cell>
        </row>
        <row r="896">
          <cell r="A896" t="str">
            <v>ORF-BWI</v>
          </cell>
          <cell r="C896">
            <v>26</v>
          </cell>
          <cell r="E896">
            <v>26</v>
          </cell>
          <cell r="G896">
            <v>28</v>
          </cell>
          <cell r="I896">
            <v>35</v>
          </cell>
          <cell r="K896">
            <v>35</v>
          </cell>
          <cell r="M896">
            <v>34</v>
          </cell>
          <cell r="O896">
            <v>34</v>
          </cell>
          <cell r="P896">
            <v>218</v>
          </cell>
        </row>
        <row r="897">
          <cell r="A897" t="str">
            <v>ORF-JAX</v>
          </cell>
          <cell r="C897">
            <v>7</v>
          </cell>
          <cell r="E897">
            <v>7</v>
          </cell>
          <cell r="G897">
            <v>14</v>
          </cell>
          <cell r="I897">
            <v>13</v>
          </cell>
          <cell r="K897">
            <v>13</v>
          </cell>
          <cell r="M897">
            <v>7</v>
          </cell>
          <cell r="O897">
            <v>7</v>
          </cell>
          <cell r="P897">
            <v>68</v>
          </cell>
        </row>
        <row r="898">
          <cell r="A898" t="str">
            <v>ORF-MCO</v>
          </cell>
          <cell r="C898">
            <v>14</v>
          </cell>
          <cell r="E898">
            <v>14</v>
          </cell>
          <cell r="G898">
            <v>21</v>
          </cell>
          <cell r="I898">
            <v>13</v>
          </cell>
          <cell r="K898">
            <v>13</v>
          </cell>
          <cell r="M898">
            <v>14</v>
          </cell>
          <cell r="O898">
            <v>14</v>
          </cell>
          <cell r="P898">
            <v>103</v>
          </cell>
        </row>
        <row r="899">
          <cell r="A899" t="str">
            <v>ORF-MDW</v>
          </cell>
          <cell r="C899">
            <v>7</v>
          </cell>
          <cell r="E899">
            <v>7</v>
          </cell>
          <cell r="G899">
            <v>7</v>
          </cell>
          <cell r="I899">
            <v>13</v>
          </cell>
          <cell r="K899">
            <v>13</v>
          </cell>
          <cell r="M899">
            <v>15</v>
          </cell>
          <cell r="O899">
            <v>15</v>
          </cell>
          <cell r="P899">
            <v>77</v>
          </cell>
        </row>
        <row r="900">
          <cell r="A900" t="str">
            <v>ORF-TPA</v>
          </cell>
          <cell r="C900">
            <v>7</v>
          </cell>
          <cell r="E900">
            <v>7</v>
          </cell>
          <cell r="G900">
            <v>7</v>
          </cell>
          <cell r="I900">
            <v>1</v>
          </cell>
          <cell r="K900">
            <v>1</v>
          </cell>
          <cell r="P900">
            <v>23</v>
          </cell>
        </row>
        <row r="901">
          <cell r="A901" t="str">
            <v>PBI-ATL</v>
          </cell>
          <cell r="B901">
            <v>21</v>
          </cell>
          <cell r="D901">
            <v>21</v>
          </cell>
          <cell r="F901">
            <v>21</v>
          </cell>
          <cell r="H901">
            <v>14</v>
          </cell>
          <cell r="J901">
            <v>14</v>
          </cell>
          <cell r="L901">
            <v>14</v>
          </cell>
          <cell r="N901">
            <v>14</v>
          </cell>
          <cell r="P901">
            <v>119</v>
          </cell>
        </row>
        <row r="902">
          <cell r="A902" t="str">
            <v>PBI-BUF</v>
          </cell>
          <cell r="B902">
            <v>7</v>
          </cell>
          <cell r="D902">
            <v>7</v>
          </cell>
          <cell r="P902">
            <v>14</v>
          </cell>
        </row>
        <row r="903">
          <cell r="A903" t="str">
            <v>PBI-BWI</v>
          </cell>
          <cell r="C903">
            <v>21</v>
          </cell>
          <cell r="E903">
            <v>21</v>
          </cell>
          <cell r="G903">
            <v>35</v>
          </cell>
          <cell r="I903">
            <v>21</v>
          </cell>
          <cell r="K903">
            <v>21</v>
          </cell>
          <cell r="M903">
            <v>15</v>
          </cell>
          <cell r="O903">
            <v>15</v>
          </cell>
          <cell r="P903">
            <v>149</v>
          </cell>
        </row>
        <row r="904">
          <cell r="A904" t="str">
            <v>PBI-ISP</v>
          </cell>
          <cell r="C904">
            <v>14</v>
          </cell>
          <cell r="E904">
            <v>14</v>
          </cell>
          <cell r="G904">
            <v>20</v>
          </cell>
          <cell r="I904">
            <v>14</v>
          </cell>
          <cell r="K904">
            <v>14</v>
          </cell>
          <cell r="M904">
            <v>14</v>
          </cell>
          <cell r="O904">
            <v>14</v>
          </cell>
          <cell r="P904">
            <v>104</v>
          </cell>
        </row>
        <row r="905">
          <cell r="A905" t="str">
            <v>PBI-MDW</v>
          </cell>
          <cell r="G905">
            <v>1</v>
          </cell>
          <cell r="P905">
            <v>1</v>
          </cell>
        </row>
        <row r="906">
          <cell r="A906" t="str">
            <v>PBI-PHL</v>
          </cell>
          <cell r="C906">
            <v>13</v>
          </cell>
          <cell r="E906">
            <v>13</v>
          </cell>
          <cell r="G906">
            <v>14</v>
          </cell>
          <cell r="H906">
            <v>7</v>
          </cell>
          <cell r="J906">
            <v>7</v>
          </cell>
          <cell r="L906">
            <v>7</v>
          </cell>
          <cell r="N906">
            <v>7</v>
          </cell>
          <cell r="P906">
            <v>68</v>
          </cell>
        </row>
        <row r="907">
          <cell r="A907" t="str">
            <v>PBI-PIT</v>
          </cell>
          <cell r="G907">
            <v>7</v>
          </cell>
          <cell r="P907">
            <v>7</v>
          </cell>
        </row>
        <row r="908">
          <cell r="A908" t="str">
            <v>PBI-PVD</v>
          </cell>
          <cell r="G908">
            <v>7</v>
          </cell>
          <cell r="P908">
            <v>7</v>
          </cell>
        </row>
        <row r="909">
          <cell r="A909" t="str">
            <v>PDX-ABQ</v>
          </cell>
          <cell r="G909">
            <v>7</v>
          </cell>
          <cell r="I909">
            <v>7</v>
          </cell>
          <cell r="K909">
            <v>7</v>
          </cell>
          <cell r="M909">
            <v>7</v>
          </cell>
          <cell r="O909">
            <v>7</v>
          </cell>
          <cell r="P909">
            <v>35</v>
          </cell>
        </row>
        <row r="910">
          <cell r="A910" t="str">
            <v>PDX-AUS</v>
          </cell>
          <cell r="M910">
            <v>7</v>
          </cell>
          <cell r="O910">
            <v>7</v>
          </cell>
          <cell r="P910">
            <v>14</v>
          </cell>
        </row>
        <row r="911">
          <cell r="A911" t="str">
            <v>PDX-BOI</v>
          </cell>
          <cell r="C911">
            <v>12</v>
          </cell>
          <cell r="E911">
            <v>12</v>
          </cell>
          <cell r="G911">
            <v>13</v>
          </cell>
          <cell r="P911">
            <v>37</v>
          </cell>
        </row>
        <row r="912">
          <cell r="A912" t="str">
            <v>PDX-DEN</v>
          </cell>
          <cell r="C912">
            <v>19</v>
          </cell>
          <cell r="E912">
            <v>19</v>
          </cell>
          <cell r="G912">
            <v>19</v>
          </cell>
          <cell r="I912">
            <v>19</v>
          </cell>
          <cell r="K912">
            <v>19</v>
          </cell>
          <cell r="M912">
            <v>21</v>
          </cell>
          <cell r="O912">
            <v>21</v>
          </cell>
          <cell r="P912">
            <v>137</v>
          </cell>
        </row>
        <row r="913">
          <cell r="A913" t="str">
            <v>PDX-LAS</v>
          </cell>
          <cell r="C913">
            <v>21</v>
          </cell>
          <cell r="E913">
            <v>21</v>
          </cell>
          <cell r="G913">
            <v>26</v>
          </cell>
          <cell r="I913">
            <v>28</v>
          </cell>
          <cell r="K913">
            <v>28</v>
          </cell>
          <cell r="M913">
            <v>28</v>
          </cell>
          <cell r="O913">
            <v>28</v>
          </cell>
          <cell r="P913">
            <v>180</v>
          </cell>
        </row>
        <row r="914">
          <cell r="A914" t="str">
            <v>PDX-MCI</v>
          </cell>
          <cell r="C914">
            <v>7</v>
          </cell>
          <cell r="E914">
            <v>7</v>
          </cell>
          <cell r="G914">
            <v>7</v>
          </cell>
          <cell r="I914">
            <v>7</v>
          </cell>
          <cell r="K914">
            <v>7</v>
          </cell>
          <cell r="M914">
            <v>7</v>
          </cell>
          <cell r="O914">
            <v>7</v>
          </cell>
          <cell r="P914">
            <v>49</v>
          </cell>
        </row>
        <row r="915">
          <cell r="A915" t="str">
            <v>PDX-MDW</v>
          </cell>
          <cell r="C915">
            <v>7</v>
          </cell>
          <cell r="E915">
            <v>7</v>
          </cell>
          <cell r="G915">
            <v>13</v>
          </cell>
          <cell r="I915">
            <v>13</v>
          </cell>
          <cell r="K915">
            <v>13</v>
          </cell>
          <cell r="M915">
            <v>21</v>
          </cell>
          <cell r="O915">
            <v>21</v>
          </cell>
          <cell r="P915">
            <v>95</v>
          </cell>
        </row>
        <row r="916">
          <cell r="A916" t="str">
            <v>PDX-OAK</v>
          </cell>
          <cell r="C916">
            <v>32</v>
          </cell>
          <cell r="E916">
            <v>32</v>
          </cell>
          <cell r="G916">
            <v>38</v>
          </cell>
          <cell r="I916">
            <v>38</v>
          </cell>
          <cell r="K916">
            <v>38</v>
          </cell>
          <cell r="M916">
            <v>39</v>
          </cell>
          <cell r="O916">
            <v>39</v>
          </cell>
          <cell r="P916">
            <v>256</v>
          </cell>
        </row>
        <row r="917">
          <cell r="A917" t="str">
            <v>PDX-PHX</v>
          </cell>
          <cell r="C917">
            <v>19</v>
          </cell>
          <cell r="E917">
            <v>19</v>
          </cell>
          <cell r="G917">
            <v>21</v>
          </cell>
          <cell r="I917">
            <v>20</v>
          </cell>
          <cell r="K917">
            <v>20</v>
          </cell>
          <cell r="M917">
            <v>27</v>
          </cell>
          <cell r="O917">
            <v>27</v>
          </cell>
          <cell r="P917">
            <v>153</v>
          </cell>
        </row>
        <row r="918">
          <cell r="A918" t="str">
            <v>PDX-RNO</v>
          </cell>
          <cell r="C918">
            <v>13</v>
          </cell>
          <cell r="E918">
            <v>13</v>
          </cell>
          <cell r="G918">
            <v>14</v>
          </cell>
          <cell r="I918">
            <v>14</v>
          </cell>
          <cell r="K918">
            <v>14</v>
          </cell>
          <cell r="M918">
            <v>14</v>
          </cell>
          <cell r="O918">
            <v>14</v>
          </cell>
          <cell r="P918">
            <v>96</v>
          </cell>
        </row>
        <row r="919">
          <cell r="A919" t="str">
            <v>PDX-SJC</v>
          </cell>
          <cell r="C919">
            <v>24</v>
          </cell>
          <cell r="E919">
            <v>24</v>
          </cell>
          <cell r="G919">
            <v>26</v>
          </cell>
          <cell r="I919">
            <v>25</v>
          </cell>
          <cell r="K919">
            <v>25</v>
          </cell>
          <cell r="M919">
            <v>25</v>
          </cell>
          <cell r="O919">
            <v>25</v>
          </cell>
          <cell r="P919">
            <v>174</v>
          </cell>
        </row>
        <row r="920">
          <cell r="A920" t="str">
            <v>PDX-SLC</v>
          </cell>
          <cell r="C920">
            <v>13</v>
          </cell>
          <cell r="E920">
            <v>13</v>
          </cell>
          <cell r="G920">
            <v>20</v>
          </cell>
          <cell r="I920">
            <v>14</v>
          </cell>
          <cell r="K920">
            <v>14</v>
          </cell>
          <cell r="M920">
            <v>14</v>
          </cell>
          <cell r="O920">
            <v>14</v>
          </cell>
          <cell r="P920">
            <v>102</v>
          </cell>
        </row>
        <row r="921">
          <cell r="A921" t="str">
            <v>PDX-SMF</v>
          </cell>
          <cell r="C921">
            <v>32</v>
          </cell>
          <cell r="E921">
            <v>32</v>
          </cell>
          <cell r="G921">
            <v>39</v>
          </cell>
          <cell r="I921">
            <v>39</v>
          </cell>
          <cell r="K921">
            <v>39</v>
          </cell>
          <cell r="M921">
            <v>40</v>
          </cell>
          <cell r="O921">
            <v>40</v>
          </cell>
          <cell r="P921">
            <v>261</v>
          </cell>
        </row>
        <row r="922">
          <cell r="A922" t="str">
            <v>PHL-ATL</v>
          </cell>
          <cell r="B922">
            <v>27</v>
          </cell>
          <cell r="D922">
            <v>27</v>
          </cell>
          <cell r="F922">
            <v>26</v>
          </cell>
          <cell r="H922">
            <v>27</v>
          </cell>
          <cell r="J922">
            <v>27</v>
          </cell>
          <cell r="L922">
            <v>30</v>
          </cell>
          <cell r="N922">
            <v>30</v>
          </cell>
          <cell r="P922">
            <v>194</v>
          </cell>
        </row>
        <row r="923">
          <cell r="A923" t="str">
            <v>PHL-BNA</v>
          </cell>
          <cell r="C923">
            <v>12</v>
          </cell>
          <cell r="E923">
            <v>12</v>
          </cell>
          <cell r="G923">
            <v>13</v>
          </cell>
          <cell r="I923">
            <v>14</v>
          </cell>
          <cell r="K923">
            <v>14</v>
          </cell>
          <cell r="M923">
            <v>14</v>
          </cell>
          <cell r="O923">
            <v>14</v>
          </cell>
          <cell r="P923">
            <v>93</v>
          </cell>
        </row>
        <row r="924">
          <cell r="A924" t="str">
            <v>PHL-DEN</v>
          </cell>
          <cell r="C924">
            <v>14</v>
          </cell>
          <cell r="E924">
            <v>14</v>
          </cell>
          <cell r="G924">
            <v>20</v>
          </cell>
          <cell r="I924">
            <v>18</v>
          </cell>
          <cell r="K924">
            <v>18</v>
          </cell>
          <cell r="M924">
            <v>20</v>
          </cell>
          <cell r="O924">
            <v>20</v>
          </cell>
          <cell r="P924">
            <v>124</v>
          </cell>
        </row>
        <row r="925">
          <cell r="A925" t="str">
            <v>PHL-FLL</v>
          </cell>
          <cell r="B925">
            <v>7</v>
          </cell>
          <cell r="C925">
            <v>14</v>
          </cell>
          <cell r="D925">
            <v>7</v>
          </cell>
          <cell r="E925">
            <v>14</v>
          </cell>
          <cell r="F925">
            <v>7</v>
          </cell>
          <cell r="G925">
            <v>15</v>
          </cell>
          <cell r="H925">
            <v>14</v>
          </cell>
          <cell r="I925">
            <v>7</v>
          </cell>
          <cell r="J925">
            <v>14</v>
          </cell>
          <cell r="K925">
            <v>7</v>
          </cell>
          <cell r="L925">
            <v>7</v>
          </cell>
          <cell r="M925">
            <v>8</v>
          </cell>
          <cell r="N925">
            <v>7</v>
          </cell>
          <cell r="O925">
            <v>8</v>
          </cell>
          <cell r="P925">
            <v>136</v>
          </cell>
        </row>
        <row r="926">
          <cell r="A926" t="str">
            <v>PHL-HOU</v>
          </cell>
          <cell r="C926">
            <v>7</v>
          </cell>
          <cell r="E926">
            <v>7</v>
          </cell>
          <cell r="G926">
            <v>7</v>
          </cell>
          <cell r="P926">
            <v>21</v>
          </cell>
        </row>
        <row r="927">
          <cell r="A927" t="str">
            <v>PHL-LAS</v>
          </cell>
          <cell r="C927">
            <v>7</v>
          </cell>
          <cell r="E927">
            <v>7</v>
          </cell>
          <cell r="G927">
            <v>7</v>
          </cell>
          <cell r="I927">
            <v>7</v>
          </cell>
          <cell r="K927">
            <v>7</v>
          </cell>
          <cell r="M927">
            <v>7</v>
          </cell>
          <cell r="O927">
            <v>7</v>
          </cell>
          <cell r="P927">
            <v>49</v>
          </cell>
        </row>
        <row r="928">
          <cell r="A928" t="str">
            <v>PHL-MCO</v>
          </cell>
          <cell r="B928">
            <v>14</v>
          </cell>
          <cell r="C928">
            <v>21</v>
          </cell>
          <cell r="D928">
            <v>14</v>
          </cell>
          <cell r="E928">
            <v>21</v>
          </cell>
          <cell r="F928">
            <v>21</v>
          </cell>
          <cell r="G928">
            <v>27</v>
          </cell>
          <cell r="H928">
            <v>27</v>
          </cell>
          <cell r="I928">
            <v>14</v>
          </cell>
          <cell r="J928">
            <v>27</v>
          </cell>
          <cell r="K928">
            <v>14</v>
          </cell>
          <cell r="L928">
            <v>28</v>
          </cell>
          <cell r="M928">
            <v>15</v>
          </cell>
          <cell r="N928">
            <v>28</v>
          </cell>
          <cell r="O928">
            <v>15</v>
          </cell>
          <cell r="P928">
            <v>286</v>
          </cell>
        </row>
        <row r="929">
          <cell r="A929" t="str">
            <v>PHL-MDW</v>
          </cell>
          <cell r="C929">
            <v>39</v>
          </cell>
          <cell r="E929">
            <v>38</v>
          </cell>
          <cell r="G929">
            <v>46</v>
          </cell>
          <cell r="I929">
            <v>45</v>
          </cell>
          <cell r="K929">
            <v>45</v>
          </cell>
          <cell r="M929">
            <v>41</v>
          </cell>
          <cell r="O929">
            <v>41</v>
          </cell>
          <cell r="P929">
            <v>295</v>
          </cell>
        </row>
        <row r="930">
          <cell r="A930" t="str">
            <v>PHL-PBI</v>
          </cell>
          <cell r="C930">
            <v>13</v>
          </cell>
          <cell r="E930">
            <v>13</v>
          </cell>
          <cell r="G930">
            <v>14</v>
          </cell>
          <cell r="H930">
            <v>7</v>
          </cell>
          <cell r="J930">
            <v>7</v>
          </cell>
          <cell r="L930">
            <v>7</v>
          </cell>
          <cell r="N930">
            <v>7</v>
          </cell>
          <cell r="P930">
            <v>68</v>
          </cell>
        </row>
        <row r="931">
          <cell r="A931" t="str">
            <v>PHL-PHX</v>
          </cell>
          <cell r="C931">
            <v>7</v>
          </cell>
          <cell r="E931">
            <v>7</v>
          </cell>
          <cell r="G931">
            <v>7</v>
          </cell>
          <cell r="I931">
            <v>7</v>
          </cell>
          <cell r="K931">
            <v>7</v>
          </cell>
          <cell r="M931">
            <v>8</v>
          </cell>
          <cell r="O931">
            <v>8</v>
          </cell>
          <cell r="P931">
            <v>51</v>
          </cell>
        </row>
        <row r="932">
          <cell r="A932" t="str">
            <v>PHL-RDU</v>
          </cell>
          <cell r="C932">
            <v>13</v>
          </cell>
          <cell r="E932">
            <v>13</v>
          </cell>
          <cell r="P932">
            <v>26</v>
          </cell>
        </row>
        <row r="933">
          <cell r="A933" t="str">
            <v>PHL-RSW</v>
          </cell>
          <cell r="C933">
            <v>7</v>
          </cell>
          <cell r="E933">
            <v>7</v>
          </cell>
          <cell r="G933">
            <v>8</v>
          </cell>
          <cell r="H933">
            <v>7</v>
          </cell>
          <cell r="J933">
            <v>7</v>
          </cell>
          <cell r="L933">
            <v>7</v>
          </cell>
          <cell r="N933">
            <v>7</v>
          </cell>
          <cell r="P933">
            <v>50</v>
          </cell>
        </row>
        <row r="934">
          <cell r="A934" t="str">
            <v>PHL-STL</v>
          </cell>
          <cell r="C934">
            <v>12</v>
          </cell>
          <cell r="E934">
            <v>12</v>
          </cell>
          <cell r="G934">
            <v>13</v>
          </cell>
          <cell r="I934">
            <v>13</v>
          </cell>
          <cell r="K934">
            <v>13</v>
          </cell>
          <cell r="M934">
            <v>14</v>
          </cell>
          <cell r="O934">
            <v>14</v>
          </cell>
          <cell r="P934">
            <v>91</v>
          </cell>
        </row>
        <row r="935">
          <cell r="A935" t="str">
            <v>PHL-TPA</v>
          </cell>
          <cell r="C935">
            <v>13</v>
          </cell>
          <cell r="E935">
            <v>13</v>
          </cell>
          <cell r="F935">
            <v>7</v>
          </cell>
          <cell r="G935">
            <v>19</v>
          </cell>
          <cell r="H935">
            <v>8</v>
          </cell>
          <cell r="I935">
            <v>7</v>
          </cell>
          <cell r="J935">
            <v>8</v>
          </cell>
          <cell r="K935">
            <v>7</v>
          </cell>
          <cell r="L935">
            <v>8</v>
          </cell>
          <cell r="M935">
            <v>9</v>
          </cell>
          <cell r="N935">
            <v>8</v>
          </cell>
          <cell r="O935">
            <v>9</v>
          </cell>
          <cell r="P935">
            <v>116</v>
          </cell>
        </row>
        <row r="936">
          <cell r="A936" t="str">
            <v>PHX-ABQ</v>
          </cell>
          <cell r="C936">
            <v>51</v>
          </cell>
          <cell r="E936">
            <v>51</v>
          </cell>
          <cell r="G936">
            <v>52</v>
          </cell>
          <cell r="I936">
            <v>51</v>
          </cell>
          <cell r="K936">
            <v>51</v>
          </cell>
          <cell r="M936">
            <v>51</v>
          </cell>
          <cell r="O936">
            <v>51</v>
          </cell>
          <cell r="P936">
            <v>358</v>
          </cell>
        </row>
        <row r="937">
          <cell r="A937" t="str">
            <v>PHX-ATL</v>
          </cell>
          <cell r="C937">
            <v>13</v>
          </cell>
          <cell r="E937">
            <v>14</v>
          </cell>
          <cell r="G937">
            <v>13</v>
          </cell>
          <cell r="I937">
            <v>14</v>
          </cell>
          <cell r="K937">
            <v>14</v>
          </cell>
          <cell r="M937">
            <v>14</v>
          </cell>
          <cell r="O937">
            <v>14</v>
          </cell>
          <cell r="P937">
            <v>96</v>
          </cell>
        </row>
        <row r="938">
          <cell r="A938" t="str">
            <v>PHX-AUS</v>
          </cell>
          <cell r="C938">
            <v>25</v>
          </cell>
          <cell r="E938">
            <v>25</v>
          </cell>
          <cell r="G938">
            <v>25</v>
          </cell>
          <cell r="I938">
            <v>26</v>
          </cell>
          <cell r="K938">
            <v>26</v>
          </cell>
          <cell r="M938">
            <v>27</v>
          </cell>
          <cell r="O938">
            <v>27</v>
          </cell>
          <cell r="P938">
            <v>181</v>
          </cell>
        </row>
        <row r="939">
          <cell r="A939" t="str">
            <v>PHX-BNA</v>
          </cell>
          <cell r="C939">
            <v>13</v>
          </cell>
          <cell r="E939">
            <v>13</v>
          </cell>
          <cell r="G939">
            <v>20</v>
          </cell>
          <cell r="I939">
            <v>13</v>
          </cell>
          <cell r="K939">
            <v>13</v>
          </cell>
          <cell r="M939">
            <v>20</v>
          </cell>
          <cell r="O939">
            <v>20</v>
          </cell>
          <cell r="P939">
            <v>112</v>
          </cell>
        </row>
        <row r="940">
          <cell r="A940" t="str">
            <v>PHX-BOI</v>
          </cell>
          <cell r="C940">
            <v>7</v>
          </cell>
          <cell r="E940">
            <v>7</v>
          </cell>
          <cell r="G940">
            <v>7</v>
          </cell>
          <cell r="I940">
            <v>7</v>
          </cell>
          <cell r="K940">
            <v>7</v>
          </cell>
          <cell r="M940">
            <v>7</v>
          </cell>
          <cell r="O940">
            <v>7</v>
          </cell>
          <cell r="P940">
            <v>49</v>
          </cell>
        </row>
        <row r="941">
          <cell r="A941" t="str">
            <v>PHX-BUF</v>
          </cell>
          <cell r="C941">
            <v>7</v>
          </cell>
          <cell r="E941">
            <v>7</v>
          </cell>
          <cell r="G941">
            <v>7</v>
          </cell>
          <cell r="I941">
            <v>7</v>
          </cell>
          <cell r="K941">
            <v>7</v>
          </cell>
          <cell r="M941">
            <v>7</v>
          </cell>
          <cell r="O941">
            <v>7</v>
          </cell>
          <cell r="P941">
            <v>49</v>
          </cell>
        </row>
        <row r="942">
          <cell r="A942" t="str">
            <v>PHX-BUR</v>
          </cell>
          <cell r="C942">
            <v>46</v>
          </cell>
          <cell r="E942">
            <v>46</v>
          </cell>
          <cell r="G942">
            <v>47</v>
          </cell>
          <cell r="I942">
            <v>46</v>
          </cell>
          <cell r="K942">
            <v>46</v>
          </cell>
          <cell r="M942">
            <v>46</v>
          </cell>
          <cell r="O942">
            <v>46</v>
          </cell>
          <cell r="P942">
            <v>323</v>
          </cell>
        </row>
        <row r="943">
          <cell r="A943" t="str">
            <v>PHX-BWI</v>
          </cell>
          <cell r="C943">
            <v>14</v>
          </cell>
          <cell r="E943">
            <v>14</v>
          </cell>
          <cell r="G943">
            <v>21</v>
          </cell>
          <cell r="I943">
            <v>20</v>
          </cell>
          <cell r="K943">
            <v>20</v>
          </cell>
          <cell r="M943">
            <v>21</v>
          </cell>
          <cell r="O943">
            <v>21</v>
          </cell>
          <cell r="P943">
            <v>131</v>
          </cell>
        </row>
        <row r="944">
          <cell r="A944" t="str">
            <v>PHX-CMH</v>
          </cell>
          <cell r="C944">
            <v>7</v>
          </cell>
          <cell r="E944">
            <v>7</v>
          </cell>
          <cell r="G944">
            <v>7</v>
          </cell>
          <cell r="I944">
            <v>7</v>
          </cell>
          <cell r="K944">
            <v>7</v>
          </cell>
          <cell r="M944">
            <v>14</v>
          </cell>
          <cell r="O944">
            <v>14</v>
          </cell>
          <cell r="P944">
            <v>63</v>
          </cell>
        </row>
        <row r="945">
          <cell r="A945" t="str">
            <v>PHX-DEN</v>
          </cell>
          <cell r="C945">
            <v>60</v>
          </cell>
          <cell r="E945">
            <v>60</v>
          </cell>
          <cell r="G945">
            <v>61</v>
          </cell>
          <cell r="I945">
            <v>60</v>
          </cell>
          <cell r="K945">
            <v>60</v>
          </cell>
          <cell r="M945">
            <v>54</v>
          </cell>
          <cell r="O945">
            <v>54</v>
          </cell>
          <cell r="P945">
            <v>409</v>
          </cell>
        </row>
        <row r="946">
          <cell r="A946" t="str">
            <v>PHX-DTW</v>
          </cell>
          <cell r="C946">
            <v>7</v>
          </cell>
          <cell r="E946">
            <v>7</v>
          </cell>
          <cell r="G946">
            <v>14</v>
          </cell>
          <cell r="I946">
            <v>13</v>
          </cell>
          <cell r="K946">
            <v>13</v>
          </cell>
          <cell r="M946">
            <v>14</v>
          </cell>
          <cell r="O946">
            <v>14</v>
          </cell>
          <cell r="P946">
            <v>82</v>
          </cell>
        </row>
        <row r="947">
          <cell r="A947" t="str">
            <v>PHX-ELP</v>
          </cell>
          <cell r="C947">
            <v>32</v>
          </cell>
          <cell r="E947">
            <v>32</v>
          </cell>
          <cell r="G947">
            <v>38</v>
          </cell>
          <cell r="I947">
            <v>38</v>
          </cell>
          <cell r="K947">
            <v>38</v>
          </cell>
          <cell r="M947">
            <v>32</v>
          </cell>
          <cell r="O947">
            <v>32</v>
          </cell>
          <cell r="P947">
            <v>242</v>
          </cell>
        </row>
        <row r="948">
          <cell r="A948" t="str">
            <v>PHX-EWR</v>
          </cell>
          <cell r="C948">
            <v>14</v>
          </cell>
          <cell r="E948">
            <v>14</v>
          </cell>
          <cell r="G948">
            <v>7</v>
          </cell>
          <cell r="I948">
            <v>7</v>
          </cell>
          <cell r="K948">
            <v>7</v>
          </cell>
          <cell r="M948">
            <v>7</v>
          </cell>
          <cell r="O948">
            <v>7</v>
          </cell>
          <cell r="P948">
            <v>63</v>
          </cell>
        </row>
        <row r="949">
          <cell r="A949" t="str">
            <v>PHX-FLL</v>
          </cell>
          <cell r="C949">
            <v>6</v>
          </cell>
          <cell r="E949">
            <v>6</v>
          </cell>
          <cell r="G949">
            <v>7</v>
          </cell>
          <cell r="I949">
            <v>7</v>
          </cell>
          <cell r="K949">
            <v>7</v>
          </cell>
          <cell r="M949">
            <v>7</v>
          </cell>
          <cell r="O949">
            <v>7</v>
          </cell>
          <cell r="P949">
            <v>47</v>
          </cell>
        </row>
        <row r="950">
          <cell r="A950" t="str">
            <v>PHX-GEG</v>
          </cell>
          <cell r="C950">
            <v>7</v>
          </cell>
          <cell r="E950">
            <v>7</v>
          </cell>
          <cell r="G950">
            <v>7</v>
          </cell>
          <cell r="I950">
            <v>7</v>
          </cell>
          <cell r="K950">
            <v>7</v>
          </cell>
          <cell r="M950">
            <v>7</v>
          </cell>
          <cell r="O950">
            <v>7</v>
          </cell>
          <cell r="P950">
            <v>49</v>
          </cell>
        </row>
        <row r="951">
          <cell r="A951" t="str">
            <v>PHX-HOU</v>
          </cell>
          <cell r="C951">
            <v>26</v>
          </cell>
          <cell r="E951">
            <v>26</v>
          </cell>
          <cell r="G951">
            <v>27</v>
          </cell>
          <cell r="I951">
            <v>27</v>
          </cell>
          <cell r="K951">
            <v>27</v>
          </cell>
          <cell r="M951">
            <v>27</v>
          </cell>
          <cell r="O951">
            <v>27</v>
          </cell>
          <cell r="P951">
            <v>187</v>
          </cell>
        </row>
        <row r="952">
          <cell r="A952" t="str">
            <v>PHX-IND</v>
          </cell>
          <cell r="C952">
            <v>13</v>
          </cell>
          <cell r="E952">
            <v>13</v>
          </cell>
          <cell r="G952">
            <v>15</v>
          </cell>
          <cell r="I952">
            <v>14</v>
          </cell>
          <cell r="K952">
            <v>14</v>
          </cell>
          <cell r="M952">
            <v>14</v>
          </cell>
          <cell r="O952">
            <v>14</v>
          </cell>
          <cell r="P952">
            <v>97</v>
          </cell>
        </row>
        <row r="953">
          <cell r="A953" t="str">
            <v>PHX-LAS</v>
          </cell>
          <cell r="C953">
            <v>86</v>
          </cell>
          <cell r="E953">
            <v>86</v>
          </cell>
          <cell r="G953">
            <v>86</v>
          </cell>
          <cell r="I953">
            <v>87</v>
          </cell>
          <cell r="K953">
            <v>87</v>
          </cell>
          <cell r="M953">
            <v>82</v>
          </cell>
          <cell r="O953">
            <v>82</v>
          </cell>
          <cell r="P953">
            <v>596</v>
          </cell>
        </row>
        <row r="954">
          <cell r="A954" t="str">
            <v>PHX-LAX</v>
          </cell>
          <cell r="C954">
            <v>58</v>
          </cell>
          <cell r="E954">
            <v>58</v>
          </cell>
          <cell r="G954">
            <v>59</v>
          </cell>
          <cell r="I954">
            <v>60</v>
          </cell>
          <cell r="K954">
            <v>60</v>
          </cell>
          <cell r="M954">
            <v>60</v>
          </cell>
          <cell r="O954">
            <v>60</v>
          </cell>
          <cell r="P954">
            <v>415</v>
          </cell>
        </row>
        <row r="955">
          <cell r="A955" t="str">
            <v>PHX-LIT</v>
          </cell>
          <cell r="C955">
            <v>7</v>
          </cell>
          <cell r="E955">
            <v>7</v>
          </cell>
          <cell r="G955">
            <v>7</v>
          </cell>
          <cell r="I955">
            <v>7</v>
          </cell>
          <cell r="K955">
            <v>7</v>
          </cell>
          <cell r="M955">
            <v>7</v>
          </cell>
          <cell r="O955">
            <v>7</v>
          </cell>
          <cell r="P955">
            <v>49</v>
          </cell>
        </row>
        <row r="956">
          <cell r="A956" t="str">
            <v>PHX-MCI</v>
          </cell>
          <cell r="C956">
            <v>20</v>
          </cell>
          <cell r="E956">
            <v>20</v>
          </cell>
          <cell r="G956">
            <v>28</v>
          </cell>
          <cell r="I956">
            <v>21</v>
          </cell>
          <cell r="K956">
            <v>21</v>
          </cell>
          <cell r="M956">
            <v>21</v>
          </cell>
          <cell r="O956">
            <v>21</v>
          </cell>
          <cell r="P956">
            <v>152</v>
          </cell>
        </row>
        <row r="957">
          <cell r="A957" t="str">
            <v>PHX-MCO</v>
          </cell>
          <cell r="C957">
            <v>7</v>
          </cell>
          <cell r="E957">
            <v>7</v>
          </cell>
          <cell r="G957">
            <v>8</v>
          </cell>
          <cell r="I957">
            <v>7</v>
          </cell>
          <cell r="K957">
            <v>7</v>
          </cell>
          <cell r="M957">
            <v>7</v>
          </cell>
          <cell r="O957">
            <v>7</v>
          </cell>
          <cell r="P957">
            <v>50</v>
          </cell>
        </row>
        <row r="958">
          <cell r="A958" t="str">
            <v>PHX-MDW</v>
          </cell>
          <cell r="C958">
            <v>40</v>
          </cell>
          <cell r="E958">
            <v>40</v>
          </cell>
          <cell r="G958">
            <v>48</v>
          </cell>
          <cell r="I958">
            <v>49</v>
          </cell>
          <cell r="K958">
            <v>49</v>
          </cell>
          <cell r="M958">
            <v>49</v>
          </cell>
          <cell r="O958">
            <v>49</v>
          </cell>
          <cell r="P958">
            <v>324</v>
          </cell>
        </row>
        <row r="959">
          <cell r="A959" t="str">
            <v>PHX-MKE</v>
          </cell>
          <cell r="C959">
            <v>19</v>
          </cell>
          <cell r="E959">
            <v>19</v>
          </cell>
          <cell r="G959">
            <v>21</v>
          </cell>
          <cell r="I959">
            <v>20</v>
          </cell>
          <cell r="K959">
            <v>20</v>
          </cell>
          <cell r="M959">
            <v>14</v>
          </cell>
          <cell r="O959">
            <v>14</v>
          </cell>
          <cell r="P959">
            <v>127</v>
          </cell>
        </row>
        <row r="960">
          <cell r="A960" t="str">
            <v>PHX-MSP</v>
          </cell>
          <cell r="C960">
            <v>13</v>
          </cell>
          <cell r="E960">
            <v>13</v>
          </cell>
          <cell r="G960">
            <v>14</v>
          </cell>
          <cell r="I960">
            <v>13</v>
          </cell>
          <cell r="K960">
            <v>13</v>
          </cell>
          <cell r="M960">
            <v>14</v>
          </cell>
          <cell r="O960">
            <v>14</v>
          </cell>
          <cell r="P960">
            <v>94</v>
          </cell>
        </row>
        <row r="961">
          <cell r="A961" t="str">
            <v>PHX-MSY</v>
          </cell>
          <cell r="C961">
            <v>7</v>
          </cell>
          <cell r="E961">
            <v>7</v>
          </cell>
          <cell r="G961">
            <v>7</v>
          </cell>
          <cell r="I961">
            <v>7</v>
          </cell>
          <cell r="K961">
            <v>7</v>
          </cell>
          <cell r="M961">
            <v>7</v>
          </cell>
          <cell r="O961">
            <v>7</v>
          </cell>
          <cell r="P961">
            <v>49</v>
          </cell>
        </row>
        <row r="962">
          <cell r="A962" t="str">
            <v>PHX-OAK</v>
          </cell>
          <cell r="C962">
            <v>40</v>
          </cell>
          <cell r="E962">
            <v>40</v>
          </cell>
          <cell r="G962">
            <v>39</v>
          </cell>
          <cell r="I962">
            <v>40</v>
          </cell>
          <cell r="K962">
            <v>40</v>
          </cell>
          <cell r="M962">
            <v>40</v>
          </cell>
          <cell r="O962">
            <v>40</v>
          </cell>
          <cell r="P962">
            <v>279</v>
          </cell>
        </row>
        <row r="963">
          <cell r="A963" t="str">
            <v>PHX-OKC</v>
          </cell>
          <cell r="C963">
            <v>13</v>
          </cell>
          <cell r="E963">
            <v>13</v>
          </cell>
          <cell r="G963">
            <v>14</v>
          </cell>
          <cell r="I963">
            <v>13</v>
          </cell>
          <cell r="K963">
            <v>13</v>
          </cell>
          <cell r="M963">
            <v>14</v>
          </cell>
          <cell r="O963">
            <v>14</v>
          </cell>
          <cell r="P963">
            <v>94</v>
          </cell>
        </row>
        <row r="964">
          <cell r="A964" t="str">
            <v>PHX-OMA</v>
          </cell>
          <cell r="C964">
            <v>14</v>
          </cell>
          <cell r="E964">
            <v>14</v>
          </cell>
          <cell r="G964">
            <v>14</v>
          </cell>
          <cell r="I964">
            <v>14</v>
          </cell>
          <cell r="K964">
            <v>14</v>
          </cell>
          <cell r="M964">
            <v>8</v>
          </cell>
          <cell r="O964">
            <v>8</v>
          </cell>
          <cell r="P964">
            <v>86</v>
          </cell>
        </row>
        <row r="965">
          <cell r="A965" t="str">
            <v>PHX-ONT</v>
          </cell>
          <cell r="C965">
            <v>39</v>
          </cell>
          <cell r="E965">
            <v>39</v>
          </cell>
          <cell r="G965">
            <v>41</v>
          </cell>
          <cell r="I965">
            <v>39</v>
          </cell>
          <cell r="K965">
            <v>39</v>
          </cell>
          <cell r="M965">
            <v>39</v>
          </cell>
          <cell r="O965">
            <v>39</v>
          </cell>
          <cell r="P965">
            <v>275</v>
          </cell>
        </row>
        <row r="966">
          <cell r="A966" t="str">
            <v>PHX-PDX</v>
          </cell>
          <cell r="C966">
            <v>19</v>
          </cell>
          <cell r="E966">
            <v>19</v>
          </cell>
          <cell r="G966">
            <v>21</v>
          </cell>
          <cell r="I966">
            <v>21</v>
          </cell>
          <cell r="K966">
            <v>21</v>
          </cell>
          <cell r="M966">
            <v>27</v>
          </cell>
          <cell r="O966">
            <v>27</v>
          </cell>
          <cell r="P966">
            <v>155</v>
          </cell>
        </row>
        <row r="967">
          <cell r="A967" t="str">
            <v>PHX-PHL</v>
          </cell>
          <cell r="C967">
            <v>7</v>
          </cell>
          <cell r="E967">
            <v>7</v>
          </cell>
          <cell r="G967">
            <v>7</v>
          </cell>
          <cell r="I967">
            <v>7</v>
          </cell>
          <cell r="K967">
            <v>7</v>
          </cell>
          <cell r="M967">
            <v>8</v>
          </cell>
          <cell r="O967">
            <v>8</v>
          </cell>
          <cell r="P967">
            <v>51</v>
          </cell>
        </row>
        <row r="968">
          <cell r="A968" t="str">
            <v>PHX-PIT</v>
          </cell>
          <cell r="C968">
            <v>7</v>
          </cell>
          <cell r="E968">
            <v>7</v>
          </cell>
          <cell r="G968">
            <v>7</v>
          </cell>
          <cell r="I968">
            <v>7</v>
          </cell>
          <cell r="K968">
            <v>7</v>
          </cell>
          <cell r="M968">
            <v>14</v>
          </cell>
          <cell r="O968">
            <v>14</v>
          </cell>
          <cell r="P968">
            <v>63</v>
          </cell>
        </row>
        <row r="969">
          <cell r="A969" t="str">
            <v>PHX-RDU</v>
          </cell>
          <cell r="G969">
            <v>7</v>
          </cell>
          <cell r="I969">
            <v>6</v>
          </cell>
          <cell r="K969">
            <v>6</v>
          </cell>
          <cell r="M969">
            <v>7</v>
          </cell>
          <cell r="O969">
            <v>7</v>
          </cell>
          <cell r="P969">
            <v>33</v>
          </cell>
        </row>
        <row r="970">
          <cell r="A970" t="str">
            <v>PHX-RNO</v>
          </cell>
          <cell r="C970">
            <v>13</v>
          </cell>
          <cell r="E970">
            <v>13</v>
          </cell>
          <cell r="G970">
            <v>14</v>
          </cell>
          <cell r="I970">
            <v>20</v>
          </cell>
          <cell r="K970">
            <v>20</v>
          </cell>
          <cell r="M970">
            <v>20</v>
          </cell>
          <cell r="O970">
            <v>20</v>
          </cell>
          <cell r="P970">
            <v>120</v>
          </cell>
        </row>
        <row r="971">
          <cell r="A971" t="str">
            <v>PHX-SAN</v>
          </cell>
          <cell r="C971">
            <v>71</v>
          </cell>
          <cell r="E971">
            <v>71</v>
          </cell>
          <cell r="G971">
            <v>79</v>
          </cell>
          <cell r="I971">
            <v>77</v>
          </cell>
          <cell r="K971">
            <v>77</v>
          </cell>
          <cell r="M971">
            <v>81</v>
          </cell>
          <cell r="O971">
            <v>81</v>
          </cell>
          <cell r="P971">
            <v>537</v>
          </cell>
        </row>
        <row r="972">
          <cell r="A972" t="str">
            <v>PHX-SAT</v>
          </cell>
          <cell r="C972">
            <v>20</v>
          </cell>
          <cell r="E972">
            <v>20</v>
          </cell>
          <cell r="G972">
            <v>21</v>
          </cell>
          <cell r="I972">
            <v>21</v>
          </cell>
          <cell r="K972">
            <v>21</v>
          </cell>
          <cell r="M972">
            <v>20</v>
          </cell>
          <cell r="O972">
            <v>20</v>
          </cell>
          <cell r="P972">
            <v>143</v>
          </cell>
        </row>
        <row r="973">
          <cell r="A973" t="str">
            <v>PHX-SDF</v>
          </cell>
          <cell r="C973">
            <v>7</v>
          </cell>
          <cell r="E973">
            <v>7</v>
          </cell>
          <cell r="G973">
            <v>7</v>
          </cell>
          <cell r="I973">
            <v>7</v>
          </cell>
          <cell r="K973">
            <v>7</v>
          </cell>
          <cell r="M973">
            <v>7</v>
          </cell>
          <cell r="O973">
            <v>7</v>
          </cell>
          <cell r="P973">
            <v>49</v>
          </cell>
        </row>
        <row r="974">
          <cell r="A974" t="str">
            <v>PHX-SEA</v>
          </cell>
          <cell r="C974">
            <v>20</v>
          </cell>
          <cell r="E974">
            <v>20</v>
          </cell>
          <cell r="G974">
            <v>28</v>
          </cell>
          <cell r="I974">
            <v>27</v>
          </cell>
          <cell r="K974">
            <v>27</v>
          </cell>
          <cell r="M974">
            <v>28</v>
          </cell>
          <cell r="O974">
            <v>28</v>
          </cell>
          <cell r="P974">
            <v>178</v>
          </cell>
        </row>
        <row r="975">
          <cell r="A975" t="str">
            <v>PHX-SFO</v>
          </cell>
          <cell r="C975">
            <v>30</v>
          </cell>
          <cell r="E975">
            <v>30</v>
          </cell>
          <cell r="G975">
            <v>32</v>
          </cell>
          <cell r="I975">
            <v>32</v>
          </cell>
          <cell r="K975">
            <v>32</v>
          </cell>
          <cell r="M975">
            <v>33</v>
          </cell>
          <cell r="O975">
            <v>33</v>
          </cell>
          <cell r="P975">
            <v>222</v>
          </cell>
        </row>
        <row r="976">
          <cell r="A976" t="str">
            <v>PHX-SJC</v>
          </cell>
          <cell r="C976">
            <v>31</v>
          </cell>
          <cell r="E976">
            <v>31</v>
          </cell>
          <cell r="G976">
            <v>37</v>
          </cell>
          <cell r="I976">
            <v>37</v>
          </cell>
          <cell r="K976">
            <v>37</v>
          </cell>
          <cell r="M976">
            <v>38</v>
          </cell>
          <cell r="O976">
            <v>38</v>
          </cell>
          <cell r="P976">
            <v>249</v>
          </cell>
        </row>
        <row r="977">
          <cell r="A977" t="str">
            <v>PHX-SLC</v>
          </cell>
          <cell r="C977">
            <v>40</v>
          </cell>
          <cell r="E977">
            <v>40</v>
          </cell>
          <cell r="G977">
            <v>46</v>
          </cell>
          <cell r="I977">
            <v>46</v>
          </cell>
          <cell r="K977">
            <v>46</v>
          </cell>
          <cell r="M977">
            <v>40</v>
          </cell>
          <cell r="O977">
            <v>40</v>
          </cell>
          <cell r="P977">
            <v>298</v>
          </cell>
        </row>
        <row r="978">
          <cell r="A978" t="str">
            <v>PHX-SMF</v>
          </cell>
          <cell r="C978">
            <v>32</v>
          </cell>
          <cell r="E978">
            <v>32</v>
          </cell>
          <cell r="G978">
            <v>32</v>
          </cell>
          <cell r="I978">
            <v>32</v>
          </cell>
          <cell r="K978">
            <v>32</v>
          </cell>
          <cell r="M978">
            <v>33</v>
          </cell>
          <cell r="O978">
            <v>33</v>
          </cell>
          <cell r="P978">
            <v>226</v>
          </cell>
        </row>
        <row r="979">
          <cell r="A979" t="str">
            <v>PHX-SNA</v>
          </cell>
          <cell r="C979">
            <v>45</v>
          </cell>
          <cell r="E979">
            <v>45</v>
          </cell>
          <cell r="G979">
            <v>45</v>
          </cell>
          <cell r="I979">
            <v>45</v>
          </cell>
          <cell r="K979">
            <v>45</v>
          </cell>
          <cell r="M979">
            <v>52</v>
          </cell>
          <cell r="O979">
            <v>52</v>
          </cell>
          <cell r="P979">
            <v>329</v>
          </cell>
        </row>
        <row r="980">
          <cell r="A980" t="str">
            <v>PHX-STL</v>
          </cell>
          <cell r="C980">
            <v>19</v>
          </cell>
          <cell r="E980">
            <v>19</v>
          </cell>
          <cell r="G980">
            <v>21</v>
          </cell>
          <cell r="I980">
            <v>19</v>
          </cell>
          <cell r="K980">
            <v>19</v>
          </cell>
          <cell r="M980">
            <v>21</v>
          </cell>
          <cell r="O980">
            <v>21</v>
          </cell>
          <cell r="P980">
            <v>139</v>
          </cell>
        </row>
        <row r="981">
          <cell r="A981" t="str">
            <v>PHX-TPA</v>
          </cell>
          <cell r="C981">
            <v>7</v>
          </cell>
          <cell r="E981">
            <v>7</v>
          </cell>
          <cell r="G981">
            <v>7</v>
          </cell>
          <cell r="I981">
            <v>7</v>
          </cell>
          <cell r="K981">
            <v>7</v>
          </cell>
          <cell r="M981">
            <v>7</v>
          </cell>
          <cell r="O981">
            <v>7</v>
          </cell>
          <cell r="P981">
            <v>49</v>
          </cell>
        </row>
        <row r="982">
          <cell r="A982" t="str">
            <v>PHX-TUL</v>
          </cell>
          <cell r="C982">
            <v>13</v>
          </cell>
          <cell r="E982">
            <v>13</v>
          </cell>
          <cell r="G982">
            <v>14</v>
          </cell>
          <cell r="I982">
            <v>7</v>
          </cell>
          <cell r="K982">
            <v>7</v>
          </cell>
          <cell r="M982">
            <v>14</v>
          </cell>
          <cell r="O982">
            <v>14</v>
          </cell>
          <cell r="P982">
            <v>82</v>
          </cell>
        </row>
        <row r="983">
          <cell r="A983" t="str">
            <v>PIT-ATL</v>
          </cell>
          <cell r="B983">
            <v>22</v>
          </cell>
          <cell r="D983">
            <v>22</v>
          </cell>
          <cell r="F983">
            <v>28</v>
          </cell>
          <cell r="H983">
            <v>27</v>
          </cell>
          <cell r="J983">
            <v>27</v>
          </cell>
          <cell r="L983">
            <v>27</v>
          </cell>
          <cell r="N983">
            <v>27</v>
          </cell>
          <cell r="P983">
            <v>180</v>
          </cell>
        </row>
        <row r="984">
          <cell r="A984" t="str">
            <v>PIT-BWI</v>
          </cell>
          <cell r="C984">
            <v>19</v>
          </cell>
          <cell r="E984">
            <v>19</v>
          </cell>
          <cell r="G984">
            <v>26</v>
          </cell>
          <cell r="I984">
            <v>26</v>
          </cell>
          <cell r="K984">
            <v>26</v>
          </cell>
          <cell r="M984">
            <v>27</v>
          </cell>
          <cell r="O984">
            <v>27</v>
          </cell>
          <cell r="P984">
            <v>170</v>
          </cell>
        </row>
        <row r="985">
          <cell r="A985" t="str">
            <v>PIT-DEN</v>
          </cell>
          <cell r="C985">
            <v>7</v>
          </cell>
          <cell r="E985">
            <v>7</v>
          </cell>
          <cell r="G985">
            <v>7</v>
          </cell>
          <cell r="I985">
            <v>7</v>
          </cell>
          <cell r="K985">
            <v>7</v>
          </cell>
          <cell r="M985">
            <v>7</v>
          </cell>
          <cell r="O985">
            <v>7</v>
          </cell>
          <cell r="P985">
            <v>49</v>
          </cell>
        </row>
        <row r="986">
          <cell r="A986" t="str">
            <v>PIT-FLL</v>
          </cell>
          <cell r="B986">
            <v>8</v>
          </cell>
          <cell r="D986">
            <v>8</v>
          </cell>
          <cell r="F986">
            <v>14</v>
          </cell>
          <cell r="H986">
            <v>14</v>
          </cell>
          <cell r="J986">
            <v>14</v>
          </cell>
          <cell r="L986">
            <v>14</v>
          </cell>
          <cell r="N986">
            <v>14</v>
          </cell>
          <cell r="P986">
            <v>86</v>
          </cell>
        </row>
        <row r="987">
          <cell r="A987" t="str">
            <v>PIT-HOU</v>
          </cell>
          <cell r="I987">
            <v>7</v>
          </cell>
          <cell r="K987">
            <v>7</v>
          </cell>
          <cell r="M987">
            <v>7</v>
          </cell>
          <cell r="O987">
            <v>7</v>
          </cell>
          <cell r="P987">
            <v>28</v>
          </cell>
        </row>
        <row r="988">
          <cell r="A988" t="str">
            <v>PIT-LAS</v>
          </cell>
          <cell r="C988">
            <v>7</v>
          </cell>
          <cell r="E988">
            <v>7</v>
          </cell>
          <cell r="G988">
            <v>14</v>
          </cell>
          <cell r="I988">
            <v>14</v>
          </cell>
          <cell r="K988">
            <v>14</v>
          </cell>
          <cell r="M988">
            <v>14</v>
          </cell>
          <cell r="O988">
            <v>14</v>
          </cell>
          <cell r="P988">
            <v>84</v>
          </cell>
        </row>
        <row r="989">
          <cell r="A989" t="str">
            <v>PIT-MCO</v>
          </cell>
          <cell r="B989">
            <v>21</v>
          </cell>
          <cell r="C989">
            <v>15</v>
          </cell>
          <cell r="D989">
            <v>21</v>
          </cell>
          <cell r="E989">
            <v>15</v>
          </cell>
          <cell r="F989">
            <v>29</v>
          </cell>
          <cell r="G989">
            <v>15</v>
          </cell>
          <cell r="H989">
            <v>27</v>
          </cell>
          <cell r="I989">
            <v>7</v>
          </cell>
          <cell r="J989">
            <v>27</v>
          </cell>
          <cell r="K989">
            <v>7</v>
          </cell>
          <cell r="L989">
            <v>22</v>
          </cell>
          <cell r="M989">
            <v>15</v>
          </cell>
          <cell r="N989">
            <v>22</v>
          </cell>
          <cell r="O989">
            <v>15</v>
          </cell>
          <cell r="P989">
            <v>258</v>
          </cell>
        </row>
        <row r="990">
          <cell r="A990" t="str">
            <v>PIT-MDW</v>
          </cell>
          <cell r="C990">
            <v>32</v>
          </cell>
          <cell r="E990">
            <v>32</v>
          </cell>
          <cell r="G990">
            <v>34</v>
          </cell>
          <cell r="I990">
            <v>39</v>
          </cell>
          <cell r="K990">
            <v>39</v>
          </cell>
          <cell r="M990">
            <v>39</v>
          </cell>
          <cell r="O990">
            <v>39</v>
          </cell>
          <cell r="P990">
            <v>254</v>
          </cell>
        </row>
        <row r="991">
          <cell r="A991" t="str">
            <v>PIT-PBI</v>
          </cell>
          <cell r="G991">
            <v>7</v>
          </cell>
          <cell r="P991">
            <v>7</v>
          </cell>
        </row>
        <row r="992">
          <cell r="A992" t="str">
            <v>PIT-PHX</v>
          </cell>
          <cell r="C992">
            <v>7</v>
          </cell>
          <cell r="E992">
            <v>7</v>
          </cell>
          <cell r="G992">
            <v>7</v>
          </cell>
          <cell r="I992">
            <v>7</v>
          </cell>
          <cell r="K992">
            <v>7</v>
          </cell>
          <cell r="M992">
            <v>14</v>
          </cell>
          <cell r="O992">
            <v>14</v>
          </cell>
          <cell r="P992">
            <v>63</v>
          </cell>
        </row>
        <row r="993">
          <cell r="A993" t="str">
            <v>PIT-RSW</v>
          </cell>
          <cell r="B993">
            <v>14</v>
          </cell>
          <cell r="D993">
            <v>14</v>
          </cell>
          <cell r="F993">
            <v>21</v>
          </cell>
          <cell r="H993">
            <v>7</v>
          </cell>
          <cell r="J993">
            <v>7</v>
          </cell>
          <cell r="L993">
            <v>8</v>
          </cell>
          <cell r="N993">
            <v>8</v>
          </cell>
          <cell r="P993">
            <v>79</v>
          </cell>
        </row>
        <row r="994">
          <cell r="A994" t="str">
            <v>PIT-TPA</v>
          </cell>
          <cell r="B994">
            <v>14</v>
          </cell>
          <cell r="C994">
            <v>7</v>
          </cell>
          <cell r="D994">
            <v>14</v>
          </cell>
          <cell r="E994">
            <v>7</v>
          </cell>
          <cell r="F994">
            <v>14</v>
          </cell>
          <cell r="G994">
            <v>14</v>
          </cell>
          <cell r="H994">
            <v>13</v>
          </cell>
          <cell r="I994">
            <v>7</v>
          </cell>
          <cell r="J994">
            <v>13</v>
          </cell>
          <cell r="K994">
            <v>7</v>
          </cell>
          <cell r="L994">
            <v>13</v>
          </cell>
          <cell r="M994">
            <v>9</v>
          </cell>
          <cell r="N994">
            <v>13</v>
          </cell>
          <cell r="O994">
            <v>9</v>
          </cell>
          <cell r="P994">
            <v>154</v>
          </cell>
        </row>
        <row r="995">
          <cell r="A995" t="str">
            <v>PNS-ATL</v>
          </cell>
          <cell r="B995">
            <v>21</v>
          </cell>
          <cell r="D995">
            <v>21</v>
          </cell>
          <cell r="F995">
            <v>23</v>
          </cell>
          <cell r="H995">
            <v>21</v>
          </cell>
          <cell r="J995">
            <v>21</v>
          </cell>
          <cell r="L995">
            <v>21</v>
          </cell>
          <cell r="N995">
            <v>21</v>
          </cell>
          <cell r="P995">
            <v>149</v>
          </cell>
        </row>
        <row r="996">
          <cell r="A996" t="str">
            <v>PUJ-ATL</v>
          </cell>
          <cell r="B996">
            <v>11</v>
          </cell>
          <cell r="D996">
            <v>11</v>
          </cell>
          <cell r="F996">
            <v>11</v>
          </cell>
          <cell r="H996">
            <v>9</v>
          </cell>
          <cell r="J996">
            <v>9</v>
          </cell>
          <cell r="L996">
            <v>9</v>
          </cell>
          <cell r="N996">
            <v>9</v>
          </cell>
          <cell r="P996">
            <v>69</v>
          </cell>
        </row>
        <row r="997">
          <cell r="A997" t="str">
            <v>PUJ-BWI</v>
          </cell>
          <cell r="H997">
            <v>7</v>
          </cell>
          <cell r="J997">
            <v>7</v>
          </cell>
          <cell r="L997">
            <v>7</v>
          </cell>
          <cell r="N997">
            <v>7</v>
          </cell>
          <cell r="P997">
            <v>28</v>
          </cell>
        </row>
        <row r="998">
          <cell r="A998" t="str">
            <v>PVD-BWI</v>
          </cell>
          <cell r="C998">
            <v>52</v>
          </cell>
          <cell r="E998">
            <v>52</v>
          </cell>
          <cell r="G998">
            <v>54</v>
          </cell>
          <cell r="I998">
            <v>55</v>
          </cell>
          <cell r="K998">
            <v>55</v>
          </cell>
          <cell r="M998">
            <v>66</v>
          </cell>
          <cell r="O998">
            <v>66</v>
          </cell>
          <cell r="P998">
            <v>400</v>
          </cell>
        </row>
        <row r="999">
          <cell r="A999" t="str">
            <v>PVD-DEN</v>
          </cell>
          <cell r="C999">
            <v>7</v>
          </cell>
          <cell r="E999">
            <v>7</v>
          </cell>
          <cell r="G999">
            <v>7</v>
          </cell>
          <cell r="I999">
            <v>7</v>
          </cell>
          <cell r="K999">
            <v>7</v>
          </cell>
          <cell r="M999">
            <v>7</v>
          </cell>
          <cell r="O999">
            <v>7</v>
          </cell>
          <cell r="P999">
            <v>49</v>
          </cell>
        </row>
        <row r="1000">
          <cell r="A1000" t="str">
            <v>PVD-FLL</v>
          </cell>
          <cell r="C1000">
            <v>8</v>
          </cell>
          <cell r="E1000">
            <v>8</v>
          </cell>
          <cell r="G1000">
            <v>15</v>
          </cell>
          <cell r="I1000">
            <v>8</v>
          </cell>
          <cell r="K1000">
            <v>8</v>
          </cell>
          <cell r="M1000">
            <v>13</v>
          </cell>
          <cell r="O1000">
            <v>13</v>
          </cell>
          <cell r="P1000">
            <v>73</v>
          </cell>
        </row>
        <row r="1001">
          <cell r="A1001" t="str">
            <v>PVD-MCO</v>
          </cell>
          <cell r="C1001">
            <v>22</v>
          </cell>
          <cell r="E1001">
            <v>22</v>
          </cell>
          <cell r="G1001">
            <v>35</v>
          </cell>
          <cell r="I1001">
            <v>34</v>
          </cell>
          <cell r="K1001">
            <v>34</v>
          </cell>
          <cell r="M1001">
            <v>29</v>
          </cell>
          <cell r="O1001">
            <v>29</v>
          </cell>
          <cell r="P1001">
            <v>205</v>
          </cell>
        </row>
        <row r="1002">
          <cell r="A1002" t="str">
            <v>PVD-MDW</v>
          </cell>
          <cell r="C1002">
            <v>13</v>
          </cell>
          <cell r="E1002">
            <v>13</v>
          </cell>
          <cell r="G1002">
            <v>19</v>
          </cell>
          <cell r="I1002">
            <v>20</v>
          </cell>
          <cell r="K1002">
            <v>20</v>
          </cell>
          <cell r="M1002">
            <v>21</v>
          </cell>
          <cell r="O1002">
            <v>21</v>
          </cell>
          <cell r="P1002">
            <v>127</v>
          </cell>
        </row>
        <row r="1003">
          <cell r="A1003" t="str">
            <v>PVD-PBI</v>
          </cell>
          <cell r="G1003">
            <v>7</v>
          </cell>
          <cell r="P1003">
            <v>7</v>
          </cell>
        </row>
        <row r="1004">
          <cell r="A1004" t="str">
            <v>PVD-RSW</v>
          </cell>
          <cell r="G1004">
            <v>7</v>
          </cell>
          <cell r="I1004">
            <v>1</v>
          </cell>
          <cell r="K1004">
            <v>1</v>
          </cell>
          <cell r="P1004">
            <v>9</v>
          </cell>
        </row>
        <row r="1005">
          <cell r="A1005" t="str">
            <v>PVD-TPA</v>
          </cell>
          <cell r="C1005">
            <v>13</v>
          </cell>
          <cell r="E1005">
            <v>13</v>
          </cell>
          <cell r="G1005">
            <v>21</v>
          </cell>
          <cell r="I1005">
            <v>14</v>
          </cell>
          <cell r="K1005">
            <v>14</v>
          </cell>
          <cell r="M1005">
            <v>14</v>
          </cell>
          <cell r="O1005">
            <v>14</v>
          </cell>
          <cell r="P1005">
            <v>103</v>
          </cell>
        </row>
        <row r="1006">
          <cell r="A1006" t="str">
            <v>PWM-BWI</v>
          </cell>
          <cell r="B1006">
            <v>14</v>
          </cell>
          <cell r="D1006">
            <v>14</v>
          </cell>
          <cell r="F1006">
            <v>20</v>
          </cell>
          <cell r="I1006">
            <v>20</v>
          </cell>
          <cell r="K1006">
            <v>20</v>
          </cell>
          <cell r="M1006">
            <v>20</v>
          </cell>
          <cell r="O1006">
            <v>20</v>
          </cell>
          <cell r="P1006">
            <v>128</v>
          </cell>
        </row>
        <row r="1007">
          <cell r="A1007" t="str">
            <v>RDU-ATL</v>
          </cell>
          <cell r="B1007">
            <v>21</v>
          </cell>
          <cell r="D1007">
            <v>21</v>
          </cell>
          <cell r="F1007">
            <v>21</v>
          </cell>
          <cell r="H1007">
            <v>21</v>
          </cell>
          <cell r="J1007">
            <v>21</v>
          </cell>
          <cell r="L1007">
            <v>21</v>
          </cell>
          <cell r="N1007">
            <v>21</v>
          </cell>
          <cell r="P1007">
            <v>147</v>
          </cell>
        </row>
        <row r="1008">
          <cell r="A1008" t="str">
            <v>RDU-BNA</v>
          </cell>
          <cell r="C1008">
            <v>25</v>
          </cell>
          <cell r="E1008">
            <v>25</v>
          </cell>
          <cell r="G1008">
            <v>27</v>
          </cell>
          <cell r="I1008">
            <v>25</v>
          </cell>
          <cell r="K1008">
            <v>25</v>
          </cell>
          <cell r="M1008">
            <v>25</v>
          </cell>
          <cell r="O1008">
            <v>25</v>
          </cell>
          <cell r="P1008">
            <v>177</v>
          </cell>
        </row>
        <row r="1009">
          <cell r="A1009" t="str">
            <v>RDU-BWI</v>
          </cell>
          <cell r="C1009">
            <v>34</v>
          </cell>
          <cell r="E1009">
            <v>34</v>
          </cell>
          <cell r="G1009">
            <v>38</v>
          </cell>
          <cell r="I1009">
            <v>46</v>
          </cell>
          <cell r="K1009">
            <v>46</v>
          </cell>
          <cell r="M1009">
            <v>46</v>
          </cell>
          <cell r="O1009">
            <v>46</v>
          </cell>
          <cell r="P1009">
            <v>290</v>
          </cell>
        </row>
        <row r="1010">
          <cell r="A1010" t="str">
            <v>RDU-DEN</v>
          </cell>
          <cell r="C1010">
            <v>7</v>
          </cell>
          <cell r="E1010">
            <v>7</v>
          </cell>
          <cell r="G1010">
            <v>7</v>
          </cell>
          <cell r="I1010">
            <v>7</v>
          </cell>
          <cell r="K1010">
            <v>7</v>
          </cell>
          <cell r="M1010">
            <v>14</v>
          </cell>
          <cell r="O1010">
            <v>14</v>
          </cell>
          <cell r="P1010">
            <v>63</v>
          </cell>
        </row>
        <row r="1011">
          <cell r="A1011" t="str">
            <v>RDU-FLL</v>
          </cell>
          <cell r="C1011">
            <v>7</v>
          </cell>
          <cell r="E1011">
            <v>7</v>
          </cell>
          <cell r="G1011">
            <v>7</v>
          </cell>
          <cell r="I1011">
            <v>7</v>
          </cell>
          <cell r="K1011">
            <v>7</v>
          </cell>
          <cell r="L1011">
            <v>7</v>
          </cell>
          <cell r="N1011">
            <v>7</v>
          </cell>
          <cell r="P1011">
            <v>49</v>
          </cell>
        </row>
        <row r="1012">
          <cell r="A1012" t="str">
            <v>RDU-HOU</v>
          </cell>
          <cell r="C1012">
            <v>7</v>
          </cell>
          <cell r="E1012">
            <v>7</v>
          </cell>
          <cell r="G1012">
            <v>13</v>
          </cell>
          <cell r="I1012">
            <v>12</v>
          </cell>
          <cell r="K1012">
            <v>12</v>
          </cell>
          <cell r="M1012">
            <v>12</v>
          </cell>
          <cell r="O1012">
            <v>12</v>
          </cell>
          <cell r="P1012">
            <v>75</v>
          </cell>
        </row>
        <row r="1013">
          <cell r="A1013" t="str">
            <v>RDU-LAS</v>
          </cell>
          <cell r="C1013">
            <v>7</v>
          </cell>
          <cell r="E1013">
            <v>7</v>
          </cell>
          <cell r="G1013">
            <v>7</v>
          </cell>
          <cell r="I1013">
            <v>7</v>
          </cell>
          <cell r="K1013">
            <v>7</v>
          </cell>
          <cell r="M1013">
            <v>7</v>
          </cell>
          <cell r="O1013">
            <v>7</v>
          </cell>
          <cell r="P1013">
            <v>49</v>
          </cell>
        </row>
        <row r="1014">
          <cell r="A1014" t="str">
            <v>RDU-MCO</v>
          </cell>
          <cell r="C1014">
            <v>20</v>
          </cell>
          <cell r="E1014">
            <v>20</v>
          </cell>
          <cell r="F1014">
            <v>7</v>
          </cell>
          <cell r="G1014">
            <v>21</v>
          </cell>
          <cell r="H1014">
            <v>14</v>
          </cell>
          <cell r="I1014">
            <v>14</v>
          </cell>
          <cell r="J1014">
            <v>14</v>
          </cell>
          <cell r="K1014">
            <v>14</v>
          </cell>
          <cell r="L1014">
            <v>14</v>
          </cell>
          <cell r="M1014">
            <v>8</v>
          </cell>
          <cell r="N1014">
            <v>14</v>
          </cell>
          <cell r="O1014">
            <v>8</v>
          </cell>
          <cell r="P1014">
            <v>168</v>
          </cell>
        </row>
        <row r="1015">
          <cell r="A1015" t="str">
            <v>RDU-MDW</v>
          </cell>
          <cell r="C1015">
            <v>18</v>
          </cell>
          <cell r="E1015">
            <v>18</v>
          </cell>
          <cell r="G1015">
            <v>19</v>
          </cell>
          <cell r="I1015">
            <v>26</v>
          </cell>
          <cell r="K1015">
            <v>26</v>
          </cell>
          <cell r="M1015">
            <v>28</v>
          </cell>
          <cell r="O1015">
            <v>28</v>
          </cell>
          <cell r="P1015">
            <v>163</v>
          </cell>
        </row>
        <row r="1016">
          <cell r="A1016" t="str">
            <v>RDU-PHL</v>
          </cell>
          <cell r="C1016">
            <v>13</v>
          </cell>
          <cell r="E1016">
            <v>13</v>
          </cell>
          <cell r="P1016">
            <v>26</v>
          </cell>
        </row>
        <row r="1017">
          <cell r="A1017" t="str">
            <v>RDU-PHX</v>
          </cell>
          <cell r="G1017">
            <v>7</v>
          </cell>
          <cell r="I1017">
            <v>6</v>
          </cell>
          <cell r="K1017">
            <v>6</v>
          </cell>
          <cell r="M1017">
            <v>7</v>
          </cell>
          <cell r="O1017">
            <v>7</v>
          </cell>
          <cell r="P1017">
            <v>33</v>
          </cell>
        </row>
        <row r="1018">
          <cell r="A1018" t="str">
            <v>RDU-STL</v>
          </cell>
          <cell r="C1018">
            <v>7</v>
          </cell>
          <cell r="E1018">
            <v>7</v>
          </cell>
          <cell r="G1018">
            <v>7</v>
          </cell>
          <cell r="I1018">
            <v>7</v>
          </cell>
          <cell r="K1018">
            <v>7</v>
          </cell>
          <cell r="M1018">
            <v>13</v>
          </cell>
          <cell r="O1018">
            <v>13</v>
          </cell>
          <cell r="P1018">
            <v>61</v>
          </cell>
        </row>
        <row r="1019">
          <cell r="A1019" t="str">
            <v>RDU-TPA</v>
          </cell>
          <cell r="C1019">
            <v>19</v>
          </cell>
          <cell r="E1019">
            <v>19</v>
          </cell>
          <cell r="G1019">
            <v>20</v>
          </cell>
          <cell r="I1019">
            <v>19</v>
          </cell>
          <cell r="K1019">
            <v>19</v>
          </cell>
          <cell r="L1019">
            <v>7</v>
          </cell>
          <cell r="M1019">
            <v>14</v>
          </cell>
          <cell r="N1019">
            <v>7</v>
          </cell>
          <cell r="O1019">
            <v>14</v>
          </cell>
          <cell r="P1019">
            <v>138</v>
          </cell>
        </row>
        <row r="1020">
          <cell r="A1020" t="str">
            <v>RIC-ATL</v>
          </cell>
          <cell r="B1020">
            <v>27</v>
          </cell>
          <cell r="D1020">
            <v>27</v>
          </cell>
          <cell r="F1020">
            <v>27</v>
          </cell>
          <cell r="H1020">
            <v>26</v>
          </cell>
          <cell r="J1020">
            <v>26</v>
          </cell>
          <cell r="L1020">
            <v>26</v>
          </cell>
          <cell r="N1020">
            <v>26</v>
          </cell>
          <cell r="P1020">
            <v>185</v>
          </cell>
        </row>
        <row r="1021">
          <cell r="A1021" t="str">
            <v>RIC-MCO</v>
          </cell>
          <cell r="B1021">
            <v>7</v>
          </cell>
          <cell r="D1021">
            <v>7</v>
          </cell>
          <cell r="F1021">
            <v>7</v>
          </cell>
          <cell r="H1021">
            <v>7</v>
          </cell>
          <cell r="J1021">
            <v>7</v>
          </cell>
          <cell r="L1021">
            <v>7</v>
          </cell>
          <cell r="N1021">
            <v>7</v>
          </cell>
          <cell r="P1021">
            <v>49</v>
          </cell>
        </row>
        <row r="1022">
          <cell r="A1022" t="str">
            <v>RNO-DEN</v>
          </cell>
          <cell r="C1022">
            <v>7</v>
          </cell>
          <cell r="E1022">
            <v>7</v>
          </cell>
          <cell r="G1022">
            <v>14</v>
          </cell>
          <cell r="I1022">
            <v>14</v>
          </cell>
          <cell r="K1022">
            <v>14</v>
          </cell>
          <cell r="M1022">
            <v>14</v>
          </cell>
          <cell r="O1022">
            <v>14</v>
          </cell>
          <cell r="P1022">
            <v>84</v>
          </cell>
        </row>
        <row r="1023">
          <cell r="A1023" t="str">
            <v>RNO-LAS</v>
          </cell>
          <cell r="C1023">
            <v>65</v>
          </cell>
          <cell r="E1023">
            <v>66</v>
          </cell>
          <cell r="G1023">
            <v>68</v>
          </cell>
          <cell r="I1023">
            <v>73</v>
          </cell>
          <cell r="K1023">
            <v>73</v>
          </cell>
          <cell r="M1023">
            <v>74</v>
          </cell>
          <cell r="O1023">
            <v>74</v>
          </cell>
          <cell r="P1023">
            <v>493</v>
          </cell>
        </row>
        <row r="1024">
          <cell r="A1024" t="str">
            <v>RNO-LAX</v>
          </cell>
          <cell r="C1024">
            <v>13</v>
          </cell>
          <cell r="E1024">
            <v>13</v>
          </cell>
          <cell r="G1024">
            <v>20</v>
          </cell>
          <cell r="I1024">
            <v>20</v>
          </cell>
          <cell r="K1024">
            <v>20</v>
          </cell>
          <cell r="M1024">
            <v>21</v>
          </cell>
          <cell r="O1024">
            <v>21</v>
          </cell>
          <cell r="P1024">
            <v>128</v>
          </cell>
        </row>
        <row r="1025">
          <cell r="A1025" t="str">
            <v>RNO-MDW</v>
          </cell>
          <cell r="C1025">
            <v>7</v>
          </cell>
          <cell r="E1025">
            <v>7</v>
          </cell>
          <cell r="G1025">
            <v>7</v>
          </cell>
          <cell r="I1025">
            <v>6</v>
          </cell>
          <cell r="K1025">
            <v>6</v>
          </cell>
          <cell r="M1025">
            <v>7</v>
          </cell>
          <cell r="O1025">
            <v>7</v>
          </cell>
          <cell r="P1025">
            <v>47</v>
          </cell>
        </row>
        <row r="1026">
          <cell r="A1026" t="str">
            <v>RNO-OAK</v>
          </cell>
          <cell r="C1026">
            <v>14</v>
          </cell>
          <cell r="E1026">
            <v>14</v>
          </cell>
          <cell r="G1026">
            <v>13</v>
          </cell>
          <cell r="I1026">
            <v>14</v>
          </cell>
          <cell r="K1026">
            <v>14</v>
          </cell>
          <cell r="P1026">
            <v>69</v>
          </cell>
        </row>
        <row r="1027">
          <cell r="A1027" t="str">
            <v>RNO-ONT</v>
          </cell>
          <cell r="C1027">
            <v>7</v>
          </cell>
          <cell r="E1027">
            <v>7</v>
          </cell>
          <cell r="P1027">
            <v>14</v>
          </cell>
        </row>
        <row r="1028">
          <cell r="A1028" t="str">
            <v>RNO-PDX</v>
          </cell>
          <cell r="C1028">
            <v>13</v>
          </cell>
          <cell r="E1028">
            <v>13</v>
          </cell>
          <cell r="G1028">
            <v>14</v>
          </cell>
          <cell r="I1028">
            <v>14</v>
          </cell>
          <cell r="K1028">
            <v>14</v>
          </cell>
          <cell r="M1028">
            <v>14</v>
          </cell>
          <cell r="O1028">
            <v>14</v>
          </cell>
          <cell r="P1028">
            <v>96</v>
          </cell>
        </row>
        <row r="1029">
          <cell r="A1029" t="str">
            <v>RNO-PHX</v>
          </cell>
          <cell r="C1029">
            <v>13</v>
          </cell>
          <cell r="E1029">
            <v>13</v>
          </cell>
          <cell r="G1029">
            <v>14</v>
          </cell>
          <cell r="I1029">
            <v>19</v>
          </cell>
          <cell r="K1029">
            <v>19</v>
          </cell>
          <cell r="M1029">
            <v>20</v>
          </cell>
          <cell r="O1029">
            <v>20</v>
          </cell>
          <cell r="P1029">
            <v>118</v>
          </cell>
        </row>
        <row r="1030">
          <cell r="A1030" t="str">
            <v>RNO-SAN</v>
          </cell>
          <cell r="C1030">
            <v>14</v>
          </cell>
          <cell r="E1030">
            <v>14</v>
          </cell>
          <cell r="G1030">
            <v>14</v>
          </cell>
          <cell r="I1030">
            <v>14</v>
          </cell>
          <cell r="K1030">
            <v>14</v>
          </cell>
          <cell r="M1030">
            <v>14</v>
          </cell>
          <cell r="O1030">
            <v>14</v>
          </cell>
          <cell r="P1030">
            <v>98</v>
          </cell>
        </row>
        <row r="1031">
          <cell r="A1031" t="str">
            <v>RNO-SEA</v>
          </cell>
          <cell r="C1031">
            <v>7</v>
          </cell>
          <cell r="E1031">
            <v>7</v>
          </cell>
          <cell r="G1031">
            <v>7</v>
          </cell>
          <cell r="I1031">
            <v>7</v>
          </cell>
          <cell r="K1031">
            <v>7</v>
          </cell>
          <cell r="M1031">
            <v>13</v>
          </cell>
          <cell r="O1031">
            <v>13</v>
          </cell>
          <cell r="P1031">
            <v>61</v>
          </cell>
        </row>
        <row r="1032">
          <cell r="A1032" t="str">
            <v>ROC-ATL</v>
          </cell>
          <cell r="B1032">
            <v>14</v>
          </cell>
          <cell r="D1032">
            <v>14</v>
          </cell>
          <cell r="F1032">
            <v>16</v>
          </cell>
          <cell r="P1032">
            <v>44</v>
          </cell>
        </row>
        <row r="1033">
          <cell r="A1033" t="str">
            <v>ROC-BWI</v>
          </cell>
          <cell r="B1033">
            <v>14</v>
          </cell>
          <cell r="D1033">
            <v>14</v>
          </cell>
          <cell r="F1033">
            <v>14</v>
          </cell>
          <cell r="I1033">
            <v>14</v>
          </cell>
          <cell r="K1033">
            <v>14</v>
          </cell>
          <cell r="M1033">
            <v>14</v>
          </cell>
          <cell r="O1033">
            <v>14</v>
          </cell>
          <cell r="P1033">
            <v>98</v>
          </cell>
        </row>
        <row r="1034">
          <cell r="A1034" t="str">
            <v>ROC-MCO</v>
          </cell>
          <cell r="B1034">
            <v>7</v>
          </cell>
          <cell r="D1034">
            <v>7</v>
          </cell>
          <cell r="F1034">
            <v>14</v>
          </cell>
          <cell r="I1034">
            <v>13</v>
          </cell>
          <cell r="K1034">
            <v>13</v>
          </cell>
          <cell r="M1034">
            <v>14</v>
          </cell>
          <cell r="O1034">
            <v>14</v>
          </cell>
          <cell r="P1034">
            <v>82</v>
          </cell>
        </row>
        <row r="1035">
          <cell r="A1035" t="str">
            <v>ROC-MDW</v>
          </cell>
          <cell r="I1035">
            <v>14</v>
          </cell>
          <cell r="K1035">
            <v>14</v>
          </cell>
          <cell r="M1035">
            <v>14</v>
          </cell>
          <cell r="O1035">
            <v>14</v>
          </cell>
          <cell r="P1035">
            <v>56</v>
          </cell>
        </row>
        <row r="1036">
          <cell r="A1036" t="str">
            <v>ROC-TPA</v>
          </cell>
          <cell r="B1036">
            <v>7</v>
          </cell>
          <cell r="D1036">
            <v>7</v>
          </cell>
          <cell r="F1036">
            <v>14</v>
          </cell>
          <cell r="I1036">
            <v>7</v>
          </cell>
          <cell r="K1036">
            <v>7</v>
          </cell>
          <cell r="M1036">
            <v>7</v>
          </cell>
          <cell r="O1036">
            <v>7</v>
          </cell>
          <cell r="P1036">
            <v>56</v>
          </cell>
        </row>
        <row r="1037">
          <cell r="A1037" t="str">
            <v>RSW-ATL</v>
          </cell>
          <cell r="B1037">
            <v>28</v>
          </cell>
          <cell r="D1037">
            <v>28</v>
          </cell>
          <cell r="F1037">
            <v>32</v>
          </cell>
          <cell r="H1037">
            <v>34</v>
          </cell>
          <cell r="J1037">
            <v>34</v>
          </cell>
          <cell r="L1037">
            <v>29</v>
          </cell>
          <cell r="N1037">
            <v>29</v>
          </cell>
          <cell r="P1037">
            <v>214</v>
          </cell>
        </row>
        <row r="1038">
          <cell r="A1038" t="str">
            <v>RSW-BDL</v>
          </cell>
          <cell r="C1038">
            <v>7</v>
          </cell>
          <cell r="E1038">
            <v>7</v>
          </cell>
          <cell r="G1038">
            <v>7</v>
          </cell>
          <cell r="I1038">
            <v>6</v>
          </cell>
          <cell r="K1038">
            <v>6</v>
          </cell>
          <cell r="P1038">
            <v>33</v>
          </cell>
        </row>
        <row r="1039">
          <cell r="A1039" t="str">
            <v>RSW-BNA</v>
          </cell>
          <cell r="C1039">
            <v>7</v>
          </cell>
          <cell r="E1039">
            <v>7</v>
          </cell>
          <cell r="G1039">
            <v>8</v>
          </cell>
          <cell r="P1039">
            <v>22</v>
          </cell>
        </row>
        <row r="1040">
          <cell r="A1040" t="str">
            <v>RSW-BOS</v>
          </cell>
          <cell r="C1040">
            <v>7</v>
          </cell>
          <cell r="E1040">
            <v>7</v>
          </cell>
          <cell r="G1040">
            <v>14</v>
          </cell>
          <cell r="P1040">
            <v>28</v>
          </cell>
        </row>
        <row r="1041">
          <cell r="A1041" t="str">
            <v>RSW-BUF</v>
          </cell>
          <cell r="F1041">
            <v>7</v>
          </cell>
          <cell r="P1041">
            <v>7</v>
          </cell>
        </row>
        <row r="1042">
          <cell r="A1042" t="str">
            <v>RSW-BWI</v>
          </cell>
          <cell r="B1042">
            <v>14</v>
          </cell>
          <cell r="C1042">
            <v>15</v>
          </cell>
          <cell r="D1042">
            <v>14</v>
          </cell>
          <cell r="E1042">
            <v>15</v>
          </cell>
          <cell r="F1042">
            <v>21</v>
          </cell>
          <cell r="G1042">
            <v>21</v>
          </cell>
          <cell r="H1042">
            <v>14</v>
          </cell>
          <cell r="I1042">
            <v>14</v>
          </cell>
          <cell r="J1042">
            <v>14</v>
          </cell>
          <cell r="K1042">
            <v>14</v>
          </cell>
          <cell r="L1042">
            <v>8</v>
          </cell>
          <cell r="M1042">
            <v>14</v>
          </cell>
          <cell r="N1042">
            <v>8</v>
          </cell>
          <cell r="O1042">
            <v>14</v>
          </cell>
          <cell r="P1042">
            <v>200</v>
          </cell>
        </row>
        <row r="1043">
          <cell r="A1043" t="str">
            <v>RSW-CAK</v>
          </cell>
          <cell r="B1043">
            <v>15</v>
          </cell>
          <cell r="D1043">
            <v>15</v>
          </cell>
          <cell r="F1043">
            <v>14</v>
          </cell>
          <cell r="P1043">
            <v>44</v>
          </cell>
        </row>
        <row r="1044">
          <cell r="A1044" t="str">
            <v>RSW-CLE</v>
          </cell>
          <cell r="G1044">
            <v>1</v>
          </cell>
          <cell r="P1044">
            <v>1</v>
          </cell>
        </row>
        <row r="1045">
          <cell r="A1045" t="str">
            <v>RSW-CMH</v>
          </cell>
          <cell r="B1045">
            <v>14</v>
          </cell>
          <cell r="D1045">
            <v>14</v>
          </cell>
          <cell r="F1045">
            <v>21</v>
          </cell>
          <cell r="H1045">
            <v>7</v>
          </cell>
          <cell r="J1045">
            <v>7</v>
          </cell>
          <cell r="L1045">
            <v>8</v>
          </cell>
          <cell r="N1045">
            <v>8</v>
          </cell>
          <cell r="P1045">
            <v>79</v>
          </cell>
        </row>
        <row r="1046">
          <cell r="A1046" t="str">
            <v>RSW-DCA</v>
          </cell>
          <cell r="B1046">
            <v>7</v>
          </cell>
          <cell r="D1046">
            <v>7</v>
          </cell>
          <cell r="F1046">
            <v>7</v>
          </cell>
          <cell r="H1046">
            <v>7</v>
          </cell>
          <cell r="J1046">
            <v>7</v>
          </cell>
          <cell r="L1046">
            <v>7</v>
          </cell>
          <cell r="N1046">
            <v>7</v>
          </cell>
          <cell r="P1046">
            <v>49</v>
          </cell>
        </row>
        <row r="1047">
          <cell r="A1047" t="str">
            <v>RSW-DTW</v>
          </cell>
          <cell r="F1047">
            <v>7</v>
          </cell>
          <cell r="P1047">
            <v>7</v>
          </cell>
        </row>
        <row r="1048">
          <cell r="A1048" t="str">
            <v>RSW-FNT</v>
          </cell>
          <cell r="B1048">
            <v>4</v>
          </cell>
          <cell r="D1048">
            <v>4</v>
          </cell>
          <cell r="F1048">
            <v>7</v>
          </cell>
          <cell r="P1048">
            <v>15</v>
          </cell>
        </row>
        <row r="1049">
          <cell r="A1049" t="str">
            <v>RSW-GRR</v>
          </cell>
          <cell r="B1049">
            <v>4</v>
          </cell>
          <cell r="D1049">
            <v>4</v>
          </cell>
          <cell r="F1049">
            <v>8</v>
          </cell>
          <cell r="P1049">
            <v>16</v>
          </cell>
        </row>
        <row r="1050">
          <cell r="A1050" t="str">
            <v>RSW-IND</v>
          </cell>
          <cell r="B1050">
            <v>21</v>
          </cell>
          <cell r="D1050">
            <v>21</v>
          </cell>
          <cell r="F1050">
            <v>24</v>
          </cell>
          <cell r="H1050">
            <v>14</v>
          </cell>
          <cell r="J1050">
            <v>14</v>
          </cell>
          <cell r="L1050">
            <v>15</v>
          </cell>
          <cell r="N1050">
            <v>15</v>
          </cell>
          <cell r="P1050">
            <v>124</v>
          </cell>
        </row>
        <row r="1051">
          <cell r="A1051" t="str">
            <v>RSW-ISP</v>
          </cell>
          <cell r="G1051">
            <v>7</v>
          </cell>
          <cell r="P1051">
            <v>7</v>
          </cell>
        </row>
        <row r="1052">
          <cell r="A1052" t="str">
            <v>RSW-MDW</v>
          </cell>
          <cell r="C1052">
            <v>22</v>
          </cell>
          <cell r="E1052">
            <v>22</v>
          </cell>
          <cell r="F1052">
            <v>14</v>
          </cell>
          <cell r="G1052">
            <v>36</v>
          </cell>
          <cell r="H1052">
            <v>7</v>
          </cell>
          <cell r="I1052">
            <v>21</v>
          </cell>
          <cell r="J1052">
            <v>7</v>
          </cell>
          <cell r="K1052">
            <v>21</v>
          </cell>
          <cell r="L1052">
            <v>7</v>
          </cell>
          <cell r="M1052">
            <v>15</v>
          </cell>
          <cell r="N1052">
            <v>7</v>
          </cell>
          <cell r="O1052">
            <v>15</v>
          </cell>
          <cell r="P1052">
            <v>194</v>
          </cell>
        </row>
        <row r="1053">
          <cell r="A1053" t="str">
            <v>RSW-MKE</v>
          </cell>
          <cell r="B1053">
            <v>14</v>
          </cell>
          <cell r="D1053">
            <v>14</v>
          </cell>
          <cell r="F1053">
            <v>28</v>
          </cell>
          <cell r="H1053">
            <v>14</v>
          </cell>
          <cell r="J1053">
            <v>14</v>
          </cell>
          <cell r="L1053">
            <v>8</v>
          </cell>
          <cell r="N1053">
            <v>8</v>
          </cell>
          <cell r="P1053">
            <v>100</v>
          </cell>
        </row>
        <row r="1054">
          <cell r="A1054" t="str">
            <v>RSW-PHL</v>
          </cell>
          <cell r="C1054">
            <v>7</v>
          </cell>
          <cell r="E1054">
            <v>7</v>
          </cell>
          <cell r="G1054">
            <v>8</v>
          </cell>
          <cell r="H1054">
            <v>7</v>
          </cell>
          <cell r="J1054">
            <v>7</v>
          </cell>
          <cell r="L1054">
            <v>7</v>
          </cell>
          <cell r="N1054">
            <v>7</v>
          </cell>
          <cell r="P1054">
            <v>50</v>
          </cell>
        </row>
        <row r="1055">
          <cell r="A1055" t="str">
            <v>RSW-PIT</v>
          </cell>
          <cell r="B1055">
            <v>14</v>
          </cell>
          <cell r="D1055">
            <v>14</v>
          </cell>
          <cell r="F1055">
            <v>21</v>
          </cell>
          <cell r="H1055">
            <v>7</v>
          </cell>
          <cell r="J1055">
            <v>7</v>
          </cell>
          <cell r="L1055">
            <v>8</v>
          </cell>
          <cell r="N1055">
            <v>8</v>
          </cell>
          <cell r="P1055">
            <v>79</v>
          </cell>
        </row>
        <row r="1056">
          <cell r="A1056" t="str">
            <v>RSW-PVD</v>
          </cell>
          <cell r="G1056">
            <v>7</v>
          </cell>
          <cell r="I1056">
            <v>1</v>
          </cell>
          <cell r="K1056">
            <v>1</v>
          </cell>
          <cell r="P1056">
            <v>9</v>
          </cell>
        </row>
        <row r="1057">
          <cell r="A1057" t="str">
            <v>RSW-STL</v>
          </cell>
          <cell r="C1057">
            <v>14</v>
          </cell>
          <cell r="E1057">
            <v>14</v>
          </cell>
          <cell r="G1057">
            <v>14</v>
          </cell>
          <cell r="I1057">
            <v>13</v>
          </cell>
          <cell r="K1057">
            <v>13</v>
          </cell>
          <cell r="M1057">
            <v>8</v>
          </cell>
          <cell r="O1057">
            <v>8</v>
          </cell>
          <cell r="P1057">
            <v>84</v>
          </cell>
        </row>
        <row r="1058">
          <cell r="A1058" t="str">
            <v>SAN-ABQ</v>
          </cell>
          <cell r="C1058">
            <v>13</v>
          </cell>
          <cell r="E1058">
            <v>13</v>
          </cell>
          <cell r="G1058">
            <v>14</v>
          </cell>
          <cell r="I1058">
            <v>20</v>
          </cell>
          <cell r="K1058">
            <v>20</v>
          </cell>
          <cell r="M1058">
            <v>20</v>
          </cell>
          <cell r="O1058">
            <v>20</v>
          </cell>
          <cell r="P1058">
            <v>120</v>
          </cell>
        </row>
        <row r="1059">
          <cell r="A1059" t="str">
            <v>SAN-AUS</v>
          </cell>
          <cell r="C1059">
            <v>13</v>
          </cell>
          <cell r="E1059">
            <v>13</v>
          </cell>
          <cell r="G1059">
            <v>13</v>
          </cell>
          <cell r="I1059">
            <v>13</v>
          </cell>
          <cell r="K1059">
            <v>13</v>
          </cell>
          <cell r="M1059">
            <v>14</v>
          </cell>
          <cell r="O1059">
            <v>14</v>
          </cell>
          <cell r="P1059">
            <v>93</v>
          </cell>
        </row>
        <row r="1060">
          <cell r="A1060" t="str">
            <v>SAN-BNA</v>
          </cell>
          <cell r="C1060">
            <v>7</v>
          </cell>
          <cell r="E1060">
            <v>7</v>
          </cell>
          <cell r="G1060">
            <v>7</v>
          </cell>
          <cell r="I1060">
            <v>7</v>
          </cell>
          <cell r="K1060">
            <v>7</v>
          </cell>
          <cell r="M1060">
            <v>13</v>
          </cell>
          <cell r="O1060">
            <v>13</v>
          </cell>
          <cell r="P1060">
            <v>61</v>
          </cell>
        </row>
        <row r="1061">
          <cell r="A1061" t="str">
            <v>SAN-BWI</v>
          </cell>
          <cell r="C1061">
            <v>13</v>
          </cell>
          <cell r="E1061">
            <v>13</v>
          </cell>
          <cell r="G1061">
            <v>14</v>
          </cell>
          <cell r="I1061">
            <v>14</v>
          </cell>
          <cell r="K1061">
            <v>14</v>
          </cell>
          <cell r="M1061">
            <v>14</v>
          </cell>
          <cell r="O1061">
            <v>14</v>
          </cell>
          <cell r="P1061">
            <v>96</v>
          </cell>
        </row>
        <row r="1062">
          <cell r="A1062" t="str">
            <v>SAN-DEN</v>
          </cell>
          <cell r="C1062">
            <v>27</v>
          </cell>
          <cell r="E1062">
            <v>27</v>
          </cell>
          <cell r="G1062">
            <v>35</v>
          </cell>
          <cell r="I1062">
            <v>34</v>
          </cell>
          <cell r="K1062">
            <v>34</v>
          </cell>
          <cell r="M1062">
            <v>34</v>
          </cell>
          <cell r="O1062">
            <v>34</v>
          </cell>
          <cell r="P1062">
            <v>225</v>
          </cell>
        </row>
        <row r="1063">
          <cell r="A1063" t="str">
            <v>SAN-ELP</v>
          </cell>
          <cell r="C1063">
            <v>7</v>
          </cell>
          <cell r="E1063">
            <v>7</v>
          </cell>
          <cell r="G1063">
            <v>7</v>
          </cell>
          <cell r="I1063">
            <v>7</v>
          </cell>
          <cell r="K1063">
            <v>7</v>
          </cell>
          <cell r="M1063">
            <v>7</v>
          </cell>
          <cell r="O1063">
            <v>7</v>
          </cell>
          <cell r="P1063">
            <v>49</v>
          </cell>
        </row>
        <row r="1064">
          <cell r="A1064" t="str">
            <v>SAN-HOU</v>
          </cell>
          <cell r="C1064">
            <v>13</v>
          </cell>
          <cell r="E1064">
            <v>13</v>
          </cell>
          <cell r="G1064">
            <v>14</v>
          </cell>
          <cell r="I1064">
            <v>14</v>
          </cell>
          <cell r="K1064">
            <v>14</v>
          </cell>
          <cell r="M1064">
            <v>15</v>
          </cell>
          <cell r="O1064">
            <v>15</v>
          </cell>
          <cell r="P1064">
            <v>98</v>
          </cell>
        </row>
        <row r="1065">
          <cell r="A1065" t="str">
            <v>SAN-LAS</v>
          </cell>
          <cell r="C1065">
            <v>74</v>
          </cell>
          <cell r="E1065">
            <v>74</v>
          </cell>
          <cell r="G1065">
            <v>81</v>
          </cell>
          <cell r="I1065">
            <v>80</v>
          </cell>
          <cell r="K1065">
            <v>80</v>
          </cell>
          <cell r="M1065">
            <v>82</v>
          </cell>
          <cell r="O1065">
            <v>82</v>
          </cell>
          <cell r="P1065">
            <v>553</v>
          </cell>
        </row>
        <row r="1066">
          <cell r="A1066" t="str">
            <v>SAN-MCI</v>
          </cell>
          <cell r="C1066">
            <v>7</v>
          </cell>
          <cell r="E1066">
            <v>7</v>
          </cell>
          <cell r="G1066">
            <v>13</v>
          </cell>
          <cell r="I1066">
            <v>13</v>
          </cell>
          <cell r="K1066">
            <v>13</v>
          </cell>
          <cell r="M1066">
            <v>14</v>
          </cell>
          <cell r="O1066">
            <v>14</v>
          </cell>
          <cell r="P1066">
            <v>81</v>
          </cell>
        </row>
        <row r="1067">
          <cell r="A1067" t="str">
            <v>SAN-MDW</v>
          </cell>
          <cell r="C1067">
            <v>19</v>
          </cell>
          <cell r="E1067">
            <v>19</v>
          </cell>
          <cell r="G1067">
            <v>27</v>
          </cell>
          <cell r="I1067">
            <v>27</v>
          </cell>
          <cell r="K1067">
            <v>27</v>
          </cell>
          <cell r="M1067">
            <v>28</v>
          </cell>
          <cell r="O1067">
            <v>28</v>
          </cell>
          <cell r="P1067">
            <v>175</v>
          </cell>
        </row>
        <row r="1068">
          <cell r="A1068" t="str">
            <v>SAN-OAK</v>
          </cell>
          <cell r="C1068">
            <v>72</v>
          </cell>
          <cell r="E1068">
            <v>72</v>
          </cell>
          <cell r="G1068">
            <v>79</v>
          </cell>
          <cell r="I1068">
            <v>79</v>
          </cell>
          <cell r="K1068">
            <v>79</v>
          </cell>
          <cell r="M1068">
            <v>81</v>
          </cell>
          <cell r="O1068">
            <v>81</v>
          </cell>
          <cell r="P1068">
            <v>543</v>
          </cell>
        </row>
        <row r="1069">
          <cell r="A1069" t="str">
            <v>SAN-PHX</v>
          </cell>
          <cell r="C1069">
            <v>72</v>
          </cell>
          <cell r="E1069">
            <v>72</v>
          </cell>
          <cell r="G1069">
            <v>79</v>
          </cell>
          <cell r="I1069">
            <v>80</v>
          </cell>
          <cell r="K1069">
            <v>80</v>
          </cell>
          <cell r="M1069">
            <v>80</v>
          </cell>
          <cell r="O1069">
            <v>80</v>
          </cell>
          <cell r="P1069">
            <v>543</v>
          </cell>
        </row>
        <row r="1070">
          <cell r="A1070" t="str">
            <v>SAN-RNO</v>
          </cell>
          <cell r="C1070">
            <v>13</v>
          </cell>
          <cell r="E1070">
            <v>13</v>
          </cell>
          <cell r="G1070">
            <v>14</v>
          </cell>
          <cell r="I1070">
            <v>13</v>
          </cell>
          <cell r="K1070">
            <v>13</v>
          </cell>
          <cell r="M1070">
            <v>14</v>
          </cell>
          <cell r="O1070">
            <v>14</v>
          </cell>
          <cell r="P1070">
            <v>94</v>
          </cell>
        </row>
        <row r="1071">
          <cell r="A1071" t="str">
            <v>SAN-SAT</v>
          </cell>
          <cell r="C1071">
            <v>13</v>
          </cell>
          <cell r="E1071">
            <v>13</v>
          </cell>
          <cell r="G1071">
            <v>13</v>
          </cell>
          <cell r="I1071">
            <v>13</v>
          </cell>
          <cell r="K1071">
            <v>13</v>
          </cell>
          <cell r="M1071">
            <v>14</v>
          </cell>
          <cell r="O1071">
            <v>14</v>
          </cell>
          <cell r="P1071">
            <v>93</v>
          </cell>
        </row>
        <row r="1072">
          <cell r="A1072" t="str">
            <v>SAN-SFO</v>
          </cell>
          <cell r="C1072">
            <v>57</v>
          </cell>
          <cell r="E1072">
            <v>57</v>
          </cell>
          <cell r="G1072">
            <v>58</v>
          </cell>
          <cell r="I1072">
            <v>58</v>
          </cell>
          <cell r="K1072">
            <v>58</v>
          </cell>
          <cell r="M1072">
            <v>58</v>
          </cell>
          <cell r="O1072">
            <v>58</v>
          </cell>
          <cell r="P1072">
            <v>404</v>
          </cell>
        </row>
        <row r="1073">
          <cell r="A1073" t="str">
            <v>SAN-SJC</v>
          </cell>
          <cell r="C1073">
            <v>60</v>
          </cell>
          <cell r="E1073">
            <v>60</v>
          </cell>
          <cell r="G1073">
            <v>65</v>
          </cell>
          <cell r="I1073">
            <v>65</v>
          </cell>
          <cell r="K1073">
            <v>65</v>
          </cell>
          <cell r="M1073">
            <v>66</v>
          </cell>
          <cell r="O1073">
            <v>66</v>
          </cell>
          <cell r="P1073">
            <v>447</v>
          </cell>
        </row>
        <row r="1074">
          <cell r="A1074" t="str">
            <v>SAN-SMF</v>
          </cell>
          <cell r="C1074">
            <v>63</v>
          </cell>
          <cell r="E1074">
            <v>63</v>
          </cell>
          <cell r="G1074">
            <v>68</v>
          </cell>
          <cell r="I1074">
            <v>67</v>
          </cell>
          <cell r="K1074">
            <v>67</v>
          </cell>
          <cell r="M1074">
            <v>62</v>
          </cell>
          <cell r="O1074">
            <v>62</v>
          </cell>
          <cell r="P1074">
            <v>452</v>
          </cell>
        </row>
        <row r="1075">
          <cell r="A1075" t="str">
            <v>SAN-STL</v>
          </cell>
          <cell r="G1075">
            <v>1</v>
          </cell>
          <cell r="I1075">
            <v>7</v>
          </cell>
          <cell r="K1075">
            <v>7</v>
          </cell>
          <cell r="M1075">
            <v>7</v>
          </cell>
          <cell r="O1075">
            <v>7</v>
          </cell>
          <cell r="P1075">
            <v>29</v>
          </cell>
        </row>
        <row r="1076">
          <cell r="A1076" t="str">
            <v>SAN-TUS</v>
          </cell>
          <cell r="C1076">
            <v>19</v>
          </cell>
          <cell r="E1076">
            <v>19</v>
          </cell>
          <cell r="G1076">
            <v>20</v>
          </cell>
          <cell r="I1076">
            <v>20</v>
          </cell>
          <cell r="K1076">
            <v>20</v>
          </cell>
          <cell r="M1076">
            <v>20</v>
          </cell>
          <cell r="O1076">
            <v>20</v>
          </cell>
          <cell r="P1076">
            <v>138</v>
          </cell>
        </row>
        <row r="1077">
          <cell r="A1077" t="str">
            <v>SAT-ATL</v>
          </cell>
          <cell r="B1077">
            <v>26</v>
          </cell>
          <cell r="D1077">
            <v>26</v>
          </cell>
          <cell r="F1077">
            <v>26</v>
          </cell>
          <cell r="H1077">
            <v>26</v>
          </cell>
          <cell r="J1077">
            <v>26</v>
          </cell>
          <cell r="L1077">
            <v>27</v>
          </cell>
          <cell r="N1077">
            <v>27</v>
          </cell>
          <cell r="P1077">
            <v>184</v>
          </cell>
        </row>
        <row r="1078">
          <cell r="A1078" t="str">
            <v>SAT-BNA</v>
          </cell>
          <cell r="C1078">
            <v>12</v>
          </cell>
          <cell r="E1078">
            <v>12</v>
          </cell>
          <cell r="G1078">
            <v>13</v>
          </cell>
          <cell r="I1078">
            <v>13</v>
          </cell>
          <cell r="K1078">
            <v>13</v>
          </cell>
          <cell r="M1078">
            <v>14</v>
          </cell>
          <cell r="O1078">
            <v>14</v>
          </cell>
          <cell r="P1078">
            <v>91</v>
          </cell>
        </row>
        <row r="1079">
          <cell r="A1079" t="str">
            <v>SAT-BWI</v>
          </cell>
          <cell r="C1079">
            <v>12</v>
          </cell>
          <cell r="E1079">
            <v>12</v>
          </cell>
          <cell r="G1079">
            <v>19</v>
          </cell>
          <cell r="I1079">
            <v>19</v>
          </cell>
          <cell r="K1079">
            <v>19</v>
          </cell>
          <cell r="M1079">
            <v>21</v>
          </cell>
          <cell r="O1079">
            <v>21</v>
          </cell>
          <cell r="P1079">
            <v>123</v>
          </cell>
        </row>
        <row r="1080">
          <cell r="A1080" t="str">
            <v>SAT-CUN</v>
          </cell>
          <cell r="B1080">
            <v>3</v>
          </cell>
          <cell r="D1080">
            <v>3</v>
          </cell>
          <cell r="F1080">
            <v>3</v>
          </cell>
          <cell r="H1080">
            <v>3</v>
          </cell>
          <cell r="J1080">
            <v>3</v>
          </cell>
          <cell r="L1080">
            <v>4</v>
          </cell>
          <cell r="N1080">
            <v>4</v>
          </cell>
          <cell r="P1080">
            <v>23</v>
          </cell>
        </row>
        <row r="1081">
          <cell r="A1081" t="str">
            <v>SAT-DAL</v>
          </cell>
          <cell r="C1081">
            <v>83</v>
          </cell>
          <cell r="E1081">
            <v>83</v>
          </cell>
          <cell r="G1081">
            <v>90</v>
          </cell>
          <cell r="I1081">
            <v>89</v>
          </cell>
          <cell r="K1081">
            <v>89</v>
          </cell>
          <cell r="M1081">
            <v>84</v>
          </cell>
          <cell r="O1081">
            <v>84</v>
          </cell>
          <cell r="P1081">
            <v>602</v>
          </cell>
        </row>
        <row r="1082">
          <cell r="A1082" t="str">
            <v>SAT-DEN</v>
          </cell>
          <cell r="C1082">
            <v>14</v>
          </cell>
          <cell r="E1082">
            <v>14</v>
          </cell>
          <cell r="G1082">
            <v>20</v>
          </cell>
          <cell r="I1082">
            <v>20</v>
          </cell>
          <cell r="K1082">
            <v>20</v>
          </cell>
          <cell r="M1082">
            <v>20</v>
          </cell>
          <cell r="O1082">
            <v>20</v>
          </cell>
          <cell r="P1082">
            <v>128</v>
          </cell>
        </row>
        <row r="1083">
          <cell r="A1083" t="str">
            <v>SAT-ELP</v>
          </cell>
          <cell r="C1083">
            <v>18</v>
          </cell>
          <cell r="E1083">
            <v>18</v>
          </cell>
          <cell r="G1083">
            <v>20</v>
          </cell>
          <cell r="I1083">
            <v>20</v>
          </cell>
          <cell r="K1083">
            <v>20</v>
          </cell>
          <cell r="M1083">
            <v>19</v>
          </cell>
          <cell r="O1083">
            <v>19</v>
          </cell>
          <cell r="P1083">
            <v>134</v>
          </cell>
        </row>
        <row r="1084">
          <cell r="A1084" t="str">
            <v>SAT-HOU</v>
          </cell>
          <cell r="B1084">
            <v>2</v>
          </cell>
          <cell r="C1084">
            <v>37</v>
          </cell>
          <cell r="D1084">
            <v>2</v>
          </cell>
          <cell r="E1084">
            <v>37</v>
          </cell>
          <cell r="F1084">
            <v>2</v>
          </cell>
          <cell r="G1084">
            <v>33</v>
          </cell>
          <cell r="H1084">
            <v>2</v>
          </cell>
          <cell r="I1084">
            <v>33</v>
          </cell>
          <cell r="J1084">
            <v>2</v>
          </cell>
          <cell r="K1084">
            <v>33</v>
          </cell>
          <cell r="L1084">
            <v>3</v>
          </cell>
          <cell r="M1084">
            <v>32</v>
          </cell>
          <cell r="N1084">
            <v>3</v>
          </cell>
          <cell r="O1084">
            <v>32</v>
          </cell>
          <cell r="P1084">
            <v>253</v>
          </cell>
        </row>
        <row r="1085">
          <cell r="A1085" t="str">
            <v>SAT-HRL</v>
          </cell>
          <cell r="C1085">
            <v>7</v>
          </cell>
          <cell r="E1085">
            <v>7</v>
          </cell>
          <cell r="G1085">
            <v>7</v>
          </cell>
          <cell r="I1085">
            <v>6</v>
          </cell>
          <cell r="K1085">
            <v>6</v>
          </cell>
          <cell r="M1085">
            <v>7</v>
          </cell>
          <cell r="O1085">
            <v>7</v>
          </cell>
          <cell r="P1085">
            <v>47</v>
          </cell>
        </row>
        <row r="1086">
          <cell r="A1086" t="str">
            <v>SAT-LAS</v>
          </cell>
          <cell r="C1086">
            <v>27</v>
          </cell>
          <cell r="E1086">
            <v>27</v>
          </cell>
          <cell r="G1086">
            <v>28</v>
          </cell>
          <cell r="I1086">
            <v>22</v>
          </cell>
          <cell r="K1086">
            <v>22</v>
          </cell>
          <cell r="M1086">
            <v>27</v>
          </cell>
          <cell r="O1086">
            <v>27</v>
          </cell>
          <cell r="P1086">
            <v>180</v>
          </cell>
        </row>
        <row r="1087">
          <cell r="A1087" t="str">
            <v>SAT-LAX</v>
          </cell>
          <cell r="C1087">
            <v>7</v>
          </cell>
          <cell r="E1087">
            <v>7</v>
          </cell>
          <cell r="G1087">
            <v>14</v>
          </cell>
          <cell r="I1087">
            <v>14</v>
          </cell>
          <cell r="K1087">
            <v>14</v>
          </cell>
          <cell r="M1087">
            <v>14</v>
          </cell>
          <cell r="O1087">
            <v>14</v>
          </cell>
          <cell r="P1087">
            <v>84</v>
          </cell>
        </row>
        <row r="1088">
          <cell r="A1088" t="str">
            <v>SAT-MCO</v>
          </cell>
          <cell r="C1088">
            <v>7</v>
          </cell>
          <cell r="E1088">
            <v>7</v>
          </cell>
          <cell r="G1088">
            <v>8</v>
          </cell>
          <cell r="I1088">
            <v>7</v>
          </cell>
          <cell r="K1088">
            <v>7</v>
          </cell>
          <cell r="M1088">
            <v>15</v>
          </cell>
          <cell r="O1088">
            <v>15</v>
          </cell>
          <cell r="P1088">
            <v>66</v>
          </cell>
        </row>
        <row r="1089">
          <cell r="A1089" t="str">
            <v>SAT-MDW</v>
          </cell>
          <cell r="C1089">
            <v>13</v>
          </cell>
          <cell r="E1089">
            <v>13</v>
          </cell>
          <cell r="G1089">
            <v>14</v>
          </cell>
          <cell r="I1089">
            <v>14</v>
          </cell>
          <cell r="K1089">
            <v>14</v>
          </cell>
          <cell r="M1089">
            <v>14</v>
          </cell>
          <cell r="O1089">
            <v>14</v>
          </cell>
          <cell r="P1089">
            <v>96</v>
          </cell>
        </row>
        <row r="1090">
          <cell r="A1090" t="str">
            <v>SAT-MEX</v>
          </cell>
          <cell r="B1090">
            <v>7</v>
          </cell>
          <cell r="D1090">
            <v>7</v>
          </cell>
          <cell r="F1090">
            <v>7</v>
          </cell>
          <cell r="H1090">
            <v>7</v>
          </cell>
          <cell r="J1090">
            <v>7</v>
          </cell>
          <cell r="L1090">
            <v>7</v>
          </cell>
          <cell r="N1090">
            <v>7</v>
          </cell>
          <cell r="P1090">
            <v>49</v>
          </cell>
        </row>
        <row r="1091">
          <cell r="A1091" t="str">
            <v>SAT-PHX</v>
          </cell>
          <cell r="C1091">
            <v>19</v>
          </cell>
          <cell r="E1091">
            <v>19</v>
          </cell>
          <cell r="G1091">
            <v>21</v>
          </cell>
          <cell r="I1091">
            <v>20</v>
          </cell>
          <cell r="K1091">
            <v>20</v>
          </cell>
          <cell r="M1091">
            <v>20</v>
          </cell>
          <cell r="O1091">
            <v>20</v>
          </cell>
          <cell r="P1091">
            <v>139</v>
          </cell>
        </row>
        <row r="1092">
          <cell r="A1092" t="str">
            <v>SAT-SAN</v>
          </cell>
          <cell r="C1092">
            <v>13</v>
          </cell>
          <cell r="E1092">
            <v>13</v>
          </cell>
          <cell r="G1092">
            <v>13</v>
          </cell>
          <cell r="I1092">
            <v>13</v>
          </cell>
          <cell r="K1092">
            <v>13</v>
          </cell>
          <cell r="M1092">
            <v>14</v>
          </cell>
          <cell r="O1092">
            <v>14</v>
          </cell>
          <cell r="P1092">
            <v>93</v>
          </cell>
        </row>
        <row r="1093">
          <cell r="A1093" t="str">
            <v>SAT-STL</v>
          </cell>
          <cell r="C1093">
            <v>12</v>
          </cell>
          <cell r="E1093">
            <v>12</v>
          </cell>
          <cell r="G1093">
            <v>13</v>
          </cell>
          <cell r="I1093">
            <v>13</v>
          </cell>
          <cell r="K1093">
            <v>13</v>
          </cell>
          <cell r="M1093">
            <v>13</v>
          </cell>
          <cell r="O1093">
            <v>13</v>
          </cell>
          <cell r="P1093">
            <v>89</v>
          </cell>
        </row>
        <row r="1094">
          <cell r="A1094" t="str">
            <v>SAT-TPA</v>
          </cell>
          <cell r="C1094">
            <v>6</v>
          </cell>
          <cell r="E1094">
            <v>6</v>
          </cell>
          <cell r="G1094">
            <v>7</v>
          </cell>
          <cell r="I1094">
            <v>7</v>
          </cell>
          <cell r="K1094">
            <v>7</v>
          </cell>
          <cell r="M1094">
            <v>7</v>
          </cell>
          <cell r="O1094">
            <v>7</v>
          </cell>
          <cell r="P1094">
            <v>47</v>
          </cell>
        </row>
        <row r="1095">
          <cell r="A1095" t="str">
            <v>SDF-ATL</v>
          </cell>
          <cell r="C1095">
            <v>19</v>
          </cell>
          <cell r="E1095">
            <v>19</v>
          </cell>
          <cell r="G1095">
            <v>19</v>
          </cell>
          <cell r="I1095">
            <v>20</v>
          </cell>
          <cell r="K1095">
            <v>20</v>
          </cell>
          <cell r="M1095">
            <v>19</v>
          </cell>
          <cell r="O1095">
            <v>19</v>
          </cell>
          <cell r="P1095">
            <v>135</v>
          </cell>
        </row>
        <row r="1096">
          <cell r="A1096" t="str">
            <v>SDF-BWI</v>
          </cell>
          <cell r="C1096">
            <v>18</v>
          </cell>
          <cell r="E1096">
            <v>18</v>
          </cell>
          <cell r="G1096">
            <v>27</v>
          </cell>
          <cell r="I1096">
            <v>26</v>
          </cell>
          <cell r="K1096">
            <v>26</v>
          </cell>
          <cell r="M1096">
            <v>27</v>
          </cell>
          <cell r="O1096">
            <v>27</v>
          </cell>
          <cell r="P1096">
            <v>169</v>
          </cell>
        </row>
        <row r="1097">
          <cell r="A1097" t="str">
            <v>SDF-DEN</v>
          </cell>
          <cell r="C1097">
            <v>7</v>
          </cell>
          <cell r="E1097">
            <v>7</v>
          </cell>
          <cell r="G1097">
            <v>7</v>
          </cell>
          <cell r="I1097">
            <v>7</v>
          </cell>
          <cell r="K1097">
            <v>7</v>
          </cell>
          <cell r="M1097">
            <v>7</v>
          </cell>
          <cell r="O1097">
            <v>7</v>
          </cell>
          <cell r="P1097">
            <v>49</v>
          </cell>
        </row>
        <row r="1098">
          <cell r="A1098" t="str">
            <v>SDF-LAS</v>
          </cell>
          <cell r="C1098">
            <v>7</v>
          </cell>
          <cell r="E1098">
            <v>7</v>
          </cell>
          <cell r="G1098">
            <v>7</v>
          </cell>
          <cell r="I1098">
            <v>7</v>
          </cell>
          <cell r="K1098">
            <v>7</v>
          </cell>
          <cell r="M1098">
            <v>7</v>
          </cell>
          <cell r="O1098">
            <v>7</v>
          </cell>
          <cell r="P1098">
            <v>49</v>
          </cell>
        </row>
        <row r="1099">
          <cell r="A1099" t="str">
            <v>SDF-MCO</v>
          </cell>
          <cell r="C1099">
            <v>8</v>
          </cell>
          <cell r="E1099">
            <v>8</v>
          </cell>
          <cell r="G1099">
            <v>8</v>
          </cell>
          <cell r="I1099">
            <v>7</v>
          </cell>
          <cell r="K1099">
            <v>7</v>
          </cell>
          <cell r="M1099">
            <v>8</v>
          </cell>
          <cell r="O1099">
            <v>8</v>
          </cell>
          <cell r="P1099">
            <v>54</v>
          </cell>
        </row>
        <row r="1100">
          <cell r="A1100" t="str">
            <v>SDF-MDW</v>
          </cell>
          <cell r="C1100">
            <v>20</v>
          </cell>
          <cell r="E1100">
            <v>20</v>
          </cell>
          <cell r="G1100">
            <v>32</v>
          </cell>
          <cell r="I1100">
            <v>33</v>
          </cell>
          <cell r="K1100">
            <v>33</v>
          </cell>
          <cell r="M1100">
            <v>33</v>
          </cell>
          <cell r="O1100">
            <v>33</v>
          </cell>
          <cell r="P1100">
            <v>204</v>
          </cell>
        </row>
        <row r="1101">
          <cell r="A1101" t="str">
            <v>SDF-PHX</v>
          </cell>
          <cell r="C1101">
            <v>7</v>
          </cell>
          <cell r="E1101">
            <v>7</v>
          </cell>
          <cell r="G1101">
            <v>7</v>
          </cell>
          <cell r="I1101">
            <v>7</v>
          </cell>
          <cell r="K1101">
            <v>7</v>
          </cell>
          <cell r="M1101">
            <v>7</v>
          </cell>
          <cell r="O1101">
            <v>7</v>
          </cell>
          <cell r="P1101">
            <v>49</v>
          </cell>
        </row>
        <row r="1102">
          <cell r="A1102" t="str">
            <v>SDF-STL</v>
          </cell>
          <cell r="C1102">
            <v>12</v>
          </cell>
          <cell r="E1102">
            <v>12</v>
          </cell>
          <cell r="G1102">
            <v>13</v>
          </cell>
          <cell r="I1102">
            <v>13</v>
          </cell>
          <cell r="K1102">
            <v>13</v>
          </cell>
          <cell r="M1102">
            <v>12</v>
          </cell>
          <cell r="O1102">
            <v>12</v>
          </cell>
          <cell r="P1102">
            <v>87</v>
          </cell>
        </row>
        <row r="1103">
          <cell r="A1103" t="str">
            <v>SDF-TPA</v>
          </cell>
          <cell r="C1103">
            <v>7</v>
          </cell>
          <cell r="E1103">
            <v>7</v>
          </cell>
          <cell r="G1103">
            <v>15</v>
          </cell>
          <cell r="I1103">
            <v>7</v>
          </cell>
          <cell r="K1103">
            <v>7</v>
          </cell>
          <cell r="M1103">
            <v>8</v>
          </cell>
          <cell r="O1103">
            <v>8</v>
          </cell>
          <cell r="P1103">
            <v>59</v>
          </cell>
        </row>
        <row r="1104">
          <cell r="A1104" t="str">
            <v>SEA-ABQ</v>
          </cell>
          <cell r="C1104">
            <v>7</v>
          </cell>
          <cell r="E1104">
            <v>7</v>
          </cell>
          <cell r="G1104">
            <v>13</v>
          </cell>
          <cell r="I1104">
            <v>12</v>
          </cell>
          <cell r="K1104">
            <v>12</v>
          </cell>
          <cell r="M1104">
            <v>13</v>
          </cell>
          <cell r="O1104">
            <v>13</v>
          </cell>
          <cell r="P1104">
            <v>77</v>
          </cell>
        </row>
        <row r="1105">
          <cell r="A1105" t="str">
            <v>SEA-ATL</v>
          </cell>
          <cell r="M1105">
            <v>7</v>
          </cell>
          <cell r="O1105">
            <v>7</v>
          </cell>
          <cell r="P1105">
            <v>14</v>
          </cell>
        </row>
        <row r="1106">
          <cell r="A1106" t="str">
            <v>SEA-BNA</v>
          </cell>
          <cell r="M1106">
            <v>7</v>
          </cell>
          <cell r="O1106">
            <v>7</v>
          </cell>
          <cell r="P1106">
            <v>14</v>
          </cell>
        </row>
        <row r="1107">
          <cell r="A1107" t="str">
            <v>SEA-BWI</v>
          </cell>
          <cell r="I1107">
            <v>7</v>
          </cell>
          <cell r="K1107">
            <v>7</v>
          </cell>
          <cell r="M1107">
            <v>13</v>
          </cell>
          <cell r="O1107">
            <v>13</v>
          </cell>
          <cell r="P1107">
            <v>40</v>
          </cell>
        </row>
        <row r="1108">
          <cell r="A1108" t="str">
            <v>SEA-DEN</v>
          </cell>
          <cell r="C1108">
            <v>20</v>
          </cell>
          <cell r="E1108">
            <v>20</v>
          </cell>
          <cell r="G1108">
            <v>20</v>
          </cell>
          <cell r="I1108">
            <v>20</v>
          </cell>
          <cell r="K1108">
            <v>20</v>
          </cell>
          <cell r="M1108">
            <v>28</v>
          </cell>
          <cell r="O1108">
            <v>28</v>
          </cell>
          <cell r="P1108">
            <v>156</v>
          </cell>
        </row>
        <row r="1109">
          <cell r="A1109" t="str">
            <v>SEA-HOU</v>
          </cell>
          <cell r="M1109">
            <v>7</v>
          </cell>
          <cell r="O1109">
            <v>7</v>
          </cell>
          <cell r="P1109">
            <v>14</v>
          </cell>
        </row>
        <row r="1110">
          <cell r="A1110" t="str">
            <v>SEA-LAS</v>
          </cell>
          <cell r="C1110">
            <v>21</v>
          </cell>
          <cell r="E1110">
            <v>21</v>
          </cell>
          <cell r="G1110">
            <v>28</v>
          </cell>
          <cell r="I1110">
            <v>27</v>
          </cell>
          <cell r="K1110">
            <v>27</v>
          </cell>
          <cell r="M1110">
            <v>35</v>
          </cell>
          <cell r="O1110">
            <v>35</v>
          </cell>
          <cell r="P1110">
            <v>194</v>
          </cell>
        </row>
        <row r="1111">
          <cell r="A1111" t="str">
            <v>SEA-MCI</v>
          </cell>
          <cell r="M1111">
            <v>7</v>
          </cell>
          <cell r="O1111">
            <v>7</v>
          </cell>
          <cell r="P1111">
            <v>14</v>
          </cell>
        </row>
        <row r="1112">
          <cell r="A1112" t="str">
            <v>SEA-MDW</v>
          </cell>
          <cell r="C1112">
            <v>13</v>
          </cell>
          <cell r="E1112">
            <v>13</v>
          </cell>
          <cell r="G1112">
            <v>19</v>
          </cell>
          <cell r="I1112">
            <v>20</v>
          </cell>
          <cell r="K1112">
            <v>20</v>
          </cell>
          <cell r="M1112">
            <v>28</v>
          </cell>
          <cell r="O1112">
            <v>28</v>
          </cell>
          <cell r="P1112">
            <v>141</v>
          </cell>
        </row>
        <row r="1113">
          <cell r="A1113" t="str">
            <v>SEA-MKE</v>
          </cell>
          <cell r="C1113">
            <v>6</v>
          </cell>
          <cell r="E1113">
            <v>6</v>
          </cell>
          <cell r="G1113">
            <v>7</v>
          </cell>
          <cell r="I1113">
            <v>7</v>
          </cell>
          <cell r="K1113">
            <v>7</v>
          </cell>
          <cell r="M1113">
            <v>7</v>
          </cell>
          <cell r="O1113">
            <v>7</v>
          </cell>
          <cell r="P1113">
            <v>47</v>
          </cell>
        </row>
        <row r="1114">
          <cell r="A1114" t="str">
            <v>SEA-OAK</v>
          </cell>
          <cell r="C1114">
            <v>32</v>
          </cell>
          <cell r="E1114">
            <v>32</v>
          </cell>
          <cell r="G1114">
            <v>39</v>
          </cell>
          <cell r="I1114">
            <v>40</v>
          </cell>
          <cell r="K1114">
            <v>40</v>
          </cell>
          <cell r="M1114">
            <v>47</v>
          </cell>
          <cell r="O1114">
            <v>47</v>
          </cell>
          <cell r="P1114">
            <v>277</v>
          </cell>
        </row>
        <row r="1115">
          <cell r="A1115" t="str">
            <v>SEA-PHX</v>
          </cell>
          <cell r="C1115">
            <v>19</v>
          </cell>
          <cell r="E1115">
            <v>19</v>
          </cell>
          <cell r="G1115">
            <v>28</v>
          </cell>
          <cell r="I1115">
            <v>27</v>
          </cell>
          <cell r="K1115">
            <v>27</v>
          </cell>
          <cell r="M1115">
            <v>28</v>
          </cell>
          <cell r="O1115">
            <v>28</v>
          </cell>
          <cell r="P1115">
            <v>176</v>
          </cell>
        </row>
        <row r="1116">
          <cell r="A1116" t="str">
            <v>SEA-RNO</v>
          </cell>
          <cell r="C1116">
            <v>7</v>
          </cell>
          <cell r="E1116">
            <v>7</v>
          </cell>
          <cell r="G1116">
            <v>7</v>
          </cell>
          <cell r="I1116">
            <v>7</v>
          </cell>
          <cell r="K1116">
            <v>7</v>
          </cell>
          <cell r="M1116">
            <v>13</v>
          </cell>
          <cell r="O1116">
            <v>13</v>
          </cell>
          <cell r="P1116">
            <v>61</v>
          </cell>
        </row>
        <row r="1117">
          <cell r="A1117" t="str">
            <v>SEA-SJC</v>
          </cell>
          <cell r="C1117">
            <v>12</v>
          </cell>
          <cell r="E1117">
            <v>12</v>
          </cell>
          <cell r="G1117">
            <v>13</v>
          </cell>
          <cell r="I1117">
            <v>20</v>
          </cell>
          <cell r="K1117">
            <v>20</v>
          </cell>
          <cell r="M1117">
            <v>21</v>
          </cell>
          <cell r="O1117">
            <v>21</v>
          </cell>
          <cell r="P1117">
            <v>119</v>
          </cell>
        </row>
        <row r="1118">
          <cell r="A1118" t="str">
            <v>SEA-SLC</v>
          </cell>
          <cell r="C1118">
            <v>14</v>
          </cell>
          <cell r="E1118">
            <v>14</v>
          </cell>
          <cell r="G1118">
            <v>19</v>
          </cell>
          <cell r="I1118">
            <v>14</v>
          </cell>
          <cell r="K1118">
            <v>14</v>
          </cell>
          <cell r="M1118">
            <v>21</v>
          </cell>
          <cell r="O1118">
            <v>21</v>
          </cell>
          <cell r="P1118">
            <v>117</v>
          </cell>
        </row>
        <row r="1119">
          <cell r="A1119" t="str">
            <v>SEA-SMF</v>
          </cell>
          <cell r="C1119">
            <v>21</v>
          </cell>
          <cell r="E1119">
            <v>21</v>
          </cell>
          <cell r="G1119">
            <v>27</v>
          </cell>
          <cell r="I1119">
            <v>27</v>
          </cell>
          <cell r="K1119">
            <v>27</v>
          </cell>
          <cell r="M1119">
            <v>28</v>
          </cell>
          <cell r="O1119">
            <v>28</v>
          </cell>
          <cell r="P1119">
            <v>179</v>
          </cell>
        </row>
        <row r="1120">
          <cell r="A1120" t="str">
            <v>SEA-STL</v>
          </cell>
          <cell r="C1120">
            <v>7</v>
          </cell>
          <cell r="E1120">
            <v>7</v>
          </cell>
          <cell r="G1120">
            <v>7</v>
          </cell>
          <cell r="I1120">
            <v>7</v>
          </cell>
          <cell r="K1120">
            <v>7</v>
          </cell>
          <cell r="M1120">
            <v>7</v>
          </cell>
          <cell r="O1120">
            <v>7</v>
          </cell>
          <cell r="P1120">
            <v>49</v>
          </cell>
        </row>
        <row r="1121">
          <cell r="A1121" t="str">
            <v>SFO-ATL</v>
          </cell>
          <cell r="B1121">
            <v>7</v>
          </cell>
          <cell r="C1121">
            <v>7</v>
          </cell>
          <cell r="D1121">
            <v>7</v>
          </cell>
          <cell r="E1121">
            <v>7</v>
          </cell>
          <cell r="F1121">
            <v>7</v>
          </cell>
          <cell r="G1121">
            <v>7</v>
          </cell>
          <cell r="H1121">
            <v>7</v>
          </cell>
          <cell r="I1121">
            <v>7</v>
          </cell>
          <cell r="J1121">
            <v>7</v>
          </cell>
          <cell r="K1121">
            <v>7</v>
          </cell>
          <cell r="L1121">
            <v>14</v>
          </cell>
          <cell r="M1121">
            <v>7</v>
          </cell>
          <cell r="N1121">
            <v>14</v>
          </cell>
          <cell r="O1121">
            <v>7</v>
          </cell>
          <cell r="P1121">
            <v>112</v>
          </cell>
        </row>
        <row r="1122">
          <cell r="A1122" t="str">
            <v>SFO-DEN</v>
          </cell>
          <cell r="C1122">
            <v>20</v>
          </cell>
          <cell r="E1122">
            <v>20</v>
          </cell>
          <cell r="G1122">
            <v>21</v>
          </cell>
          <cell r="I1122">
            <v>27</v>
          </cell>
          <cell r="K1122">
            <v>27</v>
          </cell>
          <cell r="M1122">
            <v>27</v>
          </cell>
          <cell r="O1122">
            <v>27</v>
          </cell>
          <cell r="P1122">
            <v>169</v>
          </cell>
        </row>
        <row r="1123">
          <cell r="A1123" t="str">
            <v>SFO-LAS</v>
          </cell>
          <cell r="C1123">
            <v>48</v>
          </cell>
          <cell r="E1123">
            <v>48</v>
          </cell>
          <cell r="G1123">
            <v>47</v>
          </cell>
          <cell r="I1123">
            <v>46</v>
          </cell>
          <cell r="K1123">
            <v>46</v>
          </cell>
          <cell r="M1123">
            <v>47</v>
          </cell>
          <cell r="O1123">
            <v>47</v>
          </cell>
          <cell r="P1123">
            <v>329</v>
          </cell>
        </row>
        <row r="1124">
          <cell r="A1124" t="str">
            <v>SFO-LAX</v>
          </cell>
          <cell r="C1124">
            <v>73</v>
          </cell>
          <cell r="E1124">
            <v>73</v>
          </cell>
          <cell r="G1124">
            <v>72</v>
          </cell>
          <cell r="I1124">
            <v>72</v>
          </cell>
          <cell r="K1124">
            <v>72</v>
          </cell>
          <cell r="M1124">
            <v>73</v>
          </cell>
          <cell r="O1124">
            <v>73</v>
          </cell>
          <cell r="P1124">
            <v>508</v>
          </cell>
        </row>
        <row r="1125">
          <cell r="A1125" t="str">
            <v>SFO-MDW</v>
          </cell>
          <cell r="C1125">
            <v>12</v>
          </cell>
          <cell r="E1125">
            <v>12</v>
          </cell>
          <cell r="G1125">
            <v>14</v>
          </cell>
          <cell r="I1125">
            <v>14</v>
          </cell>
          <cell r="K1125">
            <v>14</v>
          </cell>
          <cell r="M1125">
            <v>21</v>
          </cell>
          <cell r="O1125">
            <v>21</v>
          </cell>
          <cell r="P1125">
            <v>108</v>
          </cell>
        </row>
        <row r="1126">
          <cell r="A1126" t="str">
            <v>SFO-MKE</v>
          </cell>
          <cell r="C1126">
            <v>6</v>
          </cell>
          <cell r="E1126">
            <v>6</v>
          </cell>
          <cell r="G1126">
            <v>7</v>
          </cell>
          <cell r="I1126">
            <v>7</v>
          </cell>
          <cell r="K1126">
            <v>7</v>
          </cell>
          <cell r="M1126">
            <v>14</v>
          </cell>
          <cell r="O1126">
            <v>14</v>
          </cell>
          <cell r="P1126">
            <v>61</v>
          </cell>
        </row>
        <row r="1127">
          <cell r="A1127" t="str">
            <v>SFO-PHX</v>
          </cell>
          <cell r="C1127">
            <v>30</v>
          </cell>
          <cell r="E1127">
            <v>30</v>
          </cell>
          <cell r="G1127">
            <v>32</v>
          </cell>
          <cell r="I1127">
            <v>33</v>
          </cell>
          <cell r="K1127">
            <v>33</v>
          </cell>
          <cell r="M1127">
            <v>33</v>
          </cell>
          <cell r="O1127">
            <v>33</v>
          </cell>
          <cell r="P1127">
            <v>224</v>
          </cell>
        </row>
        <row r="1128">
          <cell r="A1128" t="str">
            <v>SFO-SAN</v>
          </cell>
          <cell r="C1128">
            <v>57</v>
          </cell>
          <cell r="E1128">
            <v>57</v>
          </cell>
          <cell r="G1128">
            <v>58</v>
          </cell>
          <cell r="I1128">
            <v>57</v>
          </cell>
          <cell r="K1128">
            <v>57</v>
          </cell>
          <cell r="M1128">
            <v>58</v>
          </cell>
          <cell r="O1128">
            <v>58</v>
          </cell>
          <cell r="P1128">
            <v>402</v>
          </cell>
        </row>
        <row r="1129">
          <cell r="A1129" t="str">
            <v>SFO-SNA</v>
          </cell>
          <cell r="B1129">
            <v>7</v>
          </cell>
          <cell r="C1129">
            <v>38</v>
          </cell>
          <cell r="D1129">
            <v>7</v>
          </cell>
          <cell r="E1129">
            <v>38</v>
          </cell>
          <cell r="F1129">
            <v>7</v>
          </cell>
          <cell r="G1129">
            <v>40</v>
          </cell>
          <cell r="H1129">
            <v>7</v>
          </cell>
          <cell r="I1129">
            <v>39</v>
          </cell>
          <cell r="J1129">
            <v>7</v>
          </cell>
          <cell r="K1129">
            <v>39</v>
          </cell>
          <cell r="L1129">
            <v>7</v>
          </cell>
          <cell r="M1129">
            <v>39</v>
          </cell>
          <cell r="N1129">
            <v>7</v>
          </cell>
          <cell r="O1129">
            <v>39</v>
          </cell>
          <cell r="P1129">
            <v>321</v>
          </cell>
        </row>
        <row r="1130">
          <cell r="A1130" t="str">
            <v>SJC-AUS</v>
          </cell>
          <cell r="C1130">
            <v>13</v>
          </cell>
          <cell r="E1130">
            <v>13</v>
          </cell>
          <cell r="G1130">
            <v>13</v>
          </cell>
          <cell r="I1130">
            <v>13</v>
          </cell>
          <cell r="K1130">
            <v>13</v>
          </cell>
          <cell r="M1130">
            <v>13</v>
          </cell>
          <cell r="O1130">
            <v>13</v>
          </cell>
          <cell r="P1130">
            <v>91</v>
          </cell>
        </row>
        <row r="1131">
          <cell r="A1131" t="str">
            <v>SJC-BUR</v>
          </cell>
          <cell r="C1131">
            <v>51</v>
          </cell>
          <cell r="E1131">
            <v>51</v>
          </cell>
          <cell r="G1131">
            <v>52</v>
          </cell>
          <cell r="I1131">
            <v>52</v>
          </cell>
          <cell r="K1131">
            <v>52</v>
          </cell>
          <cell r="M1131">
            <v>52</v>
          </cell>
          <cell r="O1131">
            <v>52</v>
          </cell>
          <cell r="P1131">
            <v>362</v>
          </cell>
        </row>
        <row r="1132">
          <cell r="A1132" t="str">
            <v>SJC-DEN</v>
          </cell>
          <cell r="C1132">
            <v>19</v>
          </cell>
          <cell r="E1132">
            <v>19</v>
          </cell>
          <cell r="G1132">
            <v>20</v>
          </cell>
          <cell r="I1132">
            <v>24</v>
          </cell>
          <cell r="K1132">
            <v>24</v>
          </cell>
          <cell r="M1132">
            <v>26</v>
          </cell>
          <cell r="O1132">
            <v>26</v>
          </cell>
          <cell r="P1132">
            <v>158</v>
          </cell>
        </row>
        <row r="1133">
          <cell r="A1133" t="str">
            <v>SJC-LAS</v>
          </cell>
          <cell r="C1133">
            <v>59</v>
          </cell>
          <cell r="E1133">
            <v>59</v>
          </cell>
          <cell r="G1133">
            <v>59</v>
          </cell>
          <cell r="I1133">
            <v>60</v>
          </cell>
          <cell r="K1133">
            <v>60</v>
          </cell>
          <cell r="M1133">
            <v>59</v>
          </cell>
          <cell r="O1133">
            <v>59</v>
          </cell>
          <cell r="P1133">
            <v>415</v>
          </cell>
        </row>
        <row r="1134">
          <cell r="A1134" t="str">
            <v>SJC-LAX</v>
          </cell>
          <cell r="C1134">
            <v>65</v>
          </cell>
          <cell r="E1134">
            <v>65</v>
          </cell>
          <cell r="G1134">
            <v>66</v>
          </cell>
          <cell r="I1134">
            <v>66</v>
          </cell>
          <cell r="K1134">
            <v>66</v>
          </cell>
          <cell r="M1134">
            <v>67</v>
          </cell>
          <cell r="O1134">
            <v>67</v>
          </cell>
          <cell r="P1134">
            <v>462</v>
          </cell>
        </row>
        <row r="1135">
          <cell r="A1135" t="str">
            <v>SJC-MDW</v>
          </cell>
          <cell r="C1135">
            <v>7</v>
          </cell>
          <cell r="E1135">
            <v>7</v>
          </cell>
          <cell r="G1135">
            <v>7</v>
          </cell>
          <cell r="I1135">
            <v>7</v>
          </cell>
          <cell r="K1135">
            <v>7</v>
          </cell>
          <cell r="M1135">
            <v>7</v>
          </cell>
          <cell r="O1135">
            <v>7</v>
          </cell>
          <cell r="P1135">
            <v>49</v>
          </cell>
        </row>
        <row r="1136">
          <cell r="A1136" t="str">
            <v>SJC-ONT</v>
          </cell>
          <cell r="C1136">
            <v>31</v>
          </cell>
          <cell r="E1136">
            <v>31</v>
          </cell>
          <cell r="G1136">
            <v>33</v>
          </cell>
          <cell r="I1136">
            <v>32</v>
          </cell>
          <cell r="K1136">
            <v>32</v>
          </cell>
          <cell r="M1136">
            <v>32</v>
          </cell>
          <cell r="O1136">
            <v>32</v>
          </cell>
          <cell r="P1136">
            <v>223</v>
          </cell>
        </row>
        <row r="1137">
          <cell r="A1137" t="str">
            <v>SJC-PDX</v>
          </cell>
          <cell r="C1137">
            <v>24</v>
          </cell>
          <cell r="E1137">
            <v>24</v>
          </cell>
          <cell r="G1137">
            <v>25</v>
          </cell>
          <cell r="I1137">
            <v>25</v>
          </cell>
          <cell r="K1137">
            <v>25</v>
          </cell>
          <cell r="M1137">
            <v>25</v>
          </cell>
          <cell r="O1137">
            <v>25</v>
          </cell>
          <cell r="P1137">
            <v>173</v>
          </cell>
        </row>
        <row r="1138">
          <cell r="A1138" t="str">
            <v>SJC-PHX</v>
          </cell>
          <cell r="C1138">
            <v>31</v>
          </cell>
          <cell r="E1138">
            <v>31</v>
          </cell>
          <cell r="G1138">
            <v>38</v>
          </cell>
          <cell r="I1138">
            <v>39</v>
          </cell>
          <cell r="K1138">
            <v>39</v>
          </cell>
          <cell r="M1138">
            <v>38</v>
          </cell>
          <cell r="O1138">
            <v>38</v>
          </cell>
          <cell r="P1138">
            <v>254</v>
          </cell>
        </row>
        <row r="1139">
          <cell r="A1139" t="str">
            <v>SJC-SAN</v>
          </cell>
          <cell r="C1139">
            <v>60</v>
          </cell>
          <cell r="E1139">
            <v>60</v>
          </cell>
          <cell r="G1139">
            <v>65</v>
          </cell>
          <cell r="I1139">
            <v>65</v>
          </cell>
          <cell r="K1139">
            <v>65</v>
          </cell>
          <cell r="M1139">
            <v>66</v>
          </cell>
          <cell r="O1139">
            <v>66</v>
          </cell>
          <cell r="P1139">
            <v>447</v>
          </cell>
        </row>
        <row r="1140">
          <cell r="A1140" t="str">
            <v>SJC-SEA</v>
          </cell>
          <cell r="C1140">
            <v>12</v>
          </cell>
          <cell r="E1140">
            <v>12</v>
          </cell>
          <cell r="G1140">
            <v>12</v>
          </cell>
          <cell r="I1140">
            <v>19</v>
          </cell>
          <cell r="K1140">
            <v>19</v>
          </cell>
          <cell r="M1140">
            <v>21</v>
          </cell>
          <cell r="O1140">
            <v>21</v>
          </cell>
          <cell r="P1140">
            <v>116</v>
          </cell>
        </row>
        <row r="1141">
          <cell r="A1141" t="str">
            <v>SJC-SNA</v>
          </cell>
          <cell r="C1141">
            <v>52</v>
          </cell>
          <cell r="E1141">
            <v>52</v>
          </cell>
          <cell r="G1141">
            <v>51</v>
          </cell>
          <cell r="I1141">
            <v>58</v>
          </cell>
          <cell r="K1141">
            <v>58</v>
          </cell>
          <cell r="M1141">
            <v>59</v>
          </cell>
          <cell r="O1141">
            <v>59</v>
          </cell>
          <cell r="P1141">
            <v>389</v>
          </cell>
        </row>
        <row r="1142">
          <cell r="A1142" t="str">
            <v>SJD-SNA</v>
          </cell>
          <cell r="B1142">
            <v>7</v>
          </cell>
          <cell r="D1142">
            <v>7</v>
          </cell>
          <cell r="F1142">
            <v>7</v>
          </cell>
          <cell r="H1142">
            <v>7</v>
          </cell>
          <cell r="J1142">
            <v>7</v>
          </cell>
          <cell r="L1142">
            <v>14</v>
          </cell>
          <cell r="N1142">
            <v>14</v>
          </cell>
          <cell r="P1142">
            <v>63</v>
          </cell>
        </row>
        <row r="1143">
          <cell r="A1143" t="str">
            <v>SJU-ATL</v>
          </cell>
          <cell r="B1143">
            <v>7</v>
          </cell>
          <cell r="D1143">
            <v>7</v>
          </cell>
          <cell r="F1143">
            <v>9</v>
          </cell>
          <cell r="H1143">
            <v>9</v>
          </cell>
          <cell r="J1143">
            <v>9</v>
          </cell>
          <cell r="L1143">
            <v>14</v>
          </cell>
          <cell r="N1143">
            <v>14</v>
          </cell>
          <cell r="P1143">
            <v>69</v>
          </cell>
        </row>
        <row r="1144">
          <cell r="A1144" t="str">
            <v>SJU-BWI</v>
          </cell>
          <cell r="B1144">
            <v>12</v>
          </cell>
          <cell r="D1144">
            <v>12</v>
          </cell>
          <cell r="F1144">
            <v>14</v>
          </cell>
          <cell r="H1144">
            <v>14</v>
          </cell>
          <cell r="J1144">
            <v>14</v>
          </cell>
          <cell r="M1144">
            <v>14</v>
          </cell>
          <cell r="O1144">
            <v>14</v>
          </cell>
          <cell r="P1144">
            <v>94</v>
          </cell>
        </row>
        <row r="1145">
          <cell r="A1145" t="str">
            <v>SJU-FLL</v>
          </cell>
          <cell r="B1145">
            <v>14</v>
          </cell>
          <cell r="D1145">
            <v>14</v>
          </cell>
          <cell r="F1145">
            <v>14</v>
          </cell>
          <cell r="H1145">
            <v>14</v>
          </cell>
          <cell r="J1145">
            <v>14</v>
          </cell>
          <cell r="L1145">
            <v>14</v>
          </cell>
          <cell r="N1145">
            <v>14</v>
          </cell>
          <cell r="P1145">
            <v>98</v>
          </cell>
        </row>
        <row r="1146">
          <cell r="A1146" t="str">
            <v>SJU-MCO</v>
          </cell>
          <cell r="B1146">
            <v>23</v>
          </cell>
          <cell r="D1146">
            <v>20</v>
          </cell>
          <cell r="F1146">
            <v>21</v>
          </cell>
          <cell r="I1146">
            <v>21</v>
          </cell>
          <cell r="K1146">
            <v>21</v>
          </cell>
          <cell r="M1146">
            <v>28</v>
          </cell>
          <cell r="O1146">
            <v>28</v>
          </cell>
          <cell r="P1146">
            <v>162</v>
          </cell>
        </row>
        <row r="1147">
          <cell r="A1147" t="str">
            <v>SJU-TPA</v>
          </cell>
          <cell r="B1147">
            <v>7</v>
          </cell>
          <cell r="D1147">
            <v>7</v>
          </cell>
          <cell r="F1147">
            <v>7</v>
          </cell>
          <cell r="I1147">
            <v>7</v>
          </cell>
          <cell r="K1147">
            <v>7</v>
          </cell>
          <cell r="M1147">
            <v>7</v>
          </cell>
          <cell r="O1147">
            <v>7</v>
          </cell>
          <cell r="P1147">
            <v>49</v>
          </cell>
        </row>
        <row r="1148">
          <cell r="A1148" t="str">
            <v>SLC-BWI</v>
          </cell>
          <cell r="C1148">
            <v>7</v>
          </cell>
          <cell r="E1148">
            <v>7</v>
          </cell>
          <cell r="G1148">
            <v>7</v>
          </cell>
          <cell r="I1148">
            <v>7</v>
          </cell>
          <cell r="K1148">
            <v>7</v>
          </cell>
          <cell r="M1148">
            <v>7</v>
          </cell>
          <cell r="O1148">
            <v>7</v>
          </cell>
          <cell r="P1148">
            <v>49</v>
          </cell>
        </row>
        <row r="1149">
          <cell r="A1149" t="str">
            <v>SLC-DEN</v>
          </cell>
          <cell r="C1149">
            <v>39</v>
          </cell>
          <cell r="E1149">
            <v>39</v>
          </cell>
          <cell r="G1149">
            <v>39</v>
          </cell>
          <cell r="I1149">
            <v>39</v>
          </cell>
          <cell r="K1149">
            <v>39</v>
          </cell>
          <cell r="M1149">
            <v>39</v>
          </cell>
          <cell r="O1149">
            <v>39</v>
          </cell>
          <cell r="P1149">
            <v>273</v>
          </cell>
        </row>
        <row r="1150">
          <cell r="A1150" t="str">
            <v>SLC-LAS</v>
          </cell>
          <cell r="C1150">
            <v>34</v>
          </cell>
          <cell r="E1150">
            <v>34</v>
          </cell>
          <cell r="G1150">
            <v>40</v>
          </cell>
          <cell r="I1150">
            <v>41</v>
          </cell>
          <cell r="K1150">
            <v>41</v>
          </cell>
          <cell r="M1150">
            <v>41</v>
          </cell>
          <cell r="O1150">
            <v>41</v>
          </cell>
          <cell r="P1150">
            <v>272</v>
          </cell>
        </row>
        <row r="1151">
          <cell r="A1151" t="str">
            <v>SLC-LAX</v>
          </cell>
          <cell r="C1151">
            <v>21</v>
          </cell>
          <cell r="E1151">
            <v>21</v>
          </cell>
          <cell r="G1151">
            <v>21</v>
          </cell>
          <cell r="I1151">
            <v>19</v>
          </cell>
          <cell r="K1151">
            <v>19</v>
          </cell>
          <cell r="M1151">
            <v>20</v>
          </cell>
          <cell r="O1151">
            <v>20</v>
          </cell>
          <cell r="P1151">
            <v>141</v>
          </cell>
        </row>
        <row r="1152">
          <cell r="A1152" t="str">
            <v>SLC-MDW</v>
          </cell>
          <cell r="C1152">
            <v>14</v>
          </cell>
          <cell r="E1152">
            <v>14</v>
          </cell>
          <cell r="G1152">
            <v>14</v>
          </cell>
          <cell r="I1152">
            <v>14</v>
          </cell>
          <cell r="K1152">
            <v>14</v>
          </cell>
          <cell r="M1152">
            <v>14</v>
          </cell>
          <cell r="O1152">
            <v>14</v>
          </cell>
          <cell r="P1152">
            <v>98</v>
          </cell>
        </row>
        <row r="1153">
          <cell r="A1153" t="str">
            <v>SLC-OAK</v>
          </cell>
          <cell r="C1153">
            <v>20</v>
          </cell>
          <cell r="E1153">
            <v>20</v>
          </cell>
          <cell r="G1153">
            <v>25</v>
          </cell>
          <cell r="I1153">
            <v>25</v>
          </cell>
          <cell r="K1153">
            <v>25</v>
          </cell>
          <cell r="M1153">
            <v>25</v>
          </cell>
          <cell r="O1153">
            <v>25</v>
          </cell>
          <cell r="P1153">
            <v>165</v>
          </cell>
        </row>
        <row r="1154">
          <cell r="A1154" t="str">
            <v>SLC-PDX</v>
          </cell>
          <cell r="C1154">
            <v>13</v>
          </cell>
          <cell r="E1154">
            <v>13</v>
          </cell>
          <cell r="G1154">
            <v>19</v>
          </cell>
          <cell r="I1154">
            <v>14</v>
          </cell>
          <cell r="K1154">
            <v>14</v>
          </cell>
          <cell r="M1154">
            <v>14</v>
          </cell>
          <cell r="O1154">
            <v>14</v>
          </cell>
          <cell r="P1154">
            <v>101</v>
          </cell>
        </row>
        <row r="1155">
          <cell r="A1155" t="str">
            <v>SLC-PHX</v>
          </cell>
          <cell r="C1155">
            <v>40</v>
          </cell>
          <cell r="E1155">
            <v>40</v>
          </cell>
          <cell r="G1155">
            <v>47</v>
          </cell>
          <cell r="I1155">
            <v>46</v>
          </cell>
          <cell r="K1155">
            <v>46</v>
          </cell>
          <cell r="M1155">
            <v>40</v>
          </cell>
          <cell r="O1155">
            <v>40</v>
          </cell>
          <cell r="P1155">
            <v>299</v>
          </cell>
        </row>
        <row r="1156">
          <cell r="A1156" t="str">
            <v>SLC-SEA</v>
          </cell>
          <cell r="C1156">
            <v>13</v>
          </cell>
          <cell r="E1156">
            <v>13</v>
          </cell>
          <cell r="G1156">
            <v>19</v>
          </cell>
          <cell r="I1156">
            <v>14</v>
          </cell>
          <cell r="K1156">
            <v>14</v>
          </cell>
          <cell r="M1156">
            <v>21</v>
          </cell>
          <cell r="O1156">
            <v>21</v>
          </cell>
          <cell r="P1156">
            <v>115</v>
          </cell>
        </row>
        <row r="1157">
          <cell r="A1157" t="str">
            <v>SMF-BUR</v>
          </cell>
          <cell r="C1157">
            <v>50</v>
          </cell>
          <cell r="E1157">
            <v>50</v>
          </cell>
          <cell r="G1157">
            <v>50</v>
          </cell>
          <cell r="I1157">
            <v>51</v>
          </cell>
          <cell r="K1157">
            <v>51</v>
          </cell>
          <cell r="M1157">
            <v>52</v>
          </cell>
          <cell r="O1157">
            <v>52</v>
          </cell>
          <cell r="P1157">
            <v>356</v>
          </cell>
        </row>
        <row r="1158">
          <cell r="A1158" t="str">
            <v>SMF-DEN</v>
          </cell>
          <cell r="C1158">
            <v>19</v>
          </cell>
          <cell r="E1158">
            <v>19</v>
          </cell>
          <cell r="G1158">
            <v>20</v>
          </cell>
          <cell r="I1158">
            <v>20</v>
          </cell>
          <cell r="K1158">
            <v>20</v>
          </cell>
          <cell r="M1158">
            <v>27</v>
          </cell>
          <cell r="O1158">
            <v>27</v>
          </cell>
          <cell r="P1158">
            <v>152</v>
          </cell>
        </row>
        <row r="1159">
          <cell r="A1159" t="str">
            <v>SMF-LAS</v>
          </cell>
          <cell r="C1159">
            <v>53</v>
          </cell>
          <cell r="E1159">
            <v>53</v>
          </cell>
          <cell r="G1159">
            <v>54</v>
          </cell>
          <cell r="I1159">
            <v>53</v>
          </cell>
          <cell r="K1159">
            <v>53</v>
          </cell>
          <cell r="M1159">
            <v>53</v>
          </cell>
          <cell r="O1159">
            <v>53</v>
          </cell>
          <cell r="P1159">
            <v>372</v>
          </cell>
        </row>
        <row r="1160">
          <cell r="A1160" t="str">
            <v>SMF-LAX</v>
          </cell>
          <cell r="C1160">
            <v>51</v>
          </cell>
          <cell r="E1160">
            <v>51</v>
          </cell>
          <cell r="G1160">
            <v>52</v>
          </cell>
          <cell r="I1160">
            <v>52</v>
          </cell>
          <cell r="K1160">
            <v>52</v>
          </cell>
          <cell r="M1160">
            <v>53</v>
          </cell>
          <cell r="O1160">
            <v>53</v>
          </cell>
          <cell r="P1160">
            <v>364</v>
          </cell>
        </row>
        <row r="1161">
          <cell r="A1161" t="str">
            <v>SMF-MDW</v>
          </cell>
          <cell r="C1161">
            <v>6</v>
          </cell>
          <cell r="E1161">
            <v>6</v>
          </cell>
          <cell r="G1161">
            <v>7</v>
          </cell>
          <cell r="I1161">
            <v>7</v>
          </cell>
          <cell r="K1161">
            <v>7</v>
          </cell>
          <cell r="M1161">
            <v>8</v>
          </cell>
          <cell r="O1161">
            <v>8</v>
          </cell>
          <cell r="P1161">
            <v>49</v>
          </cell>
        </row>
        <row r="1162">
          <cell r="A1162" t="str">
            <v>SMF-ONT</v>
          </cell>
          <cell r="C1162">
            <v>51</v>
          </cell>
          <cell r="E1162">
            <v>51</v>
          </cell>
          <cell r="G1162">
            <v>52</v>
          </cell>
          <cell r="I1162">
            <v>52</v>
          </cell>
          <cell r="K1162">
            <v>52</v>
          </cell>
          <cell r="M1162">
            <v>51</v>
          </cell>
          <cell r="O1162">
            <v>51</v>
          </cell>
          <cell r="P1162">
            <v>360</v>
          </cell>
        </row>
        <row r="1163">
          <cell r="A1163" t="str">
            <v>SMF-PDX</v>
          </cell>
          <cell r="C1163">
            <v>32</v>
          </cell>
          <cell r="E1163">
            <v>32</v>
          </cell>
          <cell r="G1163">
            <v>39</v>
          </cell>
          <cell r="I1163">
            <v>39</v>
          </cell>
          <cell r="K1163">
            <v>39</v>
          </cell>
          <cell r="M1163">
            <v>40</v>
          </cell>
          <cell r="O1163">
            <v>40</v>
          </cell>
          <cell r="P1163">
            <v>261</v>
          </cell>
        </row>
        <row r="1164">
          <cell r="A1164" t="str">
            <v>SMF-PHX</v>
          </cell>
          <cell r="C1164">
            <v>32</v>
          </cell>
          <cell r="E1164">
            <v>32</v>
          </cell>
          <cell r="G1164">
            <v>33</v>
          </cell>
          <cell r="I1164">
            <v>32</v>
          </cell>
          <cell r="K1164">
            <v>32</v>
          </cell>
          <cell r="M1164">
            <v>33</v>
          </cell>
          <cell r="O1164">
            <v>33</v>
          </cell>
          <cell r="P1164">
            <v>227</v>
          </cell>
        </row>
        <row r="1165">
          <cell r="A1165" t="str">
            <v>SMF-SAN</v>
          </cell>
          <cell r="C1165">
            <v>63</v>
          </cell>
          <cell r="E1165">
            <v>63</v>
          </cell>
          <cell r="G1165">
            <v>68</v>
          </cell>
          <cell r="I1165">
            <v>68</v>
          </cell>
          <cell r="K1165">
            <v>68</v>
          </cell>
          <cell r="M1165">
            <v>61</v>
          </cell>
          <cell r="O1165">
            <v>61</v>
          </cell>
          <cell r="P1165">
            <v>452</v>
          </cell>
        </row>
        <row r="1166">
          <cell r="A1166" t="str">
            <v>SMF-SEA</v>
          </cell>
          <cell r="C1166">
            <v>21</v>
          </cell>
          <cell r="E1166">
            <v>21</v>
          </cell>
          <cell r="G1166">
            <v>26</v>
          </cell>
          <cell r="I1166">
            <v>27</v>
          </cell>
          <cell r="K1166">
            <v>27</v>
          </cell>
          <cell r="M1166">
            <v>27</v>
          </cell>
          <cell r="O1166">
            <v>27</v>
          </cell>
          <cell r="P1166">
            <v>176</v>
          </cell>
        </row>
        <row r="1167">
          <cell r="A1167" t="str">
            <v>SMF-SNA</v>
          </cell>
          <cell r="C1167">
            <v>45</v>
          </cell>
          <cell r="E1167">
            <v>45</v>
          </cell>
          <cell r="G1167">
            <v>46</v>
          </cell>
          <cell r="I1167">
            <v>45</v>
          </cell>
          <cell r="K1167">
            <v>45</v>
          </cell>
          <cell r="M1167">
            <v>45</v>
          </cell>
          <cell r="O1167">
            <v>45</v>
          </cell>
          <cell r="P1167">
            <v>316</v>
          </cell>
        </row>
        <row r="1168">
          <cell r="A1168" t="str">
            <v>SNA-DEN</v>
          </cell>
          <cell r="C1168">
            <v>19</v>
          </cell>
          <cell r="E1168">
            <v>19</v>
          </cell>
          <cell r="G1168">
            <v>25</v>
          </cell>
          <cell r="I1168">
            <v>26</v>
          </cell>
          <cell r="K1168">
            <v>26</v>
          </cell>
          <cell r="M1168">
            <v>26</v>
          </cell>
          <cell r="O1168">
            <v>26</v>
          </cell>
          <cell r="P1168">
            <v>167</v>
          </cell>
        </row>
        <row r="1169">
          <cell r="A1169" t="str">
            <v>SNA-HOU</v>
          </cell>
          <cell r="C1169">
            <v>7</v>
          </cell>
          <cell r="E1169">
            <v>7</v>
          </cell>
          <cell r="G1169">
            <v>7</v>
          </cell>
          <cell r="I1169">
            <v>7</v>
          </cell>
          <cell r="K1169">
            <v>7</v>
          </cell>
          <cell r="M1169">
            <v>7</v>
          </cell>
          <cell r="O1169">
            <v>7</v>
          </cell>
          <cell r="P1169">
            <v>49</v>
          </cell>
        </row>
        <row r="1170">
          <cell r="A1170" t="str">
            <v>SNA-LAS</v>
          </cell>
          <cell r="B1170">
            <v>7</v>
          </cell>
          <cell r="C1170">
            <v>47</v>
          </cell>
          <cell r="D1170">
            <v>7</v>
          </cell>
          <cell r="E1170">
            <v>47</v>
          </cell>
          <cell r="F1170">
            <v>7</v>
          </cell>
          <cell r="G1170">
            <v>47</v>
          </cell>
          <cell r="H1170">
            <v>7</v>
          </cell>
          <cell r="I1170">
            <v>46</v>
          </cell>
          <cell r="J1170">
            <v>7</v>
          </cell>
          <cell r="K1170">
            <v>46</v>
          </cell>
          <cell r="L1170">
            <v>7</v>
          </cell>
          <cell r="M1170">
            <v>47</v>
          </cell>
          <cell r="N1170">
            <v>7</v>
          </cell>
          <cell r="O1170">
            <v>47</v>
          </cell>
          <cell r="P1170">
            <v>376</v>
          </cell>
        </row>
        <row r="1171">
          <cell r="A1171" t="str">
            <v>SNA-MDW</v>
          </cell>
          <cell r="C1171">
            <v>7</v>
          </cell>
          <cell r="E1171">
            <v>7</v>
          </cell>
          <cell r="G1171">
            <v>7</v>
          </cell>
          <cell r="I1171">
            <v>7</v>
          </cell>
          <cell r="K1171">
            <v>7</v>
          </cell>
          <cell r="M1171">
            <v>7</v>
          </cell>
          <cell r="O1171">
            <v>7</v>
          </cell>
          <cell r="P1171">
            <v>49</v>
          </cell>
        </row>
        <row r="1172">
          <cell r="A1172" t="str">
            <v>SNA-MEX</v>
          </cell>
          <cell r="B1172">
            <v>7</v>
          </cell>
          <cell r="D1172">
            <v>7</v>
          </cell>
          <cell r="F1172">
            <v>7</v>
          </cell>
          <cell r="H1172">
            <v>7</v>
          </cell>
          <cell r="J1172">
            <v>7</v>
          </cell>
          <cell r="L1172">
            <v>7</v>
          </cell>
          <cell r="N1172">
            <v>7</v>
          </cell>
          <cell r="P1172">
            <v>49</v>
          </cell>
        </row>
        <row r="1173">
          <cell r="A1173" t="str">
            <v>SNA-OAK</v>
          </cell>
          <cell r="C1173">
            <v>51</v>
          </cell>
          <cell r="E1173">
            <v>51</v>
          </cell>
          <cell r="G1173">
            <v>53</v>
          </cell>
          <cell r="I1173">
            <v>52</v>
          </cell>
          <cell r="K1173">
            <v>52</v>
          </cell>
          <cell r="M1173">
            <v>53</v>
          </cell>
          <cell r="O1173">
            <v>53</v>
          </cell>
          <cell r="P1173">
            <v>365</v>
          </cell>
        </row>
        <row r="1174">
          <cell r="A1174" t="str">
            <v>SNA-PHX</v>
          </cell>
          <cell r="C1174">
            <v>45</v>
          </cell>
          <cell r="E1174">
            <v>45</v>
          </cell>
          <cell r="G1174">
            <v>45</v>
          </cell>
          <cell r="I1174">
            <v>46</v>
          </cell>
          <cell r="K1174">
            <v>46</v>
          </cell>
          <cell r="M1174">
            <v>53</v>
          </cell>
          <cell r="O1174">
            <v>53</v>
          </cell>
          <cell r="P1174">
            <v>333</v>
          </cell>
        </row>
        <row r="1175">
          <cell r="A1175" t="str">
            <v>SNA-SFO</v>
          </cell>
          <cell r="B1175">
            <v>7</v>
          </cell>
          <cell r="C1175">
            <v>39</v>
          </cell>
          <cell r="D1175">
            <v>7</v>
          </cell>
          <cell r="E1175">
            <v>39</v>
          </cell>
          <cell r="F1175">
            <v>7</v>
          </cell>
          <cell r="G1175">
            <v>39</v>
          </cell>
          <cell r="H1175">
            <v>7</v>
          </cell>
          <cell r="I1175">
            <v>39</v>
          </cell>
          <cell r="J1175">
            <v>7</v>
          </cell>
          <cell r="K1175">
            <v>39</v>
          </cell>
          <cell r="L1175">
            <v>7</v>
          </cell>
          <cell r="M1175">
            <v>39</v>
          </cell>
          <cell r="N1175">
            <v>7</v>
          </cell>
          <cell r="O1175">
            <v>39</v>
          </cell>
          <cell r="P1175">
            <v>322</v>
          </cell>
        </row>
        <row r="1176">
          <cell r="A1176" t="str">
            <v>SNA-SJC</v>
          </cell>
          <cell r="C1176">
            <v>52</v>
          </cell>
          <cell r="E1176">
            <v>52</v>
          </cell>
          <cell r="G1176">
            <v>52</v>
          </cell>
          <cell r="I1176">
            <v>58</v>
          </cell>
          <cell r="K1176">
            <v>58</v>
          </cell>
          <cell r="M1176">
            <v>58</v>
          </cell>
          <cell r="O1176">
            <v>58</v>
          </cell>
          <cell r="P1176">
            <v>388</v>
          </cell>
        </row>
        <row r="1177">
          <cell r="A1177" t="str">
            <v>SNA-SJD</v>
          </cell>
          <cell r="B1177">
            <v>7</v>
          </cell>
          <cell r="D1177">
            <v>7</v>
          </cell>
          <cell r="F1177">
            <v>7</v>
          </cell>
          <cell r="H1177">
            <v>7</v>
          </cell>
          <cell r="J1177">
            <v>7</v>
          </cell>
          <cell r="L1177">
            <v>14</v>
          </cell>
          <cell r="N1177">
            <v>14</v>
          </cell>
          <cell r="P1177">
            <v>63</v>
          </cell>
        </row>
        <row r="1178">
          <cell r="A1178" t="str">
            <v>SNA-SMF</v>
          </cell>
          <cell r="C1178">
            <v>46</v>
          </cell>
          <cell r="E1178">
            <v>46</v>
          </cell>
          <cell r="G1178">
            <v>46</v>
          </cell>
          <cell r="I1178">
            <v>46</v>
          </cell>
          <cell r="K1178">
            <v>46</v>
          </cell>
          <cell r="M1178">
            <v>45</v>
          </cell>
          <cell r="O1178">
            <v>45</v>
          </cell>
          <cell r="P1178">
            <v>320</v>
          </cell>
        </row>
        <row r="1179">
          <cell r="A1179" t="str">
            <v>STL-ATL</v>
          </cell>
          <cell r="B1179">
            <v>21</v>
          </cell>
          <cell r="D1179">
            <v>21</v>
          </cell>
          <cell r="F1179">
            <v>21</v>
          </cell>
          <cell r="H1179">
            <v>27</v>
          </cell>
          <cell r="J1179">
            <v>27</v>
          </cell>
          <cell r="L1179">
            <v>27</v>
          </cell>
          <cell r="N1179">
            <v>27</v>
          </cell>
          <cell r="P1179">
            <v>171</v>
          </cell>
        </row>
        <row r="1180">
          <cell r="A1180" t="str">
            <v>STL-BHM</v>
          </cell>
          <cell r="C1180">
            <v>7</v>
          </cell>
          <cell r="E1180">
            <v>7</v>
          </cell>
          <cell r="G1180">
            <v>7</v>
          </cell>
          <cell r="I1180">
            <v>6</v>
          </cell>
          <cell r="K1180">
            <v>6</v>
          </cell>
          <cell r="M1180">
            <v>7</v>
          </cell>
          <cell r="O1180">
            <v>7</v>
          </cell>
          <cell r="P1180">
            <v>47</v>
          </cell>
        </row>
        <row r="1181">
          <cell r="A1181" t="str">
            <v>STL-BNA</v>
          </cell>
          <cell r="C1181">
            <v>13</v>
          </cell>
          <cell r="E1181">
            <v>13</v>
          </cell>
          <cell r="G1181">
            <v>14</v>
          </cell>
          <cell r="I1181">
            <v>14</v>
          </cell>
          <cell r="K1181">
            <v>14</v>
          </cell>
          <cell r="M1181">
            <v>14</v>
          </cell>
          <cell r="O1181">
            <v>14</v>
          </cell>
          <cell r="P1181">
            <v>96</v>
          </cell>
        </row>
        <row r="1182">
          <cell r="A1182" t="str">
            <v>STL-BOS</v>
          </cell>
          <cell r="C1182">
            <v>12</v>
          </cell>
          <cell r="E1182">
            <v>12</v>
          </cell>
          <cell r="G1182">
            <v>14</v>
          </cell>
          <cell r="I1182">
            <v>14</v>
          </cell>
          <cell r="K1182">
            <v>14</v>
          </cell>
          <cell r="M1182">
            <v>20</v>
          </cell>
          <cell r="O1182">
            <v>20</v>
          </cell>
          <cell r="P1182">
            <v>106</v>
          </cell>
        </row>
        <row r="1183">
          <cell r="A1183" t="str">
            <v>STL-BWI</v>
          </cell>
          <cell r="C1183">
            <v>25</v>
          </cell>
          <cell r="E1183">
            <v>25</v>
          </cell>
          <cell r="G1183">
            <v>34</v>
          </cell>
          <cell r="I1183">
            <v>33</v>
          </cell>
          <cell r="K1183">
            <v>33</v>
          </cell>
          <cell r="M1183">
            <v>33</v>
          </cell>
          <cell r="O1183">
            <v>33</v>
          </cell>
          <cell r="P1183">
            <v>216</v>
          </cell>
        </row>
        <row r="1184">
          <cell r="A1184" t="str">
            <v>STL-CMH</v>
          </cell>
          <cell r="C1184">
            <v>11</v>
          </cell>
          <cell r="E1184">
            <v>11</v>
          </cell>
          <cell r="G1184">
            <v>13</v>
          </cell>
          <cell r="I1184">
            <v>13</v>
          </cell>
          <cell r="K1184">
            <v>13</v>
          </cell>
          <cell r="M1184">
            <v>13</v>
          </cell>
          <cell r="O1184">
            <v>13</v>
          </cell>
          <cell r="P1184">
            <v>87</v>
          </cell>
        </row>
        <row r="1185">
          <cell r="A1185" t="str">
            <v>STL-DAL</v>
          </cell>
          <cell r="C1185">
            <v>52</v>
          </cell>
          <cell r="E1185">
            <v>52</v>
          </cell>
          <cell r="G1185">
            <v>53</v>
          </cell>
          <cell r="I1185">
            <v>59</v>
          </cell>
          <cell r="K1185">
            <v>59</v>
          </cell>
          <cell r="M1185">
            <v>59</v>
          </cell>
          <cell r="O1185">
            <v>59</v>
          </cell>
          <cell r="P1185">
            <v>393</v>
          </cell>
        </row>
        <row r="1186">
          <cell r="A1186" t="str">
            <v>STL-DCA</v>
          </cell>
          <cell r="C1186">
            <v>14</v>
          </cell>
          <cell r="E1186">
            <v>14</v>
          </cell>
          <cell r="G1186">
            <v>14</v>
          </cell>
          <cell r="I1186">
            <v>14</v>
          </cell>
          <cell r="K1186">
            <v>14</v>
          </cell>
          <cell r="M1186">
            <v>14</v>
          </cell>
          <cell r="O1186">
            <v>14</v>
          </cell>
          <cell r="P1186">
            <v>98</v>
          </cell>
        </row>
        <row r="1187">
          <cell r="A1187" t="str">
            <v>STL-DEN</v>
          </cell>
          <cell r="C1187">
            <v>26</v>
          </cell>
          <cell r="E1187">
            <v>26</v>
          </cell>
          <cell r="G1187">
            <v>28</v>
          </cell>
          <cell r="I1187">
            <v>27</v>
          </cell>
          <cell r="K1187">
            <v>27</v>
          </cell>
          <cell r="M1187">
            <v>28</v>
          </cell>
          <cell r="O1187">
            <v>28</v>
          </cell>
          <cell r="P1187">
            <v>190</v>
          </cell>
        </row>
        <row r="1188">
          <cell r="A1188" t="str">
            <v>STL-DTW</v>
          </cell>
          <cell r="C1188">
            <v>12</v>
          </cell>
          <cell r="E1188">
            <v>12</v>
          </cell>
          <cell r="G1188">
            <v>13</v>
          </cell>
          <cell r="I1188">
            <v>12</v>
          </cell>
          <cell r="K1188">
            <v>12</v>
          </cell>
          <cell r="M1188">
            <v>13</v>
          </cell>
          <cell r="O1188">
            <v>13</v>
          </cell>
          <cell r="P1188">
            <v>87</v>
          </cell>
        </row>
        <row r="1189">
          <cell r="A1189" t="str">
            <v>STL-ECP</v>
          </cell>
          <cell r="G1189">
            <v>7</v>
          </cell>
          <cell r="I1189">
            <v>7</v>
          </cell>
          <cell r="K1189">
            <v>7</v>
          </cell>
          <cell r="M1189">
            <v>7</v>
          </cell>
          <cell r="O1189">
            <v>7</v>
          </cell>
          <cell r="P1189">
            <v>35</v>
          </cell>
        </row>
        <row r="1190">
          <cell r="A1190" t="str">
            <v>STL-EWR</v>
          </cell>
          <cell r="C1190">
            <v>14</v>
          </cell>
          <cell r="E1190">
            <v>14</v>
          </cell>
          <cell r="G1190">
            <v>14</v>
          </cell>
          <cell r="I1190">
            <v>14</v>
          </cell>
          <cell r="K1190">
            <v>14</v>
          </cell>
          <cell r="M1190">
            <v>13</v>
          </cell>
          <cell r="O1190">
            <v>13</v>
          </cell>
          <cell r="P1190">
            <v>96</v>
          </cell>
        </row>
        <row r="1191">
          <cell r="A1191" t="str">
            <v>STL-FLL</v>
          </cell>
          <cell r="C1191">
            <v>7</v>
          </cell>
          <cell r="E1191">
            <v>7</v>
          </cell>
          <cell r="G1191">
            <v>14</v>
          </cell>
          <cell r="I1191">
            <v>7</v>
          </cell>
          <cell r="K1191">
            <v>7</v>
          </cell>
          <cell r="M1191">
            <v>7</v>
          </cell>
          <cell r="O1191">
            <v>7</v>
          </cell>
          <cell r="P1191">
            <v>56</v>
          </cell>
        </row>
        <row r="1192">
          <cell r="A1192" t="str">
            <v>STL-HOU</v>
          </cell>
          <cell r="C1192">
            <v>24</v>
          </cell>
          <cell r="E1192">
            <v>24</v>
          </cell>
          <cell r="G1192">
            <v>25</v>
          </cell>
          <cell r="I1192">
            <v>27</v>
          </cell>
          <cell r="K1192">
            <v>27</v>
          </cell>
          <cell r="M1192">
            <v>27</v>
          </cell>
          <cell r="O1192">
            <v>27</v>
          </cell>
          <cell r="P1192">
            <v>181</v>
          </cell>
        </row>
        <row r="1193">
          <cell r="A1193" t="str">
            <v>STL-LAS</v>
          </cell>
          <cell r="C1193">
            <v>21</v>
          </cell>
          <cell r="E1193">
            <v>21</v>
          </cell>
          <cell r="G1193">
            <v>28</v>
          </cell>
          <cell r="I1193">
            <v>28</v>
          </cell>
          <cell r="K1193">
            <v>28</v>
          </cell>
          <cell r="M1193">
            <v>28</v>
          </cell>
          <cell r="O1193">
            <v>28</v>
          </cell>
          <cell r="P1193">
            <v>182</v>
          </cell>
        </row>
        <row r="1194">
          <cell r="A1194" t="str">
            <v>STL-LAX</v>
          </cell>
          <cell r="C1194">
            <v>7</v>
          </cell>
          <cell r="E1194">
            <v>7</v>
          </cell>
          <cell r="G1194">
            <v>8</v>
          </cell>
          <cell r="I1194">
            <v>14</v>
          </cell>
          <cell r="K1194">
            <v>14</v>
          </cell>
          <cell r="M1194">
            <v>14</v>
          </cell>
          <cell r="O1194">
            <v>14</v>
          </cell>
          <cell r="P1194">
            <v>78</v>
          </cell>
        </row>
        <row r="1195">
          <cell r="A1195" t="str">
            <v>STL-LGA</v>
          </cell>
          <cell r="C1195">
            <v>14</v>
          </cell>
          <cell r="E1195">
            <v>14</v>
          </cell>
          <cell r="G1195">
            <v>14</v>
          </cell>
          <cell r="I1195">
            <v>14</v>
          </cell>
          <cell r="K1195">
            <v>14</v>
          </cell>
          <cell r="M1195">
            <v>14</v>
          </cell>
          <cell r="O1195">
            <v>14</v>
          </cell>
          <cell r="P1195">
            <v>98</v>
          </cell>
        </row>
        <row r="1196">
          <cell r="A1196" t="str">
            <v>STL-LIT</v>
          </cell>
          <cell r="C1196">
            <v>7</v>
          </cell>
          <cell r="E1196">
            <v>7</v>
          </cell>
          <cell r="G1196">
            <v>7</v>
          </cell>
          <cell r="I1196">
            <v>7</v>
          </cell>
          <cell r="K1196">
            <v>7</v>
          </cell>
          <cell r="P1196">
            <v>35</v>
          </cell>
        </row>
        <row r="1197">
          <cell r="A1197" t="str">
            <v>STL-MCI</v>
          </cell>
          <cell r="C1197">
            <v>30</v>
          </cell>
          <cell r="E1197">
            <v>30</v>
          </cell>
          <cell r="G1197">
            <v>32</v>
          </cell>
          <cell r="I1197">
            <v>32</v>
          </cell>
          <cell r="K1197">
            <v>32</v>
          </cell>
          <cell r="M1197">
            <v>32</v>
          </cell>
          <cell r="O1197">
            <v>32</v>
          </cell>
          <cell r="P1197">
            <v>220</v>
          </cell>
        </row>
        <row r="1198">
          <cell r="A1198" t="str">
            <v>STL-MCO</v>
          </cell>
          <cell r="C1198">
            <v>28</v>
          </cell>
          <cell r="E1198">
            <v>28</v>
          </cell>
          <cell r="G1198">
            <v>35</v>
          </cell>
          <cell r="H1198">
            <v>7</v>
          </cell>
          <cell r="I1198">
            <v>27</v>
          </cell>
          <cell r="J1198">
            <v>7</v>
          </cell>
          <cell r="K1198">
            <v>27</v>
          </cell>
          <cell r="L1198">
            <v>19</v>
          </cell>
          <cell r="M1198">
            <v>17</v>
          </cell>
          <cell r="N1198">
            <v>19</v>
          </cell>
          <cell r="O1198">
            <v>17</v>
          </cell>
          <cell r="P1198">
            <v>231</v>
          </cell>
        </row>
        <row r="1199">
          <cell r="A1199" t="str">
            <v>STL-MDW</v>
          </cell>
          <cell r="C1199">
            <v>57</v>
          </cell>
          <cell r="E1199">
            <v>57</v>
          </cell>
          <cell r="G1199">
            <v>64</v>
          </cell>
          <cell r="I1199">
            <v>64</v>
          </cell>
          <cell r="K1199">
            <v>64</v>
          </cell>
          <cell r="M1199">
            <v>64</v>
          </cell>
          <cell r="O1199">
            <v>64</v>
          </cell>
          <cell r="P1199">
            <v>434</v>
          </cell>
        </row>
        <row r="1200">
          <cell r="A1200" t="str">
            <v>STL-MKE</v>
          </cell>
          <cell r="C1200">
            <v>11</v>
          </cell>
          <cell r="E1200">
            <v>11</v>
          </cell>
          <cell r="G1200">
            <v>13</v>
          </cell>
          <cell r="I1200">
            <v>13</v>
          </cell>
          <cell r="K1200">
            <v>13</v>
          </cell>
          <cell r="M1200">
            <v>13</v>
          </cell>
          <cell r="O1200">
            <v>13</v>
          </cell>
          <cell r="P1200">
            <v>87</v>
          </cell>
        </row>
        <row r="1201">
          <cell r="A1201" t="str">
            <v>STL-MSP</v>
          </cell>
          <cell r="C1201">
            <v>12</v>
          </cell>
          <cell r="E1201">
            <v>12</v>
          </cell>
          <cell r="G1201">
            <v>20</v>
          </cell>
          <cell r="I1201">
            <v>20</v>
          </cell>
          <cell r="K1201">
            <v>20</v>
          </cell>
          <cell r="M1201">
            <v>20</v>
          </cell>
          <cell r="O1201">
            <v>20</v>
          </cell>
          <cell r="P1201">
            <v>124</v>
          </cell>
        </row>
        <row r="1202">
          <cell r="A1202" t="str">
            <v>STL-MSY</v>
          </cell>
          <cell r="C1202">
            <v>13</v>
          </cell>
          <cell r="E1202">
            <v>13</v>
          </cell>
          <cell r="G1202">
            <v>12</v>
          </cell>
          <cell r="I1202">
            <v>12</v>
          </cell>
          <cell r="K1202">
            <v>12</v>
          </cell>
          <cell r="M1202">
            <v>12</v>
          </cell>
          <cell r="O1202">
            <v>12</v>
          </cell>
          <cell r="P1202">
            <v>86</v>
          </cell>
        </row>
        <row r="1203">
          <cell r="A1203" t="str">
            <v>STL-OKC</v>
          </cell>
          <cell r="C1203">
            <v>12</v>
          </cell>
          <cell r="E1203">
            <v>12</v>
          </cell>
          <cell r="G1203">
            <v>12</v>
          </cell>
          <cell r="I1203">
            <v>13</v>
          </cell>
          <cell r="K1203">
            <v>13</v>
          </cell>
          <cell r="M1203">
            <v>13</v>
          </cell>
          <cell r="O1203">
            <v>13</v>
          </cell>
          <cell r="P1203">
            <v>88</v>
          </cell>
        </row>
        <row r="1204">
          <cell r="A1204" t="str">
            <v>STL-OMA</v>
          </cell>
          <cell r="C1204">
            <v>18</v>
          </cell>
          <cell r="E1204">
            <v>18</v>
          </cell>
          <cell r="G1204">
            <v>20</v>
          </cell>
          <cell r="I1204">
            <v>19</v>
          </cell>
          <cell r="K1204">
            <v>19</v>
          </cell>
          <cell r="M1204">
            <v>20</v>
          </cell>
          <cell r="O1204">
            <v>20</v>
          </cell>
          <cell r="P1204">
            <v>134</v>
          </cell>
        </row>
        <row r="1205">
          <cell r="A1205" t="str">
            <v>STL-PHL</v>
          </cell>
          <cell r="C1205">
            <v>12</v>
          </cell>
          <cell r="E1205">
            <v>12</v>
          </cell>
          <cell r="G1205">
            <v>13</v>
          </cell>
          <cell r="I1205">
            <v>13</v>
          </cell>
          <cell r="K1205">
            <v>13</v>
          </cell>
          <cell r="M1205">
            <v>14</v>
          </cell>
          <cell r="O1205">
            <v>14</v>
          </cell>
          <cell r="P1205">
            <v>91</v>
          </cell>
        </row>
        <row r="1206">
          <cell r="A1206" t="str">
            <v>STL-PHX</v>
          </cell>
          <cell r="C1206">
            <v>19</v>
          </cell>
          <cell r="E1206">
            <v>19</v>
          </cell>
          <cell r="G1206">
            <v>20</v>
          </cell>
          <cell r="I1206">
            <v>20</v>
          </cell>
          <cell r="K1206">
            <v>20</v>
          </cell>
          <cell r="M1206">
            <v>21</v>
          </cell>
          <cell r="O1206">
            <v>21</v>
          </cell>
          <cell r="P1206">
            <v>140</v>
          </cell>
        </row>
        <row r="1207">
          <cell r="A1207" t="str">
            <v>STL-RDU</v>
          </cell>
          <cell r="C1207">
            <v>7</v>
          </cell>
          <cell r="E1207">
            <v>7</v>
          </cell>
          <cell r="G1207">
            <v>7</v>
          </cell>
          <cell r="I1207">
            <v>7</v>
          </cell>
          <cell r="K1207">
            <v>7</v>
          </cell>
          <cell r="M1207">
            <v>13</v>
          </cell>
          <cell r="O1207">
            <v>13</v>
          </cell>
          <cell r="P1207">
            <v>61</v>
          </cell>
        </row>
        <row r="1208">
          <cell r="A1208" t="str">
            <v>STL-RSW</v>
          </cell>
          <cell r="C1208">
            <v>14</v>
          </cell>
          <cell r="E1208">
            <v>14</v>
          </cell>
          <cell r="G1208">
            <v>14</v>
          </cell>
          <cell r="I1208">
            <v>14</v>
          </cell>
          <cell r="K1208">
            <v>14</v>
          </cell>
          <cell r="M1208">
            <v>8</v>
          </cell>
          <cell r="O1208">
            <v>8</v>
          </cell>
          <cell r="P1208">
            <v>86</v>
          </cell>
        </row>
        <row r="1209">
          <cell r="A1209" t="str">
            <v>STL-SAN</v>
          </cell>
          <cell r="G1209">
            <v>1</v>
          </cell>
          <cell r="I1209">
            <v>7</v>
          </cell>
          <cell r="K1209">
            <v>7</v>
          </cell>
          <cell r="M1209">
            <v>7</v>
          </cell>
          <cell r="O1209">
            <v>7</v>
          </cell>
          <cell r="P1209">
            <v>29</v>
          </cell>
        </row>
        <row r="1210">
          <cell r="A1210" t="str">
            <v>STL-SAT</v>
          </cell>
          <cell r="C1210">
            <v>12</v>
          </cell>
          <cell r="E1210">
            <v>12</v>
          </cell>
          <cell r="G1210">
            <v>13</v>
          </cell>
          <cell r="I1210">
            <v>13</v>
          </cell>
          <cell r="K1210">
            <v>13</v>
          </cell>
          <cell r="M1210">
            <v>13</v>
          </cell>
          <cell r="O1210">
            <v>13</v>
          </cell>
          <cell r="P1210">
            <v>89</v>
          </cell>
        </row>
        <row r="1211">
          <cell r="A1211" t="str">
            <v>STL-SDF</v>
          </cell>
          <cell r="C1211">
            <v>12</v>
          </cell>
          <cell r="E1211">
            <v>12</v>
          </cell>
          <cell r="G1211">
            <v>13</v>
          </cell>
          <cell r="I1211">
            <v>13</v>
          </cell>
          <cell r="K1211">
            <v>13</v>
          </cell>
          <cell r="M1211">
            <v>13</v>
          </cell>
          <cell r="O1211">
            <v>13</v>
          </cell>
          <cell r="P1211">
            <v>89</v>
          </cell>
        </row>
        <row r="1212">
          <cell r="A1212" t="str">
            <v>STL-SEA</v>
          </cell>
          <cell r="C1212">
            <v>7</v>
          </cell>
          <cell r="E1212">
            <v>7</v>
          </cell>
          <cell r="G1212">
            <v>7</v>
          </cell>
          <cell r="I1212">
            <v>7</v>
          </cell>
          <cell r="K1212">
            <v>7</v>
          </cell>
          <cell r="M1212">
            <v>7</v>
          </cell>
          <cell r="O1212">
            <v>7</v>
          </cell>
          <cell r="P1212">
            <v>49</v>
          </cell>
        </row>
        <row r="1213">
          <cell r="A1213" t="str">
            <v>STL-TPA</v>
          </cell>
          <cell r="C1213">
            <v>14</v>
          </cell>
          <cell r="E1213">
            <v>14</v>
          </cell>
          <cell r="G1213">
            <v>28</v>
          </cell>
          <cell r="I1213">
            <v>14</v>
          </cell>
          <cell r="K1213">
            <v>14</v>
          </cell>
          <cell r="M1213">
            <v>14</v>
          </cell>
          <cell r="O1213">
            <v>14</v>
          </cell>
          <cell r="P1213">
            <v>112</v>
          </cell>
        </row>
        <row r="1214">
          <cell r="A1214" t="str">
            <v>STL-TUL</v>
          </cell>
          <cell r="C1214">
            <v>12</v>
          </cell>
          <cell r="E1214">
            <v>12</v>
          </cell>
          <cell r="G1214">
            <v>13</v>
          </cell>
          <cell r="I1214">
            <v>13</v>
          </cell>
          <cell r="K1214">
            <v>13</v>
          </cell>
          <cell r="M1214">
            <v>13</v>
          </cell>
          <cell r="O1214">
            <v>13</v>
          </cell>
          <cell r="P1214">
            <v>89</v>
          </cell>
        </row>
        <row r="1215">
          <cell r="A1215" t="str">
            <v>TPA-ALB</v>
          </cell>
          <cell r="C1215">
            <v>7</v>
          </cell>
          <cell r="E1215">
            <v>7</v>
          </cell>
          <cell r="G1215">
            <v>15</v>
          </cell>
          <cell r="I1215">
            <v>7</v>
          </cell>
          <cell r="K1215">
            <v>7</v>
          </cell>
          <cell r="M1215">
            <v>7</v>
          </cell>
          <cell r="O1215">
            <v>7</v>
          </cell>
          <cell r="P1215">
            <v>57</v>
          </cell>
        </row>
        <row r="1216">
          <cell r="A1216" t="str">
            <v>TPA-ATL</v>
          </cell>
          <cell r="B1216">
            <v>48</v>
          </cell>
          <cell r="D1216">
            <v>48</v>
          </cell>
          <cell r="F1216">
            <v>56</v>
          </cell>
          <cell r="H1216">
            <v>55</v>
          </cell>
          <cell r="J1216">
            <v>55</v>
          </cell>
          <cell r="L1216">
            <v>56</v>
          </cell>
          <cell r="N1216">
            <v>56</v>
          </cell>
          <cell r="P1216">
            <v>374</v>
          </cell>
        </row>
        <row r="1217">
          <cell r="A1217" t="str">
            <v>TPA-AUS</v>
          </cell>
          <cell r="C1217">
            <v>6</v>
          </cell>
          <cell r="E1217">
            <v>6</v>
          </cell>
          <cell r="G1217">
            <v>7</v>
          </cell>
          <cell r="I1217">
            <v>7</v>
          </cell>
          <cell r="K1217">
            <v>7</v>
          </cell>
          <cell r="M1217">
            <v>7</v>
          </cell>
          <cell r="O1217">
            <v>7</v>
          </cell>
          <cell r="P1217">
            <v>47</v>
          </cell>
        </row>
        <row r="1218">
          <cell r="A1218" t="str">
            <v>TPA-BDL</v>
          </cell>
          <cell r="C1218">
            <v>14</v>
          </cell>
          <cell r="E1218">
            <v>14</v>
          </cell>
          <cell r="G1218">
            <v>14</v>
          </cell>
          <cell r="I1218">
            <v>14</v>
          </cell>
          <cell r="K1218">
            <v>14</v>
          </cell>
          <cell r="M1218">
            <v>14</v>
          </cell>
          <cell r="O1218">
            <v>14</v>
          </cell>
          <cell r="P1218">
            <v>98</v>
          </cell>
        </row>
        <row r="1219">
          <cell r="A1219" t="str">
            <v>TPA-BHM</v>
          </cell>
          <cell r="C1219">
            <v>12</v>
          </cell>
          <cell r="E1219">
            <v>12</v>
          </cell>
          <cell r="G1219">
            <v>13</v>
          </cell>
          <cell r="I1219">
            <v>13</v>
          </cell>
          <cell r="K1219">
            <v>13</v>
          </cell>
          <cell r="M1219">
            <v>14</v>
          </cell>
          <cell r="O1219">
            <v>14</v>
          </cell>
          <cell r="P1219">
            <v>91</v>
          </cell>
        </row>
        <row r="1220">
          <cell r="A1220" t="str">
            <v>TPA-BNA</v>
          </cell>
          <cell r="C1220">
            <v>26</v>
          </cell>
          <cell r="E1220">
            <v>26</v>
          </cell>
          <cell r="G1220">
            <v>29</v>
          </cell>
          <cell r="I1220">
            <v>27</v>
          </cell>
          <cell r="K1220">
            <v>27</v>
          </cell>
          <cell r="M1220">
            <v>28</v>
          </cell>
          <cell r="O1220">
            <v>28</v>
          </cell>
          <cell r="P1220">
            <v>191</v>
          </cell>
        </row>
        <row r="1221">
          <cell r="A1221" t="str">
            <v>TPA-BUF</v>
          </cell>
          <cell r="C1221">
            <v>8</v>
          </cell>
          <cell r="E1221">
            <v>8</v>
          </cell>
          <cell r="G1221">
            <v>15</v>
          </cell>
          <cell r="H1221">
            <v>7</v>
          </cell>
          <cell r="I1221">
            <v>7</v>
          </cell>
          <cell r="J1221">
            <v>7</v>
          </cell>
          <cell r="K1221">
            <v>7</v>
          </cell>
          <cell r="L1221">
            <v>7</v>
          </cell>
          <cell r="M1221">
            <v>8</v>
          </cell>
          <cell r="N1221">
            <v>7</v>
          </cell>
          <cell r="O1221">
            <v>8</v>
          </cell>
          <cell r="P1221">
            <v>89</v>
          </cell>
        </row>
        <row r="1222">
          <cell r="A1222" t="str">
            <v>TPA-BWI</v>
          </cell>
          <cell r="B1222">
            <v>13</v>
          </cell>
          <cell r="C1222">
            <v>33</v>
          </cell>
          <cell r="D1222">
            <v>13</v>
          </cell>
          <cell r="E1222">
            <v>33</v>
          </cell>
          <cell r="F1222">
            <v>16</v>
          </cell>
          <cell r="G1222">
            <v>41</v>
          </cell>
          <cell r="H1222">
            <v>26</v>
          </cell>
          <cell r="I1222">
            <v>35</v>
          </cell>
          <cell r="J1222">
            <v>26</v>
          </cell>
          <cell r="K1222">
            <v>35</v>
          </cell>
          <cell r="L1222">
            <v>32</v>
          </cell>
          <cell r="M1222">
            <v>17</v>
          </cell>
          <cell r="N1222">
            <v>32</v>
          </cell>
          <cell r="O1222">
            <v>17</v>
          </cell>
          <cell r="P1222">
            <v>369</v>
          </cell>
        </row>
        <row r="1223">
          <cell r="A1223" t="str">
            <v>TPA-CAK</v>
          </cell>
          <cell r="B1223">
            <v>7</v>
          </cell>
          <cell r="D1223">
            <v>7</v>
          </cell>
          <cell r="F1223">
            <v>14</v>
          </cell>
          <cell r="H1223">
            <v>7</v>
          </cell>
          <cell r="J1223">
            <v>7</v>
          </cell>
          <cell r="L1223">
            <v>8</v>
          </cell>
          <cell r="N1223">
            <v>8</v>
          </cell>
          <cell r="P1223">
            <v>58</v>
          </cell>
        </row>
        <row r="1224">
          <cell r="A1224" t="str">
            <v>TPA-CMH</v>
          </cell>
          <cell r="B1224">
            <v>7</v>
          </cell>
          <cell r="C1224">
            <v>7</v>
          </cell>
          <cell r="D1224">
            <v>7</v>
          </cell>
          <cell r="E1224">
            <v>7</v>
          </cell>
          <cell r="G1224">
            <v>22</v>
          </cell>
          <cell r="H1224">
            <v>7</v>
          </cell>
          <cell r="I1224">
            <v>7</v>
          </cell>
          <cell r="J1224">
            <v>7</v>
          </cell>
          <cell r="K1224">
            <v>7</v>
          </cell>
          <cell r="L1224">
            <v>7</v>
          </cell>
          <cell r="M1224">
            <v>7</v>
          </cell>
          <cell r="N1224">
            <v>7</v>
          </cell>
          <cell r="O1224">
            <v>7</v>
          </cell>
          <cell r="P1224">
            <v>106</v>
          </cell>
        </row>
        <row r="1225">
          <cell r="A1225" t="str">
            <v>TPA-DAY</v>
          </cell>
          <cell r="B1225">
            <v>7</v>
          </cell>
          <cell r="D1225">
            <v>7</v>
          </cell>
          <cell r="F1225">
            <v>7</v>
          </cell>
          <cell r="H1225">
            <v>7</v>
          </cell>
          <cell r="J1225">
            <v>7</v>
          </cell>
          <cell r="L1225">
            <v>8</v>
          </cell>
          <cell r="N1225">
            <v>8</v>
          </cell>
          <cell r="P1225">
            <v>51</v>
          </cell>
        </row>
        <row r="1226">
          <cell r="A1226" t="str">
            <v>TPA-DEN</v>
          </cell>
          <cell r="C1226">
            <v>14</v>
          </cell>
          <cell r="E1226">
            <v>14</v>
          </cell>
          <cell r="G1226">
            <v>15</v>
          </cell>
          <cell r="I1226">
            <v>14</v>
          </cell>
          <cell r="K1226">
            <v>14</v>
          </cell>
          <cell r="M1226">
            <v>14</v>
          </cell>
          <cell r="O1226">
            <v>14</v>
          </cell>
          <cell r="P1226">
            <v>99</v>
          </cell>
        </row>
        <row r="1227">
          <cell r="A1227" t="str">
            <v>TPA-EYW</v>
          </cell>
          <cell r="C1227">
            <v>7</v>
          </cell>
          <cell r="E1227">
            <v>7</v>
          </cell>
          <cell r="G1227">
            <v>7</v>
          </cell>
          <cell r="I1227">
            <v>7</v>
          </cell>
          <cell r="K1227">
            <v>7</v>
          </cell>
          <cell r="M1227">
            <v>7</v>
          </cell>
          <cell r="O1227">
            <v>7</v>
          </cell>
          <cell r="P1227">
            <v>49</v>
          </cell>
        </row>
        <row r="1228">
          <cell r="A1228" t="str">
            <v>TPA-FLL</v>
          </cell>
          <cell r="C1228">
            <v>33</v>
          </cell>
          <cell r="E1228">
            <v>33</v>
          </cell>
          <cell r="G1228">
            <v>32</v>
          </cell>
          <cell r="I1228">
            <v>33</v>
          </cell>
          <cell r="K1228">
            <v>33</v>
          </cell>
          <cell r="M1228">
            <v>33</v>
          </cell>
          <cell r="O1228">
            <v>33</v>
          </cell>
          <cell r="P1228">
            <v>230</v>
          </cell>
        </row>
        <row r="1229">
          <cell r="A1229" t="str">
            <v>TPA-FNT</v>
          </cell>
          <cell r="B1229">
            <v>3</v>
          </cell>
          <cell r="D1229">
            <v>3</v>
          </cell>
          <cell r="F1229">
            <v>7</v>
          </cell>
          <cell r="I1229">
            <v>7</v>
          </cell>
          <cell r="K1229">
            <v>7</v>
          </cell>
          <cell r="M1229">
            <v>7</v>
          </cell>
          <cell r="O1229">
            <v>7</v>
          </cell>
          <cell r="P1229">
            <v>41</v>
          </cell>
        </row>
        <row r="1230">
          <cell r="A1230" t="str">
            <v>TPA-GRR</v>
          </cell>
          <cell r="B1230">
            <v>3</v>
          </cell>
          <cell r="D1230">
            <v>3</v>
          </cell>
          <cell r="F1230">
            <v>7</v>
          </cell>
          <cell r="H1230">
            <v>1</v>
          </cell>
          <cell r="J1230">
            <v>1</v>
          </cell>
          <cell r="L1230">
            <v>1</v>
          </cell>
          <cell r="N1230">
            <v>1</v>
          </cell>
          <cell r="P1230">
            <v>17</v>
          </cell>
        </row>
        <row r="1231">
          <cell r="A1231" t="str">
            <v>TPA-HOU</v>
          </cell>
          <cell r="C1231">
            <v>26</v>
          </cell>
          <cell r="E1231">
            <v>26</v>
          </cell>
          <cell r="G1231">
            <v>27</v>
          </cell>
          <cell r="I1231">
            <v>26</v>
          </cell>
          <cell r="K1231">
            <v>26</v>
          </cell>
          <cell r="L1231">
            <v>7</v>
          </cell>
          <cell r="M1231">
            <v>20</v>
          </cell>
          <cell r="N1231">
            <v>7</v>
          </cell>
          <cell r="O1231">
            <v>20</v>
          </cell>
          <cell r="P1231">
            <v>185</v>
          </cell>
        </row>
        <row r="1232">
          <cell r="A1232" t="str">
            <v>TPA-IND</v>
          </cell>
          <cell r="B1232">
            <v>7</v>
          </cell>
          <cell r="C1232">
            <v>8</v>
          </cell>
          <cell r="D1232">
            <v>7</v>
          </cell>
          <cell r="E1232">
            <v>8</v>
          </cell>
          <cell r="F1232">
            <v>14</v>
          </cell>
          <cell r="G1232">
            <v>7</v>
          </cell>
          <cell r="H1232">
            <v>14</v>
          </cell>
          <cell r="I1232">
            <v>7</v>
          </cell>
          <cell r="J1232">
            <v>14</v>
          </cell>
          <cell r="K1232">
            <v>7</v>
          </cell>
          <cell r="L1232">
            <v>14</v>
          </cell>
          <cell r="M1232">
            <v>9</v>
          </cell>
          <cell r="N1232">
            <v>14</v>
          </cell>
          <cell r="O1232">
            <v>9</v>
          </cell>
          <cell r="P1232">
            <v>139</v>
          </cell>
        </row>
        <row r="1233">
          <cell r="A1233" t="str">
            <v>TPA-ISP</v>
          </cell>
          <cell r="C1233">
            <v>8</v>
          </cell>
          <cell r="E1233">
            <v>8</v>
          </cell>
          <cell r="G1233">
            <v>14</v>
          </cell>
          <cell r="I1233">
            <v>13</v>
          </cell>
          <cell r="K1233">
            <v>13</v>
          </cell>
          <cell r="M1233">
            <v>14</v>
          </cell>
          <cell r="O1233">
            <v>14</v>
          </cell>
          <cell r="P1233">
            <v>84</v>
          </cell>
        </row>
        <row r="1234">
          <cell r="A1234" t="str">
            <v>TPA-LAS</v>
          </cell>
          <cell r="C1234">
            <v>7</v>
          </cell>
          <cell r="E1234">
            <v>7</v>
          </cell>
          <cell r="G1234">
            <v>14</v>
          </cell>
          <cell r="I1234">
            <v>13</v>
          </cell>
          <cell r="K1234">
            <v>13</v>
          </cell>
          <cell r="M1234">
            <v>14</v>
          </cell>
          <cell r="O1234">
            <v>14</v>
          </cell>
          <cell r="P1234">
            <v>82</v>
          </cell>
        </row>
        <row r="1235">
          <cell r="A1235" t="str">
            <v>TPA-MCI</v>
          </cell>
          <cell r="C1235">
            <v>7</v>
          </cell>
          <cell r="E1235">
            <v>7</v>
          </cell>
          <cell r="G1235">
            <v>15</v>
          </cell>
          <cell r="I1235">
            <v>14</v>
          </cell>
          <cell r="K1235">
            <v>14</v>
          </cell>
          <cell r="M1235">
            <v>14</v>
          </cell>
          <cell r="O1235">
            <v>14</v>
          </cell>
          <cell r="P1235">
            <v>85</v>
          </cell>
        </row>
        <row r="1236">
          <cell r="A1236" t="str">
            <v>TPA-MDW</v>
          </cell>
          <cell r="C1236">
            <v>27</v>
          </cell>
          <cell r="E1236">
            <v>27</v>
          </cell>
          <cell r="G1236">
            <v>44</v>
          </cell>
          <cell r="H1236">
            <v>6</v>
          </cell>
          <cell r="I1236">
            <v>29</v>
          </cell>
          <cell r="J1236">
            <v>6</v>
          </cell>
          <cell r="K1236">
            <v>29</v>
          </cell>
          <cell r="L1236">
            <v>7</v>
          </cell>
          <cell r="M1236">
            <v>29</v>
          </cell>
          <cell r="N1236">
            <v>7</v>
          </cell>
          <cell r="O1236">
            <v>29</v>
          </cell>
          <cell r="P1236">
            <v>240</v>
          </cell>
        </row>
        <row r="1237">
          <cell r="A1237" t="str">
            <v>TPA-MHT</v>
          </cell>
          <cell r="C1237">
            <v>7</v>
          </cell>
          <cell r="E1237">
            <v>7</v>
          </cell>
          <cell r="G1237">
            <v>14</v>
          </cell>
          <cell r="I1237">
            <v>14</v>
          </cell>
          <cell r="K1237">
            <v>14</v>
          </cell>
          <cell r="M1237">
            <v>8</v>
          </cell>
          <cell r="O1237">
            <v>8</v>
          </cell>
          <cell r="P1237">
            <v>72</v>
          </cell>
        </row>
        <row r="1238">
          <cell r="A1238" t="str">
            <v>TPA-MKE</v>
          </cell>
          <cell r="B1238">
            <v>7</v>
          </cell>
          <cell r="C1238">
            <v>7</v>
          </cell>
          <cell r="D1238">
            <v>7</v>
          </cell>
          <cell r="E1238">
            <v>7</v>
          </cell>
          <cell r="F1238">
            <v>15</v>
          </cell>
          <cell r="G1238">
            <v>9</v>
          </cell>
          <cell r="H1238">
            <v>7</v>
          </cell>
          <cell r="I1238">
            <v>7</v>
          </cell>
          <cell r="J1238">
            <v>7</v>
          </cell>
          <cell r="K1238">
            <v>7</v>
          </cell>
          <cell r="L1238">
            <v>7</v>
          </cell>
          <cell r="M1238">
            <v>7</v>
          </cell>
          <cell r="N1238">
            <v>7</v>
          </cell>
          <cell r="O1238">
            <v>7</v>
          </cell>
          <cell r="P1238">
            <v>108</v>
          </cell>
        </row>
        <row r="1239">
          <cell r="A1239" t="str">
            <v>TPA-MSY</v>
          </cell>
          <cell r="C1239">
            <v>20</v>
          </cell>
          <cell r="E1239">
            <v>20</v>
          </cell>
          <cell r="G1239">
            <v>26</v>
          </cell>
          <cell r="I1239">
            <v>25</v>
          </cell>
          <cell r="K1239">
            <v>25</v>
          </cell>
          <cell r="M1239">
            <v>27</v>
          </cell>
          <cell r="O1239">
            <v>27</v>
          </cell>
          <cell r="P1239">
            <v>170</v>
          </cell>
        </row>
        <row r="1240">
          <cell r="A1240" t="str">
            <v>TPA-ORF</v>
          </cell>
          <cell r="C1240">
            <v>7</v>
          </cell>
          <cell r="E1240">
            <v>7</v>
          </cell>
          <cell r="G1240">
            <v>7</v>
          </cell>
          <cell r="I1240">
            <v>1</v>
          </cell>
          <cell r="K1240">
            <v>1</v>
          </cell>
          <cell r="P1240">
            <v>23</v>
          </cell>
        </row>
        <row r="1241">
          <cell r="A1241" t="str">
            <v>TPA-PHL</v>
          </cell>
          <cell r="C1241">
            <v>13</v>
          </cell>
          <cell r="E1241">
            <v>13</v>
          </cell>
          <cell r="F1241">
            <v>7</v>
          </cell>
          <cell r="G1241">
            <v>20</v>
          </cell>
          <cell r="H1241">
            <v>8</v>
          </cell>
          <cell r="I1241">
            <v>7</v>
          </cell>
          <cell r="J1241">
            <v>8</v>
          </cell>
          <cell r="K1241">
            <v>7</v>
          </cell>
          <cell r="L1241">
            <v>8</v>
          </cell>
          <cell r="M1241">
            <v>9</v>
          </cell>
          <cell r="N1241">
            <v>8</v>
          </cell>
          <cell r="O1241">
            <v>9</v>
          </cell>
          <cell r="P1241">
            <v>117</v>
          </cell>
        </row>
        <row r="1242">
          <cell r="A1242" t="str">
            <v>TPA-PHX</v>
          </cell>
          <cell r="C1242">
            <v>7</v>
          </cell>
          <cell r="E1242">
            <v>7</v>
          </cell>
          <cell r="G1242">
            <v>7</v>
          </cell>
          <cell r="I1242">
            <v>7</v>
          </cell>
          <cell r="K1242">
            <v>7</v>
          </cell>
          <cell r="M1242">
            <v>7</v>
          </cell>
          <cell r="O1242">
            <v>7</v>
          </cell>
          <cell r="P1242">
            <v>49</v>
          </cell>
        </row>
        <row r="1243">
          <cell r="A1243" t="str">
            <v>TPA-PIT</v>
          </cell>
          <cell r="B1243">
            <v>14</v>
          </cell>
          <cell r="C1243">
            <v>7</v>
          </cell>
          <cell r="D1243">
            <v>14</v>
          </cell>
          <cell r="E1243">
            <v>7</v>
          </cell>
          <cell r="F1243">
            <v>14</v>
          </cell>
          <cell r="G1243">
            <v>14</v>
          </cell>
          <cell r="H1243">
            <v>13</v>
          </cell>
          <cell r="I1243">
            <v>7</v>
          </cell>
          <cell r="J1243">
            <v>13</v>
          </cell>
          <cell r="K1243">
            <v>7</v>
          </cell>
          <cell r="L1243">
            <v>13</v>
          </cell>
          <cell r="M1243">
            <v>9</v>
          </cell>
          <cell r="N1243">
            <v>13</v>
          </cell>
          <cell r="O1243">
            <v>9</v>
          </cell>
          <cell r="P1243">
            <v>154</v>
          </cell>
        </row>
        <row r="1244">
          <cell r="A1244" t="str">
            <v>TPA-PVD</v>
          </cell>
          <cell r="C1244">
            <v>13</v>
          </cell>
          <cell r="E1244">
            <v>13</v>
          </cell>
          <cell r="G1244">
            <v>21</v>
          </cell>
          <cell r="I1244">
            <v>14</v>
          </cell>
          <cell r="K1244">
            <v>14</v>
          </cell>
          <cell r="M1244">
            <v>14</v>
          </cell>
          <cell r="O1244">
            <v>14</v>
          </cell>
          <cell r="P1244">
            <v>103</v>
          </cell>
        </row>
        <row r="1245">
          <cell r="A1245" t="str">
            <v>TPA-RDU</v>
          </cell>
          <cell r="C1245">
            <v>20</v>
          </cell>
          <cell r="E1245">
            <v>20</v>
          </cell>
          <cell r="G1245">
            <v>20</v>
          </cell>
          <cell r="I1245">
            <v>19</v>
          </cell>
          <cell r="K1245">
            <v>19</v>
          </cell>
          <cell r="L1245">
            <v>7</v>
          </cell>
          <cell r="M1245">
            <v>14</v>
          </cell>
          <cell r="N1245">
            <v>7</v>
          </cell>
          <cell r="O1245">
            <v>14</v>
          </cell>
          <cell r="P1245">
            <v>140</v>
          </cell>
        </row>
        <row r="1246">
          <cell r="A1246" t="str">
            <v>TPA-ROC</v>
          </cell>
          <cell r="B1246">
            <v>7</v>
          </cell>
          <cell r="D1246">
            <v>7</v>
          </cell>
          <cell r="F1246">
            <v>14</v>
          </cell>
          <cell r="I1246">
            <v>7</v>
          </cell>
          <cell r="K1246">
            <v>7</v>
          </cell>
          <cell r="M1246">
            <v>7</v>
          </cell>
          <cell r="O1246">
            <v>7</v>
          </cell>
          <cell r="P1246">
            <v>56</v>
          </cell>
        </row>
        <row r="1247">
          <cell r="A1247" t="str">
            <v>TPA-SAT</v>
          </cell>
          <cell r="C1247">
            <v>6</v>
          </cell>
          <cell r="E1247">
            <v>6</v>
          </cell>
          <cell r="G1247">
            <v>7</v>
          </cell>
          <cell r="I1247">
            <v>7</v>
          </cell>
          <cell r="K1247">
            <v>7</v>
          </cell>
          <cell r="M1247">
            <v>7</v>
          </cell>
          <cell r="O1247">
            <v>7</v>
          </cell>
          <cell r="P1247">
            <v>47</v>
          </cell>
        </row>
        <row r="1248">
          <cell r="A1248" t="str">
            <v>TPA-SDF</v>
          </cell>
          <cell r="C1248">
            <v>7</v>
          </cell>
          <cell r="E1248">
            <v>7</v>
          </cell>
          <cell r="G1248">
            <v>15</v>
          </cell>
          <cell r="I1248">
            <v>7</v>
          </cell>
          <cell r="K1248">
            <v>7</v>
          </cell>
          <cell r="M1248">
            <v>8</v>
          </cell>
          <cell r="O1248">
            <v>8</v>
          </cell>
          <cell r="P1248">
            <v>59</v>
          </cell>
        </row>
        <row r="1249">
          <cell r="A1249" t="str">
            <v>TPA-SJU</v>
          </cell>
          <cell r="B1249">
            <v>7</v>
          </cell>
          <cell r="D1249">
            <v>7</v>
          </cell>
          <cell r="F1249">
            <v>7</v>
          </cell>
          <cell r="I1249">
            <v>7</v>
          </cell>
          <cell r="K1249">
            <v>7</v>
          </cell>
          <cell r="M1249">
            <v>7</v>
          </cell>
          <cell r="O1249">
            <v>7</v>
          </cell>
          <cell r="P1249">
            <v>49</v>
          </cell>
        </row>
        <row r="1250">
          <cell r="A1250" t="str">
            <v>TPA-STL</v>
          </cell>
          <cell r="C1250">
            <v>14</v>
          </cell>
          <cell r="E1250">
            <v>14</v>
          </cell>
          <cell r="G1250">
            <v>27</v>
          </cell>
          <cell r="I1250">
            <v>14</v>
          </cell>
          <cell r="K1250">
            <v>14</v>
          </cell>
          <cell r="M1250">
            <v>14</v>
          </cell>
          <cell r="O1250">
            <v>14</v>
          </cell>
          <cell r="P1250">
            <v>111</v>
          </cell>
        </row>
        <row r="1251">
          <cell r="A1251" t="str">
            <v>TUL-DAL</v>
          </cell>
          <cell r="C1251">
            <v>32</v>
          </cell>
          <cell r="E1251">
            <v>32</v>
          </cell>
          <cell r="G1251">
            <v>38</v>
          </cell>
          <cell r="I1251">
            <v>38</v>
          </cell>
          <cell r="K1251">
            <v>38</v>
          </cell>
          <cell r="M1251">
            <v>38</v>
          </cell>
          <cell r="O1251">
            <v>38</v>
          </cell>
          <cell r="P1251">
            <v>254</v>
          </cell>
        </row>
        <row r="1252">
          <cell r="A1252" t="str">
            <v>TUL-DEN</v>
          </cell>
          <cell r="C1252">
            <v>19</v>
          </cell>
          <cell r="E1252">
            <v>19</v>
          </cell>
          <cell r="G1252">
            <v>19</v>
          </cell>
          <cell r="I1252">
            <v>20</v>
          </cell>
          <cell r="K1252">
            <v>20</v>
          </cell>
          <cell r="M1252">
            <v>20</v>
          </cell>
          <cell r="O1252">
            <v>20</v>
          </cell>
          <cell r="P1252">
            <v>137</v>
          </cell>
        </row>
        <row r="1253">
          <cell r="A1253" t="str">
            <v>TUL-HOU</v>
          </cell>
          <cell r="C1253">
            <v>19</v>
          </cell>
          <cell r="E1253">
            <v>19</v>
          </cell>
          <cell r="G1253">
            <v>20</v>
          </cell>
          <cell r="I1253">
            <v>19</v>
          </cell>
          <cell r="K1253">
            <v>19</v>
          </cell>
          <cell r="M1253">
            <v>20</v>
          </cell>
          <cell r="O1253">
            <v>20</v>
          </cell>
          <cell r="P1253">
            <v>136</v>
          </cell>
        </row>
        <row r="1254">
          <cell r="A1254" t="str">
            <v>TUL-LAS</v>
          </cell>
          <cell r="C1254">
            <v>7</v>
          </cell>
          <cell r="E1254">
            <v>7</v>
          </cell>
          <cell r="G1254">
            <v>7</v>
          </cell>
          <cell r="I1254">
            <v>7</v>
          </cell>
          <cell r="K1254">
            <v>7</v>
          </cell>
          <cell r="M1254">
            <v>7</v>
          </cell>
          <cell r="O1254">
            <v>7</v>
          </cell>
          <cell r="P1254">
            <v>49</v>
          </cell>
        </row>
        <row r="1255">
          <cell r="A1255" t="str">
            <v>TUL-MDW</v>
          </cell>
          <cell r="M1255">
            <v>7</v>
          </cell>
          <cell r="O1255">
            <v>7</v>
          </cell>
          <cell r="P1255">
            <v>14</v>
          </cell>
        </row>
        <row r="1256">
          <cell r="A1256" t="str">
            <v>TUL-PHX</v>
          </cell>
          <cell r="C1256">
            <v>13</v>
          </cell>
          <cell r="E1256">
            <v>13</v>
          </cell>
          <cell r="G1256">
            <v>14</v>
          </cell>
          <cell r="I1256">
            <v>7</v>
          </cell>
          <cell r="K1256">
            <v>7</v>
          </cell>
          <cell r="M1256">
            <v>14</v>
          </cell>
          <cell r="O1256">
            <v>14</v>
          </cell>
          <cell r="P1256">
            <v>82</v>
          </cell>
        </row>
        <row r="1257">
          <cell r="A1257" t="str">
            <v>TUL-STL</v>
          </cell>
          <cell r="C1257">
            <v>12</v>
          </cell>
          <cell r="E1257">
            <v>12</v>
          </cell>
          <cell r="G1257">
            <v>12</v>
          </cell>
          <cell r="I1257">
            <v>13</v>
          </cell>
          <cell r="K1257">
            <v>13</v>
          </cell>
          <cell r="M1257">
            <v>13</v>
          </cell>
          <cell r="O1257">
            <v>13</v>
          </cell>
          <cell r="P1257">
            <v>88</v>
          </cell>
        </row>
        <row r="1258">
          <cell r="A1258" t="str">
            <v>TUS-ABQ</v>
          </cell>
          <cell r="C1258">
            <v>13</v>
          </cell>
          <cell r="E1258">
            <v>13</v>
          </cell>
          <cell r="G1258">
            <v>14</v>
          </cell>
          <cell r="I1258">
            <v>7</v>
          </cell>
          <cell r="K1258">
            <v>7</v>
          </cell>
          <cell r="P1258">
            <v>54</v>
          </cell>
        </row>
        <row r="1259">
          <cell r="A1259" t="str">
            <v>TUS-DEN</v>
          </cell>
          <cell r="C1259">
            <v>13</v>
          </cell>
          <cell r="E1259">
            <v>13</v>
          </cell>
          <cell r="G1259">
            <v>14</v>
          </cell>
          <cell r="I1259">
            <v>14</v>
          </cell>
          <cell r="K1259">
            <v>14</v>
          </cell>
          <cell r="M1259">
            <v>14</v>
          </cell>
          <cell r="O1259">
            <v>14</v>
          </cell>
          <cell r="P1259">
            <v>96</v>
          </cell>
        </row>
        <row r="1260">
          <cell r="A1260" t="str">
            <v>TUS-LAS</v>
          </cell>
          <cell r="C1260">
            <v>28</v>
          </cell>
          <cell r="E1260">
            <v>28</v>
          </cell>
          <cell r="G1260">
            <v>34</v>
          </cell>
          <cell r="I1260">
            <v>33</v>
          </cell>
          <cell r="K1260">
            <v>33</v>
          </cell>
          <cell r="M1260">
            <v>27</v>
          </cell>
          <cell r="O1260">
            <v>27</v>
          </cell>
          <cell r="P1260">
            <v>210</v>
          </cell>
        </row>
        <row r="1261">
          <cell r="A1261" t="str">
            <v>TUS-LAX</v>
          </cell>
          <cell r="C1261">
            <v>27</v>
          </cell>
          <cell r="E1261">
            <v>27</v>
          </cell>
          <cell r="G1261">
            <v>33</v>
          </cell>
          <cell r="I1261">
            <v>27</v>
          </cell>
          <cell r="K1261">
            <v>27</v>
          </cell>
          <cell r="M1261">
            <v>21</v>
          </cell>
          <cell r="O1261">
            <v>21</v>
          </cell>
          <cell r="P1261">
            <v>183</v>
          </cell>
        </row>
        <row r="1262">
          <cell r="A1262" t="str">
            <v>TUS-MDW</v>
          </cell>
          <cell r="C1262">
            <v>7</v>
          </cell>
          <cell r="E1262">
            <v>7</v>
          </cell>
          <cell r="G1262">
            <v>14</v>
          </cell>
          <cell r="I1262">
            <v>14</v>
          </cell>
          <cell r="K1262">
            <v>14</v>
          </cell>
          <cell r="M1262">
            <v>14</v>
          </cell>
          <cell r="O1262">
            <v>14</v>
          </cell>
          <cell r="P1262">
            <v>84</v>
          </cell>
        </row>
        <row r="1263">
          <cell r="A1263" t="str">
            <v>TUS-SAN</v>
          </cell>
          <cell r="C1263">
            <v>19</v>
          </cell>
          <cell r="E1263">
            <v>19</v>
          </cell>
          <cell r="G1263">
            <v>21</v>
          </cell>
          <cell r="I1263">
            <v>19</v>
          </cell>
          <cell r="K1263">
            <v>19</v>
          </cell>
          <cell r="M1263">
            <v>20</v>
          </cell>
          <cell r="O1263">
            <v>20</v>
          </cell>
          <cell r="P1263">
            <v>137</v>
          </cell>
        </row>
        <row r="1264">
          <cell r="A1264" t="str">
            <v>Grand Total</v>
          </cell>
          <cell r="B1264">
            <v>3700</v>
          </cell>
          <cell r="C1264">
            <v>20005</v>
          </cell>
          <cell r="D1264">
            <v>3692</v>
          </cell>
          <cell r="E1264">
            <v>19979</v>
          </cell>
          <cell r="F1264">
            <v>4176</v>
          </cell>
          <cell r="G1264">
            <v>22789</v>
          </cell>
          <cell r="H1264">
            <v>3842</v>
          </cell>
          <cell r="I1264">
            <v>22354</v>
          </cell>
          <cell r="J1264">
            <v>3844</v>
          </cell>
          <cell r="K1264">
            <v>22354</v>
          </cell>
          <cell r="L1264">
            <v>3990</v>
          </cell>
          <cell r="M1264">
            <v>22872</v>
          </cell>
          <cell r="N1264">
            <v>3976</v>
          </cell>
          <cell r="O1264">
            <v>22886</v>
          </cell>
          <cell r="P1264">
            <v>180459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9"/>
  <sheetViews>
    <sheetView topLeftCell="A90" workbookViewId="0">
      <selection activeCell="E118" sqref="A1:XFD1048576"/>
    </sheetView>
  </sheetViews>
  <sheetFormatPr defaultRowHeight="15"/>
  <cols>
    <col min="5" max="5" width="16.28515625" bestFit="1" customWidth="1"/>
  </cols>
  <sheetData>
    <row r="1" spans="1:19">
      <c r="F1" t="str">
        <f>"2013-"&amp;TEXT(F2,"00")&amp;"_"&amp;F4</f>
        <v>2013-01_WN</v>
      </c>
      <c r="G1" t="str">
        <f t="shared" ref="G1:S1" si="0">"2013-"&amp;TEXT(G2,"00")&amp;"_"&amp;G4</f>
        <v>2013-01_FL</v>
      </c>
      <c r="H1" t="str">
        <f t="shared" si="0"/>
        <v>2013-02_WN</v>
      </c>
      <c r="I1" t="str">
        <f t="shared" si="0"/>
        <v>2013-02_FL</v>
      </c>
      <c r="J1" t="str">
        <f t="shared" si="0"/>
        <v>2013-03_WN</v>
      </c>
      <c r="K1" t="str">
        <f t="shared" si="0"/>
        <v>2013-03_FL</v>
      </c>
      <c r="L1" t="str">
        <f t="shared" si="0"/>
        <v>2013-04_WN</v>
      </c>
      <c r="M1" t="str">
        <f t="shared" si="0"/>
        <v>2013-04_FL</v>
      </c>
      <c r="N1" t="str">
        <f t="shared" si="0"/>
        <v>2013-05_WN</v>
      </c>
      <c r="O1" t="str">
        <f t="shared" si="0"/>
        <v>2013-05_FL</v>
      </c>
      <c r="P1" t="str">
        <f t="shared" si="0"/>
        <v>2013-06_WN</v>
      </c>
      <c r="Q1" t="str">
        <f t="shared" si="0"/>
        <v>2013-06_FL</v>
      </c>
      <c r="R1" t="str">
        <f t="shared" si="0"/>
        <v>2013-07_WN</v>
      </c>
      <c r="S1" t="str">
        <f t="shared" si="0"/>
        <v>2013-07_FL</v>
      </c>
    </row>
    <row r="2" spans="1:19">
      <c r="F2">
        <v>1</v>
      </c>
      <c r="G2">
        <v>1</v>
      </c>
      <c r="H2">
        <v>2</v>
      </c>
      <c r="I2">
        <v>2</v>
      </c>
      <c r="J2">
        <v>3</v>
      </c>
      <c r="K2">
        <v>3</v>
      </c>
      <c r="L2">
        <v>4</v>
      </c>
      <c r="M2">
        <v>4</v>
      </c>
      <c r="N2">
        <v>5</v>
      </c>
      <c r="O2">
        <v>5</v>
      </c>
      <c r="P2">
        <v>6</v>
      </c>
      <c r="Q2">
        <v>6</v>
      </c>
      <c r="R2">
        <v>7</v>
      </c>
      <c r="S2">
        <v>7</v>
      </c>
    </row>
    <row r="3" spans="1:19">
      <c r="F3" s="7" t="s">
        <v>40</v>
      </c>
      <c r="G3" s="7"/>
      <c r="H3" s="7" t="s">
        <v>41</v>
      </c>
      <c r="I3" s="7"/>
      <c r="J3" s="7" t="s">
        <v>42</v>
      </c>
      <c r="K3" s="7"/>
      <c r="L3" s="7" t="s">
        <v>43</v>
      </c>
      <c r="M3" s="7"/>
      <c r="N3" s="7" t="s">
        <v>44</v>
      </c>
      <c r="O3" s="7"/>
      <c r="P3" s="7" t="s">
        <v>45</v>
      </c>
      <c r="Q3" s="7"/>
      <c r="R3" s="7" t="s">
        <v>46</v>
      </c>
      <c r="S3" s="7"/>
    </row>
    <row r="4" spans="1:19">
      <c r="E4" t="s">
        <v>38</v>
      </c>
      <c r="F4" s="4" t="s">
        <v>39</v>
      </c>
      <c r="G4" s="4" t="s">
        <v>47</v>
      </c>
      <c r="H4" s="4" t="s">
        <v>39</v>
      </c>
      <c r="I4" s="4" t="s">
        <v>47</v>
      </c>
      <c r="J4" s="4" t="s">
        <v>39</v>
      </c>
      <c r="K4" s="4" t="s">
        <v>47</v>
      </c>
      <c r="L4" s="4" t="s">
        <v>39</v>
      </c>
      <c r="M4" s="4" t="s">
        <v>47</v>
      </c>
      <c r="N4" s="4" t="s">
        <v>39</v>
      </c>
      <c r="O4" s="4" t="s">
        <v>47</v>
      </c>
      <c r="P4" s="4" t="s">
        <v>39</v>
      </c>
      <c r="Q4" s="4" t="s">
        <v>47</v>
      </c>
      <c r="R4" s="4" t="s">
        <v>39</v>
      </c>
      <c r="S4" s="4" t="s">
        <v>47</v>
      </c>
    </row>
    <row r="5" spans="1:19">
      <c r="A5" t="str">
        <f t="shared" ref="A5:A36" si="1">B5&amp;"-"&amp;C5</f>
        <v>ATL-FLL</v>
      </c>
      <c r="B5" s="1" t="s">
        <v>0</v>
      </c>
      <c r="C5" s="1" t="s">
        <v>1</v>
      </c>
      <c r="D5" t="s">
        <v>2</v>
      </c>
      <c r="E5" t="s">
        <v>48</v>
      </c>
      <c r="F5">
        <f>VLOOKUP($A5,[1]Sheet1!$A$8:$P$1264,MATCH(F$1,[1]Sheet1!$A$4:$P$4,0),0)</f>
        <v>0</v>
      </c>
      <c r="G5">
        <f>VLOOKUP($A5,[1]Sheet1!$A$8:$P$1264,MATCH(G$1,[1]Sheet1!$A$4:$P$4,0),0)</f>
        <v>58</v>
      </c>
      <c r="H5">
        <f>VLOOKUP($A5,[1]Sheet1!$A$8:$P$1264,MATCH(H$1,[1]Sheet1!$A$4:$P$4,0),0)</f>
        <v>0</v>
      </c>
      <c r="I5">
        <f>VLOOKUP($A5,[1]Sheet1!$A$8:$P$1264,MATCH(I$1,[1]Sheet1!$A$4:$P$4,0),0)</f>
        <v>55</v>
      </c>
      <c r="J5">
        <f>VLOOKUP($A5,[1]Sheet1!$A$8:$P$1264,MATCH(J$1,[1]Sheet1!$A$4:$P$4,0),0)</f>
        <v>0</v>
      </c>
      <c r="K5">
        <f>VLOOKUP($A5,[1]Sheet1!$A$8:$P$1264,MATCH(K$1,[1]Sheet1!$A$4:$P$4,0),0)</f>
        <v>56</v>
      </c>
      <c r="L5">
        <f>VLOOKUP($A5,[1]Sheet1!$A$8:$P$1264,MATCH(L$1,[1]Sheet1!$A$4:$P$4,0),0)</f>
        <v>0</v>
      </c>
      <c r="M5">
        <f>VLOOKUP($A5,[1]Sheet1!$A$8:$P$1264,MATCH(M$1,[1]Sheet1!$A$4:$P$4,0),0)</f>
        <v>56</v>
      </c>
      <c r="N5">
        <f>VLOOKUP($A5,[1]Sheet1!$A$8:$P$1264,MATCH(N$1,[1]Sheet1!$A$4:$P$4,0),0)</f>
        <v>0</v>
      </c>
      <c r="O5">
        <f>VLOOKUP($A5,[1]Sheet1!$A$8:$P$1264,MATCH(O$1,[1]Sheet1!$A$4:$P$4,0),0)</f>
        <v>56</v>
      </c>
      <c r="P5">
        <f>VLOOKUP($A5,[1]Sheet1!$A$8:$P$1264,MATCH(P$1,[1]Sheet1!$A$4:$P$4,0),0)</f>
        <v>0</v>
      </c>
      <c r="Q5">
        <f>VLOOKUP($A5,[1]Sheet1!$A$8:$P$1264,MATCH(Q$1,[1]Sheet1!$A$4:$P$4,0),0)</f>
        <v>55</v>
      </c>
      <c r="R5">
        <f>VLOOKUP($A5,[1]Sheet1!$A$8:$P$1264,MATCH(R$1,[1]Sheet1!$A$4:$P$4,0),0)</f>
        <v>0</v>
      </c>
      <c r="S5">
        <f>VLOOKUP($A5,[1]Sheet1!$A$8:$P$1264,MATCH(S$1,[1]Sheet1!$A$4:$P$4,0),0)</f>
        <v>55</v>
      </c>
    </row>
    <row r="6" spans="1:19">
      <c r="A6" t="str">
        <f t="shared" si="1"/>
        <v>ATL-MSY</v>
      </c>
      <c r="B6" s="1" t="s">
        <v>0</v>
      </c>
      <c r="C6" s="1" t="s">
        <v>3</v>
      </c>
      <c r="D6" t="s">
        <v>2</v>
      </c>
      <c r="E6" t="s">
        <v>48</v>
      </c>
      <c r="F6">
        <f>VLOOKUP($A6,[1]Sheet1!$A$8:$P$1264,MATCH(F$1,[1]Sheet1!$A$4:$P$4,0),0)</f>
        <v>0</v>
      </c>
      <c r="G6">
        <f>VLOOKUP($A6,[1]Sheet1!$A$8:$P$1264,MATCH(G$1,[1]Sheet1!$A$4:$P$4,0),0)</f>
        <v>27</v>
      </c>
      <c r="H6">
        <f>VLOOKUP($A6,[1]Sheet1!$A$8:$P$1264,MATCH(H$1,[1]Sheet1!$A$4:$P$4,0),0)</f>
        <v>0</v>
      </c>
      <c r="I6">
        <f>VLOOKUP($A6,[1]Sheet1!$A$8:$P$1264,MATCH(I$1,[1]Sheet1!$A$4:$P$4,0),0)</f>
        <v>27</v>
      </c>
      <c r="J6">
        <f>VLOOKUP($A6,[1]Sheet1!$A$8:$P$1264,MATCH(J$1,[1]Sheet1!$A$4:$P$4,0),0)</f>
        <v>0</v>
      </c>
      <c r="K6">
        <f>VLOOKUP($A6,[1]Sheet1!$A$8:$P$1264,MATCH(K$1,[1]Sheet1!$A$4:$P$4,0),0)</f>
        <v>28</v>
      </c>
      <c r="L6">
        <f>VLOOKUP($A6,[1]Sheet1!$A$8:$P$1264,MATCH(L$1,[1]Sheet1!$A$4:$P$4,0),0)</f>
        <v>0</v>
      </c>
      <c r="M6">
        <f>VLOOKUP($A6,[1]Sheet1!$A$8:$P$1264,MATCH(M$1,[1]Sheet1!$A$4:$P$4,0),0)</f>
        <v>27</v>
      </c>
      <c r="N6">
        <f>VLOOKUP($A6,[1]Sheet1!$A$8:$P$1264,MATCH(N$1,[1]Sheet1!$A$4:$P$4,0),0)</f>
        <v>0</v>
      </c>
      <c r="O6">
        <f>VLOOKUP($A6,[1]Sheet1!$A$8:$P$1264,MATCH(O$1,[1]Sheet1!$A$4:$P$4,0),0)</f>
        <v>27</v>
      </c>
      <c r="P6">
        <f>VLOOKUP($A6,[1]Sheet1!$A$8:$P$1264,MATCH(P$1,[1]Sheet1!$A$4:$P$4,0),0)</f>
        <v>0</v>
      </c>
      <c r="Q6">
        <f>VLOOKUP($A6,[1]Sheet1!$A$8:$P$1264,MATCH(Q$1,[1]Sheet1!$A$4:$P$4,0),0)</f>
        <v>27</v>
      </c>
      <c r="R6">
        <f>VLOOKUP($A6,[1]Sheet1!$A$8:$P$1264,MATCH(R$1,[1]Sheet1!$A$4:$P$4,0),0)</f>
        <v>0</v>
      </c>
      <c r="S6">
        <f>VLOOKUP($A6,[1]Sheet1!$A$8:$P$1264,MATCH(S$1,[1]Sheet1!$A$4:$P$4,0),0)</f>
        <v>27</v>
      </c>
    </row>
    <row r="7" spans="1:19">
      <c r="A7" t="str">
        <f t="shared" si="1"/>
        <v>GSP-ORF</v>
      </c>
      <c r="B7" s="2" t="s">
        <v>4</v>
      </c>
      <c r="C7" s="2" t="s">
        <v>5</v>
      </c>
      <c r="D7" t="s">
        <v>2</v>
      </c>
      <c r="E7" t="s">
        <v>49</v>
      </c>
      <c r="F7" t="str">
        <f>IFERROR(VLOOKUP($A7,[1]Sheet1!$A$8:$P$1264,MATCH(F$1,[1]Sheet1!$A$4:$P$4,0),0),"")</f>
        <v/>
      </c>
      <c r="G7" t="str">
        <f>IFERROR(VLOOKUP($A7,[1]Sheet1!$A$8:$P$1264,MATCH(G$1,[1]Sheet1!$A$4:$P$4,0),0),"")</f>
        <v/>
      </c>
      <c r="H7" t="str">
        <f>IFERROR(VLOOKUP($A7,[1]Sheet1!$A$8:$P$1264,MATCH(H$1,[1]Sheet1!$A$4:$P$4,0),0),"")</f>
        <v/>
      </c>
      <c r="I7" t="str">
        <f>IFERROR(VLOOKUP($A7,[1]Sheet1!$A$8:$P$1264,MATCH(I$1,[1]Sheet1!$A$4:$P$4,0),0),"")</f>
        <v/>
      </c>
      <c r="J7" t="str">
        <f>IFERROR(VLOOKUP($A7,[1]Sheet1!$A$8:$P$1264,MATCH(J$1,[1]Sheet1!$A$4:$P$4,0),0),"")</f>
        <v/>
      </c>
      <c r="K7" t="str">
        <f>IFERROR(VLOOKUP($A7,[1]Sheet1!$A$8:$P$1264,MATCH(K$1,[1]Sheet1!$A$4:$P$4,0),0),"")</f>
        <v/>
      </c>
      <c r="L7" t="str">
        <f>IFERROR(VLOOKUP($A7,[1]Sheet1!$A$8:$P$1264,MATCH(L$1,[1]Sheet1!$A$4:$P$4,0),0),"")</f>
        <v/>
      </c>
      <c r="M7" t="str">
        <f>IFERROR(VLOOKUP($A7,[1]Sheet1!$A$8:$P$1264,MATCH(M$1,[1]Sheet1!$A$4:$P$4,0),0),"")</f>
        <v/>
      </c>
      <c r="N7" t="str">
        <f>IFERROR(VLOOKUP($A7,[1]Sheet1!$A$8:$P$1264,MATCH(N$1,[1]Sheet1!$A$4:$P$4,0),0),"")</f>
        <v/>
      </c>
      <c r="O7" t="str">
        <f>IFERROR(VLOOKUP($A7,[1]Sheet1!$A$8:$P$1264,MATCH(O$1,[1]Sheet1!$A$4:$P$4,0),0),"")</f>
        <v/>
      </c>
      <c r="P7" t="str">
        <f>IFERROR(VLOOKUP($A7,[1]Sheet1!$A$8:$P$1264,MATCH(P$1,[1]Sheet1!$A$4:$P$4,0),0),"")</f>
        <v/>
      </c>
      <c r="Q7" t="str">
        <f>IFERROR(VLOOKUP($A7,[1]Sheet1!$A$8:$P$1264,MATCH(Q$1,[1]Sheet1!$A$4:$P$4,0),0),"")</f>
        <v/>
      </c>
      <c r="R7" t="str">
        <f>IFERROR(VLOOKUP($A7,[1]Sheet1!$A$8:$P$1264,MATCH(R$1,[1]Sheet1!$A$4:$P$4,0),0),"")</f>
        <v/>
      </c>
      <c r="S7" t="str">
        <f>IFERROR(VLOOKUP($A7,[1]Sheet1!$A$8:$P$1264,MATCH(S$1,[1]Sheet1!$A$4:$P$4,0),0),"")</f>
        <v/>
      </c>
    </row>
    <row r="8" spans="1:19">
      <c r="A8" t="str">
        <f t="shared" si="1"/>
        <v>ATL-CAK</v>
      </c>
      <c r="B8" s="1" t="s">
        <v>0</v>
      </c>
      <c r="C8" s="1" t="s">
        <v>6</v>
      </c>
      <c r="D8" t="s">
        <v>2</v>
      </c>
      <c r="E8" t="s">
        <v>48</v>
      </c>
      <c r="F8">
        <f>IFERROR(VLOOKUP($A8,[1]Sheet1!$A$8:$P$1264,MATCH(F$1,[1]Sheet1!$A$4:$P$4,0),0),"")</f>
        <v>0</v>
      </c>
      <c r="G8">
        <f>IFERROR(VLOOKUP($A8,[1]Sheet1!$A$8:$P$1264,MATCH(G$1,[1]Sheet1!$A$4:$P$4,0),0),"")</f>
        <v>28</v>
      </c>
      <c r="H8">
        <f>IFERROR(VLOOKUP($A8,[1]Sheet1!$A$8:$P$1264,MATCH(H$1,[1]Sheet1!$A$4:$P$4,0),0),"")</f>
        <v>0</v>
      </c>
      <c r="I8">
        <f>IFERROR(VLOOKUP($A8,[1]Sheet1!$A$8:$P$1264,MATCH(I$1,[1]Sheet1!$A$4:$P$4,0),0),"")</f>
        <v>28</v>
      </c>
      <c r="J8">
        <f>IFERROR(VLOOKUP($A8,[1]Sheet1!$A$8:$P$1264,MATCH(J$1,[1]Sheet1!$A$4:$P$4,0),0),"")</f>
        <v>0</v>
      </c>
      <c r="K8">
        <f>IFERROR(VLOOKUP($A8,[1]Sheet1!$A$8:$P$1264,MATCH(K$1,[1]Sheet1!$A$4:$P$4,0),0),"")</f>
        <v>26</v>
      </c>
      <c r="L8">
        <f>IFERROR(VLOOKUP($A8,[1]Sheet1!$A$8:$P$1264,MATCH(L$1,[1]Sheet1!$A$4:$P$4,0),0),"")</f>
        <v>0</v>
      </c>
      <c r="M8">
        <f>IFERROR(VLOOKUP($A8,[1]Sheet1!$A$8:$P$1264,MATCH(M$1,[1]Sheet1!$A$4:$P$4,0),0),"")</f>
        <v>27</v>
      </c>
      <c r="N8">
        <f>IFERROR(VLOOKUP($A8,[1]Sheet1!$A$8:$P$1264,MATCH(N$1,[1]Sheet1!$A$4:$P$4,0),0),"")</f>
        <v>0</v>
      </c>
      <c r="O8">
        <f>IFERROR(VLOOKUP($A8,[1]Sheet1!$A$8:$P$1264,MATCH(O$1,[1]Sheet1!$A$4:$P$4,0),0),"")</f>
        <v>27</v>
      </c>
      <c r="P8">
        <f>IFERROR(VLOOKUP($A8,[1]Sheet1!$A$8:$P$1264,MATCH(P$1,[1]Sheet1!$A$4:$P$4,0),0),"")</f>
        <v>0</v>
      </c>
      <c r="Q8">
        <f>IFERROR(VLOOKUP($A8,[1]Sheet1!$A$8:$P$1264,MATCH(Q$1,[1]Sheet1!$A$4:$P$4,0),0),"")</f>
        <v>30</v>
      </c>
      <c r="R8">
        <f>IFERROR(VLOOKUP($A8,[1]Sheet1!$A$8:$P$1264,MATCH(R$1,[1]Sheet1!$A$4:$P$4,0),0),"")</f>
        <v>0</v>
      </c>
      <c r="S8">
        <f>IFERROR(VLOOKUP($A8,[1]Sheet1!$A$8:$P$1264,MATCH(S$1,[1]Sheet1!$A$4:$P$4,0),0),"")</f>
        <v>30</v>
      </c>
    </row>
    <row r="9" spans="1:19">
      <c r="A9" t="str">
        <f t="shared" si="1"/>
        <v>ATL-DAY</v>
      </c>
      <c r="B9" s="1" t="s">
        <v>0</v>
      </c>
      <c r="C9" s="1" t="s">
        <v>7</v>
      </c>
      <c r="D9" t="s">
        <v>2</v>
      </c>
      <c r="E9" t="s">
        <v>48</v>
      </c>
      <c r="F9">
        <f>IFERROR(VLOOKUP($A9,[1]Sheet1!$A$8:$P$1264,MATCH(F$1,[1]Sheet1!$A$4:$P$4,0),0),"")</f>
        <v>0</v>
      </c>
      <c r="G9">
        <f>IFERROR(VLOOKUP($A9,[1]Sheet1!$A$8:$P$1264,MATCH(G$1,[1]Sheet1!$A$4:$P$4,0),0),"")</f>
        <v>20</v>
      </c>
      <c r="H9">
        <f>IFERROR(VLOOKUP($A9,[1]Sheet1!$A$8:$P$1264,MATCH(H$1,[1]Sheet1!$A$4:$P$4,0),0),"")</f>
        <v>0</v>
      </c>
      <c r="I9">
        <f>IFERROR(VLOOKUP($A9,[1]Sheet1!$A$8:$P$1264,MATCH(I$1,[1]Sheet1!$A$4:$P$4,0),0),"")</f>
        <v>20</v>
      </c>
      <c r="J9">
        <f>IFERROR(VLOOKUP($A9,[1]Sheet1!$A$8:$P$1264,MATCH(J$1,[1]Sheet1!$A$4:$P$4,0),0),"")</f>
        <v>0</v>
      </c>
      <c r="K9">
        <f>IFERROR(VLOOKUP($A9,[1]Sheet1!$A$8:$P$1264,MATCH(K$1,[1]Sheet1!$A$4:$P$4,0),0),"")</f>
        <v>21</v>
      </c>
      <c r="L9">
        <f>IFERROR(VLOOKUP($A9,[1]Sheet1!$A$8:$P$1264,MATCH(L$1,[1]Sheet1!$A$4:$P$4,0),0),"")</f>
        <v>0</v>
      </c>
      <c r="M9">
        <f>IFERROR(VLOOKUP($A9,[1]Sheet1!$A$8:$P$1264,MATCH(M$1,[1]Sheet1!$A$4:$P$4,0),0),"")</f>
        <v>21</v>
      </c>
      <c r="N9">
        <f>IFERROR(VLOOKUP($A9,[1]Sheet1!$A$8:$P$1264,MATCH(N$1,[1]Sheet1!$A$4:$P$4,0),0),"")</f>
        <v>0</v>
      </c>
      <c r="O9">
        <f>IFERROR(VLOOKUP($A9,[1]Sheet1!$A$8:$P$1264,MATCH(O$1,[1]Sheet1!$A$4:$P$4,0),0),"")</f>
        <v>21</v>
      </c>
      <c r="P9">
        <f>IFERROR(VLOOKUP($A9,[1]Sheet1!$A$8:$P$1264,MATCH(P$1,[1]Sheet1!$A$4:$P$4,0),0),"")</f>
        <v>0</v>
      </c>
      <c r="Q9">
        <f>IFERROR(VLOOKUP($A9,[1]Sheet1!$A$8:$P$1264,MATCH(Q$1,[1]Sheet1!$A$4:$P$4,0),0),"")</f>
        <v>21</v>
      </c>
      <c r="R9">
        <f>IFERROR(VLOOKUP($A9,[1]Sheet1!$A$8:$P$1264,MATCH(R$1,[1]Sheet1!$A$4:$P$4,0),0),"")</f>
        <v>0</v>
      </c>
      <c r="S9">
        <f>IFERROR(VLOOKUP($A9,[1]Sheet1!$A$8:$P$1264,MATCH(S$1,[1]Sheet1!$A$4:$P$4,0),0),"")</f>
        <v>21</v>
      </c>
    </row>
    <row r="10" spans="1:19">
      <c r="A10" t="str">
        <f t="shared" si="1"/>
        <v>ATL-DTW</v>
      </c>
      <c r="B10" s="1" t="s">
        <v>0</v>
      </c>
      <c r="C10" s="1" t="s">
        <v>8</v>
      </c>
      <c r="D10" t="s">
        <v>2</v>
      </c>
      <c r="E10" t="s">
        <v>48</v>
      </c>
      <c r="F10">
        <f>IFERROR(VLOOKUP($A10,[1]Sheet1!$A$8:$P$1264,MATCH(F$1,[1]Sheet1!$A$4:$P$4,0),0),"")</f>
        <v>0</v>
      </c>
      <c r="G10">
        <f>IFERROR(VLOOKUP($A10,[1]Sheet1!$A$8:$P$1264,MATCH(G$1,[1]Sheet1!$A$4:$P$4,0),0),"")</f>
        <v>23</v>
      </c>
      <c r="H10">
        <f>IFERROR(VLOOKUP($A10,[1]Sheet1!$A$8:$P$1264,MATCH(H$1,[1]Sheet1!$A$4:$P$4,0),0),"")</f>
        <v>0</v>
      </c>
      <c r="I10">
        <f>IFERROR(VLOOKUP($A10,[1]Sheet1!$A$8:$P$1264,MATCH(I$1,[1]Sheet1!$A$4:$P$4,0),0),"")</f>
        <v>23</v>
      </c>
      <c r="J10">
        <f>IFERROR(VLOOKUP($A10,[1]Sheet1!$A$8:$P$1264,MATCH(J$1,[1]Sheet1!$A$4:$P$4,0),0),"")</f>
        <v>0</v>
      </c>
      <c r="K10">
        <f>IFERROR(VLOOKUP($A10,[1]Sheet1!$A$8:$P$1264,MATCH(K$1,[1]Sheet1!$A$4:$P$4,0),0),"")</f>
        <v>21</v>
      </c>
      <c r="L10">
        <f>IFERROR(VLOOKUP($A10,[1]Sheet1!$A$8:$P$1264,MATCH(L$1,[1]Sheet1!$A$4:$P$4,0),0),"")</f>
        <v>0</v>
      </c>
      <c r="M10">
        <f>IFERROR(VLOOKUP($A10,[1]Sheet1!$A$8:$P$1264,MATCH(M$1,[1]Sheet1!$A$4:$P$4,0),0),"")</f>
        <v>29</v>
      </c>
      <c r="N10">
        <f>IFERROR(VLOOKUP($A10,[1]Sheet1!$A$8:$P$1264,MATCH(N$1,[1]Sheet1!$A$4:$P$4,0),0),"")</f>
        <v>0</v>
      </c>
      <c r="O10">
        <f>IFERROR(VLOOKUP($A10,[1]Sheet1!$A$8:$P$1264,MATCH(O$1,[1]Sheet1!$A$4:$P$4,0),0),"")</f>
        <v>27</v>
      </c>
      <c r="P10">
        <f>IFERROR(VLOOKUP($A10,[1]Sheet1!$A$8:$P$1264,MATCH(P$1,[1]Sheet1!$A$4:$P$4,0),0),"")</f>
        <v>0</v>
      </c>
      <c r="Q10">
        <f>IFERROR(VLOOKUP($A10,[1]Sheet1!$A$8:$P$1264,MATCH(Q$1,[1]Sheet1!$A$4:$P$4,0),0),"")</f>
        <v>27</v>
      </c>
      <c r="R10">
        <f>IFERROR(VLOOKUP($A10,[1]Sheet1!$A$8:$P$1264,MATCH(R$1,[1]Sheet1!$A$4:$P$4,0),0),"")</f>
        <v>0</v>
      </c>
      <c r="S10">
        <f>IFERROR(VLOOKUP($A10,[1]Sheet1!$A$8:$P$1264,MATCH(S$1,[1]Sheet1!$A$4:$P$4,0),0),"")</f>
        <v>27</v>
      </c>
    </row>
    <row r="11" spans="1:19">
      <c r="A11" t="str">
        <f t="shared" si="1"/>
        <v>ATL-HOU</v>
      </c>
      <c r="B11" s="1" t="s">
        <v>0</v>
      </c>
      <c r="C11" s="1" t="s">
        <v>9</v>
      </c>
      <c r="D11" t="s">
        <v>2</v>
      </c>
      <c r="E11" t="s">
        <v>48</v>
      </c>
      <c r="F11">
        <f>IFERROR(VLOOKUP($A11,[1]Sheet1!$A$8:$P$1264,MATCH(F$1,[1]Sheet1!$A$4:$P$4,0),0),"")</f>
        <v>27</v>
      </c>
      <c r="G11">
        <f>IFERROR(VLOOKUP($A11,[1]Sheet1!$A$8:$P$1264,MATCH(G$1,[1]Sheet1!$A$4:$P$4,0),0),"")</f>
        <v>34</v>
      </c>
      <c r="H11">
        <f>IFERROR(VLOOKUP($A11,[1]Sheet1!$A$8:$P$1264,MATCH(H$1,[1]Sheet1!$A$4:$P$4,0),0),"")</f>
        <v>27</v>
      </c>
      <c r="I11">
        <f>IFERROR(VLOOKUP($A11,[1]Sheet1!$A$8:$P$1264,MATCH(I$1,[1]Sheet1!$A$4:$P$4,0),0),"")</f>
        <v>34</v>
      </c>
      <c r="J11">
        <f>IFERROR(VLOOKUP($A11,[1]Sheet1!$A$8:$P$1264,MATCH(J$1,[1]Sheet1!$A$4:$P$4,0),0),"")</f>
        <v>21</v>
      </c>
      <c r="K11">
        <f>IFERROR(VLOOKUP($A11,[1]Sheet1!$A$8:$P$1264,MATCH(K$1,[1]Sheet1!$A$4:$P$4,0),0),"")</f>
        <v>34</v>
      </c>
      <c r="L11">
        <f>IFERROR(VLOOKUP($A11,[1]Sheet1!$A$8:$P$1264,MATCH(L$1,[1]Sheet1!$A$4:$P$4,0),0),"")</f>
        <v>21</v>
      </c>
      <c r="M11">
        <f>IFERROR(VLOOKUP($A11,[1]Sheet1!$A$8:$P$1264,MATCH(M$1,[1]Sheet1!$A$4:$P$4,0),0),"")</f>
        <v>33</v>
      </c>
      <c r="N11">
        <f>IFERROR(VLOOKUP($A11,[1]Sheet1!$A$8:$P$1264,MATCH(N$1,[1]Sheet1!$A$4:$P$4,0),0),"")</f>
        <v>21</v>
      </c>
      <c r="O11">
        <f>IFERROR(VLOOKUP($A11,[1]Sheet1!$A$8:$P$1264,MATCH(O$1,[1]Sheet1!$A$4:$P$4,0),0),"")</f>
        <v>33</v>
      </c>
      <c r="P11">
        <f>IFERROR(VLOOKUP($A11,[1]Sheet1!$A$8:$P$1264,MATCH(P$1,[1]Sheet1!$A$4:$P$4,0),0),"")</f>
        <v>21</v>
      </c>
      <c r="Q11">
        <f>IFERROR(VLOOKUP($A11,[1]Sheet1!$A$8:$P$1264,MATCH(Q$1,[1]Sheet1!$A$4:$P$4,0),0),"")</f>
        <v>34</v>
      </c>
      <c r="R11">
        <f>IFERROR(VLOOKUP($A11,[1]Sheet1!$A$8:$P$1264,MATCH(R$1,[1]Sheet1!$A$4:$P$4,0),0),"")</f>
        <v>21</v>
      </c>
      <c r="S11">
        <f>IFERROR(VLOOKUP($A11,[1]Sheet1!$A$8:$P$1264,MATCH(S$1,[1]Sheet1!$A$4:$P$4,0),0),"")</f>
        <v>34</v>
      </c>
    </row>
    <row r="12" spans="1:19">
      <c r="A12" t="str">
        <f t="shared" si="1"/>
        <v>ATL-MDW</v>
      </c>
      <c r="B12" s="1" t="s">
        <v>0</v>
      </c>
      <c r="C12" s="1" t="s">
        <v>10</v>
      </c>
      <c r="D12" t="s">
        <v>2</v>
      </c>
      <c r="E12" t="s">
        <v>48</v>
      </c>
      <c r="F12">
        <f>IFERROR(VLOOKUP($A12,[1]Sheet1!$A$8:$P$1264,MATCH(F$1,[1]Sheet1!$A$4:$P$4,0),0),"")</f>
        <v>27</v>
      </c>
      <c r="G12">
        <f>IFERROR(VLOOKUP($A12,[1]Sheet1!$A$8:$P$1264,MATCH(G$1,[1]Sheet1!$A$4:$P$4,0),0),"")</f>
        <v>40</v>
      </c>
      <c r="H12">
        <f>IFERROR(VLOOKUP($A12,[1]Sheet1!$A$8:$P$1264,MATCH(H$1,[1]Sheet1!$A$4:$P$4,0),0),"")</f>
        <v>26</v>
      </c>
      <c r="I12">
        <f>IFERROR(VLOOKUP($A12,[1]Sheet1!$A$8:$P$1264,MATCH(I$1,[1]Sheet1!$A$4:$P$4,0),0),"")</f>
        <v>40</v>
      </c>
      <c r="J12">
        <f>IFERROR(VLOOKUP($A12,[1]Sheet1!$A$8:$P$1264,MATCH(J$1,[1]Sheet1!$A$4:$P$4,0),0),"")</f>
        <v>28</v>
      </c>
      <c r="K12">
        <f>IFERROR(VLOOKUP($A12,[1]Sheet1!$A$8:$P$1264,MATCH(K$1,[1]Sheet1!$A$4:$P$4,0),0),"")</f>
        <v>38</v>
      </c>
      <c r="L12">
        <f>IFERROR(VLOOKUP($A12,[1]Sheet1!$A$8:$P$1264,MATCH(L$1,[1]Sheet1!$A$4:$P$4,0),0),"")</f>
        <v>27</v>
      </c>
      <c r="M12">
        <f>IFERROR(VLOOKUP($A12,[1]Sheet1!$A$8:$P$1264,MATCH(M$1,[1]Sheet1!$A$4:$P$4,0),0),"")</f>
        <v>33</v>
      </c>
      <c r="N12">
        <f>IFERROR(VLOOKUP($A12,[1]Sheet1!$A$8:$P$1264,MATCH(N$1,[1]Sheet1!$A$4:$P$4,0),0),"")</f>
        <v>27</v>
      </c>
      <c r="O12">
        <f>IFERROR(VLOOKUP($A12,[1]Sheet1!$A$8:$P$1264,MATCH(O$1,[1]Sheet1!$A$4:$P$4,0),0),"")</f>
        <v>33</v>
      </c>
      <c r="P12">
        <f>IFERROR(VLOOKUP($A12,[1]Sheet1!$A$8:$P$1264,MATCH(P$1,[1]Sheet1!$A$4:$P$4,0),0),"")</f>
        <v>27</v>
      </c>
      <c r="Q12">
        <f>IFERROR(VLOOKUP($A12,[1]Sheet1!$A$8:$P$1264,MATCH(Q$1,[1]Sheet1!$A$4:$P$4,0),0),"")</f>
        <v>40</v>
      </c>
      <c r="R12">
        <f>IFERROR(VLOOKUP($A12,[1]Sheet1!$A$8:$P$1264,MATCH(R$1,[1]Sheet1!$A$4:$P$4,0),0),"")</f>
        <v>27</v>
      </c>
      <c r="S12">
        <f>IFERROR(VLOOKUP($A12,[1]Sheet1!$A$8:$P$1264,MATCH(S$1,[1]Sheet1!$A$4:$P$4,0),0),"")</f>
        <v>40</v>
      </c>
    </row>
    <row r="13" spans="1:19">
      <c r="A13" t="str">
        <f t="shared" si="1"/>
        <v>ATL-MKE</v>
      </c>
      <c r="B13" s="1" t="s">
        <v>0</v>
      </c>
      <c r="C13" s="1" t="s">
        <v>11</v>
      </c>
      <c r="D13" t="s">
        <v>2</v>
      </c>
      <c r="E13" t="s">
        <v>48</v>
      </c>
      <c r="F13">
        <f>IFERROR(VLOOKUP($A13,[1]Sheet1!$A$8:$P$1264,MATCH(F$1,[1]Sheet1!$A$4:$P$4,0),0),"")</f>
        <v>0</v>
      </c>
      <c r="G13">
        <f>IFERROR(VLOOKUP($A13,[1]Sheet1!$A$8:$P$1264,MATCH(G$1,[1]Sheet1!$A$4:$P$4,0),0),"")</f>
        <v>29</v>
      </c>
      <c r="H13">
        <f>IFERROR(VLOOKUP($A13,[1]Sheet1!$A$8:$P$1264,MATCH(H$1,[1]Sheet1!$A$4:$P$4,0),0),"")</f>
        <v>0</v>
      </c>
      <c r="I13">
        <f>IFERROR(VLOOKUP($A13,[1]Sheet1!$A$8:$P$1264,MATCH(I$1,[1]Sheet1!$A$4:$P$4,0),0),"")</f>
        <v>30</v>
      </c>
      <c r="J13">
        <f>IFERROR(VLOOKUP($A13,[1]Sheet1!$A$8:$P$1264,MATCH(J$1,[1]Sheet1!$A$4:$P$4,0),0),"")</f>
        <v>0</v>
      </c>
      <c r="K13">
        <f>IFERROR(VLOOKUP($A13,[1]Sheet1!$A$8:$P$1264,MATCH(K$1,[1]Sheet1!$A$4:$P$4,0),0),"")</f>
        <v>29</v>
      </c>
      <c r="L13">
        <f>IFERROR(VLOOKUP($A13,[1]Sheet1!$A$8:$P$1264,MATCH(L$1,[1]Sheet1!$A$4:$P$4,0),0),"")</f>
        <v>0</v>
      </c>
      <c r="M13">
        <f>IFERROR(VLOOKUP($A13,[1]Sheet1!$A$8:$P$1264,MATCH(M$1,[1]Sheet1!$A$4:$P$4,0),0),"")</f>
        <v>34</v>
      </c>
      <c r="N13">
        <f>IFERROR(VLOOKUP($A13,[1]Sheet1!$A$8:$P$1264,MATCH(N$1,[1]Sheet1!$A$4:$P$4,0),0),"")</f>
        <v>0</v>
      </c>
      <c r="O13">
        <f>IFERROR(VLOOKUP($A13,[1]Sheet1!$A$8:$P$1264,MATCH(O$1,[1]Sheet1!$A$4:$P$4,0),0),"")</f>
        <v>34</v>
      </c>
      <c r="P13">
        <f>IFERROR(VLOOKUP($A13,[1]Sheet1!$A$8:$P$1264,MATCH(P$1,[1]Sheet1!$A$4:$P$4,0),0),"")</f>
        <v>0</v>
      </c>
      <c r="Q13">
        <f>IFERROR(VLOOKUP($A13,[1]Sheet1!$A$8:$P$1264,MATCH(Q$1,[1]Sheet1!$A$4:$P$4,0),0),"")</f>
        <v>34</v>
      </c>
      <c r="R13">
        <f>IFERROR(VLOOKUP($A13,[1]Sheet1!$A$8:$P$1264,MATCH(R$1,[1]Sheet1!$A$4:$P$4,0),0),"")</f>
        <v>0</v>
      </c>
      <c r="S13">
        <f>IFERROR(VLOOKUP($A13,[1]Sheet1!$A$8:$P$1264,MATCH(S$1,[1]Sheet1!$A$4:$P$4,0),0),"")</f>
        <v>34</v>
      </c>
    </row>
    <row r="14" spans="1:19">
      <c r="A14" t="str">
        <f t="shared" si="1"/>
        <v>ATL-MSP</v>
      </c>
      <c r="B14" s="1" t="s">
        <v>0</v>
      </c>
      <c r="C14" s="1" t="s">
        <v>12</v>
      </c>
      <c r="D14" t="s">
        <v>2</v>
      </c>
      <c r="E14" t="s">
        <v>48</v>
      </c>
      <c r="F14">
        <f>IFERROR(VLOOKUP($A14,[1]Sheet1!$A$8:$P$1264,MATCH(F$1,[1]Sheet1!$A$4:$P$4,0),0),"")</f>
        <v>0</v>
      </c>
      <c r="G14">
        <f>IFERROR(VLOOKUP($A14,[1]Sheet1!$A$8:$P$1264,MATCH(G$1,[1]Sheet1!$A$4:$P$4,0),0),"")</f>
        <v>28</v>
      </c>
      <c r="H14">
        <f>IFERROR(VLOOKUP($A14,[1]Sheet1!$A$8:$P$1264,MATCH(H$1,[1]Sheet1!$A$4:$P$4,0),0),"")</f>
        <v>0</v>
      </c>
      <c r="I14">
        <f>IFERROR(VLOOKUP($A14,[1]Sheet1!$A$8:$P$1264,MATCH(I$1,[1]Sheet1!$A$4:$P$4,0),0),"")</f>
        <v>28</v>
      </c>
      <c r="J14">
        <f>IFERROR(VLOOKUP($A14,[1]Sheet1!$A$8:$P$1264,MATCH(J$1,[1]Sheet1!$A$4:$P$4,0),0),"")</f>
        <v>0</v>
      </c>
      <c r="K14">
        <f>IFERROR(VLOOKUP($A14,[1]Sheet1!$A$8:$P$1264,MATCH(K$1,[1]Sheet1!$A$4:$P$4,0),0),"")</f>
        <v>31</v>
      </c>
      <c r="L14">
        <f>IFERROR(VLOOKUP($A14,[1]Sheet1!$A$8:$P$1264,MATCH(L$1,[1]Sheet1!$A$4:$P$4,0),0),"")</f>
        <v>0</v>
      </c>
      <c r="M14">
        <f>IFERROR(VLOOKUP($A14,[1]Sheet1!$A$8:$P$1264,MATCH(M$1,[1]Sheet1!$A$4:$P$4,0),0),"")</f>
        <v>27</v>
      </c>
      <c r="N14">
        <f>IFERROR(VLOOKUP($A14,[1]Sheet1!$A$8:$P$1264,MATCH(N$1,[1]Sheet1!$A$4:$P$4,0),0),"")</f>
        <v>0</v>
      </c>
      <c r="O14">
        <f>IFERROR(VLOOKUP($A14,[1]Sheet1!$A$8:$P$1264,MATCH(O$1,[1]Sheet1!$A$4:$P$4,0),0),"")</f>
        <v>27</v>
      </c>
      <c r="P14">
        <f>IFERROR(VLOOKUP($A14,[1]Sheet1!$A$8:$P$1264,MATCH(P$1,[1]Sheet1!$A$4:$P$4,0),0),"")</f>
        <v>0</v>
      </c>
      <c r="Q14">
        <f>IFERROR(VLOOKUP($A14,[1]Sheet1!$A$8:$P$1264,MATCH(Q$1,[1]Sheet1!$A$4:$P$4,0),0),"")</f>
        <v>28</v>
      </c>
      <c r="R14">
        <f>IFERROR(VLOOKUP($A14,[1]Sheet1!$A$8:$P$1264,MATCH(R$1,[1]Sheet1!$A$4:$P$4,0),0),"")</f>
        <v>0</v>
      </c>
      <c r="S14">
        <f>IFERROR(VLOOKUP($A14,[1]Sheet1!$A$8:$P$1264,MATCH(S$1,[1]Sheet1!$A$4:$P$4,0),0),"")</f>
        <v>28</v>
      </c>
    </row>
    <row r="15" spans="1:19">
      <c r="A15" t="str">
        <f t="shared" si="1"/>
        <v>ATL-PHL</v>
      </c>
      <c r="B15" s="1" t="s">
        <v>0</v>
      </c>
      <c r="C15" s="1" t="s">
        <v>13</v>
      </c>
      <c r="D15" t="s">
        <v>2</v>
      </c>
      <c r="E15" t="s">
        <v>48</v>
      </c>
      <c r="F15">
        <f>IFERROR(VLOOKUP($A15,[1]Sheet1!$A$8:$P$1264,MATCH(F$1,[1]Sheet1!$A$4:$P$4,0),0),"")</f>
        <v>0</v>
      </c>
      <c r="G15">
        <f>IFERROR(VLOOKUP($A15,[1]Sheet1!$A$8:$P$1264,MATCH(G$1,[1]Sheet1!$A$4:$P$4,0),0),"")</f>
        <v>27</v>
      </c>
      <c r="H15">
        <f>IFERROR(VLOOKUP($A15,[1]Sheet1!$A$8:$P$1264,MATCH(H$1,[1]Sheet1!$A$4:$P$4,0),0),"")</f>
        <v>0</v>
      </c>
      <c r="I15">
        <f>IFERROR(VLOOKUP($A15,[1]Sheet1!$A$8:$P$1264,MATCH(I$1,[1]Sheet1!$A$4:$P$4,0),0),"")</f>
        <v>27</v>
      </c>
      <c r="J15">
        <f>IFERROR(VLOOKUP($A15,[1]Sheet1!$A$8:$P$1264,MATCH(J$1,[1]Sheet1!$A$4:$P$4,0),0),"")</f>
        <v>0</v>
      </c>
      <c r="K15">
        <f>IFERROR(VLOOKUP($A15,[1]Sheet1!$A$8:$P$1264,MATCH(K$1,[1]Sheet1!$A$4:$P$4,0),0),"")</f>
        <v>26</v>
      </c>
      <c r="L15">
        <f>IFERROR(VLOOKUP($A15,[1]Sheet1!$A$8:$P$1264,MATCH(L$1,[1]Sheet1!$A$4:$P$4,0),0),"")</f>
        <v>0</v>
      </c>
      <c r="M15">
        <f>IFERROR(VLOOKUP($A15,[1]Sheet1!$A$8:$P$1264,MATCH(M$1,[1]Sheet1!$A$4:$P$4,0),0),"")</f>
        <v>27</v>
      </c>
      <c r="N15">
        <f>IFERROR(VLOOKUP($A15,[1]Sheet1!$A$8:$P$1264,MATCH(N$1,[1]Sheet1!$A$4:$P$4,0),0),"")</f>
        <v>0</v>
      </c>
      <c r="O15">
        <f>IFERROR(VLOOKUP($A15,[1]Sheet1!$A$8:$P$1264,MATCH(O$1,[1]Sheet1!$A$4:$P$4,0),0),"")</f>
        <v>27</v>
      </c>
      <c r="P15">
        <f>IFERROR(VLOOKUP($A15,[1]Sheet1!$A$8:$P$1264,MATCH(P$1,[1]Sheet1!$A$4:$P$4,0),0),"")</f>
        <v>0</v>
      </c>
      <c r="Q15">
        <f>IFERROR(VLOOKUP($A15,[1]Sheet1!$A$8:$P$1264,MATCH(Q$1,[1]Sheet1!$A$4:$P$4,0),0),"")</f>
        <v>30</v>
      </c>
      <c r="R15">
        <f>IFERROR(VLOOKUP($A15,[1]Sheet1!$A$8:$P$1264,MATCH(R$1,[1]Sheet1!$A$4:$P$4,0),0),"")</f>
        <v>0</v>
      </c>
      <c r="S15">
        <f>IFERROR(VLOOKUP($A15,[1]Sheet1!$A$8:$P$1264,MATCH(S$1,[1]Sheet1!$A$4:$P$4,0),0),"")</f>
        <v>30</v>
      </c>
    </row>
    <row r="16" spans="1:19">
      <c r="A16" t="str">
        <f t="shared" si="1"/>
        <v>ATL-RDU</v>
      </c>
      <c r="B16" s="1" t="s">
        <v>0</v>
      </c>
      <c r="C16" s="1" t="s">
        <v>14</v>
      </c>
      <c r="D16" t="s">
        <v>2</v>
      </c>
      <c r="E16" t="s">
        <v>48</v>
      </c>
      <c r="F16">
        <f>IFERROR(VLOOKUP($A16,[1]Sheet1!$A$8:$P$1264,MATCH(F$1,[1]Sheet1!$A$4:$P$4,0),0),"")</f>
        <v>0</v>
      </c>
      <c r="G16">
        <f>IFERROR(VLOOKUP($A16,[1]Sheet1!$A$8:$P$1264,MATCH(G$1,[1]Sheet1!$A$4:$P$4,0),0),"")</f>
        <v>21</v>
      </c>
      <c r="H16">
        <f>IFERROR(VLOOKUP($A16,[1]Sheet1!$A$8:$P$1264,MATCH(H$1,[1]Sheet1!$A$4:$P$4,0),0),"")</f>
        <v>0</v>
      </c>
      <c r="I16">
        <f>IFERROR(VLOOKUP($A16,[1]Sheet1!$A$8:$P$1264,MATCH(I$1,[1]Sheet1!$A$4:$P$4,0),0),"")</f>
        <v>21</v>
      </c>
      <c r="J16">
        <f>IFERROR(VLOOKUP($A16,[1]Sheet1!$A$8:$P$1264,MATCH(J$1,[1]Sheet1!$A$4:$P$4,0),0),"")</f>
        <v>0</v>
      </c>
      <c r="K16">
        <f>IFERROR(VLOOKUP($A16,[1]Sheet1!$A$8:$P$1264,MATCH(K$1,[1]Sheet1!$A$4:$P$4,0),0),"")</f>
        <v>21</v>
      </c>
      <c r="L16">
        <f>IFERROR(VLOOKUP($A16,[1]Sheet1!$A$8:$P$1264,MATCH(L$1,[1]Sheet1!$A$4:$P$4,0),0),"")</f>
        <v>0</v>
      </c>
      <c r="M16">
        <f>IFERROR(VLOOKUP($A16,[1]Sheet1!$A$8:$P$1264,MATCH(M$1,[1]Sheet1!$A$4:$P$4,0),0),"")</f>
        <v>21</v>
      </c>
      <c r="N16">
        <f>IFERROR(VLOOKUP($A16,[1]Sheet1!$A$8:$P$1264,MATCH(N$1,[1]Sheet1!$A$4:$P$4,0),0),"")</f>
        <v>0</v>
      </c>
      <c r="O16">
        <f>IFERROR(VLOOKUP($A16,[1]Sheet1!$A$8:$P$1264,MATCH(O$1,[1]Sheet1!$A$4:$P$4,0),0),"")</f>
        <v>21</v>
      </c>
      <c r="P16">
        <f>IFERROR(VLOOKUP($A16,[1]Sheet1!$A$8:$P$1264,MATCH(P$1,[1]Sheet1!$A$4:$P$4,0),0),"")</f>
        <v>0</v>
      </c>
      <c r="Q16">
        <f>IFERROR(VLOOKUP($A16,[1]Sheet1!$A$8:$P$1264,MATCH(Q$1,[1]Sheet1!$A$4:$P$4,0),0),"")</f>
        <v>21</v>
      </c>
      <c r="R16">
        <f>IFERROR(VLOOKUP($A16,[1]Sheet1!$A$8:$P$1264,MATCH(R$1,[1]Sheet1!$A$4:$P$4,0),0),"")</f>
        <v>0</v>
      </c>
      <c r="S16">
        <f>IFERROR(VLOOKUP($A16,[1]Sheet1!$A$8:$P$1264,MATCH(S$1,[1]Sheet1!$A$4:$P$4,0),0),"")</f>
        <v>21</v>
      </c>
    </row>
    <row r="17" spans="1:19">
      <c r="A17" t="str">
        <f t="shared" si="1"/>
        <v>ATL-RSW</v>
      </c>
      <c r="B17" s="1" t="s">
        <v>0</v>
      </c>
      <c r="C17" s="1" t="s">
        <v>15</v>
      </c>
      <c r="D17" t="s">
        <v>2</v>
      </c>
      <c r="E17" t="s">
        <v>48</v>
      </c>
      <c r="F17">
        <f>IFERROR(VLOOKUP($A17,[1]Sheet1!$A$8:$P$1264,MATCH(F$1,[1]Sheet1!$A$4:$P$4,0),0),"")</f>
        <v>0</v>
      </c>
      <c r="G17">
        <f>IFERROR(VLOOKUP($A17,[1]Sheet1!$A$8:$P$1264,MATCH(G$1,[1]Sheet1!$A$4:$P$4,0),0),"")</f>
        <v>28</v>
      </c>
      <c r="H17">
        <f>IFERROR(VLOOKUP($A17,[1]Sheet1!$A$8:$P$1264,MATCH(H$1,[1]Sheet1!$A$4:$P$4,0),0),"")</f>
        <v>0</v>
      </c>
      <c r="I17">
        <f>IFERROR(VLOOKUP($A17,[1]Sheet1!$A$8:$P$1264,MATCH(I$1,[1]Sheet1!$A$4:$P$4,0),0),"")</f>
        <v>28</v>
      </c>
      <c r="J17">
        <f>IFERROR(VLOOKUP($A17,[1]Sheet1!$A$8:$P$1264,MATCH(J$1,[1]Sheet1!$A$4:$P$4,0),0),"")</f>
        <v>0</v>
      </c>
      <c r="K17">
        <f>IFERROR(VLOOKUP($A17,[1]Sheet1!$A$8:$P$1264,MATCH(K$1,[1]Sheet1!$A$4:$P$4,0),0),"")</f>
        <v>32</v>
      </c>
      <c r="L17">
        <f>IFERROR(VLOOKUP($A17,[1]Sheet1!$A$8:$P$1264,MATCH(L$1,[1]Sheet1!$A$4:$P$4,0),0),"")</f>
        <v>0</v>
      </c>
      <c r="M17">
        <f>IFERROR(VLOOKUP($A17,[1]Sheet1!$A$8:$P$1264,MATCH(M$1,[1]Sheet1!$A$4:$P$4,0),0),"")</f>
        <v>34</v>
      </c>
      <c r="N17">
        <f>IFERROR(VLOOKUP($A17,[1]Sheet1!$A$8:$P$1264,MATCH(N$1,[1]Sheet1!$A$4:$P$4,0),0),"")</f>
        <v>0</v>
      </c>
      <c r="O17">
        <f>IFERROR(VLOOKUP($A17,[1]Sheet1!$A$8:$P$1264,MATCH(O$1,[1]Sheet1!$A$4:$P$4,0),0),"")</f>
        <v>34</v>
      </c>
      <c r="P17">
        <f>IFERROR(VLOOKUP($A17,[1]Sheet1!$A$8:$P$1264,MATCH(P$1,[1]Sheet1!$A$4:$P$4,0),0),"")</f>
        <v>0</v>
      </c>
      <c r="Q17">
        <f>IFERROR(VLOOKUP($A17,[1]Sheet1!$A$8:$P$1264,MATCH(Q$1,[1]Sheet1!$A$4:$P$4,0),0),"")</f>
        <v>29</v>
      </c>
      <c r="R17">
        <f>IFERROR(VLOOKUP($A17,[1]Sheet1!$A$8:$P$1264,MATCH(R$1,[1]Sheet1!$A$4:$P$4,0),0),"")</f>
        <v>0</v>
      </c>
      <c r="S17">
        <f>IFERROR(VLOOKUP($A17,[1]Sheet1!$A$8:$P$1264,MATCH(S$1,[1]Sheet1!$A$4:$P$4,0),0),"")</f>
        <v>29</v>
      </c>
    </row>
    <row r="18" spans="1:19">
      <c r="A18" t="str">
        <f t="shared" si="1"/>
        <v>ATL-SFO</v>
      </c>
      <c r="B18" s="1" t="s">
        <v>0</v>
      </c>
      <c r="C18" s="1" t="s">
        <v>16</v>
      </c>
      <c r="D18" t="s">
        <v>2</v>
      </c>
      <c r="E18" t="s">
        <v>48</v>
      </c>
      <c r="F18">
        <f>IFERROR(VLOOKUP($A18,[1]Sheet1!$A$8:$P$1264,MATCH(F$1,[1]Sheet1!$A$4:$P$4,0),0),"")</f>
        <v>7</v>
      </c>
      <c r="G18">
        <f>IFERROR(VLOOKUP($A18,[1]Sheet1!$A$8:$P$1264,MATCH(G$1,[1]Sheet1!$A$4:$P$4,0),0),"")</f>
        <v>7</v>
      </c>
      <c r="H18">
        <f>IFERROR(VLOOKUP($A18,[1]Sheet1!$A$8:$P$1264,MATCH(H$1,[1]Sheet1!$A$4:$P$4,0),0),"")</f>
        <v>7</v>
      </c>
      <c r="I18">
        <f>IFERROR(VLOOKUP($A18,[1]Sheet1!$A$8:$P$1264,MATCH(I$1,[1]Sheet1!$A$4:$P$4,0),0),"")</f>
        <v>7</v>
      </c>
      <c r="J18">
        <f>IFERROR(VLOOKUP($A18,[1]Sheet1!$A$8:$P$1264,MATCH(J$1,[1]Sheet1!$A$4:$P$4,0),0),"")</f>
        <v>7</v>
      </c>
      <c r="K18">
        <f>IFERROR(VLOOKUP($A18,[1]Sheet1!$A$8:$P$1264,MATCH(K$1,[1]Sheet1!$A$4:$P$4,0),0),"")</f>
        <v>7</v>
      </c>
      <c r="L18">
        <f>IFERROR(VLOOKUP($A18,[1]Sheet1!$A$8:$P$1264,MATCH(L$1,[1]Sheet1!$A$4:$P$4,0),0),"")</f>
        <v>7</v>
      </c>
      <c r="M18">
        <f>IFERROR(VLOOKUP($A18,[1]Sheet1!$A$8:$P$1264,MATCH(M$1,[1]Sheet1!$A$4:$P$4,0),0),"")</f>
        <v>7</v>
      </c>
      <c r="N18">
        <f>IFERROR(VLOOKUP($A18,[1]Sheet1!$A$8:$P$1264,MATCH(N$1,[1]Sheet1!$A$4:$P$4,0),0),"")</f>
        <v>7</v>
      </c>
      <c r="O18">
        <f>IFERROR(VLOOKUP($A18,[1]Sheet1!$A$8:$P$1264,MATCH(O$1,[1]Sheet1!$A$4:$P$4,0),0),"")</f>
        <v>7</v>
      </c>
      <c r="P18">
        <f>IFERROR(VLOOKUP($A18,[1]Sheet1!$A$8:$P$1264,MATCH(P$1,[1]Sheet1!$A$4:$P$4,0),0),"")</f>
        <v>7</v>
      </c>
      <c r="Q18">
        <f>IFERROR(VLOOKUP($A18,[1]Sheet1!$A$8:$P$1264,MATCH(Q$1,[1]Sheet1!$A$4:$P$4,0),0),"")</f>
        <v>14</v>
      </c>
      <c r="R18">
        <f>IFERROR(VLOOKUP($A18,[1]Sheet1!$A$8:$P$1264,MATCH(R$1,[1]Sheet1!$A$4:$P$4,0),0),"")</f>
        <v>7</v>
      </c>
      <c r="S18">
        <f>IFERROR(VLOOKUP($A18,[1]Sheet1!$A$8:$P$1264,MATCH(S$1,[1]Sheet1!$A$4:$P$4,0),0),"")</f>
        <v>14</v>
      </c>
    </row>
    <row r="19" spans="1:19">
      <c r="A19" t="str">
        <f t="shared" si="1"/>
        <v>BOS-DEN</v>
      </c>
      <c r="B19" s="2" t="s">
        <v>17</v>
      </c>
      <c r="C19" s="2" t="s">
        <v>18</v>
      </c>
      <c r="D19" t="s">
        <v>2</v>
      </c>
      <c r="E19" t="str">
        <f>IF((F19+H19+J19+L19+N19+P19+R19)&lt;(G19+I19+K19+M19+O19+Q19+S19),"AirTran","Southwest")</f>
        <v>Southwest</v>
      </c>
      <c r="F19">
        <f>IFERROR(VLOOKUP($A19,[1]Sheet1!$A$8:$P$1264,MATCH(F$1,[1]Sheet1!$A$4:$P$4,0),0),"")</f>
        <v>7</v>
      </c>
      <c r="G19">
        <f>IFERROR(VLOOKUP($A19,[1]Sheet1!$A$8:$P$1264,MATCH(G$1,[1]Sheet1!$A$4:$P$4,0),0),"")</f>
        <v>0</v>
      </c>
      <c r="H19">
        <f>IFERROR(VLOOKUP($A19,[1]Sheet1!$A$8:$P$1264,MATCH(H$1,[1]Sheet1!$A$4:$P$4,0),0),"")</f>
        <v>7</v>
      </c>
      <c r="I19">
        <f>IFERROR(VLOOKUP($A19,[1]Sheet1!$A$8:$P$1264,MATCH(I$1,[1]Sheet1!$A$4:$P$4,0),0),"")</f>
        <v>0</v>
      </c>
      <c r="J19">
        <f>IFERROR(VLOOKUP($A19,[1]Sheet1!$A$8:$P$1264,MATCH(J$1,[1]Sheet1!$A$4:$P$4,0),0),"")</f>
        <v>13</v>
      </c>
      <c r="K19">
        <f>IFERROR(VLOOKUP($A19,[1]Sheet1!$A$8:$P$1264,MATCH(K$1,[1]Sheet1!$A$4:$P$4,0),0),"")</f>
        <v>0</v>
      </c>
      <c r="L19">
        <f>IFERROR(VLOOKUP($A19,[1]Sheet1!$A$8:$P$1264,MATCH(L$1,[1]Sheet1!$A$4:$P$4,0),0),"")</f>
        <v>12</v>
      </c>
      <c r="M19">
        <f>IFERROR(VLOOKUP($A19,[1]Sheet1!$A$8:$P$1264,MATCH(M$1,[1]Sheet1!$A$4:$P$4,0),0),"")</f>
        <v>0</v>
      </c>
      <c r="N19">
        <f>IFERROR(VLOOKUP($A19,[1]Sheet1!$A$8:$P$1264,MATCH(N$1,[1]Sheet1!$A$4:$P$4,0),0),"")</f>
        <v>12</v>
      </c>
      <c r="O19">
        <f>IFERROR(VLOOKUP($A19,[1]Sheet1!$A$8:$P$1264,MATCH(O$1,[1]Sheet1!$A$4:$P$4,0),0),"")</f>
        <v>0</v>
      </c>
      <c r="P19">
        <f>IFERROR(VLOOKUP($A19,[1]Sheet1!$A$8:$P$1264,MATCH(P$1,[1]Sheet1!$A$4:$P$4,0),0),"")</f>
        <v>14</v>
      </c>
      <c r="Q19">
        <f>IFERROR(VLOOKUP($A19,[1]Sheet1!$A$8:$P$1264,MATCH(Q$1,[1]Sheet1!$A$4:$P$4,0),0),"")</f>
        <v>0</v>
      </c>
      <c r="R19">
        <f>IFERROR(VLOOKUP($A19,[1]Sheet1!$A$8:$P$1264,MATCH(R$1,[1]Sheet1!$A$4:$P$4,0),0),"")</f>
        <v>14</v>
      </c>
      <c r="S19">
        <f>IFERROR(VLOOKUP($A19,[1]Sheet1!$A$8:$P$1264,MATCH(S$1,[1]Sheet1!$A$4:$P$4,0),0),"")</f>
        <v>0</v>
      </c>
    </row>
    <row r="20" spans="1:19">
      <c r="A20" t="str">
        <f t="shared" si="1"/>
        <v>BOS-MDW</v>
      </c>
      <c r="B20" s="2" t="s">
        <v>17</v>
      </c>
      <c r="C20" s="2" t="s">
        <v>10</v>
      </c>
      <c r="D20" t="s">
        <v>2</v>
      </c>
      <c r="E20" t="str">
        <f t="shared" ref="E20:E82" si="2">IF((F20+H20+J20+L20+N20+P20+R20)&lt;(G20+I20+K20+M20+O20+Q20+S20),"AirTran","Southwest")</f>
        <v>Southwest</v>
      </c>
      <c r="F20">
        <f>IFERROR(VLOOKUP($A20,[1]Sheet1!$A$8:$P$1264,MATCH(F$1,[1]Sheet1!$A$4:$P$4,0),0),"")</f>
        <v>27</v>
      </c>
      <c r="G20">
        <f>IFERROR(VLOOKUP($A20,[1]Sheet1!$A$8:$P$1264,MATCH(G$1,[1]Sheet1!$A$4:$P$4,0),0),"")</f>
        <v>0</v>
      </c>
      <c r="H20">
        <f>IFERROR(VLOOKUP($A20,[1]Sheet1!$A$8:$P$1264,MATCH(H$1,[1]Sheet1!$A$4:$P$4,0),0),"")</f>
        <v>27</v>
      </c>
      <c r="I20">
        <f>IFERROR(VLOOKUP($A20,[1]Sheet1!$A$8:$P$1264,MATCH(I$1,[1]Sheet1!$A$4:$P$4,0),0),"")</f>
        <v>0</v>
      </c>
      <c r="J20">
        <f>IFERROR(VLOOKUP($A20,[1]Sheet1!$A$8:$P$1264,MATCH(J$1,[1]Sheet1!$A$4:$P$4,0),0),"")</f>
        <v>28</v>
      </c>
      <c r="K20">
        <f>IFERROR(VLOOKUP($A20,[1]Sheet1!$A$8:$P$1264,MATCH(K$1,[1]Sheet1!$A$4:$P$4,0),0),"")</f>
        <v>0</v>
      </c>
      <c r="L20">
        <f>IFERROR(VLOOKUP($A20,[1]Sheet1!$A$8:$P$1264,MATCH(L$1,[1]Sheet1!$A$4:$P$4,0),0),"")</f>
        <v>34</v>
      </c>
      <c r="M20">
        <f>IFERROR(VLOOKUP($A20,[1]Sheet1!$A$8:$P$1264,MATCH(M$1,[1]Sheet1!$A$4:$P$4,0),0),"")</f>
        <v>0</v>
      </c>
      <c r="N20">
        <f>IFERROR(VLOOKUP($A20,[1]Sheet1!$A$8:$P$1264,MATCH(N$1,[1]Sheet1!$A$4:$P$4,0),0),"")</f>
        <v>34</v>
      </c>
      <c r="O20">
        <f>IFERROR(VLOOKUP($A20,[1]Sheet1!$A$8:$P$1264,MATCH(O$1,[1]Sheet1!$A$4:$P$4,0),0),"")</f>
        <v>0</v>
      </c>
      <c r="P20">
        <f>IFERROR(VLOOKUP($A20,[1]Sheet1!$A$8:$P$1264,MATCH(P$1,[1]Sheet1!$A$4:$P$4,0),0),"")</f>
        <v>34</v>
      </c>
      <c r="Q20">
        <f>IFERROR(VLOOKUP($A20,[1]Sheet1!$A$8:$P$1264,MATCH(Q$1,[1]Sheet1!$A$4:$P$4,0),0),"")</f>
        <v>0</v>
      </c>
      <c r="R20">
        <f>IFERROR(VLOOKUP($A20,[1]Sheet1!$A$8:$P$1264,MATCH(R$1,[1]Sheet1!$A$4:$P$4,0),0),"")</f>
        <v>34</v>
      </c>
      <c r="S20">
        <f>IFERROR(VLOOKUP($A20,[1]Sheet1!$A$8:$P$1264,MATCH(S$1,[1]Sheet1!$A$4:$P$4,0),0),"")</f>
        <v>0</v>
      </c>
    </row>
    <row r="21" spans="1:19">
      <c r="A21" t="str">
        <f t="shared" si="1"/>
        <v>BOS-MKE</v>
      </c>
      <c r="B21" s="2" t="s">
        <v>17</v>
      </c>
      <c r="C21" s="2" t="s">
        <v>11</v>
      </c>
      <c r="D21" t="s">
        <v>2</v>
      </c>
      <c r="E21" t="str">
        <f t="shared" si="2"/>
        <v>Southwest</v>
      </c>
      <c r="F21">
        <f>IFERROR(VLOOKUP($A21,[1]Sheet1!$A$8:$P$1264,MATCH(F$1,[1]Sheet1!$A$4:$P$4,0),0),"")</f>
        <v>13</v>
      </c>
      <c r="G21">
        <f>IFERROR(VLOOKUP($A21,[1]Sheet1!$A$8:$P$1264,MATCH(G$1,[1]Sheet1!$A$4:$P$4,0),0),"")</f>
        <v>0</v>
      </c>
      <c r="H21">
        <f>IFERROR(VLOOKUP($A21,[1]Sheet1!$A$8:$P$1264,MATCH(H$1,[1]Sheet1!$A$4:$P$4,0),0),"")</f>
        <v>9</v>
      </c>
      <c r="I21">
        <f>IFERROR(VLOOKUP($A21,[1]Sheet1!$A$8:$P$1264,MATCH(I$1,[1]Sheet1!$A$4:$P$4,0),0),"")</f>
        <v>0</v>
      </c>
      <c r="J21">
        <f>IFERROR(VLOOKUP($A21,[1]Sheet1!$A$8:$P$1264,MATCH(J$1,[1]Sheet1!$A$4:$P$4,0),0),"")</f>
        <v>13</v>
      </c>
      <c r="K21">
        <f>IFERROR(VLOOKUP($A21,[1]Sheet1!$A$8:$P$1264,MATCH(K$1,[1]Sheet1!$A$4:$P$4,0),0),"")</f>
        <v>0</v>
      </c>
      <c r="L21">
        <f>IFERROR(VLOOKUP($A21,[1]Sheet1!$A$8:$P$1264,MATCH(L$1,[1]Sheet1!$A$4:$P$4,0),0),"")</f>
        <v>13</v>
      </c>
      <c r="M21">
        <f>IFERROR(VLOOKUP($A21,[1]Sheet1!$A$8:$P$1264,MATCH(M$1,[1]Sheet1!$A$4:$P$4,0),0),"")</f>
        <v>7</v>
      </c>
      <c r="N21">
        <f>IFERROR(VLOOKUP($A21,[1]Sheet1!$A$8:$P$1264,MATCH(N$1,[1]Sheet1!$A$4:$P$4,0),0),"")</f>
        <v>13</v>
      </c>
      <c r="O21">
        <f>IFERROR(VLOOKUP($A21,[1]Sheet1!$A$8:$P$1264,MATCH(O$1,[1]Sheet1!$A$4:$P$4,0),0),"")</f>
        <v>7</v>
      </c>
      <c r="P21">
        <f>IFERROR(VLOOKUP($A21,[1]Sheet1!$A$8:$P$1264,MATCH(P$1,[1]Sheet1!$A$4:$P$4,0),0),"")</f>
        <v>19</v>
      </c>
      <c r="Q21">
        <f>IFERROR(VLOOKUP($A21,[1]Sheet1!$A$8:$P$1264,MATCH(Q$1,[1]Sheet1!$A$4:$P$4,0),0),"")</f>
        <v>0</v>
      </c>
      <c r="R21">
        <f>IFERROR(VLOOKUP($A21,[1]Sheet1!$A$8:$P$1264,MATCH(R$1,[1]Sheet1!$A$4:$P$4,0),0),"")</f>
        <v>19</v>
      </c>
      <c r="S21">
        <f>IFERROR(VLOOKUP($A21,[1]Sheet1!$A$8:$P$1264,MATCH(S$1,[1]Sheet1!$A$4:$P$4,0),0),"")</f>
        <v>0</v>
      </c>
    </row>
    <row r="22" spans="1:19">
      <c r="A22" t="str">
        <f t="shared" si="1"/>
        <v>BOS-STL</v>
      </c>
      <c r="B22" s="2" t="s">
        <v>17</v>
      </c>
      <c r="C22" s="2" t="s">
        <v>19</v>
      </c>
      <c r="D22" t="s">
        <v>2</v>
      </c>
      <c r="E22" t="str">
        <f t="shared" si="2"/>
        <v>Southwest</v>
      </c>
      <c r="F22">
        <f>IFERROR(VLOOKUP($A22,[1]Sheet1!$A$8:$P$1264,MATCH(F$1,[1]Sheet1!$A$4:$P$4,0),0),"")</f>
        <v>12</v>
      </c>
      <c r="G22">
        <f>IFERROR(VLOOKUP($A22,[1]Sheet1!$A$8:$P$1264,MATCH(G$1,[1]Sheet1!$A$4:$P$4,0),0),"")</f>
        <v>0</v>
      </c>
      <c r="H22">
        <f>IFERROR(VLOOKUP($A22,[1]Sheet1!$A$8:$P$1264,MATCH(H$1,[1]Sheet1!$A$4:$P$4,0),0),"")</f>
        <v>12</v>
      </c>
      <c r="I22">
        <f>IFERROR(VLOOKUP($A22,[1]Sheet1!$A$8:$P$1264,MATCH(I$1,[1]Sheet1!$A$4:$P$4,0),0),"")</f>
        <v>0</v>
      </c>
      <c r="J22">
        <f>IFERROR(VLOOKUP($A22,[1]Sheet1!$A$8:$P$1264,MATCH(J$1,[1]Sheet1!$A$4:$P$4,0),0),"")</f>
        <v>14</v>
      </c>
      <c r="K22">
        <f>IFERROR(VLOOKUP($A22,[1]Sheet1!$A$8:$P$1264,MATCH(K$1,[1]Sheet1!$A$4:$P$4,0),0),"")</f>
        <v>0</v>
      </c>
      <c r="L22">
        <f>IFERROR(VLOOKUP($A22,[1]Sheet1!$A$8:$P$1264,MATCH(L$1,[1]Sheet1!$A$4:$P$4,0),0),"")</f>
        <v>14</v>
      </c>
      <c r="M22">
        <f>IFERROR(VLOOKUP($A22,[1]Sheet1!$A$8:$P$1264,MATCH(M$1,[1]Sheet1!$A$4:$P$4,0),0),"")</f>
        <v>0</v>
      </c>
      <c r="N22">
        <f>IFERROR(VLOOKUP($A22,[1]Sheet1!$A$8:$P$1264,MATCH(N$1,[1]Sheet1!$A$4:$P$4,0),0),"")</f>
        <v>14</v>
      </c>
      <c r="O22">
        <f>IFERROR(VLOOKUP($A22,[1]Sheet1!$A$8:$P$1264,MATCH(O$1,[1]Sheet1!$A$4:$P$4,0),0),"")</f>
        <v>0</v>
      </c>
      <c r="P22">
        <f>IFERROR(VLOOKUP($A22,[1]Sheet1!$A$8:$P$1264,MATCH(P$1,[1]Sheet1!$A$4:$P$4,0),0),"")</f>
        <v>20</v>
      </c>
      <c r="Q22">
        <f>IFERROR(VLOOKUP($A22,[1]Sheet1!$A$8:$P$1264,MATCH(Q$1,[1]Sheet1!$A$4:$P$4,0),0),"")</f>
        <v>0</v>
      </c>
      <c r="R22">
        <f>IFERROR(VLOOKUP($A22,[1]Sheet1!$A$8:$P$1264,MATCH(R$1,[1]Sheet1!$A$4:$P$4,0),0),"")</f>
        <v>20</v>
      </c>
      <c r="S22">
        <f>IFERROR(VLOOKUP($A22,[1]Sheet1!$A$8:$P$1264,MATCH(S$1,[1]Sheet1!$A$4:$P$4,0),0),"")</f>
        <v>0</v>
      </c>
    </row>
    <row r="23" spans="1:19">
      <c r="A23" t="str">
        <f t="shared" si="1"/>
        <v>BUF-FLL</v>
      </c>
      <c r="B23" s="2" t="s">
        <v>20</v>
      </c>
      <c r="C23" s="2" t="s">
        <v>1</v>
      </c>
      <c r="D23" t="s">
        <v>2</v>
      </c>
      <c r="E23" t="str">
        <f t="shared" si="2"/>
        <v>AirTran</v>
      </c>
      <c r="F23">
        <f>IFERROR(VLOOKUP($A23,[1]Sheet1!$A$8:$P$1264,MATCH(F$1,[1]Sheet1!$A$4:$P$4,0),0),"")</f>
        <v>8</v>
      </c>
      <c r="G23">
        <f>IFERROR(VLOOKUP($A23,[1]Sheet1!$A$8:$P$1264,MATCH(G$1,[1]Sheet1!$A$4:$P$4,0),0),"")</f>
        <v>0</v>
      </c>
      <c r="H23">
        <f>IFERROR(VLOOKUP($A23,[1]Sheet1!$A$8:$P$1264,MATCH(H$1,[1]Sheet1!$A$4:$P$4,0),0),"")</f>
        <v>8</v>
      </c>
      <c r="I23">
        <f>IFERROR(VLOOKUP($A23,[1]Sheet1!$A$8:$P$1264,MATCH(I$1,[1]Sheet1!$A$4:$P$4,0),0),"")</f>
        <v>0</v>
      </c>
      <c r="J23">
        <f>IFERROR(VLOOKUP($A23,[1]Sheet1!$A$8:$P$1264,MATCH(J$1,[1]Sheet1!$A$4:$P$4,0),0),"")</f>
        <v>10</v>
      </c>
      <c r="K23">
        <f>IFERROR(VLOOKUP($A23,[1]Sheet1!$A$8:$P$1264,MATCH(K$1,[1]Sheet1!$A$4:$P$4,0),0),"")</f>
        <v>0</v>
      </c>
      <c r="L23">
        <f>IFERROR(VLOOKUP($A23,[1]Sheet1!$A$8:$P$1264,MATCH(L$1,[1]Sheet1!$A$4:$P$4,0),0),"")</f>
        <v>0</v>
      </c>
      <c r="M23">
        <f>IFERROR(VLOOKUP($A23,[1]Sheet1!$A$8:$P$1264,MATCH(M$1,[1]Sheet1!$A$4:$P$4,0),0),"")</f>
        <v>7</v>
      </c>
      <c r="N23">
        <f>IFERROR(VLOOKUP($A23,[1]Sheet1!$A$8:$P$1264,MATCH(N$1,[1]Sheet1!$A$4:$P$4,0),0),"")</f>
        <v>0</v>
      </c>
      <c r="O23">
        <f>IFERROR(VLOOKUP($A23,[1]Sheet1!$A$8:$P$1264,MATCH(O$1,[1]Sheet1!$A$4:$P$4,0),0),"")</f>
        <v>7</v>
      </c>
      <c r="P23">
        <f>IFERROR(VLOOKUP($A23,[1]Sheet1!$A$8:$P$1264,MATCH(P$1,[1]Sheet1!$A$4:$P$4,0),0),"")</f>
        <v>0</v>
      </c>
      <c r="Q23">
        <f>IFERROR(VLOOKUP($A23,[1]Sheet1!$A$8:$P$1264,MATCH(Q$1,[1]Sheet1!$A$4:$P$4,0),0),"")</f>
        <v>7</v>
      </c>
      <c r="R23">
        <f>IFERROR(VLOOKUP($A23,[1]Sheet1!$A$8:$P$1264,MATCH(R$1,[1]Sheet1!$A$4:$P$4,0),0),"")</f>
        <v>0</v>
      </c>
      <c r="S23">
        <f>IFERROR(VLOOKUP($A23,[1]Sheet1!$A$8:$P$1264,MATCH(S$1,[1]Sheet1!$A$4:$P$4,0),0),"")</f>
        <v>7</v>
      </c>
    </row>
    <row r="24" spans="1:19">
      <c r="A24" t="str">
        <f t="shared" si="1"/>
        <v>BUF-LAS</v>
      </c>
      <c r="B24" s="2" t="s">
        <v>20</v>
      </c>
      <c r="C24" s="2" t="s">
        <v>21</v>
      </c>
      <c r="D24" t="s">
        <v>2</v>
      </c>
      <c r="E24" t="str">
        <f t="shared" si="2"/>
        <v>Southwest</v>
      </c>
      <c r="F24">
        <f>IFERROR(VLOOKUP($A24,[1]Sheet1!$A$8:$P$1264,MATCH(F$1,[1]Sheet1!$A$4:$P$4,0),0),"")</f>
        <v>7</v>
      </c>
      <c r="G24">
        <f>IFERROR(VLOOKUP($A24,[1]Sheet1!$A$8:$P$1264,MATCH(G$1,[1]Sheet1!$A$4:$P$4,0),0),"")</f>
        <v>0</v>
      </c>
      <c r="H24">
        <f>IFERROR(VLOOKUP($A24,[1]Sheet1!$A$8:$P$1264,MATCH(H$1,[1]Sheet1!$A$4:$P$4,0),0),"")</f>
        <v>7</v>
      </c>
      <c r="I24">
        <f>IFERROR(VLOOKUP($A24,[1]Sheet1!$A$8:$P$1264,MATCH(I$1,[1]Sheet1!$A$4:$P$4,0),0),"")</f>
        <v>0</v>
      </c>
      <c r="J24">
        <f>IFERROR(VLOOKUP($A24,[1]Sheet1!$A$8:$P$1264,MATCH(J$1,[1]Sheet1!$A$4:$P$4,0),0),"")</f>
        <v>14</v>
      </c>
      <c r="K24">
        <f>IFERROR(VLOOKUP($A24,[1]Sheet1!$A$8:$P$1264,MATCH(K$1,[1]Sheet1!$A$4:$P$4,0),0),"")</f>
        <v>0</v>
      </c>
      <c r="L24">
        <f>IFERROR(VLOOKUP($A24,[1]Sheet1!$A$8:$P$1264,MATCH(L$1,[1]Sheet1!$A$4:$P$4,0),0),"")</f>
        <v>14</v>
      </c>
      <c r="M24">
        <f>IFERROR(VLOOKUP($A24,[1]Sheet1!$A$8:$P$1264,MATCH(M$1,[1]Sheet1!$A$4:$P$4,0),0),"")</f>
        <v>0</v>
      </c>
      <c r="N24">
        <f>IFERROR(VLOOKUP($A24,[1]Sheet1!$A$8:$P$1264,MATCH(N$1,[1]Sheet1!$A$4:$P$4,0),0),"")</f>
        <v>14</v>
      </c>
      <c r="O24">
        <f>IFERROR(VLOOKUP($A24,[1]Sheet1!$A$8:$P$1264,MATCH(O$1,[1]Sheet1!$A$4:$P$4,0),0),"")</f>
        <v>0</v>
      </c>
      <c r="P24">
        <f>IFERROR(VLOOKUP($A24,[1]Sheet1!$A$8:$P$1264,MATCH(P$1,[1]Sheet1!$A$4:$P$4,0),0),"")</f>
        <v>14</v>
      </c>
      <c r="Q24">
        <f>IFERROR(VLOOKUP($A24,[1]Sheet1!$A$8:$P$1264,MATCH(Q$1,[1]Sheet1!$A$4:$P$4,0),0),"")</f>
        <v>0</v>
      </c>
      <c r="R24">
        <f>IFERROR(VLOOKUP($A24,[1]Sheet1!$A$8:$P$1264,MATCH(R$1,[1]Sheet1!$A$4:$P$4,0),0),"")</f>
        <v>14</v>
      </c>
      <c r="S24">
        <f>IFERROR(VLOOKUP($A24,[1]Sheet1!$A$8:$P$1264,MATCH(S$1,[1]Sheet1!$A$4:$P$4,0),0),"")</f>
        <v>0</v>
      </c>
    </row>
    <row r="25" spans="1:19">
      <c r="A25" t="str">
        <f t="shared" si="1"/>
        <v>BUF-PHX</v>
      </c>
      <c r="B25" s="2" t="s">
        <v>20</v>
      </c>
      <c r="C25" s="2" t="s">
        <v>22</v>
      </c>
      <c r="D25" t="s">
        <v>2</v>
      </c>
      <c r="E25" t="str">
        <f t="shared" si="2"/>
        <v>Southwest</v>
      </c>
      <c r="F25">
        <f>IFERROR(VLOOKUP($A25,[1]Sheet1!$A$8:$P$1264,MATCH(F$1,[1]Sheet1!$A$4:$P$4,0),0),"")</f>
        <v>7</v>
      </c>
      <c r="G25">
        <f>IFERROR(VLOOKUP($A25,[1]Sheet1!$A$8:$P$1264,MATCH(G$1,[1]Sheet1!$A$4:$P$4,0),0),"")</f>
        <v>0</v>
      </c>
      <c r="H25">
        <f>IFERROR(VLOOKUP($A25,[1]Sheet1!$A$8:$P$1264,MATCH(H$1,[1]Sheet1!$A$4:$P$4,0),0),"")</f>
        <v>7</v>
      </c>
      <c r="I25">
        <f>IFERROR(VLOOKUP($A25,[1]Sheet1!$A$8:$P$1264,MATCH(I$1,[1]Sheet1!$A$4:$P$4,0),0),"")</f>
        <v>0</v>
      </c>
      <c r="J25">
        <f>IFERROR(VLOOKUP($A25,[1]Sheet1!$A$8:$P$1264,MATCH(J$1,[1]Sheet1!$A$4:$P$4,0),0),"")</f>
        <v>7</v>
      </c>
      <c r="K25">
        <f>IFERROR(VLOOKUP($A25,[1]Sheet1!$A$8:$P$1264,MATCH(K$1,[1]Sheet1!$A$4:$P$4,0),0),"")</f>
        <v>0</v>
      </c>
      <c r="L25">
        <f>IFERROR(VLOOKUP($A25,[1]Sheet1!$A$8:$P$1264,MATCH(L$1,[1]Sheet1!$A$4:$P$4,0),0),"")</f>
        <v>7</v>
      </c>
      <c r="M25">
        <f>IFERROR(VLOOKUP($A25,[1]Sheet1!$A$8:$P$1264,MATCH(M$1,[1]Sheet1!$A$4:$P$4,0),0),"")</f>
        <v>0</v>
      </c>
      <c r="N25">
        <f>IFERROR(VLOOKUP($A25,[1]Sheet1!$A$8:$P$1264,MATCH(N$1,[1]Sheet1!$A$4:$P$4,0),0),"")</f>
        <v>7</v>
      </c>
      <c r="O25">
        <f>IFERROR(VLOOKUP($A25,[1]Sheet1!$A$8:$P$1264,MATCH(O$1,[1]Sheet1!$A$4:$P$4,0),0),"")</f>
        <v>0</v>
      </c>
      <c r="P25">
        <f>IFERROR(VLOOKUP($A25,[1]Sheet1!$A$8:$P$1264,MATCH(P$1,[1]Sheet1!$A$4:$P$4,0),0),"")</f>
        <v>7</v>
      </c>
      <c r="Q25">
        <f>IFERROR(VLOOKUP($A25,[1]Sheet1!$A$8:$P$1264,MATCH(Q$1,[1]Sheet1!$A$4:$P$4,0),0),"")</f>
        <v>0</v>
      </c>
      <c r="R25">
        <f>IFERROR(VLOOKUP($A25,[1]Sheet1!$A$8:$P$1264,MATCH(R$1,[1]Sheet1!$A$4:$P$4,0),0),"")</f>
        <v>7</v>
      </c>
      <c r="S25">
        <f>IFERROR(VLOOKUP($A25,[1]Sheet1!$A$8:$P$1264,MATCH(S$1,[1]Sheet1!$A$4:$P$4,0),0),"")</f>
        <v>0</v>
      </c>
    </row>
    <row r="26" spans="1:19">
      <c r="A26" t="str">
        <f t="shared" si="1"/>
        <v>BWI-DAY</v>
      </c>
      <c r="B26" s="2" t="s">
        <v>23</v>
      </c>
      <c r="C26" s="2" t="s">
        <v>7</v>
      </c>
      <c r="D26" t="s">
        <v>2</v>
      </c>
      <c r="E26" t="str">
        <f t="shared" si="2"/>
        <v>AirTran</v>
      </c>
      <c r="F26">
        <f>IFERROR(VLOOKUP($A26,[1]Sheet1!$A$8:$P$1264,MATCH(F$1,[1]Sheet1!$A$4:$P$4,0),0),"")</f>
        <v>0</v>
      </c>
      <c r="G26">
        <f>IFERROR(VLOOKUP($A26,[1]Sheet1!$A$8:$P$1264,MATCH(G$1,[1]Sheet1!$A$4:$P$4,0),0),"")</f>
        <v>14</v>
      </c>
      <c r="H26">
        <f>IFERROR(VLOOKUP($A26,[1]Sheet1!$A$8:$P$1264,MATCH(H$1,[1]Sheet1!$A$4:$P$4,0),0),"")</f>
        <v>0</v>
      </c>
      <c r="I26">
        <f>IFERROR(VLOOKUP($A26,[1]Sheet1!$A$8:$P$1264,MATCH(I$1,[1]Sheet1!$A$4:$P$4,0),0),"")</f>
        <v>14</v>
      </c>
      <c r="J26">
        <f>IFERROR(VLOOKUP($A26,[1]Sheet1!$A$8:$P$1264,MATCH(J$1,[1]Sheet1!$A$4:$P$4,0),0),"")</f>
        <v>0</v>
      </c>
      <c r="K26">
        <f>IFERROR(VLOOKUP($A26,[1]Sheet1!$A$8:$P$1264,MATCH(K$1,[1]Sheet1!$A$4:$P$4,0),0),"")</f>
        <v>14</v>
      </c>
      <c r="L26">
        <f>IFERROR(VLOOKUP($A26,[1]Sheet1!$A$8:$P$1264,MATCH(L$1,[1]Sheet1!$A$4:$P$4,0),0),"")</f>
        <v>0</v>
      </c>
      <c r="M26">
        <f>IFERROR(VLOOKUP($A26,[1]Sheet1!$A$8:$P$1264,MATCH(M$1,[1]Sheet1!$A$4:$P$4,0),0),"")</f>
        <v>19</v>
      </c>
      <c r="N26">
        <f>IFERROR(VLOOKUP($A26,[1]Sheet1!$A$8:$P$1264,MATCH(N$1,[1]Sheet1!$A$4:$P$4,0),0),"")</f>
        <v>0</v>
      </c>
      <c r="O26">
        <f>IFERROR(VLOOKUP($A26,[1]Sheet1!$A$8:$P$1264,MATCH(O$1,[1]Sheet1!$A$4:$P$4,0),0),"")</f>
        <v>19</v>
      </c>
      <c r="P26">
        <f>IFERROR(VLOOKUP($A26,[1]Sheet1!$A$8:$P$1264,MATCH(P$1,[1]Sheet1!$A$4:$P$4,0),0),"")</f>
        <v>0</v>
      </c>
      <c r="Q26">
        <f>IFERROR(VLOOKUP($A26,[1]Sheet1!$A$8:$P$1264,MATCH(Q$1,[1]Sheet1!$A$4:$P$4,0),0),"")</f>
        <v>20</v>
      </c>
      <c r="R26">
        <f>IFERROR(VLOOKUP($A26,[1]Sheet1!$A$8:$P$1264,MATCH(R$1,[1]Sheet1!$A$4:$P$4,0),0),"")</f>
        <v>0</v>
      </c>
      <c r="S26">
        <f>IFERROR(VLOOKUP($A26,[1]Sheet1!$A$8:$P$1264,MATCH(S$1,[1]Sheet1!$A$4:$P$4,0),0),"")</f>
        <v>20</v>
      </c>
    </row>
    <row r="27" spans="1:19">
      <c r="A27" t="str">
        <f t="shared" si="1"/>
        <v>BWI-FLL</v>
      </c>
      <c r="B27" s="2" t="s">
        <v>23</v>
      </c>
      <c r="C27" s="2" t="s">
        <v>1</v>
      </c>
      <c r="D27" t="s">
        <v>2</v>
      </c>
      <c r="E27" t="str">
        <f t="shared" si="2"/>
        <v>AirTran</v>
      </c>
      <c r="F27">
        <f>IFERROR(VLOOKUP($A27,[1]Sheet1!$A$8:$P$1264,MATCH(F$1,[1]Sheet1!$A$4:$P$4,0),0),"")</f>
        <v>34</v>
      </c>
      <c r="G27">
        <f>IFERROR(VLOOKUP($A27,[1]Sheet1!$A$8:$P$1264,MATCH(G$1,[1]Sheet1!$A$4:$P$4,0),0),"")</f>
        <v>42</v>
      </c>
      <c r="H27">
        <f>IFERROR(VLOOKUP($A27,[1]Sheet1!$A$8:$P$1264,MATCH(H$1,[1]Sheet1!$A$4:$P$4,0),0),"")</f>
        <v>34</v>
      </c>
      <c r="I27">
        <f>IFERROR(VLOOKUP($A27,[1]Sheet1!$A$8:$P$1264,MATCH(I$1,[1]Sheet1!$A$4:$P$4,0),0),"")</f>
        <v>42</v>
      </c>
      <c r="J27">
        <f>IFERROR(VLOOKUP($A27,[1]Sheet1!$A$8:$P$1264,MATCH(J$1,[1]Sheet1!$A$4:$P$4,0),0),"")</f>
        <v>34</v>
      </c>
      <c r="K27">
        <f>IFERROR(VLOOKUP($A27,[1]Sheet1!$A$8:$P$1264,MATCH(K$1,[1]Sheet1!$A$4:$P$4,0),0),"")</f>
        <v>41</v>
      </c>
      <c r="L27">
        <f>IFERROR(VLOOKUP($A27,[1]Sheet1!$A$8:$P$1264,MATCH(L$1,[1]Sheet1!$A$4:$P$4,0),0),"")</f>
        <v>43</v>
      </c>
      <c r="M27">
        <f>IFERROR(VLOOKUP($A27,[1]Sheet1!$A$8:$P$1264,MATCH(M$1,[1]Sheet1!$A$4:$P$4,0),0),"")</f>
        <v>34</v>
      </c>
      <c r="N27">
        <f>IFERROR(VLOOKUP($A27,[1]Sheet1!$A$8:$P$1264,MATCH(N$1,[1]Sheet1!$A$4:$P$4,0),0),"")</f>
        <v>43</v>
      </c>
      <c r="O27">
        <f>IFERROR(VLOOKUP($A27,[1]Sheet1!$A$8:$P$1264,MATCH(O$1,[1]Sheet1!$A$4:$P$4,0),0),"")</f>
        <v>34</v>
      </c>
      <c r="P27">
        <f>IFERROR(VLOOKUP($A27,[1]Sheet1!$A$8:$P$1264,MATCH(P$1,[1]Sheet1!$A$4:$P$4,0),0),"")</f>
        <v>25</v>
      </c>
      <c r="Q27">
        <f>IFERROR(VLOOKUP($A27,[1]Sheet1!$A$8:$P$1264,MATCH(Q$1,[1]Sheet1!$A$4:$P$4,0),0),"")</f>
        <v>50</v>
      </c>
      <c r="R27">
        <f>IFERROR(VLOOKUP($A27,[1]Sheet1!$A$8:$P$1264,MATCH(R$1,[1]Sheet1!$A$4:$P$4,0),0),"")</f>
        <v>25</v>
      </c>
      <c r="S27">
        <f>IFERROR(VLOOKUP($A27,[1]Sheet1!$A$8:$P$1264,MATCH(S$1,[1]Sheet1!$A$4:$P$4,0),0),"")</f>
        <v>50</v>
      </c>
    </row>
    <row r="28" spans="1:19">
      <c r="A28" t="str">
        <f t="shared" si="1"/>
        <v>BWI-HOU</v>
      </c>
      <c r="B28" s="2" t="s">
        <v>23</v>
      </c>
      <c r="C28" s="2" t="s">
        <v>9</v>
      </c>
      <c r="D28" t="s">
        <v>2</v>
      </c>
      <c r="E28" t="str">
        <f t="shared" si="2"/>
        <v>Southwest</v>
      </c>
      <c r="F28">
        <f>IFERROR(VLOOKUP($A28,[1]Sheet1!$A$8:$P$1264,MATCH(F$1,[1]Sheet1!$A$4:$P$4,0),0),"")</f>
        <v>19</v>
      </c>
      <c r="G28">
        <f>IFERROR(VLOOKUP($A28,[1]Sheet1!$A$8:$P$1264,MATCH(G$1,[1]Sheet1!$A$4:$P$4,0),0),"")</f>
        <v>0</v>
      </c>
      <c r="H28">
        <f>IFERROR(VLOOKUP($A28,[1]Sheet1!$A$8:$P$1264,MATCH(H$1,[1]Sheet1!$A$4:$P$4,0),0),"")</f>
        <v>19</v>
      </c>
      <c r="I28">
        <f>IFERROR(VLOOKUP($A28,[1]Sheet1!$A$8:$P$1264,MATCH(I$1,[1]Sheet1!$A$4:$P$4,0),0),"")</f>
        <v>0</v>
      </c>
      <c r="J28">
        <f>IFERROR(VLOOKUP($A28,[1]Sheet1!$A$8:$P$1264,MATCH(J$1,[1]Sheet1!$A$4:$P$4,0),0),"")</f>
        <v>21</v>
      </c>
      <c r="K28">
        <f>IFERROR(VLOOKUP($A28,[1]Sheet1!$A$8:$P$1264,MATCH(K$1,[1]Sheet1!$A$4:$P$4,0),0),"")</f>
        <v>0</v>
      </c>
      <c r="L28">
        <f>IFERROR(VLOOKUP($A28,[1]Sheet1!$A$8:$P$1264,MATCH(L$1,[1]Sheet1!$A$4:$P$4,0),0),"")</f>
        <v>27</v>
      </c>
      <c r="M28">
        <f>IFERROR(VLOOKUP($A28,[1]Sheet1!$A$8:$P$1264,MATCH(M$1,[1]Sheet1!$A$4:$P$4,0),0),"")</f>
        <v>0</v>
      </c>
      <c r="N28">
        <f>IFERROR(VLOOKUP($A28,[1]Sheet1!$A$8:$P$1264,MATCH(N$1,[1]Sheet1!$A$4:$P$4,0),0),"")</f>
        <v>27</v>
      </c>
      <c r="O28">
        <f>IFERROR(VLOOKUP($A28,[1]Sheet1!$A$8:$P$1264,MATCH(O$1,[1]Sheet1!$A$4:$P$4,0),0),"")</f>
        <v>0</v>
      </c>
      <c r="P28">
        <f>IFERROR(VLOOKUP($A28,[1]Sheet1!$A$8:$P$1264,MATCH(P$1,[1]Sheet1!$A$4:$P$4,0),0),"")</f>
        <v>27</v>
      </c>
      <c r="Q28">
        <f>IFERROR(VLOOKUP($A28,[1]Sheet1!$A$8:$P$1264,MATCH(Q$1,[1]Sheet1!$A$4:$P$4,0),0),"")</f>
        <v>0</v>
      </c>
      <c r="R28">
        <f>IFERROR(VLOOKUP($A28,[1]Sheet1!$A$8:$P$1264,MATCH(R$1,[1]Sheet1!$A$4:$P$4,0),0),"")</f>
        <v>27</v>
      </c>
      <c r="S28">
        <f>IFERROR(VLOOKUP($A28,[1]Sheet1!$A$8:$P$1264,MATCH(S$1,[1]Sheet1!$A$4:$P$4,0),0),"")</f>
        <v>0</v>
      </c>
    </row>
    <row r="29" spans="1:19">
      <c r="A29" t="str">
        <f t="shared" si="1"/>
        <v>BWI-IND</v>
      </c>
      <c r="B29" s="2" t="s">
        <v>23</v>
      </c>
      <c r="C29" s="2" t="s">
        <v>24</v>
      </c>
      <c r="D29" t="s">
        <v>2</v>
      </c>
      <c r="E29" t="str">
        <f t="shared" si="2"/>
        <v>Southwest</v>
      </c>
      <c r="F29">
        <f>IFERROR(VLOOKUP($A29,[1]Sheet1!$A$8:$P$1264,MATCH(F$1,[1]Sheet1!$A$4:$P$4,0),0),"")</f>
        <v>18</v>
      </c>
      <c r="G29">
        <f>IFERROR(VLOOKUP($A29,[1]Sheet1!$A$8:$P$1264,MATCH(G$1,[1]Sheet1!$A$4:$P$4,0),0),"")</f>
        <v>0</v>
      </c>
      <c r="H29">
        <f>IFERROR(VLOOKUP($A29,[1]Sheet1!$A$8:$P$1264,MATCH(H$1,[1]Sheet1!$A$4:$P$4,0),0),"")</f>
        <v>18</v>
      </c>
      <c r="I29">
        <f>IFERROR(VLOOKUP($A29,[1]Sheet1!$A$8:$P$1264,MATCH(I$1,[1]Sheet1!$A$4:$P$4,0),0),"")</f>
        <v>0</v>
      </c>
      <c r="J29">
        <f>IFERROR(VLOOKUP($A29,[1]Sheet1!$A$8:$P$1264,MATCH(J$1,[1]Sheet1!$A$4:$P$4,0),0),"")</f>
        <v>27</v>
      </c>
      <c r="K29">
        <f>IFERROR(VLOOKUP($A29,[1]Sheet1!$A$8:$P$1264,MATCH(K$1,[1]Sheet1!$A$4:$P$4,0),0),"")</f>
        <v>0</v>
      </c>
      <c r="L29">
        <f>IFERROR(VLOOKUP($A29,[1]Sheet1!$A$8:$P$1264,MATCH(L$1,[1]Sheet1!$A$4:$P$4,0),0),"")</f>
        <v>27</v>
      </c>
      <c r="M29">
        <f>IFERROR(VLOOKUP($A29,[1]Sheet1!$A$8:$P$1264,MATCH(M$1,[1]Sheet1!$A$4:$P$4,0),0),"")</f>
        <v>0</v>
      </c>
      <c r="N29">
        <f>IFERROR(VLOOKUP($A29,[1]Sheet1!$A$8:$P$1264,MATCH(N$1,[1]Sheet1!$A$4:$P$4,0),0),"")</f>
        <v>27</v>
      </c>
      <c r="O29">
        <f>IFERROR(VLOOKUP($A29,[1]Sheet1!$A$8:$P$1264,MATCH(O$1,[1]Sheet1!$A$4:$P$4,0),0),"")</f>
        <v>0</v>
      </c>
      <c r="P29">
        <f>IFERROR(VLOOKUP($A29,[1]Sheet1!$A$8:$P$1264,MATCH(P$1,[1]Sheet1!$A$4:$P$4,0),0),"")</f>
        <v>26</v>
      </c>
      <c r="Q29">
        <f>IFERROR(VLOOKUP($A29,[1]Sheet1!$A$8:$P$1264,MATCH(Q$1,[1]Sheet1!$A$4:$P$4,0),0),"")</f>
        <v>0</v>
      </c>
      <c r="R29">
        <f>IFERROR(VLOOKUP($A29,[1]Sheet1!$A$8:$P$1264,MATCH(R$1,[1]Sheet1!$A$4:$P$4,0),0),"")</f>
        <v>26</v>
      </c>
      <c r="S29">
        <f>IFERROR(VLOOKUP($A29,[1]Sheet1!$A$8:$P$1264,MATCH(S$1,[1]Sheet1!$A$4:$P$4,0),0),"")</f>
        <v>0</v>
      </c>
    </row>
    <row r="30" spans="1:19">
      <c r="A30" t="str">
        <f t="shared" si="1"/>
        <v>BWI-JAX</v>
      </c>
      <c r="B30" s="2" t="s">
        <v>23</v>
      </c>
      <c r="C30" s="2" t="s">
        <v>25</v>
      </c>
      <c r="D30" t="s">
        <v>2</v>
      </c>
      <c r="E30" t="str">
        <f t="shared" si="2"/>
        <v>Southwest</v>
      </c>
      <c r="F30">
        <f>IFERROR(VLOOKUP($A30,[1]Sheet1!$A$8:$P$1264,MATCH(F$1,[1]Sheet1!$A$4:$P$4,0),0),"")</f>
        <v>21</v>
      </c>
      <c r="G30">
        <f>IFERROR(VLOOKUP($A30,[1]Sheet1!$A$8:$P$1264,MATCH(G$1,[1]Sheet1!$A$4:$P$4,0),0),"")</f>
        <v>0</v>
      </c>
      <c r="H30">
        <f>IFERROR(VLOOKUP($A30,[1]Sheet1!$A$8:$P$1264,MATCH(H$1,[1]Sheet1!$A$4:$P$4,0),0),"")</f>
        <v>21</v>
      </c>
      <c r="I30">
        <f>IFERROR(VLOOKUP($A30,[1]Sheet1!$A$8:$P$1264,MATCH(I$1,[1]Sheet1!$A$4:$P$4,0),0),"")</f>
        <v>0</v>
      </c>
      <c r="J30">
        <f>IFERROR(VLOOKUP($A30,[1]Sheet1!$A$8:$P$1264,MATCH(J$1,[1]Sheet1!$A$4:$P$4,0),0),"")</f>
        <v>26</v>
      </c>
      <c r="K30">
        <f>IFERROR(VLOOKUP($A30,[1]Sheet1!$A$8:$P$1264,MATCH(K$1,[1]Sheet1!$A$4:$P$4,0),0),"")</f>
        <v>0</v>
      </c>
      <c r="L30">
        <f>IFERROR(VLOOKUP($A30,[1]Sheet1!$A$8:$P$1264,MATCH(L$1,[1]Sheet1!$A$4:$P$4,0),0),"")</f>
        <v>26</v>
      </c>
      <c r="M30">
        <f>IFERROR(VLOOKUP($A30,[1]Sheet1!$A$8:$P$1264,MATCH(M$1,[1]Sheet1!$A$4:$P$4,0),0),"")</f>
        <v>0</v>
      </c>
      <c r="N30">
        <f>IFERROR(VLOOKUP($A30,[1]Sheet1!$A$8:$P$1264,MATCH(N$1,[1]Sheet1!$A$4:$P$4,0),0),"")</f>
        <v>26</v>
      </c>
      <c r="O30">
        <f>IFERROR(VLOOKUP($A30,[1]Sheet1!$A$8:$P$1264,MATCH(O$1,[1]Sheet1!$A$4:$P$4,0),0),"")</f>
        <v>0</v>
      </c>
      <c r="P30">
        <f>IFERROR(VLOOKUP($A30,[1]Sheet1!$A$8:$P$1264,MATCH(P$1,[1]Sheet1!$A$4:$P$4,0),0),"")</f>
        <v>26</v>
      </c>
      <c r="Q30">
        <f>IFERROR(VLOOKUP($A30,[1]Sheet1!$A$8:$P$1264,MATCH(Q$1,[1]Sheet1!$A$4:$P$4,0),0),"")</f>
        <v>0</v>
      </c>
      <c r="R30">
        <f>IFERROR(VLOOKUP($A30,[1]Sheet1!$A$8:$P$1264,MATCH(R$1,[1]Sheet1!$A$4:$P$4,0),0),"")</f>
        <v>26</v>
      </c>
      <c r="S30">
        <f>IFERROR(VLOOKUP($A30,[1]Sheet1!$A$8:$P$1264,MATCH(S$1,[1]Sheet1!$A$4:$P$4,0),0),"")</f>
        <v>0</v>
      </c>
    </row>
    <row r="31" spans="1:19">
      <c r="A31" t="str">
        <f t="shared" si="1"/>
        <v>BWI-LAS</v>
      </c>
      <c r="B31" s="2" t="s">
        <v>23</v>
      </c>
      <c r="C31" s="2" t="s">
        <v>21</v>
      </c>
      <c r="D31" t="s">
        <v>2</v>
      </c>
      <c r="E31" t="str">
        <f t="shared" si="2"/>
        <v>Southwest</v>
      </c>
      <c r="F31">
        <f>IFERROR(VLOOKUP($A31,[1]Sheet1!$A$8:$P$1264,MATCH(F$1,[1]Sheet1!$A$4:$P$4,0),0),"")</f>
        <v>14</v>
      </c>
      <c r="G31">
        <f>IFERROR(VLOOKUP($A31,[1]Sheet1!$A$8:$P$1264,MATCH(G$1,[1]Sheet1!$A$4:$P$4,0),0),"")</f>
        <v>0</v>
      </c>
      <c r="H31">
        <f>IFERROR(VLOOKUP($A31,[1]Sheet1!$A$8:$P$1264,MATCH(H$1,[1]Sheet1!$A$4:$P$4,0),0),"")</f>
        <v>14</v>
      </c>
      <c r="I31">
        <f>IFERROR(VLOOKUP($A31,[1]Sheet1!$A$8:$P$1264,MATCH(I$1,[1]Sheet1!$A$4:$P$4,0),0),"")</f>
        <v>0</v>
      </c>
      <c r="J31">
        <f>IFERROR(VLOOKUP($A31,[1]Sheet1!$A$8:$P$1264,MATCH(J$1,[1]Sheet1!$A$4:$P$4,0),0),"")</f>
        <v>21</v>
      </c>
      <c r="K31">
        <f>IFERROR(VLOOKUP($A31,[1]Sheet1!$A$8:$P$1264,MATCH(K$1,[1]Sheet1!$A$4:$P$4,0),0),"")</f>
        <v>0</v>
      </c>
      <c r="L31">
        <f>IFERROR(VLOOKUP($A31,[1]Sheet1!$A$8:$P$1264,MATCH(L$1,[1]Sheet1!$A$4:$P$4,0),0),"")</f>
        <v>27</v>
      </c>
      <c r="M31">
        <f>IFERROR(VLOOKUP($A31,[1]Sheet1!$A$8:$P$1264,MATCH(M$1,[1]Sheet1!$A$4:$P$4,0),0),"")</f>
        <v>0</v>
      </c>
      <c r="N31">
        <f>IFERROR(VLOOKUP($A31,[1]Sheet1!$A$8:$P$1264,MATCH(N$1,[1]Sheet1!$A$4:$P$4,0),0),"")</f>
        <v>27</v>
      </c>
      <c r="O31">
        <f>IFERROR(VLOOKUP($A31,[1]Sheet1!$A$8:$P$1264,MATCH(O$1,[1]Sheet1!$A$4:$P$4,0),0),"")</f>
        <v>0</v>
      </c>
      <c r="P31">
        <f>IFERROR(VLOOKUP($A31,[1]Sheet1!$A$8:$P$1264,MATCH(P$1,[1]Sheet1!$A$4:$P$4,0),0),"")</f>
        <v>26</v>
      </c>
      <c r="Q31">
        <f>IFERROR(VLOOKUP($A31,[1]Sheet1!$A$8:$P$1264,MATCH(Q$1,[1]Sheet1!$A$4:$P$4,0),0),"")</f>
        <v>0</v>
      </c>
      <c r="R31">
        <f>IFERROR(VLOOKUP($A31,[1]Sheet1!$A$8:$P$1264,MATCH(R$1,[1]Sheet1!$A$4:$P$4,0),0),"")</f>
        <v>26</v>
      </c>
      <c r="S31">
        <f>IFERROR(VLOOKUP($A31,[1]Sheet1!$A$8:$P$1264,MATCH(S$1,[1]Sheet1!$A$4:$P$4,0),0),"")</f>
        <v>0</v>
      </c>
    </row>
    <row r="32" spans="1:19">
      <c r="A32" t="str">
        <f t="shared" si="1"/>
        <v>BWI-MCI</v>
      </c>
      <c r="B32" s="2" t="s">
        <v>23</v>
      </c>
      <c r="C32" s="2" t="s">
        <v>26</v>
      </c>
      <c r="D32" t="s">
        <v>2</v>
      </c>
      <c r="E32" t="str">
        <f t="shared" si="2"/>
        <v>Southwest</v>
      </c>
      <c r="F32">
        <f>IFERROR(VLOOKUP($A32,[1]Sheet1!$A$8:$P$1264,MATCH(F$1,[1]Sheet1!$A$4:$P$4,0),0),"")</f>
        <v>12</v>
      </c>
      <c r="G32">
        <f>IFERROR(VLOOKUP($A32,[1]Sheet1!$A$8:$P$1264,MATCH(G$1,[1]Sheet1!$A$4:$P$4,0),0),"")</f>
        <v>0</v>
      </c>
      <c r="H32">
        <f>IFERROR(VLOOKUP($A32,[1]Sheet1!$A$8:$P$1264,MATCH(H$1,[1]Sheet1!$A$4:$P$4,0),0),"")</f>
        <v>12</v>
      </c>
      <c r="I32">
        <f>IFERROR(VLOOKUP($A32,[1]Sheet1!$A$8:$P$1264,MATCH(I$1,[1]Sheet1!$A$4:$P$4,0),0),"")</f>
        <v>0</v>
      </c>
      <c r="J32">
        <f>IFERROR(VLOOKUP($A32,[1]Sheet1!$A$8:$P$1264,MATCH(J$1,[1]Sheet1!$A$4:$P$4,0),0),"")</f>
        <v>20</v>
      </c>
      <c r="K32">
        <f>IFERROR(VLOOKUP($A32,[1]Sheet1!$A$8:$P$1264,MATCH(K$1,[1]Sheet1!$A$4:$P$4,0),0),"")</f>
        <v>0</v>
      </c>
      <c r="L32">
        <f>IFERROR(VLOOKUP($A32,[1]Sheet1!$A$8:$P$1264,MATCH(L$1,[1]Sheet1!$A$4:$P$4,0),0),"")</f>
        <v>20</v>
      </c>
      <c r="M32">
        <f>IFERROR(VLOOKUP($A32,[1]Sheet1!$A$8:$P$1264,MATCH(M$1,[1]Sheet1!$A$4:$P$4,0),0),"")</f>
        <v>0</v>
      </c>
      <c r="N32">
        <f>IFERROR(VLOOKUP($A32,[1]Sheet1!$A$8:$P$1264,MATCH(N$1,[1]Sheet1!$A$4:$P$4,0),0),"")</f>
        <v>20</v>
      </c>
      <c r="O32">
        <f>IFERROR(VLOOKUP($A32,[1]Sheet1!$A$8:$P$1264,MATCH(O$1,[1]Sheet1!$A$4:$P$4,0),0),"")</f>
        <v>0</v>
      </c>
      <c r="P32">
        <f>IFERROR(VLOOKUP($A32,[1]Sheet1!$A$8:$P$1264,MATCH(P$1,[1]Sheet1!$A$4:$P$4,0),0),"")</f>
        <v>21</v>
      </c>
      <c r="Q32">
        <f>IFERROR(VLOOKUP($A32,[1]Sheet1!$A$8:$P$1264,MATCH(Q$1,[1]Sheet1!$A$4:$P$4,0),0),"")</f>
        <v>0</v>
      </c>
      <c r="R32">
        <f>IFERROR(VLOOKUP($A32,[1]Sheet1!$A$8:$P$1264,MATCH(R$1,[1]Sheet1!$A$4:$P$4,0),0),"")</f>
        <v>21</v>
      </c>
      <c r="S32">
        <f>IFERROR(VLOOKUP($A32,[1]Sheet1!$A$8:$P$1264,MATCH(S$1,[1]Sheet1!$A$4:$P$4,0),0),"")</f>
        <v>0</v>
      </c>
    </row>
    <row r="33" spans="1:19">
      <c r="A33" t="str">
        <f t="shared" si="1"/>
        <v>BWI-MCO</v>
      </c>
      <c r="B33" s="2" t="s">
        <v>23</v>
      </c>
      <c r="C33" s="2" t="s">
        <v>27</v>
      </c>
      <c r="D33" t="s">
        <v>2</v>
      </c>
      <c r="E33" t="str">
        <f t="shared" si="2"/>
        <v>Southwest</v>
      </c>
      <c r="F33">
        <f>IFERROR(VLOOKUP($A33,[1]Sheet1!$A$8:$P$1264,MATCH(F$1,[1]Sheet1!$A$4:$P$4,0),0),"")</f>
        <v>48</v>
      </c>
      <c r="G33">
        <f>IFERROR(VLOOKUP($A33,[1]Sheet1!$A$8:$P$1264,MATCH(G$1,[1]Sheet1!$A$4:$P$4,0),0),"")</f>
        <v>27</v>
      </c>
      <c r="H33">
        <f>IFERROR(VLOOKUP($A33,[1]Sheet1!$A$8:$P$1264,MATCH(H$1,[1]Sheet1!$A$4:$P$4,0),0),"")</f>
        <v>48</v>
      </c>
      <c r="I33">
        <f>IFERROR(VLOOKUP($A33,[1]Sheet1!$A$8:$P$1264,MATCH(I$1,[1]Sheet1!$A$4:$P$4,0),0),"")</f>
        <v>27</v>
      </c>
      <c r="J33">
        <f>IFERROR(VLOOKUP($A33,[1]Sheet1!$A$8:$P$1264,MATCH(J$1,[1]Sheet1!$A$4:$P$4,0),0),"")</f>
        <v>50</v>
      </c>
      <c r="K33">
        <f>IFERROR(VLOOKUP($A33,[1]Sheet1!$A$8:$P$1264,MATCH(K$1,[1]Sheet1!$A$4:$P$4,0),0),"")</f>
        <v>34</v>
      </c>
      <c r="L33">
        <f>IFERROR(VLOOKUP($A33,[1]Sheet1!$A$8:$P$1264,MATCH(L$1,[1]Sheet1!$A$4:$P$4,0),0),"")</f>
        <v>48</v>
      </c>
      <c r="M33">
        <f>IFERROR(VLOOKUP($A33,[1]Sheet1!$A$8:$P$1264,MATCH(M$1,[1]Sheet1!$A$4:$P$4,0),0),"")</f>
        <v>35</v>
      </c>
      <c r="N33">
        <f>IFERROR(VLOOKUP($A33,[1]Sheet1!$A$8:$P$1264,MATCH(N$1,[1]Sheet1!$A$4:$P$4,0),0),"")</f>
        <v>48</v>
      </c>
      <c r="O33">
        <f>IFERROR(VLOOKUP($A33,[1]Sheet1!$A$8:$P$1264,MATCH(O$1,[1]Sheet1!$A$4:$P$4,0),0),"")</f>
        <v>35</v>
      </c>
      <c r="P33">
        <f>IFERROR(VLOOKUP($A33,[1]Sheet1!$A$8:$P$1264,MATCH(P$1,[1]Sheet1!$A$4:$P$4,0),0),"")</f>
        <v>26</v>
      </c>
      <c r="Q33">
        <f>IFERROR(VLOOKUP($A33,[1]Sheet1!$A$8:$P$1264,MATCH(Q$1,[1]Sheet1!$A$4:$P$4,0),0),"")</f>
        <v>47</v>
      </c>
      <c r="R33">
        <f>IFERROR(VLOOKUP($A33,[1]Sheet1!$A$8:$P$1264,MATCH(R$1,[1]Sheet1!$A$4:$P$4,0),0),"")</f>
        <v>26</v>
      </c>
      <c r="S33">
        <f>IFERROR(VLOOKUP($A33,[1]Sheet1!$A$8:$P$1264,MATCH(S$1,[1]Sheet1!$A$4:$P$4,0),0),"")</f>
        <v>47</v>
      </c>
    </row>
    <row r="34" spans="1:19">
      <c r="A34" t="str">
        <f t="shared" si="1"/>
        <v>BWI-MDW</v>
      </c>
      <c r="B34" s="2" t="s">
        <v>23</v>
      </c>
      <c r="C34" s="2" t="s">
        <v>10</v>
      </c>
      <c r="D34" t="s">
        <v>2</v>
      </c>
      <c r="E34" t="str">
        <f t="shared" si="2"/>
        <v>Southwest</v>
      </c>
      <c r="F34">
        <f>IFERROR(VLOOKUP($A34,[1]Sheet1!$A$8:$P$1264,MATCH(F$1,[1]Sheet1!$A$4:$P$4,0),0),"")</f>
        <v>39</v>
      </c>
      <c r="G34">
        <f>IFERROR(VLOOKUP($A34,[1]Sheet1!$A$8:$P$1264,MATCH(G$1,[1]Sheet1!$A$4:$P$4,0),0),"")</f>
        <v>0</v>
      </c>
      <c r="H34">
        <f>IFERROR(VLOOKUP($A34,[1]Sheet1!$A$8:$P$1264,MATCH(H$1,[1]Sheet1!$A$4:$P$4,0),0),"")</f>
        <v>39</v>
      </c>
      <c r="I34">
        <f>IFERROR(VLOOKUP($A34,[1]Sheet1!$A$8:$P$1264,MATCH(I$1,[1]Sheet1!$A$4:$P$4,0),0),"")</f>
        <v>0</v>
      </c>
      <c r="J34">
        <f>IFERROR(VLOOKUP($A34,[1]Sheet1!$A$8:$P$1264,MATCH(J$1,[1]Sheet1!$A$4:$P$4,0),0),"")</f>
        <v>46</v>
      </c>
      <c r="K34">
        <f>IFERROR(VLOOKUP($A34,[1]Sheet1!$A$8:$P$1264,MATCH(K$1,[1]Sheet1!$A$4:$P$4,0),0),"")</f>
        <v>0</v>
      </c>
      <c r="L34">
        <f>IFERROR(VLOOKUP($A34,[1]Sheet1!$A$8:$P$1264,MATCH(L$1,[1]Sheet1!$A$4:$P$4,0),0),"")</f>
        <v>46</v>
      </c>
      <c r="M34">
        <f>IFERROR(VLOOKUP($A34,[1]Sheet1!$A$8:$P$1264,MATCH(M$1,[1]Sheet1!$A$4:$P$4,0),0),"")</f>
        <v>0</v>
      </c>
      <c r="N34">
        <f>IFERROR(VLOOKUP($A34,[1]Sheet1!$A$8:$P$1264,MATCH(N$1,[1]Sheet1!$A$4:$P$4,0),0),"")</f>
        <v>46</v>
      </c>
      <c r="O34">
        <f>IFERROR(VLOOKUP($A34,[1]Sheet1!$A$8:$P$1264,MATCH(O$1,[1]Sheet1!$A$4:$P$4,0),0),"")</f>
        <v>0</v>
      </c>
      <c r="P34">
        <f>IFERROR(VLOOKUP($A34,[1]Sheet1!$A$8:$P$1264,MATCH(P$1,[1]Sheet1!$A$4:$P$4,0),0),"")</f>
        <v>49</v>
      </c>
      <c r="Q34">
        <f>IFERROR(VLOOKUP($A34,[1]Sheet1!$A$8:$P$1264,MATCH(Q$1,[1]Sheet1!$A$4:$P$4,0),0),"")</f>
        <v>0</v>
      </c>
      <c r="R34">
        <f>IFERROR(VLOOKUP($A34,[1]Sheet1!$A$8:$P$1264,MATCH(R$1,[1]Sheet1!$A$4:$P$4,0),0),"")</f>
        <v>49</v>
      </c>
      <c r="S34">
        <f>IFERROR(VLOOKUP($A34,[1]Sheet1!$A$8:$P$1264,MATCH(S$1,[1]Sheet1!$A$4:$P$4,0),0),"")</f>
        <v>0</v>
      </c>
    </row>
    <row r="35" spans="1:19">
      <c r="A35" t="str">
        <f t="shared" si="1"/>
        <v>BWI-MKE</v>
      </c>
      <c r="B35" s="2" t="s">
        <v>23</v>
      </c>
      <c r="C35" s="2" t="s">
        <v>11</v>
      </c>
      <c r="D35" t="s">
        <v>2</v>
      </c>
      <c r="E35" t="str">
        <f t="shared" si="2"/>
        <v>Southwest</v>
      </c>
      <c r="F35">
        <f>IFERROR(VLOOKUP($A35,[1]Sheet1!$A$8:$P$1264,MATCH(F$1,[1]Sheet1!$A$4:$P$4,0),0),"")</f>
        <v>19</v>
      </c>
      <c r="G35">
        <f>IFERROR(VLOOKUP($A35,[1]Sheet1!$A$8:$P$1264,MATCH(G$1,[1]Sheet1!$A$4:$P$4,0),0),"")</f>
        <v>0</v>
      </c>
      <c r="H35">
        <f>IFERROR(VLOOKUP($A35,[1]Sheet1!$A$8:$P$1264,MATCH(H$1,[1]Sheet1!$A$4:$P$4,0),0),"")</f>
        <v>19</v>
      </c>
      <c r="I35">
        <f>IFERROR(VLOOKUP($A35,[1]Sheet1!$A$8:$P$1264,MATCH(I$1,[1]Sheet1!$A$4:$P$4,0),0),"")</f>
        <v>0</v>
      </c>
      <c r="J35">
        <f>IFERROR(VLOOKUP($A35,[1]Sheet1!$A$8:$P$1264,MATCH(J$1,[1]Sheet1!$A$4:$P$4,0),0),"")</f>
        <v>20</v>
      </c>
      <c r="K35">
        <f>IFERROR(VLOOKUP($A35,[1]Sheet1!$A$8:$P$1264,MATCH(K$1,[1]Sheet1!$A$4:$P$4,0),0),"")</f>
        <v>0</v>
      </c>
      <c r="L35">
        <f>IFERROR(VLOOKUP($A35,[1]Sheet1!$A$8:$P$1264,MATCH(L$1,[1]Sheet1!$A$4:$P$4,0),0),"")</f>
        <v>19</v>
      </c>
      <c r="M35">
        <f>IFERROR(VLOOKUP($A35,[1]Sheet1!$A$8:$P$1264,MATCH(M$1,[1]Sheet1!$A$4:$P$4,0),0),"")</f>
        <v>0</v>
      </c>
      <c r="N35">
        <f>IFERROR(VLOOKUP($A35,[1]Sheet1!$A$8:$P$1264,MATCH(N$1,[1]Sheet1!$A$4:$P$4,0),0),"")</f>
        <v>19</v>
      </c>
      <c r="O35">
        <f>IFERROR(VLOOKUP($A35,[1]Sheet1!$A$8:$P$1264,MATCH(O$1,[1]Sheet1!$A$4:$P$4,0),0),"")</f>
        <v>0</v>
      </c>
      <c r="P35">
        <f>IFERROR(VLOOKUP($A35,[1]Sheet1!$A$8:$P$1264,MATCH(P$1,[1]Sheet1!$A$4:$P$4,0),0),"")</f>
        <v>21</v>
      </c>
      <c r="Q35">
        <f>IFERROR(VLOOKUP($A35,[1]Sheet1!$A$8:$P$1264,MATCH(Q$1,[1]Sheet1!$A$4:$P$4,0),0),"")</f>
        <v>0</v>
      </c>
      <c r="R35">
        <f>IFERROR(VLOOKUP($A35,[1]Sheet1!$A$8:$P$1264,MATCH(R$1,[1]Sheet1!$A$4:$P$4,0),0),"")</f>
        <v>21</v>
      </c>
      <c r="S35">
        <f>IFERROR(VLOOKUP($A35,[1]Sheet1!$A$8:$P$1264,MATCH(S$1,[1]Sheet1!$A$4:$P$4,0),0),"")</f>
        <v>0</v>
      </c>
    </row>
    <row r="36" spans="1:19">
      <c r="A36" t="str">
        <f t="shared" si="1"/>
        <v>BWI-MSY</v>
      </c>
      <c r="B36" s="2" t="s">
        <v>23</v>
      </c>
      <c r="C36" s="2" t="s">
        <v>3</v>
      </c>
      <c r="D36" t="s">
        <v>2</v>
      </c>
      <c r="E36" t="str">
        <f t="shared" si="2"/>
        <v>Southwest</v>
      </c>
      <c r="F36">
        <f>IFERROR(VLOOKUP($A36,[1]Sheet1!$A$8:$P$1264,MATCH(F$1,[1]Sheet1!$A$4:$P$4,0),0),"")</f>
        <v>14</v>
      </c>
      <c r="G36">
        <f>IFERROR(VLOOKUP($A36,[1]Sheet1!$A$8:$P$1264,MATCH(G$1,[1]Sheet1!$A$4:$P$4,0),0),"")</f>
        <v>0</v>
      </c>
      <c r="H36">
        <f>IFERROR(VLOOKUP($A36,[1]Sheet1!$A$8:$P$1264,MATCH(H$1,[1]Sheet1!$A$4:$P$4,0),0),"")</f>
        <v>14</v>
      </c>
      <c r="I36">
        <f>IFERROR(VLOOKUP($A36,[1]Sheet1!$A$8:$P$1264,MATCH(I$1,[1]Sheet1!$A$4:$P$4,0),0),"")</f>
        <v>0</v>
      </c>
      <c r="J36">
        <f>IFERROR(VLOOKUP($A36,[1]Sheet1!$A$8:$P$1264,MATCH(J$1,[1]Sheet1!$A$4:$P$4,0),0),"")</f>
        <v>21</v>
      </c>
      <c r="K36">
        <f>IFERROR(VLOOKUP($A36,[1]Sheet1!$A$8:$P$1264,MATCH(K$1,[1]Sheet1!$A$4:$P$4,0),0),"")</f>
        <v>0</v>
      </c>
      <c r="L36">
        <f>IFERROR(VLOOKUP($A36,[1]Sheet1!$A$8:$P$1264,MATCH(L$1,[1]Sheet1!$A$4:$P$4,0),0),"")</f>
        <v>21</v>
      </c>
      <c r="M36">
        <f>IFERROR(VLOOKUP($A36,[1]Sheet1!$A$8:$P$1264,MATCH(M$1,[1]Sheet1!$A$4:$P$4,0),0),"")</f>
        <v>0</v>
      </c>
      <c r="N36">
        <f>IFERROR(VLOOKUP($A36,[1]Sheet1!$A$8:$P$1264,MATCH(N$1,[1]Sheet1!$A$4:$P$4,0),0),"")</f>
        <v>21</v>
      </c>
      <c r="O36">
        <f>IFERROR(VLOOKUP($A36,[1]Sheet1!$A$8:$P$1264,MATCH(O$1,[1]Sheet1!$A$4:$P$4,0),0),"")</f>
        <v>0</v>
      </c>
      <c r="P36">
        <f>IFERROR(VLOOKUP($A36,[1]Sheet1!$A$8:$P$1264,MATCH(P$1,[1]Sheet1!$A$4:$P$4,0),0),"")</f>
        <v>22</v>
      </c>
      <c r="Q36">
        <f>IFERROR(VLOOKUP($A36,[1]Sheet1!$A$8:$P$1264,MATCH(Q$1,[1]Sheet1!$A$4:$P$4,0),0),"")</f>
        <v>0</v>
      </c>
      <c r="R36">
        <f>IFERROR(VLOOKUP($A36,[1]Sheet1!$A$8:$P$1264,MATCH(R$1,[1]Sheet1!$A$4:$P$4,0),0),"")</f>
        <v>22</v>
      </c>
      <c r="S36">
        <f>IFERROR(VLOOKUP($A36,[1]Sheet1!$A$8:$P$1264,MATCH(S$1,[1]Sheet1!$A$4:$P$4,0),0),"")</f>
        <v>0</v>
      </c>
    </row>
    <row r="37" spans="1:19">
      <c r="A37" t="str">
        <f t="shared" ref="A37:A68" si="3">B37&amp;"-"&amp;C37</f>
        <v>BWI-PHX</v>
      </c>
      <c r="B37" s="2" t="s">
        <v>23</v>
      </c>
      <c r="C37" s="2" t="s">
        <v>22</v>
      </c>
      <c r="D37" t="s">
        <v>2</v>
      </c>
      <c r="E37" t="str">
        <f t="shared" si="2"/>
        <v>Southwest</v>
      </c>
      <c r="F37">
        <f>IFERROR(VLOOKUP($A37,[1]Sheet1!$A$8:$P$1264,MATCH(F$1,[1]Sheet1!$A$4:$P$4,0),0),"")</f>
        <v>14</v>
      </c>
      <c r="G37">
        <f>IFERROR(VLOOKUP($A37,[1]Sheet1!$A$8:$P$1264,MATCH(G$1,[1]Sheet1!$A$4:$P$4,0),0),"")</f>
        <v>0</v>
      </c>
      <c r="H37">
        <f>IFERROR(VLOOKUP($A37,[1]Sheet1!$A$8:$P$1264,MATCH(H$1,[1]Sheet1!$A$4:$P$4,0),0),"")</f>
        <v>14</v>
      </c>
      <c r="I37">
        <f>IFERROR(VLOOKUP($A37,[1]Sheet1!$A$8:$P$1264,MATCH(I$1,[1]Sheet1!$A$4:$P$4,0),0),"")</f>
        <v>0</v>
      </c>
      <c r="J37">
        <f>IFERROR(VLOOKUP($A37,[1]Sheet1!$A$8:$P$1264,MATCH(J$1,[1]Sheet1!$A$4:$P$4,0),0),"")</f>
        <v>21</v>
      </c>
      <c r="K37">
        <f>IFERROR(VLOOKUP($A37,[1]Sheet1!$A$8:$P$1264,MATCH(K$1,[1]Sheet1!$A$4:$P$4,0),0),"")</f>
        <v>0</v>
      </c>
      <c r="L37">
        <f>IFERROR(VLOOKUP($A37,[1]Sheet1!$A$8:$P$1264,MATCH(L$1,[1]Sheet1!$A$4:$P$4,0),0),"")</f>
        <v>19</v>
      </c>
      <c r="M37">
        <f>IFERROR(VLOOKUP($A37,[1]Sheet1!$A$8:$P$1264,MATCH(M$1,[1]Sheet1!$A$4:$P$4,0),0),"")</f>
        <v>0</v>
      </c>
      <c r="N37">
        <f>IFERROR(VLOOKUP($A37,[1]Sheet1!$A$8:$P$1264,MATCH(N$1,[1]Sheet1!$A$4:$P$4,0),0),"")</f>
        <v>19</v>
      </c>
      <c r="O37">
        <f>IFERROR(VLOOKUP($A37,[1]Sheet1!$A$8:$P$1264,MATCH(O$1,[1]Sheet1!$A$4:$P$4,0),0),"")</f>
        <v>0</v>
      </c>
      <c r="P37">
        <f>IFERROR(VLOOKUP($A37,[1]Sheet1!$A$8:$P$1264,MATCH(P$1,[1]Sheet1!$A$4:$P$4,0),0),"")</f>
        <v>21</v>
      </c>
      <c r="Q37">
        <f>IFERROR(VLOOKUP($A37,[1]Sheet1!$A$8:$P$1264,MATCH(Q$1,[1]Sheet1!$A$4:$P$4,0),0),"")</f>
        <v>0</v>
      </c>
      <c r="R37">
        <f>IFERROR(VLOOKUP($A37,[1]Sheet1!$A$8:$P$1264,MATCH(R$1,[1]Sheet1!$A$4:$P$4,0),0),"")</f>
        <v>21</v>
      </c>
      <c r="S37">
        <f>IFERROR(VLOOKUP($A37,[1]Sheet1!$A$8:$P$1264,MATCH(S$1,[1]Sheet1!$A$4:$P$4,0),0),"")</f>
        <v>0</v>
      </c>
    </row>
    <row r="38" spans="1:19">
      <c r="A38" t="str">
        <f t="shared" si="3"/>
        <v>BWI-RSW</v>
      </c>
      <c r="B38" s="2" t="s">
        <v>23</v>
      </c>
      <c r="C38" s="2" t="s">
        <v>15</v>
      </c>
      <c r="D38" t="s">
        <v>2</v>
      </c>
      <c r="E38" t="str">
        <f t="shared" si="2"/>
        <v>Southwest</v>
      </c>
      <c r="F38">
        <f>IFERROR(VLOOKUP($A38,[1]Sheet1!$A$8:$P$1264,MATCH(F$1,[1]Sheet1!$A$4:$P$4,0),0),"")</f>
        <v>15</v>
      </c>
      <c r="G38">
        <f>IFERROR(VLOOKUP($A38,[1]Sheet1!$A$8:$P$1264,MATCH(G$1,[1]Sheet1!$A$4:$P$4,0),0),"")</f>
        <v>14</v>
      </c>
      <c r="H38">
        <f>IFERROR(VLOOKUP($A38,[1]Sheet1!$A$8:$P$1264,MATCH(H$1,[1]Sheet1!$A$4:$P$4,0),0),"")</f>
        <v>15</v>
      </c>
      <c r="I38">
        <f>IFERROR(VLOOKUP($A38,[1]Sheet1!$A$8:$P$1264,MATCH(I$1,[1]Sheet1!$A$4:$P$4,0),0),"")</f>
        <v>14</v>
      </c>
      <c r="J38">
        <f>IFERROR(VLOOKUP($A38,[1]Sheet1!$A$8:$P$1264,MATCH(J$1,[1]Sheet1!$A$4:$P$4,0),0),"")</f>
        <v>21</v>
      </c>
      <c r="K38">
        <f>IFERROR(VLOOKUP($A38,[1]Sheet1!$A$8:$P$1264,MATCH(K$1,[1]Sheet1!$A$4:$P$4,0),0),"")</f>
        <v>21</v>
      </c>
      <c r="L38">
        <f>IFERROR(VLOOKUP($A38,[1]Sheet1!$A$8:$P$1264,MATCH(L$1,[1]Sheet1!$A$4:$P$4,0),0),"")</f>
        <v>13</v>
      </c>
      <c r="M38">
        <f>IFERROR(VLOOKUP($A38,[1]Sheet1!$A$8:$P$1264,MATCH(M$1,[1]Sheet1!$A$4:$P$4,0),0),"")</f>
        <v>14</v>
      </c>
      <c r="N38">
        <f>IFERROR(VLOOKUP($A38,[1]Sheet1!$A$8:$P$1264,MATCH(N$1,[1]Sheet1!$A$4:$P$4,0),0),"")</f>
        <v>13</v>
      </c>
      <c r="O38">
        <f>IFERROR(VLOOKUP($A38,[1]Sheet1!$A$8:$P$1264,MATCH(O$1,[1]Sheet1!$A$4:$P$4,0),0),"")</f>
        <v>14</v>
      </c>
      <c r="P38">
        <f>IFERROR(VLOOKUP($A38,[1]Sheet1!$A$8:$P$1264,MATCH(P$1,[1]Sheet1!$A$4:$P$4,0),0),"")</f>
        <v>14</v>
      </c>
      <c r="Q38">
        <f>IFERROR(VLOOKUP($A38,[1]Sheet1!$A$8:$P$1264,MATCH(Q$1,[1]Sheet1!$A$4:$P$4,0),0),"")</f>
        <v>8</v>
      </c>
      <c r="R38">
        <f>IFERROR(VLOOKUP($A38,[1]Sheet1!$A$8:$P$1264,MATCH(R$1,[1]Sheet1!$A$4:$P$4,0),0),"")</f>
        <v>14</v>
      </c>
      <c r="S38">
        <f>IFERROR(VLOOKUP($A38,[1]Sheet1!$A$8:$P$1264,MATCH(S$1,[1]Sheet1!$A$4:$P$4,0),0),"")</f>
        <v>8</v>
      </c>
    </row>
    <row r="39" spans="1:19">
      <c r="A39" t="str">
        <f t="shared" si="3"/>
        <v>BWI-SAT</v>
      </c>
      <c r="B39" s="2" t="s">
        <v>23</v>
      </c>
      <c r="C39" s="2" t="s">
        <v>28</v>
      </c>
      <c r="D39" t="s">
        <v>2</v>
      </c>
      <c r="E39" t="str">
        <f t="shared" si="2"/>
        <v>Southwest</v>
      </c>
      <c r="F39">
        <f>IFERROR(VLOOKUP($A39,[1]Sheet1!$A$8:$P$1264,MATCH(F$1,[1]Sheet1!$A$4:$P$4,0),0),"")</f>
        <v>12</v>
      </c>
      <c r="G39">
        <f>IFERROR(VLOOKUP($A39,[1]Sheet1!$A$8:$P$1264,MATCH(G$1,[1]Sheet1!$A$4:$P$4,0),0),"")</f>
        <v>0</v>
      </c>
      <c r="H39">
        <f>IFERROR(VLOOKUP($A39,[1]Sheet1!$A$8:$P$1264,MATCH(H$1,[1]Sheet1!$A$4:$P$4,0),0),"")</f>
        <v>12</v>
      </c>
      <c r="I39">
        <f>IFERROR(VLOOKUP($A39,[1]Sheet1!$A$8:$P$1264,MATCH(I$1,[1]Sheet1!$A$4:$P$4,0),0),"")</f>
        <v>0</v>
      </c>
      <c r="J39">
        <f>IFERROR(VLOOKUP($A39,[1]Sheet1!$A$8:$P$1264,MATCH(J$1,[1]Sheet1!$A$4:$P$4,0),0),"")</f>
        <v>20</v>
      </c>
      <c r="K39">
        <f>IFERROR(VLOOKUP($A39,[1]Sheet1!$A$8:$P$1264,MATCH(K$1,[1]Sheet1!$A$4:$P$4,0),0),"")</f>
        <v>0</v>
      </c>
      <c r="L39">
        <f>IFERROR(VLOOKUP($A39,[1]Sheet1!$A$8:$P$1264,MATCH(L$1,[1]Sheet1!$A$4:$P$4,0),0),"")</f>
        <v>20</v>
      </c>
      <c r="M39">
        <f>IFERROR(VLOOKUP($A39,[1]Sheet1!$A$8:$P$1264,MATCH(M$1,[1]Sheet1!$A$4:$P$4,0),0),"")</f>
        <v>0</v>
      </c>
      <c r="N39">
        <f>IFERROR(VLOOKUP($A39,[1]Sheet1!$A$8:$P$1264,MATCH(N$1,[1]Sheet1!$A$4:$P$4,0),0),"")</f>
        <v>20</v>
      </c>
      <c r="O39">
        <f>IFERROR(VLOOKUP($A39,[1]Sheet1!$A$8:$P$1264,MATCH(O$1,[1]Sheet1!$A$4:$P$4,0),0),"")</f>
        <v>0</v>
      </c>
      <c r="P39">
        <f>IFERROR(VLOOKUP($A39,[1]Sheet1!$A$8:$P$1264,MATCH(P$1,[1]Sheet1!$A$4:$P$4,0),0),"")</f>
        <v>21</v>
      </c>
      <c r="Q39">
        <f>IFERROR(VLOOKUP($A39,[1]Sheet1!$A$8:$P$1264,MATCH(Q$1,[1]Sheet1!$A$4:$P$4,0),0),"")</f>
        <v>0</v>
      </c>
      <c r="R39">
        <f>IFERROR(VLOOKUP($A39,[1]Sheet1!$A$8:$P$1264,MATCH(R$1,[1]Sheet1!$A$4:$P$4,0),0),"")</f>
        <v>21</v>
      </c>
      <c r="S39">
        <f>IFERROR(VLOOKUP($A39,[1]Sheet1!$A$8:$P$1264,MATCH(S$1,[1]Sheet1!$A$4:$P$4,0),0),"")</f>
        <v>0</v>
      </c>
    </row>
    <row r="40" spans="1:19">
      <c r="A40" t="str">
        <f t="shared" si="3"/>
        <v>BWI-SEA</v>
      </c>
      <c r="B40" s="2" t="s">
        <v>23</v>
      </c>
      <c r="C40" s="2" t="s">
        <v>29</v>
      </c>
      <c r="D40" t="s">
        <v>2</v>
      </c>
      <c r="E40" t="str">
        <f t="shared" si="2"/>
        <v>Southwest</v>
      </c>
      <c r="F40">
        <f>IFERROR(VLOOKUP($A40,[1]Sheet1!$A$8:$P$1264,MATCH(F$1,[1]Sheet1!$A$4:$P$4,0),0),"")</f>
        <v>0</v>
      </c>
      <c r="G40">
        <f>IFERROR(VLOOKUP($A40,[1]Sheet1!$A$8:$P$1264,MATCH(G$1,[1]Sheet1!$A$4:$P$4,0),0),"")</f>
        <v>0</v>
      </c>
      <c r="H40">
        <f>IFERROR(VLOOKUP($A40,[1]Sheet1!$A$8:$P$1264,MATCH(H$1,[1]Sheet1!$A$4:$P$4,0),0),"")</f>
        <v>0</v>
      </c>
      <c r="I40">
        <f>IFERROR(VLOOKUP($A40,[1]Sheet1!$A$8:$P$1264,MATCH(I$1,[1]Sheet1!$A$4:$P$4,0),0),"")</f>
        <v>0</v>
      </c>
      <c r="J40">
        <f>IFERROR(VLOOKUP($A40,[1]Sheet1!$A$8:$P$1264,MATCH(J$1,[1]Sheet1!$A$4:$P$4,0),0),"")</f>
        <v>0</v>
      </c>
      <c r="K40">
        <f>IFERROR(VLOOKUP($A40,[1]Sheet1!$A$8:$P$1264,MATCH(K$1,[1]Sheet1!$A$4:$P$4,0),0),"")</f>
        <v>0</v>
      </c>
      <c r="L40">
        <f>IFERROR(VLOOKUP($A40,[1]Sheet1!$A$8:$P$1264,MATCH(L$1,[1]Sheet1!$A$4:$P$4,0),0),"")</f>
        <v>7</v>
      </c>
      <c r="M40">
        <f>IFERROR(VLOOKUP($A40,[1]Sheet1!$A$8:$P$1264,MATCH(M$1,[1]Sheet1!$A$4:$P$4,0),0),"")</f>
        <v>0</v>
      </c>
      <c r="N40">
        <f>IFERROR(VLOOKUP($A40,[1]Sheet1!$A$8:$P$1264,MATCH(N$1,[1]Sheet1!$A$4:$P$4,0),0),"")</f>
        <v>7</v>
      </c>
      <c r="O40">
        <f>IFERROR(VLOOKUP($A40,[1]Sheet1!$A$8:$P$1264,MATCH(O$1,[1]Sheet1!$A$4:$P$4,0),0),"")</f>
        <v>0</v>
      </c>
      <c r="P40">
        <f>IFERROR(VLOOKUP($A40,[1]Sheet1!$A$8:$P$1264,MATCH(P$1,[1]Sheet1!$A$4:$P$4,0),0),"")</f>
        <v>13</v>
      </c>
      <c r="Q40">
        <f>IFERROR(VLOOKUP($A40,[1]Sheet1!$A$8:$P$1264,MATCH(Q$1,[1]Sheet1!$A$4:$P$4,0),0),"")</f>
        <v>0</v>
      </c>
      <c r="R40">
        <f>IFERROR(VLOOKUP($A40,[1]Sheet1!$A$8:$P$1264,MATCH(R$1,[1]Sheet1!$A$4:$P$4,0),0),"")</f>
        <v>13</v>
      </c>
      <c r="S40">
        <f>IFERROR(VLOOKUP($A40,[1]Sheet1!$A$8:$P$1264,MATCH(S$1,[1]Sheet1!$A$4:$P$4,0),0),"")</f>
        <v>0</v>
      </c>
    </row>
    <row r="41" spans="1:19">
      <c r="A41" t="str">
        <f t="shared" si="3"/>
        <v>BWI-STL</v>
      </c>
      <c r="B41" s="2" t="s">
        <v>23</v>
      </c>
      <c r="C41" s="2" t="s">
        <v>19</v>
      </c>
      <c r="D41" t="s">
        <v>2</v>
      </c>
      <c r="E41" t="str">
        <f t="shared" si="2"/>
        <v>Southwest</v>
      </c>
      <c r="F41">
        <f>IFERROR(VLOOKUP($A41,[1]Sheet1!$A$8:$P$1264,MATCH(F$1,[1]Sheet1!$A$4:$P$4,0),0),"")</f>
        <v>26</v>
      </c>
      <c r="G41">
        <f>IFERROR(VLOOKUP($A41,[1]Sheet1!$A$8:$P$1264,MATCH(G$1,[1]Sheet1!$A$4:$P$4,0),0),"")</f>
        <v>0</v>
      </c>
      <c r="H41">
        <f>IFERROR(VLOOKUP($A41,[1]Sheet1!$A$8:$P$1264,MATCH(H$1,[1]Sheet1!$A$4:$P$4,0),0),"")</f>
        <v>26</v>
      </c>
      <c r="I41">
        <f>IFERROR(VLOOKUP($A41,[1]Sheet1!$A$8:$P$1264,MATCH(I$1,[1]Sheet1!$A$4:$P$4,0),0),"")</f>
        <v>0</v>
      </c>
      <c r="J41">
        <f>IFERROR(VLOOKUP($A41,[1]Sheet1!$A$8:$P$1264,MATCH(J$1,[1]Sheet1!$A$4:$P$4,0),0),"")</f>
        <v>34</v>
      </c>
      <c r="K41">
        <f>IFERROR(VLOOKUP($A41,[1]Sheet1!$A$8:$P$1264,MATCH(K$1,[1]Sheet1!$A$4:$P$4,0),0),"")</f>
        <v>0</v>
      </c>
      <c r="L41">
        <f>IFERROR(VLOOKUP($A41,[1]Sheet1!$A$8:$P$1264,MATCH(L$1,[1]Sheet1!$A$4:$P$4,0),0),"")</f>
        <v>34</v>
      </c>
      <c r="M41">
        <f>IFERROR(VLOOKUP($A41,[1]Sheet1!$A$8:$P$1264,MATCH(M$1,[1]Sheet1!$A$4:$P$4,0),0),"")</f>
        <v>0</v>
      </c>
      <c r="N41">
        <f>IFERROR(VLOOKUP($A41,[1]Sheet1!$A$8:$P$1264,MATCH(N$1,[1]Sheet1!$A$4:$P$4,0),0),"")</f>
        <v>34</v>
      </c>
      <c r="O41">
        <f>IFERROR(VLOOKUP($A41,[1]Sheet1!$A$8:$P$1264,MATCH(O$1,[1]Sheet1!$A$4:$P$4,0),0),"")</f>
        <v>0</v>
      </c>
      <c r="P41">
        <f>IFERROR(VLOOKUP($A41,[1]Sheet1!$A$8:$P$1264,MATCH(P$1,[1]Sheet1!$A$4:$P$4,0),0),"")</f>
        <v>34</v>
      </c>
      <c r="Q41">
        <f>IFERROR(VLOOKUP($A41,[1]Sheet1!$A$8:$P$1264,MATCH(Q$1,[1]Sheet1!$A$4:$P$4,0),0),"")</f>
        <v>0</v>
      </c>
      <c r="R41">
        <f>IFERROR(VLOOKUP($A41,[1]Sheet1!$A$8:$P$1264,MATCH(R$1,[1]Sheet1!$A$4:$P$4,0),0),"")</f>
        <v>34</v>
      </c>
      <c r="S41">
        <f>IFERROR(VLOOKUP($A41,[1]Sheet1!$A$8:$P$1264,MATCH(S$1,[1]Sheet1!$A$4:$P$4,0),0),"")</f>
        <v>0</v>
      </c>
    </row>
    <row r="42" spans="1:19">
      <c r="A42" t="str">
        <f t="shared" si="3"/>
        <v>BWI-TPA</v>
      </c>
      <c r="B42" s="2" t="s">
        <v>23</v>
      </c>
      <c r="C42" s="2" t="s">
        <v>30</v>
      </c>
      <c r="D42" t="s">
        <v>2</v>
      </c>
      <c r="E42" t="str">
        <f t="shared" si="2"/>
        <v>Southwest</v>
      </c>
      <c r="F42">
        <f>IFERROR(VLOOKUP($A42,[1]Sheet1!$A$8:$P$1264,MATCH(F$1,[1]Sheet1!$A$4:$P$4,0),0),"")</f>
        <v>33</v>
      </c>
      <c r="G42">
        <f>IFERROR(VLOOKUP($A42,[1]Sheet1!$A$8:$P$1264,MATCH(G$1,[1]Sheet1!$A$4:$P$4,0),0),"")</f>
        <v>13</v>
      </c>
      <c r="H42">
        <f>IFERROR(VLOOKUP($A42,[1]Sheet1!$A$8:$P$1264,MATCH(H$1,[1]Sheet1!$A$4:$P$4,0),0),"")</f>
        <v>33</v>
      </c>
      <c r="I42">
        <f>IFERROR(VLOOKUP($A42,[1]Sheet1!$A$8:$P$1264,MATCH(I$1,[1]Sheet1!$A$4:$P$4,0),0),"")</f>
        <v>13</v>
      </c>
      <c r="J42">
        <f>IFERROR(VLOOKUP($A42,[1]Sheet1!$A$8:$P$1264,MATCH(J$1,[1]Sheet1!$A$4:$P$4,0),0),"")</f>
        <v>40</v>
      </c>
      <c r="K42">
        <f>IFERROR(VLOOKUP($A42,[1]Sheet1!$A$8:$P$1264,MATCH(K$1,[1]Sheet1!$A$4:$P$4,0),0),"")</f>
        <v>16</v>
      </c>
      <c r="L42">
        <f>IFERROR(VLOOKUP($A42,[1]Sheet1!$A$8:$P$1264,MATCH(L$1,[1]Sheet1!$A$4:$P$4,0),0),"")</f>
        <v>35</v>
      </c>
      <c r="M42">
        <f>IFERROR(VLOOKUP($A42,[1]Sheet1!$A$8:$P$1264,MATCH(M$1,[1]Sheet1!$A$4:$P$4,0),0),"")</f>
        <v>26</v>
      </c>
      <c r="N42">
        <f>IFERROR(VLOOKUP($A42,[1]Sheet1!$A$8:$P$1264,MATCH(N$1,[1]Sheet1!$A$4:$P$4,0),0),"")</f>
        <v>35</v>
      </c>
      <c r="O42">
        <f>IFERROR(VLOOKUP($A42,[1]Sheet1!$A$8:$P$1264,MATCH(O$1,[1]Sheet1!$A$4:$P$4,0),0),"")</f>
        <v>26</v>
      </c>
      <c r="P42">
        <f>IFERROR(VLOOKUP($A42,[1]Sheet1!$A$8:$P$1264,MATCH(P$1,[1]Sheet1!$A$4:$P$4,0),0),"")</f>
        <v>17</v>
      </c>
      <c r="Q42">
        <f>IFERROR(VLOOKUP($A42,[1]Sheet1!$A$8:$P$1264,MATCH(Q$1,[1]Sheet1!$A$4:$P$4,0),0),"")</f>
        <v>32</v>
      </c>
      <c r="R42">
        <f>IFERROR(VLOOKUP($A42,[1]Sheet1!$A$8:$P$1264,MATCH(R$1,[1]Sheet1!$A$4:$P$4,0),0),"")</f>
        <v>17</v>
      </c>
      <c r="S42">
        <f>IFERROR(VLOOKUP($A42,[1]Sheet1!$A$8:$P$1264,MATCH(S$1,[1]Sheet1!$A$4:$P$4,0),0),"")</f>
        <v>32</v>
      </c>
    </row>
    <row r="43" spans="1:19">
      <c r="A43" t="str">
        <f t="shared" si="3"/>
        <v>CAK-DEN</v>
      </c>
      <c r="B43" s="2" t="s">
        <v>6</v>
      </c>
      <c r="C43" s="2" t="s">
        <v>18</v>
      </c>
      <c r="D43" t="s">
        <v>2</v>
      </c>
      <c r="E43" t="str">
        <f t="shared" si="2"/>
        <v>Southwest</v>
      </c>
      <c r="F43">
        <f>IFERROR(VLOOKUP($A43,[1]Sheet1!$A$8:$P$1264,MATCH(F$1,[1]Sheet1!$A$4:$P$4,0),0),"")</f>
        <v>7</v>
      </c>
      <c r="G43">
        <f>IFERROR(VLOOKUP($A43,[1]Sheet1!$A$8:$P$1264,MATCH(G$1,[1]Sheet1!$A$4:$P$4,0),0),"")</f>
        <v>0</v>
      </c>
      <c r="H43">
        <f>IFERROR(VLOOKUP($A43,[1]Sheet1!$A$8:$P$1264,MATCH(H$1,[1]Sheet1!$A$4:$P$4,0),0),"")</f>
        <v>7</v>
      </c>
      <c r="I43">
        <f>IFERROR(VLOOKUP($A43,[1]Sheet1!$A$8:$P$1264,MATCH(I$1,[1]Sheet1!$A$4:$P$4,0),0),"")</f>
        <v>0</v>
      </c>
      <c r="J43">
        <f>IFERROR(VLOOKUP($A43,[1]Sheet1!$A$8:$P$1264,MATCH(J$1,[1]Sheet1!$A$4:$P$4,0),0),"")</f>
        <v>7</v>
      </c>
      <c r="K43">
        <f>IFERROR(VLOOKUP($A43,[1]Sheet1!$A$8:$P$1264,MATCH(K$1,[1]Sheet1!$A$4:$P$4,0),0),"")</f>
        <v>0</v>
      </c>
      <c r="L43">
        <f>IFERROR(VLOOKUP($A43,[1]Sheet1!$A$8:$P$1264,MATCH(L$1,[1]Sheet1!$A$4:$P$4,0),0),"")</f>
        <v>7</v>
      </c>
      <c r="M43">
        <f>IFERROR(VLOOKUP($A43,[1]Sheet1!$A$8:$P$1264,MATCH(M$1,[1]Sheet1!$A$4:$P$4,0),0),"")</f>
        <v>0</v>
      </c>
      <c r="N43">
        <f>IFERROR(VLOOKUP($A43,[1]Sheet1!$A$8:$P$1264,MATCH(N$1,[1]Sheet1!$A$4:$P$4,0),0),"")</f>
        <v>7</v>
      </c>
      <c r="O43">
        <f>IFERROR(VLOOKUP($A43,[1]Sheet1!$A$8:$P$1264,MATCH(O$1,[1]Sheet1!$A$4:$P$4,0),0),"")</f>
        <v>0</v>
      </c>
      <c r="P43">
        <f>IFERROR(VLOOKUP($A43,[1]Sheet1!$A$8:$P$1264,MATCH(P$1,[1]Sheet1!$A$4:$P$4,0),0),"")</f>
        <v>7</v>
      </c>
      <c r="Q43">
        <f>IFERROR(VLOOKUP($A43,[1]Sheet1!$A$8:$P$1264,MATCH(Q$1,[1]Sheet1!$A$4:$P$4,0),0),"")</f>
        <v>0</v>
      </c>
      <c r="R43">
        <f>IFERROR(VLOOKUP($A43,[1]Sheet1!$A$8:$P$1264,MATCH(R$1,[1]Sheet1!$A$4:$P$4,0),0),"")</f>
        <v>7</v>
      </c>
      <c r="S43">
        <f>IFERROR(VLOOKUP($A43,[1]Sheet1!$A$8:$P$1264,MATCH(S$1,[1]Sheet1!$A$4:$P$4,0),0),"")</f>
        <v>0</v>
      </c>
    </row>
    <row r="44" spans="1:19">
      <c r="A44" t="str">
        <f t="shared" si="3"/>
        <v>CMH-LAS</v>
      </c>
      <c r="B44" s="2" t="s">
        <v>31</v>
      </c>
      <c r="C44" s="2" t="s">
        <v>21</v>
      </c>
      <c r="D44" t="s">
        <v>2</v>
      </c>
      <c r="E44" t="str">
        <f t="shared" si="2"/>
        <v>Southwest</v>
      </c>
      <c r="F44">
        <f>IFERROR(VLOOKUP($A44,[1]Sheet1!$A$8:$P$1264,MATCH(F$1,[1]Sheet1!$A$4:$P$4,0),0),"")</f>
        <v>7</v>
      </c>
      <c r="G44">
        <f>IFERROR(VLOOKUP($A44,[1]Sheet1!$A$8:$P$1264,MATCH(G$1,[1]Sheet1!$A$4:$P$4,0),0),"")</f>
        <v>0</v>
      </c>
      <c r="H44">
        <f>IFERROR(VLOOKUP($A44,[1]Sheet1!$A$8:$P$1264,MATCH(H$1,[1]Sheet1!$A$4:$P$4,0),0),"")</f>
        <v>7</v>
      </c>
      <c r="I44">
        <f>IFERROR(VLOOKUP($A44,[1]Sheet1!$A$8:$P$1264,MATCH(I$1,[1]Sheet1!$A$4:$P$4,0),0),"")</f>
        <v>0</v>
      </c>
      <c r="J44">
        <f>IFERROR(VLOOKUP($A44,[1]Sheet1!$A$8:$P$1264,MATCH(J$1,[1]Sheet1!$A$4:$P$4,0),0),"")</f>
        <v>14</v>
      </c>
      <c r="K44">
        <f>IFERROR(VLOOKUP($A44,[1]Sheet1!$A$8:$P$1264,MATCH(K$1,[1]Sheet1!$A$4:$P$4,0),0),"")</f>
        <v>0</v>
      </c>
      <c r="L44">
        <f>IFERROR(VLOOKUP($A44,[1]Sheet1!$A$8:$P$1264,MATCH(L$1,[1]Sheet1!$A$4:$P$4,0),0),"")</f>
        <v>14</v>
      </c>
      <c r="M44">
        <f>IFERROR(VLOOKUP($A44,[1]Sheet1!$A$8:$P$1264,MATCH(M$1,[1]Sheet1!$A$4:$P$4,0),0),"")</f>
        <v>0</v>
      </c>
      <c r="N44">
        <f>IFERROR(VLOOKUP($A44,[1]Sheet1!$A$8:$P$1264,MATCH(N$1,[1]Sheet1!$A$4:$P$4,0),0),"")</f>
        <v>14</v>
      </c>
      <c r="O44">
        <f>IFERROR(VLOOKUP($A44,[1]Sheet1!$A$8:$P$1264,MATCH(O$1,[1]Sheet1!$A$4:$P$4,0),0),"")</f>
        <v>0</v>
      </c>
      <c r="P44">
        <f>IFERROR(VLOOKUP($A44,[1]Sheet1!$A$8:$P$1264,MATCH(P$1,[1]Sheet1!$A$4:$P$4,0),0),"")</f>
        <v>14</v>
      </c>
      <c r="Q44">
        <f>IFERROR(VLOOKUP($A44,[1]Sheet1!$A$8:$P$1264,MATCH(Q$1,[1]Sheet1!$A$4:$P$4,0),0),"")</f>
        <v>0</v>
      </c>
      <c r="R44">
        <f>IFERROR(VLOOKUP($A44,[1]Sheet1!$A$8:$P$1264,MATCH(R$1,[1]Sheet1!$A$4:$P$4,0),0),"")</f>
        <v>14</v>
      </c>
      <c r="S44">
        <f>IFERROR(VLOOKUP($A44,[1]Sheet1!$A$8:$P$1264,MATCH(S$1,[1]Sheet1!$A$4:$P$4,0),0),"")</f>
        <v>0</v>
      </c>
    </row>
    <row r="45" spans="1:19">
      <c r="A45" t="str">
        <f t="shared" si="3"/>
        <v>CMH-MCO</v>
      </c>
      <c r="B45" s="2" t="s">
        <v>31</v>
      </c>
      <c r="C45" s="2" t="s">
        <v>27</v>
      </c>
      <c r="D45" t="s">
        <v>2</v>
      </c>
      <c r="E45" t="str">
        <f t="shared" si="2"/>
        <v>Southwest</v>
      </c>
      <c r="F45">
        <f>IFERROR(VLOOKUP($A45,[1]Sheet1!$A$8:$P$1264,MATCH(F$1,[1]Sheet1!$A$4:$P$4,0),0),"")</f>
        <v>20</v>
      </c>
      <c r="G45">
        <f>IFERROR(VLOOKUP($A45,[1]Sheet1!$A$8:$P$1264,MATCH(G$1,[1]Sheet1!$A$4:$P$4,0),0),"")</f>
        <v>7</v>
      </c>
      <c r="H45">
        <f>IFERROR(VLOOKUP($A45,[1]Sheet1!$A$8:$P$1264,MATCH(H$1,[1]Sheet1!$A$4:$P$4,0),0),"")</f>
        <v>20</v>
      </c>
      <c r="I45">
        <f>IFERROR(VLOOKUP($A45,[1]Sheet1!$A$8:$P$1264,MATCH(I$1,[1]Sheet1!$A$4:$P$4,0),0),"")</f>
        <v>7</v>
      </c>
      <c r="J45">
        <f>IFERROR(VLOOKUP($A45,[1]Sheet1!$A$8:$P$1264,MATCH(J$1,[1]Sheet1!$A$4:$P$4,0),0),"")</f>
        <v>15</v>
      </c>
      <c r="K45">
        <f>IFERROR(VLOOKUP($A45,[1]Sheet1!$A$8:$P$1264,MATCH(K$1,[1]Sheet1!$A$4:$P$4,0),0),"")</f>
        <v>14</v>
      </c>
      <c r="L45">
        <f>IFERROR(VLOOKUP($A45,[1]Sheet1!$A$8:$P$1264,MATCH(L$1,[1]Sheet1!$A$4:$P$4,0),0),"")</f>
        <v>14</v>
      </c>
      <c r="M45">
        <f>IFERROR(VLOOKUP($A45,[1]Sheet1!$A$8:$P$1264,MATCH(M$1,[1]Sheet1!$A$4:$P$4,0),0),"")</f>
        <v>7</v>
      </c>
      <c r="N45">
        <f>IFERROR(VLOOKUP($A45,[1]Sheet1!$A$8:$P$1264,MATCH(N$1,[1]Sheet1!$A$4:$P$4,0),0),"")</f>
        <v>14</v>
      </c>
      <c r="O45">
        <f>IFERROR(VLOOKUP($A45,[1]Sheet1!$A$8:$P$1264,MATCH(O$1,[1]Sheet1!$A$4:$P$4,0),0),"")</f>
        <v>7</v>
      </c>
      <c r="P45">
        <f>IFERROR(VLOOKUP($A45,[1]Sheet1!$A$8:$P$1264,MATCH(P$1,[1]Sheet1!$A$4:$P$4,0),0),"")</f>
        <v>9</v>
      </c>
      <c r="Q45">
        <f>IFERROR(VLOOKUP($A45,[1]Sheet1!$A$8:$P$1264,MATCH(Q$1,[1]Sheet1!$A$4:$P$4,0),0),"")</f>
        <v>20</v>
      </c>
      <c r="R45">
        <f>IFERROR(VLOOKUP($A45,[1]Sheet1!$A$8:$P$1264,MATCH(R$1,[1]Sheet1!$A$4:$P$4,0),0),"")</f>
        <v>9</v>
      </c>
      <c r="S45">
        <f>IFERROR(VLOOKUP($A45,[1]Sheet1!$A$8:$P$1264,MATCH(S$1,[1]Sheet1!$A$4:$P$4,0),0),"")</f>
        <v>20</v>
      </c>
    </row>
    <row r="46" spans="1:19">
      <c r="A46" t="str">
        <f t="shared" si="3"/>
        <v>CMH-PHX</v>
      </c>
      <c r="B46" s="2" t="s">
        <v>31</v>
      </c>
      <c r="C46" s="2" t="s">
        <v>22</v>
      </c>
      <c r="D46" t="s">
        <v>2</v>
      </c>
      <c r="E46" t="str">
        <f t="shared" si="2"/>
        <v>Southwest</v>
      </c>
      <c r="F46">
        <f>IFERROR(VLOOKUP($A46,[1]Sheet1!$A$8:$P$1264,MATCH(F$1,[1]Sheet1!$A$4:$P$4,0),0),"")</f>
        <v>7</v>
      </c>
      <c r="G46">
        <f>IFERROR(VLOOKUP($A46,[1]Sheet1!$A$8:$P$1264,MATCH(G$1,[1]Sheet1!$A$4:$P$4,0),0),"")</f>
        <v>0</v>
      </c>
      <c r="H46">
        <f>IFERROR(VLOOKUP($A46,[1]Sheet1!$A$8:$P$1264,MATCH(H$1,[1]Sheet1!$A$4:$P$4,0),0),"")</f>
        <v>7</v>
      </c>
      <c r="I46">
        <f>IFERROR(VLOOKUP($A46,[1]Sheet1!$A$8:$P$1264,MATCH(I$1,[1]Sheet1!$A$4:$P$4,0),0),"")</f>
        <v>0</v>
      </c>
      <c r="J46">
        <f>IFERROR(VLOOKUP($A46,[1]Sheet1!$A$8:$P$1264,MATCH(J$1,[1]Sheet1!$A$4:$P$4,0),0),"")</f>
        <v>7</v>
      </c>
      <c r="K46">
        <f>IFERROR(VLOOKUP($A46,[1]Sheet1!$A$8:$P$1264,MATCH(K$1,[1]Sheet1!$A$4:$P$4,0),0),"")</f>
        <v>0</v>
      </c>
      <c r="L46">
        <f>IFERROR(VLOOKUP($A46,[1]Sheet1!$A$8:$P$1264,MATCH(L$1,[1]Sheet1!$A$4:$P$4,0),0),"")</f>
        <v>7</v>
      </c>
      <c r="M46">
        <f>IFERROR(VLOOKUP($A46,[1]Sheet1!$A$8:$P$1264,MATCH(M$1,[1]Sheet1!$A$4:$P$4,0),0),"")</f>
        <v>0</v>
      </c>
      <c r="N46">
        <f>IFERROR(VLOOKUP($A46,[1]Sheet1!$A$8:$P$1264,MATCH(N$1,[1]Sheet1!$A$4:$P$4,0),0),"")</f>
        <v>7</v>
      </c>
      <c r="O46">
        <f>IFERROR(VLOOKUP($A46,[1]Sheet1!$A$8:$P$1264,MATCH(O$1,[1]Sheet1!$A$4:$P$4,0),0),"")</f>
        <v>0</v>
      </c>
      <c r="P46">
        <f>IFERROR(VLOOKUP($A46,[1]Sheet1!$A$8:$P$1264,MATCH(P$1,[1]Sheet1!$A$4:$P$4,0),0),"")</f>
        <v>14</v>
      </c>
      <c r="Q46">
        <f>IFERROR(VLOOKUP($A46,[1]Sheet1!$A$8:$P$1264,MATCH(Q$1,[1]Sheet1!$A$4:$P$4,0),0),"")</f>
        <v>0</v>
      </c>
      <c r="R46">
        <f>IFERROR(VLOOKUP($A46,[1]Sheet1!$A$8:$P$1264,MATCH(R$1,[1]Sheet1!$A$4:$P$4,0),0),"")</f>
        <v>14</v>
      </c>
      <c r="S46">
        <f>IFERROR(VLOOKUP($A46,[1]Sheet1!$A$8:$P$1264,MATCH(S$1,[1]Sheet1!$A$4:$P$4,0),0),"")</f>
        <v>0</v>
      </c>
    </row>
    <row r="47" spans="1:19">
      <c r="A47" t="str">
        <f t="shared" si="3"/>
        <v>CMH-STL</v>
      </c>
      <c r="B47" s="2" t="s">
        <v>31</v>
      </c>
      <c r="C47" s="2" t="s">
        <v>19</v>
      </c>
      <c r="D47" t="s">
        <v>2</v>
      </c>
      <c r="E47" t="str">
        <f t="shared" si="2"/>
        <v>Southwest</v>
      </c>
      <c r="F47">
        <f>IFERROR(VLOOKUP($A47,[1]Sheet1!$A$8:$P$1264,MATCH(F$1,[1]Sheet1!$A$4:$P$4,0),0),"")</f>
        <v>11</v>
      </c>
      <c r="G47">
        <f>IFERROR(VLOOKUP($A47,[1]Sheet1!$A$8:$P$1264,MATCH(G$1,[1]Sheet1!$A$4:$P$4,0),0),"")</f>
        <v>0</v>
      </c>
      <c r="H47">
        <f>IFERROR(VLOOKUP($A47,[1]Sheet1!$A$8:$P$1264,MATCH(H$1,[1]Sheet1!$A$4:$P$4,0),0),"")</f>
        <v>11</v>
      </c>
      <c r="I47">
        <f>IFERROR(VLOOKUP($A47,[1]Sheet1!$A$8:$P$1264,MATCH(I$1,[1]Sheet1!$A$4:$P$4,0),0),"")</f>
        <v>0</v>
      </c>
      <c r="J47">
        <f>IFERROR(VLOOKUP($A47,[1]Sheet1!$A$8:$P$1264,MATCH(J$1,[1]Sheet1!$A$4:$P$4,0),0),"")</f>
        <v>13</v>
      </c>
      <c r="K47">
        <f>IFERROR(VLOOKUP($A47,[1]Sheet1!$A$8:$P$1264,MATCH(K$1,[1]Sheet1!$A$4:$P$4,0),0),"")</f>
        <v>0</v>
      </c>
      <c r="L47">
        <f>IFERROR(VLOOKUP($A47,[1]Sheet1!$A$8:$P$1264,MATCH(L$1,[1]Sheet1!$A$4:$P$4,0),0),"")</f>
        <v>13</v>
      </c>
      <c r="M47">
        <f>IFERROR(VLOOKUP($A47,[1]Sheet1!$A$8:$P$1264,MATCH(M$1,[1]Sheet1!$A$4:$P$4,0),0),"")</f>
        <v>0</v>
      </c>
      <c r="N47">
        <f>IFERROR(VLOOKUP($A47,[1]Sheet1!$A$8:$P$1264,MATCH(N$1,[1]Sheet1!$A$4:$P$4,0),0),"")</f>
        <v>13</v>
      </c>
      <c r="O47">
        <f>IFERROR(VLOOKUP($A47,[1]Sheet1!$A$8:$P$1264,MATCH(O$1,[1]Sheet1!$A$4:$P$4,0),0),"")</f>
        <v>0</v>
      </c>
      <c r="P47">
        <f>IFERROR(VLOOKUP($A47,[1]Sheet1!$A$8:$P$1264,MATCH(P$1,[1]Sheet1!$A$4:$P$4,0),0),"")</f>
        <v>13</v>
      </c>
      <c r="Q47">
        <f>IFERROR(VLOOKUP($A47,[1]Sheet1!$A$8:$P$1264,MATCH(Q$1,[1]Sheet1!$A$4:$P$4,0),0),"")</f>
        <v>0</v>
      </c>
      <c r="R47">
        <f>IFERROR(VLOOKUP($A47,[1]Sheet1!$A$8:$P$1264,MATCH(R$1,[1]Sheet1!$A$4:$P$4,0),0),"")</f>
        <v>13</v>
      </c>
      <c r="S47">
        <f>IFERROR(VLOOKUP($A47,[1]Sheet1!$A$8:$P$1264,MATCH(S$1,[1]Sheet1!$A$4:$P$4,0),0),"")</f>
        <v>0</v>
      </c>
    </row>
    <row r="48" spans="1:19">
      <c r="A48" t="str">
        <f t="shared" si="3"/>
        <v>DAY-MCO</v>
      </c>
      <c r="B48" s="3" t="s">
        <v>7</v>
      </c>
      <c r="C48" s="3" t="s">
        <v>27</v>
      </c>
      <c r="D48" t="s">
        <v>2</v>
      </c>
      <c r="E48" t="str">
        <f>IF((F48+H48+J48+L48+N48+P48+R48)&lt;(G48+I48+K48+M48+O48+Q48+S48),"AirTran","Southwest")</f>
        <v>AirTran</v>
      </c>
      <c r="F48">
        <f>IFERROR(VLOOKUP($A48,[1]Sheet1!$A$8:$P$1264,MATCH(F$1,[1]Sheet1!$A$4:$P$4,0),0),"")</f>
        <v>0</v>
      </c>
      <c r="G48">
        <f>IFERROR(VLOOKUP($A48,[1]Sheet1!$A$8:$P$1264,MATCH(G$1,[1]Sheet1!$A$4:$P$4,0),0),"")</f>
        <v>7</v>
      </c>
      <c r="H48">
        <f>IFERROR(VLOOKUP($A48,[1]Sheet1!$A$8:$P$1264,MATCH(H$1,[1]Sheet1!$A$4:$P$4,0),0),"")</f>
        <v>0</v>
      </c>
      <c r="I48">
        <f>IFERROR(VLOOKUP($A48,[1]Sheet1!$A$8:$P$1264,MATCH(I$1,[1]Sheet1!$A$4:$P$4,0),0),"")</f>
        <v>7</v>
      </c>
      <c r="J48">
        <f>IFERROR(VLOOKUP($A48,[1]Sheet1!$A$8:$P$1264,MATCH(J$1,[1]Sheet1!$A$4:$P$4,0),0),"")</f>
        <v>7</v>
      </c>
      <c r="K48">
        <f>IFERROR(VLOOKUP($A48,[1]Sheet1!$A$8:$P$1264,MATCH(K$1,[1]Sheet1!$A$4:$P$4,0),0),"")</f>
        <v>10</v>
      </c>
      <c r="L48">
        <f>IFERROR(VLOOKUP($A48,[1]Sheet1!$A$8:$P$1264,MATCH(L$1,[1]Sheet1!$A$4:$P$4,0),0),"")</f>
        <v>0</v>
      </c>
      <c r="M48">
        <f>IFERROR(VLOOKUP($A48,[1]Sheet1!$A$8:$P$1264,MATCH(M$1,[1]Sheet1!$A$4:$P$4,0),0),"")</f>
        <v>7</v>
      </c>
      <c r="N48">
        <f>IFERROR(VLOOKUP($A48,[1]Sheet1!$A$8:$P$1264,MATCH(N$1,[1]Sheet1!$A$4:$P$4,0),0),"")</f>
        <v>0</v>
      </c>
      <c r="O48">
        <f>IFERROR(VLOOKUP($A48,[1]Sheet1!$A$8:$P$1264,MATCH(O$1,[1]Sheet1!$A$4:$P$4,0),0),"")</f>
        <v>7</v>
      </c>
      <c r="P48">
        <f>IFERROR(VLOOKUP($A48,[1]Sheet1!$A$8:$P$1264,MATCH(P$1,[1]Sheet1!$A$4:$P$4,0),0),"")</f>
        <v>0</v>
      </c>
      <c r="Q48">
        <f>IFERROR(VLOOKUP($A48,[1]Sheet1!$A$8:$P$1264,MATCH(Q$1,[1]Sheet1!$A$4:$P$4,0),0),"")</f>
        <v>8</v>
      </c>
      <c r="R48">
        <f>IFERROR(VLOOKUP($A48,[1]Sheet1!$A$8:$P$1264,MATCH(R$1,[1]Sheet1!$A$4:$P$4,0),0),"")</f>
        <v>0</v>
      </c>
      <c r="S48">
        <f>IFERROR(VLOOKUP($A48,[1]Sheet1!$A$8:$P$1264,MATCH(S$1,[1]Sheet1!$A$4:$P$4,0),0),"")</f>
        <v>8</v>
      </c>
    </row>
    <row r="49" spans="1:19">
      <c r="A49" t="str">
        <f t="shared" si="3"/>
        <v>DCA-HOU</v>
      </c>
      <c r="B49" s="3" t="s">
        <v>32</v>
      </c>
      <c r="C49" s="3" t="s">
        <v>9</v>
      </c>
      <c r="D49" t="s">
        <v>2</v>
      </c>
      <c r="E49" t="s">
        <v>49</v>
      </c>
      <c r="F49" t="str">
        <f>IFERROR(VLOOKUP($A49,[1]Sheet1!$A$8:$P$1264,MATCH(F$1,[1]Sheet1!$A$4:$P$4,0),0),"")</f>
        <v/>
      </c>
      <c r="G49" t="str">
        <f>IFERROR(VLOOKUP($A49,[1]Sheet1!$A$8:$P$1264,MATCH(G$1,[1]Sheet1!$A$4:$P$4,0),0),"")</f>
        <v/>
      </c>
      <c r="H49" t="str">
        <f>IFERROR(VLOOKUP($A49,[1]Sheet1!$A$8:$P$1264,MATCH(H$1,[1]Sheet1!$A$4:$P$4,0),0),"")</f>
        <v/>
      </c>
      <c r="I49" t="str">
        <f>IFERROR(VLOOKUP($A49,[1]Sheet1!$A$8:$P$1264,MATCH(I$1,[1]Sheet1!$A$4:$P$4,0),0),"")</f>
        <v/>
      </c>
      <c r="J49" t="str">
        <f>IFERROR(VLOOKUP($A49,[1]Sheet1!$A$8:$P$1264,MATCH(J$1,[1]Sheet1!$A$4:$P$4,0),0),"")</f>
        <v/>
      </c>
      <c r="K49" t="str">
        <f>IFERROR(VLOOKUP($A49,[1]Sheet1!$A$8:$P$1264,MATCH(K$1,[1]Sheet1!$A$4:$P$4,0),0),"")</f>
        <v/>
      </c>
      <c r="L49" t="str">
        <f>IFERROR(VLOOKUP($A49,[1]Sheet1!$A$8:$P$1264,MATCH(L$1,[1]Sheet1!$A$4:$P$4,0),0),"")</f>
        <v/>
      </c>
      <c r="M49" t="str">
        <f>IFERROR(VLOOKUP($A49,[1]Sheet1!$A$8:$P$1264,MATCH(M$1,[1]Sheet1!$A$4:$P$4,0),0),"")</f>
        <v/>
      </c>
      <c r="N49" t="str">
        <f>IFERROR(VLOOKUP($A49,[1]Sheet1!$A$8:$P$1264,MATCH(N$1,[1]Sheet1!$A$4:$P$4,0),0),"")</f>
        <v/>
      </c>
      <c r="O49" t="str">
        <f>IFERROR(VLOOKUP($A49,[1]Sheet1!$A$8:$P$1264,MATCH(O$1,[1]Sheet1!$A$4:$P$4,0),0),"")</f>
        <v/>
      </c>
      <c r="P49" t="str">
        <f>IFERROR(VLOOKUP($A49,[1]Sheet1!$A$8:$P$1264,MATCH(P$1,[1]Sheet1!$A$4:$P$4,0),0),"")</f>
        <v/>
      </c>
      <c r="Q49" t="str">
        <f>IFERROR(VLOOKUP($A49,[1]Sheet1!$A$8:$P$1264,MATCH(Q$1,[1]Sheet1!$A$4:$P$4,0),0),"")</f>
        <v/>
      </c>
      <c r="R49" t="str">
        <f>IFERROR(VLOOKUP($A49,[1]Sheet1!$A$8:$P$1264,MATCH(R$1,[1]Sheet1!$A$4:$P$4,0),0),"")</f>
        <v/>
      </c>
      <c r="S49" t="str">
        <f>IFERROR(VLOOKUP($A49,[1]Sheet1!$A$8:$P$1264,MATCH(S$1,[1]Sheet1!$A$4:$P$4,0),0),"")</f>
        <v/>
      </c>
    </row>
    <row r="50" spans="1:19">
      <c r="A50" t="str">
        <f t="shared" si="3"/>
        <v>DCA-MKE</v>
      </c>
      <c r="B50" s="3" t="s">
        <v>32</v>
      </c>
      <c r="C50" s="3" t="s">
        <v>11</v>
      </c>
      <c r="D50" t="s">
        <v>2</v>
      </c>
      <c r="E50" t="str">
        <f t="shared" si="2"/>
        <v>AirTran</v>
      </c>
      <c r="F50">
        <f>IFERROR(VLOOKUP($A50,[1]Sheet1!$A$8:$P$1264,MATCH(F$1,[1]Sheet1!$A$4:$P$4,0),0),"")</f>
        <v>0</v>
      </c>
      <c r="G50">
        <f>IFERROR(VLOOKUP($A50,[1]Sheet1!$A$8:$P$1264,MATCH(G$1,[1]Sheet1!$A$4:$P$4,0),0),"")</f>
        <v>27</v>
      </c>
      <c r="H50">
        <f>IFERROR(VLOOKUP($A50,[1]Sheet1!$A$8:$P$1264,MATCH(H$1,[1]Sheet1!$A$4:$P$4,0),0),"")</f>
        <v>0</v>
      </c>
      <c r="I50">
        <f>IFERROR(VLOOKUP($A50,[1]Sheet1!$A$8:$P$1264,MATCH(I$1,[1]Sheet1!$A$4:$P$4,0),0),"")</f>
        <v>27</v>
      </c>
      <c r="J50">
        <f>IFERROR(VLOOKUP($A50,[1]Sheet1!$A$8:$P$1264,MATCH(J$1,[1]Sheet1!$A$4:$P$4,0),0),"")</f>
        <v>0</v>
      </c>
      <c r="K50">
        <f>IFERROR(VLOOKUP($A50,[1]Sheet1!$A$8:$P$1264,MATCH(K$1,[1]Sheet1!$A$4:$P$4,0),0),"")</f>
        <v>27</v>
      </c>
      <c r="L50">
        <f>IFERROR(VLOOKUP($A50,[1]Sheet1!$A$8:$P$1264,MATCH(L$1,[1]Sheet1!$A$4:$P$4,0),0),"")</f>
        <v>0</v>
      </c>
      <c r="M50">
        <f>IFERROR(VLOOKUP($A50,[1]Sheet1!$A$8:$P$1264,MATCH(M$1,[1]Sheet1!$A$4:$P$4,0),0),"")</f>
        <v>27</v>
      </c>
      <c r="N50">
        <f>IFERROR(VLOOKUP($A50,[1]Sheet1!$A$8:$P$1264,MATCH(N$1,[1]Sheet1!$A$4:$P$4,0),0),"")</f>
        <v>0</v>
      </c>
      <c r="O50">
        <f>IFERROR(VLOOKUP($A50,[1]Sheet1!$A$8:$P$1264,MATCH(O$1,[1]Sheet1!$A$4:$P$4,0),0),"")</f>
        <v>27</v>
      </c>
      <c r="P50">
        <f>IFERROR(VLOOKUP($A50,[1]Sheet1!$A$8:$P$1264,MATCH(P$1,[1]Sheet1!$A$4:$P$4,0),0),"")</f>
        <v>0</v>
      </c>
      <c r="Q50">
        <f>IFERROR(VLOOKUP($A50,[1]Sheet1!$A$8:$P$1264,MATCH(Q$1,[1]Sheet1!$A$4:$P$4,0),0),"")</f>
        <v>28</v>
      </c>
      <c r="R50">
        <f>IFERROR(VLOOKUP($A50,[1]Sheet1!$A$8:$P$1264,MATCH(R$1,[1]Sheet1!$A$4:$P$4,0),0),"")</f>
        <v>0</v>
      </c>
      <c r="S50">
        <f>IFERROR(VLOOKUP($A50,[1]Sheet1!$A$8:$P$1264,MATCH(S$1,[1]Sheet1!$A$4:$P$4,0),0),"")</f>
        <v>28</v>
      </c>
    </row>
    <row r="51" spans="1:19">
      <c r="A51" t="str">
        <f t="shared" si="3"/>
        <v>DCA-RSW</v>
      </c>
      <c r="B51" s="3" t="s">
        <v>32</v>
      </c>
      <c r="C51" s="3" t="s">
        <v>15</v>
      </c>
      <c r="D51" t="s">
        <v>2</v>
      </c>
      <c r="E51" t="str">
        <f t="shared" si="2"/>
        <v>AirTran</v>
      </c>
      <c r="F51">
        <f>IFERROR(VLOOKUP($A51,[1]Sheet1!$A$8:$P$1264,MATCH(F$1,[1]Sheet1!$A$4:$P$4,0),0),"")</f>
        <v>0</v>
      </c>
      <c r="G51">
        <f>IFERROR(VLOOKUP($A51,[1]Sheet1!$A$8:$P$1264,MATCH(G$1,[1]Sheet1!$A$4:$P$4,0),0),"")</f>
        <v>7</v>
      </c>
      <c r="H51">
        <f>IFERROR(VLOOKUP($A51,[1]Sheet1!$A$8:$P$1264,MATCH(H$1,[1]Sheet1!$A$4:$P$4,0),0),"")</f>
        <v>0</v>
      </c>
      <c r="I51">
        <f>IFERROR(VLOOKUP($A51,[1]Sheet1!$A$8:$P$1264,MATCH(I$1,[1]Sheet1!$A$4:$P$4,0),0),"")</f>
        <v>7</v>
      </c>
      <c r="J51">
        <f>IFERROR(VLOOKUP($A51,[1]Sheet1!$A$8:$P$1264,MATCH(J$1,[1]Sheet1!$A$4:$P$4,0),0),"")</f>
        <v>0</v>
      </c>
      <c r="K51">
        <f>IFERROR(VLOOKUP($A51,[1]Sheet1!$A$8:$P$1264,MATCH(K$1,[1]Sheet1!$A$4:$P$4,0),0),"")</f>
        <v>7</v>
      </c>
      <c r="L51">
        <f>IFERROR(VLOOKUP($A51,[1]Sheet1!$A$8:$P$1264,MATCH(L$1,[1]Sheet1!$A$4:$P$4,0),0),"")</f>
        <v>0</v>
      </c>
      <c r="M51">
        <f>IFERROR(VLOOKUP($A51,[1]Sheet1!$A$8:$P$1264,MATCH(M$1,[1]Sheet1!$A$4:$P$4,0),0),"")</f>
        <v>7</v>
      </c>
      <c r="N51">
        <f>IFERROR(VLOOKUP($A51,[1]Sheet1!$A$8:$P$1264,MATCH(N$1,[1]Sheet1!$A$4:$P$4,0),0),"")</f>
        <v>0</v>
      </c>
      <c r="O51">
        <f>IFERROR(VLOOKUP($A51,[1]Sheet1!$A$8:$P$1264,MATCH(O$1,[1]Sheet1!$A$4:$P$4,0),0),"")</f>
        <v>7</v>
      </c>
      <c r="P51">
        <f>IFERROR(VLOOKUP($A51,[1]Sheet1!$A$8:$P$1264,MATCH(P$1,[1]Sheet1!$A$4:$P$4,0),0),"")</f>
        <v>0</v>
      </c>
      <c r="Q51">
        <f>IFERROR(VLOOKUP($A51,[1]Sheet1!$A$8:$P$1264,MATCH(Q$1,[1]Sheet1!$A$4:$P$4,0),0),"")</f>
        <v>7</v>
      </c>
      <c r="R51">
        <f>IFERROR(VLOOKUP($A51,[1]Sheet1!$A$8:$P$1264,MATCH(R$1,[1]Sheet1!$A$4:$P$4,0),0),"")</f>
        <v>0</v>
      </c>
      <c r="S51">
        <f>IFERROR(VLOOKUP($A51,[1]Sheet1!$A$8:$P$1264,MATCH(S$1,[1]Sheet1!$A$4:$P$4,0),0),"")</f>
        <v>7</v>
      </c>
    </row>
    <row r="52" spans="1:19">
      <c r="A52" t="str">
        <f t="shared" si="3"/>
        <v>DEN-JAX</v>
      </c>
      <c r="B52" s="3" t="s">
        <v>18</v>
      </c>
      <c r="C52" s="3" t="s">
        <v>25</v>
      </c>
      <c r="D52" t="s">
        <v>2</v>
      </c>
      <c r="E52" t="str">
        <f t="shared" si="2"/>
        <v>Southwest</v>
      </c>
      <c r="F52">
        <f>IFERROR(VLOOKUP($A52,[1]Sheet1!$A$8:$P$1264,MATCH(F$1,[1]Sheet1!$A$4:$P$4,0),0),"")</f>
        <v>7</v>
      </c>
      <c r="G52">
        <f>IFERROR(VLOOKUP($A52,[1]Sheet1!$A$8:$P$1264,MATCH(G$1,[1]Sheet1!$A$4:$P$4,0),0),"")</f>
        <v>0</v>
      </c>
      <c r="H52">
        <f>IFERROR(VLOOKUP($A52,[1]Sheet1!$A$8:$P$1264,MATCH(H$1,[1]Sheet1!$A$4:$P$4,0),0),"")</f>
        <v>7</v>
      </c>
      <c r="I52">
        <f>IFERROR(VLOOKUP($A52,[1]Sheet1!$A$8:$P$1264,MATCH(I$1,[1]Sheet1!$A$4:$P$4,0),0),"")</f>
        <v>0</v>
      </c>
      <c r="J52">
        <f>IFERROR(VLOOKUP($A52,[1]Sheet1!$A$8:$P$1264,MATCH(J$1,[1]Sheet1!$A$4:$P$4,0),0),"")</f>
        <v>7</v>
      </c>
      <c r="K52">
        <f>IFERROR(VLOOKUP($A52,[1]Sheet1!$A$8:$P$1264,MATCH(K$1,[1]Sheet1!$A$4:$P$4,0),0),"")</f>
        <v>0</v>
      </c>
      <c r="L52">
        <f>IFERROR(VLOOKUP($A52,[1]Sheet1!$A$8:$P$1264,MATCH(L$1,[1]Sheet1!$A$4:$P$4,0),0),"")</f>
        <v>7</v>
      </c>
      <c r="M52">
        <f>IFERROR(VLOOKUP($A52,[1]Sheet1!$A$8:$P$1264,MATCH(M$1,[1]Sheet1!$A$4:$P$4,0),0),"")</f>
        <v>0</v>
      </c>
      <c r="N52">
        <f>IFERROR(VLOOKUP($A52,[1]Sheet1!$A$8:$P$1264,MATCH(N$1,[1]Sheet1!$A$4:$P$4,0),0),"")</f>
        <v>7</v>
      </c>
      <c r="O52">
        <f>IFERROR(VLOOKUP($A52,[1]Sheet1!$A$8:$P$1264,MATCH(O$1,[1]Sheet1!$A$4:$P$4,0),0),"")</f>
        <v>0</v>
      </c>
      <c r="P52">
        <f>IFERROR(VLOOKUP($A52,[1]Sheet1!$A$8:$P$1264,MATCH(P$1,[1]Sheet1!$A$4:$P$4,0),0),"")</f>
        <v>7</v>
      </c>
      <c r="Q52">
        <f>IFERROR(VLOOKUP($A52,[1]Sheet1!$A$8:$P$1264,MATCH(Q$1,[1]Sheet1!$A$4:$P$4,0),0),"")</f>
        <v>0</v>
      </c>
      <c r="R52">
        <f>IFERROR(VLOOKUP($A52,[1]Sheet1!$A$8:$P$1264,MATCH(R$1,[1]Sheet1!$A$4:$P$4,0),0),"")</f>
        <v>7</v>
      </c>
      <c r="S52">
        <f>IFERROR(VLOOKUP($A52,[1]Sheet1!$A$8:$P$1264,MATCH(S$1,[1]Sheet1!$A$4:$P$4,0),0),"")</f>
        <v>0</v>
      </c>
    </row>
    <row r="53" spans="1:19">
      <c r="A53" t="str">
        <f t="shared" si="3"/>
        <v>DEN-RDU</v>
      </c>
      <c r="B53" s="3" t="s">
        <v>18</v>
      </c>
      <c r="C53" s="3" t="s">
        <v>14</v>
      </c>
      <c r="D53" t="s">
        <v>2</v>
      </c>
      <c r="E53" t="str">
        <f t="shared" si="2"/>
        <v>Southwest</v>
      </c>
      <c r="F53">
        <f>IFERROR(VLOOKUP($A53,[1]Sheet1!$A$8:$P$1264,MATCH(F$1,[1]Sheet1!$A$4:$P$4,0),0),"")</f>
        <v>7</v>
      </c>
      <c r="G53">
        <f>IFERROR(VLOOKUP($A53,[1]Sheet1!$A$8:$P$1264,MATCH(G$1,[1]Sheet1!$A$4:$P$4,0),0),"")</f>
        <v>0</v>
      </c>
      <c r="H53">
        <f>IFERROR(VLOOKUP($A53,[1]Sheet1!$A$8:$P$1264,MATCH(H$1,[1]Sheet1!$A$4:$P$4,0),0),"")</f>
        <v>7</v>
      </c>
      <c r="I53">
        <f>IFERROR(VLOOKUP($A53,[1]Sheet1!$A$8:$P$1264,MATCH(I$1,[1]Sheet1!$A$4:$P$4,0),0),"")</f>
        <v>0</v>
      </c>
      <c r="J53">
        <f>IFERROR(VLOOKUP($A53,[1]Sheet1!$A$8:$P$1264,MATCH(J$1,[1]Sheet1!$A$4:$P$4,0),0),"")</f>
        <v>7</v>
      </c>
      <c r="K53">
        <f>IFERROR(VLOOKUP($A53,[1]Sheet1!$A$8:$P$1264,MATCH(K$1,[1]Sheet1!$A$4:$P$4,0),0),"")</f>
        <v>0</v>
      </c>
      <c r="L53">
        <f>IFERROR(VLOOKUP($A53,[1]Sheet1!$A$8:$P$1264,MATCH(L$1,[1]Sheet1!$A$4:$P$4,0),0),"")</f>
        <v>7</v>
      </c>
      <c r="M53">
        <f>IFERROR(VLOOKUP($A53,[1]Sheet1!$A$8:$P$1264,MATCH(M$1,[1]Sheet1!$A$4:$P$4,0),0),"")</f>
        <v>0</v>
      </c>
      <c r="N53">
        <f>IFERROR(VLOOKUP($A53,[1]Sheet1!$A$8:$P$1264,MATCH(N$1,[1]Sheet1!$A$4:$P$4,0),0),"")</f>
        <v>7</v>
      </c>
      <c r="O53">
        <f>IFERROR(VLOOKUP($A53,[1]Sheet1!$A$8:$P$1264,MATCH(O$1,[1]Sheet1!$A$4:$P$4,0),0),"")</f>
        <v>0</v>
      </c>
      <c r="P53">
        <f>IFERROR(VLOOKUP($A53,[1]Sheet1!$A$8:$P$1264,MATCH(P$1,[1]Sheet1!$A$4:$P$4,0),0),"")</f>
        <v>14</v>
      </c>
      <c r="Q53">
        <f>IFERROR(VLOOKUP($A53,[1]Sheet1!$A$8:$P$1264,MATCH(Q$1,[1]Sheet1!$A$4:$P$4,0),0),"")</f>
        <v>0</v>
      </c>
      <c r="R53">
        <f>IFERROR(VLOOKUP($A53,[1]Sheet1!$A$8:$P$1264,MATCH(R$1,[1]Sheet1!$A$4:$P$4,0),0),"")</f>
        <v>14</v>
      </c>
      <c r="S53">
        <f>IFERROR(VLOOKUP($A53,[1]Sheet1!$A$8:$P$1264,MATCH(S$1,[1]Sheet1!$A$4:$P$4,0),0),"")</f>
        <v>0</v>
      </c>
    </row>
    <row r="54" spans="1:19">
      <c r="A54" t="str">
        <f t="shared" si="3"/>
        <v>DEN-TPA</v>
      </c>
      <c r="B54" s="3" t="s">
        <v>18</v>
      </c>
      <c r="C54" s="3" t="s">
        <v>30</v>
      </c>
      <c r="D54" t="s">
        <v>2</v>
      </c>
      <c r="E54" t="str">
        <f t="shared" si="2"/>
        <v>Southwest</v>
      </c>
      <c r="F54">
        <f>IFERROR(VLOOKUP($A54,[1]Sheet1!$A$8:$P$1264,MATCH(F$1,[1]Sheet1!$A$4:$P$4,0),0),"")</f>
        <v>14</v>
      </c>
      <c r="G54">
        <f>IFERROR(VLOOKUP($A54,[1]Sheet1!$A$8:$P$1264,MATCH(G$1,[1]Sheet1!$A$4:$P$4,0),0),"")</f>
        <v>0</v>
      </c>
      <c r="H54">
        <f>IFERROR(VLOOKUP($A54,[1]Sheet1!$A$8:$P$1264,MATCH(H$1,[1]Sheet1!$A$4:$P$4,0),0),"")</f>
        <v>14</v>
      </c>
      <c r="I54">
        <f>IFERROR(VLOOKUP($A54,[1]Sheet1!$A$8:$P$1264,MATCH(I$1,[1]Sheet1!$A$4:$P$4,0),0),"")</f>
        <v>0</v>
      </c>
      <c r="J54">
        <f>IFERROR(VLOOKUP($A54,[1]Sheet1!$A$8:$P$1264,MATCH(J$1,[1]Sheet1!$A$4:$P$4,0),0),"")</f>
        <v>15</v>
      </c>
      <c r="K54">
        <f>IFERROR(VLOOKUP($A54,[1]Sheet1!$A$8:$P$1264,MATCH(K$1,[1]Sheet1!$A$4:$P$4,0),0),"")</f>
        <v>0</v>
      </c>
      <c r="L54">
        <f>IFERROR(VLOOKUP($A54,[1]Sheet1!$A$8:$P$1264,MATCH(L$1,[1]Sheet1!$A$4:$P$4,0),0),"")</f>
        <v>14</v>
      </c>
      <c r="M54">
        <f>IFERROR(VLOOKUP($A54,[1]Sheet1!$A$8:$P$1264,MATCH(M$1,[1]Sheet1!$A$4:$P$4,0),0),"")</f>
        <v>0</v>
      </c>
      <c r="N54">
        <f>IFERROR(VLOOKUP($A54,[1]Sheet1!$A$8:$P$1264,MATCH(N$1,[1]Sheet1!$A$4:$P$4,0),0),"")</f>
        <v>14</v>
      </c>
      <c r="O54">
        <f>IFERROR(VLOOKUP($A54,[1]Sheet1!$A$8:$P$1264,MATCH(O$1,[1]Sheet1!$A$4:$P$4,0),0),"")</f>
        <v>0</v>
      </c>
      <c r="P54">
        <f>IFERROR(VLOOKUP($A54,[1]Sheet1!$A$8:$P$1264,MATCH(P$1,[1]Sheet1!$A$4:$P$4,0),0),"")</f>
        <v>14</v>
      </c>
      <c r="Q54">
        <f>IFERROR(VLOOKUP($A54,[1]Sheet1!$A$8:$P$1264,MATCH(Q$1,[1]Sheet1!$A$4:$P$4,0),0),"")</f>
        <v>0</v>
      </c>
      <c r="R54">
        <f>IFERROR(VLOOKUP($A54,[1]Sheet1!$A$8:$P$1264,MATCH(R$1,[1]Sheet1!$A$4:$P$4,0),0),"")</f>
        <v>14</v>
      </c>
      <c r="S54">
        <f>IFERROR(VLOOKUP($A54,[1]Sheet1!$A$8:$P$1264,MATCH(S$1,[1]Sheet1!$A$4:$P$4,0),0),"")</f>
        <v>0</v>
      </c>
    </row>
    <row r="55" spans="1:19">
      <c r="A55" t="str">
        <f t="shared" si="3"/>
        <v>DTW-MCO</v>
      </c>
      <c r="B55" s="3" t="s">
        <v>8</v>
      </c>
      <c r="C55" s="3" t="s">
        <v>27</v>
      </c>
      <c r="D55" t="s">
        <v>2</v>
      </c>
      <c r="E55" t="str">
        <f t="shared" si="2"/>
        <v>AirTran</v>
      </c>
      <c r="F55">
        <f>IFERROR(VLOOKUP($A55,[1]Sheet1!$A$8:$P$1264,MATCH(F$1,[1]Sheet1!$A$4:$P$4,0),0),"")</f>
        <v>0</v>
      </c>
      <c r="G55">
        <f>IFERROR(VLOOKUP($A55,[1]Sheet1!$A$8:$P$1264,MATCH(G$1,[1]Sheet1!$A$4:$P$4,0),0),"")</f>
        <v>14</v>
      </c>
      <c r="H55">
        <f>IFERROR(VLOOKUP($A55,[1]Sheet1!$A$8:$P$1264,MATCH(H$1,[1]Sheet1!$A$4:$P$4,0),0),"")</f>
        <v>0</v>
      </c>
      <c r="I55">
        <f>IFERROR(VLOOKUP($A55,[1]Sheet1!$A$8:$P$1264,MATCH(I$1,[1]Sheet1!$A$4:$P$4,0),0),"")</f>
        <v>14</v>
      </c>
      <c r="J55">
        <f>IFERROR(VLOOKUP($A55,[1]Sheet1!$A$8:$P$1264,MATCH(J$1,[1]Sheet1!$A$4:$P$4,0),0),"")</f>
        <v>2</v>
      </c>
      <c r="K55">
        <f>IFERROR(VLOOKUP($A55,[1]Sheet1!$A$8:$P$1264,MATCH(K$1,[1]Sheet1!$A$4:$P$4,0),0),"")</f>
        <v>14</v>
      </c>
      <c r="L55">
        <f>IFERROR(VLOOKUP($A55,[1]Sheet1!$A$8:$P$1264,MATCH(L$1,[1]Sheet1!$A$4:$P$4,0),0),"")</f>
        <v>0</v>
      </c>
      <c r="M55">
        <f>IFERROR(VLOOKUP($A55,[1]Sheet1!$A$8:$P$1264,MATCH(M$1,[1]Sheet1!$A$4:$P$4,0),0),"")</f>
        <v>14</v>
      </c>
      <c r="N55">
        <f>IFERROR(VLOOKUP($A55,[1]Sheet1!$A$8:$P$1264,MATCH(N$1,[1]Sheet1!$A$4:$P$4,0),0),"")</f>
        <v>0</v>
      </c>
      <c r="O55">
        <f>IFERROR(VLOOKUP($A55,[1]Sheet1!$A$8:$P$1264,MATCH(O$1,[1]Sheet1!$A$4:$P$4,0),0),"")</f>
        <v>14</v>
      </c>
      <c r="P55">
        <f>IFERROR(VLOOKUP($A55,[1]Sheet1!$A$8:$P$1264,MATCH(P$1,[1]Sheet1!$A$4:$P$4,0),0),"")</f>
        <v>0</v>
      </c>
      <c r="Q55">
        <f>IFERROR(VLOOKUP($A55,[1]Sheet1!$A$8:$P$1264,MATCH(Q$1,[1]Sheet1!$A$4:$P$4,0),0),"")</f>
        <v>14</v>
      </c>
      <c r="R55">
        <f>IFERROR(VLOOKUP($A55,[1]Sheet1!$A$8:$P$1264,MATCH(R$1,[1]Sheet1!$A$4:$P$4,0),0),"")</f>
        <v>0</v>
      </c>
      <c r="S55">
        <f>IFERROR(VLOOKUP($A55,[1]Sheet1!$A$8:$P$1264,MATCH(S$1,[1]Sheet1!$A$4:$P$4,0),0),"")</f>
        <v>14</v>
      </c>
    </row>
    <row r="56" spans="1:19">
      <c r="A56" t="str">
        <f t="shared" si="3"/>
        <v>DTW-SEA</v>
      </c>
      <c r="B56" s="3" t="s">
        <v>8</v>
      </c>
      <c r="C56" s="3" t="s">
        <v>29</v>
      </c>
      <c r="D56" t="s">
        <v>2</v>
      </c>
      <c r="E56" t="s">
        <v>49</v>
      </c>
      <c r="F56" t="str">
        <f>IFERROR(VLOOKUP($A56,[1]Sheet1!$A$8:$P$1264,MATCH(F$1,[1]Sheet1!$A$4:$P$4,0),0),"")</f>
        <v/>
      </c>
      <c r="G56" t="str">
        <f>IFERROR(VLOOKUP($A56,[1]Sheet1!$A$8:$P$1264,MATCH(G$1,[1]Sheet1!$A$4:$P$4,0),0),"")</f>
        <v/>
      </c>
      <c r="H56" t="str">
        <f>IFERROR(VLOOKUP($A56,[1]Sheet1!$A$8:$P$1264,MATCH(H$1,[1]Sheet1!$A$4:$P$4,0),0),"")</f>
        <v/>
      </c>
      <c r="I56" t="str">
        <f>IFERROR(VLOOKUP($A56,[1]Sheet1!$A$8:$P$1264,MATCH(I$1,[1]Sheet1!$A$4:$P$4,0),0),"")</f>
        <v/>
      </c>
      <c r="J56" t="str">
        <f>IFERROR(VLOOKUP($A56,[1]Sheet1!$A$8:$P$1264,MATCH(J$1,[1]Sheet1!$A$4:$P$4,0),0),"")</f>
        <v/>
      </c>
      <c r="K56" t="str">
        <f>IFERROR(VLOOKUP($A56,[1]Sheet1!$A$8:$P$1264,MATCH(K$1,[1]Sheet1!$A$4:$P$4,0),0),"")</f>
        <v/>
      </c>
      <c r="L56" t="str">
        <f>IFERROR(VLOOKUP($A56,[1]Sheet1!$A$8:$P$1264,MATCH(L$1,[1]Sheet1!$A$4:$P$4,0),0),"")</f>
        <v/>
      </c>
      <c r="M56" t="str">
        <f>IFERROR(VLOOKUP($A56,[1]Sheet1!$A$8:$P$1264,MATCH(M$1,[1]Sheet1!$A$4:$P$4,0),0),"")</f>
        <v/>
      </c>
      <c r="N56" t="str">
        <f>IFERROR(VLOOKUP($A56,[1]Sheet1!$A$8:$P$1264,MATCH(N$1,[1]Sheet1!$A$4:$P$4,0),0),"")</f>
        <v/>
      </c>
      <c r="O56" t="str">
        <f>IFERROR(VLOOKUP($A56,[1]Sheet1!$A$8:$P$1264,MATCH(O$1,[1]Sheet1!$A$4:$P$4,0),0),"")</f>
        <v/>
      </c>
      <c r="P56" t="str">
        <f>IFERROR(VLOOKUP($A56,[1]Sheet1!$A$8:$P$1264,MATCH(P$1,[1]Sheet1!$A$4:$P$4,0),0),"")</f>
        <v/>
      </c>
      <c r="Q56" t="str">
        <f>IFERROR(VLOOKUP($A56,[1]Sheet1!$A$8:$P$1264,MATCH(Q$1,[1]Sheet1!$A$4:$P$4,0),0),"")</f>
        <v/>
      </c>
      <c r="R56" t="str">
        <f>IFERROR(VLOOKUP($A56,[1]Sheet1!$A$8:$P$1264,MATCH(R$1,[1]Sheet1!$A$4:$P$4,0),0),"")</f>
        <v/>
      </c>
      <c r="S56" t="str">
        <f>IFERROR(VLOOKUP($A56,[1]Sheet1!$A$8:$P$1264,MATCH(S$1,[1]Sheet1!$A$4:$P$4,0),0),"")</f>
        <v/>
      </c>
    </row>
    <row r="57" spans="1:19">
      <c r="A57" t="str">
        <f t="shared" si="3"/>
        <v>FLL-HOU</v>
      </c>
      <c r="B57" s="3" t="s">
        <v>1</v>
      </c>
      <c r="C57" s="3" t="s">
        <v>9</v>
      </c>
      <c r="D57" t="s">
        <v>2</v>
      </c>
      <c r="E57" t="str">
        <f t="shared" si="2"/>
        <v>Southwest</v>
      </c>
      <c r="F57">
        <f>IFERROR(VLOOKUP($A57,[1]Sheet1!$A$8:$P$1264,MATCH(F$1,[1]Sheet1!$A$4:$P$4,0),0),"")</f>
        <v>14</v>
      </c>
      <c r="G57">
        <f>IFERROR(VLOOKUP($A57,[1]Sheet1!$A$8:$P$1264,MATCH(G$1,[1]Sheet1!$A$4:$P$4,0),0),"")</f>
        <v>0</v>
      </c>
      <c r="H57">
        <f>IFERROR(VLOOKUP($A57,[1]Sheet1!$A$8:$P$1264,MATCH(H$1,[1]Sheet1!$A$4:$P$4,0),0),"")</f>
        <v>14</v>
      </c>
      <c r="I57">
        <f>IFERROR(VLOOKUP($A57,[1]Sheet1!$A$8:$P$1264,MATCH(I$1,[1]Sheet1!$A$4:$P$4,0),0),"")</f>
        <v>0</v>
      </c>
      <c r="J57">
        <f>IFERROR(VLOOKUP($A57,[1]Sheet1!$A$8:$P$1264,MATCH(J$1,[1]Sheet1!$A$4:$P$4,0),0),"")</f>
        <v>14</v>
      </c>
      <c r="K57">
        <f>IFERROR(VLOOKUP($A57,[1]Sheet1!$A$8:$P$1264,MATCH(K$1,[1]Sheet1!$A$4:$P$4,0),0),"")</f>
        <v>0</v>
      </c>
      <c r="L57">
        <f>IFERROR(VLOOKUP($A57,[1]Sheet1!$A$8:$P$1264,MATCH(L$1,[1]Sheet1!$A$4:$P$4,0),0),"")</f>
        <v>14</v>
      </c>
      <c r="M57">
        <f>IFERROR(VLOOKUP($A57,[1]Sheet1!$A$8:$P$1264,MATCH(M$1,[1]Sheet1!$A$4:$P$4,0),0),"")</f>
        <v>0</v>
      </c>
      <c r="N57">
        <f>IFERROR(VLOOKUP($A57,[1]Sheet1!$A$8:$P$1264,MATCH(N$1,[1]Sheet1!$A$4:$P$4,0),0),"")</f>
        <v>14</v>
      </c>
      <c r="O57">
        <f>IFERROR(VLOOKUP($A57,[1]Sheet1!$A$8:$P$1264,MATCH(O$1,[1]Sheet1!$A$4:$P$4,0),0),"")</f>
        <v>0</v>
      </c>
      <c r="P57">
        <f>IFERROR(VLOOKUP($A57,[1]Sheet1!$A$8:$P$1264,MATCH(P$1,[1]Sheet1!$A$4:$P$4,0),0),"")</f>
        <v>14</v>
      </c>
      <c r="Q57">
        <f>IFERROR(VLOOKUP($A57,[1]Sheet1!$A$8:$P$1264,MATCH(Q$1,[1]Sheet1!$A$4:$P$4,0),0),"")</f>
        <v>0</v>
      </c>
      <c r="R57">
        <f>IFERROR(VLOOKUP($A57,[1]Sheet1!$A$8:$P$1264,MATCH(R$1,[1]Sheet1!$A$4:$P$4,0),0),"")</f>
        <v>14</v>
      </c>
      <c r="S57">
        <f>IFERROR(VLOOKUP($A57,[1]Sheet1!$A$8:$P$1264,MATCH(S$1,[1]Sheet1!$A$4:$P$4,0),0),"")</f>
        <v>0</v>
      </c>
    </row>
    <row r="58" spans="1:19">
      <c r="A58" t="str">
        <f t="shared" si="3"/>
        <v>FLL-IND</v>
      </c>
      <c r="B58" s="3" t="s">
        <v>1</v>
      </c>
      <c r="C58" s="3" t="s">
        <v>24</v>
      </c>
      <c r="D58" t="s">
        <v>2</v>
      </c>
      <c r="E58" t="str">
        <f t="shared" si="2"/>
        <v>AirTran</v>
      </c>
      <c r="F58">
        <f>IFERROR(VLOOKUP($A58,[1]Sheet1!$A$8:$P$1264,MATCH(F$1,[1]Sheet1!$A$4:$P$4,0),0),"")</f>
        <v>0</v>
      </c>
      <c r="G58">
        <f>IFERROR(VLOOKUP($A58,[1]Sheet1!$A$8:$P$1264,MATCH(G$1,[1]Sheet1!$A$4:$P$4,0),0),"")</f>
        <v>8</v>
      </c>
      <c r="H58">
        <f>IFERROR(VLOOKUP($A58,[1]Sheet1!$A$8:$P$1264,MATCH(H$1,[1]Sheet1!$A$4:$P$4,0),0),"")</f>
        <v>0</v>
      </c>
      <c r="I58">
        <f>IFERROR(VLOOKUP($A58,[1]Sheet1!$A$8:$P$1264,MATCH(I$1,[1]Sheet1!$A$4:$P$4,0),0),"")</f>
        <v>8</v>
      </c>
      <c r="J58">
        <f>IFERROR(VLOOKUP($A58,[1]Sheet1!$A$8:$P$1264,MATCH(J$1,[1]Sheet1!$A$4:$P$4,0),0),"")</f>
        <v>0</v>
      </c>
      <c r="K58">
        <f>IFERROR(VLOOKUP($A58,[1]Sheet1!$A$8:$P$1264,MATCH(K$1,[1]Sheet1!$A$4:$P$4,0),0),"")</f>
        <v>7</v>
      </c>
      <c r="L58">
        <f>IFERROR(VLOOKUP($A58,[1]Sheet1!$A$8:$P$1264,MATCH(L$1,[1]Sheet1!$A$4:$P$4,0),0),"")</f>
        <v>0</v>
      </c>
      <c r="M58">
        <f>IFERROR(VLOOKUP($A58,[1]Sheet1!$A$8:$P$1264,MATCH(M$1,[1]Sheet1!$A$4:$P$4,0),0),"")</f>
        <v>7</v>
      </c>
      <c r="N58">
        <f>IFERROR(VLOOKUP($A58,[1]Sheet1!$A$8:$P$1264,MATCH(N$1,[1]Sheet1!$A$4:$P$4,0),0),"")</f>
        <v>0</v>
      </c>
      <c r="O58">
        <f>IFERROR(VLOOKUP($A58,[1]Sheet1!$A$8:$P$1264,MATCH(O$1,[1]Sheet1!$A$4:$P$4,0),0),"")</f>
        <v>7</v>
      </c>
      <c r="P58">
        <f>IFERROR(VLOOKUP($A58,[1]Sheet1!$A$8:$P$1264,MATCH(P$1,[1]Sheet1!$A$4:$P$4,0),0),"")</f>
        <v>0</v>
      </c>
      <c r="Q58">
        <f>IFERROR(VLOOKUP($A58,[1]Sheet1!$A$8:$P$1264,MATCH(Q$1,[1]Sheet1!$A$4:$P$4,0),0),"")</f>
        <v>8</v>
      </c>
      <c r="R58">
        <f>IFERROR(VLOOKUP($A58,[1]Sheet1!$A$8:$P$1264,MATCH(R$1,[1]Sheet1!$A$4:$P$4,0),0),"")</f>
        <v>0</v>
      </c>
      <c r="S58">
        <f>IFERROR(VLOOKUP($A58,[1]Sheet1!$A$8:$P$1264,MATCH(S$1,[1]Sheet1!$A$4:$P$4,0),0),"")</f>
        <v>8</v>
      </c>
    </row>
    <row r="59" spans="1:19">
      <c r="A59" t="str">
        <f t="shared" si="3"/>
        <v>FLL-LAS</v>
      </c>
      <c r="B59" s="3" t="s">
        <v>1</v>
      </c>
      <c r="C59" s="3" t="s">
        <v>21</v>
      </c>
      <c r="D59" t="s">
        <v>2</v>
      </c>
      <c r="E59" t="str">
        <f t="shared" si="2"/>
        <v>Southwest</v>
      </c>
      <c r="F59">
        <f>IFERROR(VLOOKUP($A59,[1]Sheet1!$A$8:$P$1264,MATCH(F$1,[1]Sheet1!$A$4:$P$4,0),0),"")</f>
        <v>7</v>
      </c>
      <c r="G59">
        <f>IFERROR(VLOOKUP($A59,[1]Sheet1!$A$8:$P$1264,MATCH(G$1,[1]Sheet1!$A$4:$P$4,0),0),"")</f>
        <v>0</v>
      </c>
      <c r="H59">
        <f>IFERROR(VLOOKUP($A59,[1]Sheet1!$A$8:$P$1264,MATCH(H$1,[1]Sheet1!$A$4:$P$4,0),0),"")</f>
        <v>7</v>
      </c>
      <c r="I59">
        <f>IFERROR(VLOOKUP($A59,[1]Sheet1!$A$8:$P$1264,MATCH(I$1,[1]Sheet1!$A$4:$P$4,0),0),"")</f>
        <v>0</v>
      </c>
      <c r="J59">
        <f>IFERROR(VLOOKUP($A59,[1]Sheet1!$A$8:$P$1264,MATCH(J$1,[1]Sheet1!$A$4:$P$4,0),0),"")</f>
        <v>7</v>
      </c>
      <c r="K59">
        <f>IFERROR(VLOOKUP($A59,[1]Sheet1!$A$8:$P$1264,MATCH(K$1,[1]Sheet1!$A$4:$P$4,0),0),"")</f>
        <v>0</v>
      </c>
      <c r="L59">
        <f>IFERROR(VLOOKUP($A59,[1]Sheet1!$A$8:$P$1264,MATCH(L$1,[1]Sheet1!$A$4:$P$4,0),0),"")</f>
        <v>7</v>
      </c>
      <c r="M59">
        <f>IFERROR(VLOOKUP($A59,[1]Sheet1!$A$8:$P$1264,MATCH(M$1,[1]Sheet1!$A$4:$P$4,0),0),"")</f>
        <v>0</v>
      </c>
      <c r="N59">
        <f>IFERROR(VLOOKUP($A59,[1]Sheet1!$A$8:$P$1264,MATCH(N$1,[1]Sheet1!$A$4:$P$4,0),0),"")</f>
        <v>7</v>
      </c>
      <c r="O59">
        <f>IFERROR(VLOOKUP($A59,[1]Sheet1!$A$8:$P$1264,MATCH(O$1,[1]Sheet1!$A$4:$P$4,0),0),"")</f>
        <v>0</v>
      </c>
      <c r="P59">
        <f>IFERROR(VLOOKUP($A59,[1]Sheet1!$A$8:$P$1264,MATCH(P$1,[1]Sheet1!$A$4:$P$4,0),0),"")</f>
        <v>7</v>
      </c>
      <c r="Q59">
        <f>IFERROR(VLOOKUP($A59,[1]Sheet1!$A$8:$P$1264,MATCH(Q$1,[1]Sheet1!$A$4:$P$4,0),0),"")</f>
        <v>0</v>
      </c>
      <c r="R59">
        <f>IFERROR(VLOOKUP($A59,[1]Sheet1!$A$8:$P$1264,MATCH(R$1,[1]Sheet1!$A$4:$P$4,0),0),"")</f>
        <v>7</v>
      </c>
      <c r="S59">
        <f>IFERROR(VLOOKUP($A59,[1]Sheet1!$A$8:$P$1264,MATCH(S$1,[1]Sheet1!$A$4:$P$4,0),0),"")</f>
        <v>0</v>
      </c>
    </row>
    <row r="60" spans="1:19">
      <c r="A60" t="str">
        <f t="shared" si="3"/>
        <v>FLL-MCI</v>
      </c>
      <c r="B60" s="3" t="s">
        <v>1</v>
      </c>
      <c r="C60" s="3" t="s">
        <v>26</v>
      </c>
      <c r="D60" t="s">
        <v>2</v>
      </c>
      <c r="E60" t="str">
        <f t="shared" si="2"/>
        <v>Southwest</v>
      </c>
      <c r="F60">
        <f>IFERROR(VLOOKUP($A60,[1]Sheet1!$A$8:$P$1264,MATCH(F$1,[1]Sheet1!$A$4:$P$4,0),0),"")</f>
        <v>7</v>
      </c>
      <c r="G60">
        <f>IFERROR(VLOOKUP($A60,[1]Sheet1!$A$8:$P$1264,MATCH(G$1,[1]Sheet1!$A$4:$P$4,0),0),"")</f>
        <v>0</v>
      </c>
      <c r="H60">
        <f>IFERROR(VLOOKUP($A60,[1]Sheet1!$A$8:$P$1264,MATCH(H$1,[1]Sheet1!$A$4:$P$4,0),0),"")</f>
        <v>7</v>
      </c>
      <c r="I60">
        <f>IFERROR(VLOOKUP($A60,[1]Sheet1!$A$8:$P$1264,MATCH(I$1,[1]Sheet1!$A$4:$P$4,0),0),"")</f>
        <v>0</v>
      </c>
      <c r="J60">
        <f>IFERROR(VLOOKUP($A60,[1]Sheet1!$A$8:$P$1264,MATCH(J$1,[1]Sheet1!$A$4:$P$4,0),0),"")</f>
        <v>14</v>
      </c>
      <c r="K60">
        <f>IFERROR(VLOOKUP($A60,[1]Sheet1!$A$8:$P$1264,MATCH(K$1,[1]Sheet1!$A$4:$P$4,0),0),"")</f>
        <v>0</v>
      </c>
      <c r="L60">
        <f>IFERROR(VLOOKUP($A60,[1]Sheet1!$A$8:$P$1264,MATCH(L$1,[1]Sheet1!$A$4:$P$4,0),0),"")</f>
        <v>7</v>
      </c>
      <c r="M60">
        <f>IFERROR(VLOOKUP($A60,[1]Sheet1!$A$8:$P$1264,MATCH(M$1,[1]Sheet1!$A$4:$P$4,0),0),"")</f>
        <v>0</v>
      </c>
      <c r="N60">
        <f>IFERROR(VLOOKUP($A60,[1]Sheet1!$A$8:$P$1264,MATCH(N$1,[1]Sheet1!$A$4:$P$4,0),0),"")</f>
        <v>7</v>
      </c>
      <c r="O60">
        <f>IFERROR(VLOOKUP($A60,[1]Sheet1!$A$8:$P$1264,MATCH(O$1,[1]Sheet1!$A$4:$P$4,0),0),"")</f>
        <v>0</v>
      </c>
      <c r="P60">
        <f>IFERROR(VLOOKUP($A60,[1]Sheet1!$A$8:$P$1264,MATCH(P$1,[1]Sheet1!$A$4:$P$4,0),0),"")</f>
        <v>7</v>
      </c>
      <c r="Q60">
        <f>IFERROR(VLOOKUP($A60,[1]Sheet1!$A$8:$P$1264,MATCH(Q$1,[1]Sheet1!$A$4:$P$4,0),0),"")</f>
        <v>0</v>
      </c>
      <c r="R60">
        <f>IFERROR(VLOOKUP($A60,[1]Sheet1!$A$8:$P$1264,MATCH(R$1,[1]Sheet1!$A$4:$P$4,0),0),"")</f>
        <v>7</v>
      </c>
      <c r="S60">
        <f>IFERROR(VLOOKUP($A60,[1]Sheet1!$A$8:$P$1264,MATCH(S$1,[1]Sheet1!$A$4:$P$4,0),0),"")</f>
        <v>0</v>
      </c>
    </row>
    <row r="61" spans="1:19">
      <c r="A61" t="str">
        <f t="shared" si="3"/>
        <v>FLL-MDW</v>
      </c>
      <c r="B61" s="3" t="s">
        <v>1</v>
      </c>
      <c r="C61" s="3" t="s">
        <v>10</v>
      </c>
      <c r="D61" t="s">
        <v>2</v>
      </c>
      <c r="E61" t="str">
        <f t="shared" si="2"/>
        <v>Southwest</v>
      </c>
      <c r="F61">
        <f>IFERROR(VLOOKUP($A61,[1]Sheet1!$A$8:$P$1264,MATCH(F$1,[1]Sheet1!$A$4:$P$4,0),0),"")</f>
        <v>24</v>
      </c>
      <c r="G61">
        <f>IFERROR(VLOOKUP($A61,[1]Sheet1!$A$8:$P$1264,MATCH(G$1,[1]Sheet1!$A$4:$P$4,0),0),"")</f>
        <v>0</v>
      </c>
      <c r="H61">
        <f>IFERROR(VLOOKUP($A61,[1]Sheet1!$A$8:$P$1264,MATCH(H$1,[1]Sheet1!$A$4:$P$4,0),0),"")</f>
        <v>22</v>
      </c>
      <c r="I61">
        <f>IFERROR(VLOOKUP($A61,[1]Sheet1!$A$8:$P$1264,MATCH(I$1,[1]Sheet1!$A$4:$P$4,0),0),"")</f>
        <v>0</v>
      </c>
      <c r="J61">
        <f>IFERROR(VLOOKUP($A61,[1]Sheet1!$A$8:$P$1264,MATCH(J$1,[1]Sheet1!$A$4:$P$4,0),0),"")</f>
        <v>38</v>
      </c>
      <c r="K61">
        <f>IFERROR(VLOOKUP($A61,[1]Sheet1!$A$8:$P$1264,MATCH(K$1,[1]Sheet1!$A$4:$P$4,0),0),"")</f>
        <v>0</v>
      </c>
      <c r="L61">
        <f>IFERROR(VLOOKUP($A61,[1]Sheet1!$A$8:$P$1264,MATCH(L$1,[1]Sheet1!$A$4:$P$4,0),0),"")</f>
        <v>22</v>
      </c>
      <c r="M61">
        <f>IFERROR(VLOOKUP($A61,[1]Sheet1!$A$8:$P$1264,MATCH(M$1,[1]Sheet1!$A$4:$P$4,0),0),"")</f>
        <v>6</v>
      </c>
      <c r="N61">
        <f>IFERROR(VLOOKUP($A61,[1]Sheet1!$A$8:$P$1264,MATCH(N$1,[1]Sheet1!$A$4:$P$4,0),0),"")</f>
        <v>22</v>
      </c>
      <c r="O61">
        <f>IFERROR(VLOOKUP($A61,[1]Sheet1!$A$8:$P$1264,MATCH(O$1,[1]Sheet1!$A$4:$P$4,0),0),"")</f>
        <v>6</v>
      </c>
      <c r="P61">
        <f>IFERROR(VLOOKUP($A61,[1]Sheet1!$A$8:$P$1264,MATCH(P$1,[1]Sheet1!$A$4:$P$4,0),0),"")</f>
        <v>21</v>
      </c>
      <c r="Q61">
        <f>IFERROR(VLOOKUP($A61,[1]Sheet1!$A$8:$P$1264,MATCH(Q$1,[1]Sheet1!$A$4:$P$4,0),0),"")</f>
        <v>7</v>
      </c>
      <c r="R61">
        <f>IFERROR(VLOOKUP($A61,[1]Sheet1!$A$8:$P$1264,MATCH(R$1,[1]Sheet1!$A$4:$P$4,0),0),"")</f>
        <v>21</v>
      </c>
      <c r="S61">
        <f>IFERROR(VLOOKUP($A61,[1]Sheet1!$A$8:$P$1264,MATCH(S$1,[1]Sheet1!$A$4:$P$4,0),0),"")</f>
        <v>7</v>
      </c>
    </row>
    <row r="62" spans="1:19">
      <c r="A62" t="str">
        <f t="shared" si="3"/>
        <v>FLL-MKE</v>
      </c>
      <c r="B62" s="3" t="s">
        <v>1</v>
      </c>
      <c r="C62" s="3" t="s">
        <v>11</v>
      </c>
      <c r="D62" t="s">
        <v>2</v>
      </c>
      <c r="E62" t="str">
        <f t="shared" si="2"/>
        <v>Southwest</v>
      </c>
      <c r="F62">
        <f>IFERROR(VLOOKUP($A62,[1]Sheet1!$A$8:$P$1264,MATCH(F$1,[1]Sheet1!$A$4:$P$4,0),0),"")</f>
        <v>7</v>
      </c>
      <c r="G62">
        <f>IFERROR(VLOOKUP($A62,[1]Sheet1!$A$8:$P$1264,MATCH(G$1,[1]Sheet1!$A$4:$P$4,0),0),"")</f>
        <v>0</v>
      </c>
      <c r="H62">
        <f>IFERROR(VLOOKUP($A62,[1]Sheet1!$A$8:$P$1264,MATCH(H$1,[1]Sheet1!$A$4:$P$4,0),0),"")</f>
        <v>7</v>
      </c>
      <c r="I62">
        <f>IFERROR(VLOOKUP($A62,[1]Sheet1!$A$8:$P$1264,MATCH(I$1,[1]Sheet1!$A$4:$P$4,0),0),"")</f>
        <v>0</v>
      </c>
      <c r="J62">
        <f>IFERROR(VLOOKUP($A62,[1]Sheet1!$A$8:$P$1264,MATCH(J$1,[1]Sheet1!$A$4:$P$4,0),0),"")</f>
        <v>7</v>
      </c>
      <c r="K62">
        <f>IFERROR(VLOOKUP($A62,[1]Sheet1!$A$8:$P$1264,MATCH(K$1,[1]Sheet1!$A$4:$P$4,0),0),"")</f>
        <v>0</v>
      </c>
      <c r="L62">
        <f>IFERROR(VLOOKUP($A62,[1]Sheet1!$A$8:$P$1264,MATCH(L$1,[1]Sheet1!$A$4:$P$4,0),0),"")</f>
        <v>7</v>
      </c>
      <c r="M62">
        <f>IFERROR(VLOOKUP($A62,[1]Sheet1!$A$8:$P$1264,MATCH(M$1,[1]Sheet1!$A$4:$P$4,0),0),"")</f>
        <v>0</v>
      </c>
      <c r="N62">
        <f>IFERROR(VLOOKUP($A62,[1]Sheet1!$A$8:$P$1264,MATCH(N$1,[1]Sheet1!$A$4:$P$4,0),0),"")</f>
        <v>7</v>
      </c>
      <c r="O62">
        <f>IFERROR(VLOOKUP($A62,[1]Sheet1!$A$8:$P$1264,MATCH(O$1,[1]Sheet1!$A$4:$P$4,0),0),"")</f>
        <v>0</v>
      </c>
      <c r="P62">
        <f>IFERROR(VLOOKUP($A62,[1]Sheet1!$A$8:$P$1264,MATCH(P$1,[1]Sheet1!$A$4:$P$4,0),0),"")</f>
        <v>0</v>
      </c>
      <c r="Q62">
        <f>IFERROR(VLOOKUP($A62,[1]Sheet1!$A$8:$P$1264,MATCH(Q$1,[1]Sheet1!$A$4:$P$4,0),0),"")</f>
        <v>7</v>
      </c>
      <c r="R62">
        <f>IFERROR(VLOOKUP($A62,[1]Sheet1!$A$8:$P$1264,MATCH(R$1,[1]Sheet1!$A$4:$P$4,0),0),"")</f>
        <v>0</v>
      </c>
      <c r="S62">
        <f>IFERROR(VLOOKUP($A62,[1]Sheet1!$A$8:$P$1264,MATCH(S$1,[1]Sheet1!$A$4:$P$4,0),0),"")</f>
        <v>7</v>
      </c>
    </row>
    <row r="63" spans="1:19">
      <c r="A63" t="str">
        <f t="shared" si="3"/>
        <v>FLL-MSY</v>
      </c>
      <c r="B63" s="3" t="s">
        <v>1</v>
      </c>
      <c r="C63" s="3" t="s">
        <v>3</v>
      </c>
      <c r="D63" t="s">
        <v>2</v>
      </c>
      <c r="E63" t="str">
        <f t="shared" si="2"/>
        <v>Southwest</v>
      </c>
      <c r="F63">
        <f>IFERROR(VLOOKUP($A63,[1]Sheet1!$A$8:$P$1264,MATCH(F$1,[1]Sheet1!$A$4:$P$4,0),0),"")</f>
        <v>20</v>
      </c>
      <c r="G63">
        <f>IFERROR(VLOOKUP($A63,[1]Sheet1!$A$8:$P$1264,MATCH(G$1,[1]Sheet1!$A$4:$P$4,0),0),"")</f>
        <v>0</v>
      </c>
      <c r="H63">
        <f>IFERROR(VLOOKUP($A63,[1]Sheet1!$A$8:$P$1264,MATCH(H$1,[1]Sheet1!$A$4:$P$4,0),0),"")</f>
        <v>20</v>
      </c>
      <c r="I63">
        <f>IFERROR(VLOOKUP($A63,[1]Sheet1!$A$8:$P$1264,MATCH(I$1,[1]Sheet1!$A$4:$P$4,0),0),"")</f>
        <v>0</v>
      </c>
      <c r="J63">
        <f>IFERROR(VLOOKUP($A63,[1]Sheet1!$A$8:$P$1264,MATCH(J$1,[1]Sheet1!$A$4:$P$4,0),0),"")</f>
        <v>19</v>
      </c>
      <c r="K63">
        <f>IFERROR(VLOOKUP($A63,[1]Sheet1!$A$8:$P$1264,MATCH(K$1,[1]Sheet1!$A$4:$P$4,0),0),"")</f>
        <v>0</v>
      </c>
      <c r="L63">
        <f>IFERROR(VLOOKUP($A63,[1]Sheet1!$A$8:$P$1264,MATCH(L$1,[1]Sheet1!$A$4:$P$4,0),0),"")</f>
        <v>19</v>
      </c>
      <c r="M63">
        <f>IFERROR(VLOOKUP($A63,[1]Sheet1!$A$8:$P$1264,MATCH(M$1,[1]Sheet1!$A$4:$P$4,0),0),"")</f>
        <v>0</v>
      </c>
      <c r="N63">
        <f>IFERROR(VLOOKUP($A63,[1]Sheet1!$A$8:$P$1264,MATCH(N$1,[1]Sheet1!$A$4:$P$4,0),0),"")</f>
        <v>19</v>
      </c>
      <c r="O63">
        <f>IFERROR(VLOOKUP($A63,[1]Sheet1!$A$8:$P$1264,MATCH(O$1,[1]Sheet1!$A$4:$P$4,0),0),"")</f>
        <v>0</v>
      </c>
      <c r="P63">
        <f>IFERROR(VLOOKUP($A63,[1]Sheet1!$A$8:$P$1264,MATCH(P$1,[1]Sheet1!$A$4:$P$4,0),0),"")</f>
        <v>20</v>
      </c>
      <c r="Q63">
        <f>IFERROR(VLOOKUP($A63,[1]Sheet1!$A$8:$P$1264,MATCH(Q$1,[1]Sheet1!$A$4:$P$4,0),0),"")</f>
        <v>0</v>
      </c>
      <c r="R63">
        <f>IFERROR(VLOOKUP($A63,[1]Sheet1!$A$8:$P$1264,MATCH(R$1,[1]Sheet1!$A$4:$P$4,0),0),"")</f>
        <v>20</v>
      </c>
      <c r="S63">
        <f>IFERROR(VLOOKUP($A63,[1]Sheet1!$A$8:$P$1264,MATCH(S$1,[1]Sheet1!$A$4:$P$4,0),0),"")</f>
        <v>0</v>
      </c>
    </row>
    <row r="64" spans="1:19">
      <c r="A64" t="str">
        <f t="shared" si="3"/>
        <v>FLL-PHL</v>
      </c>
      <c r="B64" s="3" t="s">
        <v>1</v>
      </c>
      <c r="C64" s="3" t="s">
        <v>13</v>
      </c>
      <c r="D64" t="s">
        <v>2</v>
      </c>
      <c r="E64" t="str">
        <f t="shared" si="2"/>
        <v>Southwest</v>
      </c>
      <c r="F64">
        <f>IFERROR(VLOOKUP($A64,[1]Sheet1!$A$8:$P$1264,MATCH(F$1,[1]Sheet1!$A$4:$P$4,0),0),"")</f>
        <v>14</v>
      </c>
      <c r="G64">
        <f>IFERROR(VLOOKUP($A64,[1]Sheet1!$A$8:$P$1264,MATCH(G$1,[1]Sheet1!$A$4:$P$4,0),0),"")</f>
        <v>7</v>
      </c>
      <c r="H64">
        <f>IFERROR(VLOOKUP($A64,[1]Sheet1!$A$8:$P$1264,MATCH(H$1,[1]Sheet1!$A$4:$P$4,0),0),"")</f>
        <v>14</v>
      </c>
      <c r="I64">
        <f>IFERROR(VLOOKUP($A64,[1]Sheet1!$A$8:$P$1264,MATCH(I$1,[1]Sheet1!$A$4:$P$4,0),0),"")</f>
        <v>7</v>
      </c>
      <c r="J64">
        <f>IFERROR(VLOOKUP($A64,[1]Sheet1!$A$8:$P$1264,MATCH(J$1,[1]Sheet1!$A$4:$P$4,0),0),"")</f>
        <v>15</v>
      </c>
      <c r="K64">
        <f>IFERROR(VLOOKUP($A64,[1]Sheet1!$A$8:$P$1264,MATCH(K$1,[1]Sheet1!$A$4:$P$4,0),0),"")</f>
        <v>7</v>
      </c>
      <c r="L64">
        <f>IFERROR(VLOOKUP($A64,[1]Sheet1!$A$8:$P$1264,MATCH(L$1,[1]Sheet1!$A$4:$P$4,0),0),"")</f>
        <v>7</v>
      </c>
      <c r="M64">
        <f>IFERROR(VLOOKUP($A64,[1]Sheet1!$A$8:$P$1264,MATCH(M$1,[1]Sheet1!$A$4:$P$4,0),0),"")</f>
        <v>14</v>
      </c>
      <c r="N64">
        <f>IFERROR(VLOOKUP($A64,[1]Sheet1!$A$8:$P$1264,MATCH(N$1,[1]Sheet1!$A$4:$P$4,0),0),"")</f>
        <v>7</v>
      </c>
      <c r="O64">
        <f>IFERROR(VLOOKUP($A64,[1]Sheet1!$A$8:$P$1264,MATCH(O$1,[1]Sheet1!$A$4:$P$4,0),0),"")</f>
        <v>14</v>
      </c>
      <c r="P64">
        <f>IFERROR(VLOOKUP($A64,[1]Sheet1!$A$8:$P$1264,MATCH(P$1,[1]Sheet1!$A$4:$P$4,0),0),"")</f>
        <v>8</v>
      </c>
      <c r="Q64">
        <f>IFERROR(VLOOKUP($A64,[1]Sheet1!$A$8:$P$1264,MATCH(Q$1,[1]Sheet1!$A$4:$P$4,0),0),"")</f>
        <v>7</v>
      </c>
      <c r="R64">
        <f>IFERROR(VLOOKUP($A64,[1]Sheet1!$A$8:$P$1264,MATCH(R$1,[1]Sheet1!$A$4:$P$4,0),0),"")</f>
        <v>8</v>
      </c>
      <c r="S64">
        <f>IFERROR(VLOOKUP($A64,[1]Sheet1!$A$8:$P$1264,MATCH(S$1,[1]Sheet1!$A$4:$P$4,0),0),"")</f>
        <v>7</v>
      </c>
    </row>
    <row r="65" spans="1:19">
      <c r="A65" t="str">
        <f t="shared" si="3"/>
        <v>FLL-PIT</v>
      </c>
      <c r="B65" s="3" t="s">
        <v>1</v>
      </c>
      <c r="C65" s="3" t="s">
        <v>33</v>
      </c>
      <c r="D65" t="s">
        <v>2</v>
      </c>
      <c r="E65" t="str">
        <f t="shared" si="2"/>
        <v>AirTran</v>
      </c>
      <c r="F65">
        <f>IFERROR(VLOOKUP($A65,[1]Sheet1!$A$8:$P$1264,MATCH(F$1,[1]Sheet1!$A$4:$P$4,0),0),"")</f>
        <v>0</v>
      </c>
      <c r="G65">
        <f>IFERROR(VLOOKUP($A65,[1]Sheet1!$A$8:$P$1264,MATCH(G$1,[1]Sheet1!$A$4:$P$4,0),0),"")</f>
        <v>8</v>
      </c>
      <c r="H65">
        <f>IFERROR(VLOOKUP($A65,[1]Sheet1!$A$8:$P$1264,MATCH(H$1,[1]Sheet1!$A$4:$P$4,0),0),"")</f>
        <v>0</v>
      </c>
      <c r="I65">
        <f>IFERROR(VLOOKUP($A65,[1]Sheet1!$A$8:$P$1264,MATCH(I$1,[1]Sheet1!$A$4:$P$4,0),0),"")</f>
        <v>8</v>
      </c>
      <c r="J65">
        <f>IFERROR(VLOOKUP($A65,[1]Sheet1!$A$8:$P$1264,MATCH(J$1,[1]Sheet1!$A$4:$P$4,0),0),"")</f>
        <v>0</v>
      </c>
      <c r="K65">
        <f>IFERROR(VLOOKUP($A65,[1]Sheet1!$A$8:$P$1264,MATCH(K$1,[1]Sheet1!$A$4:$P$4,0),0),"")</f>
        <v>14</v>
      </c>
      <c r="L65">
        <f>IFERROR(VLOOKUP($A65,[1]Sheet1!$A$8:$P$1264,MATCH(L$1,[1]Sheet1!$A$4:$P$4,0),0),"")</f>
        <v>0</v>
      </c>
      <c r="M65">
        <f>IFERROR(VLOOKUP($A65,[1]Sheet1!$A$8:$P$1264,MATCH(M$1,[1]Sheet1!$A$4:$P$4,0),0),"")</f>
        <v>14</v>
      </c>
      <c r="N65">
        <f>IFERROR(VLOOKUP($A65,[1]Sheet1!$A$8:$P$1264,MATCH(N$1,[1]Sheet1!$A$4:$P$4,0),0),"")</f>
        <v>0</v>
      </c>
      <c r="O65">
        <f>IFERROR(VLOOKUP($A65,[1]Sheet1!$A$8:$P$1264,MATCH(O$1,[1]Sheet1!$A$4:$P$4,0),0),"")</f>
        <v>14</v>
      </c>
      <c r="P65">
        <f>IFERROR(VLOOKUP($A65,[1]Sheet1!$A$8:$P$1264,MATCH(P$1,[1]Sheet1!$A$4:$P$4,0),0),"")</f>
        <v>0</v>
      </c>
      <c r="Q65">
        <f>IFERROR(VLOOKUP($A65,[1]Sheet1!$A$8:$P$1264,MATCH(Q$1,[1]Sheet1!$A$4:$P$4,0),0),"")</f>
        <v>14</v>
      </c>
      <c r="R65">
        <f>IFERROR(VLOOKUP($A65,[1]Sheet1!$A$8:$P$1264,MATCH(R$1,[1]Sheet1!$A$4:$P$4,0),0),"")</f>
        <v>0</v>
      </c>
      <c r="S65">
        <f>IFERROR(VLOOKUP($A65,[1]Sheet1!$A$8:$P$1264,MATCH(S$1,[1]Sheet1!$A$4:$P$4,0),0),"")</f>
        <v>14</v>
      </c>
    </row>
    <row r="66" spans="1:19">
      <c r="A66" t="str">
        <f t="shared" si="3"/>
        <v>FLL-STL</v>
      </c>
      <c r="B66" s="3" t="s">
        <v>1</v>
      </c>
      <c r="C66" s="3" t="s">
        <v>19</v>
      </c>
      <c r="D66" t="s">
        <v>2</v>
      </c>
      <c r="E66" t="str">
        <f t="shared" si="2"/>
        <v>Southwest</v>
      </c>
      <c r="F66">
        <f>IFERROR(VLOOKUP($A66,[1]Sheet1!$A$8:$P$1264,MATCH(F$1,[1]Sheet1!$A$4:$P$4,0),0),"")</f>
        <v>7</v>
      </c>
      <c r="G66">
        <f>IFERROR(VLOOKUP($A66,[1]Sheet1!$A$8:$P$1264,MATCH(G$1,[1]Sheet1!$A$4:$P$4,0),0),"")</f>
        <v>0</v>
      </c>
      <c r="H66">
        <f>IFERROR(VLOOKUP($A66,[1]Sheet1!$A$8:$P$1264,MATCH(H$1,[1]Sheet1!$A$4:$P$4,0),0),"")</f>
        <v>7</v>
      </c>
      <c r="I66">
        <f>IFERROR(VLOOKUP($A66,[1]Sheet1!$A$8:$P$1264,MATCH(I$1,[1]Sheet1!$A$4:$P$4,0),0),"")</f>
        <v>0</v>
      </c>
      <c r="J66">
        <f>IFERROR(VLOOKUP($A66,[1]Sheet1!$A$8:$P$1264,MATCH(J$1,[1]Sheet1!$A$4:$P$4,0),0),"")</f>
        <v>14</v>
      </c>
      <c r="K66">
        <f>IFERROR(VLOOKUP($A66,[1]Sheet1!$A$8:$P$1264,MATCH(K$1,[1]Sheet1!$A$4:$P$4,0),0),"")</f>
        <v>0</v>
      </c>
      <c r="L66">
        <f>IFERROR(VLOOKUP($A66,[1]Sheet1!$A$8:$P$1264,MATCH(L$1,[1]Sheet1!$A$4:$P$4,0),0),"")</f>
        <v>7</v>
      </c>
      <c r="M66">
        <f>IFERROR(VLOOKUP($A66,[1]Sheet1!$A$8:$P$1264,MATCH(M$1,[1]Sheet1!$A$4:$P$4,0),0),"")</f>
        <v>0</v>
      </c>
      <c r="N66">
        <f>IFERROR(VLOOKUP($A66,[1]Sheet1!$A$8:$P$1264,MATCH(N$1,[1]Sheet1!$A$4:$P$4,0),0),"")</f>
        <v>7</v>
      </c>
      <c r="O66">
        <f>IFERROR(VLOOKUP($A66,[1]Sheet1!$A$8:$P$1264,MATCH(O$1,[1]Sheet1!$A$4:$P$4,0),0),"")</f>
        <v>0</v>
      </c>
      <c r="P66">
        <f>IFERROR(VLOOKUP($A66,[1]Sheet1!$A$8:$P$1264,MATCH(P$1,[1]Sheet1!$A$4:$P$4,0),0),"")</f>
        <v>7</v>
      </c>
      <c r="Q66">
        <f>IFERROR(VLOOKUP($A66,[1]Sheet1!$A$8:$P$1264,MATCH(Q$1,[1]Sheet1!$A$4:$P$4,0),0),"")</f>
        <v>0</v>
      </c>
      <c r="R66">
        <f>IFERROR(VLOOKUP($A66,[1]Sheet1!$A$8:$P$1264,MATCH(R$1,[1]Sheet1!$A$4:$P$4,0),0),"")</f>
        <v>7</v>
      </c>
      <c r="S66">
        <f>IFERROR(VLOOKUP($A66,[1]Sheet1!$A$8:$P$1264,MATCH(S$1,[1]Sheet1!$A$4:$P$4,0),0),"")</f>
        <v>0</v>
      </c>
    </row>
    <row r="67" spans="1:19">
      <c r="A67" t="str">
        <f t="shared" si="3"/>
        <v>HOU-JAX</v>
      </c>
      <c r="B67" s="3" t="s">
        <v>9</v>
      </c>
      <c r="C67" s="3" t="s">
        <v>25</v>
      </c>
      <c r="D67" t="s">
        <v>2</v>
      </c>
      <c r="E67" t="str">
        <f t="shared" si="2"/>
        <v>Southwest</v>
      </c>
      <c r="F67">
        <f>IFERROR(VLOOKUP($A67,[1]Sheet1!$A$8:$P$1264,MATCH(F$1,[1]Sheet1!$A$4:$P$4,0),0),"")</f>
        <v>7</v>
      </c>
      <c r="G67">
        <f>IFERROR(VLOOKUP($A67,[1]Sheet1!$A$8:$P$1264,MATCH(G$1,[1]Sheet1!$A$4:$P$4,0),0),"")</f>
        <v>0</v>
      </c>
      <c r="H67">
        <f>IFERROR(VLOOKUP($A67,[1]Sheet1!$A$8:$P$1264,MATCH(H$1,[1]Sheet1!$A$4:$P$4,0),0),"")</f>
        <v>7</v>
      </c>
      <c r="I67">
        <f>IFERROR(VLOOKUP($A67,[1]Sheet1!$A$8:$P$1264,MATCH(I$1,[1]Sheet1!$A$4:$P$4,0),0),"")</f>
        <v>0</v>
      </c>
      <c r="J67">
        <f>IFERROR(VLOOKUP($A67,[1]Sheet1!$A$8:$P$1264,MATCH(J$1,[1]Sheet1!$A$4:$P$4,0),0),"")</f>
        <v>12</v>
      </c>
      <c r="K67">
        <f>IFERROR(VLOOKUP($A67,[1]Sheet1!$A$8:$P$1264,MATCH(K$1,[1]Sheet1!$A$4:$P$4,0),0),"")</f>
        <v>0</v>
      </c>
      <c r="L67">
        <f>IFERROR(VLOOKUP($A67,[1]Sheet1!$A$8:$P$1264,MATCH(L$1,[1]Sheet1!$A$4:$P$4,0),0),"")</f>
        <v>7</v>
      </c>
      <c r="M67">
        <f>IFERROR(VLOOKUP($A67,[1]Sheet1!$A$8:$P$1264,MATCH(M$1,[1]Sheet1!$A$4:$P$4,0),0),"")</f>
        <v>0</v>
      </c>
      <c r="N67">
        <f>IFERROR(VLOOKUP($A67,[1]Sheet1!$A$8:$P$1264,MATCH(N$1,[1]Sheet1!$A$4:$P$4,0),0),"")</f>
        <v>7</v>
      </c>
      <c r="O67">
        <f>IFERROR(VLOOKUP($A67,[1]Sheet1!$A$8:$P$1264,MATCH(O$1,[1]Sheet1!$A$4:$P$4,0),0),"")</f>
        <v>0</v>
      </c>
      <c r="P67">
        <f>IFERROR(VLOOKUP($A67,[1]Sheet1!$A$8:$P$1264,MATCH(P$1,[1]Sheet1!$A$4:$P$4,0),0),"")</f>
        <v>13</v>
      </c>
      <c r="Q67">
        <f>IFERROR(VLOOKUP($A67,[1]Sheet1!$A$8:$P$1264,MATCH(Q$1,[1]Sheet1!$A$4:$P$4,0),0),"")</f>
        <v>0</v>
      </c>
      <c r="R67">
        <f>IFERROR(VLOOKUP($A67,[1]Sheet1!$A$8:$P$1264,MATCH(R$1,[1]Sheet1!$A$4:$P$4,0),0),"")</f>
        <v>13</v>
      </c>
      <c r="S67">
        <f>IFERROR(VLOOKUP($A67,[1]Sheet1!$A$8:$P$1264,MATCH(S$1,[1]Sheet1!$A$4:$P$4,0),0),"")</f>
        <v>0</v>
      </c>
    </row>
    <row r="68" spans="1:19">
      <c r="A68" t="str">
        <f t="shared" si="3"/>
        <v>HOU-MCI</v>
      </c>
      <c r="B68" s="3" t="s">
        <v>9</v>
      </c>
      <c r="C68" s="3" t="s">
        <v>26</v>
      </c>
      <c r="D68" t="s">
        <v>2</v>
      </c>
      <c r="E68" t="str">
        <f t="shared" si="2"/>
        <v>Southwest</v>
      </c>
      <c r="F68">
        <f>IFERROR(VLOOKUP($A68,[1]Sheet1!$A$8:$P$1264,MATCH(F$1,[1]Sheet1!$A$4:$P$4,0),0),"")</f>
        <v>13</v>
      </c>
      <c r="G68">
        <f>IFERROR(VLOOKUP($A68,[1]Sheet1!$A$8:$P$1264,MATCH(G$1,[1]Sheet1!$A$4:$P$4,0),0),"")</f>
        <v>0</v>
      </c>
      <c r="H68">
        <f>IFERROR(VLOOKUP($A68,[1]Sheet1!$A$8:$P$1264,MATCH(H$1,[1]Sheet1!$A$4:$P$4,0),0),"")</f>
        <v>13</v>
      </c>
      <c r="I68">
        <f>IFERROR(VLOOKUP($A68,[1]Sheet1!$A$8:$P$1264,MATCH(I$1,[1]Sheet1!$A$4:$P$4,0),0),"")</f>
        <v>0</v>
      </c>
      <c r="J68">
        <f>IFERROR(VLOOKUP($A68,[1]Sheet1!$A$8:$P$1264,MATCH(J$1,[1]Sheet1!$A$4:$P$4,0),0),"")</f>
        <v>13</v>
      </c>
      <c r="K68">
        <f>IFERROR(VLOOKUP($A68,[1]Sheet1!$A$8:$P$1264,MATCH(K$1,[1]Sheet1!$A$4:$P$4,0),0),"")</f>
        <v>0</v>
      </c>
      <c r="L68">
        <f>IFERROR(VLOOKUP($A68,[1]Sheet1!$A$8:$P$1264,MATCH(L$1,[1]Sheet1!$A$4:$P$4,0),0),"")</f>
        <v>12</v>
      </c>
      <c r="M68">
        <f>IFERROR(VLOOKUP($A68,[1]Sheet1!$A$8:$P$1264,MATCH(M$1,[1]Sheet1!$A$4:$P$4,0),0),"")</f>
        <v>0</v>
      </c>
      <c r="N68">
        <f>IFERROR(VLOOKUP($A68,[1]Sheet1!$A$8:$P$1264,MATCH(N$1,[1]Sheet1!$A$4:$P$4,0),0),"")</f>
        <v>12</v>
      </c>
      <c r="O68">
        <f>IFERROR(VLOOKUP($A68,[1]Sheet1!$A$8:$P$1264,MATCH(O$1,[1]Sheet1!$A$4:$P$4,0),0),"")</f>
        <v>0</v>
      </c>
      <c r="P68">
        <f>IFERROR(VLOOKUP($A68,[1]Sheet1!$A$8:$P$1264,MATCH(P$1,[1]Sheet1!$A$4:$P$4,0),0),"")</f>
        <v>12</v>
      </c>
      <c r="Q68">
        <f>IFERROR(VLOOKUP($A68,[1]Sheet1!$A$8:$P$1264,MATCH(Q$1,[1]Sheet1!$A$4:$P$4,0),0),"")</f>
        <v>0</v>
      </c>
      <c r="R68">
        <f>IFERROR(VLOOKUP($A68,[1]Sheet1!$A$8:$P$1264,MATCH(R$1,[1]Sheet1!$A$4:$P$4,0),0),"")</f>
        <v>12</v>
      </c>
      <c r="S68">
        <f>IFERROR(VLOOKUP($A68,[1]Sheet1!$A$8:$P$1264,MATCH(S$1,[1]Sheet1!$A$4:$P$4,0),0),"")</f>
        <v>0</v>
      </c>
    </row>
    <row r="69" spans="1:19">
      <c r="A69" t="str">
        <f t="shared" ref="A69:A100" si="4">B69&amp;"-"&amp;C69</f>
        <v>HOU-MCO</v>
      </c>
      <c r="B69" s="3" t="s">
        <v>9</v>
      </c>
      <c r="C69" s="3" t="s">
        <v>27</v>
      </c>
      <c r="D69" t="s">
        <v>2</v>
      </c>
      <c r="E69" t="str">
        <f t="shared" si="2"/>
        <v>Southwest</v>
      </c>
      <c r="F69">
        <f>IFERROR(VLOOKUP($A69,[1]Sheet1!$A$8:$P$1264,MATCH(F$1,[1]Sheet1!$A$4:$P$4,0),0),"")</f>
        <v>27</v>
      </c>
      <c r="G69">
        <f>IFERROR(VLOOKUP($A69,[1]Sheet1!$A$8:$P$1264,MATCH(G$1,[1]Sheet1!$A$4:$P$4,0),0),"")</f>
        <v>0</v>
      </c>
      <c r="H69">
        <f>IFERROR(VLOOKUP($A69,[1]Sheet1!$A$8:$P$1264,MATCH(H$1,[1]Sheet1!$A$4:$P$4,0),0),"")</f>
        <v>27</v>
      </c>
      <c r="I69">
        <f>IFERROR(VLOOKUP($A69,[1]Sheet1!$A$8:$P$1264,MATCH(I$1,[1]Sheet1!$A$4:$P$4,0),0),"")</f>
        <v>0</v>
      </c>
      <c r="J69">
        <f>IFERROR(VLOOKUP($A69,[1]Sheet1!$A$8:$P$1264,MATCH(J$1,[1]Sheet1!$A$4:$P$4,0),0),"")</f>
        <v>29</v>
      </c>
      <c r="K69">
        <f>IFERROR(VLOOKUP($A69,[1]Sheet1!$A$8:$P$1264,MATCH(K$1,[1]Sheet1!$A$4:$P$4,0),0),"")</f>
        <v>7</v>
      </c>
      <c r="L69">
        <f>IFERROR(VLOOKUP($A69,[1]Sheet1!$A$8:$P$1264,MATCH(L$1,[1]Sheet1!$A$4:$P$4,0),0),"")</f>
        <v>21</v>
      </c>
      <c r="M69">
        <f>IFERROR(VLOOKUP($A69,[1]Sheet1!$A$8:$P$1264,MATCH(M$1,[1]Sheet1!$A$4:$P$4,0),0),"")</f>
        <v>7</v>
      </c>
      <c r="N69">
        <f>IFERROR(VLOOKUP($A69,[1]Sheet1!$A$8:$P$1264,MATCH(N$1,[1]Sheet1!$A$4:$P$4,0),0),"")</f>
        <v>21</v>
      </c>
      <c r="O69">
        <f>IFERROR(VLOOKUP($A69,[1]Sheet1!$A$8:$P$1264,MATCH(O$1,[1]Sheet1!$A$4:$P$4,0),0),"")</f>
        <v>7</v>
      </c>
      <c r="P69">
        <f>IFERROR(VLOOKUP($A69,[1]Sheet1!$A$8:$P$1264,MATCH(P$1,[1]Sheet1!$A$4:$P$4,0),0),"")</f>
        <v>28</v>
      </c>
      <c r="Q69">
        <f>IFERROR(VLOOKUP($A69,[1]Sheet1!$A$8:$P$1264,MATCH(Q$1,[1]Sheet1!$A$4:$P$4,0),0),"")</f>
        <v>7</v>
      </c>
      <c r="R69">
        <f>IFERROR(VLOOKUP($A69,[1]Sheet1!$A$8:$P$1264,MATCH(R$1,[1]Sheet1!$A$4:$P$4,0),0),"")</f>
        <v>28</v>
      </c>
      <c r="S69">
        <f>IFERROR(VLOOKUP($A69,[1]Sheet1!$A$8:$P$1264,MATCH(S$1,[1]Sheet1!$A$4:$P$4,0),0),"")</f>
        <v>7</v>
      </c>
    </row>
    <row r="70" spans="1:19">
      <c r="A70" t="str">
        <f t="shared" si="4"/>
        <v>HOU-MDW</v>
      </c>
      <c r="B70" s="3" t="s">
        <v>9</v>
      </c>
      <c r="C70" s="3" t="s">
        <v>10</v>
      </c>
      <c r="D70" t="s">
        <v>2</v>
      </c>
      <c r="E70" t="str">
        <f t="shared" si="2"/>
        <v>Southwest</v>
      </c>
      <c r="F70">
        <f>IFERROR(VLOOKUP($A70,[1]Sheet1!$A$8:$P$1264,MATCH(F$1,[1]Sheet1!$A$4:$P$4,0),0),"")</f>
        <v>39</v>
      </c>
      <c r="G70">
        <f>IFERROR(VLOOKUP($A70,[1]Sheet1!$A$8:$P$1264,MATCH(G$1,[1]Sheet1!$A$4:$P$4,0),0),"")</f>
        <v>0</v>
      </c>
      <c r="H70">
        <f>IFERROR(VLOOKUP($A70,[1]Sheet1!$A$8:$P$1264,MATCH(H$1,[1]Sheet1!$A$4:$P$4,0),0),"")</f>
        <v>39</v>
      </c>
      <c r="I70">
        <f>IFERROR(VLOOKUP($A70,[1]Sheet1!$A$8:$P$1264,MATCH(I$1,[1]Sheet1!$A$4:$P$4,0),0),"")</f>
        <v>0</v>
      </c>
      <c r="J70">
        <f>IFERROR(VLOOKUP($A70,[1]Sheet1!$A$8:$P$1264,MATCH(J$1,[1]Sheet1!$A$4:$P$4,0),0),"")</f>
        <v>47</v>
      </c>
      <c r="K70">
        <f>IFERROR(VLOOKUP($A70,[1]Sheet1!$A$8:$P$1264,MATCH(K$1,[1]Sheet1!$A$4:$P$4,0),0),"")</f>
        <v>0</v>
      </c>
      <c r="L70">
        <f>IFERROR(VLOOKUP($A70,[1]Sheet1!$A$8:$P$1264,MATCH(L$1,[1]Sheet1!$A$4:$P$4,0),0),"")</f>
        <v>45</v>
      </c>
      <c r="M70">
        <f>IFERROR(VLOOKUP($A70,[1]Sheet1!$A$8:$P$1264,MATCH(M$1,[1]Sheet1!$A$4:$P$4,0),0),"")</f>
        <v>0</v>
      </c>
      <c r="N70">
        <f>IFERROR(VLOOKUP($A70,[1]Sheet1!$A$8:$P$1264,MATCH(N$1,[1]Sheet1!$A$4:$P$4,0),0),"")</f>
        <v>45</v>
      </c>
      <c r="O70">
        <f>IFERROR(VLOOKUP($A70,[1]Sheet1!$A$8:$P$1264,MATCH(O$1,[1]Sheet1!$A$4:$P$4,0),0),"")</f>
        <v>0</v>
      </c>
      <c r="P70">
        <f>IFERROR(VLOOKUP($A70,[1]Sheet1!$A$8:$P$1264,MATCH(P$1,[1]Sheet1!$A$4:$P$4,0),0),"")</f>
        <v>48</v>
      </c>
      <c r="Q70">
        <f>IFERROR(VLOOKUP($A70,[1]Sheet1!$A$8:$P$1264,MATCH(Q$1,[1]Sheet1!$A$4:$P$4,0),0),"")</f>
        <v>0</v>
      </c>
      <c r="R70">
        <f>IFERROR(VLOOKUP($A70,[1]Sheet1!$A$8:$P$1264,MATCH(R$1,[1]Sheet1!$A$4:$P$4,0),0),"")</f>
        <v>48</v>
      </c>
      <c r="S70">
        <f>IFERROR(VLOOKUP($A70,[1]Sheet1!$A$8:$P$1264,MATCH(S$1,[1]Sheet1!$A$4:$P$4,0),0),"")</f>
        <v>0</v>
      </c>
    </row>
    <row r="71" spans="1:19">
      <c r="A71" t="str">
        <f t="shared" si="4"/>
        <v>HOU-PHL</v>
      </c>
      <c r="B71" s="3" t="s">
        <v>9</v>
      </c>
      <c r="C71" s="3" t="s">
        <v>13</v>
      </c>
      <c r="D71" t="s">
        <v>2</v>
      </c>
      <c r="E71" t="str">
        <f t="shared" si="2"/>
        <v>Southwest</v>
      </c>
      <c r="F71">
        <f>IFERROR(VLOOKUP($A71,[1]Sheet1!$A$8:$P$1264,MATCH(F$1,[1]Sheet1!$A$4:$P$4,0),0),"")</f>
        <v>7</v>
      </c>
      <c r="G71">
        <f>IFERROR(VLOOKUP($A71,[1]Sheet1!$A$8:$P$1264,MATCH(G$1,[1]Sheet1!$A$4:$P$4,0),0),"")</f>
        <v>0</v>
      </c>
      <c r="H71">
        <f>IFERROR(VLOOKUP($A71,[1]Sheet1!$A$8:$P$1264,MATCH(H$1,[1]Sheet1!$A$4:$P$4,0),0),"")</f>
        <v>7</v>
      </c>
      <c r="I71">
        <f>IFERROR(VLOOKUP($A71,[1]Sheet1!$A$8:$P$1264,MATCH(I$1,[1]Sheet1!$A$4:$P$4,0),0),"")</f>
        <v>0</v>
      </c>
      <c r="J71">
        <f>IFERROR(VLOOKUP($A71,[1]Sheet1!$A$8:$P$1264,MATCH(J$1,[1]Sheet1!$A$4:$P$4,0),0),"")</f>
        <v>7</v>
      </c>
      <c r="K71">
        <f>IFERROR(VLOOKUP($A71,[1]Sheet1!$A$8:$P$1264,MATCH(K$1,[1]Sheet1!$A$4:$P$4,0),0),"")</f>
        <v>0</v>
      </c>
      <c r="L71">
        <f>IFERROR(VLOOKUP($A71,[1]Sheet1!$A$8:$P$1264,MATCH(L$1,[1]Sheet1!$A$4:$P$4,0),0),"")</f>
        <v>0</v>
      </c>
      <c r="M71">
        <f>IFERROR(VLOOKUP($A71,[1]Sheet1!$A$8:$P$1264,MATCH(M$1,[1]Sheet1!$A$4:$P$4,0),0),"")</f>
        <v>0</v>
      </c>
      <c r="N71">
        <f>IFERROR(VLOOKUP($A71,[1]Sheet1!$A$8:$P$1264,MATCH(N$1,[1]Sheet1!$A$4:$P$4,0),0),"")</f>
        <v>0</v>
      </c>
      <c r="O71">
        <f>IFERROR(VLOOKUP($A71,[1]Sheet1!$A$8:$P$1264,MATCH(O$1,[1]Sheet1!$A$4:$P$4,0),0),"")</f>
        <v>0</v>
      </c>
      <c r="P71">
        <f>IFERROR(VLOOKUP($A71,[1]Sheet1!$A$8:$P$1264,MATCH(P$1,[1]Sheet1!$A$4:$P$4,0),0),"")</f>
        <v>0</v>
      </c>
      <c r="Q71">
        <f>IFERROR(VLOOKUP($A71,[1]Sheet1!$A$8:$P$1264,MATCH(Q$1,[1]Sheet1!$A$4:$P$4,0),0),"")</f>
        <v>0</v>
      </c>
      <c r="R71">
        <f>IFERROR(VLOOKUP($A71,[1]Sheet1!$A$8:$P$1264,MATCH(R$1,[1]Sheet1!$A$4:$P$4,0),0),"")</f>
        <v>0</v>
      </c>
      <c r="S71">
        <f>IFERROR(VLOOKUP($A71,[1]Sheet1!$A$8:$P$1264,MATCH(S$1,[1]Sheet1!$A$4:$P$4,0),0),"")</f>
        <v>0</v>
      </c>
    </row>
    <row r="72" spans="1:19">
      <c r="A72" t="str">
        <f t="shared" si="4"/>
        <v>HOU-RDU</v>
      </c>
      <c r="B72" s="3" t="s">
        <v>9</v>
      </c>
      <c r="C72" s="3" t="s">
        <v>14</v>
      </c>
      <c r="D72" t="s">
        <v>2</v>
      </c>
      <c r="E72" t="str">
        <f t="shared" si="2"/>
        <v>Southwest</v>
      </c>
      <c r="F72">
        <f>IFERROR(VLOOKUP($A72,[1]Sheet1!$A$8:$P$1264,MATCH(F$1,[1]Sheet1!$A$4:$P$4,0),0),"")</f>
        <v>7</v>
      </c>
      <c r="G72">
        <f>IFERROR(VLOOKUP($A72,[1]Sheet1!$A$8:$P$1264,MATCH(G$1,[1]Sheet1!$A$4:$P$4,0),0),"")</f>
        <v>0</v>
      </c>
      <c r="H72">
        <f>IFERROR(VLOOKUP($A72,[1]Sheet1!$A$8:$P$1264,MATCH(H$1,[1]Sheet1!$A$4:$P$4,0),0),"")</f>
        <v>7</v>
      </c>
      <c r="I72">
        <f>IFERROR(VLOOKUP($A72,[1]Sheet1!$A$8:$P$1264,MATCH(I$1,[1]Sheet1!$A$4:$P$4,0),0),"")</f>
        <v>0</v>
      </c>
      <c r="J72">
        <f>IFERROR(VLOOKUP($A72,[1]Sheet1!$A$8:$P$1264,MATCH(J$1,[1]Sheet1!$A$4:$P$4,0),0),"")</f>
        <v>13</v>
      </c>
      <c r="K72">
        <f>IFERROR(VLOOKUP($A72,[1]Sheet1!$A$8:$P$1264,MATCH(K$1,[1]Sheet1!$A$4:$P$4,0),0),"")</f>
        <v>0</v>
      </c>
      <c r="L72">
        <f>IFERROR(VLOOKUP($A72,[1]Sheet1!$A$8:$P$1264,MATCH(L$1,[1]Sheet1!$A$4:$P$4,0),0),"")</f>
        <v>12</v>
      </c>
      <c r="M72">
        <f>IFERROR(VLOOKUP($A72,[1]Sheet1!$A$8:$P$1264,MATCH(M$1,[1]Sheet1!$A$4:$P$4,0),0),"")</f>
        <v>0</v>
      </c>
      <c r="N72">
        <f>IFERROR(VLOOKUP($A72,[1]Sheet1!$A$8:$P$1264,MATCH(N$1,[1]Sheet1!$A$4:$P$4,0),0),"")</f>
        <v>12</v>
      </c>
      <c r="O72">
        <f>IFERROR(VLOOKUP($A72,[1]Sheet1!$A$8:$P$1264,MATCH(O$1,[1]Sheet1!$A$4:$P$4,0),0),"")</f>
        <v>0</v>
      </c>
      <c r="P72">
        <f>IFERROR(VLOOKUP($A72,[1]Sheet1!$A$8:$P$1264,MATCH(P$1,[1]Sheet1!$A$4:$P$4,0),0),"")</f>
        <v>12</v>
      </c>
      <c r="Q72">
        <f>IFERROR(VLOOKUP($A72,[1]Sheet1!$A$8:$P$1264,MATCH(Q$1,[1]Sheet1!$A$4:$P$4,0),0),"")</f>
        <v>0</v>
      </c>
      <c r="R72">
        <f>IFERROR(VLOOKUP($A72,[1]Sheet1!$A$8:$P$1264,MATCH(R$1,[1]Sheet1!$A$4:$P$4,0),0),"")</f>
        <v>12</v>
      </c>
      <c r="S72">
        <f>IFERROR(VLOOKUP($A72,[1]Sheet1!$A$8:$P$1264,MATCH(S$1,[1]Sheet1!$A$4:$P$4,0),0),"")</f>
        <v>0</v>
      </c>
    </row>
    <row r="73" spans="1:19">
      <c r="A73" t="str">
        <f t="shared" si="4"/>
        <v>HOU-STL</v>
      </c>
      <c r="B73" s="3" t="s">
        <v>9</v>
      </c>
      <c r="C73" s="3" t="s">
        <v>19</v>
      </c>
      <c r="D73" t="s">
        <v>2</v>
      </c>
      <c r="E73" t="str">
        <f t="shared" si="2"/>
        <v>Southwest</v>
      </c>
      <c r="F73">
        <f>IFERROR(VLOOKUP($A73,[1]Sheet1!$A$8:$P$1264,MATCH(F$1,[1]Sheet1!$A$4:$P$4,0),0),"")</f>
        <v>25</v>
      </c>
      <c r="G73">
        <f>IFERROR(VLOOKUP($A73,[1]Sheet1!$A$8:$P$1264,MATCH(G$1,[1]Sheet1!$A$4:$P$4,0),0),"")</f>
        <v>0</v>
      </c>
      <c r="H73">
        <f>IFERROR(VLOOKUP($A73,[1]Sheet1!$A$8:$P$1264,MATCH(H$1,[1]Sheet1!$A$4:$P$4,0),0),"")</f>
        <v>25</v>
      </c>
      <c r="I73">
        <f>IFERROR(VLOOKUP($A73,[1]Sheet1!$A$8:$P$1264,MATCH(I$1,[1]Sheet1!$A$4:$P$4,0),0),"")</f>
        <v>0</v>
      </c>
      <c r="J73">
        <f>IFERROR(VLOOKUP($A73,[1]Sheet1!$A$8:$P$1264,MATCH(J$1,[1]Sheet1!$A$4:$P$4,0),0),"")</f>
        <v>26</v>
      </c>
      <c r="K73">
        <f>IFERROR(VLOOKUP($A73,[1]Sheet1!$A$8:$P$1264,MATCH(K$1,[1]Sheet1!$A$4:$P$4,0),0),"")</f>
        <v>0</v>
      </c>
      <c r="L73">
        <f>IFERROR(VLOOKUP($A73,[1]Sheet1!$A$8:$P$1264,MATCH(L$1,[1]Sheet1!$A$4:$P$4,0),0),"")</f>
        <v>26</v>
      </c>
      <c r="M73">
        <f>IFERROR(VLOOKUP($A73,[1]Sheet1!$A$8:$P$1264,MATCH(M$1,[1]Sheet1!$A$4:$P$4,0),0),"")</f>
        <v>0</v>
      </c>
      <c r="N73">
        <f>IFERROR(VLOOKUP($A73,[1]Sheet1!$A$8:$P$1264,MATCH(N$1,[1]Sheet1!$A$4:$P$4,0),0),"")</f>
        <v>26</v>
      </c>
      <c r="O73">
        <f>IFERROR(VLOOKUP($A73,[1]Sheet1!$A$8:$P$1264,MATCH(O$1,[1]Sheet1!$A$4:$P$4,0),0),"")</f>
        <v>0</v>
      </c>
      <c r="P73">
        <f>IFERROR(VLOOKUP($A73,[1]Sheet1!$A$8:$P$1264,MATCH(P$1,[1]Sheet1!$A$4:$P$4,0),0),"")</f>
        <v>27</v>
      </c>
      <c r="Q73">
        <f>IFERROR(VLOOKUP($A73,[1]Sheet1!$A$8:$P$1264,MATCH(Q$1,[1]Sheet1!$A$4:$P$4,0),0),"")</f>
        <v>0</v>
      </c>
      <c r="R73">
        <f>IFERROR(VLOOKUP($A73,[1]Sheet1!$A$8:$P$1264,MATCH(R$1,[1]Sheet1!$A$4:$P$4,0),0),"")</f>
        <v>27</v>
      </c>
      <c r="S73">
        <f>IFERROR(VLOOKUP($A73,[1]Sheet1!$A$8:$P$1264,MATCH(S$1,[1]Sheet1!$A$4:$P$4,0),0),"")</f>
        <v>0</v>
      </c>
    </row>
    <row r="74" spans="1:19">
      <c r="A74" t="str">
        <f t="shared" si="4"/>
        <v>HOU-TPA</v>
      </c>
      <c r="B74" s="3" t="s">
        <v>9</v>
      </c>
      <c r="C74" s="3" t="s">
        <v>30</v>
      </c>
      <c r="D74" t="s">
        <v>2</v>
      </c>
      <c r="E74" t="str">
        <f t="shared" si="2"/>
        <v>Southwest</v>
      </c>
      <c r="F74">
        <f>IFERROR(VLOOKUP($A74,[1]Sheet1!$A$8:$P$1264,MATCH(F$1,[1]Sheet1!$A$4:$P$4,0),0),"")</f>
        <v>26</v>
      </c>
      <c r="G74">
        <f>IFERROR(VLOOKUP($A74,[1]Sheet1!$A$8:$P$1264,MATCH(G$1,[1]Sheet1!$A$4:$P$4,0),0),"")</f>
        <v>0</v>
      </c>
      <c r="H74">
        <f>IFERROR(VLOOKUP($A74,[1]Sheet1!$A$8:$P$1264,MATCH(H$1,[1]Sheet1!$A$4:$P$4,0),0),"")</f>
        <v>26</v>
      </c>
      <c r="I74">
        <f>IFERROR(VLOOKUP($A74,[1]Sheet1!$A$8:$P$1264,MATCH(I$1,[1]Sheet1!$A$4:$P$4,0),0),"")</f>
        <v>0</v>
      </c>
      <c r="J74">
        <f>IFERROR(VLOOKUP($A74,[1]Sheet1!$A$8:$P$1264,MATCH(J$1,[1]Sheet1!$A$4:$P$4,0),0),"")</f>
        <v>27</v>
      </c>
      <c r="K74">
        <f>IFERROR(VLOOKUP($A74,[1]Sheet1!$A$8:$P$1264,MATCH(K$1,[1]Sheet1!$A$4:$P$4,0),0),"")</f>
        <v>0</v>
      </c>
      <c r="L74">
        <f>IFERROR(VLOOKUP($A74,[1]Sheet1!$A$8:$P$1264,MATCH(L$1,[1]Sheet1!$A$4:$P$4,0),0),"")</f>
        <v>26</v>
      </c>
      <c r="M74">
        <f>IFERROR(VLOOKUP($A74,[1]Sheet1!$A$8:$P$1264,MATCH(M$1,[1]Sheet1!$A$4:$P$4,0),0),"")</f>
        <v>0</v>
      </c>
      <c r="N74">
        <f>IFERROR(VLOOKUP($A74,[1]Sheet1!$A$8:$P$1264,MATCH(N$1,[1]Sheet1!$A$4:$P$4,0),0),"")</f>
        <v>26</v>
      </c>
      <c r="O74">
        <f>IFERROR(VLOOKUP($A74,[1]Sheet1!$A$8:$P$1264,MATCH(O$1,[1]Sheet1!$A$4:$P$4,0),0),"")</f>
        <v>0</v>
      </c>
      <c r="P74">
        <f>IFERROR(VLOOKUP($A74,[1]Sheet1!$A$8:$P$1264,MATCH(P$1,[1]Sheet1!$A$4:$P$4,0),0),"")</f>
        <v>20</v>
      </c>
      <c r="Q74">
        <f>IFERROR(VLOOKUP($A74,[1]Sheet1!$A$8:$P$1264,MATCH(Q$1,[1]Sheet1!$A$4:$P$4,0),0),"")</f>
        <v>7</v>
      </c>
      <c r="R74">
        <f>IFERROR(VLOOKUP($A74,[1]Sheet1!$A$8:$P$1264,MATCH(R$1,[1]Sheet1!$A$4:$P$4,0),0),"")</f>
        <v>20</v>
      </c>
      <c r="S74">
        <f>IFERROR(VLOOKUP($A74,[1]Sheet1!$A$8:$P$1264,MATCH(S$1,[1]Sheet1!$A$4:$P$4,0),0),"")</f>
        <v>7</v>
      </c>
    </row>
    <row r="75" spans="1:19">
      <c r="A75" t="str">
        <f t="shared" si="4"/>
        <v>IAD-MDW</v>
      </c>
      <c r="B75" s="3" t="s">
        <v>34</v>
      </c>
      <c r="C75" s="3" t="s">
        <v>10</v>
      </c>
      <c r="D75" t="s">
        <v>2</v>
      </c>
      <c r="E75" t="str">
        <f t="shared" si="2"/>
        <v>Southwest</v>
      </c>
      <c r="F75">
        <f>IFERROR(VLOOKUP($A75,[1]Sheet1!$A$8:$P$1264,MATCH(F$1,[1]Sheet1!$A$4:$P$4,0),0),"")</f>
        <v>31</v>
      </c>
      <c r="G75">
        <f>IFERROR(VLOOKUP($A75,[1]Sheet1!$A$8:$P$1264,MATCH(G$1,[1]Sheet1!$A$4:$P$4,0),0),"")</f>
        <v>0</v>
      </c>
      <c r="H75">
        <f>IFERROR(VLOOKUP($A75,[1]Sheet1!$A$8:$P$1264,MATCH(H$1,[1]Sheet1!$A$4:$P$4,0),0),"")</f>
        <v>31</v>
      </c>
      <c r="I75">
        <f>IFERROR(VLOOKUP($A75,[1]Sheet1!$A$8:$P$1264,MATCH(I$1,[1]Sheet1!$A$4:$P$4,0),0),"")</f>
        <v>0</v>
      </c>
      <c r="J75">
        <f>IFERROR(VLOOKUP($A75,[1]Sheet1!$A$8:$P$1264,MATCH(J$1,[1]Sheet1!$A$4:$P$4,0),0),"")</f>
        <v>34</v>
      </c>
      <c r="K75">
        <f>IFERROR(VLOOKUP($A75,[1]Sheet1!$A$8:$P$1264,MATCH(K$1,[1]Sheet1!$A$4:$P$4,0),0),"")</f>
        <v>0</v>
      </c>
      <c r="L75">
        <f>IFERROR(VLOOKUP($A75,[1]Sheet1!$A$8:$P$1264,MATCH(L$1,[1]Sheet1!$A$4:$P$4,0),0),"")</f>
        <v>34</v>
      </c>
      <c r="M75">
        <f>IFERROR(VLOOKUP($A75,[1]Sheet1!$A$8:$P$1264,MATCH(M$1,[1]Sheet1!$A$4:$P$4,0),0),"")</f>
        <v>0</v>
      </c>
      <c r="N75">
        <f>IFERROR(VLOOKUP($A75,[1]Sheet1!$A$8:$P$1264,MATCH(N$1,[1]Sheet1!$A$4:$P$4,0),0),"")</f>
        <v>34</v>
      </c>
      <c r="O75">
        <f>IFERROR(VLOOKUP($A75,[1]Sheet1!$A$8:$P$1264,MATCH(O$1,[1]Sheet1!$A$4:$P$4,0),0),"")</f>
        <v>0</v>
      </c>
      <c r="P75">
        <f>IFERROR(VLOOKUP($A75,[1]Sheet1!$A$8:$P$1264,MATCH(P$1,[1]Sheet1!$A$4:$P$4,0),0),"")</f>
        <v>41</v>
      </c>
      <c r="Q75">
        <f>IFERROR(VLOOKUP($A75,[1]Sheet1!$A$8:$P$1264,MATCH(Q$1,[1]Sheet1!$A$4:$P$4,0),0),"")</f>
        <v>0</v>
      </c>
      <c r="R75">
        <f>IFERROR(VLOOKUP($A75,[1]Sheet1!$A$8:$P$1264,MATCH(R$1,[1]Sheet1!$A$4:$P$4,0),0),"")</f>
        <v>41</v>
      </c>
      <c r="S75">
        <f>IFERROR(VLOOKUP($A75,[1]Sheet1!$A$8:$P$1264,MATCH(S$1,[1]Sheet1!$A$4:$P$4,0),0),"")</f>
        <v>0</v>
      </c>
    </row>
    <row r="76" spans="1:19">
      <c r="A76" t="str">
        <f t="shared" si="4"/>
        <v>IND-MCI</v>
      </c>
      <c r="B76" s="3" t="s">
        <v>24</v>
      </c>
      <c r="C76" s="3" t="s">
        <v>26</v>
      </c>
      <c r="D76" t="s">
        <v>2</v>
      </c>
      <c r="E76" t="str">
        <f t="shared" si="2"/>
        <v>Southwest</v>
      </c>
      <c r="F76">
        <f>IFERROR(VLOOKUP($A76,[1]Sheet1!$A$8:$P$1264,MATCH(F$1,[1]Sheet1!$A$4:$P$4,0),0),"")</f>
        <v>13</v>
      </c>
      <c r="G76">
        <f>IFERROR(VLOOKUP($A76,[1]Sheet1!$A$8:$P$1264,MATCH(G$1,[1]Sheet1!$A$4:$P$4,0),0),"")</f>
        <v>0</v>
      </c>
      <c r="H76">
        <f>IFERROR(VLOOKUP($A76,[1]Sheet1!$A$8:$P$1264,MATCH(H$1,[1]Sheet1!$A$4:$P$4,0),0),"")</f>
        <v>13</v>
      </c>
      <c r="I76">
        <f>IFERROR(VLOOKUP($A76,[1]Sheet1!$A$8:$P$1264,MATCH(I$1,[1]Sheet1!$A$4:$P$4,0),0),"")</f>
        <v>0</v>
      </c>
      <c r="J76">
        <f>IFERROR(VLOOKUP($A76,[1]Sheet1!$A$8:$P$1264,MATCH(J$1,[1]Sheet1!$A$4:$P$4,0),0),"")</f>
        <v>13</v>
      </c>
      <c r="K76">
        <f>IFERROR(VLOOKUP($A76,[1]Sheet1!$A$8:$P$1264,MATCH(K$1,[1]Sheet1!$A$4:$P$4,0),0),"")</f>
        <v>0</v>
      </c>
      <c r="L76">
        <f>IFERROR(VLOOKUP($A76,[1]Sheet1!$A$8:$P$1264,MATCH(L$1,[1]Sheet1!$A$4:$P$4,0),0),"")</f>
        <v>13</v>
      </c>
      <c r="M76">
        <f>IFERROR(VLOOKUP($A76,[1]Sheet1!$A$8:$P$1264,MATCH(M$1,[1]Sheet1!$A$4:$P$4,0),0),"")</f>
        <v>0</v>
      </c>
      <c r="N76">
        <f>IFERROR(VLOOKUP($A76,[1]Sheet1!$A$8:$P$1264,MATCH(N$1,[1]Sheet1!$A$4:$P$4,0),0),"")</f>
        <v>13</v>
      </c>
      <c r="O76">
        <f>IFERROR(VLOOKUP($A76,[1]Sheet1!$A$8:$P$1264,MATCH(O$1,[1]Sheet1!$A$4:$P$4,0),0),"")</f>
        <v>0</v>
      </c>
      <c r="P76">
        <f>IFERROR(VLOOKUP($A76,[1]Sheet1!$A$8:$P$1264,MATCH(P$1,[1]Sheet1!$A$4:$P$4,0),0),"")</f>
        <v>13</v>
      </c>
      <c r="Q76">
        <f>IFERROR(VLOOKUP($A76,[1]Sheet1!$A$8:$P$1264,MATCH(Q$1,[1]Sheet1!$A$4:$P$4,0),0),"")</f>
        <v>0</v>
      </c>
      <c r="R76">
        <f>IFERROR(VLOOKUP($A76,[1]Sheet1!$A$8:$P$1264,MATCH(R$1,[1]Sheet1!$A$4:$P$4,0),0),"")</f>
        <v>13</v>
      </c>
      <c r="S76">
        <f>IFERROR(VLOOKUP($A76,[1]Sheet1!$A$8:$P$1264,MATCH(S$1,[1]Sheet1!$A$4:$P$4,0),0),"")</f>
        <v>0</v>
      </c>
    </row>
    <row r="77" spans="1:19">
      <c r="A77" t="str">
        <f t="shared" si="4"/>
        <v>IND-MCO</v>
      </c>
      <c r="B77" s="3" t="s">
        <v>24</v>
      </c>
      <c r="C77" s="3" t="s">
        <v>27</v>
      </c>
      <c r="D77" t="s">
        <v>2</v>
      </c>
      <c r="E77" t="str">
        <f t="shared" si="2"/>
        <v>AirTran</v>
      </c>
      <c r="F77">
        <f>IFERROR(VLOOKUP($A77,[1]Sheet1!$A$8:$P$1264,MATCH(F$1,[1]Sheet1!$A$4:$P$4,0),0),"")</f>
        <v>7</v>
      </c>
      <c r="G77">
        <f>IFERROR(VLOOKUP($A77,[1]Sheet1!$A$8:$P$1264,MATCH(G$1,[1]Sheet1!$A$4:$P$4,0),0),"")</f>
        <v>21</v>
      </c>
      <c r="H77">
        <f>IFERROR(VLOOKUP($A77,[1]Sheet1!$A$8:$P$1264,MATCH(H$1,[1]Sheet1!$A$4:$P$4,0),0),"")</f>
        <v>7</v>
      </c>
      <c r="I77">
        <f>IFERROR(VLOOKUP($A77,[1]Sheet1!$A$8:$P$1264,MATCH(I$1,[1]Sheet1!$A$4:$P$4,0),0),"")</f>
        <v>21</v>
      </c>
      <c r="J77">
        <f>IFERROR(VLOOKUP($A77,[1]Sheet1!$A$8:$P$1264,MATCH(J$1,[1]Sheet1!$A$4:$P$4,0),0),"")</f>
        <v>9</v>
      </c>
      <c r="K77">
        <f>IFERROR(VLOOKUP($A77,[1]Sheet1!$A$8:$P$1264,MATCH(K$1,[1]Sheet1!$A$4:$P$4,0),0),"")</f>
        <v>27</v>
      </c>
      <c r="L77">
        <f>IFERROR(VLOOKUP($A77,[1]Sheet1!$A$8:$P$1264,MATCH(L$1,[1]Sheet1!$A$4:$P$4,0),0),"")</f>
        <v>1</v>
      </c>
      <c r="M77">
        <f>IFERROR(VLOOKUP($A77,[1]Sheet1!$A$8:$P$1264,MATCH(M$1,[1]Sheet1!$A$4:$P$4,0),0),"")</f>
        <v>28</v>
      </c>
      <c r="N77">
        <f>IFERROR(VLOOKUP($A77,[1]Sheet1!$A$8:$P$1264,MATCH(N$1,[1]Sheet1!$A$4:$P$4,0),0),"")</f>
        <v>1</v>
      </c>
      <c r="O77">
        <f>IFERROR(VLOOKUP($A77,[1]Sheet1!$A$8:$P$1264,MATCH(O$1,[1]Sheet1!$A$4:$P$4,0),0),"")</f>
        <v>28</v>
      </c>
      <c r="P77">
        <f>IFERROR(VLOOKUP($A77,[1]Sheet1!$A$8:$P$1264,MATCH(P$1,[1]Sheet1!$A$4:$P$4,0),0),"")</f>
        <v>1</v>
      </c>
      <c r="Q77">
        <f>IFERROR(VLOOKUP($A77,[1]Sheet1!$A$8:$P$1264,MATCH(Q$1,[1]Sheet1!$A$4:$P$4,0),0),"")</f>
        <v>28</v>
      </c>
      <c r="R77">
        <f>IFERROR(VLOOKUP($A77,[1]Sheet1!$A$8:$P$1264,MATCH(R$1,[1]Sheet1!$A$4:$P$4,0),0),"")</f>
        <v>1</v>
      </c>
      <c r="S77">
        <f>IFERROR(VLOOKUP($A77,[1]Sheet1!$A$8:$P$1264,MATCH(S$1,[1]Sheet1!$A$4:$P$4,0),0),"")</f>
        <v>28</v>
      </c>
    </row>
    <row r="78" spans="1:19">
      <c r="A78" t="str">
        <f t="shared" si="4"/>
        <v>IND-MSY</v>
      </c>
      <c r="B78" s="3" t="s">
        <v>24</v>
      </c>
      <c r="C78" s="3" t="s">
        <v>3</v>
      </c>
      <c r="D78" t="s">
        <v>2</v>
      </c>
      <c r="E78" t="s">
        <v>49</v>
      </c>
      <c r="F78" t="str">
        <f>IFERROR(VLOOKUP($A78,[1]Sheet1!$A$8:$P$1264,MATCH(F$1,[1]Sheet1!$A$4:$P$4,0),0),"")</f>
        <v/>
      </c>
      <c r="G78" t="str">
        <f>IFERROR(VLOOKUP($A78,[1]Sheet1!$A$8:$P$1264,MATCH(G$1,[1]Sheet1!$A$4:$P$4,0),0),"")</f>
        <v/>
      </c>
      <c r="H78" t="str">
        <f>IFERROR(VLOOKUP($A78,[1]Sheet1!$A$8:$P$1264,MATCH(H$1,[1]Sheet1!$A$4:$P$4,0),0),"")</f>
        <v/>
      </c>
      <c r="I78" t="str">
        <f>IFERROR(VLOOKUP($A78,[1]Sheet1!$A$8:$P$1264,MATCH(I$1,[1]Sheet1!$A$4:$P$4,0),0),"")</f>
        <v/>
      </c>
      <c r="J78" t="str">
        <f>IFERROR(VLOOKUP($A78,[1]Sheet1!$A$8:$P$1264,MATCH(J$1,[1]Sheet1!$A$4:$P$4,0),0),"")</f>
        <v/>
      </c>
      <c r="K78" t="str">
        <f>IFERROR(VLOOKUP($A78,[1]Sheet1!$A$8:$P$1264,MATCH(K$1,[1]Sheet1!$A$4:$P$4,0),0),"")</f>
        <v/>
      </c>
      <c r="L78" t="str">
        <f>IFERROR(VLOOKUP($A78,[1]Sheet1!$A$8:$P$1264,MATCH(L$1,[1]Sheet1!$A$4:$P$4,0),0),"")</f>
        <v/>
      </c>
      <c r="M78" t="str">
        <f>IFERROR(VLOOKUP($A78,[1]Sheet1!$A$8:$P$1264,MATCH(M$1,[1]Sheet1!$A$4:$P$4,0),0),"")</f>
        <v/>
      </c>
      <c r="N78" t="str">
        <f>IFERROR(VLOOKUP($A78,[1]Sheet1!$A$8:$P$1264,MATCH(N$1,[1]Sheet1!$A$4:$P$4,0),0),"")</f>
        <v/>
      </c>
      <c r="O78" t="str">
        <f>IFERROR(VLOOKUP($A78,[1]Sheet1!$A$8:$P$1264,MATCH(O$1,[1]Sheet1!$A$4:$P$4,0),0),"")</f>
        <v/>
      </c>
      <c r="P78" t="str">
        <f>IFERROR(VLOOKUP($A78,[1]Sheet1!$A$8:$P$1264,MATCH(P$1,[1]Sheet1!$A$4:$P$4,0),0),"")</f>
        <v/>
      </c>
      <c r="Q78" t="str">
        <f>IFERROR(VLOOKUP($A78,[1]Sheet1!$A$8:$P$1264,MATCH(Q$1,[1]Sheet1!$A$4:$P$4,0),0),"")</f>
        <v/>
      </c>
      <c r="R78" t="str">
        <f>IFERROR(VLOOKUP($A78,[1]Sheet1!$A$8:$P$1264,MATCH(R$1,[1]Sheet1!$A$4:$P$4,0),0),"")</f>
        <v/>
      </c>
      <c r="S78" t="str">
        <f>IFERROR(VLOOKUP($A78,[1]Sheet1!$A$8:$P$1264,MATCH(S$1,[1]Sheet1!$A$4:$P$4,0),0),"")</f>
        <v/>
      </c>
    </row>
    <row r="79" spans="1:19">
      <c r="A79" t="str">
        <f t="shared" si="4"/>
        <v>IND-PHX</v>
      </c>
      <c r="B79" s="3" t="s">
        <v>24</v>
      </c>
      <c r="C79" s="3" t="s">
        <v>22</v>
      </c>
      <c r="D79" t="s">
        <v>2</v>
      </c>
      <c r="E79" t="str">
        <f t="shared" si="2"/>
        <v>Southwest</v>
      </c>
      <c r="F79">
        <f>IFERROR(VLOOKUP($A79,[1]Sheet1!$A$8:$P$1264,MATCH(F$1,[1]Sheet1!$A$4:$P$4,0),0),"")</f>
        <v>12</v>
      </c>
      <c r="G79">
        <f>IFERROR(VLOOKUP($A79,[1]Sheet1!$A$8:$P$1264,MATCH(G$1,[1]Sheet1!$A$4:$P$4,0),0),"")</f>
        <v>0</v>
      </c>
      <c r="H79">
        <f>IFERROR(VLOOKUP($A79,[1]Sheet1!$A$8:$P$1264,MATCH(H$1,[1]Sheet1!$A$4:$P$4,0),0),"")</f>
        <v>12</v>
      </c>
      <c r="I79">
        <f>IFERROR(VLOOKUP($A79,[1]Sheet1!$A$8:$P$1264,MATCH(I$1,[1]Sheet1!$A$4:$P$4,0),0),"")</f>
        <v>0</v>
      </c>
      <c r="J79">
        <f>IFERROR(VLOOKUP($A79,[1]Sheet1!$A$8:$P$1264,MATCH(J$1,[1]Sheet1!$A$4:$P$4,0),0),"")</f>
        <v>15</v>
      </c>
      <c r="K79">
        <f>IFERROR(VLOOKUP($A79,[1]Sheet1!$A$8:$P$1264,MATCH(K$1,[1]Sheet1!$A$4:$P$4,0),0),"")</f>
        <v>0</v>
      </c>
      <c r="L79">
        <f>IFERROR(VLOOKUP($A79,[1]Sheet1!$A$8:$P$1264,MATCH(L$1,[1]Sheet1!$A$4:$P$4,0),0),"")</f>
        <v>14</v>
      </c>
      <c r="M79">
        <f>IFERROR(VLOOKUP($A79,[1]Sheet1!$A$8:$P$1264,MATCH(M$1,[1]Sheet1!$A$4:$P$4,0),0),"")</f>
        <v>0</v>
      </c>
      <c r="N79">
        <f>IFERROR(VLOOKUP($A79,[1]Sheet1!$A$8:$P$1264,MATCH(N$1,[1]Sheet1!$A$4:$P$4,0),0),"")</f>
        <v>14</v>
      </c>
      <c r="O79">
        <f>IFERROR(VLOOKUP($A79,[1]Sheet1!$A$8:$P$1264,MATCH(O$1,[1]Sheet1!$A$4:$P$4,0),0),"")</f>
        <v>0</v>
      </c>
      <c r="P79">
        <f>IFERROR(VLOOKUP($A79,[1]Sheet1!$A$8:$P$1264,MATCH(P$1,[1]Sheet1!$A$4:$P$4,0),0),"")</f>
        <v>14</v>
      </c>
      <c r="Q79">
        <f>IFERROR(VLOOKUP($A79,[1]Sheet1!$A$8:$P$1264,MATCH(Q$1,[1]Sheet1!$A$4:$P$4,0),0),"")</f>
        <v>0</v>
      </c>
      <c r="R79">
        <f>IFERROR(VLOOKUP($A79,[1]Sheet1!$A$8:$P$1264,MATCH(R$1,[1]Sheet1!$A$4:$P$4,0),0),"")</f>
        <v>14</v>
      </c>
      <c r="S79">
        <f>IFERROR(VLOOKUP($A79,[1]Sheet1!$A$8:$P$1264,MATCH(S$1,[1]Sheet1!$A$4:$P$4,0),0),"")</f>
        <v>0</v>
      </c>
    </row>
    <row r="80" spans="1:19">
      <c r="A80" t="str">
        <f t="shared" si="4"/>
        <v>IND-RDU</v>
      </c>
      <c r="B80" s="3" t="s">
        <v>24</v>
      </c>
      <c r="C80" s="3" t="s">
        <v>14</v>
      </c>
      <c r="D80" t="s">
        <v>2</v>
      </c>
      <c r="E80" t="s">
        <v>49</v>
      </c>
      <c r="F80" t="str">
        <f>IFERROR(VLOOKUP($A80,[1]Sheet1!$A$8:$P$1264,MATCH(F$1,[1]Sheet1!$A$4:$P$4,0),0),"")</f>
        <v/>
      </c>
      <c r="G80" t="str">
        <f>IFERROR(VLOOKUP($A80,[1]Sheet1!$A$8:$P$1264,MATCH(G$1,[1]Sheet1!$A$4:$P$4,0),0),"")</f>
        <v/>
      </c>
      <c r="H80" t="str">
        <f>IFERROR(VLOOKUP($A80,[1]Sheet1!$A$8:$P$1264,MATCH(H$1,[1]Sheet1!$A$4:$P$4,0),0),"")</f>
        <v/>
      </c>
      <c r="I80" t="str">
        <f>IFERROR(VLOOKUP($A80,[1]Sheet1!$A$8:$P$1264,MATCH(I$1,[1]Sheet1!$A$4:$P$4,0),0),"")</f>
        <v/>
      </c>
      <c r="J80" t="str">
        <f>IFERROR(VLOOKUP($A80,[1]Sheet1!$A$8:$P$1264,MATCH(J$1,[1]Sheet1!$A$4:$P$4,0),0),"")</f>
        <v/>
      </c>
      <c r="K80" t="str">
        <f>IFERROR(VLOOKUP($A80,[1]Sheet1!$A$8:$P$1264,MATCH(K$1,[1]Sheet1!$A$4:$P$4,0),0),"")</f>
        <v/>
      </c>
      <c r="L80" t="str">
        <f>IFERROR(VLOOKUP($A80,[1]Sheet1!$A$8:$P$1264,MATCH(L$1,[1]Sheet1!$A$4:$P$4,0),0),"")</f>
        <v/>
      </c>
      <c r="M80" t="str">
        <f>IFERROR(VLOOKUP($A80,[1]Sheet1!$A$8:$P$1264,MATCH(M$1,[1]Sheet1!$A$4:$P$4,0),0),"")</f>
        <v/>
      </c>
      <c r="N80" t="str">
        <f>IFERROR(VLOOKUP($A80,[1]Sheet1!$A$8:$P$1264,MATCH(N$1,[1]Sheet1!$A$4:$P$4,0),0),"")</f>
        <v/>
      </c>
      <c r="O80" t="str">
        <f>IFERROR(VLOOKUP($A80,[1]Sheet1!$A$8:$P$1264,MATCH(O$1,[1]Sheet1!$A$4:$P$4,0),0),"")</f>
        <v/>
      </c>
      <c r="P80" t="str">
        <f>IFERROR(VLOOKUP($A80,[1]Sheet1!$A$8:$P$1264,MATCH(P$1,[1]Sheet1!$A$4:$P$4,0),0),"")</f>
        <v/>
      </c>
      <c r="Q80" t="str">
        <f>IFERROR(VLOOKUP($A80,[1]Sheet1!$A$8:$P$1264,MATCH(Q$1,[1]Sheet1!$A$4:$P$4,0),0),"")</f>
        <v/>
      </c>
      <c r="R80" t="str">
        <f>IFERROR(VLOOKUP($A80,[1]Sheet1!$A$8:$P$1264,MATCH(R$1,[1]Sheet1!$A$4:$P$4,0),0),"")</f>
        <v/>
      </c>
      <c r="S80" t="str">
        <f>IFERROR(VLOOKUP($A80,[1]Sheet1!$A$8:$P$1264,MATCH(S$1,[1]Sheet1!$A$4:$P$4,0),0),"")</f>
        <v/>
      </c>
    </row>
    <row r="81" spans="1:19">
      <c r="A81" t="str">
        <f t="shared" si="4"/>
        <v>IND-SFO</v>
      </c>
      <c r="B81" s="3" t="s">
        <v>24</v>
      </c>
      <c r="C81" s="3" t="s">
        <v>16</v>
      </c>
      <c r="D81" t="s">
        <v>2</v>
      </c>
      <c r="E81" t="s">
        <v>49</v>
      </c>
      <c r="F81" t="str">
        <f>IFERROR(VLOOKUP($A81,[1]Sheet1!$A$8:$P$1264,MATCH(F$1,[1]Sheet1!$A$4:$P$4,0),0),"")</f>
        <v/>
      </c>
      <c r="G81" t="str">
        <f>IFERROR(VLOOKUP($A81,[1]Sheet1!$A$8:$P$1264,MATCH(G$1,[1]Sheet1!$A$4:$P$4,0),0),"")</f>
        <v/>
      </c>
      <c r="H81" t="str">
        <f>IFERROR(VLOOKUP($A81,[1]Sheet1!$A$8:$P$1264,MATCH(H$1,[1]Sheet1!$A$4:$P$4,0),0),"")</f>
        <v/>
      </c>
      <c r="I81" t="str">
        <f>IFERROR(VLOOKUP($A81,[1]Sheet1!$A$8:$P$1264,MATCH(I$1,[1]Sheet1!$A$4:$P$4,0),0),"")</f>
        <v/>
      </c>
      <c r="J81" t="str">
        <f>IFERROR(VLOOKUP($A81,[1]Sheet1!$A$8:$P$1264,MATCH(J$1,[1]Sheet1!$A$4:$P$4,0),0),"")</f>
        <v/>
      </c>
      <c r="K81" t="str">
        <f>IFERROR(VLOOKUP($A81,[1]Sheet1!$A$8:$P$1264,MATCH(K$1,[1]Sheet1!$A$4:$P$4,0),0),"")</f>
        <v/>
      </c>
      <c r="L81" t="str">
        <f>IFERROR(VLOOKUP($A81,[1]Sheet1!$A$8:$P$1264,MATCH(L$1,[1]Sheet1!$A$4:$P$4,0),0),"")</f>
        <v/>
      </c>
      <c r="M81" t="str">
        <f>IFERROR(VLOOKUP($A81,[1]Sheet1!$A$8:$P$1264,MATCH(M$1,[1]Sheet1!$A$4:$P$4,0),0),"")</f>
        <v/>
      </c>
      <c r="N81" t="str">
        <f>IFERROR(VLOOKUP($A81,[1]Sheet1!$A$8:$P$1264,MATCH(N$1,[1]Sheet1!$A$4:$P$4,0),0),"")</f>
        <v/>
      </c>
      <c r="O81" t="str">
        <f>IFERROR(VLOOKUP($A81,[1]Sheet1!$A$8:$P$1264,MATCH(O$1,[1]Sheet1!$A$4:$P$4,0),0),"")</f>
        <v/>
      </c>
      <c r="P81" t="str">
        <f>IFERROR(VLOOKUP($A81,[1]Sheet1!$A$8:$P$1264,MATCH(P$1,[1]Sheet1!$A$4:$P$4,0),0),"")</f>
        <v/>
      </c>
      <c r="Q81" t="str">
        <f>IFERROR(VLOOKUP($A81,[1]Sheet1!$A$8:$P$1264,MATCH(Q$1,[1]Sheet1!$A$4:$P$4,0),0),"")</f>
        <v/>
      </c>
      <c r="R81" t="str">
        <f>IFERROR(VLOOKUP($A81,[1]Sheet1!$A$8:$P$1264,MATCH(R$1,[1]Sheet1!$A$4:$P$4,0),0),"")</f>
        <v/>
      </c>
      <c r="S81" t="str">
        <f>IFERROR(VLOOKUP($A81,[1]Sheet1!$A$8:$P$1264,MATCH(S$1,[1]Sheet1!$A$4:$P$4,0),0),"")</f>
        <v/>
      </c>
    </row>
    <row r="82" spans="1:19">
      <c r="A82" t="str">
        <f t="shared" si="4"/>
        <v>JAX-LAS</v>
      </c>
      <c r="B82" s="3" t="s">
        <v>25</v>
      </c>
      <c r="C82" s="3" t="s">
        <v>21</v>
      </c>
      <c r="D82" t="s">
        <v>2</v>
      </c>
      <c r="E82" t="str">
        <f t="shared" si="2"/>
        <v>Southwest</v>
      </c>
      <c r="F82">
        <f>IFERROR(VLOOKUP($A82,[1]Sheet1!$A$8:$P$1264,MATCH(F$1,[1]Sheet1!$A$4:$P$4,0),0),"")</f>
        <v>0</v>
      </c>
      <c r="G82">
        <f>IFERROR(VLOOKUP($A82,[1]Sheet1!$A$8:$P$1264,MATCH(G$1,[1]Sheet1!$A$4:$P$4,0),0),"")</f>
        <v>0</v>
      </c>
      <c r="H82">
        <f>IFERROR(VLOOKUP($A82,[1]Sheet1!$A$8:$P$1264,MATCH(H$1,[1]Sheet1!$A$4:$P$4,0),0),"")</f>
        <v>0</v>
      </c>
      <c r="I82">
        <f>IFERROR(VLOOKUP($A82,[1]Sheet1!$A$8:$P$1264,MATCH(I$1,[1]Sheet1!$A$4:$P$4,0),0),"")</f>
        <v>0</v>
      </c>
      <c r="J82">
        <f>IFERROR(VLOOKUP($A82,[1]Sheet1!$A$8:$P$1264,MATCH(J$1,[1]Sheet1!$A$4:$P$4,0),0),"")</f>
        <v>7</v>
      </c>
      <c r="K82">
        <f>IFERROR(VLOOKUP($A82,[1]Sheet1!$A$8:$P$1264,MATCH(K$1,[1]Sheet1!$A$4:$P$4,0),0),"")</f>
        <v>0</v>
      </c>
      <c r="L82">
        <f>IFERROR(VLOOKUP($A82,[1]Sheet1!$A$8:$P$1264,MATCH(L$1,[1]Sheet1!$A$4:$P$4,0),0),"")</f>
        <v>7</v>
      </c>
      <c r="M82">
        <f>IFERROR(VLOOKUP($A82,[1]Sheet1!$A$8:$P$1264,MATCH(M$1,[1]Sheet1!$A$4:$P$4,0),0),"")</f>
        <v>0</v>
      </c>
      <c r="N82">
        <f>IFERROR(VLOOKUP($A82,[1]Sheet1!$A$8:$P$1264,MATCH(N$1,[1]Sheet1!$A$4:$P$4,0),0),"")</f>
        <v>7</v>
      </c>
      <c r="O82">
        <f>IFERROR(VLOOKUP($A82,[1]Sheet1!$A$8:$P$1264,MATCH(O$1,[1]Sheet1!$A$4:$P$4,0),0),"")</f>
        <v>0</v>
      </c>
      <c r="P82">
        <f>IFERROR(VLOOKUP($A82,[1]Sheet1!$A$8:$P$1264,MATCH(P$1,[1]Sheet1!$A$4:$P$4,0),0),"")</f>
        <v>7</v>
      </c>
      <c r="Q82">
        <f>IFERROR(VLOOKUP($A82,[1]Sheet1!$A$8:$P$1264,MATCH(Q$1,[1]Sheet1!$A$4:$P$4,0),0),"")</f>
        <v>0</v>
      </c>
      <c r="R82">
        <f>IFERROR(VLOOKUP($A82,[1]Sheet1!$A$8:$P$1264,MATCH(R$1,[1]Sheet1!$A$4:$P$4,0),0),"")</f>
        <v>7</v>
      </c>
      <c r="S82">
        <f>IFERROR(VLOOKUP($A82,[1]Sheet1!$A$8:$P$1264,MATCH(S$1,[1]Sheet1!$A$4:$P$4,0),0),"")</f>
        <v>0</v>
      </c>
    </row>
    <row r="83" spans="1:19">
      <c r="A83" t="str">
        <f t="shared" si="4"/>
        <v>JAX-STL</v>
      </c>
      <c r="B83" s="3" t="s">
        <v>25</v>
      </c>
      <c r="C83" s="3" t="s">
        <v>19</v>
      </c>
      <c r="D83" t="s">
        <v>2</v>
      </c>
      <c r="E83" t="s">
        <v>49</v>
      </c>
      <c r="F83" t="str">
        <f>IFERROR(VLOOKUP($A83,[1]Sheet1!$A$8:$P$1264,MATCH(F$1,[1]Sheet1!$A$4:$P$4,0),0),"")</f>
        <v/>
      </c>
      <c r="G83" t="str">
        <f>IFERROR(VLOOKUP($A83,[1]Sheet1!$A$8:$P$1264,MATCH(G$1,[1]Sheet1!$A$4:$P$4,0),0),"")</f>
        <v/>
      </c>
      <c r="H83" t="str">
        <f>IFERROR(VLOOKUP($A83,[1]Sheet1!$A$8:$P$1264,MATCH(H$1,[1]Sheet1!$A$4:$P$4,0),0),"")</f>
        <v/>
      </c>
      <c r="I83" t="str">
        <f>IFERROR(VLOOKUP($A83,[1]Sheet1!$A$8:$P$1264,MATCH(I$1,[1]Sheet1!$A$4:$P$4,0),0),"")</f>
        <v/>
      </c>
      <c r="J83" t="str">
        <f>IFERROR(VLOOKUP($A83,[1]Sheet1!$A$8:$P$1264,MATCH(J$1,[1]Sheet1!$A$4:$P$4,0),0),"")</f>
        <v/>
      </c>
      <c r="K83" t="str">
        <f>IFERROR(VLOOKUP($A83,[1]Sheet1!$A$8:$P$1264,MATCH(K$1,[1]Sheet1!$A$4:$P$4,0),0),"")</f>
        <v/>
      </c>
      <c r="L83" t="str">
        <f>IFERROR(VLOOKUP($A83,[1]Sheet1!$A$8:$P$1264,MATCH(L$1,[1]Sheet1!$A$4:$P$4,0),0),"")</f>
        <v/>
      </c>
      <c r="M83" t="str">
        <f>IFERROR(VLOOKUP($A83,[1]Sheet1!$A$8:$P$1264,MATCH(M$1,[1]Sheet1!$A$4:$P$4,0),0),"")</f>
        <v/>
      </c>
      <c r="N83" t="str">
        <f>IFERROR(VLOOKUP($A83,[1]Sheet1!$A$8:$P$1264,MATCH(N$1,[1]Sheet1!$A$4:$P$4,0),0),"")</f>
        <v/>
      </c>
      <c r="O83" t="str">
        <f>IFERROR(VLOOKUP($A83,[1]Sheet1!$A$8:$P$1264,MATCH(O$1,[1]Sheet1!$A$4:$P$4,0),0),"")</f>
        <v/>
      </c>
      <c r="P83" t="str">
        <f>IFERROR(VLOOKUP($A83,[1]Sheet1!$A$8:$P$1264,MATCH(P$1,[1]Sheet1!$A$4:$P$4,0),0),"")</f>
        <v/>
      </c>
      <c r="Q83" t="str">
        <f>IFERROR(VLOOKUP($A83,[1]Sheet1!$A$8:$P$1264,MATCH(Q$1,[1]Sheet1!$A$4:$P$4,0),0),"")</f>
        <v/>
      </c>
      <c r="R83" t="str">
        <f>IFERROR(VLOOKUP($A83,[1]Sheet1!$A$8:$P$1264,MATCH(R$1,[1]Sheet1!$A$4:$P$4,0),0),"")</f>
        <v/>
      </c>
      <c r="S83" t="str">
        <f>IFERROR(VLOOKUP($A83,[1]Sheet1!$A$8:$P$1264,MATCH(S$1,[1]Sheet1!$A$4:$P$4,0),0),"")</f>
        <v/>
      </c>
    </row>
    <row r="84" spans="1:19">
      <c r="A84" t="str">
        <f t="shared" si="4"/>
        <v>LAS-RDU</v>
      </c>
      <c r="B84" s="3" t="s">
        <v>21</v>
      </c>
      <c r="C84" s="3" t="s">
        <v>14</v>
      </c>
      <c r="D84" t="s">
        <v>2</v>
      </c>
      <c r="E84" t="str">
        <f t="shared" ref="E84:E129" si="5">IF((F84+H84+J84+L84+N84+P84+R84)&lt;(G84+I84+K84+M84+O84+Q84+S84),"AirTran","Southwest")</f>
        <v>Southwest</v>
      </c>
      <c r="F84">
        <f>IFERROR(VLOOKUP($A84,[1]Sheet1!$A$8:$P$1264,MATCH(F$1,[1]Sheet1!$A$4:$P$4,0),0),"")</f>
        <v>7</v>
      </c>
      <c r="G84">
        <f>IFERROR(VLOOKUP($A84,[1]Sheet1!$A$8:$P$1264,MATCH(G$1,[1]Sheet1!$A$4:$P$4,0),0),"")</f>
        <v>0</v>
      </c>
      <c r="H84">
        <f>IFERROR(VLOOKUP($A84,[1]Sheet1!$A$8:$P$1264,MATCH(H$1,[1]Sheet1!$A$4:$P$4,0),0),"")</f>
        <v>7</v>
      </c>
      <c r="I84">
        <f>IFERROR(VLOOKUP($A84,[1]Sheet1!$A$8:$P$1264,MATCH(I$1,[1]Sheet1!$A$4:$P$4,0),0),"")</f>
        <v>0</v>
      </c>
      <c r="J84">
        <f>IFERROR(VLOOKUP($A84,[1]Sheet1!$A$8:$P$1264,MATCH(J$1,[1]Sheet1!$A$4:$P$4,0),0),"")</f>
        <v>7</v>
      </c>
      <c r="K84">
        <f>IFERROR(VLOOKUP($A84,[1]Sheet1!$A$8:$P$1264,MATCH(K$1,[1]Sheet1!$A$4:$P$4,0),0),"")</f>
        <v>0</v>
      </c>
      <c r="L84">
        <f>IFERROR(VLOOKUP($A84,[1]Sheet1!$A$8:$P$1264,MATCH(L$1,[1]Sheet1!$A$4:$P$4,0),0),"")</f>
        <v>7</v>
      </c>
      <c r="M84">
        <f>IFERROR(VLOOKUP($A84,[1]Sheet1!$A$8:$P$1264,MATCH(M$1,[1]Sheet1!$A$4:$P$4,0),0),"")</f>
        <v>0</v>
      </c>
      <c r="N84">
        <f>IFERROR(VLOOKUP($A84,[1]Sheet1!$A$8:$P$1264,MATCH(N$1,[1]Sheet1!$A$4:$P$4,0),0),"")</f>
        <v>7</v>
      </c>
      <c r="O84">
        <f>IFERROR(VLOOKUP($A84,[1]Sheet1!$A$8:$P$1264,MATCH(O$1,[1]Sheet1!$A$4:$P$4,0),0),"")</f>
        <v>0</v>
      </c>
      <c r="P84">
        <f>IFERROR(VLOOKUP($A84,[1]Sheet1!$A$8:$P$1264,MATCH(P$1,[1]Sheet1!$A$4:$P$4,0),0),"")</f>
        <v>7</v>
      </c>
      <c r="Q84">
        <f>IFERROR(VLOOKUP($A84,[1]Sheet1!$A$8:$P$1264,MATCH(Q$1,[1]Sheet1!$A$4:$P$4,0),0),"")</f>
        <v>0</v>
      </c>
      <c r="R84">
        <f>IFERROR(VLOOKUP($A84,[1]Sheet1!$A$8:$P$1264,MATCH(R$1,[1]Sheet1!$A$4:$P$4,0),0),"")</f>
        <v>7</v>
      </c>
      <c r="S84">
        <f>IFERROR(VLOOKUP($A84,[1]Sheet1!$A$8:$P$1264,MATCH(S$1,[1]Sheet1!$A$4:$P$4,0),0),"")</f>
        <v>0</v>
      </c>
    </row>
    <row r="85" spans="1:19">
      <c r="A85" t="str">
        <f t="shared" si="4"/>
        <v>LAS-STL</v>
      </c>
      <c r="B85" s="3" t="s">
        <v>21</v>
      </c>
      <c r="C85" s="3" t="s">
        <v>19</v>
      </c>
      <c r="D85" t="s">
        <v>2</v>
      </c>
      <c r="E85" t="str">
        <f t="shared" si="5"/>
        <v>Southwest</v>
      </c>
      <c r="F85">
        <f>IFERROR(VLOOKUP($A85,[1]Sheet1!$A$8:$P$1264,MATCH(F$1,[1]Sheet1!$A$4:$P$4,0),0),"")</f>
        <v>21</v>
      </c>
      <c r="G85">
        <f>IFERROR(VLOOKUP($A85,[1]Sheet1!$A$8:$P$1264,MATCH(G$1,[1]Sheet1!$A$4:$P$4,0),0),"")</f>
        <v>0</v>
      </c>
      <c r="H85">
        <f>IFERROR(VLOOKUP($A85,[1]Sheet1!$A$8:$P$1264,MATCH(H$1,[1]Sheet1!$A$4:$P$4,0),0),"")</f>
        <v>21</v>
      </c>
      <c r="I85">
        <f>IFERROR(VLOOKUP($A85,[1]Sheet1!$A$8:$P$1264,MATCH(I$1,[1]Sheet1!$A$4:$P$4,0),0),"")</f>
        <v>0</v>
      </c>
      <c r="J85">
        <f>IFERROR(VLOOKUP($A85,[1]Sheet1!$A$8:$P$1264,MATCH(J$1,[1]Sheet1!$A$4:$P$4,0),0),"")</f>
        <v>28</v>
      </c>
      <c r="K85">
        <f>IFERROR(VLOOKUP($A85,[1]Sheet1!$A$8:$P$1264,MATCH(K$1,[1]Sheet1!$A$4:$P$4,0),0),"")</f>
        <v>0</v>
      </c>
      <c r="L85">
        <f>IFERROR(VLOOKUP($A85,[1]Sheet1!$A$8:$P$1264,MATCH(L$1,[1]Sheet1!$A$4:$P$4,0),0),"")</f>
        <v>28</v>
      </c>
      <c r="M85">
        <f>IFERROR(VLOOKUP($A85,[1]Sheet1!$A$8:$P$1264,MATCH(M$1,[1]Sheet1!$A$4:$P$4,0),0),"")</f>
        <v>0</v>
      </c>
      <c r="N85">
        <f>IFERROR(VLOOKUP($A85,[1]Sheet1!$A$8:$P$1264,MATCH(N$1,[1]Sheet1!$A$4:$P$4,0),0),"")</f>
        <v>28</v>
      </c>
      <c r="O85">
        <f>IFERROR(VLOOKUP($A85,[1]Sheet1!$A$8:$P$1264,MATCH(O$1,[1]Sheet1!$A$4:$P$4,0),0),"")</f>
        <v>0</v>
      </c>
      <c r="P85">
        <f>IFERROR(VLOOKUP($A85,[1]Sheet1!$A$8:$P$1264,MATCH(P$1,[1]Sheet1!$A$4:$P$4,0),0),"")</f>
        <v>28</v>
      </c>
      <c r="Q85">
        <f>IFERROR(VLOOKUP($A85,[1]Sheet1!$A$8:$P$1264,MATCH(Q$1,[1]Sheet1!$A$4:$P$4,0),0),"")</f>
        <v>0</v>
      </c>
      <c r="R85">
        <f>IFERROR(VLOOKUP($A85,[1]Sheet1!$A$8:$P$1264,MATCH(R$1,[1]Sheet1!$A$4:$P$4,0),0),"")</f>
        <v>28</v>
      </c>
      <c r="S85">
        <f>IFERROR(VLOOKUP($A85,[1]Sheet1!$A$8:$P$1264,MATCH(S$1,[1]Sheet1!$A$4:$P$4,0),0),"")</f>
        <v>0</v>
      </c>
    </row>
    <row r="86" spans="1:19">
      <c r="A86" t="str">
        <f t="shared" si="4"/>
        <v>LAS-TPA</v>
      </c>
      <c r="B86" s="3" t="s">
        <v>21</v>
      </c>
      <c r="C86" s="3" t="s">
        <v>30</v>
      </c>
      <c r="D86" t="s">
        <v>2</v>
      </c>
      <c r="E86" t="str">
        <f t="shared" si="5"/>
        <v>Southwest</v>
      </c>
      <c r="F86">
        <f>IFERROR(VLOOKUP($A86,[1]Sheet1!$A$8:$P$1264,MATCH(F$1,[1]Sheet1!$A$4:$P$4,0),0),"")</f>
        <v>7</v>
      </c>
      <c r="G86">
        <f>IFERROR(VLOOKUP($A86,[1]Sheet1!$A$8:$P$1264,MATCH(G$1,[1]Sheet1!$A$4:$P$4,0),0),"")</f>
        <v>0</v>
      </c>
      <c r="H86">
        <f>IFERROR(VLOOKUP($A86,[1]Sheet1!$A$8:$P$1264,MATCH(H$1,[1]Sheet1!$A$4:$P$4,0),0),"")</f>
        <v>7</v>
      </c>
      <c r="I86">
        <f>IFERROR(VLOOKUP($A86,[1]Sheet1!$A$8:$P$1264,MATCH(I$1,[1]Sheet1!$A$4:$P$4,0),0),"")</f>
        <v>0</v>
      </c>
      <c r="J86">
        <f>IFERROR(VLOOKUP($A86,[1]Sheet1!$A$8:$P$1264,MATCH(J$1,[1]Sheet1!$A$4:$P$4,0),0),"")</f>
        <v>14</v>
      </c>
      <c r="K86">
        <f>IFERROR(VLOOKUP($A86,[1]Sheet1!$A$8:$P$1264,MATCH(K$1,[1]Sheet1!$A$4:$P$4,0),0),"")</f>
        <v>0</v>
      </c>
      <c r="L86">
        <f>IFERROR(VLOOKUP($A86,[1]Sheet1!$A$8:$P$1264,MATCH(L$1,[1]Sheet1!$A$4:$P$4,0),0),"")</f>
        <v>13</v>
      </c>
      <c r="M86">
        <f>IFERROR(VLOOKUP($A86,[1]Sheet1!$A$8:$P$1264,MATCH(M$1,[1]Sheet1!$A$4:$P$4,0),0),"")</f>
        <v>0</v>
      </c>
      <c r="N86">
        <f>IFERROR(VLOOKUP($A86,[1]Sheet1!$A$8:$P$1264,MATCH(N$1,[1]Sheet1!$A$4:$P$4,0),0),"")</f>
        <v>13</v>
      </c>
      <c r="O86">
        <f>IFERROR(VLOOKUP($A86,[1]Sheet1!$A$8:$P$1264,MATCH(O$1,[1]Sheet1!$A$4:$P$4,0),0),"")</f>
        <v>0</v>
      </c>
      <c r="P86">
        <f>IFERROR(VLOOKUP($A86,[1]Sheet1!$A$8:$P$1264,MATCH(P$1,[1]Sheet1!$A$4:$P$4,0),0),"")</f>
        <v>14</v>
      </c>
      <c r="Q86">
        <f>IFERROR(VLOOKUP($A86,[1]Sheet1!$A$8:$P$1264,MATCH(Q$1,[1]Sheet1!$A$4:$P$4,0),0),"")</f>
        <v>0</v>
      </c>
      <c r="R86">
        <f>IFERROR(VLOOKUP($A86,[1]Sheet1!$A$8:$P$1264,MATCH(R$1,[1]Sheet1!$A$4:$P$4,0),0),"")</f>
        <v>14</v>
      </c>
      <c r="S86">
        <f>IFERROR(VLOOKUP($A86,[1]Sheet1!$A$8:$P$1264,MATCH(S$1,[1]Sheet1!$A$4:$P$4,0),0),"")</f>
        <v>0</v>
      </c>
    </row>
    <row r="87" spans="1:19">
      <c r="A87" t="str">
        <f t="shared" si="4"/>
        <v>LAX-MSP</v>
      </c>
      <c r="B87" s="3" t="s">
        <v>35</v>
      </c>
      <c r="C87" s="3" t="s">
        <v>12</v>
      </c>
      <c r="D87" t="s">
        <v>2</v>
      </c>
      <c r="E87" t="s">
        <v>49</v>
      </c>
      <c r="F87" t="str">
        <f>IFERROR(VLOOKUP($A87,[1]Sheet1!$A$8:$P$1264,MATCH(F$1,[1]Sheet1!$A$4:$P$4,0),0),"")</f>
        <v/>
      </c>
      <c r="G87" t="str">
        <f>IFERROR(VLOOKUP($A87,[1]Sheet1!$A$8:$P$1264,MATCH(G$1,[1]Sheet1!$A$4:$P$4,0),0),"")</f>
        <v/>
      </c>
      <c r="H87" t="str">
        <f>IFERROR(VLOOKUP($A87,[1]Sheet1!$A$8:$P$1264,MATCH(H$1,[1]Sheet1!$A$4:$P$4,0),0),"")</f>
        <v/>
      </c>
      <c r="I87" t="str">
        <f>IFERROR(VLOOKUP($A87,[1]Sheet1!$A$8:$P$1264,MATCH(I$1,[1]Sheet1!$A$4:$P$4,0),0),"")</f>
        <v/>
      </c>
      <c r="J87" t="str">
        <f>IFERROR(VLOOKUP($A87,[1]Sheet1!$A$8:$P$1264,MATCH(J$1,[1]Sheet1!$A$4:$P$4,0),0),"")</f>
        <v/>
      </c>
      <c r="K87" t="str">
        <f>IFERROR(VLOOKUP($A87,[1]Sheet1!$A$8:$P$1264,MATCH(K$1,[1]Sheet1!$A$4:$P$4,0),0),"")</f>
        <v/>
      </c>
      <c r="L87" t="str">
        <f>IFERROR(VLOOKUP($A87,[1]Sheet1!$A$8:$P$1264,MATCH(L$1,[1]Sheet1!$A$4:$P$4,0),0),"")</f>
        <v/>
      </c>
      <c r="M87" t="str">
        <f>IFERROR(VLOOKUP($A87,[1]Sheet1!$A$8:$P$1264,MATCH(M$1,[1]Sheet1!$A$4:$P$4,0),0),"")</f>
        <v/>
      </c>
      <c r="N87" t="str">
        <f>IFERROR(VLOOKUP($A87,[1]Sheet1!$A$8:$P$1264,MATCH(N$1,[1]Sheet1!$A$4:$P$4,0),0),"")</f>
        <v/>
      </c>
      <c r="O87" t="str">
        <f>IFERROR(VLOOKUP($A87,[1]Sheet1!$A$8:$P$1264,MATCH(O$1,[1]Sheet1!$A$4:$P$4,0),0),"")</f>
        <v/>
      </c>
      <c r="P87" t="str">
        <f>IFERROR(VLOOKUP($A87,[1]Sheet1!$A$8:$P$1264,MATCH(P$1,[1]Sheet1!$A$4:$P$4,0),0),"")</f>
        <v/>
      </c>
      <c r="Q87" t="str">
        <f>IFERROR(VLOOKUP($A87,[1]Sheet1!$A$8:$P$1264,MATCH(Q$1,[1]Sheet1!$A$4:$P$4,0),0),"")</f>
        <v/>
      </c>
      <c r="R87" t="str">
        <f>IFERROR(VLOOKUP($A87,[1]Sheet1!$A$8:$P$1264,MATCH(R$1,[1]Sheet1!$A$4:$P$4,0),0),"")</f>
        <v/>
      </c>
      <c r="S87" t="str">
        <f>IFERROR(VLOOKUP($A87,[1]Sheet1!$A$8:$P$1264,MATCH(S$1,[1]Sheet1!$A$4:$P$4,0),0),"")</f>
        <v/>
      </c>
    </row>
    <row r="88" spans="1:19">
      <c r="A88" t="str">
        <f t="shared" si="4"/>
        <v>LAX-STL</v>
      </c>
      <c r="B88" s="3" t="s">
        <v>35</v>
      </c>
      <c r="C88" s="3" t="s">
        <v>19</v>
      </c>
      <c r="D88" t="s">
        <v>2</v>
      </c>
      <c r="E88" t="str">
        <f t="shared" si="5"/>
        <v>Southwest</v>
      </c>
      <c r="F88">
        <f>IFERROR(VLOOKUP($A88,[1]Sheet1!$A$8:$P$1264,MATCH(F$1,[1]Sheet1!$A$4:$P$4,0),0),"")</f>
        <v>7</v>
      </c>
      <c r="G88">
        <f>IFERROR(VLOOKUP($A88,[1]Sheet1!$A$8:$P$1264,MATCH(G$1,[1]Sheet1!$A$4:$P$4,0),0),"")</f>
        <v>0</v>
      </c>
      <c r="H88">
        <f>IFERROR(VLOOKUP($A88,[1]Sheet1!$A$8:$P$1264,MATCH(H$1,[1]Sheet1!$A$4:$P$4,0),0),"")</f>
        <v>7</v>
      </c>
      <c r="I88">
        <f>IFERROR(VLOOKUP($A88,[1]Sheet1!$A$8:$P$1264,MATCH(I$1,[1]Sheet1!$A$4:$P$4,0),0),"")</f>
        <v>0</v>
      </c>
      <c r="J88">
        <f>IFERROR(VLOOKUP($A88,[1]Sheet1!$A$8:$P$1264,MATCH(J$1,[1]Sheet1!$A$4:$P$4,0),0),"")</f>
        <v>8</v>
      </c>
      <c r="K88">
        <f>IFERROR(VLOOKUP($A88,[1]Sheet1!$A$8:$P$1264,MATCH(K$1,[1]Sheet1!$A$4:$P$4,0),0),"")</f>
        <v>0</v>
      </c>
      <c r="L88">
        <f>IFERROR(VLOOKUP($A88,[1]Sheet1!$A$8:$P$1264,MATCH(L$1,[1]Sheet1!$A$4:$P$4,0),0),"")</f>
        <v>13</v>
      </c>
      <c r="M88">
        <f>IFERROR(VLOOKUP($A88,[1]Sheet1!$A$8:$P$1264,MATCH(M$1,[1]Sheet1!$A$4:$P$4,0),0),"")</f>
        <v>0</v>
      </c>
      <c r="N88">
        <f>IFERROR(VLOOKUP($A88,[1]Sheet1!$A$8:$P$1264,MATCH(N$1,[1]Sheet1!$A$4:$P$4,0),0),"")</f>
        <v>13</v>
      </c>
      <c r="O88">
        <f>IFERROR(VLOOKUP($A88,[1]Sheet1!$A$8:$P$1264,MATCH(O$1,[1]Sheet1!$A$4:$P$4,0),0),"")</f>
        <v>0</v>
      </c>
      <c r="P88">
        <f>IFERROR(VLOOKUP($A88,[1]Sheet1!$A$8:$P$1264,MATCH(P$1,[1]Sheet1!$A$4:$P$4,0),0),"")</f>
        <v>14</v>
      </c>
      <c r="Q88">
        <f>IFERROR(VLOOKUP($A88,[1]Sheet1!$A$8:$P$1264,MATCH(Q$1,[1]Sheet1!$A$4:$P$4,0),0),"")</f>
        <v>0</v>
      </c>
      <c r="R88">
        <f>IFERROR(VLOOKUP($A88,[1]Sheet1!$A$8:$P$1264,MATCH(R$1,[1]Sheet1!$A$4:$P$4,0),0),"")</f>
        <v>14</v>
      </c>
      <c r="S88">
        <f>IFERROR(VLOOKUP($A88,[1]Sheet1!$A$8:$P$1264,MATCH(S$1,[1]Sheet1!$A$4:$P$4,0),0),"")</f>
        <v>0</v>
      </c>
    </row>
    <row r="89" spans="1:19">
      <c r="A89" t="str">
        <f t="shared" si="4"/>
        <v>LGA-MDW</v>
      </c>
      <c r="B89" s="3" t="s">
        <v>36</v>
      </c>
      <c r="C89" s="3" t="s">
        <v>10</v>
      </c>
      <c r="D89" t="s">
        <v>2</v>
      </c>
      <c r="E89" t="str">
        <f t="shared" si="5"/>
        <v>Southwest</v>
      </c>
      <c r="F89">
        <f>IFERROR(VLOOKUP($A89,[1]Sheet1!$A$8:$P$1264,MATCH(F$1,[1]Sheet1!$A$4:$P$4,0),0),"")</f>
        <v>38</v>
      </c>
      <c r="G89">
        <f>IFERROR(VLOOKUP($A89,[1]Sheet1!$A$8:$P$1264,MATCH(G$1,[1]Sheet1!$A$4:$P$4,0),0),"")</f>
        <v>0</v>
      </c>
      <c r="H89">
        <f>IFERROR(VLOOKUP($A89,[1]Sheet1!$A$8:$P$1264,MATCH(H$1,[1]Sheet1!$A$4:$P$4,0),0),"")</f>
        <v>38</v>
      </c>
      <c r="I89">
        <f>IFERROR(VLOOKUP($A89,[1]Sheet1!$A$8:$P$1264,MATCH(I$1,[1]Sheet1!$A$4:$P$4,0),0),"")</f>
        <v>0</v>
      </c>
      <c r="J89">
        <f>IFERROR(VLOOKUP($A89,[1]Sheet1!$A$8:$P$1264,MATCH(J$1,[1]Sheet1!$A$4:$P$4,0),0),"")</f>
        <v>39</v>
      </c>
      <c r="K89">
        <f>IFERROR(VLOOKUP($A89,[1]Sheet1!$A$8:$P$1264,MATCH(K$1,[1]Sheet1!$A$4:$P$4,0),0),"")</f>
        <v>0</v>
      </c>
      <c r="L89">
        <f>IFERROR(VLOOKUP($A89,[1]Sheet1!$A$8:$P$1264,MATCH(L$1,[1]Sheet1!$A$4:$P$4,0),0),"")</f>
        <v>40</v>
      </c>
      <c r="M89">
        <f>IFERROR(VLOOKUP($A89,[1]Sheet1!$A$8:$P$1264,MATCH(M$1,[1]Sheet1!$A$4:$P$4,0),0),"")</f>
        <v>0</v>
      </c>
      <c r="N89">
        <f>IFERROR(VLOOKUP($A89,[1]Sheet1!$A$8:$P$1264,MATCH(N$1,[1]Sheet1!$A$4:$P$4,0),0),"")</f>
        <v>40</v>
      </c>
      <c r="O89">
        <f>IFERROR(VLOOKUP($A89,[1]Sheet1!$A$8:$P$1264,MATCH(O$1,[1]Sheet1!$A$4:$P$4,0),0),"")</f>
        <v>0</v>
      </c>
      <c r="P89">
        <f>IFERROR(VLOOKUP($A89,[1]Sheet1!$A$8:$P$1264,MATCH(P$1,[1]Sheet1!$A$4:$P$4,0),0),"")</f>
        <v>41</v>
      </c>
      <c r="Q89">
        <f>IFERROR(VLOOKUP($A89,[1]Sheet1!$A$8:$P$1264,MATCH(Q$1,[1]Sheet1!$A$4:$P$4,0),0),"")</f>
        <v>0</v>
      </c>
      <c r="R89">
        <f>IFERROR(VLOOKUP($A89,[1]Sheet1!$A$8:$P$1264,MATCH(R$1,[1]Sheet1!$A$4:$P$4,0),0),"")</f>
        <v>41</v>
      </c>
      <c r="S89">
        <f>IFERROR(VLOOKUP($A89,[1]Sheet1!$A$8:$P$1264,MATCH(S$1,[1]Sheet1!$A$4:$P$4,0),0),"")</f>
        <v>0</v>
      </c>
    </row>
    <row r="90" spans="1:19">
      <c r="A90" t="str">
        <f t="shared" si="4"/>
        <v>MCI-MCO</v>
      </c>
      <c r="B90" s="3" t="s">
        <v>26</v>
      </c>
      <c r="C90" s="3" t="s">
        <v>27</v>
      </c>
      <c r="D90" t="s">
        <v>2</v>
      </c>
      <c r="E90" t="str">
        <f t="shared" si="5"/>
        <v>Southwest</v>
      </c>
      <c r="F90">
        <f>IFERROR(VLOOKUP($A90,[1]Sheet1!$A$8:$P$1264,MATCH(F$1,[1]Sheet1!$A$4:$P$4,0),0),"")</f>
        <v>14</v>
      </c>
      <c r="G90">
        <f>IFERROR(VLOOKUP($A90,[1]Sheet1!$A$8:$P$1264,MATCH(G$1,[1]Sheet1!$A$4:$P$4,0),0),"")</f>
        <v>0</v>
      </c>
      <c r="H90">
        <f>IFERROR(VLOOKUP($A90,[1]Sheet1!$A$8:$P$1264,MATCH(H$1,[1]Sheet1!$A$4:$P$4,0),0),"")</f>
        <v>14</v>
      </c>
      <c r="I90">
        <f>IFERROR(VLOOKUP($A90,[1]Sheet1!$A$8:$P$1264,MATCH(I$1,[1]Sheet1!$A$4:$P$4,0),0),"")</f>
        <v>0</v>
      </c>
      <c r="J90">
        <f>IFERROR(VLOOKUP($A90,[1]Sheet1!$A$8:$P$1264,MATCH(J$1,[1]Sheet1!$A$4:$P$4,0),0),"")</f>
        <v>21</v>
      </c>
      <c r="K90">
        <f>IFERROR(VLOOKUP($A90,[1]Sheet1!$A$8:$P$1264,MATCH(K$1,[1]Sheet1!$A$4:$P$4,0),0),"")</f>
        <v>0</v>
      </c>
      <c r="L90">
        <f>IFERROR(VLOOKUP($A90,[1]Sheet1!$A$8:$P$1264,MATCH(L$1,[1]Sheet1!$A$4:$P$4,0),0),"")</f>
        <v>14</v>
      </c>
      <c r="M90">
        <f>IFERROR(VLOOKUP($A90,[1]Sheet1!$A$8:$P$1264,MATCH(M$1,[1]Sheet1!$A$4:$P$4,0),0),"")</f>
        <v>7</v>
      </c>
      <c r="N90">
        <f>IFERROR(VLOOKUP($A90,[1]Sheet1!$A$8:$P$1264,MATCH(N$1,[1]Sheet1!$A$4:$P$4,0),0),"")</f>
        <v>14</v>
      </c>
      <c r="O90">
        <f>IFERROR(VLOOKUP($A90,[1]Sheet1!$A$8:$P$1264,MATCH(O$1,[1]Sheet1!$A$4:$P$4,0),0),"")</f>
        <v>7</v>
      </c>
      <c r="P90">
        <f>IFERROR(VLOOKUP($A90,[1]Sheet1!$A$8:$P$1264,MATCH(P$1,[1]Sheet1!$A$4:$P$4,0),0),"")</f>
        <v>9</v>
      </c>
      <c r="Q90">
        <f>IFERROR(VLOOKUP($A90,[1]Sheet1!$A$8:$P$1264,MATCH(Q$1,[1]Sheet1!$A$4:$P$4,0),0),"")</f>
        <v>14</v>
      </c>
      <c r="R90">
        <f>IFERROR(VLOOKUP($A90,[1]Sheet1!$A$8:$P$1264,MATCH(R$1,[1]Sheet1!$A$4:$P$4,0),0),"")</f>
        <v>9</v>
      </c>
      <c r="S90">
        <f>IFERROR(VLOOKUP($A90,[1]Sheet1!$A$8:$P$1264,MATCH(S$1,[1]Sheet1!$A$4:$P$4,0),0),"")</f>
        <v>14</v>
      </c>
    </row>
    <row r="91" spans="1:19">
      <c r="A91" t="str">
        <f t="shared" si="4"/>
        <v>MCI-TPA</v>
      </c>
      <c r="B91" s="3" t="s">
        <v>26</v>
      </c>
      <c r="C91" s="3" t="s">
        <v>30</v>
      </c>
      <c r="D91" t="s">
        <v>2</v>
      </c>
      <c r="E91" t="str">
        <f t="shared" si="5"/>
        <v>Southwest</v>
      </c>
      <c r="F91">
        <f>IFERROR(VLOOKUP($A91,[1]Sheet1!$A$8:$P$1264,MATCH(F$1,[1]Sheet1!$A$4:$P$4,0),0),"")</f>
        <v>7</v>
      </c>
      <c r="G91">
        <f>IFERROR(VLOOKUP($A91,[1]Sheet1!$A$8:$P$1264,MATCH(G$1,[1]Sheet1!$A$4:$P$4,0),0),"")</f>
        <v>0</v>
      </c>
      <c r="H91">
        <f>IFERROR(VLOOKUP($A91,[1]Sheet1!$A$8:$P$1264,MATCH(H$1,[1]Sheet1!$A$4:$P$4,0),0),"")</f>
        <v>7</v>
      </c>
      <c r="I91">
        <f>IFERROR(VLOOKUP($A91,[1]Sheet1!$A$8:$P$1264,MATCH(I$1,[1]Sheet1!$A$4:$P$4,0),0),"")</f>
        <v>0</v>
      </c>
      <c r="J91">
        <f>IFERROR(VLOOKUP($A91,[1]Sheet1!$A$8:$P$1264,MATCH(J$1,[1]Sheet1!$A$4:$P$4,0),0),"")</f>
        <v>15</v>
      </c>
      <c r="K91">
        <f>IFERROR(VLOOKUP($A91,[1]Sheet1!$A$8:$P$1264,MATCH(K$1,[1]Sheet1!$A$4:$P$4,0),0),"")</f>
        <v>0</v>
      </c>
      <c r="L91">
        <f>IFERROR(VLOOKUP($A91,[1]Sheet1!$A$8:$P$1264,MATCH(L$1,[1]Sheet1!$A$4:$P$4,0),0),"")</f>
        <v>14</v>
      </c>
      <c r="M91">
        <f>IFERROR(VLOOKUP($A91,[1]Sheet1!$A$8:$P$1264,MATCH(M$1,[1]Sheet1!$A$4:$P$4,0),0),"")</f>
        <v>0</v>
      </c>
      <c r="N91">
        <f>IFERROR(VLOOKUP($A91,[1]Sheet1!$A$8:$P$1264,MATCH(N$1,[1]Sheet1!$A$4:$P$4,0),0),"")</f>
        <v>14</v>
      </c>
      <c r="O91">
        <f>IFERROR(VLOOKUP($A91,[1]Sheet1!$A$8:$P$1264,MATCH(O$1,[1]Sheet1!$A$4:$P$4,0),0),"")</f>
        <v>0</v>
      </c>
      <c r="P91">
        <f>IFERROR(VLOOKUP($A91,[1]Sheet1!$A$8:$P$1264,MATCH(P$1,[1]Sheet1!$A$4:$P$4,0),0),"")</f>
        <v>14</v>
      </c>
      <c r="Q91">
        <f>IFERROR(VLOOKUP($A91,[1]Sheet1!$A$8:$P$1264,MATCH(Q$1,[1]Sheet1!$A$4:$P$4,0),0),"")</f>
        <v>0</v>
      </c>
      <c r="R91">
        <f>IFERROR(VLOOKUP($A91,[1]Sheet1!$A$8:$P$1264,MATCH(R$1,[1]Sheet1!$A$4:$P$4,0),0),"")</f>
        <v>14</v>
      </c>
      <c r="S91">
        <f>IFERROR(VLOOKUP($A91,[1]Sheet1!$A$8:$P$1264,MATCH(S$1,[1]Sheet1!$A$4:$P$4,0),0),"")</f>
        <v>0</v>
      </c>
    </row>
    <row r="92" spans="1:19">
      <c r="A92" t="str">
        <f t="shared" si="4"/>
        <v>MCO-MDW</v>
      </c>
      <c r="B92" s="3" t="s">
        <v>27</v>
      </c>
      <c r="C92" s="3" t="s">
        <v>10</v>
      </c>
      <c r="D92" t="s">
        <v>2</v>
      </c>
      <c r="E92" t="str">
        <f t="shared" si="5"/>
        <v>Southwest</v>
      </c>
      <c r="F92">
        <f>IFERROR(VLOOKUP($A92,[1]Sheet1!$A$8:$P$1264,MATCH(F$1,[1]Sheet1!$A$4:$P$4,0),0),"")</f>
        <v>28</v>
      </c>
      <c r="G92">
        <f>IFERROR(VLOOKUP($A92,[1]Sheet1!$A$8:$P$1264,MATCH(G$1,[1]Sheet1!$A$4:$P$4,0),0),"")</f>
        <v>21</v>
      </c>
      <c r="H92">
        <f>IFERROR(VLOOKUP($A92,[1]Sheet1!$A$8:$P$1264,MATCH(H$1,[1]Sheet1!$A$4:$P$4,0),0),"")</f>
        <v>28</v>
      </c>
      <c r="I92">
        <f>IFERROR(VLOOKUP($A92,[1]Sheet1!$A$8:$P$1264,MATCH(I$1,[1]Sheet1!$A$4:$P$4,0),0),"")</f>
        <v>21</v>
      </c>
      <c r="J92">
        <f>IFERROR(VLOOKUP($A92,[1]Sheet1!$A$8:$P$1264,MATCH(J$1,[1]Sheet1!$A$4:$P$4,0),0),"")</f>
        <v>46</v>
      </c>
      <c r="K92">
        <f>IFERROR(VLOOKUP($A92,[1]Sheet1!$A$8:$P$1264,MATCH(K$1,[1]Sheet1!$A$4:$P$4,0),0),"")</f>
        <v>21</v>
      </c>
      <c r="L92">
        <f>IFERROR(VLOOKUP($A92,[1]Sheet1!$A$8:$P$1264,MATCH(L$1,[1]Sheet1!$A$4:$P$4,0),0),"")</f>
        <v>36</v>
      </c>
      <c r="M92">
        <f>IFERROR(VLOOKUP($A92,[1]Sheet1!$A$8:$P$1264,MATCH(M$1,[1]Sheet1!$A$4:$P$4,0),0),"")</f>
        <v>21</v>
      </c>
      <c r="N92">
        <f>IFERROR(VLOOKUP($A92,[1]Sheet1!$A$8:$P$1264,MATCH(N$1,[1]Sheet1!$A$4:$P$4,0),0),"")</f>
        <v>36</v>
      </c>
      <c r="O92">
        <f>IFERROR(VLOOKUP($A92,[1]Sheet1!$A$8:$P$1264,MATCH(O$1,[1]Sheet1!$A$4:$P$4,0),0),"")</f>
        <v>21</v>
      </c>
      <c r="P92">
        <f>IFERROR(VLOOKUP($A92,[1]Sheet1!$A$8:$P$1264,MATCH(P$1,[1]Sheet1!$A$4:$P$4,0),0),"")</f>
        <v>43</v>
      </c>
      <c r="Q92">
        <f>IFERROR(VLOOKUP($A92,[1]Sheet1!$A$8:$P$1264,MATCH(Q$1,[1]Sheet1!$A$4:$P$4,0),0),"")</f>
        <v>28</v>
      </c>
      <c r="R92">
        <f>IFERROR(VLOOKUP($A92,[1]Sheet1!$A$8:$P$1264,MATCH(R$1,[1]Sheet1!$A$4:$P$4,0),0),"")</f>
        <v>43</v>
      </c>
      <c r="S92">
        <f>IFERROR(VLOOKUP($A92,[1]Sheet1!$A$8:$P$1264,MATCH(S$1,[1]Sheet1!$A$4:$P$4,0),0),"")</f>
        <v>28</v>
      </c>
    </row>
    <row r="93" spans="1:19">
      <c r="A93" t="str">
        <f t="shared" si="4"/>
        <v>MCO-MKE</v>
      </c>
      <c r="B93" s="3" t="s">
        <v>27</v>
      </c>
      <c r="C93" s="3" t="s">
        <v>11</v>
      </c>
      <c r="D93" t="s">
        <v>2</v>
      </c>
      <c r="E93" t="str">
        <f t="shared" si="5"/>
        <v>AirTran</v>
      </c>
      <c r="F93">
        <f>IFERROR(VLOOKUP($A93,[1]Sheet1!$A$8:$P$1264,MATCH(F$1,[1]Sheet1!$A$4:$P$4,0),0),"")</f>
        <v>7</v>
      </c>
      <c r="G93">
        <f>IFERROR(VLOOKUP($A93,[1]Sheet1!$A$8:$P$1264,MATCH(G$1,[1]Sheet1!$A$4:$P$4,0),0),"")</f>
        <v>15</v>
      </c>
      <c r="H93">
        <f>IFERROR(VLOOKUP($A93,[1]Sheet1!$A$8:$P$1264,MATCH(H$1,[1]Sheet1!$A$4:$P$4,0),0),"")</f>
        <v>7</v>
      </c>
      <c r="I93">
        <f>IFERROR(VLOOKUP($A93,[1]Sheet1!$A$8:$P$1264,MATCH(I$1,[1]Sheet1!$A$4:$P$4,0),0),"")</f>
        <v>15</v>
      </c>
      <c r="J93">
        <f>IFERROR(VLOOKUP($A93,[1]Sheet1!$A$8:$P$1264,MATCH(J$1,[1]Sheet1!$A$4:$P$4,0),0),"")</f>
        <v>9</v>
      </c>
      <c r="K93">
        <f>IFERROR(VLOOKUP($A93,[1]Sheet1!$A$8:$P$1264,MATCH(K$1,[1]Sheet1!$A$4:$P$4,0),0),"")</f>
        <v>31</v>
      </c>
      <c r="L93">
        <f>IFERROR(VLOOKUP($A93,[1]Sheet1!$A$8:$P$1264,MATCH(L$1,[1]Sheet1!$A$4:$P$4,0),0),"")</f>
        <v>7</v>
      </c>
      <c r="M93">
        <f>IFERROR(VLOOKUP($A93,[1]Sheet1!$A$8:$P$1264,MATCH(M$1,[1]Sheet1!$A$4:$P$4,0),0),"")</f>
        <v>20</v>
      </c>
      <c r="N93">
        <f>IFERROR(VLOOKUP($A93,[1]Sheet1!$A$8:$P$1264,MATCH(N$1,[1]Sheet1!$A$4:$P$4,0),0),"")</f>
        <v>7</v>
      </c>
      <c r="O93">
        <f>IFERROR(VLOOKUP($A93,[1]Sheet1!$A$8:$P$1264,MATCH(O$1,[1]Sheet1!$A$4:$P$4,0),0),"")</f>
        <v>20</v>
      </c>
      <c r="P93">
        <f>IFERROR(VLOOKUP($A93,[1]Sheet1!$A$8:$P$1264,MATCH(P$1,[1]Sheet1!$A$4:$P$4,0),0),"")</f>
        <v>8</v>
      </c>
      <c r="Q93">
        <f>IFERROR(VLOOKUP($A93,[1]Sheet1!$A$8:$P$1264,MATCH(Q$1,[1]Sheet1!$A$4:$P$4,0),0),"")</f>
        <v>20</v>
      </c>
      <c r="R93">
        <f>IFERROR(VLOOKUP($A93,[1]Sheet1!$A$8:$P$1264,MATCH(R$1,[1]Sheet1!$A$4:$P$4,0),0),"")</f>
        <v>8</v>
      </c>
      <c r="S93">
        <f>IFERROR(VLOOKUP($A93,[1]Sheet1!$A$8:$P$1264,MATCH(S$1,[1]Sheet1!$A$4:$P$4,0),0),"")</f>
        <v>20</v>
      </c>
    </row>
    <row r="94" spans="1:19">
      <c r="A94" t="str">
        <f t="shared" si="4"/>
        <v>MCO-MSY</v>
      </c>
      <c r="B94" s="3" t="s">
        <v>27</v>
      </c>
      <c r="C94" s="3" t="s">
        <v>3</v>
      </c>
      <c r="D94" t="s">
        <v>2</v>
      </c>
      <c r="E94" t="str">
        <f t="shared" si="5"/>
        <v>Southwest</v>
      </c>
      <c r="F94">
        <f>IFERROR(VLOOKUP($A94,[1]Sheet1!$A$8:$P$1264,MATCH(F$1,[1]Sheet1!$A$4:$P$4,0),0),"")</f>
        <v>28</v>
      </c>
      <c r="G94">
        <f>IFERROR(VLOOKUP($A94,[1]Sheet1!$A$8:$P$1264,MATCH(G$1,[1]Sheet1!$A$4:$P$4,0),0),"")</f>
        <v>0</v>
      </c>
      <c r="H94">
        <f>IFERROR(VLOOKUP($A94,[1]Sheet1!$A$8:$P$1264,MATCH(H$1,[1]Sheet1!$A$4:$P$4,0),0),"")</f>
        <v>28</v>
      </c>
      <c r="I94">
        <f>IFERROR(VLOOKUP($A94,[1]Sheet1!$A$8:$P$1264,MATCH(I$1,[1]Sheet1!$A$4:$P$4,0),0),"")</f>
        <v>0</v>
      </c>
      <c r="J94">
        <f>IFERROR(VLOOKUP($A94,[1]Sheet1!$A$8:$P$1264,MATCH(J$1,[1]Sheet1!$A$4:$P$4,0),0),"")</f>
        <v>28</v>
      </c>
      <c r="K94">
        <f>IFERROR(VLOOKUP($A94,[1]Sheet1!$A$8:$P$1264,MATCH(K$1,[1]Sheet1!$A$4:$P$4,0),0),"")</f>
        <v>7</v>
      </c>
      <c r="L94">
        <f>IFERROR(VLOOKUP($A94,[1]Sheet1!$A$8:$P$1264,MATCH(L$1,[1]Sheet1!$A$4:$P$4,0),0),"")</f>
        <v>27</v>
      </c>
      <c r="M94">
        <f>IFERROR(VLOOKUP($A94,[1]Sheet1!$A$8:$P$1264,MATCH(M$1,[1]Sheet1!$A$4:$P$4,0),0),"")</f>
        <v>7</v>
      </c>
      <c r="N94">
        <f>IFERROR(VLOOKUP($A94,[1]Sheet1!$A$8:$P$1264,MATCH(N$1,[1]Sheet1!$A$4:$P$4,0),0),"")</f>
        <v>27</v>
      </c>
      <c r="O94">
        <f>IFERROR(VLOOKUP($A94,[1]Sheet1!$A$8:$P$1264,MATCH(O$1,[1]Sheet1!$A$4:$P$4,0),0),"")</f>
        <v>7</v>
      </c>
      <c r="P94">
        <f>IFERROR(VLOOKUP($A94,[1]Sheet1!$A$8:$P$1264,MATCH(P$1,[1]Sheet1!$A$4:$P$4,0),0),"")</f>
        <v>28</v>
      </c>
      <c r="Q94">
        <f>IFERROR(VLOOKUP($A94,[1]Sheet1!$A$8:$P$1264,MATCH(Q$1,[1]Sheet1!$A$4:$P$4,0),0),"")</f>
        <v>7</v>
      </c>
      <c r="R94">
        <f>IFERROR(VLOOKUP($A94,[1]Sheet1!$A$8:$P$1264,MATCH(R$1,[1]Sheet1!$A$4:$P$4,0),0),"")</f>
        <v>28</v>
      </c>
      <c r="S94">
        <f>IFERROR(VLOOKUP($A94,[1]Sheet1!$A$8:$P$1264,MATCH(S$1,[1]Sheet1!$A$4:$P$4,0),0),"")</f>
        <v>7</v>
      </c>
    </row>
    <row r="95" spans="1:19">
      <c r="A95" t="str">
        <f t="shared" si="4"/>
        <v>MCO-PHX</v>
      </c>
      <c r="B95" s="3" t="s">
        <v>27</v>
      </c>
      <c r="C95" s="3" t="s">
        <v>22</v>
      </c>
      <c r="D95" t="s">
        <v>2</v>
      </c>
      <c r="E95" t="str">
        <f t="shared" si="5"/>
        <v>Southwest</v>
      </c>
      <c r="F95">
        <f>IFERROR(VLOOKUP($A95,[1]Sheet1!$A$8:$P$1264,MATCH(F$1,[1]Sheet1!$A$4:$P$4,0),0),"")</f>
        <v>7</v>
      </c>
      <c r="G95">
        <f>IFERROR(VLOOKUP($A95,[1]Sheet1!$A$8:$P$1264,MATCH(G$1,[1]Sheet1!$A$4:$P$4,0),0),"")</f>
        <v>0</v>
      </c>
      <c r="H95">
        <f>IFERROR(VLOOKUP($A95,[1]Sheet1!$A$8:$P$1264,MATCH(H$1,[1]Sheet1!$A$4:$P$4,0),0),"")</f>
        <v>7</v>
      </c>
      <c r="I95">
        <f>IFERROR(VLOOKUP($A95,[1]Sheet1!$A$8:$P$1264,MATCH(I$1,[1]Sheet1!$A$4:$P$4,0),0),"")</f>
        <v>0</v>
      </c>
      <c r="J95">
        <f>IFERROR(VLOOKUP($A95,[1]Sheet1!$A$8:$P$1264,MATCH(J$1,[1]Sheet1!$A$4:$P$4,0),0),"")</f>
        <v>8</v>
      </c>
      <c r="K95">
        <f>IFERROR(VLOOKUP($A95,[1]Sheet1!$A$8:$P$1264,MATCH(K$1,[1]Sheet1!$A$4:$P$4,0),0),"")</f>
        <v>0</v>
      </c>
      <c r="L95">
        <f>IFERROR(VLOOKUP($A95,[1]Sheet1!$A$8:$P$1264,MATCH(L$1,[1]Sheet1!$A$4:$P$4,0),0),"")</f>
        <v>7</v>
      </c>
      <c r="M95">
        <f>IFERROR(VLOOKUP($A95,[1]Sheet1!$A$8:$P$1264,MATCH(M$1,[1]Sheet1!$A$4:$P$4,0),0),"")</f>
        <v>0</v>
      </c>
      <c r="N95">
        <f>IFERROR(VLOOKUP($A95,[1]Sheet1!$A$8:$P$1264,MATCH(N$1,[1]Sheet1!$A$4:$P$4,0),0),"")</f>
        <v>7</v>
      </c>
      <c r="O95">
        <f>IFERROR(VLOOKUP($A95,[1]Sheet1!$A$8:$P$1264,MATCH(O$1,[1]Sheet1!$A$4:$P$4,0),0),"")</f>
        <v>0</v>
      </c>
      <c r="P95">
        <f>IFERROR(VLOOKUP($A95,[1]Sheet1!$A$8:$P$1264,MATCH(P$1,[1]Sheet1!$A$4:$P$4,0),0),"")</f>
        <v>7</v>
      </c>
      <c r="Q95">
        <f>IFERROR(VLOOKUP($A95,[1]Sheet1!$A$8:$P$1264,MATCH(Q$1,[1]Sheet1!$A$4:$P$4,0),0),"")</f>
        <v>0</v>
      </c>
      <c r="R95">
        <f>IFERROR(VLOOKUP($A95,[1]Sheet1!$A$8:$P$1264,MATCH(R$1,[1]Sheet1!$A$4:$P$4,0),0),"")</f>
        <v>7</v>
      </c>
      <c r="S95">
        <f>IFERROR(VLOOKUP($A95,[1]Sheet1!$A$8:$P$1264,MATCH(S$1,[1]Sheet1!$A$4:$P$4,0),0),"")</f>
        <v>0</v>
      </c>
    </row>
    <row r="96" spans="1:19">
      <c r="A96" t="str">
        <f t="shared" si="4"/>
        <v>MCO-PIT</v>
      </c>
      <c r="B96" s="3" t="s">
        <v>27</v>
      </c>
      <c r="C96" s="3" t="s">
        <v>33</v>
      </c>
      <c r="D96" t="s">
        <v>2</v>
      </c>
      <c r="E96" t="str">
        <f t="shared" si="5"/>
        <v>AirTran</v>
      </c>
      <c r="F96">
        <f>IFERROR(VLOOKUP($A96,[1]Sheet1!$A$8:$P$1264,MATCH(F$1,[1]Sheet1!$A$4:$P$4,0),0),"")</f>
        <v>15</v>
      </c>
      <c r="G96">
        <f>IFERROR(VLOOKUP($A96,[1]Sheet1!$A$8:$P$1264,MATCH(G$1,[1]Sheet1!$A$4:$P$4,0),0),"")</f>
        <v>21</v>
      </c>
      <c r="H96">
        <f>IFERROR(VLOOKUP($A96,[1]Sheet1!$A$8:$P$1264,MATCH(H$1,[1]Sheet1!$A$4:$P$4,0),0),"")</f>
        <v>15</v>
      </c>
      <c r="I96">
        <f>IFERROR(VLOOKUP($A96,[1]Sheet1!$A$8:$P$1264,MATCH(I$1,[1]Sheet1!$A$4:$P$4,0),0),"")</f>
        <v>21</v>
      </c>
      <c r="J96">
        <f>IFERROR(VLOOKUP($A96,[1]Sheet1!$A$8:$P$1264,MATCH(J$1,[1]Sheet1!$A$4:$P$4,0),0),"")</f>
        <v>15</v>
      </c>
      <c r="K96">
        <f>IFERROR(VLOOKUP($A96,[1]Sheet1!$A$8:$P$1264,MATCH(K$1,[1]Sheet1!$A$4:$P$4,0),0),"")</f>
        <v>29</v>
      </c>
      <c r="L96">
        <f>IFERROR(VLOOKUP($A96,[1]Sheet1!$A$8:$P$1264,MATCH(L$1,[1]Sheet1!$A$4:$P$4,0),0),"")</f>
        <v>7</v>
      </c>
      <c r="M96">
        <f>IFERROR(VLOOKUP($A96,[1]Sheet1!$A$8:$P$1264,MATCH(M$1,[1]Sheet1!$A$4:$P$4,0),0),"")</f>
        <v>27</v>
      </c>
      <c r="N96">
        <f>IFERROR(VLOOKUP($A96,[1]Sheet1!$A$8:$P$1264,MATCH(N$1,[1]Sheet1!$A$4:$P$4,0),0),"")</f>
        <v>7</v>
      </c>
      <c r="O96">
        <f>IFERROR(VLOOKUP($A96,[1]Sheet1!$A$8:$P$1264,MATCH(O$1,[1]Sheet1!$A$4:$P$4,0),0),"")</f>
        <v>27</v>
      </c>
      <c r="P96">
        <f>IFERROR(VLOOKUP($A96,[1]Sheet1!$A$8:$P$1264,MATCH(P$1,[1]Sheet1!$A$4:$P$4,0),0),"")</f>
        <v>15</v>
      </c>
      <c r="Q96">
        <f>IFERROR(VLOOKUP($A96,[1]Sheet1!$A$8:$P$1264,MATCH(Q$1,[1]Sheet1!$A$4:$P$4,0),0),"")</f>
        <v>22</v>
      </c>
      <c r="R96">
        <f>IFERROR(VLOOKUP($A96,[1]Sheet1!$A$8:$P$1264,MATCH(R$1,[1]Sheet1!$A$4:$P$4,0),0),"")</f>
        <v>15</v>
      </c>
      <c r="S96">
        <f>IFERROR(VLOOKUP($A96,[1]Sheet1!$A$8:$P$1264,MATCH(S$1,[1]Sheet1!$A$4:$P$4,0),0),"")</f>
        <v>22</v>
      </c>
    </row>
    <row r="97" spans="1:19">
      <c r="A97" t="str">
        <f t="shared" si="4"/>
        <v>MCO-SAT</v>
      </c>
      <c r="B97" s="3" t="s">
        <v>27</v>
      </c>
      <c r="C97" s="3" t="s">
        <v>28</v>
      </c>
      <c r="D97" t="s">
        <v>2</v>
      </c>
      <c r="E97" t="str">
        <f t="shared" si="5"/>
        <v>Southwest</v>
      </c>
      <c r="F97">
        <f>IFERROR(VLOOKUP($A97,[1]Sheet1!$A$8:$P$1264,MATCH(F$1,[1]Sheet1!$A$4:$P$4,0),0),"")</f>
        <v>7</v>
      </c>
      <c r="G97">
        <f>IFERROR(VLOOKUP($A97,[1]Sheet1!$A$8:$P$1264,MATCH(G$1,[1]Sheet1!$A$4:$P$4,0),0),"")</f>
        <v>0</v>
      </c>
      <c r="H97">
        <f>IFERROR(VLOOKUP($A97,[1]Sheet1!$A$8:$P$1264,MATCH(H$1,[1]Sheet1!$A$4:$P$4,0),0),"")</f>
        <v>7</v>
      </c>
      <c r="I97">
        <f>IFERROR(VLOOKUP($A97,[1]Sheet1!$A$8:$P$1264,MATCH(I$1,[1]Sheet1!$A$4:$P$4,0),0),"")</f>
        <v>0</v>
      </c>
      <c r="J97">
        <f>IFERROR(VLOOKUP($A97,[1]Sheet1!$A$8:$P$1264,MATCH(J$1,[1]Sheet1!$A$4:$P$4,0),0),"")</f>
        <v>8</v>
      </c>
      <c r="K97">
        <f>IFERROR(VLOOKUP($A97,[1]Sheet1!$A$8:$P$1264,MATCH(K$1,[1]Sheet1!$A$4:$P$4,0),0),"")</f>
        <v>0</v>
      </c>
      <c r="L97">
        <f>IFERROR(VLOOKUP($A97,[1]Sheet1!$A$8:$P$1264,MATCH(L$1,[1]Sheet1!$A$4:$P$4,0),0),"")</f>
        <v>7</v>
      </c>
      <c r="M97">
        <f>IFERROR(VLOOKUP($A97,[1]Sheet1!$A$8:$P$1264,MATCH(M$1,[1]Sheet1!$A$4:$P$4,0),0),"")</f>
        <v>0</v>
      </c>
      <c r="N97">
        <f>IFERROR(VLOOKUP($A97,[1]Sheet1!$A$8:$P$1264,MATCH(N$1,[1]Sheet1!$A$4:$P$4,0),0),"")</f>
        <v>7</v>
      </c>
      <c r="O97">
        <f>IFERROR(VLOOKUP($A97,[1]Sheet1!$A$8:$P$1264,MATCH(O$1,[1]Sheet1!$A$4:$P$4,0),0),"")</f>
        <v>0</v>
      </c>
      <c r="P97">
        <f>IFERROR(VLOOKUP($A97,[1]Sheet1!$A$8:$P$1264,MATCH(P$1,[1]Sheet1!$A$4:$P$4,0),0),"")</f>
        <v>15</v>
      </c>
      <c r="Q97">
        <f>IFERROR(VLOOKUP($A97,[1]Sheet1!$A$8:$P$1264,MATCH(Q$1,[1]Sheet1!$A$4:$P$4,0),0),"")</f>
        <v>0</v>
      </c>
      <c r="R97">
        <f>IFERROR(VLOOKUP($A97,[1]Sheet1!$A$8:$P$1264,MATCH(R$1,[1]Sheet1!$A$4:$P$4,0),0),"")</f>
        <v>15</v>
      </c>
      <c r="S97">
        <f>IFERROR(VLOOKUP($A97,[1]Sheet1!$A$8:$P$1264,MATCH(S$1,[1]Sheet1!$A$4:$P$4,0),0),"")</f>
        <v>0</v>
      </c>
    </row>
    <row r="98" spans="1:19">
      <c r="A98" t="str">
        <f t="shared" si="4"/>
        <v>MCO-STL</v>
      </c>
      <c r="B98" s="3" t="s">
        <v>27</v>
      </c>
      <c r="C98" s="3" t="s">
        <v>19</v>
      </c>
      <c r="D98" t="s">
        <v>2</v>
      </c>
      <c r="E98" t="str">
        <f t="shared" si="5"/>
        <v>Southwest</v>
      </c>
      <c r="F98">
        <f>IFERROR(VLOOKUP($A98,[1]Sheet1!$A$8:$P$1264,MATCH(F$1,[1]Sheet1!$A$4:$P$4,0),0),"")</f>
        <v>27</v>
      </c>
      <c r="G98">
        <f>IFERROR(VLOOKUP($A98,[1]Sheet1!$A$8:$P$1264,MATCH(G$1,[1]Sheet1!$A$4:$P$4,0),0),"")</f>
        <v>0</v>
      </c>
      <c r="H98">
        <f>IFERROR(VLOOKUP($A98,[1]Sheet1!$A$8:$P$1264,MATCH(H$1,[1]Sheet1!$A$4:$P$4,0),0),"")</f>
        <v>27</v>
      </c>
      <c r="I98">
        <f>IFERROR(VLOOKUP($A98,[1]Sheet1!$A$8:$P$1264,MATCH(I$1,[1]Sheet1!$A$4:$P$4,0),0),"")</f>
        <v>0</v>
      </c>
      <c r="J98">
        <f>IFERROR(VLOOKUP($A98,[1]Sheet1!$A$8:$P$1264,MATCH(J$1,[1]Sheet1!$A$4:$P$4,0),0),"")</f>
        <v>35</v>
      </c>
      <c r="K98">
        <f>IFERROR(VLOOKUP($A98,[1]Sheet1!$A$8:$P$1264,MATCH(K$1,[1]Sheet1!$A$4:$P$4,0),0),"")</f>
        <v>0</v>
      </c>
      <c r="L98">
        <f>IFERROR(VLOOKUP($A98,[1]Sheet1!$A$8:$P$1264,MATCH(L$1,[1]Sheet1!$A$4:$P$4,0),0),"")</f>
        <v>27</v>
      </c>
      <c r="M98">
        <f>IFERROR(VLOOKUP($A98,[1]Sheet1!$A$8:$P$1264,MATCH(M$1,[1]Sheet1!$A$4:$P$4,0),0),"")</f>
        <v>7</v>
      </c>
      <c r="N98">
        <f>IFERROR(VLOOKUP($A98,[1]Sheet1!$A$8:$P$1264,MATCH(N$1,[1]Sheet1!$A$4:$P$4,0),0),"")</f>
        <v>27</v>
      </c>
      <c r="O98">
        <f>IFERROR(VLOOKUP($A98,[1]Sheet1!$A$8:$P$1264,MATCH(O$1,[1]Sheet1!$A$4:$P$4,0),0),"")</f>
        <v>7</v>
      </c>
      <c r="P98">
        <f>IFERROR(VLOOKUP($A98,[1]Sheet1!$A$8:$P$1264,MATCH(P$1,[1]Sheet1!$A$4:$P$4,0),0),"")</f>
        <v>17</v>
      </c>
      <c r="Q98">
        <f>IFERROR(VLOOKUP($A98,[1]Sheet1!$A$8:$P$1264,MATCH(Q$1,[1]Sheet1!$A$4:$P$4,0),0),"")</f>
        <v>19</v>
      </c>
      <c r="R98">
        <f>IFERROR(VLOOKUP($A98,[1]Sheet1!$A$8:$P$1264,MATCH(R$1,[1]Sheet1!$A$4:$P$4,0),0),"")</f>
        <v>17</v>
      </c>
      <c r="S98">
        <f>IFERROR(VLOOKUP($A98,[1]Sheet1!$A$8:$P$1264,MATCH(S$1,[1]Sheet1!$A$4:$P$4,0),0),"")</f>
        <v>19</v>
      </c>
    </row>
    <row r="99" spans="1:19">
      <c r="A99" t="str">
        <f t="shared" si="4"/>
        <v>MDW-PHL</v>
      </c>
      <c r="B99" s="3" t="s">
        <v>10</v>
      </c>
      <c r="C99" s="3" t="s">
        <v>13</v>
      </c>
      <c r="D99" t="s">
        <v>2</v>
      </c>
      <c r="E99" t="str">
        <f t="shared" si="5"/>
        <v>Southwest</v>
      </c>
      <c r="F99">
        <f>IFERROR(VLOOKUP($A99,[1]Sheet1!$A$8:$P$1264,MATCH(F$1,[1]Sheet1!$A$4:$P$4,0),0),"")</f>
        <v>39</v>
      </c>
      <c r="G99">
        <f>IFERROR(VLOOKUP($A99,[1]Sheet1!$A$8:$P$1264,MATCH(G$1,[1]Sheet1!$A$4:$P$4,0),0),"")</f>
        <v>0</v>
      </c>
      <c r="H99">
        <f>IFERROR(VLOOKUP($A99,[1]Sheet1!$A$8:$P$1264,MATCH(H$1,[1]Sheet1!$A$4:$P$4,0),0),"")</f>
        <v>38</v>
      </c>
      <c r="I99">
        <f>IFERROR(VLOOKUP($A99,[1]Sheet1!$A$8:$P$1264,MATCH(I$1,[1]Sheet1!$A$4:$P$4,0),0),"")</f>
        <v>0</v>
      </c>
      <c r="J99">
        <f>IFERROR(VLOOKUP($A99,[1]Sheet1!$A$8:$P$1264,MATCH(J$1,[1]Sheet1!$A$4:$P$4,0),0),"")</f>
        <v>45</v>
      </c>
      <c r="K99">
        <f>IFERROR(VLOOKUP($A99,[1]Sheet1!$A$8:$P$1264,MATCH(K$1,[1]Sheet1!$A$4:$P$4,0),0),"")</f>
        <v>0</v>
      </c>
      <c r="L99">
        <f>IFERROR(VLOOKUP($A99,[1]Sheet1!$A$8:$P$1264,MATCH(L$1,[1]Sheet1!$A$4:$P$4,0),0),"")</f>
        <v>45</v>
      </c>
      <c r="M99">
        <f>IFERROR(VLOOKUP($A99,[1]Sheet1!$A$8:$P$1264,MATCH(M$1,[1]Sheet1!$A$4:$P$4,0),0),"")</f>
        <v>0</v>
      </c>
      <c r="N99">
        <f>IFERROR(VLOOKUP($A99,[1]Sheet1!$A$8:$P$1264,MATCH(N$1,[1]Sheet1!$A$4:$P$4,0),0),"")</f>
        <v>45</v>
      </c>
      <c r="O99">
        <f>IFERROR(VLOOKUP($A99,[1]Sheet1!$A$8:$P$1264,MATCH(O$1,[1]Sheet1!$A$4:$P$4,0),0),"")</f>
        <v>0</v>
      </c>
      <c r="P99">
        <f>IFERROR(VLOOKUP($A99,[1]Sheet1!$A$8:$P$1264,MATCH(P$1,[1]Sheet1!$A$4:$P$4,0),0),"")</f>
        <v>40</v>
      </c>
      <c r="Q99">
        <f>IFERROR(VLOOKUP($A99,[1]Sheet1!$A$8:$P$1264,MATCH(Q$1,[1]Sheet1!$A$4:$P$4,0),0),"")</f>
        <v>0</v>
      </c>
      <c r="R99">
        <f>IFERROR(VLOOKUP($A99,[1]Sheet1!$A$8:$P$1264,MATCH(R$1,[1]Sheet1!$A$4:$P$4,0),0),"")</f>
        <v>40</v>
      </c>
      <c r="S99">
        <f>IFERROR(VLOOKUP($A99,[1]Sheet1!$A$8:$P$1264,MATCH(S$1,[1]Sheet1!$A$4:$P$4,0),0),"")</f>
        <v>0</v>
      </c>
    </row>
    <row r="100" spans="1:19">
      <c r="A100" t="str">
        <f t="shared" si="4"/>
        <v>MDW-PIT</v>
      </c>
      <c r="B100" s="3" t="s">
        <v>10</v>
      </c>
      <c r="C100" s="3" t="s">
        <v>33</v>
      </c>
      <c r="D100" t="s">
        <v>2</v>
      </c>
      <c r="E100" t="str">
        <f t="shared" si="5"/>
        <v>Southwest</v>
      </c>
      <c r="F100">
        <f>IFERROR(VLOOKUP($A100,[1]Sheet1!$A$8:$P$1264,MATCH(F$1,[1]Sheet1!$A$4:$P$4,0),0),"")</f>
        <v>31</v>
      </c>
      <c r="G100">
        <f>IFERROR(VLOOKUP($A100,[1]Sheet1!$A$8:$P$1264,MATCH(G$1,[1]Sheet1!$A$4:$P$4,0),0),"")</f>
        <v>0</v>
      </c>
      <c r="H100">
        <f>IFERROR(VLOOKUP($A100,[1]Sheet1!$A$8:$P$1264,MATCH(H$1,[1]Sheet1!$A$4:$P$4,0),0),"")</f>
        <v>31</v>
      </c>
      <c r="I100">
        <f>IFERROR(VLOOKUP($A100,[1]Sheet1!$A$8:$P$1264,MATCH(I$1,[1]Sheet1!$A$4:$P$4,0),0),"")</f>
        <v>0</v>
      </c>
      <c r="J100">
        <f>IFERROR(VLOOKUP($A100,[1]Sheet1!$A$8:$P$1264,MATCH(J$1,[1]Sheet1!$A$4:$P$4,0),0),"")</f>
        <v>33</v>
      </c>
      <c r="K100">
        <f>IFERROR(VLOOKUP($A100,[1]Sheet1!$A$8:$P$1264,MATCH(K$1,[1]Sheet1!$A$4:$P$4,0),0),"")</f>
        <v>0</v>
      </c>
      <c r="L100">
        <f>IFERROR(VLOOKUP($A100,[1]Sheet1!$A$8:$P$1264,MATCH(L$1,[1]Sheet1!$A$4:$P$4,0),0),"")</f>
        <v>39</v>
      </c>
      <c r="M100">
        <f>IFERROR(VLOOKUP($A100,[1]Sheet1!$A$8:$P$1264,MATCH(M$1,[1]Sheet1!$A$4:$P$4,0),0),"")</f>
        <v>0</v>
      </c>
      <c r="N100">
        <f>IFERROR(VLOOKUP($A100,[1]Sheet1!$A$8:$P$1264,MATCH(N$1,[1]Sheet1!$A$4:$P$4,0),0),"")</f>
        <v>39</v>
      </c>
      <c r="O100">
        <f>IFERROR(VLOOKUP($A100,[1]Sheet1!$A$8:$P$1264,MATCH(O$1,[1]Sheet1!$A$4:$P$4,0),0),"")</f>
        <v>0</v>
      </c>
      <c r="P100">
        <f>IFERROR(VLOOKUP($A100,[1]Sheet1!$A$8:$P$1264,MATCH(P$1,[1]Sheet1!$A$4:$P$4,0),0),"")</f>
        <v>39</v>
      </c>
      <c r="Q100">
        <f>IFERROR(VLOOKUP($A100,[1]Sheet1!$A$8:$P$1264,MATCH(Q$1,[1]Sheet1!$A$4:$P$4,0),0),"")</f>
        <v>0</v>
      </c>
      <c r="R100">
        <f>IFERROR(VLOOKUP($A100,[1]Sheet1!$A$8:$P$1264,MATCH(R$1,[1]Sheet1!$A$4:$P$4,0),0),"")</f>
        <v>39</v>
      </c>
      <c r="S100">
        <f>IFERROR(VLOOKUP($A100,[1]Sheet1!$A$8:$P$1264,MATCH(S$1,[1]Sheet1!$A$4:$P$4,0),0),"")</f>
        <v>0</v>
      </c>
    </row>
    <row r="101" spans="1:19">
      <c r="A101" t="str">
        <f t="shared" ref="A101:A129" si="6">B101&amp;"-"&amp;C101</f>
        <v>MDW-RDU</v>
      </c>
      <c r="B101" s="3" t="s">
        <v>10</v>
      </c>
      <c r="C101" s="3" t="s">
        <v>14</v>
      </c>
      <c r="D101" t="s">
        <v>2</v>
      </c>
      <c r="E101" t="str">
        <f t="shared" si="5"/>
        <v>Southwest</v>
      </c>
      <c r="F101">
        <f>IFERROR(VLOOKUP($A101,[1]Sheet1!$A$8:$P$1264,MATCH(F$1,[1]Sheet1!$A$4:$P$4,0),0),"")</f>
        <v>18</v>
      </c>
      <c r="G101">
        <f>IFERROR(VLOOKUP($A101,[1]Sheet1!$A$8:$P$1264,MATCH(G$1,[1]Sheet1!$A$4:$P$4,0),0),"")</f>
        <v>0</v>
      </c>
      <c r="H101">
        <f>IFERROR(VLOOKUP($A101,[1]Sheet1!$A$8:$P$1264,MATCH(H$1,[1]Sheet1!$A$4:$P$4,0),0),"")</f>
        <v>18</v>
      </c>
      <c r="I101">
        <f>IFERROR(VLOOKUP($A101,[1]Sheet1!$A$8:$P$1264,MATCH(I$1,[1]Sheet1!$A$4:$P$4,0),0),"")</f>
        <v>0</v>
      </c>
      <c r="J101">
        <f>IFERROR(VLOOKUP($A101,[1]Sheet1!$A$8:$P$1264,MATCH(J$1,[1]Sheet1!$A$4:$P$4,0),0),"")</f>
        <v>19</v>
      </c>
      <c r="K101">
        <f>IFERROR(VLOOKUP($A101,[1]Sheet1!$A$8:$P$1264,MATCH(K$1,[1]Sheet1!$A$4:$P$4,0),0),"")</f>
        <v>0</v>
      </c>
      <c r="L101">
        <f>IFERROR(VLOOKUP($A101,[1]Sheet1!$A$8:$P$1264,MATCH(L$1,[1]Sheet1!$A$4:$P$4,0),0),"")</f>
        <v>25</v>
      </c>
      <c r="M101">
        <f>IFERROR(VLOOKUP($A101,[1]Sheet1!$A$8:$P$1264,MATCH(M$1,[1]Sheet1!$A$4:$P$4,0),0),"")</f>
        <v>0</v>
      </c>
      <c r="N101">
        <f>IFERROR(VLOOKUP($A101,[1]Sheet1!$A$8:$P$1264,MATCH(N$1,[1]Sheet1!$A$4:$P$4,0),0),"")</f>
        <v>25</v>
      </c>
      <c r="O101">
        <f>IFERROR(VLOOKUP($A101,[1]Sheet1!$A$8:$P$1264,MATCH(O$1,[1]Sheet1!$A$4:$P$4,0),0),"")</f>
        <v>0</v>
      </c>
      <c r="P101">
        <f>IFERROR(VLOOKUP($A101,[1]Sheet1!$A$8:$P$1264,MATCH(P$1,[1]Sheet1!$A$4:$P$4,0),0),"")</f>
        <v>28</v>
      </c>
      <c r="Q101">
        <f>IFERROR(VLOOKUP($A101,[1]Sheet1!$A$8:$P$1264,MATCH(Q$1,[1]Sheet1!$A$4:$P$4,0),0),"")</f>
        <v>0</v>
      </c>
      <c r="R101">
        <f>IFERROR(VLOOKUP($A101,[1]Sheet1!$A$8:$P$1264,MATCH(R$1,[1]Sheet1!$A$4:$P$4,0),0),"")</f>
        <v>28</v>
      </c>
      <c r="S101">
        <f>IFERROR(VLOOKUP($A101,[1]Sheet1!$A$8:$P$1264,MATCH(S$1,[1]Sheet1!$A$4:$P$4,0),0),"")</f>
        <v>0</v>
      </c>
    </row>
    <row r="102" spans="1:19">
      <c r="A102" t="str">
        <f t="shared" si="6"/>
        <v>MDW-RSW</v>
      </c>
      <c r="B102" s="3" t="s">
        <v>10</v>
      </c>
      <c r="C102" s="3" t="s">
        <v>15</v>
      </c>
      <c r="D102" t="s">
        <v>2</v>
      </c>
      <c r="E102" t="str">
        <f t="shared" si="5"/>
        <v>Southwest</v>
      </c>
      <c r="F102">
        <f>IFERROR(VLOOKUP($A102,[1]Sheet1!$A$8:$P$1264,MATCH(F$1,[1]Sheet1!$A$4:$P$4,0),0),"")</f>
        <v>22</v>
      </c>
      <c r="G102">
        <f>IFERROR(VLOOKUP($A102,[1]Sheet1!$A$8:$P$1264,MATCH(G$1,[1]Sheet1!$A$4:$P$4,0),0),"")</f>
        <v>0</v>
      </c>
      <c r="H102">
        <f>IFERROR(VLOOKUP($A102,[1]Sheet1!$A$8:$P$1264,MATCH(H$1,[1]Sheet1!$A$4:$P$4,0),0),"")</f>
        <v>22</v>
      </c>
      <c r="I102">
        <f>IFERROR(VLOOKUP($A102,[1]Sheet1!$A$8:$P$1264,MATCH(I$1,[1]Sheet1!$A$4:$P$4,0),0),"")</f>
        <v>0</v>
      </c>
      <c r="J102">
        <f>IFERROR(VLOOKUP($A102,[1]Sheet1!$A$8:$P$1264,MATCH(J$1,[1]Sheet1!$A$4:$P$4,0),0),"")</f>
        <v>36</v>
      </c>
      <c r="K102">
        <f>IFERROR(VLOOKUP($A102,[1]Sheet1!$A$8:$P$1264,MATCH(K$1,[1]Sheet1!$A$4:$P$4,0),0),"")</f>
        <v>14</v>
      </c>
      <c r="L102">
        <f>IFERROR(VLOOKUP($A102,[1]Sheet1!$A$8:$P$1264,MATCH(L$1,[1]Sheet1!$A$4:$P$4,0),0),"")</f>
        <v>21</v>
      </c>
      <c r="M102">
        <f>IFERROR(VLOOKUP($A102,[1]Sheet1!$A$8:$P$1264,MATCH(M$1,[1]Sheet1!$A$4:$P$4,0),0),"")</f>
        <v>7</v>
      </c>
      <c r="N102">
        <f>IFERROR(VLOOKUP($A102,[1]Sheet1!$A$8:$P$1264,MATCH(N$1,[1]Sheet1!$A$4:$P$4,0),0),"")</f>
        <v>21</v>
      </c>
      <c r="O102">
        <f>IFERROR(VLOOKUP($A102,[1]Sheet1!$A$8:$P$1264,MATCH(O$1,[1]Sheet1!$A$4:$P$4,0),0),"")</f>
        <v>7</v>
      </c>
      <c r="P102">
        <f>IFERROR(VLOOKUP($A102,[1]Sheet1!$A$8:$P$1264,MATCH(P$1,[1]Sheet1!$A$4:$P$4,0),0),"")</f>
        <v>15</v>
      </c>
      <c r="Q102">
        <f>IFERROR(VLOOKUP($A102,[1]Sheet1!$A$8:$P$1264,MATCH(Q$1,[1]Sheet1!$A$4:$P$4,0),0),"")</f>
        <v>7</v>
      </c>
      <c r="R102">
        <f>IFERROR(VLOOKUP($A102,[1]Sheet1!$A$8:$P$1264,MATCH(R$1,[1]Sheet1!$A$4:$P$4,0),0),"")</f>
        <v>15</v>
      </c>
      <c r="S102">
        <f>IFERROR(VLOOKUP($A102,[1]Sheet1!$A$8:$P$1264,MATCH(S$1,[1]Sheet1!$A$4:$P$4,0),0),"")</f>
        <v>7</v>
      </c>
    </row>
    <row r="103" spans="1:19">
      <c r="A103" t="str">
        <f t="shared" si="6"/>
        <v>MDW-TPA</v>
      </c>
      <c r="B103" s="3" t="s">
        <v>10</v>
      </c>
      <c r="C103" s="3" t="s">
        <v>30</v>
      </c>
      <c r="D103" t="s">
        <v>2</v>
      </c>
      <c r="E103" t="str">
        <f t="shared" si="5"/>
        <v>Southwest</v>
      </c>
      <c r="F103">
        <f>IFERROR(VLOOKUP($A103,[1]Sheet1!$A$8:$P$1264,MATCH(F$1,[1]Sheet1!$A$4:$P$4,0),0),"")</f>
        <v>26</v>
      </c>
      <c r="G103">
        <f>IFERROR(VLOOKUP($A103,[1]Sheet1!$A$8:$P$1264,MATCH(G$1,[1]Sheet1!$A$4:$P$4,0),0),"")</f>
        <v>0</v>
      </c>
      <c r="H103">
        <f>IFERROR(VLOOKUP($A103,[1]Sheet1!$A$8:$P$1264,MATCH(H$1,[1]Sheet1!$A$4:$P$4,0),0),"")</f>
        <v>26</v>
      </c>
      <c r="I103">
        <f>IFERROR(VLOOKUP($A103,[1]Sheet1!$A$8:$P$1264,MATCH(I$1,[1]Sheet1!$A$4:$P$4,0),0),"")</f>
        <v>0</v>
      </c>
      <c r="J103">
        <f>IFERROR(VLOOKUP($A103,[1]Sheet1!$A$8:$P$1264,MATCH(J$1,[1]Sheet1!$A$4:$P$4,0),0),"")</f>
        <v>44</v>
      </c>
      <c r="K103">
        <f>IFERROR(VLOOKUP($A103,[1]Sheet1!$A$8:$P$1264,MATCH(K$1,[1]Sheet1!$A$4:$P$4,0),0),"")</f>
        <v>0</v>
      </c>
      <c r="L103">
        <f>IFERROR(VLOOKUP($A103,[1]Sheet1!$A$8:$P$1264,MATCH(L$1,[1]Sheet1!$A$4:$P$4,0),0),"")</f>
        <v>29</v>
      </c>
      <c r="M103">
        <f>IFERROR(VLOOKUP($A103,[1]Sheet1!$A$8:$P$1264,MATCH(M$1,[1]Sheet1!$A$4:$P$4,0),0),"")</f>
        <v>6</v>
      </c>
      <c r="N103">
        <f>IFERROR(VLOOKUP($A103,[1]Sheet1!$A$8:$P$1264,MATCH(N$1,[1]Sheet1!$A$4:$P$4,0),0),"")</f>
        <v>29</v>
      </c>
      <c r="O103">
        <f>IFERROR(VLOOKUP($A103,[1]Sheet1!$A$8:$P$1264,MATCH(O$1,[1]Sheet1!$A$4:$P$4,0),0),"")</f>
        <v>6</v>
      </c>
      <c r="P103">
        <f>IFERROR(VLOOKUP($A103,[1]Sheet1!$A$8:$P$1264,MATCH(P$1,[1]Sheet1!$A$4:$P$4,0),0),"")</f>
        <v>29</v>
      </c>
      <c r="Q103">
        <f>IFERROR(VLOOKUP($A103,[1]Sheet1!$A$8:$P$1264,MATCH(Q$1,[1]Sheet1!$A$4:$P$4,0),0),"")</f>
        <v>7</v>
      </c>
      <c r="R103">
        <f>IFERROR(VLOOKUP($A103,[1]Sheet1!$A$8:$P$1264,MATCH(R$1,[1]Sheet1!$A$4:$P$4,0),0),"")</f>
        <v>29</v>
      </c>
      <c r="S103">
        <f>IFERROR(VLOOKUP($A103,[1]Sheet1!$A$8:$P$1264,MATCH(S$1,[1]Sheet1!$A$4:$P$4,0),0),"")</f>
        <v>7</v>
      </c>
    </row>
    <row r="104" spans="1:19">
      <c r="A104" t="str">
        <f t="shared" si="6"/>
        <v>MKE-PHX</v>
      </c>
      <c r="B104" s="3" t="s">
        <v>11</v>
      </c>
      <c r="C104" s="3" t="s">
        <v>22</v>
      </c>
      <c r="D104" t="s">
        <v>2</v>
      </c>
      <c r="E104" t="str">
        <f t="shared" si="5"/>
        <v>Southwest</v>
      </c>
      <c r="F104">
        <f>IFERROR(VLOOKUP($A104,[1]Sheet1!$A$8:$P$1264,MATCH(F$1,[1]Sheet1!$A$4:$P$4,0),0),"")</f>
        <v>19</v>
      </c>
      <c r="G104">
        <f>IFERROR(VLOOKUP($A104,[1]Sheet1!$A$8:$P$1264,MATCH(G$1,[1]Sheet1!$A$4:$P$4,0),0),"")</f>
        <v>0</v>
      </c>
      <c r="H104">
        <f>IFERROR(VLOOKUP($A104,[1]Sheet1!$A$8:$P$1264,MATCH(H$1,[1]Sheet1!$A$4:$P$4,0),0),"")</f>
        <v>19</v>
      </c>
      <c r="I104">
        <f>IFERROR(VLOOKUP($A104,[1]Sheet1!$A$8:$P$1264,MATCH(I$1,[1]Sheet1!$A$4:$P$4,0),0),"")</f>
        <v>0</v>
      </c>
      <c r="J104">
        <f>IFERROR(VLOOKUP($A104,[1]Sheet1!$A$8:$P$1264,MATCH(J$1,[1]Sheet1!$A$4:$P$4,0),0),"")</f>
        <v>21</v>
      </c>
      <c r="K104">
        <f>IFERROR(VLOOKUP($A104,[1]Sheet1!$A$8:$P$1264,MATCH(K$1,[1]Sheet1!$A$4:$P$4,0),0),"")</f>
        <v>0</v>
      </c>
      <c r="L104">
        <f>IFERROR(VLOOKUP($A104,[1]Sheet1!$A$8:$P$1264,MATCH(L$1,[1]Sheet1!$A$4:$P$4,0),0),"")</f>
        <v>19</v>
      </c>
      <c r="M104">
        <f>IFERROR(VLOOKUP($A104,[1]Sheet1!$A$8:$P$1264,MATCH(M$1,[1]Sheet1!$A$4:$P$4,0),0),"")</f>
        <v>0</v>
      </c>
      <c r="N104">
        <f>IFERROR(VLOOKUP($A104,[1]Sheet1!$A$8:$P$1264,MATCH(N$1,[1]Sheet1!$A$4:$P$4,0),0),"")</f>
        <v>19</v>
      </c>
      <c r="O104">
        <f>IFERROR(VLOOKUP($A104,[1]Sheet1!$A$8:$P$1264,MATCH(O$1,[1]Sheet1!$A$4:$P$4,0),0),"")</f>
        <v>0</v>
      </c>
      <c r="P104">
        <f>IFERROR(VLOOKUP($A104,[1]Sheet1!$A$8:$P$1264,MATCH(P$1,[1]Sheet1!$A$4:$P$4,0),0),"")</f>
        <v>14</v>
      </c>
      <c r="Q104">
        <f>IFERROR(VLOOKUP($A104,[1]Sheet1!$A$8:$P$1264,MATCH(Q$1,[1]Sheet1!$A$4:$P$4,0),0),"")</f>
        <v>0</v>
      </c>
      <c r="R104">
        <f>IFERROR(VLOOKUP($A104,[1]Sheet1!$A$8:$P$1264,MATCH(R$1,[1]Sheet1!$A$4:$P$4,0),0),"")</f>
        <v>14</v>
      </c>
      <c r="S104">
        <f>IFERROR(VLOOKUP($A104,[1]Sheet1!$A$8:$P$1264,MATCH(S$1,[1]Sheet1!$A$4:$P$4,0),0),"")</f>
        <v>0</v>
      </c>
    </row>
    <row r="105" spans="1:19">
      <c r="A105" t="str">
        <f t="shared" si="6"/>
        <v>MKE-SEA</v>
      </c>
      <c r="B105" s="3" t="s">
        <v>11</v>
      </c>
      <c r="C105" s="3" t="s">
        <v>29</v>
      </c>
      <c r="D105" t="s">
        <v>2</v>
      </c>
      <c r="E105" t="str">
        <f t="shared" si="5"/>
        <v>Southwest</v>
      </c>
      <c r="F105">
        <f>IFERROR(VLOOKUP($A105,[1]Sheet1!$A$8:$P$1264,MATCH(F$1,[1]Sheet1!$A$4:$P$4,0),0),"")</f>
        <v>6</v>
      </c>
      <c r="G105">
        <f>IFERROR(VLOOKUP($A105,[1]Sheet1!$A$8:$P$1264,MATCH(G$1,[1]Sheet1!$A$4:$P$4,0),0),"")</f>
        <v>0</v>
      </c>
      <c r="H105">
        <f>IFERROR(VLOOKUP($A105,[1]Sheet1!$A$8:$P$1264,MATCH(H$1,[1]Sheet1!$A$4:$P$4,0),0),"")</f>
        <v>6</v>
      </c>
      <c r="I105">
        <f>IFERROR(VLOOKUP($A105,[1]Sheet1!$A$8:$P$1264,MATCH(I$1,[1]Sheet1!$A$4:$P$4,0),0),"")</f>
        <v>0</v>
      </c>
      <c r="J105">
        <f>IFERROR(VLOOKUP($A105,[1]Sheet1!$A$8:$P$1264,MATCH(J$1,[1]Sheet1!$A$4:$P$4,0),0),"")</f>
        <v>7</v>
      </c>
      <c r="K105">
        <f>IFERROR(VLOOKUP($A105,[1]Sheet1!$A$8:$P$1264,MATCH(K$1,[1]Sheet1!$A$4:$P$4,0),0),"")</f>
        <v>0</v>
      </c>
      <c r="L105">
        <f>IFERROR(VLOOKUP($A105,[1]Sheet1!$A$8:$P$1264,MATCH(L$1,[1]Sheet1!$A$4:$P$4,0),0),"")</f>
        <v>7</v>
      </c>
      <c r="M105">
        <f>IFERROR(VLOOKUP($A105,[1]Sheet1!$A$8:$P$1264,MATCH(M$1,[1]Sheet1!$A$4:$P$4,0),0),"")</f>
        <v>0</v>
      </c>
      <c r="N105">
        <f>IFERROR(VLOOKUP($A105,[1]Sheet1!$A$8:$P$1264,MATCH(N$1,[1]Sheet1!$A$4:$P$4,0),0),"")</f>
        <v>7</v>
      </c>
      <c r="O105">
        <f>IFERROR(VLOOKUP($A105,[1]Sheet1!$A$8:$P$1264,MATCH(O$1,[1]Sheet1!$A$4:$P$4,0),0),"")</f>
        <v>0</v>
      </c>
      <c r="P105">
        <f>IFERROR(VLOOKUP($A105,[1]Sheet1!$A$8:$P$1264,MATCH(P$1,[1]Sheet1!$A$4:$P$4,0),0),"")</f>
        <v>7</v>
      </c>
      <c r="Q105">
        <f>IFERROR(VLOOKUP($A105,[1]Sheet1!$A$8:$P$1264,MATCH(Q$1,[1]Sheet1!$A$4:$P$4,0),0),"")</f>
        <v>0</v>
      </c>
      <c r="R105">
        <f>IFERROR(VLOOKUP($A105,[1]Sheet1!$A$8:$P$1264,MATCH(R$1,[1]Sheet1!$A$4:$P$4,0),0),"")</f>
        <v>7</v>
      </c>
      <c r="S105">
        <f>IFERROR(VLOOKUP($A105,[1]Sheet1!$A$8:$P$1264,MATCH(S$1,[1]Sheet1!$A$4:$P$4,0),0),"")</f>
        <v>0</v>
      </c>
    </row>
    <row r="106" spans="1:19">
      <c r="A106" t="str">
        <f t="shared" si="6"/>
        <v>MKE-SFO</v>
      </c>
      <c r="B106" s="3" t="s">
        <v>11</v>
      </c>
      <c r="C106" s="3" t="s">
        <v>16</v>
      </c>
      <c r="D106" t="s">
        <v>2</v>
      </c>
      <c r="E106" t="str">
        <f t="shared" si="5"/>
        <v>Southwest</v>
      </c>
      <c r="F106">
        <f>IFERROR(VLOOKUP($A106,[1]Sheet1!$A$8:$P$1264,MATCH(F$1,[1]Sheet1!$A$4:$P$4,0),0),"")</f>
        <v>6</v>
      </c>
      <c r="G106">
        <f>IFERROR(VLOOKUP($A106,[1]Sheet1!$A$8:$P$1264,MATCH(G$1,[1]Sheet1!$A$4:$P$4,0),0),"")</f>
        <v>0</v>
      </c>
      <c r="H106">
        <f>IFERROR(VLOOKUP($A106,[1]Sheet1!$A$8:$P$1264,MATCH(H$1,[1]Sheet1!$A$4:$P$4,0),0),"")</f>
        <v>6</v>
      </c>
      <c r="I106">
        <f>IFERROR(VLOOKUP($A106,[1]Sheet1!$A$8:$P$1264,MATCH(I$1,[1]Sheet1!$A$4:$P$4,0),0),"")</f>
        <v>0</v>
      </c>
      <c r="J106">
        <f>IFERROR(VLOOKUP($A106,[1]Sheet1!$A$8:$P$1264,MATCH(J$1,[1]Sheet1!$A$4:$P$4,0),0),"")</f>
        <v>7</v>
      </c>
      <c r="K106">
        <f>IFERROR(VLOOKUP($A106,[1]Sheet1!$A$8:$P$1264,MATCH(K$1,[1]Sheet1!$A$4:$P$4,0),0),"")</f>
        <v>0</v>
      </c>
      <c r="L106">
        <f>IFERROR(VLOOKUP($A106,[1]Sheet1!$A$8:$P$1264,MATCH(L$1,[1]Sheet1!$A$4:$P$4,0),0),"")</f>
        <v>7</v>
      </c>
      <c r="M106">
        <f>IFERROR(VLOOKUP($A106,[1]Sheet1!$A$8:$P$1264,MATCH(M$1,[1]Sheet1!$A$4:$P$4,0),0),"")</f>
        <v>0</v>
      </c>
      <c r="N106">
        <f>IFERROR(VLOOKUP($A106,[1]Sheet1!$A$8:$P$1264,MATCH(N$1,[1]Sheet1!$A$4:$P$4,0),0),"")</f>
        <v>7</v>
      </c>
      <c r="O106">
        <f>IFERROR(VLOOKUP($A106,[1]Sheet1!$A$8:$P$1264,MATCH(O$1,[1]Sheet1!$A$4:$P$4,0),0),"")</f>
        <v>0</v>
      </c>
      <c r="P106">
        <f>IFERROR(VLOOKUP($A106,[1]Sheet1!$A$8:$P$1264,MATCH(P$1,[1]Sheet1!$A$4:$P$4,0),0),"")</f>
        <v>14</v>
      </c>
      <c r="Q106">
        <f>IFERROR(VLOOKUP($A106,[1]Sheet1!$A$8:$P$1264,MATCH(Q$1,[1]Sheet1!$A$4:$P$4,0),0),"")</f>
        <v>0</v>
      </c>
      <c r="R106">
        <f>IFERROR(VLOOKUP($A106,[1]Sheet1!$A$8:$P$1264,MATCH(R$1,[1]Sheet1!$A$4:$P$4,0),0),"")</f>
        <v>14</v>
      </c>
      <c r="S106">
        <f>IFERROR(VLOOKUP($A106,[1]Sheet1!$A$8:$P$1264,MATCH(S$1,[1]Sheet1!$A$4:$P$4,0),0),"")</f>
        <v>0</v>
      </c>
    </row>
    <row r="107" spans="1:19">
      <c r="A107" t="str">
        <f t="shared" si="6"/>
        <v>MSY-PHL</v>
      </c>
      <c r="B107" s="3" t="s">
        <v>3</v>
      </c>
      <c r="C107" s="3" t="s">
        <v>13</v>
      </c>
      <c r="D107" t="s">
        <v>2</v>
      </c>
      <c r="E107" t="s">
        <v>49</v>
      </c>
      <c r="F107" t="str">
        <f>IFERROR(VLOOKUP($A107,[1]Sheet1!$A$8:$P$1264,MATCH(F$1,[1]Sheet1!$A$4:$P$4,0),0),"")</f>
        <v/>
      </c>
      <c r="G107" t="str">
        <f>IFERROR(VLOOKUP($A107,[1]Sheet1!$A$8:$P$1264,MATCH(G$1,[1]Sheet1!$A$4:$P$4,0),0),"")</f>
        <v/>
      </c>
      <c r="H107" t="str">
        <f>IFERROR(VLOOKUP($A107,[1]Sheet1!$A$8:$P$1264,MATCH(H$1,[1]Sheet1!$A$4:$P$4,0),0),"")</f>
        <v/>
      </c>
      <c r="I107" t="str">
        <f>IFERROR(VLOOKUP($A107,[1]Sheet1!$A$8:$P$1264,MATCH(I$1,[1]Sheet1!$A$4:$P$4,0),0),"")</f>
        <v/>
      </c>
      <c r="J107" t="str">
        <f>IFERROR(VLOOKUP($A107,[1]Sheet1!$A$8:$P$1264,MATCH(J$1,[1]Sheet1!$A$4:$P$4,0),0),"")</f>
        <v/>
      </c>
      <c r="K107" t="str">
        <f>IFERROR(VLOOKUP($A107,[1]Sheet1!$A$8:$P$1264,MATCH(K$1,[1]Sheet1!$A$4:$P$4,0),0),"")</f>
        <v/>
      </c>
      <c r="L107" t="str">
        <f>IFERROR(VLOOKUP($A107,[1]Sheet1!$A$8:$P$1264,MATCH(L$1,[1]Sheet1!$A$4:$P$4,0),0),"")</f>
        <v/>
      </c>
      <c r="M107" t="str">
        <f>IFERROR(VLOOKUP($A107,[1]Sheet1!$A$8:$P$1264,MATCH(M$1,[1]Sheet1!$A$4:$P$4,0),0),"")</f>
        <v/>
      </c>
      <c r="N107" t="str">
        <f>IFERROR(VLOOKUP($A107,[1]Sheet1!$A$8:$P$1264,MATCH(N$1,[1]Sheet1!$A$4:$P$4,0),0),"")</f>
        <v/>
      </c>
      <c r="O107" t="str">
        <f>IFERROR(VLOOKUP($A107,[1]Sheet1!$A$8:$P$1264,MATCH(O$1,[1]Sheet1!$A$4:$P$4,0),0),"")</f>
        <v/>
      </c>
      <c r="P107" t="str">
        <f>IFERROR(VLOOKUP($A107,[1]Sheet1!$A$8:$P$1264,MATCH(P$1,[1]Sheet1!$A$4:$P$4,0),0),"")</f>
        <v/>
      </c>
      <c r="Q107" t="str">
        <f>IFERROR(VLOOKUP($A107,[1]Sheet1!$A$8:$P$1264,MATCH(Q$1,[1]Sheet1!$A$4:$P$4,0),0),"")</f>
        <v/>
      </c>
      <c r="R107" t="str">
        <f>IFERROR(VLOOKUP($A107,[1]Sheet1!$A$8:$P$1264,MATCH(R$1,[1]Sheet1!$A$4:$P$4,0),0),"")</f>
        <v/>
      </c>
      <c r="S107" t="str">
        <f>IFERROR(VLOOKUP($A107,[1]Sheet1!$A$8:$P$1264,MATCH(S$1,[1]Sheet1!$A$4:$P$4,0),0),"")</f>
        <v/>
      </c>
    </row>
    <row r="108" spans="1:19">
      <c r="A108" t="str">
        <f t="shared" si="6"/>
        <v>MSY-PHX</v>
      </c>
      <c r="B108" s="3" t="s">
        <v>3</v>
      </c>
      <c r="C108" s="3" t="s">
        <v>22</v>
      </c>
      <c r="D108" t="s">
        <v>2</v>
      </c>
      <c r="E108" t="str">
        <f t="shared" si="5"/>
        <v>Southwest</v>
      </c>
      <c r="F108">
        <f>IFERROR(VLOOKUP($A108,[1]Sheet1!$A$8:$P$1264,MATCH(F$1,[1]Sheet1!$A$4:$P$4,0),0),"")</f>
        <v>7</v>
      </c>
      <c r="G108">
        <f>IFERROR(VLOOKUP($A108,[1]Sheet1!$A$8:$P$1264,MATCH(G$1,[1]Sheet1!$A$4:$P$4,0),0),"")</f>
        <v>0</v>
      </c>
      <c r="H108">
        <f>IFERROR(VLOOKUP($A108,[1]Sheet1!$A$8:$P$1264,MATCH(H$1,[1]Sheet1!$A$4:$P$4,0),0),"")</f>
        <v>7</v>
      </c>
      <c r="I108">
        <f>IFERROR(VLOOKUP($A108,[1]Sheet1!$A$8:$P$1264,MATCH(I$1,[1]Sheet1!$A$4:$P$4,0),0),"")</f>
        <v>0</v>
      </c>
      <c r="J108">
        <f>IFERROR(VLOOKUP($A108,[1]Sheet1!$A$8:$P$1264,MATCH(J$1,[1]Sheet1!$A$4:$P$4,0),0),"")</f>
        <v>7</v>
      </c>
      <c r="K108">
        <f>IFERROR(VLOOKUP($A108,[1]Sheet1!$A$8:$P$1264,MATCH(K$1,[1]Sheet1!$A$4:$P$4,0),0),"")</f>
        <v>0</v>
      </c>
      <c r="L108">
        <f>IFERROR(VLOOKUP($A108,[1]Sheet1!$A$8:$P$1264,MATCH(L$1,[1]Sheet1!$A$4:$P$4,0),0),"")</f>
        <v>7</v>
      </c>
      <c r="M108">
        <f>IFERROR(VLOOKUP($A108,[1]Sheet1!$A$8:$P$1264,MATCH(M$1,[1]Sheet1!$A$4:$P$4,0),0),"")</f>
        <v>0</v>
      </c>
      <c r="N108">
        <f>IFERROR(VLOOKUP($A108,[1]Sheet1!$A$8:$P$1264,MATCH(N$1,[1]Sheet1!$A$4:$P$4,0),0),"")</f>
        <v>7</v>
      </c>
      <c r="O108">
        <f>IFERROR(VLOOKUP($A108,[1]Sheet1!$A$8:$P$1264,MATCH(O$1,[1]Sheet1!$A$4:$P$4,0),0),"")</f>
        <v>0</v>
      </c>
      <c r="P108">
        <f>IFERROR(VLOOKUP($A108,[1]Sheet1!$A$8:$P$1264,MATCH(P$1,[1]Sheet1!$A$4:$P$4,0),0),"")</f>
        <v>7</v>
      </c>
      <c r="Q108">
        <f>IFERROR(VLOOKUP($A108,[1]Sheet1!$A$8:$P$1264,MATCH(Q$1,[1]Sheet1!$A$4:$P$4,0),0),"")</f>
        <v>0</v>
      </c>
      <c r="R108">
        <f>IFERROR(VLOOKUP($A108,[1]Sheet1!$A$8:$P$1264,MATCH(R$1,[1]Sheet1!$A$4:$P$4,0),0),"")</f>
        <v>7</v>
      </c>
      <c r="S108">
        <f>IFERROR(VLOOKUP($A108,[1]Sheet1!$A$8:$P$1264,MATCH(S$1,[1]Sheet1!$A$4:$P$4,0),0),"")</f>
        <v>0</v>
      </c>
    </row>
    <row r="109" spans="1:19">
      <c r="A109" t="str">
        <f t="shared" si="6"/>
        <v>PBI-PHL</v>
      </c>
      <c r="B109" s="3" t="s">
        <v>37</v>
      </c>
      <c r="C109" s="3" t="s">
        <v>13</v>
      </c>
      <c r="D109" t="s">
        <v>2</v>
      </c>
      <c r="E109" t="str">
        <f t="shared" si="5"/>
        <v>Southwest</v>
      </c>
      <c r="F109">
        <f>IFERROR(VLOOKUP($A109,[1]Sheet1!$A$8:$P$1264,MATCH(F$1,[1]Sheet1!$A$4:$P$4,0),0),"")</f>
        <v>13</v>
      </c>
      <c r="G109">
        <f>IFERROR(VLOOKUP($A109,[1]Sheet1!$A$8:$P$1264,MATCH(G$1,[1]Sheet1!$A$4:$P$4,0),0),"")</f>
        <v>0</v>
      </c>
      <c r="H109">
        <f>IFERROR(VLOOKUP($A109,[1]Sheet1!$A$8:$P$1264,MATCH(H$1,[1]Sheet1!$A$4:$P$4,0),0),"")</f>
        <v>13</v>
      </c>
      <c r="I109">
        <f>IFERROR(VLOOKUP($A109,[1]Sheet1!$A$8:$P$1264,MATCH(I$1,[1]Sheet1!$A$4:$P$4,0),0),"")</f>
        <v>0</v>
      </c>
      <c r="J109">
        <f>IFERROR(VLOOKUP($A109,[1]Sheet1!$A$8:$P$1264,MATCH(J$1,[1]Sheet1!$A$4:$P$4,0),0),"")</f>
        <v>14</v>
      </c>
      <c r="K109">
        <f>IFERROR(VLOOKUP($A109,[1]Sheet1!$A$8:$P$1264,MATCH(K$1,[1]Sheet1!$A$4:$P$4,0),0),"")</f>
        <v>0</v>
      </c>
      <c r="L109">
        <f>IFERROR(VLOOKUP($A109,[1]Sheet1!$A$8:$P$1264,MATCH(L$1,[1]Sheet1!$A$4:$P$4,0),0),"")</f>
        <v>0</v>
      </c>
      <c r="M109">
        <f>IFERROR(VLOOKUP($A109,[1]Sheet1!$A$8:$P$1264,MATCH(M$1,[1]Sheet1!$A$4:$P$4,0),0),"")</f>
        <v>7</v>
      </c>
      <c r="N109">
        <f>IFERROR(VLOOKUP($A109,[1]Sheet1!$A$8:$P$1264,MATCH(N$1,[1]Sheet1!$A$4:$P$4,0),0),"")</f>
        <v>0</v>
      </c>
      <c r="O109">
        <f>IFERROR(VLOOKUP($A109,[1]Sheet1!$A$8:$P$1264,MATCH(O$1,[1]Sheet1!$A$4:$P$4,0),0),"")</f>
        <v>7</v>
      </c>
      <c r="P109">
        <f>IFERROR(VLOOKUP($A109,[1]Sheet1!$A$8:$P$1264,MATCH(P$1,[1]Sheet1!$A$4:$P$4,0),0),"")</f>
        <v>0</v>
      </c>
      <c r="Q109">
        <f>IFERROR(VLOOKUP($A109,[1]Sheet1!$A$8:$P$1264,MATCH(Q$1,[1]Sheet1!$A$4:$P$4,0),0),"")</f>
        <v>7</v>
      </c>
      <c r="R109">
        <f>IFERROR(VLOOKUP($A109,[1]Sheet1!$A$8:$P$1264,MATCH(R$1,[1]Sheet1!$A$4:$P$4,0),0),"")</f>
        <v>0</v>
      </c>
      <c r="S109">
        <f>IFERROR(VLOOKUP($A109,[1]Sheet1!$A$8:$P$1264,MATCH(S$1,[1]Sheet1!$A$4:$P$4,0),0),"")</f>
        <v>7</v>
      </c>
    </row>
    <row r="110" spans="1:19">
      <c r="A110" t="str">
        <f t="shared" si="6"/>
        <v>PHL-PHX</v>
      </c>
      <c r="B110" s="3" t="s">
        <v>13</v>
      </c>
      <c r="C110" s="3" t="s">
        <v>22</v>
      </c>
      <c r="D110" t="s">
        <v>2</v>
      </c>
      <c r="E110" t="str">
        <f t="shared" si="5"/>
        <v>Southwest</v>
      </c>
      <c r="F110">
        <f>IFERROR(VLOOKUP($A110,[1]Sheet1!$A$8:$P$1264,MATCH(F$1,[1]Sheet1!$A$4:$P$4,0),0),"")</f>
        <v>7</v>
      </c>
      <c r="G110">
        <f>IFERROR(VLOOKUP($A110,[1]Sheet1!$A$8:$P$1264,MATCH(G$1,[1]Sheet1!$A$4:$P$4,0),0),"")</f>
        <v>0</v>
      </c>
      <c r="H110">
        <f>IFERROR(VLOOKUP($A110,[1]Sheet1!$A$8:$P$1264,MATCH(H$1,[1]Sheet1!$A$4:$P$4,0),0),"")</f>
        <v>7</v>
      </c>
      <c r="I110">
        <f>IFERROR(VLOOKUP($A110,[1]Sheet1!$A$8:$P$1264,MATCH(I$1,[1]Sheet1!$A$4:$P$4,0),0),"")</f>
        <v>0</v>
      </c>
      <c r="J110">
        <f>IFERROR(VLOOKUP($A110,[1]Sheet1!$A$8:$P$1264,MATCH(J$1,[1]Sheet1!$A$4:$P$4,0),0),"")</f>
        <v>7</v>
      </c>
      <c r="K110">
        <f>IFERROR(VLOOKUP($A110,[1]Sheet1!$A$8:$P$1264,MATCH(K$1,[1]Sheet1!$A$4:$P$4,0),0),"")</f>
        <v>0</v>
      </c>
      <c r="L110">
        <f>IFERROR(VLOOKUP($A110,[1]Sheet1!$A$8:$P$1264,MATCH(L$1,[1]Sheet1!$A$4:$P$4,0),0),"")</f>
        <v>7</v>
      </c>
      <c r="M110">
        <f>IFERROR(VLOOKUP($A110,[1]Sheet1!$A$8:$P$1264,MATCH(M$1,[1]Sheet1!$A$4:$P$4,0),0),"")</f>
        <v>0</v>
      </c>
      <c r="N110">
        <f>IFERROR(VLOOKUP($A110,[1]Sheet1!$A$8:$P$1264,MATCH(N$1,[1]Sheet1!$A$4:$P$4,0),0),"")</f>
        <v>7</v>
      </c>
      <c r="O110">
        <f>IFERROR(VLOOKUP($A110,[1]Sheet1!$A$8:$P$1264,MATCH(O$1,[1]Sheet1!$A$4:$P$4,0),0),"")</f>
        <v>0</v>
      </c>
      <c r="P110">
        <f>IFERROR(VLOOKUP($A110,[1]Sheet1!$A$8:$P$1264,MATCH(P$1,[1]Sheet1!$A$4:$P$4,0),0),"")</f>
        <v>8</v>
      </c>
      <c r="Q110">
        <f>IFERROR(VLOOKUP($A110,[1]Sheet1!$A$8:$P$1264,MATCH(Q$1,[1]Sheet1!$A$4:$P$4,0),0),"")</f>
        <v>0</v>
      </c>
      <c r="R110">
        <f>IFERROR(VLOOKUP($A110,[1]Sheet1!$A$8:$P$1264,MATCH(R$1,[1]Sheet1!$A$4:$P$4,0),0),"")</f>
        <v>8</v>
      </c>
      <c r="S110">
        <f>IFERROR(VLOOKUP($A110,[1]Sheet1!$A$8:$P$1264,MATCH(S$1,[1]Sheet1!$A$4:$P$4,0),0),"")</f>
        <v>0</v>
      </c>
    </row>
    <row r="111" spans="1:19">
      <c r="A111" t="str">
        <f t="shared" si="6"/>
        <v>PHX-PIT</v>
      </c>
      <c r="B111" s="3" t="s">
        <v>22</v>
      </c>
      <c r="C111" s="3" t="s">
        <v>33</v>
      </c>
      <c r="D111" t="s">
        <v>2</v>
      </c>
      <c r="E111" t="str">
        <f t="shared" si="5"/>
        <v>Southwest</v>
      </c>
      <c r="F111">
        <f>IFERROR(VLOOKUP($A111,[1]Sheet1!$A$8:$P$1264,MATCH(F$1,[1]Sheet1!$A$4:$P$4,0),0),"")</f>
        <v>7</v>
      </c>
      <c r="G111">
        <f>IFERROR(VLOOKUP($A111,[1]Sheet1!$A$8:$P$1264,MATCH(G$1,[1]Sheet1!$A$4:$P$4,0),0),"")</f>
        <v>0</v>
      </c>
      <c r="H111">
        <f>IFERROR(VLOOKUP($A111,[1]Sheet1!$A$8:$P$1264,MATCH(H$1,[1]Sheet1!$A$4:$P$4,0),0),"")</f>
        <v>7</v>
      </c>
      <c r="I111">
        <f>IFERROR(VLOOKUP($A111,[1]Sheet1!$A$8:$P$1264,MATCH(I$1,[1]Sheet1!$A$4:$P$4,0),0),"")</f>
        <v>0</v>
      </c>
      <c r="J111">
        <f>IFERROR(VLOOKUP($A111,[1]Sheet1!$A$8:$P$1264,MATCH(J$1,[1]Sheet1!$A$4:$P$4,0),0),"")</f>
        <v>7</v>
      </c>
      <c r="K111">
        <f>IFERROR(VLOOKUP($A111,[1]Sheet1!$A$8:$P$1264,MATCH(K$1,[1]Sheet1!$A$4:$P$4,0),0),"")</f>
        <v>0</v>
      </c>
      <c r="L111">
        <f>IFERROR(VLOOKUP($A111,[1]Sheet1!$A$8:$P$1264,MATCH(L$1,[1]Sheet1!$A$4:$P$4,0),0),"")</f>
        <v>7</v>
      </c>
      <c r="M111">
        <f>IFERROR(VLOOKUP($A111,[1]Sheet1!$A$8:$P$1264,MATCH(M$1,[1]Sheet1!$A$4:$P$4,0),0),"")</f>
        <v>0</v>
      </c>
      <c r="N111">
        <f>IFERROR(VLOOKUP($A111,[1]Sheet1!$A$8:$P$1264,MATCH(N$1,[1]Sheet1!$A$4:$P$4,0),0),"")</f>
        <v>7</v>
      </c>
      <c r="O111">
        <f>IFERROR(VLOOKUP($A111,[1]Sheet1!$A$8:$P$1264,MATCH(O$1,[1]Sheet1!$A$4:$P$4,0),0),"")</f>
        <v>0</v>
      </c>
      <c r="P111">
        <f>IFERROR(VLOOKUP($A111,[1]Sheet1!$A$8:$P$1264,MATCH(P$1,[1]Sheet1!$A$4:$P$4,0),0),"")</f>
        <v>14</v>
      </c>
      <c r="Q111">
        <f>IFERROR(VLOOKUP($A111,[1]Sheet1!$A$8:$P$1264,MATCH(Q$1,[1]Sheet1!$A$4:$P$4,0),0),"")</f>
        <v>0</v>
      </c>
      <c r="R111">
        <f>IFERROR(VLOOKUP($A111,[1]Sheet1!$A$8:$P$1264,MATCH(R$1,[1]Sheet1!$A$4:$P$4,0),0),"")</f>
        <v>14</v>
      </c>
      <c r="S111">
        <f>IFERROR(VLOOKUP($A111,[1]Sheet1!$A$8:$P$1264,MATCH(S$1,[1]Sheet1!$A$4:$P$4,0),0),"")</f>
        <v>0</v>
      </c>
    </row>
    <row r="112" spans="1:19">
      <c r="A112" t="str">
        <f t="shared" si="6"/>
        <v>PHX-RDU</v>
      </c>
      <c r="B112" s="3" t="s">
        <v>22</v>
      </c>
      <c r="C112" s="3" t="s">
        <v>14</v>
      </c>
      <c r="D112" t="s">
        <v>2</v>
      </c>
      <c r="E112" t="str">
        <f t="shared" si="5"/>
        <v>Southwest</v>
      </c>
      <c r="F112">
        <f>IFERROR(VLOOKUP($A112,[1]Sheet1!$A$8:$P$1264,MATCH(F$1,[1]Sheet1!$A$4:$P$4,0),0),"")</f>
        <v>0</v>
      </c>
      <c r="G112">
        <f>IFERROR(VLOOKUP($A112,[1]Sheet1!$A$8:$P$1264,MATCH(G$1,[1]Sheet1!$A$4:$P$4,0),0),"")</f>
        <v>0</v>
      </c>
      <c r="H112">
        <f>IFERROR(VLOOKUP($A112,[1]Sheet1!$A$8:$P$1264,MATCH(H$1,[1]Sheet1!$A$4:$P$4,0),0),"")</f>
        <v>0</v>
      </c>
      <c r="I112">
        <f>IFERROR(VLOOKUP($A112,[1]Sheet1!$A$8:$P$1264,MATCH(I$1,[1]Sheet1!$A$4:$P$4,0),0),"")</f>
        <v>0</v>
      </c>
      <c r="J112">
        <f>IFERROR(VLOOKUP($A112,[1]Sheet1!$A$8:$P$1264,MATCH(J$1,[1]Sheet1!$A$4:$P$4,0),0),"")</f>
        <v>7</v>
      </c>
      <c r="K112">
        <f>IFERROR(VLOOKUP($A112,[1]Sheet1!$A$8:$P$1264,MATCH(K$1,[1]Sheet1!$A$4:$P$4,0),0),"")</f>
        <v>0</v>
      </c>
      <c r="L112">
        <f>IFERROR(VLOOKUP($A112,[1]Sheet1!$A$8:$P$1264,MATCH(L$1,[1]Sheet1!$A$4:$P$4,0),0),"")</f>
        <v>6</v>
      </c>
      <c r="M112">
        <f>IFERROR(VLOOKUP($A112,[1]Sheet1!$A$8:$P$1264,MATCH(M$1,[1]Sheet1!$A$4:$P$4,0),0),"")</f>
        <v>0</v>
      </c>
      <c r="N112">
        <f>IFERROR(VLOOKUP($A112,[1]Sheet1!$A$8:$P$1264,MATCH(N$1,[1]Sheet1!$A$4:$P$4,0),0),"")</f>
        <v>6</v>
      </c>
      <c r="O112">
        <f>IFERROR(VLOOKUP($A112,[1]Sheet1!$A$8:$P$1264,MATCH(O$1,[1]Sheet1!$A$4:$P$4,0),0),"")</f>
        <v>0</v>
      </c>
      <c r="P112">
        <f>IFERROR(VLOOKUP($A112,[1]Sheet1!$A$8:$P$1264,MATCH(P$1,[1]Sheet1!$A$4:$P$4,0),0),"")</f>
        <v>7</v>
      </c>
      <c r="Q112">
        <f>IFERROR(VLOOKUP($A112,[1]Sheet1!$A$8:$P$1264,MATCH(Q$1,[1]Sheet1!$A$4:$P$4,0),0),"")</f>
        <v>0</v>
      </c>
      <c r="R112">
        <f>IFERROR(VLOOKUP($A112,[1]Sheet1!$A$8:$P$1264,MATCH(R$1,[1]Sheet1!$A$4:$P$4,0),0),"")</f>
        <v>7</v>
      </c>
      <c r="S112">
        <f>IFERROR(VLOOKUP($A112,[1]Sheet1!$A$8:$P$1264,MATCH(S$1,[1]Sheet1!$A$4:$P$4,0),0),"")</f>
        <v>0</v>
      </c>
    </row>
    <row r="113" spans="1:19">
      <c r="A113" t="str">
        <f t="shared" si="6"/>
        <v>PHX-STL</v>
      </c>
      <c r="B113" s="3" t="s">
        <v>22</v>
      </c>
      <c r="C113" s="3" t="s">
        <v>19</v>
      </c>
      <c r="D113" t="s">
        <v>2</v>
      </c>
      <c r="E113" t="str">
        <f t="shared" si="5"/>
        <v>Southwest</v>
      </c>
      <c r="F113">
        <f>IFERROR(VLOOKUP($A113,[1]Sheet1!$A$8:$P$1264,MATCH(F$1,[1]Sheet1!$A$4:$P$4,0),0),"")</f>
        <v>19</v>
      </c>
      <c r="G113">
        <f>IFERROR(VLOOKUP($A113,[1]Sheet1!$A$8:$P$1264,MATCH(G$1,[1]Sheet1!$A$4:$P$4,0),0),"")</f>
        <v>0</v>
      </c>
      <c r="H113">
        <f>IFERROR(VLOOKUP($A113,[1]Sheet1!$A$8:$P$1264,MATCH(H$1,[1]Sheet1!$A$4:$P$4,0),0),"")</f>
        <v>19</v>
      </c>
      <c r="I113">
        <f>IFERROR(VLOOKUP($A113,[1]Sheet1!$A$8:$P$1264,MATCH(I$1,[1]Sheet1!$A$4:$P$4,0),0),"")</f>
        <v>0</v>
      </c>
      <c r="J113">
        <f>IFERROR(VLOOKUP($A113,[1]Sheet1!$A$8:$P$1264,MATCH(J$1,[1]Sheet1!$A$4:$P$4,0),0),"")</f>
        <v>21</v>
      </c>
      <c r="K113">
        <f>IFERROR(VLOOKUP($A113,[1]Sheet1!$A$8:$P$1264,MATCH(K$1,[1]Sheet1!$A$4:$P$4,0),0),"")</f>
        <v>0</v>
      </c>
      <c r="L113">
        <f>IFERROR(VLOOKUP($A113,[1]Sheet1!$A$8:$P$1264,MATCH(L$1,[1]Sheet1!$A$4:$P$4,0),0),"")</f>
        <v>19</v>
      </c>
      <c r="M113">
        <f>IFERROR(VLOOKUP($A113,[1]Sheet1!$A$8:$P$1264,MATCH(M$1,[1]Sheet1!$A$4:$P$4,0),0),"")</f>
        <v>0</v>
      </c>
      <c r="N113">
        <f>IFERROR(VLOOKUP($A113,[1]Sheet1!$A$8:$P$1264,MATCH(N$1,[1]Sheet1!$A$4:$P$4,0),0),"")</f>
        <v>19</v>
      </c>
      <c r="O113">
        <f>IFERROR(VLOOKUP($A113,[1]Sheet1!$A$8:$P$1264,MATCH(O$1,[1]Sheet1!$A$4:$P$4,0),0),"")</f>
        <v>0</v>
      </c>
      <c r="P113">
        <f>IFERROR(VLOOKUP($A113,[1]Sheet1!$A$8:$P$1264,MATCH(P$1,[1]Sheet1!$A$4:$P$4,0),0),"")</f>
        <v>21</v>
      </c>
      <c r="Q113">
        <f>IFERROR(VLOOKUP($A113,[1]Sheet1!$A$8:$P$1264,MATCH(Q$1,[1]Sheet1!$A$4:$P$4,0),0),"")</f>
        <v>0</v>
      </c>
      <c r="R113">
        <f>IFERROR(VLOOKUP($A113,[1]Sheet1!$A$8:$P$1264,MATCH(R$1,[1]Sheet1!$A$4:$P$4,0),0),"")</f>
        <v>21</v>
      </c>
      <c r="S113">
        <f>IFERROR(VLOOKUP($A113,[1]Sheet1!$A$8:$P$1264,MATCH(S$1,[1]Sheet1!$A$4:$P$4,0),0),"")</f>
        <v>0</v>
      </c>
    </row>
    <row r="114" spans="1:19">
      <c r="A114" t="str">
        <f t="shared" si="6"/>
        <v>PHX-TPA</v>
      </c>
      <c r="B114" s="3" t="s">
        <v>22</v>
      </c>
      <c r="C114" s="3" t="s">
        <v>30</v>
      </c>
      <c r="D114" t="s">
        <v>2</v>
      </c>
      <c r="E114" t="str">
        <f t="shared" si="5"/>
        <v>Southwest</v>
      </c>
      <c r="F114">
        <f>IFERROR(VLOOKUP($A114,[1]Sheet1!$A$8:$P$1264,MATCH(F$1,[1]Sheet1!$A$4:$P$4,0),0),"")</f>
        <v>7</v>
      </c>
      <c r="G114">
        <f>IFERROR(VLOOKUP($A114,[1]Sheet1!$A$8:$P$1264,MATCH(G$1,[1]Sheet1!$A$4:$P$4,0),0),"")</f>
        <v>0</v>
      </c>
      <c r="H114">
        <f>IFERROR(VLOOKUP($A114,[1]Sheet1!$A$8:$P$1264,MATCH(H$1,[1]Sheet1!$A$4:$P$4,0),0),"")</f>
        <v>7</v>
      </c>
      <c r="I114">
        <f>IFERROR(VLOOKUP($A114,[1]Sheet1!$A$8:$P$1264,MATCH(I$1,[1]Sheet1!$A$4:$P$4,0),0),"")</f>
        <v>0</v>
      </c>
      <c r="J114">
        <f>IFERROR(VLOOKUP($A114,[1]Sheet1!$A$8:$P$1264,MATCH(J$1,[1]Sheet1!$A$4:$P$4,0),0),"")</f>
        <v>7</v>
      </c>
      <c r="K114">
        <f>IFERROR(VLOOKUP($A114,[1]Sheet1!$A$8:$P$1264,MATCH(K$1,[1]Sheet1!$A$4:$P$4,0),0),"")</f>
        <v>0</v>
      </c>
      <c r="L114">
        <f>IFERROR(VLOOKUP($A114,[1]Sheet1!$A$8:$P$1264,MATCH(L$1,[1]Sheet1!$A$4:$P$4,0),0),"")</f>
        <v>7</v>
      </c>
      <c r="M114">
        <f>IFERROR(VLOOKUP($A114,[1]Sheet1!$A$8:$P$1264,MATCH(M$1,[1]Sheet1!$A$4:$P$4,0),0),"")</f>
        <v>0</v>
      </c>
      <c r="N114">
        <f>IFERROR(VLOOKUP($A114,[1]Sheet1!$A$8:$P$1264,MATCH(N$1,[1]Sheet1!$A$4:$P$4,0),0),"")</f>
        <v>7</v>
      </c>
      <c r="O114">
        <f>IFERROR(VLOOKUP($A114,[1]Sheet1!$A$8:$P$1264,MATCH(O$1,[1]Sheet1!$A$4:$P$4,0),0),"")</f>
        <v>0</v>
      </c>
      <c r="P114">
        <f>IFERROR(VLOOKUP($A114,[1]Sheet1!$A$8:$P$1264,MATCH(P$1,[1]Sheet1!$A$4:$P$4,0),0),"")</f>
        <v>7</v>
      </c>
      <c r="Q114">
        <f>IFERROR(VLOOKUP($A114,[1]Sheet1!$A$8:$P$1264,MATCH(Q$1,[1]Sheet1!$A$4:$P$4,0),0),"")</f>
        <v>0</v>
      </c>
      <c r="R114">
        <f>IFERROR(VLOOKUP($A114,[1]Sheet1!$A$8:$P$1264,MATCH(R$1,[1]Sheet1!$A$4:$P$4,0),0),"")</f>
        <v>7</v>
      </c>
      <c r="S114">
        <f>IFERROR(VLOOKUP($A114,[1]Sheet1!$A$8:$P$1264,MATCH(S$1,[1]Sheet1!$A$4:$P$4,0),0),"")</f>
        <v>0</v>
      </c>
    </row>
    <row r="115" spans="1:19">
      <c r="A115" t="str">
        <f t="shared" si="6"/>
        <v>PIT-TPA</v>
      </c>
      <c r="B115" s="3" t="s">
        <v>33</v>
      </c>
      <c r="C115" s="3" t="s">
        <v>30</v>
      </c>
      <c r="D115" t="s">
        <v>2</v>
      </c>
      <c r="E115" t="str">
        <f t="shared" si="5"/>
        <v>AirTran</v>
      </c>
      <c r="F115">
        <f>IFERROR(VLOOKUP($A115,[1]Sheet1!$A$8:$P$1264,MATCH(F$1,[1]Sheet1!$A$4:$P$4,0),0),"")</f>
        <v>7</v>
      </c>
      <c r="G115">
        <f>IFERROR(VLOOKUP($A115,[1]Sheet1!$A$8:$P$1264,MATCH(G$1,[1]Sheet1!$A$4:$P$4,0),0),"")</f>
        <v>14</v>
      </c>
      <c r="H115">
        <f>IFERROR(VLOOKUP($A115,[1]Sheet1!$A$8:$P$1264,MATCH(H$1,[1]Sheet1!$A$4:$P$4,0),0),"")</f>
        <v>7</v>
      </c>
      <c r="I115">
        <f>IFERROR(VLOOKUP($A115,[1]Sheet1!$A$8:$P$1264,MATCH(I$1,[1]Sheet1!$A$4:$P$4,0),0),"")</f>
        <v>14</v>
      </c>
      <c r="J115">
        <f>IFERROR(VLOOKUP($A115,[1]Sheet1!$A$8:$P$1264,MATCH(J$1,[1]Sheet1!$A$4:$P$4,0),0),"")</f>
        <v>14</v>
      </c>
      <c r="K115">
        <f>IFERROR(VLOOKUP($A115,[1]Sheet1!$A$8:$P$1264,MATCH(K$1,[1]Sheet1!$A$4:$P$4,0),0),"")</f>
        <v>14</v>
      </c>
      <c r="L115">
        <f>IFERROR(VLOOKUP($A115,[1]Sheet1!$A$8:$P$1264,MATCH(L$1,[1]Sheet1!$A$4:$P$4,0),0),"")</f>
        <v>7</v>
      </c>
      <c r="M115">
        <f>IFERROR(VLOOKUP($A115,[1]Sheet1!$A$8:$P$1264,MATCH(M$1,[1]Sheet1!$A$4:$P$4,0),0),"")</f>
        <v>13</v>
      </c>
      <c r="N115">
        <f>IFERROR(VLOOKUP($A115,[1]Sheet1!$A$8:$P$1264,MATCH(N$1,[1]Sheet1!$A$4:$P$4,0),0),"")</f>
        <v>7</v>
      </c>
      <c r="O115">
        <f>IFERROR(VLOOKUP($A115,[1]Sheet1!$A$8:$P$1264,MATCH(O$1,[1]Sheet1!$A$4:$P$4,0),0),"")</f>
        <v>13</v>
      </c>
      <c r="P115">
        <f>IFERROR(VLOOKUP($A115,[1]Sheet1!$A$8:$P$1264,MATCH(P$1,[1]Sheet1!$A$4:$P$4,0),0),"")</f>
        <v>9</v>
      </c>
      <c r="Q115">
        <f>IFERROR(VLOOKUP($A115,[1]Sheet1!$A$8:$P$1264,MATCH(Q$1,[1]Sheet1!$A$4:$P$4,0),0),"")</f>
        <v>13</v>
      </c>
      <c r="R115">
        <f>IFERROR(VLOOKUP($A115,[1]Sheet1!$A$8:$P$1264,MATCH(R$1,[1]Sheet1!$A$4:$P$4,0),0),"")</f>
        <v>9</v>
      </c>
      <c r="S115">
        <f>IFERROR(VLOOKUP($A115,[1]Sheet1!$A$8:$P$1264,MATCH(S$1,[1]Sheet1!$A$4:$P$4,0),0),"")</f>
        <v>13</v>
      </c>
    </row>
    <row r="116" spans="1:19">
      <c r="A116" t="str">
        <f t="shared" si="6"/>
        <v>RDU-SEA</v>
      </c>
      <c r="B116" s="3" t="s">
        <v>14</v>
      </c>
      <c r="C116" s="3" t="s">
        <v>29</v>
      </c>
      <c r="D116" t="s">
        <v>2</v>
      </c>
      <c r="E116" t="s">
        <v>49</v>
      </c>
      <c r="F116" t="str">
        <f>IFERROR(VLOOKUP($A116,[1]Sheet1!$A$8:$P$1264,MATCH(F$1,[1]Sheet1!$A$4:$P$4,0),0),"")</f>
        <v/>
      </c>
      <c r="G116" t="str">
        <f>IFERROR(VLOOKUP($A116,[1]Sheet1!$A$8:$P$1264,MATCH(G$1,[1]Sheet1!$A$4:$P$4,0),0),"")</f>
        <v/>
      </c>
      <c r="H116" t="str">
        <f>IFERROR(VLOOKUP($A116,[1]Sheet1!$A$8:$P$1264,MATCH(H$1,[1]Sheet1!$A$4:$P$4,0),0),"")</f>
        <v/>
      </c>
      <c r="I116" t="str">
        <f>IFERROR(VLOOKUP($A116,[1]Sheet1!$A$8:$P$1264,MATCH(I$1,[1]Sheet1!$A$4:$P$4,0),0),"")</f>
        <v/>
      </c>
      <c r="J116" t="str">
        <f>IFERROR(VLOOKUP($A116,[1]Sheet1!$A$8:$P$1264,MATCH(J$1,[1]Sheet1!$A$4:$P$4,0),0),"")</f>
        <v/>
      </c>
      <c r="K116" t="str">
        <f>IFERROR(VLOOKUP($A116,[1]Sheet1!$A$8:$P$1264,MATCH(K$1,[1]Sheet1!$A$4:$P$4,0),0),"")</f>
        <v/>
      </c>
      <c r="L116" t="str">
        <f>IFERROR(VLOOKUP($A116,[1]Sheet1!$A$8:$P$1264,MATCH(L$1,[1]Sheet1!$A$4:$P$4,0),0),"")</f>
        <v/>
      </c>
      <c r="M116" t="str">
        <f>IFERROR(VLOOKUP($A116,[1]Sheet1!$A$8:$P$1264,MATCH(M$1,[1]Sheet1!$A$4:$P$4,0),0),"")</f>
        <v/>
      </c>
      <c r="N116" t="str">
        <f>IFERROR(VLOOKUP($A116,[1]Sheet1!$A$8:$P$1264,MATCH(N$1,[1]Sheet1!$A$4:$P$4,0),0),"")</f>
        <v/>
      </c>
      <c r="O116" t="str">
        <f>IFERROR(VLOOKUP($A116,[1]Sheet1!$A$8:$P$1264,MATCH(O$1,[1]Sheet1!$A$4:$P$4,0),0),"")</f>
        <v/>
      </c>
      <c r="P116" t="str">
        <f>IFERROR(VLOOKUP($A116,[1]Sheet1!$A$8:$P$1264,MATCH(P$1,[1]Sheet1!$A$4:$P$4,0),0),"")</f>
        <v/>
      </c>
      <c r="Q116" t="str">
        <f>IFERROR(VLOOKUP($A116,[1]Sheet1!$A$8:$P$1264,MATCH(Q$1,[1]Sheet1!$A$4:$P$4,0),0),"")</f>
        <v/>
      </c>
      <c r="R116" t="str">
        <f>IFERROR(VLOOKUP($A116,[1]Sheet1!$A$8:$P$1264,MATCH(R$1,[1]Sheet1!$A$4:$P$4,0),0),"")</f>
        <v/>
      </c>
      <c r="S116" t="str">
        <f>IFERROR(VLOOKUP($A116,[1]Sheet1!$A$8:$P$1264,MATCH(S$1,[1]Sheet1!$A$4:$P$4,0),0),"")</f>
        <v/>
      </c>
    </row>
    <row r="117" spans="1:19">
      <c r="A117" t="str">
        <f t="shared" si="6"/>
        <v>RDU-TPA</v>
      </c>
      <c r="B117" s="3" t="s">
        <v>14</v>
      </c>
      <c r="C117" s="3" t="s">
        <v>30</v>
      </c>
      <c r="D117" t="s">
        <v>2</v>
      </c>
      <c r="E117" t="str">
        <f t="shared" si="5"/>
        <v>Southwest</v>
      </c>
      <c r="F117">
        <f>IFERROR(VLOOKUP($A117,[1]Sheet1!$A$8:$P$1264,MATCH(F$1,[1]Sheet1!$A$4:$P$4,0),0),"")</f>
        <v>19</v>
      </c>
      <c r="G117">
        <f>IFERROR(VLOOKUP($A117,[1]Sheet1!$A$8:$P$1264,MATCH(G$1,[1]Sheet1!$A$4:$P$4,0),0),"")</f>
        <v>0</v>
      </c>
      <c r="H117">
        <f>IFERROR(VLOOKUP($A117,[1]Sheet1!$A$8:$P$1264,MATCH(H$1,[1]Sheet1!$A$4:$P$4,0),0),"")</f>
        <v>19</v>
      </c>
      <c r="I117">
        <f>IFERROR(VLOOKUP($A117,[1]Sheet1!$A$8:$P$1264,MATCH(I$1,[1]Sheet1!$A$4:$P$4,0),0),"")</f>
        <v>0</v>
      </c>
      <c r="J117">
        <f>IFERROR(VLOOKUP($A117,[1]Sheet1!$A$8:$P$1264,MATCH(J$1,[1]Sheet1!$A$4:$P$4,0),0),"")</f>
        <v>20</v>
      </c>
      <c r="K117">
        <f>IFERROR(VLOOKUP($A117,[1]Sheet1!$A$8:$P$1264,MATCH(K$1,[1]Sheet1!$A$4:$P$4,0),0),"")</f>
        <v>0</v>
      </c>
      <c r="L117">
        <f>IFERROR(VLOOKUP($A117,[1]Sheet1!$A$8:$P$1264,MATCH(L$1,[1]Sheet1!$A$4:$P$4,0),0),"")</f>
        <v>19</v>
      </c>
      <c r="M117">
        <f>IFERROR(VLOOKUP($A117,[1]Sheet1!$A$8:$P$1264,MATCH(M$1,[1]Sheet1!$A$4:$P$4,0),0),"")</f>
        <v>0</v>
      </c>
      <c r="N117">
        <f>IFERROR(VLOOKUP($A117,[1]Sheet1!$A$8:$P$1264,MATCH(N$1,[1]Sheet1!$A$4:$P$4,0),0),"")</f>
        <v>19</v>
      </c>
      <c r="O117">
        <f>IFERROR(VLOOKUP($A117,[1]Sheet1!$A$8:$P$1264,MATCH(O$1,[1]Sheet1!$A$4:$P$4,0),0),"")</f>
        <v>0</v>
      </c>
      <c r="P117">
        <f>IFERROR(VLOOKUP($A117,[1]Sheet1!$A$8:$P$1264,MATCH(P$1,[1]Sheet1!$A$4:$P$4,0),0),"")</f>
        <v>14</v>
      </c>
      <c r="Q117">
        <f>IFERROR(VLOOKUP($A117,[1]Sheet1!$A$8:$P$1264,MATCH(Q$1,[1]Sheet1!$A$4:$P$4,0),0),"")</f>
        <v>7</v>
      </c>
      <c r="R117">
        <f>IFERROR(VLOOKUP($A117,[1]Sheet1!$A$8:$P$1264,MATCH(R$1,[1]Sheet1!$A$4:$P$4,0),0),"")</f>
        <v>14</v>
      </c>
      <c r="S117">
        <f>IFERROR(VLOOKUP($A117,[1]Sheet1!$A$8:$P$1264,MATCH(S$1,[1]Sheet1!$A$4:$P$4,0),0),"")</f>
        <v>7</v>
      </c>
    </row>
    <row r="118" spans="1:19">
      <c r="A118" t="str">
        <f t="shared" si="6"/>
        <v>SAT-TPA</v>
      </c>
      <c r="B118" s="3" t="s">
        <v>28</v>
      </c>
      <c r="C118" s="3" t="s">
        <v>30</v>
      </c>
      <c r="D118" t="s">
        <v>2</v>
      </c>
      <c r="E118" t="str">
        <f t="shared" si="5"/>
        <v>Southwest</v>
      </c>
      <c r="F118">
        <f>IFERROR(VLOOKUP($A118,[1]Sheet1!$A$8:$P$1264,MATCH(F$1,[1]Sheet1!$A$4:$P$4,0),0),"")</f>
        <v>6</v>
      </c>
      <c r="G118">
        <f>IFERROR(VLOOKUP($A118,[1]Sheet1!$A$8:$P$1264,MATCH(G$1,[1]Sheet1!$A$4:$P$4,0),0),"")</f>
        <v>0</v>
      </c>
      <c r="H118">
        <f>IFERROR(VLOOKUP($A118,[1]Sheet1!$A$8:$P$1264,MATCH(H$1,[1]Sheet1!$A$4:$P$4,0),0),"")</f>
        <v>6</v>
      </c>
      <c r="I118">
        <f>IFERROR(VLOOKUP($A118,[1]Sheet1!$A$8:$P$1264,MATCH(I$1,[1]Sheet1!$A$4:$P$4,0),0),"")</f>
        <v>0</v>
      </c>
      <c r="J118">
        <f>IFERROR(VLOOKUP($A118,[1]Sheet1!$A$8:$P$1264,MATCH(J$1,[1]Sheet1!$A$4:$P$4,0),0),"")</f>
        <v>7</v>
      </c>
      <c r="K118">
        <f>IFERROR(VLOOKUP($A118,[1]Sheet1!$A$8:$P$1264,MATCH(K$1,[1]Sheet1!$A$4:$P$4,0),0),"")</f>
        <v>0</v>
      </c>
      <c r="L118">
        <f>IFERROR(VLOOKUP($A118,[1]Sheet1!$A$8:$P$1264,MATCH(L$1,[1]Sheet1!$A$4:$P$4,0),0),"")</f>
        <v>7</v>
      </c>
      <c r="M118">
        <f>IFERROR(VLOOKUP($A118,[1]Sheet1!$A$8:$P$1264,MATCH(M$1,[1]Sheet1!$A$4:$P$4,0),0),"")</f>
        <v>0</v>
      </c>
      <c r="N118">
        <f>IFERROR(VLOOKUP($A118,[1]Sheet1!$A$8:$P$1264,MATCH(N$1,[1]Sheet1!$A$4:$P$4,0),0),"")</f>
        <v>7</v>
      </c>
      <c r="O118">
        <f>IFERROR(VLOOKUP($A118,[1]Sheet1!$A$8:$P$1264,MATCH(O$1,[1]Sheet1!$A$4:$P$4,0),0),"")</f>
        <v>0</v>
      </c>
      <c r="P118">
        <f>IFERROR(VLOOKUP($A118,[1]Sheet1!$A$8:$P$1264,MATCH(P$1,[1]Sheet1!$A$4:$P$4,0),0),"")</f>
        <v>7</v>
      </c>
      <c r="Q118">
        <f>IFERROR(VLOOKUP($A118,[1]Sheet1!$A$8:$P$1264,MATCH(Q$1,[1]Sheet1!$A$4:$P$4,0),0),"")</f>
        <v>0</v>
      </c>
      <c r="R118">
        <f>IFERROR(VLOOKUP($A118,[1]Sheet1!$A$8:$P$1264,MATCH(R$1,[1]Sheet1!$A$4:$P$4,0),0),"")</f>
        <v>7</v>
      </c>
      <c r="S118">
        <f>IFERROR(VLOOKUP($A118,[1]Sheet1!$A$8:$P$1264,MATCH(S$1,[1]Sheet1!$A$4:$P$4,0),0),"")</f>
        <v>0</v>
      </c>
    </row>
    <row r="119" spans="1:19">
      <c r="A119" t="str">
        <f t="shared" si="6"/>
        <v>SEA-TPA</v>
      </c>
      <c r="B119" s="3" t="s">
        <v>29</v>
      </c>
      <c r="C119" s="3" t="s">
        <v>30</v>
      </c>
      <c r="D119" t="s">
        <v>2</v>
      </c>
      <c r="E119" t="s">
        <v>49</v>
      </c>
      <c r="F119" t="str">
        <f>IFERROR(VLOOKUP($A119,[1]Sheet1!$A$8:$P$1264,MATCH(F$1,[1]Sheet1!$A$4:$P$4,0),0),"")</f>
        <v/>
      </c>
      <c r="G119" t="str">
        <f>IFERROR(VLOOKUP($A119,[1]Sheet1!$A$8:$P$1264,MATCH(G$1,[1]Sheet1!$A$4:$P$4,0),0),"")</f>
        <v/>
      </c>
      <c r="H119" t="str">
        <f>IFERROR(VLOOKUP($A119,[1]Sheet1!$A$8:$P$1264,MATCH(H$1,[1]Sheet1!$A$4:$P$4,0),0),"")</f>
        <v/>
      </c>
      <c r="I119" t="str">
        <f>IFERROR(VLOOKUP($A119,[1]Sheet1!$A$8:$P$1264,MATCH(I$1,[1]Sheet1!$A$4:$P$4,0),0),"")</f>
        <v/>
      </c>
      <c r="J119" t="str">
        <f>IFERROR(VLOOKUP($A119,[1]Sheet1!$A$8:$P$1264,MATCH(J$1,[1]Sheet1!$A$4:$P$4,0),0),"")</f>
        <v/>
      </c>
      <c r="K119" t="str">
        <f>IFERROR(VLOOKUP($A119,[1]Sheet1!$A$8:$P$1264,MATCH(K$1,[1]Sheet1!$A$4:$P$4,0),0),"")</f>
        <v/>
      </c>
      <c r="L119" t="str">
        <f>IFERROR(VLOOKUP($A119,[1]Sheet1!$A$8:$P$1264,MATCH(L$1,[1]Sheet1!$A$4:$P$4,0),0),"")</f>
        <v/>
      </c>
      <c r="M119" t="str">
        <f>IFERROR(VLOOKUP($A119,[1]Sheet1!$A$8:$P$1264,MATCH(M$1,[1]Sheet1!$A$4:$P$4,0),0),"")</f>
        <v/>
      </c>
      <c r="N119" t="str">
        <f>IFERROR(VLOOKUP($A119,[1]Sheet1!$A$8:$P$1264,MATCH(N$1,[1]Sheet1!$A$4:$P$4,0),0),"")</f>
        <v/>
      </c>
      <c r="O119" t="str">
        <f>IFERROR(VLOOKUP($A119,[1]Sheet1!$A$8:$P$1264,MATCH(O$1,[1]Sheet1!$A$4:$P$4,0),0),"")</f>
        <v/>
      </c>
      <c r="P119" t="str">
        <f>IFERROR(VLOOKUP($A119,[1]Sheet1!$A$8:$P$1264,MATCH(P$1,[1]Sheet1!$A$4:$P$4,0),0),"")</f>
        <v/>
      </c>
      <c r="Q119" t="str">
        <f>IFERROR(VLOOKUP($A119,[1]Sheet1!$A$8:$P$1264,MATCH(Q$1,[1]Sheet1!$A$4:$P$4,0),0),"")</f>
        <v/>
      </c>
      <c r="R119" t="str">
        <f>IFERROR(VLOOKUP($A119,[1]Sheet1!$A$8:$P$1264,MATCH(R$1,[1]Sheet1!$A$4:$P$4,0),0),"")</f>
        <v/>
      </c>
      <c r="S119" t="str">
        <f>IFERROR(VLOOKUP($A119,[1]Sheet1!$A$8:$P$1264,MATCH(S$1,[1]Sheet1!$A$4:$P$4,0),0),"")</f>
        <v/>
      </c>
    </row>
    <row r="120" spans="1:19">
      <c r="A120" t="str">
        <f t="shared" si="6"/>
        <v>BUF-SAT</v>
      </c>
      <c r="B120" s="3" t="s">
        <v>20</v>
      </c>
      <c r="C120" s="3" t="s">
        <v>28</v>
      </c>
      <c r="D120" t="s">
        <v>2</v>
      </c>
      <c r="E120" t="s">
        <v>49</v>
      </c>
      <c r="F120" t="str">
        <f>IFERROR(VLOOKUP($A120,[1]Sheet1!$A$8:$P$1264,MATCH(F$1,[1]Sheet1!$A$4:$P$4,0),0),"")</f>
        <v/>
      </c>
      <c r="G120" t="str">
        <f>IFERROR(VLOOKUP($A120,[1]Sheet1!$A$8:$P$1264,MATCH(G$1,[1]Sheet1!$A$4:$P$4,0),0),"")</f>
        <v/>
      </c>
      <c r="H120" t="str">
        <f>IFERROR(VLOOKUP($A120,[1]Sheet1!$A$8:$P$1264,MATCH(H$1,[1]Sheet1!$A$4:$P$4,0),0),"")</f>
        <v/>
      </c>
      <c r="I120" t="str">
        <f>IFERROR(VLOOKUP($A120,[1]Sheet1!$A$8:$P$1264,MATCH(I$1,[1]Sheet1!$A$4:$P$4,0),0),"")</f>
        <v/>
      </c>
      <c r="J120" t="str">
        <f>IFERROR(VLOOKUP($A120,[1]Sheet1!$A$8:$P$1264,MATCH(J$1,[1]Sheet1!$A$4:$P$4,0),0),"")</f>
        <v/>
      </c>
      <c r="K120" t="str">
        <f>IFERROR(VLOOKUP($A120,[1]Sheet1!$A$8:$P$1264,MATCH(K$1,[1]Sheet1!$A$4:$P$4,0),0),"")</f>
        <v/>
      </c>
      <c r="L120" t="str">
        <f>IFERROR(VLOOKUP($A120,[1]Sheet1!$A$8:$P$1264,MATCH(L$1,[1]Sheet1!$A$4:$P$4,0),0),"")</f>
        <v/>
      </c>
      <c r="M120" t="str">
        <f>IFERROR(VLOOKUP($A120,[1]Sheet1!$A$8:$P$1264,MATCH(M$1,[1]Sheet1!$A$4:$P$4,0),0),"")</f>
        <v/>
      </c>
      <c r="N120" t="str">
        <f>IFERROR(VLOOKUP($A120,[1]Sheet1!$A$8:$P$1264,MATCH(N$1,[1]Sheet1!$A$4:$P$4,0),0),"")</f>
        <v/>
      </c>
      <c r="O120" t="str">
        <f>IFERROR(VLOOKUP($A120,[1]Sheet1!$A$8:$P$1264,MATCH(O$1,[1]Sheet1!$A$4:$P$4,0),0),"")</f>
        <v/>
      </c>
      <c r="P120" t="str">
        <f>IFERROR(VLOOKUP($A120,[1]Sheet1!$A$8:$P$1264,MATCH(P$1,[1]Sheet1!$A$4:$P$4,0),0),"")</f>
        <v/>
      </c>
      <c r="Q120" t="str">
        <f>IFERROR(VLOOKUP($A120,[1]Sheet1!$A$8:$P$1264,MATCH(Q$1,[1]Sheet1!$A$4:$P$4,0),0),"")</f>
        <v/>
      </c>
      <c r="R120" t="str">
        <f>IFERROR(VLOOKUP($A120,[1]Sheet1!$A$8:$P$1264,MATCH(R$1,[1]Sheet1!$A$4:$P$4,0),0),"")</f>
        <v/>
      </c>
      <c r="S120" t="str">
        <f>IFERROR(VLOOKUP($A120,[1]Sheet1!$A$8:$P$1264,MATCH(S$1,[1]Sheet1!$A$4:$P$4,0),0),"")</f>
        <v/>
      </c>
    </row>
    <row r="121" spans="1:19">
      <c r="A121" t="str">
        <f t="shared" si="6"/>
        <v>CMH-JAX</v>
      </c>
      <c r="B121" s="3" t="s">
        <v>31</v>
      </c>
      <c r="C121" s="3" t="s">
        <v>25</v>
      </c>
      <c r="D121" t="s">
        <v>2</v>
      </c>
      <c r="E121" t="s">
        <v>49</v>
      </c>
      <c r="F121" t="str">
        <f>IFERROR(VLOOKUP($A121,[1]Sheet1!$A$8:$P$1264,MATCH(F$1,[1]Sheet1!$A$4:$P$4,0),0),"")</f>
        <v/>
      </c>
      <c r="G121" t="str">
        <f>IFERROR(VLOOKUP($A121,[1]Sheet1!$A$8:$P$1264,MATCH(G$1,[1]Sheet1!$A$4:$P$4,0),0),"")</f>
        <v/>
      </c>
      <c r="H121" t="str">
        <f>IFERROR(VLOOKUP($A121,[1]Sheet1!$A$8:$P$1264,MATCH(H$1,[1]Sheet1!$A$4:$P$4,0),0),"")</f>
        <v/>
      </c>
      <c r="I121" t="str">
        <f>IFERROR(VLOOKUP($A121,[1]Sheet1!$A$8:$P$1264,MATCH(I$1,[1]Sheet1!$A$4:$P$4,0),0),"")</f>
        <v/>
      </c>
      <c r="J121" t="str">
        <f>IFERROR(VLOOKUP($A121,[1]Sheet1!$A$8:$P$1264,MATCH(J$1,[1]Sheet1!$A$4:$P$4,0),0),"")</f>
        <v/>
      </c>
      <c r="K121" t="str">
        <f>IFERROR(VLOOKUP($A121,[1]Sheet1!$A$8:$P$1264,MATCH(K$1,[1]Sheet1!$A$4:$P$4,0),0),"")</f>
        <v/>
      </c>
      <c r="L121" t="str">
        <f>IFERROR(VLOOKUP($A121,[1]Sheet1!$A$8:$P$1264,MATCH(L$1,[1]Sheet1!$A$4:$P$4,0),0),"")</f>
        <v/>
      </c>
      <c r="M121" t="str">
        <f>IFERROR(VLOOKUP($A121,[1]Sheet1!$A$8:$P$1264,MATCH(M$1,[1]Sheet1!$A$4:$P$4,0),0),"")</f>
        <v/>
      </c>
      <c r="N121" t="str">
        <f>IFERROR(VLOOKUP($A121,[1]Sheet1!$A$8:$P$1264,MATCH(N$1,[1]Sheet1!$A$4:$P$4,0),0),"")</f>
        <v/>
      </c>
      <c r="O121" t="str">
        <f>IFERROR(VLOOKUP($A121,[1]Sheet1!$A$8:$P$1264,MATCH(O$1,[1]Sheet1!$A$4:$P$4,0),0),"")</f>
        <v/>
      </c>
      <c r="P121" t="str">
        <f>IFERROR(VLOOKUP($A121,[1]Sheet1!$A$8:$P$1264,MATCH(P$1,[1]Sheet1!$A$4:$P$4,0),0),"")</f>
        <v/>
      </c>
      <c r="Q121" t="str">
        <f>IFERROR(VLOOKUP($A121,[1]Sheet1!$A$8:$P$1264,MATCH(Q$1,[1]Sheet1!$A$4:$P$4,0),0),"")</f>
        <v/>
      </c>
      <c r="R121" t="str">
        <f>IFERROR(VLOOKUP($A121,[1]Sheet1!$A$8:$P$1264,MATCH(R$1,[1]Sheet1!$A$4:$P$4,0),0),"")</f>
        <v/>
      </c>
      <c r="S121" t="str">
        <f>IFERROR(VLOOKUP($A121,[1]Sheet1!$A$8:$P$1264,MATCH(S$1,[1]Sheet1!$A$4:$P$4,0),0),"")</f>
        <v/>
      </c>
    </row>
    <row r="122" spans="1:19">
      <c r="A122" t="str">
        <f t="shared" si="6"/>
        <v>DAY-FLL</v>
      </c>
      <c r="B122" s="3" t="s">
        <v>7</v>
      </c>
      <c r="C122" s="3" t="s">
        <v>1</v>
      </c>
      <c r="D122" t="s">
        <v>2</v>
      </c>
      <c r="E122" t="s">
        <v>49</v>
      </c>
      <c r="F122" t="str">
        <f>IFERROR(VLOOKUP($A122,[1]Sheet1!$A$8:$P$1264,MATCH(F$1,[1]Sheet1!$A$4:$P$4,0),0),"")</f>
        <v/>
      </c>
      <c r="G122" t="str">
        <f>IFERROR(VLOOKUP($A122,[1]Sheet1!$A$8:$P$1264,MATCH(G$1,[1]Sheet1!$A$4:$P$4,0),0),"")</f>
        <v/>
      </c>
      <c r="H122" t="str">
        <f>IFERROR(VLOOKUP($A122,[1]Sheet1!$A$8:$P$1264,MATCH(H$1,[1]Sheet1!$A$4:$P$4,0),0),"")</f>
        <v/>
      </c>
      <c r="I122" t="str">
        <f>IFERROR(VLOOKUP($A122,[1]Sheet1!$A$8:$P$1264,MATCH(I$1,[1]Sheet1!$A$4:$P$4,0),0),"")</f>
        <v/>
      </c>
      <c r="J122" t="str">
        <f>IFERROR(VLOOKUP($A122,[1]Sheet1!$A$8:$P$1264,MATCH(J$1,[1]Sheet1!$A$4:$P$4,0),0),"")</f>
        <v/>
      </c>
      <c r="K122" t="str">
        <f>IFERROR(VLOOKUP($A122,[1]Sheet1!$A$8:$P$1264,MATCH(K$1,[1]Sheet1!$A$4:$P$4,0),0),"")</f>
        <v/>
      </c>
      <c r="L122" t="str">
        <f>IFERROR(VLOOKUP($A122,[1]Sheet1!$A$8:$P$1264,MATCH(L$1,[1]Sheet1!$A$4:$P$4,0),0),"")</f>
        <v/>
      </c>
      <c r="M122" t="str">
        <f>IFERROR(VLOOKUP($A122,[1]Sheet1!$A$8:$P$1264,MATCH(M$1,[1]Sheet1!$A$4:$P$4,0),0),"")</f>
        <v/>
      </c>
      <c r="N122" t="str">
        <f>IFERROR(VLOOKUP($A122,[1]Sheet1!$A$8:$P$1264,MATCH(N$1,[1]Sheet1!$A$4:$P$4,0),0),"")</f>
        <v/>
      </c>
      <c r="O122" t="str">
        <f>IFERROR(VLOOKUP($A122,[1]Sheet1!$A$8:$P$1264,MATCH(O$1,[1]Sheet1!$A$4:$P$4,0),0),"")</f>
        <v/>
      </c>
      <c r="P122" t="str">
        <f>IFERROR(VLOOKUP($A122,[1]Sheet1!$A$8:$P$1264,MATCH(P$1,[1]Sheet1!$A$4:$P$4,0),0),"")</f>
        <v/>
      </c>
      <c r="Q122" t="str">
        <f>IFERROR(VLOOKUP($A122,[1]Sheet1!$A$8:$P$1264,MATCH(Q$1,[1]Sheet1!$A$4:$P$4,0),0),"")</f>
        <v/>
      </c>
      <c r="R122" t="str">
        <f>IFERROR(VLOOKUP($A122,[1]Sheet1!$A$8:$P$1264,MATCH(R$1,[1]Sheet1!$A$4:$P$4,0),0),"")</f>
        <v/>
      </c>
      <c r="S122" t="str">
        <f>IFERROR(VLOOKUP($A122,[1]Sheet1!$A$8:$P$1264,MATCH(S$1,[1]Sheet1!$A$4:$P$4,0),0),"")</f>
        <v/>
      </c>
    </row>
    <row r="123" spans="1:19">
      <c r="A123" t="str">
        <f t="shared" si="6"/>
        <v>DAY-JAX</v>
      </c>
      <c r="B123" s="3" t="s">
        <v>7</v>
      </c>
      <c r="C123" s="3" t="s">
        <v>25</v>
      </c>
      <c r="D123" t="s">
        <v>2</v>
      </c>
      <c r="E123" t="s">
        <v>49</v>
      </c>
      <c r="F123" t="str">
        <f>IFERROR(VLOOKUP($A123,[1]Sheet1!$A$8:$P$1264,MATCH(F$1,[1]Sheet1!$A$4:$P$4,0),0),"")</f>
        <v/>
      </c>
      <c r="G123" t="str">
        <f>IFERROR(VLOOKUP($A123,[1]Sheet1!$A$8:$P$1264,MATCH(G$1,[1]Sheet1!$A$4:$P$4,0),0),"")</f>
        <v/>
      </c>
      <c r="H123" t="str">
        <f>IFERROR(VLOOKUP($A123,[1]Sheet1!$A$8:$P$1264,MATCH(H$1,[1]Sheet1!$A$4:$P$4,0),0),"")</f>
        <v/>
      </c>
      <c r="I123" t="str">
        <f>IFERROR(VLOOKUP($A123,[1]Sheet1!$A$8:$P$1264,MATCH(I$1,[1]Sheet1!$A$4:$P$4,0),0),"")</f>
        <v/>
      </c>
      <c r="J123" t="str">
        <f>IFERROR(VLOOKUP($A123,[1]Sheet1!$A$8:$P$1264,MATCH(J$1,[1]Sheet1!$A$4:$P$4,0),0),"")</f>
        <v/>
      </c>
      <c r="K123" t="str">
        <f>IFERROR(VLOOKUP($A123,[1]Sheet1!$A$8:$P$1264,MATCH(K$1,[1]Sheet1!$A$4:$P$4,0),0),"")</f>
        <v/>
      </c>
      <c r="L123" t="str">
        <f>IFERROR(VLOOKUP($A123,[1]Sheet1!$A$8:$P$1264,MATCH(L$1,[1]Sheet1!$A$4:$P$4,0),0),"")</f>
        <v/>
      </c>
      <c r="M123" t="str">
        <f>IFERROR(VLOOKUP($A123,[1]Sheet1!$A$8:$P$1264,MATCH(M$1,[1]Sheet1!$A$4:$P$4,0),0),"")</f>
        <v/>
      </c>
      <c r="N123" t="str">
        <f>IFERROR(VLOOKUP($A123,[1]Sheet1!$A$8:$P$1264,MATCH(N$1,[1]Sheet1!$A$4:$P$4,0),0),"")</f>
        <v/>
      </c>
      <c r="O123" t="str">
        <f>IFERROR(VLOOKUP($A123,[1]Sheet1!$A$8:$P$1264,MATCH(O$1,[1]Sheet1!$A$4:$P$4,0),0),"")</f>
        <v/>
      </c>
      <c r="P123" t="str">
        <f>IFERROR(VLOOKUP($A123,[1]Sheet1!$A$8:$P$1264,MATCH(P$1,[1]Sheet1!$A$4:$P$4,0),0),"")</f>
        <v/>
      </c>
      <c r="Q123" t="str">
        <f>IFERROR(VLOOKUP($A123,[1]Sheet1!$A$8:$P$1264,MATCH(Q$1,[1]Sheet1!$A$4:$P$4,0),0),"")</f>
        <v/>
      </c>
      <c r="R123" t="str">
        <f>IFERROR(VLOOKUP($A123,[1]Sheet1!$A$8:$P$1264,MATCH(R$1,[1]Sheet1!$A$4:$P$4,0),0),"")</f>
        <v/>
      </c>
      <c r="S123" t="str">
        <f>IFERROR(VLOOKUP($A123,[1]Sheet1!$A$8:$P$1264,MATCH(S$1,[1]Sheet1!$A$4:$P$4,0),0),"")</f>
        <v/>
      </c>
    </row>
    <row r="124" spans="1:19">
      <c r="A124" t="str">
        <f t="shared" si="6"/>
        <v>IND-TPA</v>
      </c>
      <c r="B124" s="3" t="s">
        <v>24</v>
      </c>
      <c r="C124" s="3" t="s">
        <v>30</v>
      </c>
      <c r="D124" t="s">
        <v>2</v>
      </c>
      <c r="E124" t="str">
        <f t="shared" si="5"/>
        <v>AirTran</v>
      </c>
      <c r="F124">
        <f>IFERROR(VLOOKUP($A124,[1]Sheet1!$A$8:$P$1264,MATCH(F$1,[1]Sheet1!$A$4:$P$4,0),0),"")</f>
        <v>8</v>
      </c>
      <c r="G124">
        <f>IFERROR(VLOOKUP($A124,[1]Sheet1!$A$8:$P$1264,MATCH(G$1,[1]Sheet1!$A$4:$P$4,0),0),"")</f>
        <v>7</v>
      </c>
      <c r="H124">
        <f>IFERROR(VLOOKUP($A124,[1]Sheet1!$A$8:$P$1264,MATCH(H$1,[1]Sheet1!$A$4:$P$4,0),0),"")</f>
        <v>8</v>
      </c>
      <c r="I124">
        <f>IFERROR(VLOOKUP($A124,[1]Sheet1!$A$8:$P$1264,MATCH(I$1,[1]Sheet1!$A$4:$P$4,0),0),"")</f>
        <v>7</v>
      </c>
      <c r="J124">
        <f>IFERROR(VLOOKUP($A124,[1]Sheet1!$A$8:$P$1264,MATCH(J$1,[1]Sheet1!$A$4:$P$4,0),0),"")</f>
        <v>7</v>
      </c>
      <c r="K124">
        <f>IFERROR(VLOOKUP($A124,[1]Sheet1!$A$8:$P$1264,MATCH(K$1,[1]Sheet1!$A$4:$P$4,0),0),"")</f>
        <v>14</v>
      </c>
      <c r="L124">
        <f>IFERROR(VLOOKUP($A124,[1]Sheet1!$A$8:$P$1264,MATCH(L$1,[1]Sheet1!$A$4:$P$4,0),0),"")</f>
        <v>7</v>
      </c>
      <c r="M124">
        <f>IFERROR(VLOOKUP($A124,[1]Sheet1!$A$8:$P$1264,MATCH(M$1,[1]Sheet1!$A$4:$P$4,0),0),"")</f>
        <v>14</v>
      </c>
      <c r="N124">
        <f>IFERROR(VLOOKUP($A124,[1]Sheet1!$A$8:$P$1264,MATCH(N$1,[1]Sheet1!$A$4:$P$4,0),0),"")</f>
        <v>7</v>
      </c>
      <c r="O124">
        <f>IFERROR(VLOOKUP($A124,[1]Sheet1!$A$8:$P$1264,MATCH(O$1,[1]Sheet1!$A$4:$P$4,0),0),"")</f>
        <v>14</v>
      </c>
      <c r="P124">
        <f>IFERROR(VLOOKUP($A124,[1]Sheet1!$A$8:$P$1264,MATCH(P$1,[1]Sheet1!$A$4:$P$4,0),0),"")</f>
        <v>9</v>
      </c>
      <c r="Q124">
        <f>IFERROR(VLOOKUP($A124,[1]Sheet1!$A$8:$P$1264,MATCH(Q$1,[1]Sheet1!$A$4:$P$4,0),0),"")</f>
        <v>14</v>
      </c>
      <c r="R124">
        <f>IFERROR(VLOOKUP($A124,[1]Sheet1!$A$8:$P$1264,MATCH(R$1,[1]Sheet1!$A$4:$P$4,0),0),"")</f>
        <v>9</v>
      </c>
      <c r="S124">
        <f>IFERROR(VLOOKUP($A124,[1]Sheet1!$A$8:$P$1264,MATCH(S$1,[1]Sheet1!$A$4:$P$4,0),0),"")</f>
        <v>14</v>
      </c>
    </row>
    <row r="125" spans="1:19">
      <c r="A125" t="str">
        <f t="shared" si="6"/>
        <v>JAX-MCI</v>
      </c>
      <c r="B125" s="3" t="s">
        <v>25</v>
      </c>
      <c r="C125" s="3" t="s">
        <v>26</v>
      </c>
      <c r="D125" t="s">
        <v>2</v>
      </c>
      <c r="E125" t="s">
        <v>49</v>
      </c>
      <c r="F125" t="str">
        <f>IFERROR(VLOOKUP($A125,[1]Sheet1!$A$8:$P$1264,MATCH(F$1,[1]Sheet1!$A$4:$P$4,0),0),"")</f>
        <v/>
      </c>
      <c r="G125" t="str">
        <f>IFERROR(VLOOKUP($A125,[1]Sheet1!$A$8:$P$1264,MATCH(G$1,[1]Sheet1!$A$4:$P$4,0),0),"")</f>
        <v/>
      </c>
      <c r="H125" t="str">
        <f>IFERROR(VLOOKUP($A125,[1]Sheet1!$A$8:$P$1264,MATCH(H$1,[1]Sheet1!$A$4:$P$4,0),0),"")</f>
        <v/>
      </c>
      <c r="I125" t="str">
        <f>IFERROR(VLOOKUP($A125,[1]Sheet1!$A$8:$P$1264,MATCH(I$1,[1]Sheet1!$A$4:$P$4,0),0),"")</f>
        <v/>
      </c>
      <c r="J125" t="str">
        <f>IFERROR(VLOOKUP($A125,[1]Sheet1!$A$8:$P$1264,MATCH(J$1,[1]Sheet1!$A$4:$P$4,0),0),"")</f>
        <v/>
      </c>
      <c r="K125" t="str">
        <f>IFERROR(VLOOKUP($A125,[1]Sheet1!$A$8:$P$1264,MATCH(K$1,[1]Sheet1!$A$4:$P$4,0),0),"")</f>
        <v/>
      </c>
      <c r="L125" t="str">
        <f>IFERROR(VLOOKUP($A125,[1]Sheet1!$A$8:$P$1264,MATCH(L$1,[1]Sheet1!$A$4:$P$4,0),0),"")</f>
        <v/>
      </c>
      <c r="M125" t="str">
        <f>IFERROR(VLOOKUP($A125,[1]Sheet1!$A$8:$P$1264,MATCH(M$1,[1]Sheet1!$A$4:$P$4,0),0),"")</f>
        <v/>
      </c>
      <c r="N125" t="str">
        <f>IFERROR(VLOOKUP($A125,[1]Sheet1!$A$8:$P$1264,MATCH(N$1,[1]Sheet1!$A$4:$P$4,0),0),"")</f>
        <v/>
      </c>
      <c r="O125" t="str">
        <f>IFERROR(VLOOKUP($A125,[1]Sheet1!$A$8:$P$1264,MATCH(O$1,[1]Sheet1!$A$4:$P$4,0),0),"")</f>
        <v/>
      </c>
      <c r="P125" t="str">
        <f>IFERROR(VLOOKUP($A125,[1]Sheet1!$A$8:$P$1264,MATCH(P$1,[1]Sheet1!$A$4:$P$4,0),0),"")</f>
        <v/>
      </c>
      <c r="Q125" t="str">
        <f>IFERROR(VLOOKUP($A125,[1]Sheet1!$A$8:$P$1264,MATCH(Q$1,[1]Sheet1!$A$4:$P$4,0),0),"")</f>
        <v/>
      </c>
      <c r="R125" t="str">
        <f>IFERROR(VLOOKUP($A125,[1]Sheet1!$A$8:$P$1264,MATCH(R$1,[1]Sheet1!$A$4:$P$4,0),0),"")</f>
        <v/>
      </c>
      <c r="S125" t="str">
        <f>IFERROR(VLOOKUP($A125,[1]Sheet1!$A$8:$P$1264,MATCH(S$1,[1]Sheet1!$A$4:$P$4,0),0),"")</f>
        <v/>
      </c>
    </row>
    <row r="126" spans="1:19">
      <c r="A126" t="str">
        <f t="shared" si="6"/>
        <v>JAX-MKE</v>
      </c>
      <c r="B126" s="3" t="s">
        <v>25</v>
      </c>
      <c r="C126" s="3" t="s">
        <v>11</v>
      </c>
      <c r="D126" t="s">
        <v>2</v>
      </c>
      <c r="E126" t="s">
        <v>49</v>
      </c>
      <c r="F126" t="str">
        <f>IFERROR(VLOOKUP($A126,[1]Sheet1!$A$8:$P$1264,MATCH(F$1,[1]Sheet1!$A$4:$P$4,0),0),"")</f>
        <v/>
      </c>
      <c r="G126" t="str">
        <f>IFERROR(VLOOKUP($A126,[1]Sheet1!$A$8:$P$1264,MATCH(G$1,[1]Sheet1!$A$4:$P$4,0),0),"")</f>
        <v/>
      </c>
      <c r="H126" t="str">
        <f>IFERROR(VLOOKUP($A126,[1]Sheet1!$A$8:$P$1264,MATCH(H$1,[1]Sheet1!$A$4:$P$4,0),0),"")</f>
        <v/>
      </c>
      <c r="I126" t="str">
        <f>IFERROR(VLOOKUP($A126,[1]Sheet1!$A$8:$P$1264,MATCH(I$1,[1]Sheet1!$A$4:$P$4,0),0),"")</f>
        <v/>
      </c>
      <c r="J126" t="str">
        <f>IFERROR(VLOOKUP($A126,[1]Sheet1!$A$8:$P$1264,MATCH(J$1,[1]Sheet1!$A$4:$P$4,0),0),"")</f>
        <v/>
      </c>
      <c r="K126" t="str">
        <f>IFERROR(VLOOKUP($A126,[1]Sheet1!$A$8:$P$1264,MATCH(K$1,[1]Sheet1!$A$4:$P$4,0),0),"")</f>
        <v/>
      </c>
      <c r="L126" t="str">
        <f>IFERROR(VLOOKUP($A126,[1]Sheet1!$A$8:$P$1264,MATCH(L$1,[1]Sheet1!$A$4:$P$4,0),0),"")</f>
        <v/>
      </c>
      <c r="M126" t="str">
        <f>IFERROR(VLOOKUP($A126,[1]Sheet1!$A$8:$P$1264,MATCH(M$1,[1]Sheet1!$A$4:$P$4,0),0),"")</f>
        <v/>
      </c>
      <c r="N126" t="str">
        <f>IFERROR(VLOOKUP($A126,[1]Sheet1!$A$8:$P$1264,MATCH(N$1,[1]Sheet1!$A$4:$P$4,0),0),"")</f>
        <v/>
      </c>
      <c r="O126" t="str">
        <f>IFERROR(VLOOKUP($A126,[1]Sheet1!$A$8:$P$1264,MATCH(O$1,[1]Sheet1!$A$4:$P$4,0),0),"")</f>
        <v/>
      </c>
      <c r="P126" t="str">
        <f>IFERROR(VLOOKUP($A126,[1]Sheet1!$A$8:$P$1264,MATCH(P$1,[1]Sheet1!$A$4:$P$4,0),0),"")</f>
        <v/>
      </c>
      <c r="Q126" t="str">
        <f>IFERROR(VLOOKUP($A126,[1]Sheet1!$A$8:$P$1264,MATCH(Q$1,[1]Sheet1!$A$4:$P$4,0),0),"")</f>
        <v/>
      </c>
      <c r="R126" t="str">
        <f>IFERROR(VLOOKUP($A126,[1]Sheet1!$A$8:$P$1264,MATCH(R$1,[1]Sheet1!$A$4:$P$4,0),0),"")</f>
        <v/>
      </c>
      <c r="S126" t="str">
        <f>IFERROR(VLOOKUP($A126,[1]Sheet1!$A$8:$P$1264,MATCH(S$1,[1]Sheet1!$A$4:$P$4,0),0),"")</f>
        <v/>
      </c>
    </row>
    <row r="127" spans="1:19">
      <c r="A127" t="str">
        <f t="shared" si="6"/>
        <v>JAX-PHX</v>
      </c>
      <c r="B127" s="3" t="s">
        <v>25</v>
      </c>
      <c r="C127" s="3" t="s">
        <v>22</v>
      </c>
      <c r="D127" t="s">
        <v>2</v>
      </c>
      <c r="E127" t="s">
        <v>49</v>
      </c>
      <c r="F127" t="str">
        <f>IFERROR(VLOOKUP($A127,[1]Sheet1!$A$8:$P$1264,MATCH(F$1,[1]Sheet1!$A$4:$P$4,0),0),"")</f>
        <v/>
      </c>
      <c r="G127" t="str">
        <f>IFERROR(VLOOKUP($A127,[1]Sheet1!$A$8:$P$1264,MATCH(G$1,[1]Sheet1!$A$4:$P$4,0),0),"")</f>
        <v/>
      </c>
      <c r="H127" t="str">
        <f>IFERROR(VLOOKUP($A127,[1]Sheet1!$A$8:$P$1264,MATCH(H$1,[1]Sheet1!$A$4:$P$4,0),0),"")</f>
        <v/>
      </c>
      <c r="I127" t="str">
        <f>IFERROR(VLOOKUP($A127,[1]Sheet1!$A$8:$P$1264,MATCH(I$1,[1]Sheet1!$A$4:$P$4,0),0),"")</f>
        <v/>
      </c>
      <c r="J127" t="str">
        <f>IFERROR(VLOOKUP($A127,[1]Sheet1!$A$8:$P$1264,MATCH(J$1,[1]Sheet1!$A$4:$P$4,0),0),"")</f>
        <v/>
      </c>
      <c r="K127" t="str">
        <f>IFERROR(VLOOKUP($A127,[1]Sheet1!$A$8:$P$1264,MATCH(K$1,[1]Sheet1!$A$4:$P$4,0),0),"")</f>
        <v/>
      </c>
      <c r="L127" t="str">
        <f>IFERROR(VLOOKUP($A127,[1]Sheet1!$A$8:$P$1264,MATCH(L$1,[1]Sheet1!$A$4:$P$4,0),0),"")</f>
        <v/>
      </c>
      <c r="M127" t="str">
        <f>IFERROR(VLOOKUP($A127,[1]Sheet1!$A$8:$P$1264,MATCH(M$1,[1]Sheet1!$A$4:$P$4,0),0),"")</f>
        <v/>
      </c>
      <c r="N127" t="str">
        <f>IFERROR(VLOOKUP($A127,[1]Sheet1!$A$8:$P$1264,MATCH(N$1,[1]Sheet1!$A$4:$P$4,0),0),"")</f>
        <v/>
      </c>
      <c r="O127" t="str">
        <f>IFERROR(VLOOKUP($A127,[1]Sheet1!$A$8:$P$1264,MATCH(O$1,[1]Sheet1!$A$4:$P$4,0),0),"")</f>
        <v/>
      </c>
      <c r="P127" t="str">
        <f>IFERROR(VLOOKUP($A127,[1]Sheet1!$A$8:$P$1264,MATCH(P$1,[1]Sheet1!$A$4:$P$4,0),0),"")</f>
        <v/>
      </c>
      <c r="Q127" t="str">
        <f>IFERROR(VLOOKUP($A127,[1]Sheet1!$A$8:$P$1264,MATCH(Q$1,[1]Sheet1!$A$4:$P$4,0),0),"")</f>
        <v/>
      </c>
      <c r="R127" t="str">
        <f>IFERROR(VLOOKUP($A127,[1]Sheet1!$A$8:$P$1264,MATCH(R$1,[1]Sheet1!$A$4:$P$4,0),0),"")</f>
        <v/>
      </c>
      <c r="S127" t="str">
        <f>IFERROR(VLOOKUP($A127,[1]Sheet1!$A$8:$P$1264,MATCH(S$1,[1]Sheet1!$A$4:$P$4,0),0),"")</f>
        <v/>
      </c>
    </row>
    <row r="128" spans="1:19">
      <c r="A128" t="str">
        <f t="shared" si="6"/>
        <v>MSY-STL</v>
      </c>
      <c r="B128" s="3" t="s">
        <v>3</v>
      </c>
      <c r="C128" s="3" t="s">
        <v>19</v>
      </c>
      <c r="D128" t="s">
        <v>2</v>
      </c>
      <c r="E128" t="str">
        <f t="shared" si="5"/>
        <v>Southwest</v>
      </c>
      <c r="F128">
        <f>IFERROR(VLOOKUP($A128,[1]Sheet1!$A$8:$P$1264,MATCH(F$1,[1]Sheet1!$A$4:$P$4,0),0),"")</f>
        <v>12</v>
      </c>
      <c r="G128">
        <f>IFERROR(VLOOKUP($A128,[1]Sheet1!$A$8:$P$1264,MATCH(G$1,[1]Sheet1!$A$4:$P$4,0),0),"")</f>
        <v>0</v>
      </c>
      <c r="H128">
        <f>IFERROR(VLOOKUP($A128,[1]Sheet1!$A$8:$P$1264,MATCH(H$1,[1]Sheet1!$A$4:$P$4,0),0),"")</f>
        <v>12</v>
      </c>
      <c r="I128">
        <f>IFERROR(VLOOKUP($A128,[1]Sheet1!$A$8:$P$1264,MATCH(I$1,[1]Sheet1!$A$4:$P$4,0),0),"")</f>
        <v>0</v>
      </c>
      <c r="J128">
        <f>IFERROR(VLOOKUP($A128,[1]Sheet1!$A$8:$P$1264,MATCH(J$1,[1]Sheet1!$A$4:$P$4,0),0),"")</f>
        <v>12</v>
      </c>
      <c r="K128">
        <f>IFERROR(VLOOKUP($A128,[1]Sheet1!$A$8:$P$1264,MATCH(K$1,[1]Sheet1!$A$4:$P$4,0),0),"")</f>
        <v>0</v>
      </c>
      <c r="L128">
        <f>IFERROR(VLOOKUP($A128,[1]Sheet1!$A$8:$P$1264,MATCH(L$1,[1]Sheet1!$A$4:$P$4,0),0),"")</f>
        <v>12</v>
      </c>
      <c r="M128">
        <f>IFERROR(VLOOKUP($A128,[1]Sheet1!$A$8:$P$1264,MATCH(M$1,[1]Sheet1!$A$4:$P$4,0),0),"")</f>
        <v>0</v>
      </c>
      <c r="N128">
        <f>IFERROR(VLOOKUP($A128,[1]Sheet1!$A$8:$P$1264,MATCH(N$1,[1]Sheet1!$A$4:$P$4,0),0),"")</f>
        <v>12</v>
      </c>
      <c r="O128">
        <f>IFERROR(VLOOKUP($A128,[1]Sheet1!$A$8:$P$1264,MATCH(O$1,[1]Sheet1!$A$4:$P$4,0),0),"")</f>
        <v>0</v>
      </c>
      <c r="P128">
        <f>IFERROR(VLOOKUP($A128,[1]Sheet1!$A$8:$P$1264,MATCH(P$1,[1]Sheet1!$A$4:$P$4,0),0),"")</f>
        <v>13</v>
      </c>
      <c r="Q128">
        <f>IFERROR(VLOOKUP($A128,[1]Sheet1!$A$8:$P$1264,MATCH(Q$1,[1]Sheet1!$A$4:$P$4,0),0),"")</f>
        <v>0</v>
      </c>
      <c r="R128">
        <f>IFERROR(VLOOKUP($A128,[1]Sheet1!$A$8:$P$1264,MATCH(R$1,[1]Sheet1!$A$4:$P$4,0),0),"")</f>
        <v>13</v>
      </c>
      <c r="S128">
        <f>IFERROR(VLOOKUP($A128,[1]Sheet1!$A$8:$P$1264,MATCH(S$1,[1]Sheet1!$A$4:$P$4,0),0),"")</f>
        <v>0</v>
      </c>
    </row>
    <row r="129" spans="1:19">
      <c r="A129" t="str">
        <f t="shared" si="6"/>
        <v>STL-TPA</v>
      </c>
      <c r="B129" s="3" t="s">
        <v>19</v>
      </c>
      <c r="C129" s="3" t="s">
        <v>30</v>
      </c>
      <c r="D129" t="s">
        <v>2</v>
      </c>
      <c r="E129" t="str">
        <f t="shared" si="5"/>
        <v>Southwest</v>
      </c>
      <c r="F129">
        <f>IFERROR(VLOOKUP($A129,[1]Sheet1!$A$8:$P$1264,MATCH(F$1,[1]Sheet1!$A$4:$P$4,0),0),"")</f>
        <v>14</v>
      </c>
      <c r="G129">
        <f>IFERROR(VLOOKUP($A129,[1]Sheet1!$A$8:$P$1264,MATCH(G$1,[1]Sheet1!$A$4:$P$4,0),0),"")</f>
        <v>0</v>
      </c>
      <c r="H129">
        <f>IFERROR(VLOOKUP($A129,[1]Sheet1!$A$8:$P$1264,MATCH(H$1,[1]Sheet1!$A$4:$P$4,0),0),"")</f>
        <v>14</v>
      </c>
      <c r="I129">
        <f>IFERROR(VLOOKUP($A129,[1]Sheet1!$A$8:$P$1264,MATCH(I$1,[1]Sheet1!$A$4:$P$4,0),0),"")</f>
        <v>0</v>
      </c>
      <c r="J129">
        <f>IFERROR(VLOOKUP($A129,[1]Sheet1!$A$8:$P$1264,MATCH(J$1,[1]Sheet1!$A$4:$P$4,0),0),"")</f>
        <v>28</v>
      </c>
      <c r="K129">
        <f>IFERROR(VLOOKUP($A129,[1]Sheet1!$A$8:$P$1264,MATCH(K$1,[1]Sheet1!$A$4:$P$4,0),0),"")</f>
        <v>0</v>
      </c>
      <c r="L129">
        <f>IFERROR(VLOOKUP($A129,[1]Sheet1!$A$8:$P$1264,MATCH(L$1,[1]Sheet1!$A$4:$P$4,0),0),"")</f>
        <v>14</v>
      </c>
      <c r="M129">
        <f>IFERROR(VLOOKUP($A129,[1]Sheet1!$A$8:$P$1264,MATCH(M$1,[1]Sheet1!$A$4:$P$4,0),0),"")</f>
        <v>0</v>
      </c>
      <c r="N129">
        <f>IFERROR(VLOOKUP($A129,[1]Sheet1!$A$8:$P$1264,MATCH(N$1,[1]Sheet1!$A$4:$P$4,0),0),"")</f>
        <v>14</v>
      </c>
      <c r="O129">
        <f>IFERROR(VLOOKUP($A129,[1]Sheet1!$A$8:$P$1264,MATCH(O$1,[1]Sheet1!$A$4:$P$4,0),0),"")</f>
        <v>0</v>
      </c>
      <c r="P129">
        <f>IFERROR(VLOOKUP($A129,[1]Sheet1!$A$8:$P$1264,MATCH(P$1,[1]Sheet1!$A$4:$P$4,0),0),"")</f>
        <v>14</v>
      </c>
      <c r="Q129">
        <f>IFERROR(VLOOKUP($A129,[1]Sheet1!$A$8:$P$1264,MATCH(Q$1,[1]Sheet1!$A$4:$P$4,0),0),"")</f>
        <v>0</v>
      </c>
      <c r="R129">
        <f>IFERROR(VLOOKUP($A129,[1]Sheet1!$A$8:$P$1264,MATCH(R$1,[1]Sheet1!$A$4:$P$4,0),0),"")</f>
        <v>14</v>
      </c>
      <c r="S129">
        <f>IFERROR(VLOOKUP($A129,[1]Sheet1!$A$8:$P$1264,MATCH(S$1,[1]Sheet1!$A$4:$P$4,0),0),"")</f>
        <v>0</v>
      </c>
    </row>
  </sheetData>
  <mergeCells count="7">
    <mergeCell ref="R3:S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>
      <selection activeCell="G9" sqref="G9"/>
    </sheetView>
  </sheetViews>
  <sheetFormatPr defaultRowHeight="15"/>
  <cols>
    <col min="1" max="1" width="10.7109375" bestFit="1" customWidth="1"/>
    <col min="5" max="5" width="16.28515625" bestFit="1" customWidth="1"/>
  </cols>
  <sheetData>
    <row r="1" spans="1:5">
      <c r="A1" s="5" t="s">
        <v>176</v>
      </c>
    </row>
    <row r="2" spans="1:5">
      <c r="E2" s="6"/>
    </row>
    <row r="3" spans="1:5">
      <c r="E3" s="6" t="s">
        <v>38</v>
      </c>
    </row>
    <row r="4" spans="1:5">
      <c r="A4" t="s">
        <v>50</v>
      </c>
      <c r="B4" t="s">
        <v>0</v>
      </c>
      <c r="C4" t="s">
        <v>1</v>
      </c>
      <c r="D4" t="s">
        <v>2</v>
      </c>
      <c r="E4" t="s">
        <v>48</v>
      </c>
    </row>
    <row r="5" spans="1:5">
      <c r="A5" t="s">
        <v>51</v>
      </c>
      <c r="B5" t="s">
        <v>0</v>
      </c>
      <c r="C5" t="s">
        <v>3</v>
      </c>
      <c r="D5" t="s">
        <v>2</v>
      </c>
      <c r="E5" t="s">
        <v>48</v>
      </c>
    </row>
    <row r="6" spans="1:5">
      <c r="A6" t="s">
        <v>52</v>
      </c>
      <c r="B6" t="s">
        <v>4</v>
      </c>
      <c r="C6" t="s">
        <v>5</v>
      </c>
      <c r="D6" t="s">
        <v>2</v>
      </c>
      <c r="E6" t="s">
        <v>49</v>
      </c>
    </row>
    <row r="7" spans="1:5">
      <c r="A7" t="s">
        <v>53</v>
      </c>
      <c r="B7" t="s">
        <v>0</v>
      </c>
      <c r="C7" t="s">
        <v>6</v>
      </c>
      <c r="D7" t="s">
        <v>2</v>
      </c>
      <c r="E7" t="s">
        <v>48</v>
      </c>
    </row>
    <row r="8" spans="1:5">
      <c r="A8" t="s">
        <v>54</v>
      </c>
      <c r="B8" t="s">
        <v>0</v>
      </c>
      <c r="C8" t="s">
        <v>7</v>
      </c>
      <c r="D8" t="s">
        <v>2</v>
      </c>
      <c r="E8" t="s">
        <v>48</v>
      </c>
    </row>
    <row r="9" spans="1:5">
      <c r="A9" t="s">
        <v>55</v>
      </c>
      <c r="B9" t="s">
        <v>0</v>
      </c>
      <c r="C9" t="s">
        <v>8</v>
      </c>
      <c r="D9" t="s">
        <v>2</v>
      </c>
      <c r="E9" t="s">
        <v>48</v>
      </c>
    </row>
    <row r="10" spans="1:5">
      <c r="A10" t="s">
        <v>56</v>
      </c>
      <c r="B10" t="s">
        <v>0</v>
      </c>
      <c r="C10" t="s">
        <v>9</v>
      </c>
      <c r="D10" t="s">
        <v>2</v>
      </c>
      <c r="E10" t="s">
        <v>48</v>
      </c>
    </row>
    <row r="11" spans="1:5">
      <c r="A11" t="s">
        <v>57</v>
      </c>
      <c r="B11" t="s">
        <v>0</v>
      </c>
      <c r="C11" t="s">
        <v>10</v>
      </c>
      <c r="D11" t="s">
        <v>2</v>
      </c>
      <c r="E11" t="s">
        <v>48</v>
      </c>
    </row>
    <row r="12" spans="1:5">
      <c r="A12" t="s">
        <v>58</v>
      </c>
      <c r="B12" t="s">
        <v>0</v>
      </c>
      <c r="C12" t="s">
        <v>11</v>
      </c>
      <c r="D12" t="s">
        <v>2</v>
      </c>
      <c r="E12" t="s">
        <v>48</v>
      </c>
    </row>
    <row r="13" spans="1:5">
      <c r="A13" t="s">
        <v>59</v>
      </c>
      <c r="B13" t="s">
        <v>0</v>
      </c>
      <c r="C13" t="s">
        <v>12</v>
      </c>
      <c r="D13" t="s">
        <v>2</v>
      </c>
      <c r="E13" t="s">
        <v>48</v>
      </c>
    </row>
    <row r="14" spans="1:5">
      <c r="A14" t="s">
        <v>60</v>
      </c>
      <c r="B14" t="s">
        <v>0</v>
      </c>
      <c r="C14" t="s">
        <v>13</v>
      </c>
      <c r="D14" t="s">
        <v>2</v>
      </c>
      <c r="E14" t="s">
        <v>48</v>
      </c>
    </row>
    <row r="15" spans="1:5">
      <c r="A15" t="s">
        <v>61</v>
      </c>
      <c r="B15" t="s">
        <v>0</v>
      </c>
      <c r="C15" t="s">
        <v>14</v>
      </c>
      <c r="D15" t="s">
        <v>2</v>
      </c>
      <c r="E15" t="s">
        <v>48</v>
      </c>
    </row>
    <row r="16" spans="1:5">
      <c r="A16" t="s">
        <v>62</v>
      </c>
      <c r="B16" t="s">
        <v>0</v>
      </c>
      <c r="C16" t="s">
        <v>15</v>
      </c>
      <c r="D16" t="s">
        <v>2</v>
      </c>
      <c r="E16" t="s">
        <v>48</v>
      </c>
    </row>
    <row r="17" spans="1:5">
      <c r="A17" t="s">
        <v>63</v>
      </c>
      <c r="B17" t="s">
        <v>0</v>
      </c>
      <c r="C17" t="s">
        <v>16</v>
      </c>
      <c r="D17" t="s">
        <v>2</v>
      </c>
      <c r="E17" t="s">
        <v>48</v>
      </c>
    </row>
    <row r="18" spans="1:5">
      <c r="A18" t="s">
        <v>64</v>
      </c>
      <c r="B18" t="s">
        <v>17</v>
      </c>
      <c r="C18" t="s">
        <v>18</v>
      </c>
      <c r="D18" t="s">
        <v>2</v>
      </c>
      <c r="E18" t="s">
        <v>65</v>
      </c>
    </row>
    <row r="19" spans="1:5">
      <c r="A19" t="s">
        <v>66</v>
      </c>
      <c r="B19" t="s">
        <v>17</v>
      </c>
      <c r="C19" t="s">
        <v>10</v>
      </c>
      <c r="D19" t="s">
        <v>2</v>
      </c>
      <c r="E19" t="s">
        <v>65</v>
      </c>
    </row>
    <row r="20" spans="1:5">
      <c r="A20" t="s">
        <v>67</v>
      </c>
      <c r="B20" t="s">
        <v>17</v>
      </c>
      <c r="C20" t="s">
        <v>11</v>
      </c>
      <c r="D20" t="s">
        <v>2</v>
      </c>
      <c r="E20" t="s">
        <v>65</v>
      </c>
    </row>
    <row r="21" spans="1:5">
      <c r="A21" t="s">
        <v>68</v>
      </c>
      <c r="B21" t="s">
        <v>17</v>
      </c>
      <c r="C21" t="s">
        <v>19</v>
      </c>
      <c r="D21" t="s">
        <v>2</v>
      </c>
      <c r="E21" t="s">
        <v>65</v>
      </c>
    </row>
    <row r="22" spans="1:5">
      <c r="A22" t="s">
        <v>69</v>
      </c>
      <c r="B22" t="s">
        <v>20</v>
      </c>
      <c r="C22" t="s">
        <v>1</v>
      </c>
      <c r="D22" t="s">
        <v>2</v>
      </c>
      <c r="E22" t="s">
        <v>48</v>
      </c>
    </row>
    <row r="23" spans="1:5">
      <c r="A23" t="s">
        <v>70</v>
      </c>
      <c r="B23" t="s">
        <v>20</v>
      </c>
      <c r="C23" t="s">
        <v>21</v>
      </c>
      <c r="D23" t="s">
        <v>2</v>
      </c>
      <c r="E23" t="s">
        <v>65</v>
      </c>
    </row>
    <row r="24" spans="1:5">
      <c r="A24" t="s">
        <v>71</v>
      </c>
      <c r="B24" t="s">
        <v>20</v>
      </c>
      <c r="C24" t="s">
        <v>22</v>
      </c>
      <c r="D24" t="s">
        <v>2</v>
      </c>
      <c r="E24" t="s">
        <v>65</v>
      </c>
    </row>
    <row r="25" spans="1:5">
      <c r="A25" t="s">
        <v>72</v>
      </c>
      <c r="B25" t="s">
        <v>23</v>
      </c>
      <c r="C25" t="s">
        <v>7</v>
      </c>
      <c r="D25" t="s">
        <v>2</v>
      </c>
      <c r="E25" t="s">
        <v>48</v>
      </c>
    </row>
    <row r="26" spans="1:5">
      <c r="A26" t="s">
        <v>73</v>
      </c>
      <c r="B26" t="s">
        <v>23</v>
      </c>
      <c r="C26" t="s">
        <v>1</v>
      </c>
      <c r="D26" t="s">
        <v>2</v>
      </c>
      <c r="E26" t="s">
        <v>48</v>
      </c>
    </row>
    <row r="27" spans="1:5">
      <c r="A27" t="s">
        <v>74</v>
      </c>
      <c r="B27" t="s">
        <v>23</v>
      </c>
      <c r="C27" t="s">
        <v>9</v>
      </c>
      <c r="D27" t="s">
        <v>2</v>
      </c>
      <c r="E27" t="s">
        <v>65</v>
      </c>
    </row>
    <row r="28" spans="1:5">
      <c r="A28" t="s">
        <v>75</v>
      </c>
      <c r="B28" t="s">
        <v>23</v>
      </c>
      <c r="C28" t="s">
        <v>24</v>
      </c>
      <c r="D28" t="s">
        <v>2</v>
      </c>
      <c r="E28" t="s">
        <v>65</v>
      </c>
    </row>
    <row r="29" spans="1:5">
      <c r="A29" t="s">
        <v>76</v>
      </c>
      <c r="B29" t="s">
        <v>23</v>
      </c>
      <c r="C29" t="s">
        <v>25</v>
      </c>
      <c r="D29" t="s">
        <v>2</v>
      </c>
      <c r="E29" t="s">
        <v>65</v>
      </c>
    </row>
    <row r="30" spans="1:5">
      <c r="A30" t="s">
        <v>77</v>
      </c>
      <c r="B30" t="s">
        <v>23</v>
      </c>
      <c r="C30" t="s">
        <v>21</v>
      </c>
      <c r="D30" t="s">
        <v>2</v>
      </c>
      <c r="E30" t="s">
        <v>65</v>
      </c>
    </row>
    <row r="31" spans="1:5">
      <c r="A31" t="s">
        <v>78</v>
      </c>
      <c r="B31" t="s">
        <v>23</v>
      </c>
      <c r="C31" t="s">
        <v>26</v>
      </c>
      <c r="D31" t="s">
        <v>2</v>
      </c>
      <c r="E31" t="s">
        <v>65</v>
      </c>
    </row>
    <row r="32" spans="1:5">
      <c r="A32" t="s">
        <v>79</v>
      </c>
      <c r="B32" t="s">
        <v>23</v>
      </c>
      <c r="C32" t="s">
        <v>27</v>
      </c>
      <c r="D32" t="s">
        <v>2</v>
      </c>
      <c r="E32" t="s">
        <v>65</v>
      </c>
    </row>
    <row r="33" spans="1:5">
      <c r="A33" t="s">
        <v>80</v>
      </c>
      <c r="B33" t="s">
        <v>23</v>
      </c>
      <c r="C33" t="s">
        <v>10</v>
      </c>
      <c r="D33" t="s">
        <v>2</v>
      </c>
      <c r="E33" t="s">
        <v>65</v>
      </c>
    </row>
    <row r="34" spans="1:5">
      <c r="A34" t="s">
        <v>81</v>
      </c>
      <c r="B34" t="s">
        <v>23</v>
      </c>
      <c r="C34" t="s">
        <v>11</v>
      </c>
      <c r="D34" t="s">
        <v>2</v>
      </c>
      <c r="E34" t="s">
        <v>65</v>
      </c>
    </row>
    <row r="35" spans="1:5">
      <c r="A35" t="s">
        <v>82</v>
      </c>
      <c r="B35" t="s">
        <v>23</v>
      </c>
      <c r="C35" t="s">
        <v>3</v>
      </c>
      <c r="D35" t="s">
        <v>2</v>
      </c>
      <c r="E35" t="s">
        <v>65</v>
      </c>
    </row>
    <row r="36" spans="1:5">
      <c r="A36" t="s">
        <v>83</v>
      </c>
      <c r="B36" t="s">
        <v>23</v>
      </c>
      <c r="C36" t="s">
        <v>22</v>
      </c>
      <c r="D36" t="s">
        <v>2</v>
      </c>
      <c r="E36" t="s">
        <v>65</v>
      </c>
    </row>
    <row r="37" spans="1:5">
      <c r="A37" t="s">
        <v>84</v>
      </c>
      <c r="B37" t="s">
        <v>23</v>
      </c>
      <c r="C37" t="s">
        <v>15</v>
      </c>
      <c r="D37" t="s">
        <v>2</v>
      </c>
      <c r="E37" t="s">
        <v>65</v>
      </c>
    </row>
    <row r="38" spans="1:5">
      <c r="A38" t="s">
        <v>85</v>
      </c>
      <c r="B38" t="s">
        <v>23</v>
      </c>
      <c r="C38" t="s">
        <v>28</v>
      </c>
      <c r="D38" t="s">
        <v>2</v>
      </c>
      <c r="E38" t="s">
        <v>65</v>
      </c>
    </row>
    <row r="39" spans="1:5">
      <c r="A39" t="s">
        <v>86</v>
      </c>
      <c r="B39" t="s">
        <v>23</v>
      </c>
      <c r="C39" t="s">
        <v>29</v>
      </c>
      <c r="D39" t="s">
        <v>2</v>
      </c>
      <c r="E39" t="s">
        <v>65</v>
      </c>
    </row>
    <row r="40" spans="1:5">
      <c r="A40" t="s">
        <v>87</v>
      </c>
      <c r="B40" t="s">
        <v>23</v>
      </c>
      <c r="C40" t="s">
        <v>19</v>
      </c>
      <c r="D40" t="s">
        <v>2</v>
      </c>
      <c r="E40" t="s">
        <v>65</v>
      </c>
    </row>
    <row r="41" spans="1:5">
      <c r="A41" t="s">
        <v>88</v>
      </c>
      <c r="B41" t="s">
        <v>23</v>
      </c>
      <c r="C41" t="s">
        <v>30</v>
      </c>
      <c r="D41" t="s">
        <v>2</v>
      </c>
      <c r="E41" t="s">
        <v>65</v>
      </c>
    </row>
    <row r="42" spans="1:5">
      <c r="A42" t="s">
        <v>89</v>
      </c>
      <c r="B42" t="s">
        <v>6</v>
      </c>
      <c r="C42" t="s">
        <v>18</v>
      </c>
      <c r="D42" t="s">
        <v>2</v>
      </c>
      <c r="E42" t="s">
        <v>65</v>
      </c>
    </row>
    <row r="43" spans="1:5">
      <c r="A43" t="s">
        <v>90</v>
      </c>
      <c r="B43" t="s">
        <v>31</v>
      </c>
      <c r="C43" t="s">
        <v>21</v>
      </c>
      <c r="D43" t="s">
        <v>2</v>
      </c>
      <c r="E43" t="s">
        <v>65</v>
      </c>
    </row>
    <row r="44" spans="1:5">
      <c r="A44" t="s">
        <v>91</v>
      </c>
      <c r="B44" t="s">
        <v>31</v>
      </c>
      <c r="C44" t="s">
        <v>27</v>
      </c>
      <c r="D44" t="s">
        <v>2</v>
      </c>
      <c r="E44" t="s">
        <v>65</v>
      </c>
    </row>
    <row r="45" spans="1:5">
      <c r="A45" t="s">
        <v>92</v>
      </c>
      <c r="B45" t="s">
        <v>31</v>
      </c>
      <c r="C45" t="s">
        <v>22</v>
      </c>
      <c r="D45" t="s">
        <v>2</v>
      </c>
      <c r="E45" t="s">
        <v>65</v>
      </c>
    </row>
    <row r="46" spans="1:5">
      <c r="A46" t="s">
        <v>93</v>
      </c>
      <c r="B46" t="s">
        <v>31</v>
      </c>
      <c r="C46" t="s">
        <v>19</v>
      </c>
      <c r="D46" t="s">
        <v>2</v>
      </c>
      <c r="E46" t="s">
        <v>65</v>
      </c>
    </row>
    <row r="47" spans="1:5">
      <c r="A47" t="s">
        <v>94</v>
      </c>
      <c r="B47" t="s">
        <v>7</v>
      </c>
      <c r="C47" t="s">
        <v>27</v>
      </c>
      <c r="D47" t="s">
        <v>2</v>
      </c>
      <c r="E47" t="s">
        <v>48</v>
      </c>
    </row>
    <row r="48" spans="1:5">
      <c r="A48" t="s">
        <v>95</v>
      </c>
      <c r="B48" t="s">
        <v>32</v>
      </c>
      <c r="C48" t="s">
        <v>9</v>
      </c>
      <c r="D48" t="s">
        <v>2</v>
      </c>
      <c r="E48" t="s">
        <v>49</v>
      </c>
    </row>
    <row r="49" spans="1:5">
      <c r="A49" t="s">
        <v>96</v>
      </c>
      <c r="B49" t="s">
        <v>32</v>
      </c>
      <c r="C49" t="s">
        <v>11</v>
      </c>
      <c r="D49" t="s">
        <v>2</v>
      </c>
      <c r="E49" t="s">
        <v>48</v>
      </c>
    </row>
    <row r="50" spans="1:5">
      <c r="A50" t="s">
        <v>97</v>
      </c>
      <c r="B50" t="s">
        <v>32</v>
      </c>
      <c r="C50" t="s">
        <v>15</v>
      </c>
      <c r="D50" t="s">
        <v>2</v>
      </c>
      <c r="E50" t="s">
        <v>48</v>
      </c>
    </row>
    <row r="51" spans="1:5">
      <c r="A51" t="s">
        <v>98</v>
      </c>
      <c r="B51" t="s">
        <v>18</v>
      </c>
      <c r="C51" t="s">
        <v>25</v>
      </c>
      <c r="D51" t="s">
        <v>2</v>
      </c>
      <c r="E51" t="s">
        <v>65</v>
      </c>
    </row>
    <row r="52" spans="1:5">
      <c r="A52" t="s">
        <v>99</v>
      </c>
      <c r="B52" t="s">
        <v>18</v>
      </c>
      <c r="C52" t="s">
        <v>14</v>
      </c>
      <c r="D52" t="s">
        <v>2</v>
      </c>
      <c r="E52" t="s">
        <v>65</v>
      </c>
    </row>
    <row r="53" spans="1:5">
      <c r="A53" t="s">
        <v>100</v>
      </c>
      <c r="B53" t="s">
        <v>18</v>
      </c>
      <c r="C53" t="s">
        <v>30</v>
      </c>
      <c r="D53" t="s">
        <v>2</v>
      </c>
      <c r="E53" t="s">
        <v>65</v>
      </c>
    </row>
    <row r="54" spans="1:5">
      <c r="A54" t="s">
        <v>101</v>
      </c>
      <c r="B54" t="s">
        <v>8</v>
      </c>
      <c r="C54" t="s">
        <v>27</v>
      </c>
      <c r="D54" t="s">
        <v>2</v>
      </c>
      <c r="E54" t="s">
        <v>48</v>
      </c>
    </row>
    <row r="55" spans="1:5">
      <c r="A55" t="s">
        <v>102</v>
      </c>
      <c r="B55" t="s">
        <v>8</v>
      </c>
      <c r="C55" t="s">
        <v>29</v>
      </c>
      <c r="D55" t="s">
        <v>2</v>
      </c>
      <c r="E55" t="s">
        <v>49</v>
      </c>
    </row>
    <row r="56" spans="1:5">
      <c r="A56" t="s">
        <v>103</v>
      </c>
      <c r="B56" t="s">
        <v>1</v>
      </c>
      <c r="C56" t="s">
        <v>9</v>
      </c>
      <c r="D56" t="s">
        <v>2</v>
      </c>
      <c r="E56" t="s">
        <v>65</v>
      </c>
    </row>
    <row r="57" spans="1:5">
      <c r="A57" t="s">
        <v>104</v>
      </c>
      <c r="B57" t="s">
        <v>1</v>
      </c>
      <c r="C57" t="s">
        <v>24</v>
      </c>
      <c r="D57" t="s">
        <v>2</v>
      </c>
      <c r="E57" t="s">
        <v>48</v>
      </c>
    </row>
    <row r="58" spans="1:5">
      <c r="A58" t="s">
        <v>105</v>
      </c>
      <c r="B58" t="s">
        <v>1</v>
      </c>
      <c r="C58" t="s">
        <v>21</v>
      </c>
      <c r="D58" t="s">
        <v>2</v>
      </c>
      <c r="E58" t="s">
        <v>65</v>
      </c>
    </row>
    <row r="59" spans="1:5">
      <c r="A59" t="s">
        <v>106</v>
      </c>
      <c r="B59" t="s">
        <v>1</v>
      </c>
      <c r="C59" t="s">
        <v>26</v>
      </c>
      <c r="D59" t="s">
        <v>2</v>
      </c>
      <c r="E59" t="s">
        <v>65</v>
      </c>
    </row>
    <row r="60" spans="1:5">
      <c r="A60" t="s">
        <v>107</v>
      </c>
      <c r="B60" t="s">
        <v>1</v>
      </c>
      <c r="C60" t="s">
        <v>10</v>
      </c>
      <c r="D60" t="s">
        <v>2</v>
      </c>
      <c r="E60" t="s">
        <v>65</v>
      </c>
    </row>
    <row r="61" spans="1:5">
      <c r="A61" t="s">
        <v>108</v>
      </c>
      <c r="B61" t="s">
        <v>1</v>
      </c>
      <c r="C61" t="s">
        <v>11</v>
      </c>
      <c r="D61" t="s">
        <v>2</v>
      </c>
      <c r="E61" t="s">
        <v>65</v>
      </c>
    </row>
    <row r="62" spans="1:5">
      <c r="A62" t="s">
        <v>109</v>
      </c>
      <c r="B62" t="s">
        <v>1</v>
      </c>
      <c r="C62" t="s">
        <v>3</v>
      </c>
      <c r="D62" t="s">
        <v>2</v>
      </c>
      <c r="E62" t="s">
        <v>65</v>
      </c>
    </row>
    <row r="63" spans="1:5">
      <c r="A63" t="s">
        <v>110</v>
      </c>
      <c r="B63" t="s">
        <v>1</v>
      </c>
      <c r="C63" t="s">
        <v>13</v>
      </c>
      <c r="D63" t="s">
        <v>2</v>
      </c>
      <c r="E63" t="s">
        <v>65</v>
      </c>
    </row>
    <row r="64" spans="1:5">
      <c r="A64" t="s">
        <v>111</v>
      </c>
      <c r="B64" t="s">
        <v>1</v>
      </c>
      <c r="C64" t="s">
        <v>33</v>
      </c>
      <c r="D64" t="s">
        <v>2</v>
      </c>
      <c r="E64" t="s">
        <v>48</v>
      </c>
    </row>
    <row r="65" spans="1:5">
      <c r="A65" t="s">
        <v>112</v>
      </c>
      <c r="B65" t="s">
        <v>1</v>
      </c>
      <c r="C65" t="s">
        <v>19</v>
      </c>
      <c r="D65" t="s">
        <v>2</v>
      </c>
      <c r="E65" t="s">
        <v>65</v>
      </c>
    </row>
    <row r="66" spans="1:5">
      <c r="A66" t="s">
        <v>113</v>
      </c>
      <c r="B66" t="s">
        <v>9</v>
      </c>
      <c r="C66" t="s">
        <v>25</v>
      </c>
      <c r="D66" t="s">
        <v>2</v>
      </c>
      <c r="E66" t="s">
        <v>65</v>
      </c>
    </row>
    <row r="67" spans="1:5">
      <c r="A67" t="s">
        <v>114</v>
      </c>
      <c r="B67" t="s">
        <v>9</v>
      </c>
      <c r="C67" t="s">
        <v>26</v>
      </c>
      <c r="D67" t="s">
        <v>2</v>
      </c>
      <c r="E67" t="s">
        <v>65</v>
      </c>
    </row>
    <row r="68" spans="1:5">
      <c r="A68" t="s">
        <v>115</v>
      </c>
      <c r="B68" t="s">
        <v>9</v>
      </c>
      <c r="C68" t="s">
        <v>27</v>
      </c>
      <c r="D68" t="s">
        <v>2</v>
      </c>
      <c r="E68" t="s">
        <v>65</v>
      </c>
    </row>
    <row r="69" spans="1:5">
      <c r="A69" t="s">
        <v>116</v>
      </c>
      <c r="B69" t="s">
        <v>9</v>
      </c>
      <c r="C69" t="s">
        <v>10</v>
      </c>
      <c r="D69" t="s">
        <v>2</v>
      </c>
      <c r="E69" t="s">
        <v>65</v>
      </c>
    </row>
    <row r="70" spans="1:5">
      <c r="A70" t="s">
        <v>117</v>
      </c>
      <c r="B70" t="s">
        <v>9</v>
      </c>
      <c r="C70" t="s">
        <v>13</v>
      </c>
      <c r="D70" t="s">
        <v>2</v>
      </c>
      <c r="E70" t="s">
        <v>65</v>
      </c>
    </row>
    <row r="71" spans="1:5">
      <c r="A71" t="s">
        <v>118</v>
      </c>
      <c r="B71" t="s">
        <v>9</v>
      </c>
      <c r="C71" t="s">
        <v>14</v>
      </c>
      <c r="D71" t="s">
        <v>2</v>
      </c>
      <c r="E71" t="s">
        <v>65</v>
      </c>
    </row>
    <row r="72" spans="1:5">
      <c r="A72" t="s">
        <v>119</v>
      </c>
      <c r="B72" t="s">
        <v>9</v>
      </c>
      <c r="C72" t="s">
        <v>19</v>
      </c>
      <c r="D72" t="s">
        <v>2</v>
      </c>
      <c r="E72" t="s">
        <v>65</v>
      </c>
    </row>
    <row r="73" spans="1:5">
      <c r="A73" t="s">
        <v>120</v>
      </c>
      <c r="B73" t="s">
        <v>9</v>
      </c>
      <c r="C73" t="s">
        <v>30</v>
      </c>
      <c r="D73" t="s">
        <v>2</v>
      </c>
      <c r="E73" t="s">
        <v>65</v>
      </c>
    </row>
    <row r="74" spans="1:5">
      <c r="A74" t="s">
        <v>121</v>
      </c>
      <c r="B74" t="s">
        <v>34</v>
      </c>
      <c r="C74" t="s">
        <v>10</v>
      </c>
      <c r="D74" t="s">
        <v>2</v>
      </c>
      <c r="E74" t="s">
        <v>65</v>
      </c>
    </row>
    <row r="75" spans="1:5">
      <c r="A75" t="s">
        <v>122</v>
      </c>
      <c r="B75" t="s">
        <v>24</v>
      </c>
      <c r="C75" t="s">
        <v>26</v>
      </c>
      <c r="D75" t="s">
        <v>2</v>
      </c>
      <c r="E75" t="s">
        <v>65</v>
      </c>
    </row>
    <row r="76" spans="1:5">
      <c r="A76" t="s">
        <v>123</v>
      </c>
      <c r="B76" t="s">
        <v>24</v>
      </c>
      <c r="C76" t="s">
        <v>27</v>
      </c>
      <c r="D76" t="s">
        <v>2</v>
      </c>
      <c r="E76" t="s">
        <v>48</v>
      </c>
    </row>
    <row r="77" spans="1:5">
      <c r="A77" t="s">
        <v>124</v>
      </c>
      <c r="B77" t="s">
        <v>24</v>
      </c>
      <c r="C77" t="s">
        <v>3</v>
      </c>
      <c r="D77" t="s">
        <v>2</v>
      </c>
      <c r="E77" t="s">
        <v>49</v>
      </c>
    </row>
    <row r="78" spans="1:5">
      <c r="A78" t="s">
        <v>125</v>
      </c>
      <c r="B78" t="s">
        <v>24</v>
      </c>
      <c r="C78" t="s">
        <v>22</v>
      </c>
      <c r="D78" t="s">
        <v>2</v>
      </c>
      <c r="E78" t="s">
        <v>65</v>
      </c>
    </row>
    <row r="79" spans="1:5">
      <c r="A79" t="s">
        <v>126</v>
      </c>
      <c r="B79" t="s">
        <v>24</v>
      </c>
      <c r="C79" t="s">
        <v>14</v>
      </c>
      <c r="D79" t="s">
        <v>2</v>
      </c>
      <c r="E79" t="s">
        <v>49</v>
      </c>
    </row>
    <row r="80" spans="1:5">
      <c r="A80" t="s">
        <v>127</v>
      </c>
      <c r="B80" t="s">
        <v>24</v>
      </c>
      <c r="C80" t="s">
        <v>16</v>
      </c>
      <c r="D80" t="s">
        <v>2</v>
      </c>
      <c r="E80" t="s">
        <v>49</v>
      </c>
    </row>
    <row r="81" spans="1:5">
      <c r="A81" t="s">
        <v>128</v>
      </c>
      <c r="B81" t="s">
        <v>25</v>
      </c>
      <c r="C81" t="s">
        <v>21</v>
      </c>
      <c r="D81" t="s">
        <v>2</v>
      </c>
      <c r="E81" t="s">
        <v>65</v>
      </c>
    </row>
    <row r="82" spans="1:5">
      <c r="A82" t="s">
        <v>129</v>
      </c>
      <c r="B82" t="s">
        <v>25</v>
      </c>
      <c r="C82" t="s">
        <v>19</v>
      </c>
      <c r="D82" t="s">
        <v>2</v>
      </c>
      <c r="E82" t="s">
        <v>49</v>
      </c>
    </row>
    <row r="83" spans="1:5">
      <c r="A83" t="s">
        <v>130</v>
      </c>
      <c r="B83" t="s">
        <v>21</v>
      </c>
      <c r="C83" t="s">
        <v>14</v>
      </c>
      <c r="D83" t="s">
        <v>2</v>
      </c>
      <c r="E83" t="s">
        <v>65</v>
      </c>
    </row>
    <row r="84" spans="1:5">
      <c r="A84" t="s">
        <v>131</v>
      </c>
      <c r="B84" t="s">
        <v>21</v>
      </c>
      <c r="C84" t="s">
        <v>19</v>
      </c>
      <c r="D84" t="s">
        <v>2</v>
      </c>
      <c r="E84" t="s">
        <v>65</v>
      </c>
    </row>
    <row r="85" spans="1:5">
      <c r="A85" t="s">
        <v>132</v>
      </c>
      <c r="B85" t="s">
        <v>21</v>
      </c>
      <c r="C85" t="s">
        <v>30</v>
      </c>
      <c r="D85" t="s">
        <v>2</v>
      </c>
      <c r="E85" t="s">
        <v>65</v>
      </c>
    </row>
    <row r="86" spans="1:5">
      <c r="A86" t="s">
        <v>133</v>
      </c>
      <c r="B86" t="s">
        <v>35</v>
      </c>
      <c r="C86" t="s">
        <v>12</v>
      </c>
      <c r="D86" t="s">
        <v>2</v>
      </c>
      <c r="E86" t="s">
        <v>49</v>
      </c>
    </row>
    <row r="87" spans="1:5">
      <c r="A87" t="s">
        <v>134</v>
      </c>
      <c r="B87" t="s">
        <v>35</v>
      </c>
      <c r="C87" t="s">
        <v>19</v>
      </c>
      <c r="D87" t="s">
        <v>2</v>
      </c>
      <c r="E87" t="s">
        <v>65</v>
      </c>
    </row>
    <row r="88" spans="1:5">
      <c r="A88" t="s">
        <v>135</v>
      </c>
      <c r="B88" t="s">
        <v>36</v>
      </c>
      <c r="C88" t="s">
        <v>10</v>
      </c>
      <c r="D88" t="s">
        <v>2</v>
      </c>
      <c r="E88" t="s">
        <v>65</v>
      </c>
    </row>
    <row r="89" spans="1:5">
      <c r="A89" t="s">
        <v>136</v>
      </c>
      <c r="B89" t="s">
        <v>26</v>
      </c>
      <c r="C89" t="s">
        <v>27</v>
      </c>
      <c r="D89" t="s">
        <v>2</v>
      </c>
      <c r="E89" t="s">
        <v>65</v>
      </c>
    </row>
    <row r="90" spans="1:5">
      <c r="A90" t="s">
        <v>137</v>
      </c>
      <c r="B90" t="s">
        <v>26</v>
      </c>
      <c r="C90" t="s">
        <v>30</v>
      </c>
      <c r="D90" t="s">
        <v>2</v>
      </c>
      <c r="E90" t="s">
        <v>65</v>
      </c>
    </row>
    <row r="91" spans="1:5">
      <c r="A91" t="s">
        <v>138</v>
      </c>
      <c r="B91" t="s">
        <v>27</v>
      </c>
      <c r="C91" t="s">
        <v>10</v>
      </c>
      <c r="D91" t="s">
        <v>2</v>
      </c>
      <c r="E91" t="s">
        <v>65</v>
      </c>
    </row>
    <row r="92" spans="1:5">
      <c r="A92" t="s">
        <v>139</v>
      </c>
      <c r="B92" t="s">
        <v>27</v>
      </c>
      <c r="C92" t="s">
        <v>11</v>
      </c>
      <c r="D92" t="s">
        <v>2</v>
      </c>
      <c r="E92" t="s">
        <v>48</v>
      </c>
    </row>
    <row r="93" spans="1:5">
      <c r="A93" t="s">
        <v>140</v>
      </c>
      <c r="B93" t="s">
        <v>27</v>
      </c>
      <c r="C93" t="s">
        <v>3</v>
      </c>
      <c r="D93" t="s">
        <v>2</v>
      </c>
      <c r="E93" t="s">
        <v>65</v>
      </c>
    </row>
    <row r="94" spans="1:5">
      <c r="A94" t="s">
        <v>141</v>
      </c>
      <c r="B94" t="s">
        <v>27</v>
      </c>
      <c r="C94" t="s">
        <v>22</v>
      </c>
      <c r="D94" t="s">
        <v>2</v>
      </c>
      <c r="E94" t="s">
        <v>65</v>
      </c>
    </row>
    <row r="95" spans="1:5">
      <c r="A95" t="s">
        <v>142</v>
      </c>
      <c r="B95" t="s">
        <v>27</v>
      </c>
      <c r="C95" t="s">
        <v>33</v>
      </c>
      <c r="D95" t="s">
        <v>2</v>
      </c>
      <c r="E95" t="s">
        <v>48</v>
      </c>
    </row>
    <row r="96" spans="1:5">
      <c r="A96" t="s">
        <v>143</v>
      </c>
      <c r="B96" t="s">
        <v>27</v>
      </c>
      <c r="C96" t="s">
        <v>28</v>
      </c>
      <c r="D96" t="s">
        <v>2</v>
      </c>
      <c r="E96" t="s">
        <v>65</v>
      </c>
    </row>
    <row r="97" spans="1:5">
      <c r="A97" t="s">
        <v>144</v>
      </c>
      <c r="B97" t="s">
        <v>27</v>
      </c>
      <c r="C97" t="s">
        <v>19</v>
      </c>
      <c r="D97" t="s">
        <v>2</v>
      </c>
      <c r="E97" t="s">
        <v>65</v>
      </c>
    </row>
    <row r="98" spans="1:5">
      <c r="A98" t="s">
        <v>145</v>
      </c>
      <c r="B98" t="s">
        <v>10</v>
      </c>
      <c r="C98" t="s">
        <v>13</v>
      </c>
      <c r="D98" t="s">
        <v>2</v>
      </c>
      <c r="E98" t="s">
        <v>65</v>
      </c>
    </row>
    <row r="99" spans="1:5">
      <c r="A99" t="s">
        <v>146</v>
      </c>
      <c r="B99" t="s">
        <v>10</v>
      </c>
      <c r="C99" t="s">
        <v>33</v>
      </c>
      <c r="D99" t="s">
        <v>2</v>
      </c>
      <c r="E99" t="s">
        <v>65</v>
      </c>
    </row>
    <row r="100" spans="1:5">
      <c r="A100" t="s">
        <v>147</v>
      </c>
      <c r="B100" t="s">
        <v>10</v>
      </c>
      <c r="C100" t="s">
        <v>14</v>
      </c>
      <c r="D100" t="s">
        <v>2</v>
      </c>
      <c r="E100" t="s">
        <v>65</v>
      </c>
    </row>
    <row r="101" spans="1:5">
      <c r="A101" t="s">
        <v>148</v>
      </c>
      <c r="B101" t="s">
        <v>10</v>
      </c>
      <c r="C101" t="s">
        <v>15</v>
      </c>
      <c r="D101" t="s">
        <v>2</v>
      </c>
      <c r="E101" t="s">
        <v>65</v>
      </c>
    </row>
    <row r="102" spans="1:5">
      <c r="A102" t="s">
        <v>149</v>
      </c>
      <c r="B102" t="s">
        <v>10</v>
      </c>
      <c r="C102" t="s">
        <v>30</v>
      </c>
      <c r="D102" t="s">
        <v>2</v>
      </c>
      <c r="E102" t="s">
        <v>65</v>
      </c>
    </row>
    <row r="103" spans="1:5">
      <c r="A103" t="s">
        <v>150</v>
      </c>
      <c r="B103" t="s">
        <v>11</v>
      </c>
      <c r="C103" t="s">
        <v>22</v>
      </c>
      <c r="D103" t="s">
        <v>2</v>
      </c>
      <c r="E103" t="s">
        <v>65</v>
      </c>
    </row>
    <row r="104" spans="1:5">
      <c r="A104" t="s">
        <v>151</v>
      </c>
      <c r="B104" t="s">
        <v>11</v>
      </c>
      <c r="C104" t="s">
        <v>29</v>
      </c>
      <c r="D104" t="s">
        <v>2</v>
      </c>
      <c r="E104" t="s">
        <v>65</v>
      </c>
    </row>
    <row r="105" spans="1:5">
      <c r="A105" t="s">
        <v>152</v>
      </c>
      <c r="B105" t="s">
        <v>11</v>
      </c>
      <c r="C105" t="s">
        <v>16</v>
      </c>
      <c r="D105" t="s">
        <v>2</v>
      </c>
      <c r="E105" t="s">
        <v>65</v>
      </c>
    </row>
    <row r="106" spans="1:5">
      <c r="A106" t="s">
        <v>153</v>
      </c>
      <c r="B106" t="s">
        <v>3</v>
      </c>
      <c r="C106" t="s">
        <v>13</v>
      </c>
      <c r="D106" t="s">
        <v>2</v>
      </c>
      <c r="E106" t="s">
        <v>49</v>
      </c>
    </row>
    <row r="107" spans="1:5">
      <c r="A107" t="s">
        <v>154</v>
      </c>
      <c r="B107" t="s">
        <v>3</v>
      </c>
      <c r="C107" t="s">
        <v>22</v>
      </c>
      <c r="D107" t="s">
        <v>2</v>
      </c>
      <c r="E107" t="s">
        <v>65</v>
      </c>
    </row>
    <row r="108" spans="1:5">
      <c r="A108" t="s">
        <v>155</v>
      </c>
      <c r="B108" t="s">
        <v>37</v>
      </c>
      <c r="C108" t="s">
        <v>13</v>
      </c>
      <c r="D108" t="s">
        <v>2</v>
      </c>
      <c r="E108" t="s">
        <v>65</v>
      </c>
    </row>
    <row r="109" spans="1:5">
      <c r="A109" t="s">
        <v>156</v>
      </c>
      <c r="B109" t="s">
        <v>13</v>
      </c>
      <c r="C109" t="s">
        <v>22</v>
      </c>
      <c r="D109" t="s">
        <v>2</v>
      </c>
      <c r="E109" t="s">
        <v>65</v>
      </c>
    </row>
    <row r="110" spans="1:5">
      <c r="A110" t="s">
        <v>157</v>
      </c>
      <c r="B110" t="s">
        <v>22</v>
      </c>
      <c r="C110" t="s">
        <v>33</v>
      </c>
      <c r="D110" t="s">
        <v>2</v>
      </c>
      <c r="E110" t="s">
        <v>65</v>
      </c>
    </row>
    <row r="111" spans="1:5">
      <c r="A111" t="s">
        <v>158</v>
      </c>
      <c r="B111" t="s">
        <v>22</v>
      </c>
      <c r="C111" t="s">
        <v>14</v>
      </c>
      <c r="D111" t="s">
        <v>2</v>
      </c>
      <c r="E111" t="s">
        <v>65</v>
      </c>
    </row>
    <row r="112" spans="1:5">
      <c r="A112" t="s">
        <v>159</v>
      </c>
      <c r="B112" t="s">
        <v>22</v>
      </c>
      <c r="C112" t="s">
        <v>19</v>
      </c>
      <c r="D112" t="s">
        <v>2</v>
      </c>
      <c r="E112" t="s">
        <v>65</v>
      </c>
    </row>
    <row r="113" spans="1:5">
      <c r="A113" t="s">
        <v>160</v>
      </c>
      <c r="B113" t="s">
        <v>22</v>
      </c>
      <c r="C113" t="s">
        <v>30</v>
      </c>
      <c r="D113" t="s">
        <v>2</v>
      </c>
      <c r="E113" t="s">
        <v>65</v>
      </c>
    </row>
    <row r="114" spans="1:5">
      <c r="A114" t="s">
        <v>161</v>
      </c>
      <c r="B114" t="s">
        <v>33</v>
      </c>
      <c r="C114" t="s">
        <v>30</v>
      </c>
      <c r="D114" t="s">
        <v>2</v>
      </c>
      <c r="E114" t="s">
        <v>48</v>
      </c>
    </row>
    <row r="115" spans="1:5">
      <c r="A115" t="s">
        <v>162</v>
      </c>
      <c r="B115" t="s">
        <v>14</v>
      </c>
      <c r="C115" t="s">
        <v>29</v>
      </c>
      <c r="D115" t="s">
        <v>2</v>
      </c>
      <c r="E115" t="s">
        <v>49</v>
      </c>
    </row>
    <row r="116" spans="1:5">
      <c r="A116" t="s">
        <v>163</v>
      </c>
      <c r="B116" t="s">
        <v>14</v>
      </c>
      <c r="C116" t="s">
        <v>30</v>
      </c>
      <c r="D116" t="s">
        <v>2</v>
      </c>
      <c r="E116" t="s">
        <v>65</v>
      </c>
    </row>
    <row r="117" spans="1:5">
      <c r="A117" t="s">
        <v>164</v>
      </c>
      <c r="B117" t="s">
        <v>28</v>
      </c>
      <c r="C117" t="s">
        <v>30</v>
      </c>
      <c r="D117" t="s">
        <v>2</v>
      </c>
      <c r="E117" t="s">
        <v>65</v>
      </c>
    </row>
    <row r="118" spans="1:5">
      <c r="A118" t="s">
        <v>165</v>
      </c>
      <c r="B118" t="s">
        <v>29</v>
      </c>
      <c r="C118" t="s">
        <v>30</v>
      </c>
      <c r="D118" t="s">
        <v>2</v>
      </c>
      <c r="E118" t="s">
        <v>49</v>
      </c>
    </row>
    <row r="119" spans="1:5">
      <c r="A119" t="s">
        <v>166</v>
      </c>
      <c r="B119" t="s">
        <v>20</v>
      </c>
      <c r="C119" t="s">
        <v>28</v>
      </c>
      <c r="D119" t="s">
        <v>2</v>
      </c>
      <c r="E119" t="s">
        <v>49</v>
      </c>
    </row>
    <row r="120" spans="1:5">
      <c r="A120" t="s">
        <v>167</v>
      </c>
      <c r="B120" t="s">
        <v>31</v>
      </c>
      <c r="C120" t="s">
        <v>25</v>
      </c>
      <c r="D120" t="s">
        <v>2</v>
      </c>
      <c r="E120" t="s">
        <v>49</v>
      </c>
    </row>
    <row r="121" spans="1:5">
      <c r="A121" t="s">
        <v>168</v>
      </c>
      <c r="B121" t="s">
        <v>7</v>
      </c>
      <c r="C121" t="s">
        <v>1</v>
      </c>
      <c r="D121" t="s">
        <v>2</v>
      </c>
      <c r="E121" t="s">
        <v>49</v>
      </c>
    </row>
    <row r="122" spans="1:5">
      <c r="A122" t="s">
        <v>169</v>
      </c>
      <c r="B122" t="s">
        <v>7</v>
      </c>
      <c r="C122" t="s">
        <v>25</v>
      </c>
      <c r="D122" t="s">
        <v>2</v>
      </c>
      <c r="E122" t="s">
        <v>49</v>
      </c>
    </row>
    <row r="123" spans="1:5">
      <c r="A123" t="s">
        <v>170</v>
      </c>
      <c r="B123" t="s">
        <v>24</v>
      </c>
      <c r="C123" t="s">
        <v>30</v>
      </c>
      <c r="D123" t="s">
        <v>2</v>
      </c>
      <c r="E123" t="s">
        <v>48</v>
      </c>
    </row>
    <row r="124" spans="1:5">
      <c r="A124" t="s">
        <v>171</v>
      </c>
      <c r="B124" t="s">
        <v>25</v>
      </c>
      <c r="C124" t="s">
        <v>26</v>
      </c>
      <c r="D124" t="s">
        <v>2</v>
      </c>
      <c r="E124" t="s">
        <v>49</v>
      </c>
    </row>
    <row r="125" spans="1:5">
      <c r="A125" t="s">
        <v>172</v>
      </c>
      <c r="B125" t="s">
        <v>25</v>
      </c>
      <c r="C125" t="s">
        <v>11</v>
      </c>
      <c r="D125" t="s">
        <v>2</v>
      </c>
      <c r="E125" t="s">
        <v>49</v>
      </c>
    </row>
    <row r="126" spans="1:5">
      <c r="A126" t="s">
        <v>173</v>
      </c>
      <c r="B126" t="s">
        <v>25</v>
      </c>
      <c r="C126" t="s">
        <v>22</v>
      </c>
      <c r="D126" t="s">
        <v>2</v>
      </c>
      <c r="E126" t="s">
        <v>49</v>
      </c>
    </row>
    <row r="127" spans="1:5">
      <c r="A127" t="s">
        <v>174</v>
      </c>
      <c r="B127" t="s">
        <v>3</v>
      </c>
      <c r="C127" t="s">
        <v>19</v>
      </c>
      <c r="D127" t="s">
        <v>2</v>
      </c>
      <c r="E127" t="s">
        <v>65</v>
      </c>
    </row>
    <row r="128" spans="1:5">
      <c r="A128" t="s">
        <v>175</v>
      </c>
      <c r="B128" t="s">
        <v>19</v>
      </c>
      <c r="C128" t="s">
        <v>30</v>
      </c>
      <c r="D128" t="s">
        <v>2</v>
      </c>
      <c r="E1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Wkly Departures</vt:lpstr>
    </vt:vector>
  </TitlesOfParts>
  <Company>SWA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e38317</dc:creator>
  <cp:lastModifiedBy>JenniferJohns</cp:lastModifiedBy>
  <dcterms:created xsi:type="dcterms:W3CDTF">2012-12-11T17:23:12Z</dcterms:created>
  <dcterms:modified xsi:type="dcterms:W3CDTF">2013-01-11T14:38:48Z</dcterms:modified>
</cp:coreProperties>
</file>