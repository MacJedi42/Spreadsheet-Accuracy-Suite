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270" yWindow="1365" windowWidth="13305" windowHeight="9105" tabRatio="448" firstSheet="2" activeTab="2"/>
  </bookViews>
  <sheets>
    <sheet name="2003 by quarter " sheetId="22" state="hidden" r:id="rId1"/>
    <sheet name="2006 by quarter" sheetId="25" state="hidden" r:id="rId2"/>
    <sheet name="2013 by quarter" sheetId="33" r:id="rId3"/>
    <sheet name="2012 by quarter" sheetId="32" r:id="rId4"/>
    <sheet name="2008-2011 by year" sheetId="31" r:id="rId5"/>
  </sheets>
  <definedNames>
    <definedName name="_xlnm.Print_Area" localSheetId="4">'2008-2011 by year'!$A$1:$S$58</definedName>
  </definedNames>
  <calcPr calcId="125725"/>
</workbook>
</file>

<file path=xl/calcChain.xml><?xml version="1.0" encoding="utf-8"?>
<calcChain xmlns="http://schemas.openxmlformats.org/spreadsheetml/2006/main">
  <c r="T50" i="25"/>
  <c r="X42"/>
  <c r="X38"/>
  <c r="X36"/>
  <c r="X32"/>
  <c r="X30"/>
  <c r="Z30" s="1"/>
  <c r="X28"/>
  <c r="Z28" s="1"/>
  <c r="V30"/>
  <c r="V29"/>
  <c r="V28"/>
  <c r="V27"/>
  <c r="T30"/>
  <c r="T28"/>
  <c r="T27"/>
  <c r="T44" s="1"/>
  <c r="R30"/>
  <c r="R29"/>
  <c r="R28"/>
  <c r="R27"/>
  <c r="P30"/>
  <c r="P28"/>
  <c r="P27"/>
  <c r="P44" s="1"/>
  <c r="N30"/>
  <c r="N29"/>
  <c r="N28"/>
  <c r="N27"/>
  <c r="L30"/>
  <c r="L28"/>
  <c r="L27"/>
  <c r="L44" s="1"/>
  <c r="J30"/>
  <c r="J29"/>
  <c r="J28"/>
  <c r="J27"/>
  <c r="H30"/>
  <c r="H28"/>
  <c r="H27"/>
  <c r="H44" s="1"/>
  <c r="F30"/>
  <c r="F29"/>
  <c r="F28"/>
  <c r="F27"/>
  <c r="D30"/>
  <c r="D28"/>
  <c r="D27"/>
  <c r="D44" s="1"/>
  <c r="Z24"/>
  <c r="Z22"/>
  <c r="T23"/>
  <c r="P23"/>
  <c r="L23"/>
  <c r="H23"/>
  <c r="D23"/>
  <c r="X21"/>
  <c r="X23" s="1"/>
  <c r="Z23" s="1"/>
  <c r="Z18"/>
  <c r="Z16"/>
  <c r="X17"/>
  <c r="Z17" s="1"/>
  <c r="T17"/>
  <c r="P17"/>
  <c r="L17"/>
  <c r="H17"/>
  <c r="D17"/>
  <c r="T12"/>
  <c r="V42" s="1"/>
  <c r="P12"/>
  <c r="R38" s="1"/>
  <c r="L12"/>
  <c r="N42" s="1"/>
  <c r="H12"/>
  <c r="J38" s="1"/>
  <c r="D12"/>
  <c r="F42" s="1"/>
  <c r="X8"/>
  <c r="Z15" s="1"/>
  <c r="J44" l="1"/>
  <c r="H47"/>
  <c r="J47" s="1"/>
  <c r="R44"/>
  <c r="P47"/>
  <c r="R47" s="1"/>
  <c r="F44"/>
  <c r="D47"/>
  <c r="F47" s="1"/>
  <c r="N44"/>
  <c r="L47"/>
  <c r="N47" s="1"/>
  <c r="V44"/>
  <c r="T47"/>
  <c r="V47" s="1"/>
  <c r="Z42"/>
  <c r="X12"/>
  <c r="Z21"/>
  <c r="D29"/>
  <c r="H29"/>
  <c r="L29"/>
  <c r="P29"/>
  <c r="T29"/>
  <c r="X27"/>
  <c r="J36"/>
  <c r="R36"/>
  <c r="F38"/>
  <c r="N38"/>
  <c r="V38"/>
  <c r="J40"/>
  <c r="R40"/>
  <c r="J42"/>
  <c r="R42"/>
  <c r="F36"/>
  <c r="N36"/>
  <c r="V36"/>
  <c r="F40"/>
  <c r="N40"/>
  <c r="V40"/>
  <c r="Z40" l="1"/>
  <c r="Z38"/>
  <c r="Z36"/>
  <c r="X44"/>
  <c r="Z27"/>
  <c r="X29"/>
  <c r="Z29" s="1"/>
  <c r="Z44" l="1"/>
  <c r="X47"/>
  <c r="Z47" s="1"/>
  <c r="T26" i="22" l="1"/>
  <c r="T25"/>
  <c r="T16"/>
  <c r="T15"/>
  <c r="T21"/>
  <c r="T22"/>
  <c r="T20"/>
  <c r="T43"/>
  <c r="T46"/>
  <c r="V46"/>
  <c r="T12"/>
  <c r="V41"/>
  <c r="V43"/>
  <c r="V39"/>
  <c r="V35"/>
  <c r="V27"/>
  <c r="T27"/>
  <c r="V26"/>
  <c r="V25"/>
  <c r="T17"/>
  <c r="P25"/>
  <c r="P26"/>
  <c r="P43"/>
  <c r="P48"/>
  <c r="P12"/>
  <c r="R35"/>
  <c r="R41"/>
  <c r="R37"/>
  <c r="R27"/>
  <c r="P27"/>
  <c r="R26"/>
  <c r="R25"/>
  <c r="P22"/>
  <c r="P17"/>
  <c r="L25"/>
  <c r="L26"/>
  <c r="L43"/>
  <c r="L12"/>
  <c r="N39"/>
  <c r="H25"/>
  <c r="H26"/>
  <c r="H43"/>
  <c r="H46"/>
  <c r="J46"/>
  <c r="H12"/>
  <c r="J37"/>
  <c r="N41"/>
  <c r="N37"/>
  <c r="N27"/>
  <c r="N26"/>
  <c r="N25"/>
  <c r="L22"/>
  <c r="L17"/>
  <c r="J35"/>
  <c r="J39"/>
  <c r="J43"/>
  <c r="J27"/>
  <c r="H27"/>
  <c r="J26"/>
  <c r="J25"/>
  <c r="H22"/>
  <c r="H17"/>
  <c r="D25"/>
  <c r="D26"/>
  <c r="D43"/>
  <c r="D12"/>
  <c r="F39"/>
  <c r="F41"/>
  <c r="F37"/>
  <c r="D17"/>
  <c r="D22"/>
  <c r="F27"/>
  <c r="F26"/>
  <c r="F25"/>
  <c r="F43"/>
  <c r="D46"/>
  <c r="F46"/>
  <c r="N43"/>
  <c r="L46"/>
  <c r="N46"/>
  <c r="R43"/>
  <c r="P46"/>
  <c r="R46"/>
  <c r="D27"/>
  <c r="F35"/>
  <c r="J41"/>
  <c r="L27"/>
  <c r="N35"/>
  <c r="R39"/>
  <c r="V37"/>
</calcChain>
</file>

<file path=xl/sharedStrings.xml><?xml version="1.0" encoding="utf-8"?>
<sst xmlns="http://schemas.openxmlformats.org/spreadsheetml/2006/main" count="270" uniqueCount="88">
  <si>
    <t>Tons Sold (in Millions)</t>
  </si>
  <si>
    <t xml:space="preserve">  Total</t>
  </si>
  <si>
    <t>Operating Profit</t>
  </si>
  <si>
    <t>EBITDA</t>
  </si>
  <si>
    <t>Capital Expenditures</t>
  </si>
  <si>
    <t>$'s per ton</t>
  </si>
  <si>
    <t>Trading and Brokerage Operations</t>
  </si>
  <si>
    <t>$'s in millions</t>
  </si>
  <si>
    <t>Key Performance Indicators</t>
  </si>
  <si>
    <t>Selling and Administrative Expenses</t>
  </si>
  <si>
    <t>(Unaudited)</t>
  </si>
  <si>
    <t>Revenues - Mining Operations</t>
  </si>
  <si>
    <t>Operating Costs - Mining Operations</t>
  </si>
  <si>
    <t>Gross Margin - Mining Operations</t>
  </si>
  <si>
    <t>Australian Mining Operations</t>
  </si>
  <si>
    <t>March 31, 2003</t>
  </si>
  <si>
    <t>Resource Management</t>
  </si>
  <si>
    <t>Asset Retirement Obligation Expense</t>
  </si>
  <si>
    <t>Calendar</t>
  </si>
  <si>
    <t>June 30, 2003</t>
  </si>
  <si>
    <t>Dec. 31, 2003</t>
  </si>
  <si>
    <t>Other Operating Costs, Net*</t>
  </si>
  <si>
    <t>Sept. 30, 2003</t>
  </si>
  <si>
    <t>Revenues per Ton - Mining Operations</t>
  </si>
  <si>
    <t>Operating Costs per Ton - Mining Operations</t>
  </si>
  <si>
    <t>Gross Margin per Ton - Mining Operations</t>
  </si>
  <si>
    <t>Australia</t>
  </si>
  <si>
    <t>Eastern U.S.</t>
  </si>
  <si>
    <t>Western U.S.</t>
  </si>
  <si>
    <t>Tons Sold (In Millions)</t>
  </si>
  <si>
    <t xml:space="preserve">Australian Mining Operations </t>
  </si>
  <si>
    <t>EBITDA - Resource Management</t>
  </si>
  <si>
    <t>EBITDA - Trading and Brokerage Operations</t>
  </si>
  <si>
    <t>Eastern U.S. Mining Operations</t>
  </si>
  <si>
    <t>Western U.S. Mining Operations</t>
  </si>
  <si>
    <t>PEABODY ENERGY CORPORATION</t>
  </si>
  <si>
    <t>Quarter Ended</t>
  </si>
  <si>
    <t>2003</t>
  </si>
  <si>
    <t xml:space="preserve">   Coal Reserve Lease</t>
  </si>
  <si>
    <t xml:space="preserve">   Other</t>
  </si>
  <si>
    <t xml:space="preserve">  Total - U.S. Mining Operations</t>
  </si>
  <si>
    <t>Australian Operations (acquired August 2002)</t>
  </si>
  <si>
    <t>March 31, 2006</t>
  </si>
  <si>
    <t>June 30, 2006</t>
  </si>
  <si>
    <t>September 30, 2006</t>
  </si>
  <si>
    <t>December 31, 2006</t>
  </si>
  <si>
    <r>
      <t xml:space="preserve">Other Operating Costs, Net </t>
    </r>
    <r>
      <rPr>
        <vertAlign val="superscript"/>
        <sz val="11"/>
        <rFont val="Arial"/>
        <family val="2"/>
      </rPr>
      <t>1</t>
    </r>
  </si>
  <si>
    <r>
      <t xml:space="preserve">   Acquisitions </t>
    </r>
    <r>
      <rPr>
        <vertAlign val="superscript"/>
        <sz val="11"/>
        <rFont val="Arial"/>
        <family val="2"/>
      </rPr>
      <t>2</t>
    </r>
  </si>
  <si>
    <t>2006</t>
  </si>
  <si>
    <r>
      <t>2</t>
    </r>
    <r>
      <rPr>
        <sz val="10"/>
        <rFont val="Arial"/>
        <family val="2"/>
      </rPr>
      <t xml:space="preserve"> Reflects the Company's acquisition of Excel Coal Limited for $1,507.8 million, net of cash received</t>
    </r>
  </si>
  <si>
    <t>This information is intended to be reviewed in conjunction with the company's filings with the Securities and Exchange Commission.</t>
  </si>
  <si>
    <t>Depreciation, Depletion and Amortization</t>
  </si>
  <si>
    <r>
      <t>1</t>
    </r>
    <r>
      <rPr>
        <sz val="10"/>
        <rFont val="Arial"/>
        <family val="2"/>
      </rPr>
      <t xml:space="preserve"> Includes generation development costs, coalbed methane development activities, costs associated with post-mining activities, and income from an equity interest in a Venezuelan joint venture.</t>
    </r>
  </si>
  <si>
    <t>* Includes post-mining activities and costs and other non-core commercial activities.</t>
  </si>
  <si>
    <r>
      <t xml:space="preserve">Other Operating Costs, Net </t>
    </r>
    <r>
      <rPr>
        <vertAlign val="superscript"/>
        <sz val="11"/>
        <rFont val="Arial"/>
        <family val="2"/>
      </rPr>
      <t>(1)</t>
    </r>
  </si>
  <si>
    <t>Peabody</t>
  </si>
  <si>
    <t>Continuing</t>
  </si>
  <si>
    <r>
      <t>Operations</t>
    </r>
    <r>
      <rPr>
        <vertAlign val="superscript"/>
        <sz val="11"/>
        <rFont val="Arial"/>
        <family val="2"/>
      </rPr>
      <t>3</t>
    </r>
  </si>
  <si>
    <t>December 31, 2008</t>
  </si>
  <si>
    <r>
      <t>3</t>
    </r>
    <r>
      <rPr>
        <sz val="10"/>
        <rFont val="Arial"/>
        <family val="2"/>
      </rPr>
      <t xml:space="preserve"> Adjusted for discontinuing operations of Patriot Coal Corporation and assets held for sale.</t>
    </r>
  </si>
  <si>
    <t>Midwestern U.S. Mining Operations</t>
  </si>
  <si>
    <t>Midwestern U.S.</t>
  </si>
  <si>
    <t>December 31, 2009</t>
  </si>
  <si>
    <t>December 31, 2010</t>
  </si>
  <si>
    <t>Year Ended</t>
  </si>
  <si>
    <t>December 31, 2011</t>
  </si>
  <si>
    <t>Operating activities</t>
  </si>
  <si>
    <t>Investing activities</t>
  </si>
  <si>
    <t>Financing activities</t>
  </si>
  <si>
    <t>March 31, 2012</t>
  </si>
  <si>
    <r>
      <t xml:space="preserve">Adjusted EBITDA </t>
    </r>
    <r>
      <rPr>
        <vertAlign val="superscript"/>
        <sz val="11"/>
        <rFont val="Arial"/>
        <family val="2"/>
      </rPr>
      <t>(2)</t>
    </r>
  </si>
  <si>
    <t>June 30, 2012</t>
  </si>
  <si>
    <t>September 30, 2012</t>
  </si>
  <si>
    <t>December 31, 2012</t>
  </si>
  <si>
    <t>Acquisition Costs Related to Macarthur Coal Limited</t>
  </si>
  <si>
    <t>Acquisitions of Property, Plant and Equipment</t>
  </si>
  <si>
    <t>Net Cash provided by (used in) continuing operations:</t>
  </si>
  <si>
    <t>March 31, 2013</t>
  </si>
  <si>
    <t>Federal Coal Reserve Lease Expenditures</t>
  </si>
  <si>
    <t>Adjusted EBITDA - Trading and Brokerage Operations</t>
  </si>
  <si>
    <r>
      <t>Adjusted EBITDA - Resource Management</t>
    </r>
    <r>
      <rPr>
        <vertAlign val="superscript"/>
        <sz val="11"/>
        <rFont val="Arial"/>
        <family val="2"/>
      </rPr>
      <t xml:space="preserve">  (1)</t>
    </r>
  </si>
  <si>
    <r>
      <t xml:space="preserve">Other Operating Costs, Net </t>
    </r>
    <r>
      <rPr>
        <vertAlign val="superscript"/>
        <sz val="11"/>
        <rFont val="Arial"/>
        <family val="2"/>
      </rPr>
      <t>(2)</t>
    </r>
  </si>
  <si>
    <r>
      <t xml:space="preserve">Adjusted EBITDA </t>
    </r>
    <r>
      <rPr>
        <vertAlign val="superscript"/>
        <sz val="11"/>
        <rFont val="Arial"/>
        <family val="2"/>
      </rPr>
      <t>(3)</t>
    </r>
  </si>
  <si>
    <r>
      <t>(2)</t>
    </r>
    <r>
      <rPr>
        <sz val="11"/>
        <rFont val="Arial"/>
        <family val="2"/>
      </rPr>
      <t xml:space="preserve"> Includes Generation Development and Btu Conversion costs, costs associated with post-mining activities, loss from equity affiliates and provisions for certain litigation.</t>
    </r>
  </si>
  <si>
    <r>
      <t>(1)</t>
    </r>
    <r>
      <rPr>
        <sz val="11"/>
        <rFont val="Arial"/>
        <family val="2"/>
      </rPr>
      <t xml:space="preserve"> Includes certain asset sales, property management costs and revenues, and coal royalty expense.</t>
    </r>
  </si>
  <si>
    <r>
      <rPr>
        <vertAlign val="superscript"/>
        <sz val="11"/>
        <rFont val="Arial"/>
        <family val="2"/>
      </rPr>
      <t xml:space="preserve">(3) </t>
    </r>
    <r>
      <rPr>
        <sz val="11"/>
        <rFont val="Arial"/>
        <family val="2"/>
      </rPr>
      <t>Adjusted EBITDA is defined as income (loss) from continuing operations before deducting net interest expense, income taxes, asset retirement obligation expenses, depreciation, depletion and amortization, asset impairment and mine closure costs and amortization of basis difference associated with equity method investments.  Adjusted EBITDA, which is not calculated identically by all companies, is not a substitute for operating income, net income or cash flow as determined in accordance with United States generally accepted accounting principles.  Management uses Adjusted EBITDA as a key measure of operating performance and also believes it is a useful indicator of the company’s ability to meet debt service and capital expenditure requirements.</t>
    </r>
  </si>
  <si>
    <r>
      <rPr>
        <vertAlign val="superscript"/>
        <sz val="11"/>
        <rFont val="Arial"/>
        <family val="2"/>
      </rPr>
      <t>(3)</t>
    </r>
    <r>
      <rPr>
        <sz val="11"/>
        <rFont val="Arial"/>
        <family val="2"/>
      </rPr>
      <t xml:space="preserve"> Adjusted EBITDA is defined as income from continuing operations before deducting net interest expense, income taxes, asset retirement obligation expenses, depreciation, depletion and amortization, asset impairment and mine closure costs and amortization of basis difference associated with equity method investments.  Adjusted EBITDA, which is not calculated identically by all companies, is not a substitute for operating income, net income or cash flow as determined in accordance with United States generally accepted accounting principles.  Management uses Adjusted EBITDA as a key measure of operating performance and also believes it is a useful indicator of the company’s ability to meet debt service and capital expenditure requirements.</t>
    </r>
  </si>
  <si>
    <r>
      <rPr>
        <vertAlign val="superscript"/>
        <sz val="11"/>
        <rFont val="Arial"/>
        <family val="2"/>
      </rPr>
      <t xml:space="preserve">(3) </t>
    </r>
    <r>
      <rPr>
        <sz val="11"/>
        <rFont val="Arial"/>
        <family val="2"/>
      </rPr>
      <t>Adjusted EBITDA is defined as (loss) income from continuing operations before deducting net interest expense, income taxes, asset retirement obligation expenses, depreciation, depletion and amortization, asset impairment and mine closure costs and amortization of basis difference associated with equity method investments.  Adjusted EBITDA, which is not calculated identically by all companies, is not a substitute for operating income, net income or cash flow as determined in accordance with United States generally accepted accounting principles.  Management uses Adjusted EBITDA as a key measure of operating performance and also believes it is a useful indicator of the company’s ability to meet debt service and capital expenditure requirements.</t>
    </r>
  </si>
</sst>
</file>

<file path=xl/styles.xml><?xml version="1.0" encoding="utf-8"?>
<styleSheet xmlns="http://schemas.openxmlformats.org/spreadsheetml/2006/main">
  <numFmts count="6">
    <numFmt numFmtId="44" formatCode="_(&quot;$&quot;* #,##0.00_);_(&quot;$&quot;* \(#,##0.00\);_(&quot;$&quot;* &quot;-&quot;??_);_(@_)"/>
    <numFmt numFmtId="43" formatCode="_(* #,##0.00_);_(* \(#,##0.00\);_(* &quot;-&quot;??_);_(@_)"/>
    <numFmt numFmtId="164" formatCode="_(* #,##0.0_);_(* \(#,##0.0\);_(* &quot;-&quot;??_);_(@_)"/>
    <numFmt numFmtId="165" formatCode="_(&quot;$&quot;* #,##0.0_);_(&quot;$&quot;* \(#,##0.0\);_(&quot;$&quot;* &quot;-&quot;??_);_(@_)"/>
    <numFmt numFmtId="166" formatCode="_(* #,##0.0_);_(* \(#,##0.0\);_(* &quot;-&quot;?_);_(@_)"/>
    <numFmt numFmtId="167" formatCode="_(&quot;$&quot;* #,##0.0_);_(&quot;$&quot;* \(#,##0.0\);_(&quot;$&quot;* &quot;-&quot;?_);_(@_)"/>
  </numFmts>
  <fonts count="11">
    <font>
      <sz val="10"/>
      <name val="Arial"/>
    </font>
    <font>
      <sz val="10"/>
      <name val="Arial"/>
      <family val="2"/>
    </font>
    <font>
      <sz val="11"/>
      <name val="Arial"/>
      <family val="2"/>
    </font>
    <font>
      <u/>
      <sz val="11"/>
      <name val="Arial"/>
      <family val="2"/>
    </font>
    <font>
      <sz val="12"/>
      <name val="Times New Roman"/>
      <family val="1"/>
    </font>
    <font>
      <b/>
      <sz val="14"/>
      <name val="Arial"/>
      <family val="2"/>
    </font>
    <font>
      <sz val="10"/>
      <name val="Arial"/>
      <family val="2"/>
    </font>
    <font>
      <i/>
      <sz val="11"/>
      <name val="Arial"/>
      <family val="2"/>
    </font>
    <font>
      <vertAlign val="superscript"/>
      <sz val="11"/>
      <name val="Arial"/>
      <family val="2"/>
    </font>
    <font>
      <vertAlign val="superscript"/>
      <sz val="10"/>
      <name val="Arial"/>
      <family val="2"/>
    </font>
    <font>
      <b/>
      <sz val="11"/>
      <name val="Arial"/>
      <family val="2"/>
    </font>
  </fonts>
  <fills count="2">
    <fill>
      <patternFill patternType="none"/>
    </fill>
    <fill>
      <patternFill patternType="gray125"/>
    </fill>
  </fills>
  <borders count="4">
    <border>
      <left/>
      <right/>
      <top/>
      <bottom/>
      <diagonal/>
    </border>
    <border>
      <left/>
      <right/>
      <top style="thin">
        <color indexed="64"/>
      </top>
      <bottom style="double">
        <color indexed="64"/>
      </bottom>
      <diagonal/>
    </border>
    <border>
      <left/>
      <right/>
      <top style="thin">
        <color indexed="64"/>
      </top>
      <bottom style="thin">
        <color indexed="64"/>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4" fillId="0" borderId="0"/>
  </cellStyleXfs>
  <cellXfs count="61">
    <xf numFmtId="0" fontId="0" fillId="0" borderId="0" xfId="0"/>
    <xf numFmtId="0" fontId="2" fillId="0" borderId="0" xfId="0" applyFont="1"/>
    <xf numFmtId="164" fontId="2" fillId="0" borderId="0" xfId="1" applyNumberFormat="1" applyFont="1"/>
    <xf numFmtId="164" fontId="2" fillId="0" borderId="1" xfId="1" applyNumberFormat="1" applyFont="1" applyBorder="1"/>
    <xf numFmtId="165" fontId="2" fillId="0" borderId="0" xfId="2" applyNumberFormat="1" applyFont="1"/>
    <xf numFmtId="165" fontId="2" fillId="0" borderId="0" xfId="0" applyNumberFormat="1" applyFont="1"/>
    <xf numFmtId="165" fontId="2" fillId="0" borderId="0" xfId="2" applyNumberFormat="1" applyFont="1" applyBorder="1"/>
    <xf numFmtId="44" fontId="2" fillId="0" borderId="0" xfId="2" applyNumberFormat="1" applyFont="1"/>
    <xf numFmtId="43" fontId="2" fillId="0" borderId="0" xfId="1" applyFont="1"/>
    <xf numFmtId="44" fontId="2" fillId="0" borderId="0" xfId="0" applyNumberFormat="1" applyFont="1"/>
    <xf numFmtId="44" fontId="2" fillId="0" borderId="0" xfId="2" applyFont="1"/>
    <xf numFmtId="164" fontId="2" fillId="0" borderId="0" xfId="1" applyNumberFormat="1" applyFont="1" applyBorder="1"/>
    <xf numFmtId="165" fontId="2" fillId="0" borderId="0" xfId="0" applyNumberFormat="1" applyFont="1" applyAlignment="1">
      <alignment horizontal="right"/>
    </xf>
    <xf numFmtId="43" fontId="2" fillId="0" borderId="0" xfId="0" applyNumberFormat="1" applyFont="1"/>
    <xf numFmtId="165" fontId="2" fillId="0" borderId="0" xfId="2" applyNumberFormat="1" applyFont="1" applyFill="1"/>
    <xf numFmtId="164" fontId="2" fillId="0" borderId="0" xfId="1" applyNumberFormat="1" applyFont="1" applyFill="1"/>
    <xf numFmtId="165" fontId="2" fillId="0" borderId="0" xfId="0" applyNumberFormat="1" applyFont="1" applyFill="1"/>
    <xf numFmtId="165" fontId="2" fillId="0" borderId="2" xfId="2" applyNumberFormat="1" applyFont="1" applyFill="1" applyBorder="1"/>
    <xf numFmtId="0" fontId="2" fillId="0" borderId="0" xfId="0" applyFont="1" applyFill="1"/>
    <xf numFmtId="44" fontId="2" fillId="0" borderId="0" xfId="2" applyNumberFormat="1" applyFont="1" applyFill="1"/>
    <xf numFmtId="43" fontId="2" fillId="0" borderId="0" xfId="1" applyFont="1" applyFill="1"/>
    <xf numFmtId="43" fontId="2" fillId="0" borderId="0" xfId="0" applyNumberFormat="1" applyFont="1" applyFill="1"/>
    <xf numFmtId="44" fontId="2" fillId="0" borderId="0" xfId="2" applyFont="1" applyFill="1"/>
    <xf numFmtId="165" fontId="2" fillId="0" borderId="0" xfId="0" applyNumberFormat="1" applyFont="1" applyFill="1" applyAlignment="1">
      <alignment horizontal="right"/>
    </xf>
    <xf numFmtId="44" fontId="2" fillId="0" borderId="0" xfId="0" applyNumberFormat="1" applyFont="1" applyFill="1"/>
    <xf numFmtId="165" fontId="2" fillId="0" borderId="0" xfId="2" applyNumberFormat="1" applyFont="1" applyFill="1" applyBorder="1"/>
    <xf numFmtId="0" fontId="3" fillId="0" borderId="0" xfId="0" applyFont="1" applyAlignment="1">
      <alignment horizontal="center"/>
    </xf>
    <xf numFmtId="0" fontId="2" fillId="0" borderId="0" xfId="3" applyFont="1"/>
    <xf numFmtId="0" fontId="5" fillId="0" borderId="0" xfId="0" applyFont="1"/>
    <xf numFmtId="0" fontId="7" fillId="0" borderId="0" xfId="0" applyFont="1"/>
    <xf numFmtId="0" fontId="5" fillId="0" borderId="0" xfId="0" applyFont="1" applyFill="1"/>
    <xf numFmtId="0" fontId="2" fillId="0" borderId="0" xfId="3" applyFont="1" applyFill="1"/>
    <xf numFmtId="164" fontId="2" fillId="0" borderId="1" xfId="1" applyNumberFormat="1" applyFont="1" applyFill="1" applyBorder="1"/>
    <xf numFmtId="164" fontId="2" fillId="0" borderId="0" xfId="1" applyNumberFormat="1" applyFont="1" applyFill="1" applyBorder="1"/>
    <xf numFmtId="0" fontId="3" fillId="0" borderId="0" xfId="0" applyFont="1" applyFill="1" applyAlignment="1">
      <alignment horizontal="center"/>
    </xf>
    <xf numFmtId="0" fontId="6" fillId="0" borderId="0" xfId="0" applyFont="1" applyFill="1"/>
    <xf numFmtId="43" fontId="2" fillId="0" borderId="0" xfId="2" applyNumberFormat="1" applyFont="1" applyFill="1" applyBorder="1"/>
    <xf numFmtId="43" fontId="2" fillId="0" borderId="0" xfId="2" applyNumberFormat="1" applyFont="1" applyBorder="1"/>
    <xf numFmtId="166" fontId="2" fillId="0" borderId="0" xfId="0" applyNumberFormat="1" applyFont="1" applyFill="1"/>
    <xf numFmtId="167" fontId="2" fillId="0" borderId="0" xfId="2" applyNumberFormat="1" applyFont="1" applyFill="1"/>
    <xf numFmtId="167" fontId="2" fillId="0" borderId="0" xfId="0" applyNumberFormat="1" applyFont="1" applyFill="1"/>
    <xf numFmtId="167" fontId="2" fillId="0" borderId="0" xfId="0" applyNumberFormat="1" applyFont="1" applyFill="1" applyAlignment="1">
      <alignment horizontal="right"/>
    </xf>
    <xf numFmtId="167" fontId="2" fillId="0" borderId="0" xfId="2" applyNumberFormat="1" applyFont="1"/>
    <xf numFmtId="167" fontId="2" fillId="0" borderId="0" xfId="0" applyNumberFormat="1" applyFont="1"/>
    <xf numFmtId="166" fontId="2" fillId="0" borderId="0" xfId="0" applyNumberFormat="1" applyFont="1"/>
    <xf numFmtId="0" fontId="9" fillId="0" borderId="0" xfId="0" applyFont="1" applyFill="1"/>
    <xf numFmtId="2" fontId="2" fillId="0" borderId="0" xfId="0" applyNumberFormat="1" applyFont="1" applyFill="1"/>
    <xf numFmtId="0" fontId="10" fillId="0" borderId="0" xfId="0" applyFont="1" applyFill="1"/>
    <xf numFmtId="0" fontId="8" fillId="0" borderId="0" xfId="0" applyFont="1" applyFill="1"/>
    <xf numFmtId="0" fontId="8" fillId="0" borderId="0" xfId="0" applyFont="1" applyFill="1" applyAlignment="1"/>
    <xf numFmtId="0" fontId="7" fillId="0" borderId="0" xfId="0" applyFont="1" applyAlignment="1"/>
    <xf numFmtId="0" fontId="2" fillId="0" borderId="0" xfId="0" applyFont="1" applyAlignment="1">
      <alignment horizontal="center"/>
    </xf>
    <xf numFmtId="17" fontId="2" fillId="0" borderId="3" xfId="0" quotePrefix="1" applyNumberFormat="1" applyFont="1" applyBorder="1" applyAlignment="1">
      <alignment horizontal="center"/>
    </xf>
    <xf numFmtId="17" fontId="2" fillId="0" borderId="3" xfId="0" applyNumberFormat="1" applyFont="1" applyBorder="1" applyAlignment="1">
      <alignment horizontal="center"/>
    </xf>
    <xf numFmtId="0" fontId="2" fillId="0" borderId="0" xfId="0" applyFont="1" applyFill="1" applyAlignment="1">
      <alignment horizontal="center"/>
    </xf>
    <xf numFmtId="17" fontId="2" fillId="0" borderId="3" xfId="0" quotePrefix="1" applyNumberFormat="1" applyFont="1" applyFill="1" applyBorder="1" applyAlignment="1">
      <alignment horizontal="center"/>
    </xf>
    <xf numFmtId="17" fontId="2" fillId="0" borderId="3" xfId="0" applyNumberFormat="1" applyFont="1" applyFill="1" applyBorder="1" applyAlignment="1">
      <alignment horizontal="center"/>
    </xf>
    <xf numFmtId="0" fontId="2" fillId="0" borderId="3" xfId="0" applyFont="1" applyFill="1" applyBorder="1" applyAlignment="1">
      <alignment horizontal="center"/>
    </xf>
    <xf numFmtId="0" fontId="2" fillId="0" borderId="0" xfId="0" applyFont="1" applyFill="1" applyAlignment="1">
      <alignment horizontal="left" vertical="top" wrapText="1"/>
    </xf>
    <xf numFmtId="0" fontId="7" fillId="0" borderId="0" xfId="0" applyFont="1" applyAlignment="1">
      <alignment horizontal="left"/>
    </xf>
    <xf numFmtId="0" fontId="8" fillId="0" borderId="0" xfId="0" applyFont="1" applyFill="1" applyAlignment="1">
      <alignment horizontal="left"/>
    </xf>
  </cellXfs>
  <cellStyles count="4">
    <cellStyle name="Comma" xfId="1" builtinId="3"/>
    <cellStyle name="Currency" xfId="2" builtinId="4"/>
    <cellStyle name="Normal" xfId="0" builtinId="0"/>
    <cellStyle name="Normal_Sheet1" xfId="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codeName="Sheet1">
    <pageSetUpPr fitToPage="1"/>
  </sheetPr>
  <dimension ref="A1:Y80"/>
  <sheetViews>
    <sheetView zoomScale="75" zoomScaleNormal="100" workbookViewId="0"/>
  </sheetViews>
  <sheetFormatPr defaultRowHeight="14.25"/>
  <cols>
    <col min="1" max="2" width="9.140625" style="1" customWidth="1"/>
    <col min="3" max="3" width="34.7109375" style="1" customWidth="1"/>
    <col min="4" max="4" width="10.5703125" style="1" customWidth="1"/>
    <col min="5" max="5" width="2.7109375" style="1" customWidth="1"/>
    <col min="6" max="6" width="9.85546875" style="1" customWidth="1"/>
    <col min="7" max="7" width="4.85546875" style="1" customWidth="1"/>
    <col min="8" max="8" width="10.5703125" style="1" customWidth="1"/>
    <col min="9" max="9" width="2.7109375" style="1" customWidth="1"/>
    <col min="10" max="10" width="9.85546875" style="1" customWidth="1"/>
    <col min="11" max="11" width="4.28515625" style="1" customWidth="1"/>
    <col min="12" max="12" width="10.5703125" style="1" customWidth="1"/>
    <col min="13" max="13" width="3" style="1" customWidth="1"/>
    <col min="14" max="14" width="9.85546875" style="1" customWidth="1"/>
    <col min="15" max="15" width="4.140625" style="1" customWidth="1"/>
    <col min="16" max="16" width="9.140625" style="1" customWidth="1"/>
    <col min="17" max="17" width="3" style="1" customWidth="1"/>
    <col min="18" max="18" width="9.140625" style="1" customWidth="1"/>
    <col min="19" max="19" width="4.140625" style="1" customWidth="1"/>
    <col min="20" max="20" width="10.85546875" style="1" bestFit="1" customWidth="1"/>
    <col min="21" max="21" width="3" style="1" customWidth="1"/>
    <col min="22" max="16384" width="9.140625" style="1"/>
  </cols>
  <sheetData>
    <row r="1" spans="1:23" ht="18">
      <c r="A1" s="30" t="s">
        <v>35</v>
      </c>
    </row>
    <row r="2" spans="1:23" ht="18">
      <c r="A2" s="28" t="s">
        <v>8</v>
      </c>
    </row>
    <row r="3" spans="1:23" ht="18">
      <c r="A3" s="28" t="s">
        <v>10</v>
      </c>
    </row>
    <row r="5" spans="1:23">
      <c r="D5" s="51" t="s">
        <v>36</v>
      </c>
      <c r="E5" s="51"/>
      <c r="F5" s="51"/>
      <c r="H5" s="51" t="s">
        <v>36</v>
      </c>
      <c r="I5" s="51"/>
      <c r="J5" s="51"/>
      <c r="L5" s="51" t="s">
        <v>36</v>
      </c>
      <c r="M5" s="51"/>
      <c r="N5" s="51"/>
      <c r="P5" s="51" t="s">
        <v>36</v>
      </c>
      <c r="Q5" s="51"/>
      <c r="R5" s="51"/>
      <c r="T5" s="51" t="s">
        <v>18</v>
      </c>
      <c r="U5" s="51"/>
      <c r="V5" s="51"/>
    </row>
    <row r="6" spans="1:23">
      <c r="D6" s="52" t="s">
        <v>15</v>
      </c>
      <c r="E6" s="53"/>
      <c r="F6" s="53"/>
      <c r="H6" s="52" t="s">
        <v>19</v>
      </c>
      <c r="I6" s="53"/>
      <c r="J6" s="53"/>
      <c r="L6" s="52" t="s">
        <v>22</v>
      </c>
      <c r="M6" s="53"/>
      <c r="N6" s="53"/>
      <c r="P6" s="52" t="s">
        <v>20</v>
      </c>
      <c r="Q6" s="53"/>
      <c r="R6" s="53"/>
      <c r="T6" s="52" t="s">
        <v>37</v>
      </c>
      <c r="U6" s="53"/>
      <c r="V6" s="53"/>
    </row>
    <row r="7" spans="1:23">
      <c r="A7" s="1" t="s">
        <v>0</v>
      </c>
    </row>
    <row r="8" spans="1:23">
      <c r="B8" s="18" t="s">
        <v>33</v>
      </c>
      <c r="D8" s="2">
        <v>11.1</v>
      </c>
      <c r="H8" s="2">
        <v>11.5</v>
      </c>
      <c r="L8" s="2">
        <v>11.7</v>
      </c>
      <c r="P8" s="2">
        <v>11.9</v>
      </c>
      <c r="T8" s="15">
        <v>46.3</v>
      </c>
      <c r="U8" s="18"/>
      <c r="V8" s="18"/>
      <c r="W8" s="18"/>
    </row>
    <row r="9" spans="1:23">
      <c r="B9" s="18" t="s">
        <v>34</v>
      </c>
      <c r="D9" s="2">
        <v>30.4</v>
      </c>
      <c r="H9" s="2">
        <v>32.1</v>
      </c>
      <c r="L9" s="2">
        <v>33.799999999999997</v>
      </c>
      <c r="P9" s="2">
        <v>33.4</v>
      </c>
      <c r="T9" s="15">
        <v>129.6</v>
      </c>
      <c r="U9" s="18"/>
      <c r="V9" s="18"/>
      <c r="W9" s="18"/>
    </row>
    <row r="10" spans="1:23">
      <c r="B10" s="27" t="s">
        <v>41</v>
      </c>
      <c r="D10" s="2">
        <v>0.2</v>
      </c>
      <c r="H10" s="2">
        <v>0.3</v>
      </c>
      <c r="L10" s="2">
        <v>0.4</v>
      </c>
      <c r="P10" s="2">
        <v>0.4</v>
      </c>
      <c r="T10" s="15">
        <v>1.3</v>
      </c>
      <c r="U10" s="18"/>
      <c r="V10" s="18"/>
      <c r="W10" s="18"/>
    </row>
    <row r="11" spans="1:23">
      <c r="B11" s="18" t="s">
        <v>6</v>
      </c>
      <c r="D11" s="2">
        <v>6.3</v>
      </c>
      <c r="H11" s="2">
        <v>5.7</v>
      </c>
      <c r="L11" s="2">
        <v>6.7</v>
      </c>
      <c r="P11" s="2">
        <v>7.2</v>
      </c>
      <c r="T11" s="15">
        <v>26</v>
      </c>
      <c r="U11" s="18"/>
      <c r="V11" s="18"/>
      <c r="W11" s="18"/>
    </row>
    <row r="12" spans="1:23" ht="15" thickBot="1">
      <c r="B12" s="1" t="s">
        <v>1</v>
      </c>
      <c r="D12" s="3">
        <f>SUM(D8:D11)</f>
        <v>48</v>
      </c>
      <c r="H12" s="3">
        <f>SUM(H8:H11)</f>
        <v>49.6</v>
      </c>
      <c r="L12" s="3">
        <f>SUM(L8:L11)</f>
        <v>52.6</v>
      </c>
      <c r="P12" s="3">
        <f>SUM(P8:P11)</f>
        <v>52.9</v>
      </c>
      <c r="T12" s="32">
        <f>SUM(T8:T11)</f>
        <v>203.2</v>
      </c>
      <c r="U12" s="18"/>
      <c r="V12" s="18"/>
      <c r="W12" s="18"/>
    </row>
    <row r="13" spans="1:23" ht="15" thickTop="1">
      <c r="D13" s="11"/>
      <c r="H13" s="11"/>
      <c r="L13" s="11"/>
      <c r="P13" s="11"/>
      <c r="T13" s="33"/>
      <c r="U13" s="18"/>
      <c r="V13" s="18"/>
      <c r="W13" s="18"/>
    </row>
    <row r="14" spans="1:23">
      <c r="A14" s="1" t="s">
        <v>11</v>
      </c>
      <c r="D14" s="26" t="s">
        <v>7</v>
      </c>
      <c r="E14" s="26"/>
      <c r="F14" s="26" t="s">
        <v>5</v>
      </c>
      <c r="H14" s="26" t="s">
        <v>7</v>
      </c>
      <c r="I14" s="26"/>
      <c r="J14" s="26" t="s">
        <v>5</v>
      </c>
      <c r="L14" s="26" t="s">
        <v>7</v>
      </c>
      <c r="M14" s="26"/>
      <c r="N14" s="26" t="s">
        <v>5</v>
      </c>
      <c r="P14" s="26" t="s">
        <v>7</v>
      </c>
      <c r="Q14" s="26"/>
      <c r="R14" s="26" t="s">
        <v>5</v>
      </c>
      <c r="T14" s="34" t="s">
        <v>7</v>
      </c>
      <c r="U14" s="34"/>
      <c r="V14" s="34" t="s">
        <v>5</v>
      </c>
      <c r="W14" s="18"/>
    </row>
    <row r="15" spans="1:23">
      <c r="B15" s="18" t="s">
        <v>27</v>
      </c>
      <c r="D15" s="14">
        <v>290</v>
      </c>
      <c r="F15" s="7">
        <v>26.15</v>
      </c>
      <c r="H15" s="14">
        <v>298.7</v>
      </c>
      <c r="J15" s="7">
        <v>26.02</v>
      </c>
      <c r="L15" s="14">
        <v>301.5</v>
      </c>
      <c r="N15" s="7">
        <v>25.71</v>
      </c>
      <c r="P15" s="14">
        <v>308.3</v>
      </c>
      <c r="R15" s="7">
        <v>25.81</v>
      </c>
      <c r="T15" s="14">
        <f>1198.5+0.1</f>
        <v>1198.5999999999999</v>
      </c>
      <c r="U15" s="18"/>
      <c r="V15" s="19">
        <v>25.93</v>
      </c>
      <c r="W15" s="18"/>
    </row>
    <row r="16" spans="1:23">
      <c r="B16" s="18" t="s">
        <v>28</v>
      </c>
      <c r="D16" s="15">
        <v>281.39999999999998</v>
      </c>
      <c r="F16" s="8">
        <v>9.27</v>
      </c>
      <c r="H16" s="15">
        <v>300.5</v>
      </c>
      <c r="J16" s="8">
        <v>9.3699999999999992</v>
      </c>
      <c r="L16" s="15">
        <v>319.3</v>
      </c>
      <c r="N16" s="8">
        <v>9.4499999999999993</v>
      </c>
      <c r="P16" s="15">
        <v>320.8</v>
      </c>
      <c r="R16" s="8">
        <v>9.61</v>
      </c>
      <c r="T16" s="15">
        <f>1222+0.2</f>
        <v>1222.2</v>
      </c>
      <c r="U16" s="18"/>
      <c r="V16" s="20">
        <v>9.43</v>
      </c>
      <c r="W16" s="18"/>
    </row>
    <row r="17" spans="1:25">
      <c r="B17" s="18" t="s">
        <v>40</v>
      </c>
      <c r="D17" s="17">
        <f>SUM(D15:D16)</f>
        <v>571.4</v>
      </c>
      <c r="F17" s="37">
        <v>13.78</v>
      </c>
      <c r="H17" s="17">
        <f>SUM(H15:H16)</f>
        <v>599.20000000000005</v>
      </c>
      <c r="J17" s="37">
        <v>13.76</v>
      </c>
      <c r="L17" s="17">
        <f>SUM(L15:L16)</f>
        <v>620.79999999999995</v>
      </c>
      <c r="N17" s="37">
        <v>13.64</v>
      </c>
      <c r="P17" s="17">
        <f>SUM(P15:P16)</f>
        <v>629.1</v>
      </c>
      <c r="R17" s="37">
        <v>13.88</v>
      </c>
      <c r="T17" s="17">
        <f>SUM(T15:T16)</f>
        <v>2420.8000000000002</v>
      </c>
      <c r="U17" s="18"/>
      <c r="V17" s="36">
        <v>13.76</v>
      </c>
      <c r="W17" s="18"/>
    </row>
    <row r="18" spans="1:25">
      <c r="D18" s="16"/>
      <c r="F18" s="5"/>
      <c r="H18" s="16"/>
      <c r="J18" s="5"/>
      <c r="L18" s="16"/>
      <c r="N18" s="5"/>
      <c r="P18" s="16"/>
      <c r="R18" s="5"/>
      <c r="T18" s="16"/>
      <c r="U18" s="18"/>
      <c r="V18" s="16"/>
      <c r="W18" s="18"/>
    </row>
    <row r="19" spans="1:25">
      <c r="A19" s="1" t="s">
        <v>12</v>
      </c>
      <c r="D19" s="16"/>
      <c r="F19" s="13"/>
      <c r="H19" s="16"/>
      <c r="J19" s="13"/>
      <c r="L19" s="16"/>
      <c r="N19" s="13"/>
      <c r="P19" s="16"/>
      <c r="R19" s="13"/>
      <c r="T19" s="16"/>
      <c r="U19" s="18"/>
      <c r="V19" s="21"/>
      <c r="W19" s="18"/>
    </row>
    <row r="20" spans="1:25">
      <c r="B20" s="18" t="s">
        <v>27</v>
      </c>
      <c r="D20" s="14">
        <v>237.1</v>
      </c>
      <c r="F20" s="10">
        <v>21.38</v>
      </c>
      <c r="H20" s="14">
        <v>251.8</v>
      </c>
      <c r="J20" s="10">
        <v>21.93</v>
      </c>
      <c r="L20" s="14">
        <v>256.89999999999998</v>
      </c>
      <c r="N20" s="10">
        <v>21.9</v>
      </c>
      <c r="P20" s="14">
        <v>253.6</v>
      </c>
      <c r="R20" s="10">
        <v>21.23</v>
      </c>
      <c r="T20" s="14">
        <f>T15-T25</f>
        <v>999.49999999999989</v>
      </c>
      <c r="U20" s="18"/>
      <c r="V20" s="22">
        <v>21.62</v>
      </c>
      <c r="W20" s="18"/>
    </row>
    <row r="21" spans="1:25">
      <c r="B21" s="18" t="s">
        <v>28</v>
      </c>
      <c r="D21" s="15">
        <v>201.8</v>
      </c>
      <c r="F21" s="8">
        <v>6.65</v>
      </c>
      <c r="H21" s="15">
        <v>216.3</v>
      </c>
      <c r="J21" s="8">
        <v>6.74</v>
      </c>
      <c r="L21" s="15">
        <v>226.1</v>
      </c>
      <c r="N21" s="8">
        <v>6.69</v>
      </c>
      <c r="P21" s="15">
        <v>220.8</v>
      </c>
      <c r="R21" s="8">
        <v>6.61</v>
      </c>
      <c r="T21" s="15">
        <f>T16-T26</f>
        <v>865.2</v>
      </c>
      <c r="U21" s="18"/>
      <c r="V21" s="20">
        <v>6.67</v>
      </c>
      <c r="W21" s="18"/>
    </row>
    <row r="22" spans="1:25">
      <c r="B22" s="18" t="s">
        <v>40</v>
      </c>
      <c r="D22" s="17">
        <f>SUM(D20:D21)</f>
        <v>438.9</v>
      </c>
      <c r="F22" s="37">
        <v>10.59</v>
      </c>
      <c r="H22" s="17">
        <f>SUM(H20:H21)</f>
        <v>468.1</v>
      </c>
      <c r="J22" s="37">
        <v>10.75</v>
      </c>
      <c r="L22" s="17">
        <f>SUM(L20:L21)</f>
        <v>483</v>
      </c>
      <c r="N22" s="37">
        <v>10.61</v>
      </c>
      <c r="P22" s="17">
        <f>SUM(P20:P21)</f>
        <v>474.4</v>
      </c>
      <c r="R22" s="37">
        <v>10.47</v>
      </c>
      <c r="T22" s="17">
        <f>SUM(T20:T21)</f>
        <v>1864.6999999999998</v>
      </c>
      <c r="U22" s="18"/>
      <c r="V22" s="36">
        <v>10.6</v>
      </c>
      <c r="W22" s="18"/>
    </row>
    <row r="23" spans="1:25">
      <c r="D23" s="16"/>
      <c r="F23" s="5"/>
      <c r="H23" s="16"/>
      <c r="J23" s="5"/>
      <c r="L23" s="16"/>
      <c r="N23" s="5"/>
      <c r="P23" s="16"/>
      <c r="R23" s="5"/>
      <c r="T23" s="16"/>
      <c r="U23" s="18"/>
      <c r="V23" s="16"/>
      <c r="W23" s="18"/>
    </row>
    <row r="24" spans="1:25">
      <c r="A24" s="1" t="s">
        <v>13</v>
      </c>
      <c r="D24" s="16"/>
      <c r="F24" s="5"/>
      <c r="H24" s="16"/>
      <c r="J24" s="5"/>
      <c r="L24" s="16"/>
      <c r="N24" s="5"/>
      <c r="P24" s="16"/>
      <c r="R24" s="5"/>
      <c r="T24" s="16"/>
      <c r="U24" s="18"/>
      <c r="V24" s="16"/>
      <c r="W24" s="18"/>
    </row>
    <row r="25" spans="1:25">
      <c r="B25" s="18" t="s">
        <v>27</v>
      </c>
      <c r="D25" s="14">
        <f>D15-D20</f>
        <v>52.900000000000006</v>
      </c>
      <c r="F25" s="10">
        <f>F15-F20</f>
        <v>4.7699999999999996</v>
      </c>
      <c r="H25" s="14">
        <f>H15-H20</f>
        <v>46.899999999999977</v>
      </c>
      <c r="J25" s="10">
        <f>J15-J20</f>
        <v>4.09</v>
      </c>
      <c r="L25" s="14">
        <f>L15-L20</f>
        <v>44.600000000000023</v>
      </c>
      <c r="N25" s="10">
        <f>N15-N20</f>
        <v>3.8100000000000023</v>
      </c>
      <c r="P25" s="14">
        <f>P15-P20</f>
        <v>54.700000000000017</v>
      </c>
      <c r="R25" s="10">
        <f>R15-R20</f>
        <v>4.5799999999999983</v>
      </c>
      <c r="T25" s="14">
        <f>199+0.1</f>
        <v>199.1</v>
      </c>
      <c r="U25" s="18"/>
      <c r="V25" s="22">
        <f>V15-V20</f>
        <v>4.3099999999999987</v>
      </c>
      <c r="W25" s="18"/>
    </row>
    <row r="26" spans="1:25">
      <c r="B26" s="18" t="s">
        <v>28</v>
      </c>
      <c r="D26" s="15">
        <f>D16-D21</f>
        <v>79.599999999999966</v>
      </c>
      <c r="F26" s="8">
        <f>F16-F21</f>
        <v>2.6199999999999992</v>
      </c>
      <c r="H26" s="15">
        <f>H16-H21</f>
        <v>84.199999999999989</v>
      </c>
      <c r="J26" s="8">
        <f>J16-J21</f>
        <v>2.629999999999999</v>
      </c>
      <c r="L26" s="15">
        <f>L16-L21</f>
        <v>93.200000000000017</v>
      </c>
      <c r="N26" s="8">
        <f>N16-N21</f>
        <v>2.7599999999999989</v>
      </c>
      <c r="P26" s="15">
        <f>P16-P21</f>
        <v>100</v>
      </c>
      <c r="R26" s="8">
        <f>R16-R21</f>
        <v>2.9999999999999991</v>
      </c>
      <c r="T26" s="15">
        <f>356.9+0.1</f>
        <v>357</v>
      </c>
      <c r="U26" s="18"/>
      <c r="V26" s="20">
        <f>V16-V21</f>
        <v>2.76</v>
      </c>
      <c r="W26" s="18"/>
    </row>
    <row r="27" spans="1:25">
      <c r="B27" s="18" t="s">
        <v>40</v>
      </c>
      <c r="D27" s="17">
        <f>SUM(D25:D26)</f>
        <v>132.49999999999997</v>
      </c>
      <c r="F27" s="37">
        <f>F17-F22</f>
        <v>3.1899999999999995</v>
      </c>
      <c r="H27" s="17">
        <f>SUM(H25:H26)</f>
        <v>131.09999999999997</v>
      </c>
      <c r="J27" s="37">
        <f>J17-J22</f>
        <v>3.01</v>
      </c>
      <c r="L27" s="17">
        <f>SUM(L25:L26)</f>
        <v>137.80000000000004</v>
      </c>
      <c r="N27" s="37">
        <f>N17-N22</f>
        <v>3.0300000000000011</v>
      </c>
      <c r="P27" s="17">
        <f>SUM(P25:P26)</f>
        <v>154.70000000000002</v>
      </c>
      <c r="R27" s="37">
        <f>R17-R22</f>
        <v>3.41</v>
      </c>
      <c r="T27" s="17">
        <f>SUM(T25:T26)</f>
        <v>556.1</v>
      </c>
      <c r="U27" s="18"/>
      <c r="V27" s="36">
        <f>V17-V22</f>
        <v>3.16</v>
      </c>
      <c r="W27" s="18"/>
    </row>
    <row r="28" spans="1:25">
      <c r="D28" s="16"/>
      <c r="F28" s="5"/>
      <c r="H28" s="16"/>
      <c r="J28" s="5"/>
      <c r="L28" s="16"/>
      <c r="N28" s="5"/>
      <c r="P28" s="16"/>
      <c r="R28" s="5"/>
      <c r="T28" s="16"/>
      <c r="U28" s="18"/>
      <c r="V28" s="16"/>
      <c r="W28" s="18"/>
    </row>
    <row r="29" spans="1:25">
      <c r="A29" s="1" t="s">
        <v>14</v>
      </c>
      <c r="D29" s="16">
        <v>1.9</v>
      </c>
      <c r="F29" s="5"/>
      <c r="H29" s="16">
        <v>-2.2999999999999998</v>
      </c>
      <c r="J29" s="5"/>
      <c r="L29" s="16">
        <v>2.6</v>
      </c>
      <c r="N29" s="5"/>
      <c r="P29" s="16">
        <v>0</v>
      </c>
      <c r="R29" s="5"/>
      <c r="T29" s="16">
        <v>2.2000000000000002</v>
      </c>
      <c r="U29" s="18"/>
      <c r="V29" s="16"/>
      <c r="W29" s="18"/>
    </row>
    <row r="30" spans="1:25">
      <c r="D30" s="16"/>
      <c r="F30" s="5"/>
      <c r="H30" s="16"/>
      <c r="J30" s="5"/>
      <c r="L30" s="16"/>
      <c r="N30" s="5"/>
      <c r="P30" s="16"/>
      <c r="R30" s="5"/>
      <c r="T30" s="16"/>
      <c r="U30" s="18"/>
      <c r="V30" s="16"/>
      <c r="W30" s="18"/>
      <c r="Y30"/>
    </row>
    <row r="31" spans="1:25">
      <c r="A31" s="18" t="s">
        <v>16</v>
      </c>
      <c r="B31" s="18"/>
      <c r="C31" s="18"/>
      <c r="D31" s="16">
        <v>5.8</v>
      </c>
      <c r="E31" s="18"/>
      <c r="F31" s="16"/>
      <c r="G31" s="18"/>
      <c r="H31" s="16">
        <v>10.3</v>
      </c>
      <c r="I31" s="18"/>
      <c r="J31" s="16"/>
      <c r="K31" s="18"/>
      <c r="L31" s="16">
        <v>4</v>
      </c>
      <c r="M31" s="18"/>
      <c r="N31" s="16"/>
      <c r="O31" s="18"/>
      <c r="P31" s="16">
        <v>2.1</v>
      </c>
      <c r="Q31" s="18"/>
      <c r="R31" s="16"/>
      <c r="T31" s="16">
        <v>22.2</v>
      </c>
      <c r="U31" s="18"/>
      <c r="V31" s="16"/>
      <c r="W31" s="18"/>
      <c r="Y31"/>
    </row>
    <row r="32" spans="1:25">
      <c r="A32" s="18"/>
      <c r="B32" s="18"/>
      <c r="C32" s="18"/>
      <c r="D32" s="16"/>
      <c r="E32" s="18"/>
      <c r="F32" s="16"/>
      <c r="G32" s="18"/>
      <c r="H32" s="16"/>
      <c r="I32" s="18"/>
      <c r="J32" s="16"/>
      <c r="K32" s="18"/>
      <c r="L32" s="16"/>
      <c r="M32" s="18"/>
      <c r="N32" s="16"/>
      <c r="O32" s="18"/>
      <c r="P32" s="16"/>
      <c r="Q32" s="18"/>
      <c r="R32" s="16"/>
      <c r="T32" s="16"/>
      <c r="U32" s="18"/>
      <c r="V32" s="16"/>
      <c r="W32" s="18"/>
      <c r="Y32"/>
    </row>
    <row r="33" spans="1:25">
      <c r="A33" s="1" t="s">
        <v>6</v>
      </c>
      <c r="D33" s="16">
        <v>17</v>
      </c>
      <c r="F33" s="12"/>
      <c r="H33" s="16">
        <v>14.2</v>
      </c>
      <c r="J33" s="12"/>
      <c r="L33" s="16">
        <v>9.3000000000000007</v>
      </c>
      <c r="N33" s="12"/>
      <c r="P33" s="16">
        <v>5.2</v>
      </c>
      <c r="R33" s="12"/>
      <c r="T33" s="16">
        <v>45.8</v>
      </c>
      <c r="U33" s="18"/>
      <c r="V33" s="23"/>
      <c r="W33" s="18"/>
      <c r="Y33"/>
    </row>
    <row r="34" spans="1:25">
      <c r="D34" s="5"/>
      <c r="F34" s="5"/>
      <c r="H34" s="5"/>
      <c r="J34" s="5"/>
      <c r="L34" s="5"/>
      <c r="N34" s="5"/>
      <c r="P34" s="5"/>
      <c r="R34" s="5"/>
      <c r="T34" s="16"/>
      <c r="U34" s="18"/>
      <c r="V34" s="16"/>
      <c r="W34" s="18"/>
      <c r="Y34"/>
    </row>
    <row r="35" spans="1:25">
      <c r="A35" s="1" t="s">
        <v>9</v>
      </c>
      <c r="D35" s="4">
        <v>-25.3</v>
      </c>
      <c r="F35" s="9">
        <f>D35/$D$12</f>
        <v>-0.52708333333333335</v>
      </c>
      <c r="H35" s="4">
        <v>-28.5</v>
      </c>
      <c r="J35" s="9">
        <f>H35/$H$12</f>
        <v>-0.57459677419354838</v>
      </c>
      <c r="L35" s="4">
        <v>-22.6</v>
      </c>
      <c r="N35" s="9">
        <f>L35/$L$12</f>
        <v>-0.42965779467680609</v>
      </c>
      <c r="P35" s="4">
        <v>-32.1</v>
      </c>
      <c r="R35" s="9">
        <f>P35/$P$12</f>
        <v>-0.6068052930056711</v>
      </c>
      <c r="T35" s="14">
        <v>-108.5</v>
      </c>
      <c r="U35" s="18"/>
      <c r="V35" s="24">
        <f>T35/T$12</f>
        <v>-0.53395669291338588</v>
      </c>
      <c r="W35" s="18"/>
      <c r="Y35"/>
    </row>
    <row r="36" spans="1:25">
      <c r="D36" s="4"/>
      <c r="F36" s="9"/>
      <c r="H36" s="4"/>
      <c r="J36" s="9"/>
      <c r="L36" s="4"/>
      <c r="N36" s="9"/>
      <c r="P36" s="4"/>
      <c r="R36" s="9"/>
      <c r="T36" s="14"/>
      <c r="U36" s="18"/>
      <c r="V36" s="24"/>
      <c r="W36" s="18"/>
      <c r="Y36"/>
    </row>
    <row r="37" spans="1:25">
      <c r="A37" s="18" t="s">
        <v>51</v>
      </c>
      <c r="D37" s="4">
        <v>-56.1</v>
      </c>
      <c r="E37" s="4"/>
      <c r="F37" s="9">
        <f>D37/$D$12</f>
        <v>-1.16875</v>
      </c>
      <c r="H37" s="4">
        <v>-59.5</v>
      </c>
      <c r="I37" s="4"/>
      <c r="J37" s="9">
        <f>H37/$H$12</f>
        <v>-1.1995967741935483</v>
      </c>
      <c r="L37" s="4">
        <v>-61.2</v>
      </c>
      <c r="M37" s="4"/>
      <c r="N37" s="9">
        <f>L37/$L$12</f>
        <v>-1.1634980988593155</v>
      </c>
      <c r="P37" s="4">
        <v>-57.5</v>
      </c>
      <c r="Q37" s="4"/>
      <c r="R37" s="9">
        <f>P37/$P$12</f>
        <v>-1.0869565217391304</v>
      </c>
      <c r="T37" s="14">
        <v>-234.3</v>
      </c>
      <c r="U37" s="14"/>
      <c r="V37" s="24">
        <f>T37/T$12</f>
        <v>-1.1530511811023623</v>
      </c>
      <c r="W37" s="18"/>
      <c r="Y37"/>
    </row>
    <row r="38" spans="1:25">
      <c r="D38" s="4"/>
      <c r="E38" s="4"/>
      <c r="F38" s="9"/>
      <c r="H38" s="4"/>
      <c r="I38" s="4"/>
      <c r="J38" s="9"/>
      <c r="L38" s="4"/>
      <c r="M38" s="4"/>
      <c r="N38" s="9"/>
      <c r="P38" s="4"/>
      <c r="Q38" s="4"/>
      <c r="R38" s="9"/>
      <c r="T38" s="14"/>
      <c r="U38" s="14"/>
      <c r="V38" s="24"/>
      <c r="W38" s="18"/>
      <c r="Y38"/>
    </row>
    <row r="39" spans="1:25">
      <c r="A39" s="1" t="s">
        <v>17</v>
      </c>
      <c r="D39" s="4">
        <v>-6.5</v>
      </c>
      <c r="E39" s="4"/>
      <c r="F39" s="9">
        <f>D39/$D$12</f>
        <v>-0.13541666666666666</v>
      </c>
      <c r="H39" s="4">
        <v>-6.6</v>
      </c>
      <c r="I39" s="4"/>
      <c r="J39" s="9">
        <f>H39/$H$12</f>
        <v>-0.13306451612903225</v>
      </c>
      <c r="L39" s="4">
        <v>-7.5</v>
      </c>
      <c r="M39" s="4"/>
      <c r="N39" s="9">
        <f>L39/$L$12</f>
        <v>-0.14258555133079848</v>
      </c>
      <c r="P39" s="4">
        <v>-10.6</v>
      </c>
      <c r="Q39" s="4"/>
      <c r="R39" s="9">
        <f>P39/$P$12</f>
        <v>-0.20037807183364839</v>
      </c>
      <c r="T39" s="14">
        <v>-31.2</v>
      </c>
      <c r="U39" s="14"/>
      <c r="V39" s="24">
        <f>T39/T$12</f>
        <v>-0.15354330708661418</v>
      </c>
      <c r="W39" s="18"/>
      <c r="Y39"/>
    </row>
    <row r="40" spans="1:25">
      <c r="D40" s="4"/>
      <c r="E40" s="4"/>
      <c r="F40" s="9"/>
      <c r="H40" s="4"/>
      <c r="I40" s="4"/>
      <c r="J40" s="9"/>
      <c r="L40" s="4"/>
      <c r="M40" s="4"/>
      <c r="N40" s="9"/>
      <c r="P40" s="4"/>
      <c r="Q40" s="4"/>
      <c r="R40" s="9"/>
      <c r="T40" s="14"/>
      <c r="U40" s="14"/>
      <c r="V40" s="24"/>
      <c r="W40" s="18"/>
      <c r="Y40"/>
    </row>
    <row r="41" spans="1:25" s="18" customFormat="1">
      <c r="A41" s="18" t="s">
        <v>21</v>
      </c>
      <c r="D41" s="14">
        <v>-34.799999999999997</v>
      </c>
      <c r="E41" s="14"/>
      <c r="F41" s="24">
        <f>D41/$D$12</f>
        <v>-0.72499999999999998</v>
      </c>
      <c r="H41" s="14">
        <v>-28.4</v>
      </c>
      <c r="I41" s="14"/>
      <c r="J41" s="24">
        <f>H41/$H$12</f>
        <v>-0.57258064516129026</v>
      </c>
      <c r="L41" s="14">
        <v>-26.8</v>
      </c>
      <c r="M41" s="14"/>
      <c r="N41" s="24">
        <f>L41/$L$12</f>
        <v>-0.50950570342205326</v>
      </c>
      <c r="P41" s="14">
        <v>-17.399999999999999</v>
      </c>
      <c r="Q41" s="14"/>
      <c r="R41" s="24">
        <f>P41/$P$12</f>
        <v>-0.32892249527410206</v>
      </c>
      <c r="T41" s="14">
        <v>-107.5</v>
      </c>
      <c r="U41" s="14"/>
      <c r="V41" s="24">
        <f>T41/T$12</f>
        <v>-0.5290354330708662</v>
      </c>
      <c r="Y41"/>
    </row>
    <row r="42" spans="1:25">
      <c r="D42" s="2"/>
      <c r="F42" s="9"/>
      <c r="H42" s="2"/>
      <c r="J42" s="9"/>
      <c r="L42" s="2"/>
      <c r="N42" s="9"/>
      <c r="P42" s="2"/>
      <c r="R42" s="9"/>
      <c r="T42" s="15"/>
      <c r="U42" s="18"/>
      <c r="V42" s="24"/>
      <c r="W42" s="18"/>
      <c r="Y42"/>
    </row>
    <row r="43" spans="1:25">
      <c r="A43" s="1" t="s">
        <v>2</v>
      </c>
      <c r="D43" s="6">
        <f>D25+D26+D33+D35+D37+D41+D29+D31+D39</f>
        <v>34.499999999999964</v>
      </c>
      <c r="F43" s="9">
        <f>D43/$D$12</f>
        <v>0.71874999999999922</v>
      </c>
      <c r="H43" s="6">
        <f>H25+H26+H33+H35+H37+H41+H29+H31+H39</f>
        <v>30.299999999999955</v>
      </c>
      <c r="J43" s="9">
        <f>H43/$H$12</f>
        <v>0.61088709677419262</v>
      </c>
      <c r="L43" s="6">
        <f>L25+L26+L33+L35+L37+L41+L29+L31+L39</f>
        <v>35.600000000000058</v>
      </c>
      <c r="N43" s="9">
        <f>L43/$L$12</f>
        <v>0.67680608365019124</v>
      </c>
      <c r="P43" s="6">
        <f>P25+P26+P33+P35+P37+P41+P29+P31+P39</f>
        <v>44.400000000000013</v>
      </c>
      <c r="R43" s="9">
        <f>P43/$P$12</f>
        <v>0.83931947069943313</v>
      </c>
      <c r="T43" s="25">
        <f>T25+T26+T33+T35+T37+T41+T29+T31+T39</f>
        <v>144.79999999999995</v>
      </c>
      <c r="U43" s="18"/>
      <c r="V43" s="24">
        <f>T43/T$12</f>
        <v>0.71259842519685024</v>
      </c>
      <c r="W43" s="18"/>
      <c r="Y43"/>
    </row>
    <row r="44" spans="1:25">
      <c r="F44" s="9"/>
      <c r="J44" s="9"/>
      <c r="N44" s="9"/>
      <c r="R44" s="9"/>
      <c r="T44" s="18"/>
      <c r="U44" s="18"/>
      <c r="V44" s="24"/>
      <c r="W44" s="18"/>
      <c r="Y44"/>
    </row>
    <row r="45" spans="1:25">
      <c r="T45" s="18"/>
      <c r="U45" s="18"/>
      <c r="V45" s="18"/>
      <c r="W45" s="18"/>
    </row>
    <row r="46" spans="1:25">
      <c r="A46" s="1" t="s">
        <v>3</v>
      </c>
      <c r="D46" s="4">
        <f>D43-D37-D39</f>
        <v>97.099999999999966</v>
      </c>
      <c r="F46" s="7">
        <f>D46/D12</f>
        <v>2.0229166666666658</v>
      </c>
      <c r="H46" s="4">
        <f>H43-H37-H39</f>
        <v>96.399999999999949</v>
      </c>
      <c r="J46" s="7">
        <f>H46/H12</f>
        <v>1.9435483870967731</v>
      </c>
      <c r="L46" s="4">
        <f>L43-L37-L39</f>
        <v>104.30000000000007</v>
      </c>
      <c r="N46" s="9">
        <f>L46/$L$12</f>
        <v>1.9828897338403055</v>
      </c>
      <c r="P46" s="4">
        <f>P43-P37-P39</f>
        <v>112.5</v>
      </c>
      <c r="R46" s="9">
        <f>P46/$P$12</f>
        <v>2.1266540642722118</v>
      </c>
      <c r="T46" s="14">
        <f>T43-T37-T39</f>
        <v>410.29999999999995</v>
      </c>
      <c r="U46" s="18"/>
      <c r="V46" s="24">
        <f>T46/T$12</f>
        <v>2.0191929133858268</v>
      </c>
      <c r="W46" s="18"/>
    </row>
    <row r="47" spans="1:25">
      <c r="T47" s="18"/>
      <c r="U47" s="18"/>
      <c r="V47" s="18"/>
      <c r="W47" s="18"/>
    </row>
    <row r="48" spans="1:25">
      <c r="A48" s="1" t="s">
        <v>4</v>
      </c>
      <c r="D48" s="4">
        <v>58.8</v>
      </c>
      <c r="F48" s="12"/>
      <c r="H48" s="4">
        <v>33.1</v>
      </c>
      <c r="J48" s="12"/>
      <c r="L48" s="4">
        <v>26.9</v>
      </c>
      <c r="N48" s="12"/>
      <c r="P48" s="4">
        <f>156.4-26.9-33.1-58.8</f>
        <v>37.600000000000009</v>
      </c>
      <c r="R48" s="12"/>
      <c r="T48" s="14">
        <v>156.4</v>
      </c>
      <c r="U48" s="18"/>
      <c r="V48" s="23"/>
      <c r="W48" s="18"/>
    </row>
    <row r="49" spans="1:23">
      <c r="T49" s="18"/>
      <c r="U49" s="18"/>
      <c r="V49" s="18"/>
      <c r="W49" s="18"/>
    </row>
    <row r="50" spans="1:23">
      <c r="T50" s="18"/>
      <c r="U50" s="18"/>
      <c r="V50" s="18"/>
      <c r="W50" s="18"/>
    </row>
    <row r="51" spans="1:23">
      <c r="T51" s="18"/>
      <c r="U51" s="18"/>
      <c r="V51" s="18"/>
      <c r="W51" s="18"/>
    </row>
    <row r="52" spans="1:23">
      <c r="T52" s="18"/>
      <c r="U52" s="18"/>
      <c r="V52" s="18"/>
      <c r="W52" s="18"/>
    </row>
    <row r="53" spans="1:23">
      <c r="A53" s="35" t="s">
        <v>53</v>
      </c>
      <c r="T53" s="18"/>
      <c r="U53" s="18"/>
      <c r="V53" s="18"/>
      <c r="W53" s="18"/>
    </row>
    <row r="54" spans="1:23">
      <c r="T54" s="18"/>
      <c r="U54" s="18"/>
      <c r="V54" s="18"/>
      <c r="W54" s="18"/>
    </row>
    <row r="55" spans="1:23">
      <c r="A55" s="29" t="s">
        <v>50</v>
      </c>
      <c r="T55" s="18"/>
      <c r="U55" s="18"/>
      <c r="V55" s="18"/>
      <c r="W55" s="18"/>
    </row>
    <row r="56" spans="1:23">
      <c r="T56" s="18"/>
      <c r="U56" s="18"/>
      <c r="V56" s="18"/>
      <c r="W56" s="18"/>
    </row>
    <row r="57" spans="1:23">
      <c r="T57" s="18"/>
      <c r="U57" s="18"/>
      <c r="V57" s="18"/>
      <c r="W57" s="18"/>
    </row>
    <row r="58" spans="1:23">
      <c r="T58" s="18"/>
      <c r="U58" s="18"/>
      <c r="V58" s="18"/>
      <c r="W58" s="18"/>
    </row>
    <row r="59" spans="1:23">
      <c r="T59" s="18"/>
      <c r="U59" s="18"/>
      <c r="V59" s="18"/>
      <c r="W59" s="18"/>
    </row>
    <row r="60" spans="1:23">
      <c r="T60" s="18"/>
      <c r="U60" s="18"/>
      <c r="V60" s="18"/>
      <c r="W60" s="18"/>
    </row>
    <row r="61" spans="1:23">
      <c r="T61" s="18"/>
      <c r="U61" s="18"/>
      <c r="V61" s="18"/>
      <c r="W61" s="18"/>
    </row>
    <row r="62" spans="1:23">
      <c r="T62" s="18"/>
      <c r="U62" s="18"/>
      <c r="V62" s="18"/>
      <c r="W62" s="18"/>
    </row>
    <row r="63" spans="1:23">
      <c r="T63" s="18"/>
      <c r="U63" s="18"/>
      <c r="V63" s="18"/>
      <c r="W63" s="18"/>
    </row>
    <row r="64" spans="1:23">
      <c r="T64" s="18"/>
      <c r="U64" s="18"/>
      <c r="V64" s="18"/>
      <c r="W64" s="18"/>
    </row>
    <row r="65" spans="20:23">
      <c r="T65" s="18"/>
      <c r="U65" s="18"/>
      <c r="V65" s="18"/>
      <c r="W65" s="18"/>
    </row>
    <row r="66" spans="20:23">
      <c r="T66" s="18"/>
      <c r="U66" s="18"/>
      <c r="V66" s="18"/>
      <c r="W66" s="18"/>
    </row>
    <row r="67" spans="20:23">
      <c r="T67" s="18"/>
      <c r="U67" s="18"/>
      <c r="V67" s="18"/>
      <c r="W67" s="18"/>
    </row>
    <row r="68" spans="20:23">
      <c r="T68" s="18"/>
      <c r="U68" s="18"/>
      <c r="V68" s="18"/>
      <c r="W68" s="18"/>
    </row>
    <row r="69" spans="20:23">
      <c r="T69" s="18"/>
      <c r="U69" s="18"/>
      <c r="V69" s="18"/>
      <c r="W69" s="18"/>
    </row>
    <row r="70" spans="20:23">
      <c r="T70" s="18"/>
      <c r="U70" s="18"/>
      <c r="V70" s="18"/>
      <c r="W70" s="18"/>
    </row>
    <row r="71" spans="20:23">
      <c r="T71" s="18"/>
      <c r="U71" s="18"/>
      <c r="V71" s="18"/>
      <c r="W71" s="18"/>
    </row>
    <row r="72" spans="20:23">
      <c r="T72" s="18"/>
      <c r="U72" s="18"/>
      <c r="V72" s="18"/>
      <c r="W72" s="18"/>
    </row>
    <row r="73" spans="20:23">
      <c r="T73" s="18"/>
      <c r="U73" s="18"/>
      <c r="V73" s="18"/>
      <c r="W73" s="18"/>
    </row>
    <row r="74" spans="20:23">
      <c r="T74" s="18"/>
      <c r="U74" s="18"/>
      <c r="V74" s="18"/>
      <c r="W74" s="18"/>
    </row>
    <row r="75" spans="20:23">
      <c r="T75" s="18"/>
      <c r="U75" s="18"/>
      <c r="V75" s="18"/>
      <c r="W75" s="18"/>
    </row>
    <row r="76" spans="20:23">
      <c r="T76" s="18"/>
      <c r="U76" s="18"/>
      <c r="V76" s="18"/>
      <c r="W76" s="18"/>
    </row>
    <row r="77" spans="20:23">
      <c r="T77" s="18"/>
      <c r="U77" s="18"/>
      <c r="V77" s="18"/>
      <c r="W77" s="18"/>
    </row>
    <row r="78" spans="20:23">
      <c r="T78" s="18"/>
      <c r="U78" s="18"/>
      <c r="V78" s="18"/>
      <c r="W78" s="18"/>
    </row>
    <row r="79" spans="20:23">
      <c r="T79" s="18"/>
      <c r="U79" s="18"/>
      <c r="V79" s="18"/>
      <c r="W79" s="18"/>
    </row>
    <row r="80" spans="20:23">
      <c r="T80" s="18"/>
      <c r="U80" s="18"/>
      <c r="V80" s="18"/>
      <c r="W80" s="18"/>
    </row>
  </sheetData>
  <mergeCells count="10">
    <mergeCell ref="D5:F5"/>
    <mergeCell ref="D6:F6"/>
    <mergeCell ref="H5:J5"/>
    <mergeCell ref="H6:J6"/>
    <mergeCell ref="T5:V5"/>
    <mergeCell ref="T6:V6"/>
    <mergeCell ref="P5:R5"/>
    <mergeCell ref="P6:R6"/>
    <mergeCell ref="L5:N5"/>
    <mergeCell ref="L6:N6"/>
  </mergeCells>
  <phoneticPr fontId="0" type="noConversion"/>
  <printOptions horizontalCentered="1"/>
  <pageMargins left="0.25" right="0.25" top="0.5" bottom="0.5" header="0.5" footer="0.5"/>
  <pageSetup scale="69" orientation="landscape" r:id="rId1"/>
  <headerFooter alignWithMargins="0"/>
</worksheet>
</file>

<file path=xl/worksheets/sheet2.xml><?xml version="1.0" encoding="utf-8"?>
<worksheet xmlns="http://schemas.openxmlformats.org/spreadsheetml/2006/main" xmlns:r="http://schemas.openxmlformats.org/officeDocument/2006/relationships">
  <sheetPr codeName="Sheet2">
    <pageSetUpPr fitToPage="1"/>
  </sheetPr>
  <dimension ref="A1:Z61"/>
  <sheetViews>
    <sheetView zoomScale="75" zoomScaleNormal="100" workbookViewId="0">
      <pane xSplit="3" ySplit="6" topLeftCell="D7" activePane="bottomRight" state="frozen"/>
      <selection activeCell="D7" sqref="D7"/>
      <selection pane="topRight" activeCell="D7" sqref="D7"/>
      <selection pane="bottomLeft" activeCell="D7" sqref="D7"/>
      <selection pane="bottomRight" activeCell="D7" sqref="D7"/>
    </sheetView>
  </sheetViews>
  <sheetFormatPr defaultRowHeight="14.25"/>
  <cols>
    <col min="1" max="2" width="9.140625" style="18" customWidth="1"/>
    <col min="3" max="3" width="31.7109375" style="18" customWidth="1"/>
    <col min="4" max="4" width="10.5703125" style="18" customWidth="1"/>
    <col min="5" max="5" width="2.7109375" style="18" customWidth="1"/>
    <col min="6" max="6" width="9.85546875" style="18" customWidth="1"/>
    <col min="7" max="7" width="3.5703125" style="18" customWidth="1"/>
    <col min="8" max="8" width="10.5703125" style="1" customWidth="1"/>
    <col min="9" max="9" width="2.7109375" style="1" customWidth="1"/>
    <col min="10" max="10" width="9.85546875" style="1" customWidth="1"/>
    <col min="11" max="11" width="3.5703125" style="18" customWidth="1"/>
    <col min="12" max="12" width="10.7109375" style="18" customWidth="1"/>
    <col min="13" max="13" width="2.7109375" style="18" customWidth="1"/>
    <col min="14" max="14" width="10.7109375" style="18" customWidth="1"/>
    <col min="15" max="15" width="3.5703125" style="18" customWidth="1"/>
    <col min="16" max="16" width="10.5703125" style="18" customWidth="1"/>
    <col min="17" max="17" width="2.5703125" style="18" customWidth="1"/>
    <col min="18" max="18" width="10.5703125" style="18" customWidth="1"/>
    <col min="19" max="19" width="3.140625" style="18" customWidth="1"/>
    <col min="20" max="20" width="10.7109375" style="18" customWidth="1"/>
    <col min="21" max="21" width="2.7109375" style="18" customWidth="1"/>
    <col min="22" max="22" width="10.7109375" style="18" customWidth="1"/>
    <col min="23" max="23" width="2.7109375" style="18" customWidth="1"/>
    <col min="24" max="24" width="13.42578125" style="18" customWidth="1"/>
    <col min="25" max="25" width="2.7109375" style="18" customWidth="1"/>
    <col min="26" max="26" width="11" style="18" bestFit="1" customWidth="1"/>
    <col min="27" max="16384" width="9.140625" style="18"/>
  </cols>
  <sheetData>
    <row r="1" spans="1:26" ht="18">
      <c r="A1" s="30" t="s">
        <v>35</v>
      </c>
    </row>
    <row r="2" spans="1:26" ht="18">
      <c r="A2" s="30" t="s">
        <v>8</v>
      </c>
    </row>
    <row r="3" spans="1:26" ht="18">
      <c r="A3" s="30" t="s">
        <v>10</v>
      </c>
    </row>
    <row r="4" spans="1:26">
      <c r="X4" s="54" t="s">
        <v>55</v>
      </c>
      <c r="Y4" s="54"/>
      <c r="Z4" s="54"/>
    </row>
    <row r="5" spans="1:26">
      <c r="D5" s="54" t="s">
        <v>36</v>
      </c>
      <c r="E5" s="54"/>
      <c r="F5" s="54"/>
      <c r="H5" s="51" t="s">
        <v>36</v>
      </c>
      <c r="I5" s="51"/>
      <c r="J5" s="51"/>
      <c r="L5" s="54" t="s">
        <v>36</v>
      </c>
      <c r="M5" s="54"/>
      <c r="N5" s="54"/>
      <c r="P5" s="54" t="s">
        <v>36</v>
      </c>
      <c r="Q5" s="54"/>
      <c r="R5" s="54"/>
      <c r="T5" s="54" t="s">
        <v>18</v>
      </c>
      <c r="U5" s="54"/>
      <c r="V5" s="54"/>
      <c r="X5" s="54" t="s">
        <v>56</v>
      </c>
      <c r="Y5" s="54"/>
      <c r="Z5" s="54"/>
    </row>
    <row r="6" spans="1:26" ht="16.5">
      <c r="D6" s="55" t="s">
        <v>42</v>
      </c>
      <c r="E6" s="56"/>
      <c r="F6" s="56"/>
      <c r="H6" s="52" t="s">
        <v>43</v>
      </c>
      <c r="I6" s="53"/>
      <c r="J6" s="53"/>
      <c r="L6" s="55" t="s">
        <v>44</v>
      </c>
      <c r="M6" s="56"/>
      <c r="N6" s="56"/>
      <c r="P6" s="55" t="s">
        <v>45</v>
      </c>
      <c r="Q6" s="56"/>
      <c r="R6" s="56"/>
      <c r="T6" s="55" t="s">
        <v>48</v>
      </c>
      <c r="U6" s="56"/>
      <c r="V6" s="56"/>
      <c r="X6" s="57" t="s">
        <v>57</v>
      </c>
      <c r="Y6" s="57"/>
      <c r="Z6" s="57"/>
    </row>
    <row r="7" spans="1:26">
      <c r="A7" s="18" t="s">
        <v>29</v>
      </c>
      <c r="L7" s="1"/>
      <c r="M7" s="1"/>
      <c r="N7" s="1"/>
    </row>
    <row r="8" spans="1:26">
      <c r="B8" s="18" t="s">
        <v>60</v>
      </c>
      <c r="D8" s="15">
        <v>13.7</v>
      </c>
      <c r="H8" s="15">
        <v>14.1</v>
      </c>
      <c r="L8" s="15">
        <v>13.7</v>
      </c>
      <c r="M8" s="1"/>
      <c r="N8" s="1"/>
      <c r="P8" s="15">
        <v>13.1</v>
      </c>
      <c r="T8" s="15">
        <v>54.7</v>
      </c>
      <c r="X8" s="15">
        <f>30.4-1.7</f>
        <v>28.7</v>
      </c>
    </row>
    <row r="9" spans="1:26">
      <c r="B9" s="18" t="s">
        <v>34</v>
      </c>
      <c r="D9" s="15">
        <v>39.799999999999997</v>
      </c>
      <c r="H9" s="15">
        <v>38.799999999999997</v>
      </c>
      <c r="L9" s="15">
        <v>40.4</v>
      </c>
      <c r="M9" s="1"/>
      <c r="N9" s="1"/>
      <c r="P9" s="15">
        <v>41.5</v>
      </c>
      <c r="T9" s="15">
        <v>160.5</v>
      </c>
      <c r="X9" s="15">
        <v>160.5</v>
      </c>
    </row>
    <row r="10" spans="1:26">
      <c r="B10" s="31" t="s">
        <v>30</v>
      </c>
      <c r="D10" s="15">
        <v>1.9</v>
      </c>
      <c r="H10" s="15">
        <v>2.4</v>
      </c>
      <c r="L10" s="15">
        <v>2.2999999999999998</v>
      </c>
      <c r="M10" s="1"/>
      <c r="N10" s="1"/>
      <c r="P10" s="15">
        <v>4.4000000000000004</v>
      </c>
      <c r="T10" s="15">
        <v>11</v>
      </c>
      <c r="X10" s="15">
        <v>10.8</v>
      </c>
    </row>
    <row r="11" spans="1:26">
      <c r="B11" s="18" t="s">
        <v>6</v>
      </c>
      <c r="D11" s="15">
        <v>6</v>
      </c>
      <c r="H11" s="15">
        <v>5.5</v>
      </c>
      <c r="L11" s="15">
        <v>4.4000000000000004</v>
      </c>
      <c r="M11" s="1"/>
      <c r="N11" s="1"/>
      <c r="P11" s="15">
        <v>5.6</v>
      </c>
      <c r="T11" s="15">
        <v>21.4</v>
      </c>
      <c r="X11" s="15">
        <v>21.4</v>
      </c>
    </row>
    <row r="12" spans="1:26" ht="15" thickBot="1">
      <c r="B12" s="18" t="s">
        <v>1</v>
      </c>
      <c r="D12" s="32">
        <f>SUM(D8:D11)</f>
        <v>61.4</v>
      </c>
      <c r="H12" s="32">
        <f>SUM(H8:H11)</f>
        <v>60.8</v>
      </c>
      <c r="L12" s="32">
        <f>SUM(L8:L11)</f>
        <v>60.79999999999999</v>
      </c>
      <c r="M12" s="1"/>
      <c r="N12" s="1"/>
      <c r="P12" s="32">
        <f>SUM(P8:P11)</f>
        <v>64.599999999999994</v>
      </c>
      <c r="T12" s="32">
        <f>SUM(T8:T11)</f>
        <v>247.6</v>
      </c>
      <c r="X12" s="32">
        <f>SUM(X8:X11)</f>
        <v>221.4</v>
      </c>
    </row>
    <row r="13" spans="1:26" ht="15" thickTop="1">
      <c r="D13" s="33"/>
      <c r="H13" s="33"/>
      <c r="L13" s="33"/>
      <c r="M13" s="1"/>
      <c r="N13" s="1"/>
      <c r="P13" s="33"/>
      <c r="T13" s="33"/>
    </row>
    <row r="14" spans="1:26">
      <c r="A14" s="18" t="s">
        <v>23</v>
      </c>
      <c r="D14" s="34" t="s">
        <v>7</v>
      </c>
      <c r="E14" s="34"/>
      <c r="F14" s="34" t="s">
        <v>5</v>
      </c>
      <c r="H14" s="34" t="s">
        <v>7</v>
      </c>
      <c r="I14" s="34"/>
      <c r="J14" s="34" t="s">
        <v>5</v>
      </c>
      <c r="L14" s="34" t="s">
        <v>7</v>
      </c>
      <c r="M14" s="34"/>
      <c r="N14" s="34" t="s">
        <v>5</v>
      </c>
      <c r="P14" s="34" t="s">
        <v>7</v>
      </c>
      <c r="Q14" s="34"/>
      <c r="R14" s="34" t="s">
        <v>5</v>
      </c>
      <c r="T14" s="34" t="s">
        <v>7</v>
      </c>
      <c r="U14" s="34"/>
      <c r="V14" s="34" t="s">
        <v>5</v>
      </c>
      <c r="X14" s="34" t="s">
        <v>7</v>
      </c>
      <c r="Y14" s="34"/>
      <c r="Z14" s="34" t="s">
        <v>5</v>
      </c>
    </row>
    <row r="15" spans="1:26">
      <c r="B15" s="18" t="s">
        <v>61</v>
      </c>
      <c r="D15" s="14">
        <v>514.5</v>
      </c>
      <c r="F15" s="19">
        <v>37.47</v>
      </c>
      <c r="H15" s="14">
        <v>517.5</v>
      </c>
      <c r="J15" s="7">
        <v>36.700000000000003</v>
      </c>
      <c r="L15" s="14">
        <v>505.6</v>
      </c>
      <c r="N15" s="19">
        <v>36.86</v>
      </c>
      <c r="P15" s="14">
        <v>498.3</v>
      </c>
      <c r="R15" s="19">
        <v>37.96</v>
      </c>
      <c r="T15" s="14">
        <v>2035.8</v>
      </c>
      <c r="V15" s="19">
        <v>37.24</v>
      </c>
      <c r="X15" s="14">
        <v>858.5</v>
      </c>
      <c r="Z15" s="46">
        <f>X15/X8</f>
        <v>29.912891986062718</v>
      </c>
    </row>
    <row r="16" spans="1:26">
      <c r="B16" s="18" t="s">
        <v>28</v>
      </c>
      <c r="D16" s="15">
        <v>432.1</v>
      </c>
      <c r="F16" s="20">
        <v>10.86</v>
      </c>
      <c r="H16" s="15">
        <v>400.3</v>
      </c>
      <c r="J16" s="8">
        <v>10.32</v>
      </c>
      <c r="L16" s="15">
        <v>428.3</v>
      </c>
      <c r="N16" s="20">
        <v>10.6</v>
      </c>
      <c r="P16" s="15">
        <v>442.8</v>
      </c>
      <c r="R16" s="20">
        <v>10.66</v>
      </c>
      <c r="T16" s="15">
        <v>1703.4</v>
      </c>
      <c r="V16" s="20">
        <v>10.61</v>
      </c>
      <c r="X16" s="15">
        <v>1703.4</v>
      </c>
      <c r="Z16" s="46">
        <f>X16/X9</f>
        <v>10.613084112149533</v>
      </c>
    </row>
    <row r="17" spans="1:26">
      <c r="B17" s="18" t="s">
        <v>40</v>
      </c>
      <c r="D17" s="17">
        <f>SUM(D15:D16)</f>
        <v>946.6</v>
      </c>
      <c r="F17" s="20">
        <v>17.690000000000001</v>
      </c>
      <c r="H17" s="17">
        <f>SUM(H15:H16)</f>
        <v>917.8</v>
      </c>
      <c r="J17" s="20">
        <v>17.350000000000001</v>
      </c>
      <c r="L17" s="17">
        <f>SUM(L15:L16)</f>
        <v>933.90000000000009</v>
      </c>
      <c r="N17" s="20">
        <v>17.260000000000002</v>
      </c>
      <c r="P17" s="17">
        <f>SUM(P15:P16)</f>
        <v>941.1</v>
      </c>
      <c r="R17" s="20">
        <v>17.22</v>
      </c>
      <c r="T17" s="17">
        <f>SUM(T15:T16)</f>
        <v>3739.2</v>
      </c>
      <c r="V17" s="20">
        <v>17.38</v>
      </c>
      <c r="X17" s="17">
        <f>SUM(X15:X16)</f>
        <v>2561.9</v>
      </c>
      <c r="Z17" s="46">
        <f>X17/(SUM($X$8:$X$9))</f>
        <v>13.540697674418606</v>
      </c>
    </row>
    <row r="18" spans="1:26">
      <c r="B18" s="18" t="s">
        <v>26</v>
      </c>
      <c r="D18" s="25">
        <v>153</v>
      </c>
      <c r="F18" s="20">
        <v>82.88</v>
      </c>
      <c r="H18" s="25">
        <v>217.9</v>
      </c>
      <c r="J18" s="20">
        <v>89.72</v>
      </c>
      <c r="L18" s="25">
        <v>191.5</v>
      </c>
      <c r="N18" s="20">
        <v>82.02</v>
      </c>
      <c r="P18" s="25">
        <v>280.8</v>
      </c>
      <c r="R18" s="20">
        <v>64.31</v>
      </c>
      <c r="T18" s="25">
        <v>843.2</v>
      </c>
      <c r="V18" s="20">
        <v>76.83</v>
      </c>
      <c r="X18" s="25">
        <v>833</v>
      </c>
      <c r="Z18" s="46">
        <f>X18/X10</f>
        <v>77.129629629629619</v>
      </c>
    </row>
    <row r="19" spans="1:26">
      <c r="D19" s="16"/>
      <c r="F19" s="16"/>
      <c r="H19" s="16"/>
      <c r="J19" s="5"/>
      <c r="L19" s="16"/>
      <c r="M19" s="1"/>
      <c r="N19" s="5"/>
      <c r="P19" s="16"/>
      <c r="R19" s="16"/>
      <c r="T19" s="16"/>
      <c r="V19" s="16"/>
      <c r="X19" s="16"/>
    </row>
    <row r="20" spans="1:26">
      <c r="A20" s="18" t="s">
        <v>24</v>
      </c>
      <c r="D20" s="16"/>
      <c r="F20" s="21"/>
      <c r="H20" s="16"/>
      <c r="J20" s="13"/>
      <c r="L20" s="16"/>
      <c r="M20" s="1"/>
      <c r="N20" s="13"/>
      <c r="P20" s="16"/>
      <c r="R20" s="21"/>
      <c r="T20" s="16"/>
      <c r="V20" s="21"/>
      <c r="X20" s="16"/>
    </row>
    <row r="21" spans="1:26">
      <c r="B21" s="18" t="s">
        <v>61</v>
      </c>
      <c r="D21" s="14">
        <v>382</v>
      </c>
      <c r="F21" s="22">
        <v>27.82</v>
      </c>
      <c r="H21" s="14">
        <v>409.4</v>
      </c>
      <c r="J21" s="10">
        <v>29.03</v>
      </c>
      <c r="L21" s="14">
        <v>437.2</v>
      </c>
      <c r="N21" s="22">
        <v>31.87</v>
      </c>
      <c r="P21" s="14">
        <v>423.2</v>
      </c>
      <c r="R21" s="22">
        <v>32.24</v>
      </c>
      <c r="T21" s="14">
        <v>1651.7</v>
      </c>
      <c r="V21" s="22">
        <v>30.21</v>
      </c>
      <c r="X21" s="14">
        <f>721.2-49</f>
        <v>672.2</v>
      </c>
      <c r="Z21" s="46">
        <f>X21/X8</f>
        <v>23.421602787456447</v>
      </c>
    </row>
    <row r="22" spans="1:26">
      <c r="B22" s="18" t="s">
        <v>28</v>
      </c>
      <c r="D22" s="15">
        <v>304.3</v>
      </c>
      <c r="F22" s="20">
        <v>7.65</v>
      </c>
      <c r="H22" s="15">
        <v>300.3</v>
      </c>
      <c r="J22" s="8">
        <v>7.74</v>
      </c>
      <c r="L22" s="15">
        <v>315.7</v>
      </c>
      <c r="N22" s="20">
        <v>7.81</v>
      </c>
      <c r="P22" s="15">
        <v>310.10000000000002</v>
      </c>
      <c r="R22" s="20">
        <v>7.47</v>
      </c>
      <c r="T22" s="15">
        <v>1230.3</v>
      </c>
      <c r="V22" s="20">
        <v>7.66</v>
      </c>
      <c r="X22" s="15">
        <v>1230.3</v>
      </c>
      <c r="Z22" s="46">
        <f>X22/X9</f>
        <v>7.6654205607476635</v>
      </c>
    </row>
    <row r="23" spans="1:26">
      <c r="B23" s="18" t="s">
        <v>40</v>
      </c>
      <c r="D23" s="17">
        <f>SUM(D21:D22)</f>
        <v>686.3</v>
      </c>
      <c r="F23" s="20">
        <v>12.83</v>
      </c>
      <c r="H23" s="17">
        <f>SUM(H21:H22)</f>
        <v>709.7</v>
      </c>
      <c r="J23" s="20">
        <v>13.42</v>
      </c>
      <c r="L23" s="17">
        <f>SUM(L21:L22)</f>
        <v>752.9</v>
      </c>
      <c r="N23" s="20">
        <v>13.92</v>
      </c>
      <c r="P23" s="17">
        <f>SUM(P21:P22)</f>
        <v>733.3</v>
      </c>
      <c r="R23" s="20">
        <v>13.42</v>
      </c>
      <c r="T23" s="17">
        <f>SUM(T21:T22)</f>
        <v>2882</v>
      </c>
      <c r="V23" s="20">
        <v>13.4</v>
      </c>
      <c r="X23" s="17">
        <f>SUM(X21:X22)</f>
        <v>1902.5</v>
      </c>
      <c r="Z23" s="46">
        <f>X23/(SUM($X$8:$X$9))</f>
        <v>10.055496828752643</v>
      </c>
    </row>
    <row r="24" spans="1:26">
      <c r="B24" s="18" t="s">
        <v>26</v>
      </c>
      <c r="D24" s="25">
        <v>105.2</v>
      </c>
      <c r="F24" s="20">
        <v>57.01</v>
      </c>
      <c r="H24" s="25">
        <v>152</v>
      </c>
      <c r="J24" s="20">
        <v>62.57</v>
      </c>
      <c r="L24" s="25">
        <v>116.3</v>
      </c>
      <c r="N24" s="20">
        <v>49.79</v>
      </c>
      <c r="P24" s="25">
        <v>191.3</v>
      </c>
      <c r="R24" s="20">
        <v>43.82</v>
      </c>
      <c r="T24" s="25">
        <v>564.79999999999995</v>
      </c>
      <c r="V24" s="20">
        <v>51.46</v>
      </c>
      <c r="X24" s="25">
        <v>546.29999999999995</v>
      </c>
      <c r="Z24" s="46">
        <f>X24/X10</f>
        <v>50.583333333333329</v>
      </c>
    </row>
    <row r="25" spans="1:26">
      <c r="D25" s="16"/>
      <c r="F25" s="16"/>
      <c r="H25" s="16"/>
      <c r="J25" s="5"/>
      <c r="L25" s="16"/>
      <c r="M25" s="1"/>
      <c r="N25" s="5"/>
      <c r="P25" s="16"/>
      <c r="R25" s="16"/>
      <c r="T25" s="16"/>
      <c r="V25" s="16"/>
      <c r="X25" s="16"/>
    </row>
    <row r="26" spans="1:26">
      <c r="A26" s="18" t="s">
        <v>25</v>
      </c>
      <c r="D26" s="16"/>
      <c r="F26" s="16"/>
      <c r="H26" s="16"/>
      <c r="J26" s="5"/>
      <c r="L26" s="16"/>
      <c r="M26" s="1"/>
      <c r="N26" s="5"/>
      <c r="P26" s="16"/>
      <c r="R26" s="16"/>
      <c r="T26" s="16"/>
      <c r="V26" s="16"/>
      <c r="X26" s="16"/>
    </row>
    <row r="27" spans="1:26" ht="13.7" customHeight="1">
      <c r="B27" s="18" t="s">
        <v>61</v>
      </c>
      <c r="D27" s="14">
        <f>D15-D21</f>
        <v>132.5</v>
      </c>
      <c r="F27" s="10">
        <f>+F15-F21</f>
        <v>9.6499999999999986</v>
      </c>
      <c r="H27" s="14">
        <f>H15-H21</f>
        <v>108.10000000000002</v>
      </c>
      <c r="J27" s="10">
        <f>+J15-J21</f>
        <v>7.6700000000000017</v>
      </c>
      <c r="L27" s="14">
        <f>L15-L21</f>
        <v>68.400000000000034</v>
      </c>
      <c r="N27" s="22">
        <f>+N15-N21</f>
        <v>4.9899999999999984</v>
      </c>
      <c r="P27" s="14">
        <f>P15-P21</f>
        <v>75.100000000000023</v>
      </c>
      <c r="R27" s="22">
        <f>+R15-R21</f>
        <v>5.7199999999999989</v>
      </c>
      <c r="T27" s="14">
        <f>T15-T21</f>
        <v>384.09999999999991</v>
      </c>
      <c r="V27" s="22">
        <f>+V15-V21</f>
        <v>7.0300000000000011</v>
      </c>
      <c r="X27" s="14">
        <f>X15-X21</f>
        <v>186.29999999999995</v>
      </c>
      <c r="Z27" s="46">
        <f>X27/X8</f>
        <v>6.4912891986062702</v>
      </c>
    </row>
    <row r="28" spans="1:26">
      <c r="B28" s="18" t="s">
        <v>28</v>
      </c>
      <c r="D28" s="15">
        <f>D16-D22</f>
        <v>127.80000000000001</v>
      </c>
      <c r="F28" s="8">
        <f>+F16-F22</f>
        <v>3.2099999999999991</v>
      </c>
      <c r="H28" s="15">
        <f>H16-H22</f>
        <v>100</v>
      </c>
      <c r="J28" s="8">
        <f>+J16-J22</f>
        <v>2.58</v>
      </c>
      <c r="L28" s="15">
        <f>L16-L22</f>
        <v>112.60000000000002</v>
      </c>
      <c r="N28" s="20">
        <f>+N16-N22</f>
        <v>2.79</v>
      </c>
      <c r="P28" s="15">
        <f>P16-P22</f>
        <v>132.69999999999999</v>
      </c>
      <c r="R28" s="20">
        <f>+R16-R22</f>
        <v>3.1900000000000004</v>
      </c>
      <c r="T28" s="15">
        <f>T16-T22</f>
        <v>473.10000000000014</v>
      </c>
      <c r="V28" s="20">
        <f>+V16-V22</f>
        <v>2.9499999999999993</v>
      </c>
      <c r="X28" s="15">
        <f>X16-X22</f>
        <v>473.10000000000014</v>
      </c>
      <c r="Z28" s="46">
        <f>X28/X9</f>
        <v>2.9476635514018699</v>
      </c>
    </row>
    <row r="29" spans="1:26">
      <c r="B29" s="18" t="s">
        <v>40</v>
      </c>
      <c r="D29" s="17">
        <f>SUM(D27:D28)</f>
        <v>260.3</v>
      </c>
      <c r="F29" s="8">
        <f>+F17-F23</f>
        <v>4.8600000000000012</v>
      </c>
      <c r="H29" s="17">
        <f>SUM(H27:H28)</f>
        <v>208.10000000000002</v>
      </c>
      <c r="J29" s="8">
        <f>+J17-J23</f>
        <v>3.9300000000000015</v>
      </c>
      <c r="L29" s="17">
        <f>SUM(L27:L28)</f>
        <v>181.00000000000006</v>
      </c>
      <c r="N29" s="20">
        <f>+N17-N23</f>
        <v>3.3400000000000016</v>
      </c>
      <c r="P29" s="17">
        <f>SUM(P27:P28)</f>
        <v>207.8</v>
      </c>
      <c r="R29" s="20">
        <f>+R17-R23</f>
        <v>3.7999999999999989</v>
      </c>
      <c r="T29" s="17">
        <f>SUM(T27:T28)</f>
        <v>857.2</v>
      </c>
      <c r="V29" s="20">
        <f>+V17-V23</f>
        <v>3.9799999999999986</v>
      </c>
      <c r="X29" s="17">
        <f>SUM(X27:X28)</f>
        <v>659.40000000000009</v>
      </c>
      <c r="Z29" s="46">
        <f>X29/(SUM($X$8:$X$9))</f>
        <v>3.4852008456659624</v>
      </c>
    </row>
    <row r="30" spans="1:26">
      <c r="B30" s="18" t="s">
        <v>26</v>
      </c>
      <c r="D30" s="25">
        <f>D18-D24</f>
        <v>47.8</v>
      </c>
      <c r="F30" s="8">
        <f>+F18-F24</f>
        <v>25.869999999999997</v>
      </c>
      <c r="H30" s="25">
        <f>H18-H24</f>
        <v>65.900000000000006</v>
      </c>
      <c r="J30" s="8">
        <f>+J18-J24</f>
        <v>27.15</v>
      </c>
      <c r="L30" s="25">
        <f>L18-L24</f>
        <v>75.2</v>
      </c>
      <c r="N30" s="20">
        <f>+N18-N24</f>
        <v>32.229999999999997</v>
      </c>
      <c r="P30" s="25">
        <f>P18-P24</f>
        <v>89.5</v>
      </c>
      <c r="R30" s="20">
        <f>+R18-R24</f>
        <v>20.490000000000002</v>
      </c>
      <c r="T30" s="25">
        <f>T18-T24</f>
        <v>278.40000000000009</v>
      </c>
      <c r="V30" s="20">
        <f>+V18-V24</f>
        <v>25.369999999999997</v>
      </c>
      <c r="X30" s="25">
        <f>X18-X24</f>
        <v>286.70000000000005</v>
      </c>
      <c r="Z30" s="46">
        <f>X30/X10</f>
        <v>26.546296296296298</v>
      </c>
    </row>
    <row r="31" spans="1:26">
      <c r="D31" s="16"/>
      <c r="F31" s="16"/>
      <c r="H31" s="16"/>
      <c r="J31" s="5"/>
      <c r="L31" s="16"/>
      <c r="M31" s="1"/>
      <c r="N31" s="5"/>
      <c r="P31" s="16"/>
      <c r="R31" s="16"/>
      <c r="T31" s="16"/>
      <c r="V31" s="16"/>
      <c r="X31" s="16"/>
    </row>
    <row r="32" spans="1:26">
      <c r="A32" s="18" t="s">
        <v>31</v>
      </c>
      <c r="D32" s="16">
        <v>7.4</v>
      </c>
      <c r="F32" s="16"/>
      <c r="H32" s="16">
        <v>49.2</v>
      </c>
      <c r="I32" s="18"/>
      <c r="J32" s="16"/>
      <c r="L32" s="16">
        <v>30.6</v>
      </c>
      <c r="N32" s="16"/>
      <c r="P32" s="16">
        <v>35.4</v>
      </c>
      <c r="R32" s="16"/>
      <c r="T32" s="16">
        <v>122.6</v>
      </c>
      <c r="V32" s="16"/>
      <c r="X32" s="16">
        <f>46.4+12.3</f>
        <v>58.7</v>
      </c>
    </row>
    <row r="33" spans="1:26">
      <c r="D33" s="16"/>
      <c r="F33" s="16"/>
      <c r="H33" s="5"/>
      <c r="J33" s="5"/>
      <c r="L33" s="5"/>
      <c r="M33" s="1"/>
      <c r="N33" s="5"/>
      <c r="P33" s="16"/>
      <c r="R33" s="16"/>
      <c r="T33" s="16"/>
      <c r="V33" s="16"/>
      <c r="X33" s="16"/>
    </row>
    <row r="34" spans="1:26">
      <c r="A34" s="18" t="s">
        <v>32</v>
      </c>
      <c r="D34" s="16">
        <v>16.2</v>
      </c>
      <c r="F34" s="23"/>
      <c r="H34" s="12">
        <v>21.2</v>
      </c>
      <c r="J34" s="12"/>
      <c r="L34" s="12">
        <v>39.299999999999997</v>
      </c>
      <c r="M34" s="1"/>
      <c r="N34" s="12"/>
      <c r="P34" s="23">
        <v>15.9</v>
      </c>
      <c r="R34" s="23"/>
      <c r="T34" s="23">
        <v>92.6</v>
      </c>
      <c r="V34" s="23"/>
      <c r="X34" s="23">
        <v>92.6</v>
      </c>
    </row>
    <row r="35" spans="1:26">
      <c r="D35" s="16"/>
      <c r="F35" s="16"/>
      <c r="H35" s="5"/>
      <c r="J35" s="5"/>
      <c r="L35" s="5"/>
      <c r="M35" s="1"/>
      <c r="N35" s="5"/>
      <c r="P35" s="16"/>
      <c r="R35" s="16"/>
      <c r="T35" s="16"/>
      <c r="V35" s="16"/>
      <c r="X35" s="16"/>
    </row>
    <row r="36" spans="1:26">
      <c r="A36" s="18" t="s">
        <v>9</v>
      </c>
      <c r="D36" s="14">
        <v>-46.5</v>
      </c>
      <c r="F36" s="24">
        <f>D36/$D$12</f>
        <v>-0.75732899022801303</v>
      </c>
      <c r="H36" s="14">
        <v>-40.799999999999997</v>
      </c>
      <c r="J36" s="24">
        <f>H36/$H$12</f>
        <v>-0.67105263157894735</v>
      </c>
      <c r="L36" s="14">
        <v>-31.5</v>
      </c>
      <c r="M36" s="1"/>
      <c r="N36" s="24">
        <f>L36/L$12</f>
        <v>-0.51809210526315796</v>
      </c>
      <c r="P36" s="14">
        <v>-57.1</v>
      </c>
      <c r="R36" s="24">
        <f>P36/P$12</f>
        <v>-0.88390092879256976</v>
      </c>
      <c r="T36" s="14">
        <v>-175.9</v>
      </c>
      <c r="V36" s="24">
        <f>T36/T$12</f>
        <v>-0.7104200323101777</v>
      </c>
      <c r="X36" s="14">
        <f>-128</f>
        <v>-128</v>
      </c>
      <c r="Z36" s="24">
        <f>X36/X$12</f>
        <v>-0.57813911472448054</v>
      </c>
    </row>
    <row r="37" spans="1:26">
      <c r="D37" s="14"/>
      <c r="F37" s="24"/>
      <c r="H37" s="14"/>
      <c r="J37" s="24"/>
      <c r="L37" s="14"/>
      <c r="M37" s="1"/>
      <c r="N37" s="24"/>
      <c r="P37" s="14"/>
      <c r="R37" s="24"/>
      <c r="T37" s="14"/>
      <c r="V37" s="24"/>
      <c r="X37" s="14"/>
      <c r="Z37" s="24"/>
    </row>
    <row r="38" spans="1:26">
      <c r="A38" s="18" t="s">
        <v>51</v>
      </c>
      <c r="D38" s="14">
        <v>-81</v>
      </c>
      <c r="E38" s="14"/>
      <c r="F38" s="24">
        <f>D38/$D$12</f>
        <v>-1.3192182410423452</v>
      </c>
      <c r="H38" s="14">
        <v>-91.5</v>
      </c>
      <c r="I38" s="4"/>
      <c r="J38" s="24">
        <f>H38/$H$12</f>
        <v>-1.5049342105263159</v>
      </c>
      <c r="K38" s="14"/>
      <c r="L38" s="14">
        <v>-90.6</v>
      </c>
      <c r="M38" s="4"/>
      <c r="N38" s="24">
        <f>L38/L$12</f>
        <v>-1.4901315789473686</v>
      </c>
      <c r="P38" s="14">
        <v>-114.1</v>
      </c>
      <c r="Q38" s="14"/>
      <c r="R38" s="24">
        <f>P38/P$12</f>
        <v>-1.7662538699690402</v>
      </c>
      <c r="T38" s="14">
        <v>-377.2</v>
      </c>
      <c r="U38" s="14"/>
      <c r="V38" s="24">
        <f>T38/T$12</f>
        <v>-1.5234248788368336</v>
      </c>
      <c r="X38" s="14">
        <f>-284.2</f>
        <v>-284.2</v>
      </c>
      <c r="Z38" s="24">
        <f>X38/X$12</f>
        <v>-1.2836495031616981</v>
      </c>
    </row>
    <row r="39" spans="1:26">
      <c r="D39" s="14"/>
      <c r="E39" s="14"/>
      <c r="F39" s="24"/>
      <c r="H39" s="14"/>
      <c r="I39" s="4"/>
      <c r="J39" s="24"/>
      <c r="K39" s="14"/>
      <c r="L39" s="14"/>
      <c r="M39" s="4"/>
      <c r="N39" s="24"/>
      <c r="P39" s="14"/>
      <c r="Q39" s="14"/>
      <c r="R39" s="24"/>
      <c r="T39" s="14"/>
      <c r="U39" s="14"/>
      <c r="V39" s="24"/>
      <c r="X39" s="14"/>
      <c r="Z39" s="24"/>
    </row>
    <row r="40" spans="1:26">
      <c r="A40" s="18" t="s">
        <v>17</v>
      </c>
      <c r="D40" s="14">
        <v>-7.2</v>
      </c>
      <c r="E40" s="14"/>
      <c r="F40" s="24">
        <f>D40/$D$12</f>
        <v>-0.11726384364820848</v>
      </c>
      <c r="H40" s="14">
        <v>-11.6</v>
      </c>
      <c r="I40" s="4"/>
      <c r="J40" s="24">
        <f>H40/$H$12</f>
        <v>-0.19078947368421054</v>
      </c>
      <c r="K40" s="14"/>
      <c r="L40" s="14">
        <v>-7.1</v>
      </c>
      <c r="M40" s="4"/>
      <c r="N40" s="24">
        <f>L40/L$12</f>
        <v>-0.1167763157894737</v>
      </c>
      <c r="P40" s="14">
        <v>-14.2</v>
      </c>
      <c r="Q40" s="14"/>
      <c r="R40" s="24">
        <f>P40/P$12</f>
        <v>-0.21981424148606812</v>
      </c>
      <c r="T40" s="14">
        <v>-40.1</v>
      </c>
      <c r="U40" s="14"/>
      <c r="V40" s="24">
        <f>T40/T$12</f>
        <v>-0.16195476575121165</v>
      </c>
      <c r="X40" s="14">
        <v>-14.2</v>
      </c>
      <c r="Z40" s="24">
        <f>X40/X$12</f>
        <v>-6.4137308039747057E-2</v>
      </c>
    </row>
    <row r="41" spans="1:26">
      <c r="D41" s="14"/>
      <c r="E41" s="14"/>
      <c r="F41" s="24"/>
      <c r="H41" s="14"/>
      <c r="I41" s="4"/>
      <c r="J41" s="24"/>
      <c r="K41" s="14"/>
      <c r="L41" s="14"/>
      <c r="M41" s="4"/>
      <c r="N41" s="24"/>
      <c r="P41" s="14"/>
      <c r="Q41" s="14"/>
      <c r="R41" s="24"/>
      <c r="T41" s="14"/>
      <c r="U41" s="14"/>
      <c r="V41" s="24"/>
      <c r="X41" s="14"/>
      <c r="Z41" s="24"/>
    </row>
    <row r="42" spans="1:26" ht="16.5">
      <c r="A42" s="18" t="s">
        <v>46</v>
      </c>
      <c r="D42" s="14">
        <v>-25.8</v>
      </c>
      <c r="E42" s="14"/>
      <c r="F42" s="24">
        <f>D42/$D$12</f>
        <v>-0.4201954397394137</v>
      </c>
      <c r="H42" s="14">
        <v>-24.8</v>
      </c>
      <c r="I42" s="14"/>
      <c r="J42" s="24">
        <f>H42/$H$12</f>
        <v>-0.40789473684210531</v>
      </c>
      <c r="K42" s="14"/>
      <c r="L42" s="14">
        <v>-23.9</v>
      </c>
      <c r="M42" s="14"/>
      <c r="N42" s="24">
        <f>L42/L$12</f>
        <v>-0.39309210526315791</v>
      </c>
      <c r="P42" s="14">
        <v>-20</v>
      </c>
      <c r="Q42" s="14"/>
      <c r="R42" s="24">
        <f>P42/P$12</f>
        <v>-0.30959752321981426</v>
      </c>
      <c r="T42" s="14">
        <v>-94.5</v>
      </c>
      <c r="U42" s="14"/>
      <c r="V42" s="24">
        <f>T42/T$12</f>
        <v>-0.38166397415185782</v>
      </c>
      <c r="X42" s="14">
        <f>-46-0.1-12.3</f>
        <v>-58.400000000000006</v>
      </c>
      <c r="Z42" s="24">
        <f>X42/X$12</f>
        <v>-0.26377597109304429</v>
      </c>
    </row>
    <row r="43" spans="1:26">
      <c r="D43" s="15"/>
      <c r="F43" s="24"/>
      <c r="H43" s="15"/>
      <c r="J43" s="24"/>
      <c r="L43" s="15"/>
      <c r="M43" s="1"/>
      <c r="N43" s="24"/>
      <c r="P43" s="15"/>
      <c r="R43" s="24"/>
      <c r="T43" s="15"/>
      <c r="V43" s="24"/>
      <c r="X43" s="15"/>
      <c r="Z43" s="24"/>
    </row>
    <row r="44" spans="1:26">
      <c r="A44" s="18" t="s">
        <v>2</v>
      </c>
      <c r="D44" s="25">
        <f>D27+D28+D34+D36+D38+D42+D30+D32+D40</f>
        <v>171.20000000000002</v>
      </c>
      <c r="F44" s="24">
        <f>D44/$D$12</f>
        <v>2.7882736156351795</v>
      </c>
      <c r="H44" s="25">
        <f>H27+H28+H34+H36+H38+H42+H30+H32+H40</f>
        <v>175.70000000000002</v>
      </c>
      <c r="J44" s="24">
        <f>H44/$H$12</f>
        <v>2.8898026315789478</v>
      </c>
      <c r="L44" s="25">
        <f>L27+L28+L34+L36+L38+L42+L30+L32+L40</f>
        <v>173.00000000000006</v>
      </c>
      <c r="M44" s="1"/>
      <c r="N44" s="24">
        <f>L44/L$12</f>
        <v>2.8453947368421066</v>
      </c>
      <c r="P44" s="25">
        <f>P27+P28+P34+P36+P38+P42+P30+P32+P40</f>
        <v>143.20000000000005</v>
      </c>
      <c r="R44" s="24">
        <f>P44/P$12</f>
        <v>2.2167182662538707</v>
      </c>
      <c r="T44" s="25">
        <f>T27+T28+T34+T36+T38+T42+T30+T32+T40</f>
        <v>663.10000000000014</v>
      </c>
      <c r="V44" s="24">
        <f>T44/T$12</f>
        <v>2.6781098546042008</v>
      </c>
      <c r="X44" s="25">
        <f>X27+X28+X34+X36+X38+X42+X30+X32+X40</f>
        <v>612.60000000000014</v>
      </c>
      <c r="Z44" s="24">
        <f>X44/X$12</f>
        <v>2.7669376693766945</v>
      </c>
    </row>
    <row r="45" spans="1:26">
      <c r="F45" s="24"/>
      <c r="J45" s="18"/>
      <c r="L45" s="1"/>
      <c r="M45" s="1"/>
    </row>
    <row r="46" spans="1:26">
      <c r="J46" s="18"/>
      <c r="L46" s="1"/>
      <c r="M46" s="1"/>
    </row>
    <row r="47" spans="1:26">
      <c r="A47" s="18" t="s">
        <v>3</v>
      </c>
      <c r="D47" s="14">
        <f>D44-D38-D40</f>
        <v>259.40000000000003</v>
      </c>
      <c r="F47" s="19">
        <f>D47/D12</f>
        <v>4.2247557003257334</v>
      </c>
      <c r="H47" s="14">
        <f>H44-H38-H40</f>
        <v>278.80000000000007</v>
      </c>
      <c r="J47" s="19">
        <f>H47/H12</f>
        <v>4.5855263157894752</v>
      </c>
      <c r="L47" s="14">
        <f>L44-L38-L40</f>
        <v>270.70000000000005</v>
      </c>
      <c r="M47" s="1"/>
      <c r="N47" s="19">
        <f>L47/L12</f>
        <v>4.4523026315789487</v>
      </c>
      <c r="P47" s="14">
        <f>P44-P38-P40</f>
        <v>271.50000000000006</v>
      </c>
      <c r="R47" s="19">
        <f>P47/P12</f>
        <v>4.2027863777089793</v>
      </c>
      <c r="T47" s="14">
        <f>T44-T38-T40</f>
        <v>1080.4000000000001</v>
      </c>
      <c r="V47" s="19">
        <f>T47/T12</f>
        <v>4.3634894991922462</v>
      </c>
      <c r="X47" s="14">
        <f>X44-X38-X40</f>
        <v>911.00000000000023</v>
      </c>
      <c r="Z47" s="19">
        <f>X47/X12</f>
        <v>4.1147244805781398</v>
      </c>
    </row>
    <row r="48" spans="1:26">
      <c r="J48" s="18"/>
      <c r="L48" s="1"/>
      <c r="M48" s="1"/>
      <c r="V48" s="21"/>
    </row>
    <row r="49" spans="1:24">
      <c r="A49" s="18" t="s">
        <v>4</v>
      </c>
      <c r="D49" s="39"/>
      <c r="E49" s="40"/>
      <c r="F49" s="41"/>
      <c r="G49" s="40"/>
      <c r="H49" s="42"/>
      <c r="I49" s="43"/>
      <c r="J49" s="39"/>
      <c r="K49" s="40"/>
      <c r="L49" s="42"/>
      <c r="M49" s="43"/>
      <c r="N49" s="39"/>
      <c r="O49" s="40"/>
      <c r="P49" s="39"/>
      <c r="Q49" s="40"/>
      <c r="R49" s="39"/>
      <c r="S49" s="40"/>
      <c r="T49" s="39"/>
      <c r="U49" s="40"/>
      <c r="V49" s="39"/>
      <c r="W49" s="40"/>
      <c r="X49" s="39"/>
    </row>
    <row r="50" spans="1:24" ht="16.5">
      <c r="A50" s="18" t="s">
        <v>47</v>
      </c>
      <c r="D50" s="40">
        <v>44.5</v>
      </c>
      <c r="E50" s="40"/>
      <c r="F50" s="40"/>
      <c r="G50" s="40"/>
      <c r="H50" s="40">
        <v>0</v>
      </c>
      <c r="I50" s="40"/>
      <c r="J50" s="40"/>
      <c r="K50" s="40"/>
      <c r="L50" s="40">
        <v>307.8</v>
      </c>
      <c r="M50" s="40"/>
      <c r="N50" s="40"/>
      <c r="O50" s="40"/>
      <c r="P50" s="40">
        <v>1199.9000000000001</v>
      </c>
      <c r="Q50" s="40"/>
      <c r="R50" s="40"/>
      <c r="S50" s="40"/>
      <c r="T50" s="40">
        <f>44.5+1507.8</f>
        <v>1552.3</v>
      </c>
      <c r="U50" s="40"/>
      <c r="V50" s="40"/>
      <c r="W50" s="40"/>
      <c r="X50" s="40"/>
    </row>
    <row r="51" spans="1:24">
      <c r="A51" s="18" t="s">
        <v>38</v>
      </c>
      <c r="D51" s="38">
        <v>59.8</v>
      </c>
      <c r="E51" s="38"/>
      <c r="F51" s="38"/>
      <c r="G51" s="38"/>
      <c r="H51" s="38">
        <v>63.5</v>
      </c>
      <c r="I51" s="38"/>
      <c r="J51" s="38"/>
      <c r="K51" s="38"/>
      <c r="L51" s="38">
        <v>54.8</v>
      </c>
      <c r="M51" s="38"/>
      <c r="N51" s="38"/>
      <c r="O51" s="38"/>
      <c r="P51" s="38">
        <v>0</v>
      </c>
      <c r="Q51" s="38"/>
      <c r="R51" s="38"/>
      <c r="S51" s="38"/>
      <c r="T51" s="38">
        <v>178.2</v>
      </c>
      <c r="U51" s="38"/>
      <c r="V51" s="38"/>
      <c r="W51" s="40"/>
      <c r="X51" s="38"/>
    </row>
    <row r="52" spans="1:24">
      <c r="A52" s="18" t="s">
        <v>39</v>
      </c>
      <c r="D52" s="38">
        <v>87.5</v>
      </c>
      <c r="E52" s="38"/>
      <c r="F52" s="38"/>
      <c r="G52" s="38"/>
      <c r="H52" s="38">
        <v>112.7</v>
      </c>
      <c r="I52" s="38"/>
      <c r="J52" s="38"/>
      <c r="K52" s="38"/>
      <c r="L52" s="38">
        <v>92.3</v>
      </c>
      <c r="M52" s="38"/>
      <c r="N52" s="38"/>
      <c r="O52" s="38"/>
      <c r="P52" s="38">
        <v>185.3</v>
      </c>
      <c r="Q52" s="38"/>
      <c r="R52" s="38"/>
      <c r="S52" s="38"/>
      <c r="T52" s="38">
        <v>477.7</v>
      </c>
      <c r="U52" s="38"/>
      <c r="V52" s="38"/>
      <c r="W52" s="40"/>
      <c r="X52" s="38"/>
    </row>
    <row r="53" spans="1:24">
      <c r="D53" s="38"/>
      <c r="E53" s="38"/>
      <c r="F53" s="38"/>
      <c r="G53" s="38"/>
      <c r="H53" s="44"/>
      <c r="I53" s="44"/>
      <c r="J53" s="44"/>
      <c r="K53" s="38"/>
      <c r="L53" s="38"/>
      <c r="M53" s="38"/>
      <c r="N53" s="38"/>
      <c r="O53" s="38"/>
      <c r="P53" s="38"/>
      <c r="Q53" s="38"/>
      <c r="R53" s="38"/>
      <c r="S53" s="38"/>
      <c r="T53" s="38"/>
      <c r="U53" s="38"/>
      <c r="V53" s="38"/>
    </row>
    <row r="55" spans="1:24">
      <c r="A55" s="45" t="s">
        <v>52</v>
      </c>
      <c r="H55" s="18"/>
      <c r="I55" s="18"/>
      <c r="J55" s="18"/>
    </row>
    <row r="57" spans="1:24">
      <c r="A57" s="45" t="s">
        <v>49</v>
      </c>
    </row>
    <row r="59" spans="1:24">
      <c r="A59" s="45" t="s">
        <v>59</v>
      </c>
    </row>
    <row r="61" spans="1:24">
      <c r="A61" s="29" t="s">
        <v>50</v>
      </c>
    </row>
  </sheetData>
  <mergeCells count="13">
    <mergeCell ref="P5:R5"/>
    <mergeCell ref="P6:R6"/>
    <mergeCell ref="X4:Z4"/>
    <mergeCell ref="X5:Z5"/>
    <mergeCell ref="X6:Z6"/>
    <mergeCell ref="T5:V5"/>
    <mergeCell ref="T6:V6"/>
    <mergeCell ref="D5:F5"/>
    <mergeCell ref="D6:F6"/>
    <mergeCell ref="H5:J5"/>
    <mergeCell ref="H6:J6"/>
    <mergeCell ref="L6:N6"/>
    <mergeCell ref="L5:N5"/>
  </mergeCells>
  <phoneticPr fontId="0" type="noConversion"/>
  <printOptions horizontalCentered="1"/>
  <pageMargins left="0.25" right="0.25" top="0.5" bottom="0.5" header="0.5" footer="0.5"/>
  <pageSetup scale="63" orientation="landscape" r:id="rId1"/>
  <headerFooter alignWithMargins="0"/>
</worksheet>
</file>

<file path=xl/worksheets/sheet3.xml><?xml version="1.0" encoding="utf-8"?>
<worksheet xmlns="http://schemas.openxmlformats.org/spreadsheetml/2006/main" xmlns:r="http://schemas.openxmlformats.org/officeDocument/2006/relationships">
  <sheetPr>
    <pageSetUpPr fitToPage="1"/>
  </sheetPr>
  <dimension ref="A1:O50"/>
  <sheetViews>
    <sheetView showGridLines="0" tabSelected="1" zoomScale="80" zoomScaleNormal="80" workbookViewId="0">
      <selection activeCell="A4" sqref="A4"/>
    </sheetView>
  </sheetViews>
  <sheetFormatPr defaultRowHeight="14.25"/>
  <cols>
    <col min="1" max="2" width="9.140625" style="18" customWidth="1"/>
    <col min="3" max="3" width="35.7109375" style="18" customWidth="1"/>
    <col min="4" max="4" width="14.140625" style="18" customWidth="1"/>
    <col min="5" max="5" width="2.85546875" style="18" customWidth="1"/>
    <col min="6" max="6" width="11.7109375" style="18" customWidth="1"/>
    <col min="7" max="7" width="3.5703125" style="18" customWidth="1"/>
    <col min="8" max="16384" width="9.140625" style="18"/>
  </cols>
  <sheetData>
    <row r="1" spans="1:6" ht="15">
      <c r="A1" s="47" t="s">
        <v>35</v>
      </c>
    </row>
    <row r="2" spans="1:6" ht="15">
      <c r="A2" s="47" t="s">
        <v>8</v>
      </c>
    </row>
    <row r="3" spans="1:6" ht="15">
      <c r="A3" s="47" t="s">
        <v>10</v>
      </c>
    </row>
    <row r="5" spans="1:6">
      <c r="D5" s="54" t="s">
        <v>36</v>
      </c>
      <c r="E5" s="54"/>
      <c r="F5" s="54"/>
    </row>
    <row r="6" spans="1:6">
      <c r="D6" s="55" t="s">
        <v>77</v>
      </c>
      <c r="E6" s="56"/>
      <c r="F6" s="56"/>
    </row>
    <row r="7" spans="1:6">
      <c r="A7" s="18" t="s">
        <v>29</v>
      </c>
    </row>
    <row r="8" spans="1:6">
      <c r="B8" s="18" t="s">
        <v>60</v>
      </c>
      <c r="D8" s="15">
        <v>6.5</v>
      </c>
    </row>
    <row r="9" spans="1:6">
      <c r="B9" s="18" t="s">
        <v>34</v>
      </c>
      <c r="D9" s="15">
        <v>37.6</v>
      </c>
    </row>
    <row r="10" spans="1:6">
      <c r="B10" s="31" t="s">
        <v>30</v>
      </c>
      <c r="D10" s="15">
        <v>8.3000000000000007</v>
      </c>
    </row>
    <row r="11" spans="1:6">
      <c r="B11" s="18" t="s">
        <v>6</v>
      </c>
      <c r="D11" s="15">
        <v>4.8</v>
      </c>
    </row>
    <row r="12" spans="1:6" ht="15" thickBot="1">
      <c r="B12" s="18" t="s">
        <v>1</v>
      </c>
      <c r="D12" s="32">
        <v>57.2</v>
      </c>
    </row>
    <row r="13" spans="1:6" ht="15" thickTop="1">
      <c r="D13" s="33"/>
    </row>
    <row r="14" spans="1:6">
      <c r="A14" s="18" t="s">
        <v>11</v>
      </c>
      <c r="D14" s="34" t="s">
        <v>7</v>
      </c>
      <c r="E14" s="34"/>
      <c r="F14" s="34" t="s">
        <v>5</v>
      </c>
    </row>
    <row r="15" spans="1:6">
      <c r="B15" s="18" t="s">
        <v>61</v>
      </c>
      <c r="D15" s="14">
        <v>336.7</v>
      </c>
      <c r="F15" s="19">
        <v>51.39</v>
      </c>
    </row>
    <row r="16" spans="1:6">
      <c r="B16" s="18" t="s">
        <v>28</v>
      </c>
      <c r="D16" s="15">
        <v>640.1</v>
      </c>
      <c r="F16" s="20">
        <v>17.04</v>
      </c>
    </row>
    <row r="17" spans="1:6">
      <c r="B17" s="18" t="s">
        <v>40</v>
      </c>
      <c r="D17" s="17">
        <v>976.8</v>
      </c>
      <c r="F17" s="20">
        <v>22.14</v>
      </c>
    </row>
    <row r="18" spans="1:6" ht="13.5" customHeight="1">
      <c r="B18" s="18" t="s">
        <v>26</v>
      </c>
      <c r="D18" s="25">
        <v>738</v>
      </c>
      <c r="F18" s="20">
        <v>89.3</v>
      </c>
    </row>
    <row r="19" spans="1:6">
      <c r="D19" s="16"/>
      <c r="F19" s="16"/>
    </row>
    <row r="20" spans="1:6">
      <c r="A20" s="18" t="s">
        <v>12</v>
      </c>
      <c r="D20" s="16"/>
      <c r="F20" s="21"/>
    </row>
    <row r="21" spans="1:6">
      <c r="B21" s="18" t="s">
        <v>61</v>
      </c>
      <c r="D21" s="14">
        <v>224.39999999999998</v>
      </c>
      <c r="F21" s="22">
        <v>34.25</v>
      </c>
    </row>
    <row r="22" spans="1:6">
      <c r="B22" s="18" t="s">
        <v>28</v>
      </c>
      <c r="D22" s="15">
        <v>479.6</v>
      </c>
      <c r="F22" s="20">
        <v>12.77</v>
      </c>
    </row>
    <row r="23" spans="1:6">
      <c r="B23" s="18" t="s">
        <v>40</v>
      </c>
      <c r="D23" s="17">
        <v>704</v>
      </c>
      <c r="F23" s="20">
        <v>15.96</v>
      </c>
    </row>
    <row r="24" spans="1:6" ht="13.5" customHeight="1">
      <c r="B24" s="18" t="s">
        <v>26</v>
      </c>
      <c r="D24" s="25">
        <v>637.6</v>
      </c>
      <c r="F24" s="20">
        <v>77.150000000000006</v>
      </c>
    </row>
    <row r="25" spans="1:6">
      <c r="D25" s="16"/>
      <c r="F25" s="16"/>
    </row>
    <row r="26" spans="1:6">
      <c r="A26" s="18" t="s">
        <v>13</v>
      </c>
      <c r="D26" s="16"/>
      <c r="F26" s="16"/>
    </row>
    <row r="27" spans="1:6" ht="13.7" customHeight="1">
      <c r="B27" s="18" t="s">
        <v>61</v>
      </c>
      <c r="D27" s="14">
        <v>112.3</v>
      </c>
      <c r="F27" s="22">
        <v>17.14</v>
      </c>
    </row>
    <row r="28" spans="1:6">
      <c r="B28" s="18" t="s">
        <v>28</v>
      </c>
      <c r="D28" s="15">
        <v>160.5</v>
      </c>
      <c r="F28" s="20">
        <v>4.2699999999999996</v>
      </c>
    </row>
    <row r="29" spans="1:6">
      <c r="B29" s="18" t="s">
        <v>40</v>
      </c>
      <c r="D29" s="17">
        <v>272.8</v>
      </c>
      <c r="F29" s="20">
        <v>6.18</v>
      </c>
    </row>
    <row r="30" spans="1:6">
      <c r="B30" s="18" t="s">
        <v>26</v>
      </c>
      <c r="D30" s="25">
        <v>100.4</v>
      </c>
      <c r="F30" s="20">
        <v>12.149999999999991</v>
      </c>
    </row>
    <row r="31" spans="1:6">
      <c r="D31" s="16"/>
      <c r="F31" s="16"/>
    </row>
    <row r="32" spans="1:6">
      <c r="A32" s="18" t="s">
        <v>79</v>
      </c>
      <c r="D32" s="16">
        <v>16</v>
      </c>
      <c r="F32" s="23"/>
    </row>
    <row r="33" spans="1:15">
      <c r="D33" s="16"/>
      <c r="F33" s="16"/>
    </row>
    <row r="34" spans="1:15" ht="16.5">
      <c r="A34" s="18" t="s">
        <v>80</v>
      </c>
      <c r="D34" s="16">
        <v>2.1</v>
      </c>
      <c r="F34" s="16"/>
    </row>
    <row r="35" spans="1:15">
      <c r="D35" s="16"/>
      <c r="F35" s="16"/>
    </row>
    <row r="36" spans="1:15">
      <c r="A36" s="18" t="s">
        <v>9</v>
      </c>
      <c r="D36" s="14">
        <v>-65.099999999999994</v>
      </c>
      <c r="F36" s="24">
        <v>-1.1381118881118879</v>
      </c>
    </row>
    <row r="37" spans="1:15">
      <c r="D37" s="14"/>
      <c r="F37" s="24"/>
    </row>
    <row r="38" spans="1:15" ht="16.5">
      <c r="A38" s="18" t="s">
        <v>81</v>
      </c>
      <c r="D38" s="14">
        <v>-46.1</v>
      </c>
      <c r="E38" s="14"/>
      <c r="F38" s="24">
        <v>-0.80594405594405594</v>
      </c>
    </row>
    <row r="39" spans="1:15">
      <c r="D39" s="15"/>
      <c r="F39" s="24"/>
    </row>
    <row r="40" spans="1:15" ht="16.5">
      <c r="A40" s="18" t="s">
        <v>82</v>
      </c>
      <c r="D40" s="14">
        <v>280.10000000000002</v>
      </c>
      <c r="F40" s="19">
        <v>4.8968531468531467</v>
      </c>
    </row>
    <row r="41" spans="1:15" ht="14.25" customHeight="1"/>
    <row r="42" spans="1:15" ht="14.25" customHeight="1">
      <c r="D42" s="14"/>
      <c r="E42" s="38"/>
      <c r="F42" s="38"/>
      <c r="G42" s="38"/>
    </row>
    <row r="43" spans="1:15" ht="17.25" customHeight="1">
      <c r="A43" s="49" t="s">
        <v>84</v>
      </c>
      <c r="B43" s="49"/>
      <c r="C43" s="49"/>
      <c r="D43" s="49"/>
      <c r="E43" s="49"/>
      <c r="F43" s="49"/>
      <c r="G43" s="49"/>
    </row>
    <row r="44" spans="1:15" ht="14.25" customHeight="1">
      <c r="D44" s="14"/>
      <c r="E44" s="38"/>
      <c r="F44" s="38"/>
      <c r="G44" s="38"/>
    </row>
    <row r="45" spans="1:15" ht="16.5">
      <c r="A45" s="49" t="s">
        <v>83</v>
      </c>
      <c r="B45" s="49"/>
      <c r="C45" s="49"/>
      <c r="D45" s="49"/>
      <c r="E45" s="49"/>
      <c r="F45" s="49"/>
      <c r="G45" s="49"/>
    </row>
    <row r="46" spans="1:15" ht="14.25" customHeight="1">
      <c r="A46" s="48"/>
    </row>
    <row r="47" spans="1:15" ht="79.5" customHeight="1">
      <c r="A47" s="58" t="s">
        <v>87</v>
      </c>
      <c r="B47" s="58"/>
      <c r="C47" s="58"/>
      <c r="D47" s="58"/>
      <c r="E47" s="58"/>
      <c r="F47" s="58"/>
      <c r="G47" s="58"/>
      <c r="H47" s="58"/>
      <c r="I47" s="58"/>
      <c r="J47" s="58"/>
      <c r="K47" s="58"/>
      <c r="L47" s="58"/>
      <c r="M47" s="58"/>
      <c r="N47" s="58"/>
      <c r="O47" s="58"/>
    </row>
    <row r="48" spans="1:15" ht="14.25" customHeight="1"/>
    <row r="49" spans="1:7">
      <c r="A49" s="50" t="s">
        <v>50</v>
      </c>
      <c r="B49" s="50"/>
      <c r="C49" s="50"/>
      <c r="D49" s="50"/>
      <c r="E49" s="50"/>
      <c r="F49" s="50"/>
      <c r="G49" s="50"/>
    </row>
    <row r="50" spans="1:7" ht="14.25" customHeight="1"/>
  </sheetData>
  <mergeCells count="3">
    <mergeCell ref="A47:O47"/>
    <mergeCell ref="D5:F5"/>
    <mergeCell ref="D6:F6"/>
  </mergeCells>
  <pageMargins left="0.75" right="0.75" top="1" bottom="1" header="0.5" footer="0.5"/>
  <pageSetup scale="64" orientation="landscape" r:id="rId1"/>
  <headerFooter alignWithMargins="0"/>
</worksheet>
</file>

<file path=xl/worksheets/sheet4.xml><?xml version="1.0" encoding="utf-8"?>
<worksheet xmlns="http://schemas.openxmlformats.org/spreadsheetml/2006/main" xmlns:r="http://schemas.openxmlformats.org/officeDocument/2006/relationships">
  <sheetPr codeName="Sheet3">
    <pageSetUpPr fitToPage="1"/>
  </sheetPr>
  <dimension ref="A1:V58"/>
  <sheetViews>
    <sheetView showGridLines="0" zoomScale="80" zoomScaleNormal="80" workbookViewId="0">
      <selection activeCell="A4" sqref="A4"/>
    </sheetView>
  </sheetViews>
  <sheetFormatPr defaultRowHeight="14.25"/>
  <cols>
    <col min="1" max="2" width="9.140625" style="18" customWidth="1"/>
    <col min="3" max="3" width="35.7109375" style="18" customWidth="1"/>
    <col min="4" max="4" width="14.140625" style="18" customWidth="1"/>
    <col min="5" max="5" width="2.85546875" style="18" customWidth="1"/>
    <col min="6" max="6" width="11.7109375" style="18" customWidth="1"/>
    <col min="7" max="7" width="3.5703125" style="18" customWidth="1"/>
    <col min="8" max="8" width="11.140625" style="18" customWidth="1"/>
    <col min="9" max="9" width="2.85546875" style="18" customWidth="1"/>
    <col min="10" max="10" width="9.42578125" style="18" bestFit="1" customWidth="1"/>
    <col min="11" max="11" width="3.5703125" style="18" customWidth="1"/>
    <col min="12" max="12" width="11.140625" style="18" customWidth="1"/>
    <col min="13" max="13" width="2.85546875" style="18" customWidth="1"/>
    <col min="14" max="14" width="9.42578125" style="18" bestFit="1" customWidth="1"/>
    <col min="15" max="15" width="3.5703125" style="18" customWidth="1"/>
    <col min="16" max="16" width="11.140625" style="18" customWidth="1"/>
    <col min="17" max="17" width="2.85546875" style="18" customWidth="1"/>
    <col min="18" max="18" width="9.42578125" style="18" bestFit="1" customWidth="1"/>
    <col min="19" max="19" width="3.5703125" style="18" customWidth="1"/>
    <col min="20" max="20" width="11.140625" style="18" customWidth="1"/>
    <col min="21" max="21" width="2.85546875" style="18" customWidth="1"/>
    <col min="22" max="22" width="9.42578125" style="18" bestFit="1" customWidth="1"/>
    <col min="23" max="16384" width="9.140625" style="18"/>
  </cols>
  <sheetData>
    <row r="1" spans="1:22" ht="15">
      <c r="A1" s="47" t="s">
        <v>35</v>
      </c>
    </row>
    <row r="2" spans="1:22" ht="15">
      <c r="A2" s="47" t="s">
        <v>8</v>
      </c>
    </row>
    <row r="3" spans="1:22" ht="15">
      <c r="A3" s="47" t="s">
        <v>10</v>
      </c>
    </row>
    <row r="5" spans="1:22">
      <c r="D5" s="54" t="s">
        <v>36</v>
      </c>
      <c r="E5" s="54"/>
      <c r="F5" s="54"/>
      <c r="H5" s="54" t="s">
        <v>36</v>
      </c>
      <c r="I5" s="54"/>
      <c r="J5" s="54"/>
      <c r="L5" s="54" t="s">
        <v>36</v>
      </c>
      <c r="M5" s="54"/>
      <c r="N5" s="54"/>
      <c r="P5" s="54" t="s">
        <v>36</v>
      </c>
      <c r="Q5" s="54"/>
      <c r="R5" s="54"/>
      <c r="T5" s="54" t="s">
        <v>64</v>
      </c>
      <c r="U5" s="54"/>
      <c r="V5" s="54"/>
    </row>
    <row r="6" spans="1:22">
      <c r="D6" s="55" t="s">
        <v>69</v>
      </c>
      <c r="E6" s="56"/>
      <c r="F6" s="56"/>
      <c r="H6" s="55" t="s">
        <v>71</v>
      </c>
      <c r="I6" s="56"/>
      <c r="J6" s="56"/>
      <c r="L6" s="55" t="s">
        <v>72</v>
      </c>
      <c r="M6" s="56"/>
      <c r="N6" s="56"/>
      <c r="P6" s="55" t="s">
        <v>73</v>
      </c>
      <c r="Q6" s="56"/>
      <c r="R6" s="56"/>
      <c r="T6" s="55" t="s">
        <v>73</v>
      </c>
      <c r="U6" s="56"/>
      <c r="V6" s="56"/>
    </row>
    <row r="7" spans="1:22">
      <c r="A7" s="18" t="s">
        <v>29</v>
      </c>
    </row>
    <row r="8" spans="1:22">
      <c r="B8" s="18" t="s">
        <v>60</v>
      </c>
      <c r="D8" s="15">
        <v>6.7</v>
      </c>
      <c r="H8" s="15">
        <v>6.8</v>
      </c>
      <c r="L8" s="15">
        <v>7</v>
      </c>
      <c r="P8" s="15">
        <v>6.9</v>
      </c>
      <c r="T8" s="15">
        <v>27.4</v>
      </c>
    </row>
    <row r="9" spans="1:22">
      <c r="B9" s="18" t="s">
        <v>34</v>
      </c>
      <c r="D9" s="15">
        <v>43.4</v>
      </c>
      <c r="H9" s="15">
        <v>37</v>
      </c>
      <c r="L9" s="15">
        <v>44</v>
      </c>
      <c r="P9" s="15">
        <v>40.799999999999997</v>
      </c>
      <c r="T9" s="15">
        <v>165.2</v>
      </c>
    </row>
    <row r="10" spans="1:22">
      <c r="B10" s="31" t="s">
        <v>30</v>
      </c>
      <c r="D10" s="15">
        <v>6.6</v>
      </c>
      <c r="H10" s="15">
        <v>8.1999999999999993</v>
      </c>
      <c r="L10" s="15">
        <v>8.5</v>
      </c>
      <c r="P10" s="15">
        <v>9.6999999999999993</v>
      </c>
      <c r="T10" s="15">
        <v>33</v>
      </c>
    </row>
    <row r="11" spans="1:22">
      <c r="B11" s="18" t="s">
        <v>6</v>
      </c>
      <c r="D11" s="15">
        <v>4.7</v>
      </c>
      <c r="H11" s="15">
        <v>5.2</v>
      </c>
      <c r="L11" s="15">
        <v>7.1</v>
      </c>
      <c r="P11" s="15">
        <v>5.9</v>
      </c>
      <c r="T11" s="15">
        <v>22.9</v>
      </c>
    </row>
    <row r="12" spans="1:22" ht="15" thickBot="1">
      <c r="B12" s="18" t="s">
        <v>1</v>
      </c>
      <c r="D12" s="32">
        <v>61.400000000000006</v>
      </c>
      <c r="H12" s="32">
        <v>57.2</v>
      </c>
      <c r="L12" s="32">
        <v>66.599999999999994</v>
      </c>
      <c r="P12" s="32">
        <v>63.29999999999999</v>
      </c>
      <c r="T12" s="32">
        <v>248.5</v>
      </c>
    </row>
    <row r="13" spans="1:22" ht="15" thickTop="1">
      <c r="D13" s="33"/>
      <c r="H13" s="33"/>
      <c r="L13" s="33"/>
      <c r="P13" s="33"/>
      <c r="T13" s="33"/>
    </row>
    <row r="14" spans="1:22">
      <c r="A14" s="18" t="s">
        <v>11</v>
      </c>
      <c r="D14" s="34" t="s">
        <v>7</v>
      </c>
      <c r="E14" s="34"/>
      <c r="F14" s="34" t="s">
        <v>5</v>
      </c>
      <c r="H14" s="34" t="s">
        <v>7</v>
      </c>
      <c r="I14" s="34"/>
      <c r="J14" s="34" t="s">
        <v>5</v>
      </c>
      <c r="L14" s="34" t="s">
        <v>7</v>
      </c>
      <c r="M14" s="34"/>
      <c r="N14" s="34" t="s">
        <v>5</v>
      </c>
      <c r="P14" s="34" t="s">
        <v>7</v>
      </c>
      <c r="Q14" s="34"/>
      <c r="R14" s="34" t="s">
        <v>5</v>
      </c>
      <c r="T14" s="34" t="s">
        <v>7</v>
      </c>
      <c r="U14" s="34"/>
      <c r="V14" s="34" t="s">
        <v>5</v>
      </c>
    </row>
    <row r="15" spans="1:22">
      <c r="B15" s="18" t="s">
        <v>61</v>
      </c>
      <c r="D15" s="14">
        <v>347.7</v>
      </c>
      <c r="F15" s="19">
        <v>51.48</v>
      </c>
      <c r="H15" s="14">
        <v>346.9</v>
      </c>
      <c r="J15" s="19">
        <v>51.27</v>
      </c>
      <c r="L15" s="14">
        <v>355.7</v>
      </c>
      <c r="N15" s="19">
        <v>51</v>
      </c>
      <c r="P15" s="14">
        <v>353.40000000000003</v>
      </c>
      <c r="R15" s="19">
        <v>51.08</v>
      </c>
      <c r="T15" s="14">
        <v>1403.7</v>
      </c>
      <c r="V15" s="19">
        <v>51.21</v>
      </c>
    </row>
    <row r="16" spans="1:22">
      <c r="B16" s="18" t="s">
        <v>28</v>
      </c>
      <c r="D16" s="15">
        <v>761</v>
      </c>
      <c r="F16" s="20">
        <v>17.54</v>
      </c>
      <c r="H16" s="15">
        <v>669</v>
      </c>
      <c r="J16" s="20">
        <v>18.04</v>
      </c>
      <c r="L16" s="15">
        <v>783.5</v>
      </c>
      <c r="N16" s="20">
        <v>17.809999999999999</v>
      </c>
      <c r="P16" s="15">
        <v>735.80000000000018</v>
      </c>
      <c r="R16" s="20">
        <v>17.98</v>
      </c>
      <c r="T16" s="15">
        <v>2949.3</v>
      </c>
      <c r="V16" s="20">
        <v>17.86</v>
      </c>
    </row>
    <row r="17" spans="1:22">
      <c r="B17" s="18" t="s">
        <v>40</v>
      </c>
      <c r="D17" s="17">
        <v>1108.7</v>
      </c>
      <c r="F17" s="20">
        <v>22.1</v>
      </c>
      <c r="H17" s="17">
        <v>1015.9</v>
      </c>
      <c r="J17" s="20">
        <v>23.21</v>
      </c>
      <c r="L17" s="17">
        <v>1139.2</v>
      </c>
      <c r="N17" s="20">
        <v>22.35</v>
      </c>
      <c r="P17" s="17">
        <v>1089.2000000000003</v>
      </c>
      <c r="R17" s="20">
        <v>22.78</v>
      </c>
      <c r="T17" s="17">
        <v>4353</v>
      </c>
      <c r="V17" s="20">
        <v>22.61</v>
      </c>
    </row>
    <row r="18" spans="1:22" ht="13.5" customHeight="1">
      <c r="B18" s="18" t="s">
        <v>26</v>
      </c>
      <c r="D18" s="25">
        <v>854.1</v>
      </c>
      <c r="F18" s="20">
        <v>130.34</v>
      </c>
      <c r="H18" s="25">
        <v>884.9</v>
      </c>
      <c r="J18" s="20">
        <v>107.45</v>
      </c>
      <c r="L18" s="25">
        <v>866</v>
      </c>
      <c r="N18" s="20">
        <v>101.85</v>
      </c>
      <c r="P18" s="25">
        <v>898.5999999999998</v>
      </c>
      <c r="R18" s="20">
        <v>92.21</v>
      </c>
      <c r="T18" s="25">
        <v>3503.6</v>
      </c>
      <c r="V18" s="20">
        <v>106.05</v>
      </c>
    </row>
    <row r="19" spans="1:22">
      <c r="D19" s="16"/>
      <c r="F19" s="16"/>
      <c r="H19" s="16"/>
      <c r="J19" s="16"/>
      <c r="L19" s="16"/>
      <c r="N19" s="16"/>
      <c r="P19" s="16"/>
      <c r="R19" s="16"/>
      <c r="T19" s="16"/>
      <c r="V19" s="16"/>
    </row>
    <row r="20" spans="1:22">
      <c r="A20" s="18" t="s">
        <v>12</v>
      </c>
      <c r="D20" s="16"/>
      <c r="F20" s="21"/>
      <c r="H20" s="16"/>
      <c r="J20" s="21"/>
      <c r="L20" s="16"/>
      <c r="N20" s="21"/>
      <c r="P20" s="16"/>
      <c r="R20" s="21"/>
      <c r="T20" s="16"/>
      <c r="V20" s="21"/>
    </row>
    <row r="21" spans="1:22">
      <c r="B21" s="18" t="s">
        <v>61</v>
      </c>
      <c r="D21" s="14">
        <v>238.5</v>
      </c>
      <c r="F21" s="22">
        <v>35.31</v>
      </c>
      <c r="H21" s="14">
        <v>242.2</v>
      </c>
      <c r="J21" s="19">
        <v>35.800000000000004</v>
      </c>
      <c r="L21" s="14">
        <v>252.2</v>
      </c>
      <c r="N21" s="19">
        <v>36.159999999999997</v>
      </c>
      <c r="P21" s="14">
        <v>243.8</v>
      </c>
      <c r="R21" s="19">
        <v>35.239999999999995</v>
      </c>
      <c r="T21" s="14">
        <v>976.7</v>
      </c>
      <c r="V21" s="19">
        <v>35.630000000000003</v>
      </c>
    </row>
    <row r="22" spans="1:22">
      <c r="B22" s="18" t="s">
        <v>28</v>
      </c>
      <c r="D22" s="15">
        <v>554</v>
      </c>
      <c r="F22" s="20">
        <v>12.77</v>
      </c>
      <c r="H22" s="15">
        <v>503.6</v>
      </c>
      <c r="J22" s="20">
        <v>13.579999999999998</v>
      </c>
      <c r="L22" s="15">
        <v>539.6</v>
      </c>
      <c r="N22" s="20">
        <v>12.27</v>
      </c>
      <c r="P22" s="15">
        <v>519.30000000000018</v>
      </c>
      <c r="R22" s="20">
        <v>12.66</v>
      </c>
      <c r="T22" s="15">
        <v>2116.5</v>
      </c>
      <c r="V22" s="20">
        <v>12.82</v>
      </c>
    </row>
    <row r="23" spans="1:22">
      <c r="B23" s="18" t="s">
        <v>40</v>
      </c>
      <c r="D23" s="17">
        <v>792.5</v>
      </c>
      <c r="F23" s="20">
        <v>15.8</v>
      </c>
      <c r="H23" s="17">
        <v>745.8</v>
      </c>
      <c r="J23" s="20">
        <v>17.04</v>
      </c>
      <c r="L23" s="17">
        <v>791.80000000000007</v>
      </c>
      <c r="N23" s="20">
        <v>15.540000000000003</v>
      </c>
      <c r="P23" s="17">
        <v>763.10000000000025</v>
      </c>
      <c r="R23" s="20">
        <v>15.940000000000001</v>
      </c>
      <c r="T23" s="17">
        <v>3093.2</v>
      </c>
      <c r="V23" s="20">
        <v>16.07</v>
      </c>
    </row>
    <row r="24" spans="1:22" ht="13.5" customHeight="1">
      <c r="B24" s="18" t="s">
        <v>26</v>
      </c>
      <c r="D24" s="25">
        <v>558.5</v>
      </c>
      <c r="F24" s="20">
        <v>85.23</v>
      </c>
      <c r="H24" s="25">
        <v>644.5</v>
      </c>
      <c r="J24" s="20">
        <v>78.260000000000005</v>
      </c>
      <c r="L24" s="25">
        <v>644.6</v>
      </c>
      <c r="N24" s="20">
        <v>75.77</v>
      </c>
      <c r="P24" s="25">
        <v>717.0999999999998</v>
      </c>
      <c r="R24" s="20">
        <v>73.47</v>
      </c>
      <c r="T24" s="25">
        <v>2564.6999999999998</v>
      </c>
      <c r="V24" s="20">
        <v>77.63</v>
      </c>
    </row>
    <row r="25" spans="1:22">
      <c r="D25" s="16"/>
      <c r="F25" s="16"/>
      <c r="H25" s="16"/>
      <c r="J25" s="16"/>
      <c r="L25" s="16"/>
      <c r="N25" s="16"/>
      <c r="P25" s="16"/>
      <c r="R25" s="16"/>
      <c r="T25" s="16"/>
      <c r="V25" s="16"/>
    </row>
    <row r="26" spans="1:22">
      <c r="A26" s="18" t="s">
        <v>13</v>
      </c>
      <c r="D26" s="16"/>
      <c r="F26" s="16"/>
      <c r="H26" s="16"/>
      <c r="J26" s="16"/>
      <c r="L26" s="16"/>
      <c r="N26" s="16"/>
      <c r="P26" s="16"/>
      <c r="R26" s="16"/>
      <c r="T26" s="16"/>
      <c r="V26" s="16"/>
    </row>
    <row r="27" spans="1:22" ht="13.7" customHeight="1">
      <c r="B27" s="18" t="s">
        <v>61</v>
      </c>
      <c r="D27" s="14">
        <v>109.2</v>
      </c>
      <c r="F27" s="22">
        <v>16.169999999999995</v>
      </c>
      <c r="H27" s="14">
        <v>104.7</v>
      </c>
      <c r="J27" s="22">
        <v>15.469999999999999</v>
      </c>
      <c r="L27" s="14">
        <v>103.5</v>
      </c>
      <c r="N27" s="22">
        <v>14.840000000000003</v>
      </c>
      <c r="P27" s="14">
        <v>109.60000000000001</v>
      </c>
      <c r="R27" s="22">
        <v>15.840000000000003</v>
      </c>
      <c r="T27" s="14">
        <v>427</v>
      </c>
      <c r="V27" s="22">
        <v>15.579999999999998</v>
      </c>
    </row>
    <row r="28" spans="1:22">
      <c r="B28" s="18" t="s">
        <v>28</v>
      </c>
      <c r="D28" s="15">
        <v>207</v>
      </c>
      <c r="F28" s="20">
        <v>4.7699999999999996</v>
      </c>
      <c r="H28" s="15">
        <v>165.4</v>
      </c>
      <c r="J28" s="20">
        <v>4.4600000000000009</v>
      </c>
      <c r="L28" s="15">
        <v>243.9</v>
      </c>
      <c r="N28" s="20">
        <v>5.5399999999999991</v>
      </c>
      <c r="P28" s="15">
        <v>216.5</v>
      </c>
      <c r="R28" s="20">
        <v>5.32</v>
      </c>
      <c r="T28" s="15">
        <v>832.8</v>
      </c>
      <c r="V28" s="20">
        <v>5.0399999999999991</v>
      </c>
    </row>
    <row r="29" spans="1:22">
      <c r="B29" s="18" t="s">
        <v>40</v>
      </c>
      <c r="D29" s="17">
        <v>316.2</v>
      </c>
      <c r="F29" s="20">
        <v>6.3000000000000007</v>
      </c>
      <c r="H29" s="17">
        <v>270.10000000000002</v>
      </c>
      <c r="J29" s="20">
        <v>6.1700000000000017</v>
      </c>
      <c r="L29" s="17">
        <v>347.4</v>
      </c>
      <c r="N29" s="20">
        <v>6.8099999999999987</v>
      </c>
      <c r="P29" s="17">
        <v>326.10000000000002</v>
      </c>
      <c r="R29" s="20">
        <v>6.84</v>
      </c>
      <c r="T29" s="17">
        <v>1259.8</v>
      </c>
      <c r="V29" s="20">
        <v>6.5399999999999991</v>
      </c>
    </row>
    <row r="30" spans="1:22">
      <c r="B30" s="18" t="s">
        <v>26</v>
      </c>
      <c r="D30" s="25">
        <v>295.60000000000002</v>
      </c>
      <c r="F30" s="20">
        <v>45.11</v>
      </c>
      <c r="H30" s="25">
        <v>240.4</v>
      </c>
      <c r="J30" s="20">
        <v>29.189999999999998</v>
      </c>
      <c r="L30" s="25">
        <v>221.4</v>
      </c>
      <c r="N30" s="20">
        <v>26.08</v>
      </c>
      <c r="P30" s="25">
        <v>181.5</v>
      </c>
      <c r="R30" s="20">
        <v>18.739999999999995</v>
      </c>
      <c r="T30" s="25">
        <v>938.9</v>
      </c>
      <c r="V30" s="20">
        <v>28.42</v>
      </c>
    </row>
    <row r="31" spans="1:22">
      <c r="D31" s="16"/>
      <c r="F31" s="16"/>
      <c r="H31" s="16"/>
      <c r="J31" s="16"/>
      <c r="L31" s="16"/>
      <c r="N31" s="16"/>
      <c r="P31" s="16"/>
      <c r="R31" s="16"/>
      <c r="T31" s="16"/>
      <c r="V31" s="16"/>
    </row>
    <row r="32" spans="1:22">
      <c r="A32" s="18" t="s">
        <v>79</v>
      </c>
      <c r="D32" s="16">
        <v>28.1</v>
      </c>
      <c r="F32" s="23"/>
      <c r="H32" s="16">
        <v>45.4</v>
      </c>
      <c r="J32" s="23"/>
      <c r="L32" s="16">
        <v>35.700000000000003</v>
      </c>
      <c r="N32" s="23"/>
      <c r="P32" s="16">
        <v>10.5</v>
      </c>
      <c r="R32" s="23"/>
      <c r="T32" s="16">
        <v>119.7</v>
      </c>
      <c r="V32" s="23"/>
    </row>
    <row r="33" spans="1:22">
      <c r="D33" s="16"/>
      <c r="F33" s="16"/>
      <c r="H33" s="16"/>
      <c r="J33" s="16"/>
      <c r="L33" s="16"/>
      <c r="N33" s="16"/>
      <c r="P33" s="16"/>
      <c r="R33" s="16"/>
      <c r="T33" s="16"/>
      <c r="V33" s="16"/>
    </row>
    <row r="34" spans="1:22" ht="16.5">
      <c r="A34" s="18" t="s">
        <v>80</v>
      </c>
      <c r="D34" s="16">
        <v>0.9</v>
      </c>
      <c r="F34" s="16"/>
      <c r="H34" s="16">
        <v>1.8</v>
      </c>
      <c r="J34" s="16"/>
      <c r="L34" s="16">
        <v>-0.4</v>
      </c>
      <c r="N34" s="16"/>
      <c r="P34" s="16">
        <v>10.5</v>
      </c>
      <c r="R34" s="16"/>
      <c r="T34" s="16">
        <v>12.8</v>
      </c>
      <c r="V34" s="16"/>
    </row>
    <row r="35" spans="1:22">
      <c r="D35" s="16"/>
      <c r="F35" s="16"/>
      <c r="H35" s="16"/>
      <c r="J35" s="16"/>
      <c r="L35" s="16"/>
      <c r="N35" s="16"/>
      <c r="P35" s="16"/>
      <c r="R35" s="16"/>
      <c r="T35" s="16"/>
      <c r="V35" s="16"/>
    </row>
    <row r="36" spans="1:22">
      <c r="A36" s="18" t="s">
        <v>9</v>
      </c>
      <c r="D36" s="14">
        <v>-71</v>
      </c>
      <c r="F36" s="24">
        <v>-1.1499999999999999</v>
      </c>
      <c r="H36" s="14">
        <v>-62.7</v>
      </c>
      <c r="J36" s="24">
        <v>-1.0900000000000001</v>
      </c>
      <c r="L36" s="14">
        <v>-68.7</v>
      </c>
      <c r="N36" s="24">
        <v>-1.0315315315315317</v>
      </c>
      <c r="P36" s="14">
        <v>-66.400000000000006</v>
      </c>
      <c r="R36" s="24">
        <v>-1.0489731437598739</v>
      </c>
      <c r="T36" s="16">
        <v>-268.79999999999995</v>
      </c>
      <c r="V36" s="24">
        <v>-1.0816901408450703</v>
      </c>
    </row>
    <row r="37" spans="1:22">
      <c r="D37" s="14"/>
      <c r="F37" s="24"/>
      <c r="H37" s="14"/>
      <c r="J37" s="24"/>
      <c r="L37" s="14"/>
      <c r="N37" s="24"/>
      <c r="P37" s="14"/>
      <c r="R37" s="24"/>
      <c r="T37" s="14"/>
      <c r="V37" s="24"/>
    </row>
    <row r="38" spans="1:22" ht="16.5">
      <c r="A38" s="18" t="s">
        <v>81</v>
      </c>
      <c r="D38" s="14">
        <v>-58.3</v>
      </c>
      <c r="E38" s="14"/>
      <c r="F38" s="24">
        <v>-0.94</v>
      </c>
      <c r="H38" s="14">
        <v>-44.9</v>
      </c>
      <c r="I38" s="14"/>
      <c r="J38" s="24">
        <v>-0.78496503496503489</v>
      </c>
      <c r="L38" s="14">
        <v>-67.8</v>
      </c>
      <c r="M38" s="14"/>
      <c r="N38" s="24">
        <v>-1.0180180180180181</v>
      </c>
      <c r="P38" s="14">
        <v>-54.9</v>
      </c>
      <c r="Q38" s="14"/>
      <c r="R38" s="24">
        <v>-0.86729857819905221</v>
      </c>
      <c r="T38" s="16">
        <v>-225.9</v>
      </c>
      <c r="U38" s="14"/>
      <c r="V38" s="24">
        <v>-0.90905432595573443</v>
      </c>
    </row>
    <row r="39" spans="1:22">
      <c r="D39" s="15"/>
      <c r="F39" s="24"/>
      <c r="H39" s="15"/>
      <c r="J39" s="24"/>
      <c r="L39" s="15"/>
      <c r="N39" s="24"/>
      <c r="P39" s="15"/>
      <c r="R39" s="24"/>
      <c r="T39" s="15"/>
      <c r="V39" s="24"/>
    </row>
    <row r="40" spans="1:22" ht="16.5">
      <c r="A40" s="18" t="s">
        <v>82</v>
      </c>
      <c r="D40" s="14">
        <v>511.5</v>
      </c>
      <c r="F40" s="19">
        <v>8.32</v>
      </c>
      <c r="H40" s="14">
        <v>450.1</v>
      </c>
      <c r="J40" s="19">
        <v>7.8688811188811192</v>
      </c>
      <c r="L40" s="14">
        <v>467.59999999999997</v>
      </c>
      <c r="N40" s="19">
        <v>7.0210210210210215</v>
      </c>
      <c r="P40" s="14">
        <v>407.3</v>
      </c>
      <c r="R40" s="19">
        <v>6.4344391785150092</v>
      </c>
      <c r="T40" s="16">
        <v>1836.5</v>
      </c>
      <c r="V40" s="19">
        <v>7.3903420523138834</v>
      </c>
    </row>
    <row r="42" spans="1:22" ht="17.25" customHeight="1">
      <c r="A42" s="18" t="s">
        <v>76</v>
      </c>
    </row>
    <row r="43" spans="1:22" ht="17.25" customHeight="1">
      <c r="B43" s="18" t="s">
        <v>66</v>
      </c>
      <c r="D43" s="14">
        <v>430.4</v>
      </c>
      <c r="H43" s="14">
        <v>294.90000000000009</v>
      </c>
      <c r="L43" s="14">
        <v>648.4</v>
      </c>
      <c r="P43" s="14">
        <v>226.09999999999991</v>
      </c>
      <c r="T43" s="14">
        <v>1599.8</v>
      </c>
    </row>
    <row r="44" spans="1:22" ht="17.25" customHeight="1">
      <c r="B44" s="18" t="s">
        <v>67</v>
      </c>
      <c r="D44" s="15">
        <v>-201.4</v>
      </c>
      <c r="H44" s="15">
        <v>-306.80000000000007</v>
      </c>
      <c r="L44" s="15">
        <v>-402.4</v>
      </c>
      <c r="P44" s="15">
        <v>-159.49999999999989</v>
      </c>
      <c r="T44" s="15">
        <v>-1070.0999999999999</v>
      </c>
    </row>
    <row r="45" spans="1:22" ht="17.25" customHeight="1">
      <c r="B45" s="31" t="s">
        <v>68</v>
      </c>
      <c r="D45" s="15">
        <v>-39.1</v>
      </c>
      <c r="H45" s="15">
        <v>-430.49999999999994</v>
      </c>
      <c r="L45" s="15">
        <v>-51.2</v>
      </c>
      <c r="P45" s="15">
        <v>-142.5</v>
      </c>
      <c r="T45" s="15">
        <v>-663.3</v>
      </c>
    </row>
    <row r="47" spans="1:22" ht="17.25" customHeight="1">
      <c r="A47" s="18" t="s">
        <v>75</v>
      </c>
      <c r="D47" s="16">
        <v>237.8</v>
      </c>
      <c r="H47" s="16">
        <v>195.3</v>
      </c>
      <c r="L47" s="16">
        <v>308.39999999999998</v>
      </c>
      <c r="P47" s="16">
        <v>255.20000000000002</v>
      </c>
      <c r="T47" s="16">
        <v>996.7</v>
      </c>
    </row>
    <row r="48" spans="1:22" ht="17.25" customHeight="1">
      <c r="A48" s="18" t="s">
        <v>78</v>
      </c>
      <c r="D48" s="15">
        <v>0</v>
      </c>
      <c r="H48" s="15">
        <v>89.2</v>
      </c>
      <c r="L48" s="15">
        <v>158.69999999999999</v>
      </c>
      <c r="P48" s="15">
        <v>28.600000000000023</v>
      </c>
      <c r="T48" s="15">
        <v>276.5</v>
      </c>
    </row>
    <row r="49" spans="1:22" ht="14.25" customHeight="1"/>
    <row r="50" spans="1:22" ht="14.25" customHeight="1">
      <c r="D50" s="14"/>
      <c r="E50" s="38"/>
      <c r="F50" s="38"/>
      <c r="G50" s="38"/>
    </row>
    <row r="51" spans="1:22" ht="17.25" customHeight="1">
      <c r="A51" s="60" t="s">
        <v>84</v>
      </c>
      <c r="B51" s="60"/>
      <c r="C51" s="60"/>
      <c r="D51" s="60"/>
      <c r="E51" s="60"/>
      <c r="F51" s="60"/>
      <c r="G51" s="60"/>
      <c r="H51" s="60"/>
      <c r="I51" s="60"/>
      <c r="J51" s="60"/>
      <c r="K51" s="60"/>
      <c r="L51" s="60"/>
      <c r="M51" s="60"/>
      <c r="N51" s="60"/>
      <c r="O51" s="60"/>
      <c r="P51" s="60"/>
      <c r="Q51" s="60"/>
      <c r="R51" s="60"/>
      <c r="S51" s="60"/>
      <c r="T51" s="60"/>
      <c r="U51" s="60"/>
      <c r="V51" s="60"/>
    </row>
    <row r="52" spans="1:22" ht="14.25" customHeight="1">
      <c r="D52" s="14"/>
      <c r="E52" s="38"/>
      <c r="F52" s="38"/>
      <c r="G52" s="38"/>
    </row>
    <row r="53" spans="1:22" ht="16.5">
      <c r="A53" s="60" t="s">
        <v>83</v>
      </c>
      <c r="B53" s="60"/>
      <c r="C53" s="60"/>
      <c r="D53" s="60"/>
      <c r="E53" s="60"/>
      <c r="F53" s="60"/>
      <c r="G53" s="60"/>
      <c r="H53" s="60"/>
      <c r="I53" s="60"/>
      <c r="J53" s="60"/>
      <c r="K53" s="60"/>
      <c r="L53" s="60"/>
      <c r="M53" s="60"/>
      <c r="N53" s="60"/>
      <c r="O53" s="60"/>
      <c r="P53" s="60"/>
      <c r="Q53" s="60"/>
      <c r="R53" s="60"/>
      <c r="S53" s="60"/>
      <c r="T53" s="60"/>
      <c r="U53" s="60"/>
      <c r="V53" s="60"/>
    </row>
    <row r="54" spans="1:22" ht="14.25" customHeight="1">
      <c r="A54" s="48"/>
    </row>
    <row r="55" spans="1:22" ht="79.5" customHeight="1">
      <c r="A55" s="58" t="s">
        <v>85</v>
      </c>
      <c r="B55" s="58"/>
      <c r="C55" s="58"/>
      <c r="D55" s="58"/>
      <c r="E55" s="58"/>
      <c r="F55" s="58"/>
      <c r="G55" s="58"/>
      <c r="H55" s="58"/>
      <c r="I55" s="58"/>
      <c r="J55" s="58"/>
      <c r="K55" s="58"/>
      <c r="L55" s="58"/>
      <c r="M55" s="58"/>
      <c r="N55" s="58"/>
      <c r="O55" s="58"/>
      <c r="P55" s="58"/>
      <c r="Q55" s="58"/>
      <c r="R55" s="58"/>
      <c r="S55" s="58"/>
      <c r="T55" s="58"/>
      <c r="U55" s="58"/>
      <c r="V55" s="58"/>
    </row>
    <row r="56" spans="1:22" ht="14.25" customHeight="1"/>
    <row r="57" spans="1:22">
      <c r="A57" s="59" t="s">
        <v>50</v>
      </c>
      <c r="B57" s="59"/>
      <c r="C57" s="59"/>
      <c r="D57" s="59"/>
      <c r="E57" s="59"/>
      <c r="F57" s="59"/>
      <c r="G57" s="59"/>
      <c r="H57" s="59"/>
      <c r="I57" s="59"/>
      <c r="J57" s="59"/>
      <c r="K57" s="59"/>
      <c r="L57" s="59"/>
      <c r="M57" s="59"/>
      <c r="N57" s="59"/>
      <c r="O57" s="59"/>
      <c r="P57" s="59"/>
      <c r="Q57" s="59"/>
      <c r="R57" s="59"/>
      <c r="S57" s="59"/>
      <c r="T57" s="59"/>
      <c r="U57" s="59"/>
      <c r="V57" s="59"/>
    </row>
    <row r="58" spans="1:22" ht="14.25" customHeight="1"/>
  </sheetData>
  <mergeCells count="14">
    <mergeCell ref="A57:V57"/>
    <mergeCell ref="A53:V53"/>
    <mergeCell ref="T5:V5"/>
    <mergeCell ref="T6:V6"/>
    <mergeCell ref="D6:F6"/>
    <mergeCell ref="D5:F5"/>
    <mergeCell ref="H5:J5"/>
    <mergeCell ref="H6:J6"/>
    <mergeCell ref="L5:N5"/>
    <mergeCell ref="L6:N6"/>
    <mergeCell ref="P5:R5"/>
    <mergeCell ref="P6:R6"/>
    <mergeCell ref="A55:V55"/>
    <mergeCell ref="A51:V51"/>
  </mergeCells>
  <pageMargins left="0.75" right="0.75" top="1" bottom="1" header="0.5" footer="0.5"/>
  <pageSetup scale="63" orientation="landscape" r:id="rId1"/>
  <headerFooter alignWithMargins="0"/>
</worksheet>
</file>

<file path=xl/worksheets/sheet5.xml><?xml version="1.0" encoding="utf-8"?>
<worksheet xmlns="http://schemas.openxmlformats.org/spreadsheetml/2006/main" xmlns:r="http://schemas.openxmlformats.org/officeDocument/2006/relationships">
  <sheetPr codeName="Sheet5">
    <pageSetUpPr fitToPage="1"/>
  </sheetPr>
  <dimension ref="A1:S60"/>
  <sheetViews>
    <sheetView showGridLines="0" zoomScale="85" zoomScaleNormal="85" workbookViewId="0">
      <selection activeCell="A4" sqref="A4"/>
    </sheetView>
  </sheetViews>
  <sheetFormatPr defaultRowHeight="14.25"/>
  <cols>
    <col min="1" max="2" width="9.140625" style="18" customWidth="1"/>
    <col min="3" max="3" width="32.7109375" style="18" customWidth="1"/>
    <col min="4" max="4" width="14.140625" style="18" customWidth="1"/>
    <col min="5" max="5" width="2.7109375" style="18" customWidth="1"/>
    <col min="6" max="6" width="11.7109375" style="18" customWidth="1"/>
    <col min="7" max="7" width="8.5703125" style="18" customWidth="1"/>
    <col min="8" max="8" width="14.140625" style="18" customWidth="1"/>
    <col min="9" max="9" width="2.7109375" style="18" customWidth="1"/>
    <col min="10" max="10" width="11.7109375" style="18" customWidth="1"/>
    <col min="11" max="11" width="8.5703125" style="18" customWidth="1"/>
    <col min="12" max="12" width="14.140625" style="18" customWidth="1"/>
    <col min="13" max="13" width="2.7109375" style="18" customWidth="1"/>
    <col min="14" max="14" width="11.7109375" style="18" customWidth="1"/>
    <col min="15" max="15" width="8.5703125" style="18" customWidth="1"/>
    <col min="16" max="16" width="13.7109375" style="18" bestFit="1" customWidth="1"/>
    <col min="17" max="17" width="2.7109375" style="18" customWidth="1"/>
    <col min="18" max="18" width="11" style="18" bestFit="1" customWidth="1"/>
    <col min="19" max="19" width="8.5703125" style="18" customWidth="1"/>
    <col min="20" max="16384" width="9.140625" style="18"/>
  </cols>
  <sheetData>
    <row r="1" spans="1:18" ht="15">
      <c r="A1" s="47" t="s">
        <v>35</v>
      </c>
    </row>
    <row r="2" spans="1:18" ht="15">
      <c r="A2" s="47" t="s">
        <v>8</v>
      </c>
    </row>
    <row r="3" spans="1:18" ht="15">
      <c r="A3" s="47" t="s">
        <v>10</v>
      </c>
    </row>
    <row r="5" spans="1:18">
      <c r="D5" s="54" t="s">
        <v>64</v>
      </c>
      <c r="E5" s="54"/>
      <c r="F5" s="54"/>
      <c r="H5" s="54" t="s">
        <v>64</v>
      </c>
      <c r="I5" s="54"/>
      <c r="J5" s="54"/>
      <c r="L5" s="54" t="s">
        <v>64</v>
      </c>
      <c r="M5" s="54"/>
      <c r="N5" s="54"/>
      <c r="P5" s="54" t="s">
        <v>64</v>
      </c>
      <c r="Q5" s="54"/>
      <c r="R5" s="54"/>
    </row>
    <row r="6" spans="1:18">
      <c r="D6" s="55" t="s">
        <v>65</v>
      </c>
      <c r="E6" s="56"/>
      <c r="F6" s="56"/>
      <c r="H6" s="55" t="s">
        <v>63</v>
      </c>
      <c r="I6" s="56"/>
      <c r="J6" s="56"/>
      <c r="L6" s="55" t="s">
        <v>62</v>
      </c>
      <c r="M6" s="56"/>
      <c r="N6" s="56"/>
      <c r="P6" s="55" t="s">
        <v>58</v>
      </c>
      <c r="Q6" s="56"/>
      <c r="R6" s="56"/>
    </row>
    <row r="7" spans="1:18">
      <c r="A7" s="18" t="s">
        <v>29</v>
      </c>
    </row>
    <row r="8" spans="1:18">
      <c r="B8" s="18" t="s">
        <v>60</v>
      </c>
      <c r="D8" s="15">
        <v>29.1</v>
      </c>
      <c r="H8" s="15">
        <v>28.6</v>
      </c>
      <c r="L8" s="15">
        <v>30.2</v>
      </c>
      <c r="P8" s="15">
        <v>28.8</v>
      </c>
    </row>
    <row r="9" spans="1:18">
      <c r="B9" s="18" t="s">
        <v>34</v>
      </c>
      <c r="D9" s="15">
        <v>173.6</v>
      </c>
      <c r="H9" s="15">
        <v>163.79999999999998</v>
      </c>
      <c r="L9" s="15">
        <v>160.1</v>
      </c>
      <c r="P9" s="15">
        <v>169.7</v>
      </c>
    </row>
    <row r="10" spans="1:18">
      <c r="B10" s="31" t="s">
        <v>30</v>
      </c>
      <c r="D10" s="15">
        <v>25.3</v>
      </c>
      <c r="H10" s="15">
        <v>25.3</v>
      </c>
      <c r="L10" s="15">
        <v>20</v>
      </c>
      <c r="P10" s="15">
        <v>20.9</v>
      </c>
    </row>
    <row r="11" spans="1:18">
      <c r="B11" s="18" t="s">
        <v>6</v>
      </c>
      <c r="D11" s="15">
        <v>21.4</v>
      </c>
      <c r="H11" s="15">
        <v>25.4</v>
      </c>
      <c r="L11" s="15">
        <v>29.4</v>
      </c>
      <c r="P11" s="15">
        <v>31.2</v>
      </c>
    </row>
    <row r="12" spans="1:18" ht="15" thickBot="1">
      <c r="B12" s="18" t="s">
        <v>1</v>
      </c>
      <c r="D12" s="32">
        <v>249.4</v>
      </c>
      <c r="H12" s="32">
        <v>243.1</v>
      </c>
      <c r="L12" s="32">
        <v>239.7</v>
      </c>
      <c r="P12" s="32">
        <v>250.6</v>
      </c>
    </row>
    <row r="13" spans="1:18" ht="15" thickTop="1">
      <c r="D13" s="33"/>
      <c r="H13" s="33"/>
      <c r="L13" s="33"/>
      <c r="P13" s="33"/>
    </row>
    <row r="14" spans="1:18">
      <c r="A14" s="18" t="s">
        <v>11</v>
      </c>
      <c r="D14" s="34" t="s">
        <v>7</v>
      </c>
      <c r="E14" s="34"/>
      <c r="F14" s="34" t="s">
        <v>5</v>
      </c>
      <c r="H14" s="34" t="s">
        <v>7</v>
      </c>
      <c r="I14" s="34"/>
      <c r="J14" s="34" t="s">
        <v>5</v>
      </c>
      <c r="L14" s="34" t="s">
        <v>7</v>
      </c>
      <c r="M14" s="34"/>
      <c r="N14" s="34" t="s">
        <v>5</v>
      </c>
      <c r="P14" s="34" t="s">
        <v>7</v>
      </c>
      <c r="Q14" s="34"/>
      <c r="R14" s="34" t="s">
        <v>5</v>
      </c>
    </row>
    <row r="15" spans="1:18">
      <c r="B15" s="18" t="s">
        <v>61</v>
      </c>
      <c r="D15" s="14">
        <v>1402.6</v>
      </c>
      <c r="F15" s="19">
        <v>48.209312714776622</v>
      </c>
      <c r="H15" s="14">
        <v>1248.9000000000001</v>
      </c>
      <c r="J15" s="19">
        <v>43.67</v>
      </c>
      <c r="L15" s="14">
        <v>1203.2</v>
      </c>
      <c r="N15" s="19">
        <v>39.840000000000003</v>
      </c>
      <c r="P15" s="14">
        <v>1056.5999999999999</v>
      </c>
      <c r="R15" s="19">
        <v>36.69</v>
      </c>
    </row>
    <row r="16" spans="1:18">
      <c r="B16" s="18" t="s">
        <v>28</v>
      </c>
      <c r="D16" s="15">
        <v>2900.4</v>
      </c>
      <c r="F16" s="20">
        <v>16.72</v>
      </c>
      <c r="H16" s="15">
        <v>2706.3</v>
      </c>
      <c r="J16" s="20">
        <v>16.52</v>
      </c>
      <c r="L16" s="15">
        <v>2612.6</v>
      </c>
      <c r="N16" s="20">
        <v>16.309999999999999</v>
      </c>
      <c r="P16" s="15">
        <v>2533.1</v>
      </c>
      <c r="R16" s="20">
        <v>14.93</v>
      </c>
    </row>
    <row r="17" spans="1:18">
      <c r="B17" s="18" t="s">
        <v>40</v>
      </c>
      <c r="D17" s="17">
        <v>4303</v>
      </c>
      <c r="F17" s="20">
        <v>21.228416378885054</v>
      </c>
      <c r="H17" s="17">
        <v>3955.2000000000003</v>
      </c>
      <c r="J17" s="20">
        <v>20.56</v>
      </c>
      <c r="L17" s="17">
        <v>3815.8</v>
      </c>
      <c r="N17" s="20">
        <v>20.05</v>
      </c>
      <c r="P17" s="17">
        <v>3589.7</v>
      </c>
      <c r="R17" s="20">
        <v>18.079999999999998</v>
      </c>
    </row>
    <row r="18" spans="1:18">
      <c r="B18" s="18" t="s">
        <v>26</v>
      </c>
      <c r="D18" s="15">
        <v>3080.7</v>
      </c>
      <c r="F18" s="20">
        <v>121.78</v>
      </c>
      <c r="H18" s="15">
        <v>2399.9</v>
      </c>
      <c r="J18" s="20">
        <v>94.8</v>
      </c>
      <c r="L18" s="25">
        <v>1512.6</v>
      </c>
      <c r="N18" s="20">
        <v>75.63</v>
      </c>
      <c r="P18" s="25">
        <v>2017.4</v>
      </c>
      <c r="R18" s="20">
        <v>96.53</v>
      </c>
    </row>
    <row r="19" spans="1:18">
      <c r="D19" s="16"/>
      <c r="F19" s="16"/>
      <c r="H19" s="16"/>
      <c r="J19" s="16"/>
      <c r="L19" s="16"/>
      <c r="N19" s="16"/>
      <c r="P19" s="16"/>
      <c r="R19" s="16"/>
    </row>
    <row r="20" spans="1:18">
      <c r="A20" s="18" t="s">
        <v>12</v>
      </c>
      <c r="D20" s="34"/>
      <c r="E20" s="34"/>
      <c r="F20" s="34"/>
      <c r="H20" s="34"/>
      <c r="I20" s="34"/>
      <c r="J20" s="34"/>
      <c r="L20" s="16"/>
      <c r="N20" s="21"/>
      <c r="P20" s="16"/>
      <c r="R20" s="21"/>
    </row>
    <row r="21" spans="1:18">
      <c r="B21" s="18" t="s">
        <v>61</v>
      </c>
      <c r="D21" s="14">
        <v>999.7</v>
      </c>
      <c r="F21" s="22">
        <v>34.353951890034367</v>
      </c>
      <c r="H21" s="14">
        <v>938.9</v>
      </c>
      <c r="J21" s="22">
        <v>32.83</v>
      </c>
      <c r="L21" s="14">
        <v>927.6</v>
      </c>
      <c r="N21" s="22">
        <v>30.72</v>
      </c>
      <c r="P21" s="14">
        <v>879.7</v>
      </c>
      <c r="R21" s="22">
        <v>30.55</v>
      </c>
    </row>
    <row r="22" spans="1:18">
      <c r="B22" s="18" t="s">
        <v>28</v>
      </c>
      <c r="D22" s="15">
        <v>2134.3999999999996</v>
      </c>
      <c r="F22" s="20">
        <v>12.31</v>
      </c>
      <c r="H22" s="15">
        <v>1889.6000000000001</v>
      </c>
      <c r="J22" s="20">
        <v>11.53</v>
      </c>
      <c r="L22" s="15">
        <v>1891.1</v>
      </c>
      <c r="N22" s="20">
        <v>11.81</v>
      </c>
      <c r="P22" s="15">
        <v>1851.8</v>
      </c>
      <c r="R22" s="20">
        <v>10.92</v>
      </c>
    </row>
    <row r="23" spans="1:18">
      <c r="B23" s="18" t="s">
        <v>40</v>
      </c>
      <c r="D23" s="17">
        <v>3134.0999999999995</v>
      </c>
      <c r="F23" s="20">
        <v>15.46176615688209</v>
      </c>
      <c r="H23" s="17">
        <v>2828.5</v>
      </c>
      <c r="J23" s="20">
        <v>14.7</v>
      </c>
      <c r="L23" s="17">
        <v>2818.7</v>
      </c>
      <c r="N23" s="20">
        <v>14.81</v>
      </c>
      <c r="P23" s="17">
        <v>2731.5</v>
      </c>
      <c r="R23" s="20">
        <v>13.76</v>
      </c>
    </row>
    <row r="24" spans="1:18">
      <c r="B24" s="18" t="s">
        <v>26</v>
      </c>
      <c r="D24" s="15">
        <v>1886.4</v>
      </c>
      <c r="F24" s="20">
        <v>74.569999999999993</v>
      </c>
      <c r="H24" s="15">
        <v>1422.5</v>
      </c>
      <c r="J24" s="20">
        <v>56.19</v>
      </c>
      <c r="L24" s="25">
        <v>1102.0999999999999</v>
      </c>
      <c r="N24" s="20">
        <v>55.63</v>
      </c>
      <c r="P24" s="25">
        <v>1119.5999999999999</v>
      </c>
      <c r="R24" s="20">
        <v>53.56</v>
      </c>
    </row>
    <row r="25" spans="1:18">
      <c r="D25" s="16"/>
      <c r="F25" s="16"/>
      <c r="H25" s="16"/>
      <c r="J25" s="16"/>
      <c r="L25" s="16"/>
      <c r="N25" s="16"/>
      <c r="P25" s="16"/>
      <c r="R25" s="16"/>
    </row>
    <row r="26" spans="1:18">
      <c r="A26" s="18" t="s">
        <v>13</v>
      </c>
      <c r="D26" s="16"/>
      <c r="F26" s="16"/>
      <c r="H26" s="16"/>
      <c r="J26" s="16"/>
      <c r="L26" s="16"/>
      <c r="N26" s="16"/>
      <c r="P26" s="16"/>
      <c r="R26" s="16"/>
    </row>
    <row r="27" spans="1:18" ht="13.7" customHeight="1">
      <c r="B27" s="18" t="s">
        <v>61</v>
      </c>
      <c r="D27" s="14">
        <v>402.89999999999992</v>
      </c>
      <c r="F27" s="22">
        <v>13.855360824742265</v>
      </c>
      <c r="H27" s="14">
        <v>310</v>
      </c>
      <c r="J27" s="22">
        <v>10.84</v>
      </c>
      <c r="L27" s="14">
        <v>275.60000000000002</v>
      </c>
      <c r="N27" s="22">
        <v>9.1300000000000008</v>
      </c>
      <c r="P27" s="14">
        <v>176.9</v>
      </c>
      <c r="R27" s="22">
        <v>6.14</v>
      </c>
    </row>
    <row r="28" spans="1:18">
      <c r="B28" s="18" t="s">
        <v>28</v>
      </c>
      <c r="D28" s="15">
        <v>766</v>
      </c>
      <c r="F28" s="20">
        <v>4.4099999999999984</v>
      </c>
      <c r="H28" s="15">
        <v>816.7</v>
      </c>
      <c r="J28" s="20">
        <v>4.99</v>
      </c>
      <c r="L28" s="15">
        <v>721.5</v>
      </c>
      <c r="N28" s="20">
        <v>4.4999999999999982</v>
      </c>
      <c r="P28" s="15">
        <v>681.3</v>
      </c>
      <c r="R28" s="20">
        <v>4.01</v>
      </c>
    </row>
    <row r="29" spans="1:18">
      <c r="B29" s="18" t="s">
        <v>40</v>
      </c>
      <c r="D29" s="17">
        <v>1168.8999999999999</v>
      </c>
      <c r="F29" s="20">
        <v>5.7766502220029592</v>
      </c>
      <c r="H29" s="17">
        <v>1126.7</v>
      </c>
      <c r="J29" s="20">
        <v>5.86</v>
      </c>
      <c r="L29" s="17">
        <v>997.1</v>
      </c>
      <c r="N29" s="20">
        <v>5.24</v>
      </c>
      <c r="P29" s="17">
        <v>858.19999999999993</v>
      </c>
      <c r="R29" s="20">
        <v>4.32</v>
      </c>
    </row>
    <row r="30" spans="1:18">
      <c r="B30" s="18" t="s">
        <v>26</v>
      </c>
      <c r="D30" s="15">
        <v>1194.3000000000002</v>
      </c>
      <c r="F30" s="20">
        <v>47.210000000000008</v>
      </c>
      <c r="H30" s="15">
        <v>977.4</v>
      </c>
      <c r="J30" s="20">
        <v>38.61</v>
      </c>
      <c r="L30" s="25">
        <v>410.5</v>
      </c>
      <c r="N30" s="20">
        <v>19.999999999999993</v>
      </c>
      <c r="P30" s="25">
        <v>897.80000000000018</v>
      </c>
      <c r="R30" s="20">
        <v>42.97</v>
      </c>
    </row>
    <row r="31" spans="1:18">
      <c r="D31" s="16"/>
      <c r="F31" s="16"/>
      <c r="H31" s="16"/>
      <c r="J31" s="16"/>
      <c r="L31" s="16"/>
      <c r="N31" s="16"/>
      <c r="P31" s="16"/>
      <c r="R31" s="16"/>
    </row>
    <row r="32" spans="1:18">
      <c r="A32" s="18" t="s">
        <v>79</v>
      </c>
      <c r="D32" s="23">
        <v>197</v>
      </c>
      <c r="F32" s="23"/>
      <c r="H32" s="16">
        <v>77.2</v>
      </c>
      <c r="J32" s="23"/>
      <c r="L32" s="16">
        <v>193.4</v>
      </c>
      <c r="N32" s="23"/>
      <c r="P32" s="16">
        <v>218.9</v>
      </c>
      <c r="R32" s="23"/>
    </row>
    <row r="33" spans="1:19">
      <c r="D33" s="16"/>
      <c r="F33" s="16"/>
      <c r="H33" s="16"/>
      <c r="J33" s="16"/>
      <c r="L33" s="16"/>
      <c r="N33" s="16"/>
      <c r="P33" s="16"/>
      <c r="R33" s="16"/>
    </row>
    <row r="34" spans="1:19" ht="16.5">
      <c r="A34" s="18" t="s">
        <v>80</v>
      </c>
      <c r="D34" s="16">
        <v>67.199999999999989</v>
      </c>
      <c r="F34" s="16"/>
      <c r="H34" s="16">
        <v>23.8</v>
      </c>
      <c r="J34" s="16"/>
      <c r="L34" s="16">
        <v>16.100000000000001</v>
      </c>
      <c r="N34" s="16"/>
      <c r="P34" s="16">
        <v>55.4</v>
      </c>
      <c r="R34" s="16"/>
    </row>
    <row r="35" spans="1:19">
      <c r="D35" s="16"/>
      <c r="F35" s="16"/>
      <c r="H35" s="16"/>
      <c r="J35" s="16"/>
      <c r="L35" s="16"/>
      <c r="N35" s="16"/>
      <c r="P35" s="16"/>
      <c r="R35" s="16"/>
    </row>
    <row r="36" spans="1:19">
      <c r="A36" s="18" t="s">
        <v>9</v>
      </c>
      <c r="D36" s="16">
        <v>-268.20000000000005</v>
      </c>
      <c r="F36" s="24">
        <v>-1.075380914194066</v>
      </c>
      <c r="H36" s="16">
        <v>-232.2</v>
      </c>
      <c r="J36" s="24">
        <v>-0.9508599508599509</v>
      </c>
      <c r="L36" s="14">
        <v>-199.1</v>
      </c>
      <c r="N36" s="24">
        <v>-0.83062161034626614</v>
      </c>
      <c r="P36" s="14">
        <v>-197.3</v>
      </c>
      <c r="R36" s="24">
        <v>-0.78</v>
      </c>
    </row>
    <row r="37" spans="1:19">
      <c r="D37" s="14"/>
      <c r="F37" s="24"/>
      <c r="H37" s="14"/>
      <c r="J37" s="24"/>
      <c r="L37" s="14"/>
      <c r="N37" s="24"/>
      <c r="P37" s="14"/>
      <c r="R37" s="24"/>
    </row>
    <row r="38" spans="1:19">
      <c r="A38" s="18" t="s">
        <v>74</v>
      </c>
      <c r="D38" s="14">
        <v>-85.2</v>
      </c>
      <c r="F38" s="24">
        <v>-0.34161988773055335</v>
      </c>
      <c r="H38" s="14">
        <v>0</v>
      </c>
      <c r="J38" s="24">
        <v>0</v>
      </c>
      <c r="L38" s="14">
        <v>0</v>
      </c>
      <c r="N38" s="24">
        <v>0</v>
      </c>
      <c r="P38" s="14">
        <v>0</v>
      </c>
      <c r="R38" s="24">
        <v>0</v>
      </c>
    </row>
    <row r="39" spans="1:19">
      <c r="D39" s="14"/>
      <c r="F39" s="24"/>
      <c r="H39" s="14"/>
      <c r="J39" s="24"/>
      <c r="L39" s="14"/>
      <c r="N39" s="24"/>
      <c r="P39" s="14"/>
      <c r="R39" s="24"/>
    </row>
    <row r="40" spans="1:19" ht="16.5">
      <c r="A40" s="18" t="s">
        <v>54</v>
      </c>
      <c r="D40" s="16">
        <v>-151.4</v>
      </c>
      <c r="E40" s="14"/>
      <c r="F40" s="24">
        <v>-0.60705693664795513</v>
      </c>
      <c r="H40" s="16">
        <v>-146.4</v>
      </c>
      <c r="I40" s="14"/>
      <c r="J40" s="24">
        <v>-0.5990990990990992</v>
      </c>
      <c r="L40" s="14">
        <v>-126.8</v>
      </c>
      <c r="M40" s="14"/>
      <c r="N40" s="24">
        <v>-0.52899457655402593</v>
      </c>
      <c r="P40" s="14">
        <v>-105.3</v>
      </c>
      <c r="Q40" s="14"/>
      <c r="R40" s="24">
        <v>-0.42</v>
      </c>
      <c r="S40" s="14"/>
    </row>
    <row r="41" spans="1:19">
      <c r="L41" s="38"/>
      <c r="P41" s="38"/>
    </row>
    <row r="42" spans="1:19" ht="16.5">
      <c r="A42" s="18" t="s">
        <v>70</v>
      </c>
      <c r="D42" s="14">
        <v>2122.6000000000004</v>
      </c>
      <c r="F42" s="19">
        <v>8.5108259823576589</v>
      </c>
      <c r="H42" s="14">
        <v>1826.5</v>
      </c>
      <c r="J42" s="19">
        <v>7.51</v>
      </c>
      <c r="L42" s="14">
        <v>1291.2</v>
      </c>
      <c r="N42" s="24">
        <v>5.386733416770964</v>
      </c>
      <c r="P42" s="14">
        <v>1727.7</v>
      </c>
      <c r="R42" s="19">
        <v>6.89</v>
      </c>
    </row>
    <row r="43" spans="1:19">
      <c r="F43" s="21"/>
      <c r="J43" s="21"/>
    </row>
    <row r="44" spans="1:19">
      <c r="A44" s="18" t="s">
        <v>76</v>
      </c>
      <c r="D44" s="14"/>
      <c r="H44" s="14"/>
    </row>
    <row r="45" spans="1:19">
      <c r="B45" s="18" t="s">
        <v>66</v>
      </c>
      <c r="D45" s="14">
        <v>1652.1000000000001</v>
      </c>
      <c r="H45" s="14">
        <v>1104.5</v>
      </c>
      <c r="L45" s="14">
        <v>1038.5999999999999</v>
      </c>
      <c r="N45" s="14"/>
      <c r="P45" s="14">
        <v>1316.5</v>
      </c>
    </row>
    <row r="46" spans="1:19">
      <c r="B46" s="18" t="s">
        <v>67</v>
      </c>
      <c r="D46" s="15">
        <v>-3737.2</v>
      </c>
      <c r="H46" s="15">
        <v>-692.7</v>
      </c>
      <c r="L46" s="15">
        <v>-404.2</v>
      </c>
      <c r="M46" s="15"/>
      <c r="N46" s="15"/>
      <c r="O46" s="15"/>
      <c r="P46" s="15">
        <v>-409.1</v>
      </c>
      <c r="Q46" s="15"/>
      <c r="R46" s="15"/>
      <c r="S46" s="15"/>
    </row>
    <row r="47" spans="1:19">
      <c r="B47" s="31" t="s">
        <v>68</v>
      </c>
      <c r="D47" s="15">
        <v>1678.5</v>
      </c>
      <c r="H47" s="15">
        <v>-77.099999999999994</v>
      </c>
      <c r="L47" s="15">
        <v>-104.6</v>
      </c>
      <c r="M47" s="15"/>
      <c r="N47" s="15"/>
      <c r="O47" s="15"/>
      <c r="P47" s="15">
        <v>-498</v>
      </c>
      <c r="Q47" s="15"/>
      <c r="R47" s="15"/>
      <c r="S47" s="15"/>
    </row>
    <row r="49" spans="1:19">
      <c r="A49" s="18" t="s">
        <v>75</v>
      </c>
      <c r="D49" s="16">
        <v>883.6</v>
      </c>
      <c r="E49" s="38"/>
      <c r="F49" s="24"/>
      <c r="H49" s="16">
        <v>622</v>
      </c>
      <c r="I49" s="38"/>
      <c r="J49" s="24"/>
      <c r="L49" s="14">
        <v>437</v>
      </c>
      <c r="M49" s="40"/>
      <c r="N49" s="41"/>
      <c r="O49" s="40"/>
      <c r="P49" s="14">
        <v>473.4</v>
      </c>
      <c r="Q49" s="40"/>
      <c r="R49" s="41"/>
      <c r="S49" s="40"/>
    </row>
    <row r="50" spans="1:19">
      <c r="A50" s="18" t="s">
        <v>78</v>
      </c>
      <c r="D50" s="15">
        <v>42.4</v>
      </c>
      <c r="H50" s="15">
        <v>0</v>
      </c>
      <c r="L50" s="15">
        <v>0</v>
      </c>
      <c r="M50" s="15"/>
      <c r="N50" s="15"/>
      <c r="O50" s="15"/>
      <c r="P50" s="15">
        <v>0</v>
      </c>
      <c r="Q50" s="38"/>
      <c r="R50" s="38"/>
      <c r="S50" s="38"/>
    </row>
    <row r="51" spans="1:19" ht="13.5" customHeight="1"/>
    <row r="52" spans="1:19" ht="17.25" customHeight="1">
      <c r="A52" s="48" t="s">
        <v>84</v>
      </c>
    </row>
    <row r="53" spans="1:19" ht="13.5" customHeight="1"/>
    <row r="54" spans="1:19" ht="16.5">
      <c r="A54" s="48" t="s">
        <v>83</v>
      </c>
    </row>
    <row r="55" spans="1:19" ht="13.5" customHeight="1"/>
    <row r="56" spans="1:19" ht="75.75" customHeight="1">
      <c r="A56" s="58" t="s">
        <v>86</v>
      </c>
      <c r="B56" s="58"/>
      <c r="C56" s="58"/>
      <c r="D56" s="58"/>
      <c r="E56" s="58"/>
      <c r="F56" s="58"/>
      <c r="G56" s="58"/>
      <c r="H56" s="58"/>
      <c r="I56" s="58"/>
      <c r="J56" s="58"/>
      <c r="K56" s="58"/>
      <c r="L56" s="58"/>
      <c r="M56" s="58"/>
      <c r="N56" s="58"/>
      <c r="O56" s="58"/>
      <c r="P56" s="58"/>
      <c r="Q56" s="58"/>
      <c r="R56" s="58"/>
      <c r="S56" s="58"/>
    </row>
    <row r="57" spans="1:19" ht="13.5" customHeight="1"/>
    <row r="58" spans="1:19">
      <c r="A58" s="29" t="s">
        <v>50</v>
      </c>
    </row>
    <row r="59" spans="1:19" ht="13.5" customHeight="1"/>
    <row r="60" spans="1:19">
      <c r="D60" s="24"/>
      <c r="H60" s="24"/>
      <c r="L60" s="24"/>
      <c r="P60" s="24"/>
    </row>
  </sheetData>
  <mergeCells count="9">
    <mergeCell ref="A56:S56"/>
    <mergeCell ref="L5:N5"/>
    <mergeCell ref="P5:R5"/>
    <mergeCell ref="L6:N6"/>
    <mergeCell ref="P6:R6"/>
    <mergeCell ref="H5:J5"/>
    <mergeCell ref="H6:J6"/>
    <mergeCell ref="D5:F5"/>
    <mergeCell ref="D6:F6"/>
  </mergeCells>
  <pageMargins left="0.75" right="0.75" top="0.57999999999999996" bottom="0.59" header="0.5" footer="0.5"/>
  <pageSetup scale="62"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2003 by quarter </vt:lpstr>
      <vt:lpstr>2006 by quarter</vt:lpstr>
      <vt:lpstr>2013 by quarter</vt:lpstr>
      <vt:lpstr>2012 by quarter</vt:lpstr>
      <vt:lpstr>2008-2011 by year</vt:lpstr>
      <vt:lpstr>'2008-2011 by year'!Print_Area</vt:lpstr>
    </vt:vector>
  </TitlesOfParts>
  <Company>Peabody Group</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Peabody Group</dc:creator>
  <cp:lastModifiedBy>Mike Scanlon</cp:lastModifiedBy>
  <cp:lastPrinted>2013-04-12T15:38:52Z</cp:lastPrinted>
  <dcterms:created xsi:type="dcterms:W3CDTF">2001-09-04T16:03:54Z</dcterms:created>
  <dcterms:modified xsi:type="dcterms:W3CDTF">2013-04-17T22:12:03Z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ExAnalyzer_OldName">
    <vt:lpwstr>Website KPI - Q1 2013.xlsx</vt:lpwstr>
  </property>
</Properties>
</file>