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2450"/>
  </bookViews>
  <sheets>
    <sheet name="Totals" sheetId="8" r:id="rId1"/>
    <sheet name="Drop-box" sheetId="7" r:id="rId2"/>
    <sheet name="Commercial" sheetId="6" r:id="rId3"/>
    <sheet name="SF Residential - COS" sheetId="10" r:id="rId4"/>
    <sheet name="SF Residential - Linear" sheetId="11" r:id="rId5"/>
  </sheets>
  <definedNames>
    <definedName name="_Toc443301354" localSheetId="3">'SF Residential - COS'!#REF!</definedName>
    <definedName name="_Toc443301354" localSheetId="4">'SF Residential - Linear'!#REF!</definedName>
    <definedName name="_xlnm.Print_Area" localSheetId="2">Commercial!$A$1:$N$172</definedName>
    <definedName name="_xlnm.Print_Area" localSheetId="1">'Drop-box'!$A$1:$L$89</definedName>
    <definedName name="_xlnm.Print_Area" localSheetId="3">'SF Residential - COS'!$A$1:$M$57</definedName>
    <definedName name="_xlnm.Print_Area" localSheetId="4">'SF Residential - Linear'!$A$1:$M$57</definedName>
    <definedName name="_xlnm.Print_Area" localSheetId="0">Totals!$A$1:$L$19</definedName>
    <definedName name="Print_Area_MI" localSheetId="3">'SF Residential - COS'!#REF!</definedName>
    <definedName name="Print_Area_MI" localSheetId="4">'SF Residential - Linear'!#REF!</definedName>
  </definedNames>
  <calcPr calcId="145621"/>
</workbook>
</file>

<file path=xl/calcChain.xml><?xml version="1.0" encoding="utf-8"?>
<calcChain xmlns="http://schemas.openxmlformats.org/spreadsheetml/2006/main">
  <c r="F106" i="6" l="1"/>
  <c r="D74" i="7" l="1"/>
  <c r="E16" i="11" l="1"/>
  <c r="E15" i="11"/>
  <c r="E14" i="11"/>
  <c r="E12" i="11"/>
  <c r="E11" i="11"/>
  <c r="F11" i="11" s="1"/>
  <c r="D19" i="11"/>
  <c r="F19" i="11"/>
  <c r="D16" i="11"/>
  <c r="F16" i="11" s="1"/>
  <c r="D15" i="11"/>
  <c r="F15" i="11" s="1"/>
  <c r="D14" i="11"/>
  <c r="D12" i="11"/>
  <c r="D11" i="11"/>
  <c r="F41" i="11"/>
  <c r="F40" i="11"/>
  <c r="F38" i="11"/>
  <c r="C38" i="11"/>
  <c r="B38" i="11"/>
  <c r="F37" i="11"/>
  <c r="F36" i="11"/>
  <c r="F35" i="11"/>
  <c r="F34" i="11"/>
  <c r="F33" i="11"/>
  <c r="F32" i="11"/>
  <c r="C32" i="11"/>
  <c r="B32" i="11"/>
  <c r="F30" i="11"/>
  <c r="F29" i="11"/>
  <c r="F28" i="11"/>
  <c r="F26" i="11"/>
  <c r="F25" i="11"/>
  <c r="C25" i="11"/>
  <c r="B25" i="11"/>
  <c r="F17" i="11"/>
  <c r="B17" i="11"/>
  <c r="F13" i="11"/>
  <c r="C13" i="11"/>
  <c r="M20" i="11" s="1"/>
  <c r="B13" i="11"/>
  <c r="F14" i="11" l="1"/>
  <c r="L20" i="11"/>
  <c r="L44" i="11" s="1"/>
  <c r="H19" i="8" s="1"/>
  <c r="K20" i="11"/>
  <c r="K44" i="11" s="1"/>
  <c r="G19" i="8" s="1"/>
  <c r="F42" i="11"/>
  <c r="C19" i="8" s="1"/>
  <c r="M44" i="11"/>
  <c r="L19" i="8" s="1"/>
  <c r="F12" i="11"/>
  <c r="F20" i="11" s="1"/>
  <c r="F44" i="11" l="1"/>
  <c r="D19" i="8" s="1"/>
  <c r="B19" i="8"/>
  <c r="C38" i="10"/>
  <c r="B38" i="10"/>
  <c r="C32" i="10"/>
  <c r="B32" i="10"/>
  <c r="C25" i="10"/>
  <c r="B25" i="10"/>
  <c r="C13" i="10"/>
  <c r="M20" i="10" l="1"/>
  <c r="M44" i="10" s="1"/>
  <c r="L11" i="8" s="1"/>
  <c r="L20" i="10"/>
  <c r="L44" i="10" s="1"/>
  <c r="H11" i="8" s="1"/>
  <c r="H14" i="8" s="1"/>
  <c r="K20" i="10"/>
  <c r="K44" i="10" s="1"/>
  <c r="G11" i="8" s="1"/>
  <c r="G14" i="8" s="1"/>
  <c r="N99" i="6"/>
  <c r="N157" i="6" s="1"/>
  <c r="M99" i="6"/>
  <c r="M157" i="6" s="1"/>
  <c r="L99" i="6"/>
  <c r="L157" i="6" s="1"/>
  <c r="K99" i="6"/>
  <c r="K157" i="6" s="1"/>
  <c r="K12" i="8" l="1"/>
  <c r="J12" i="8"/>
  <c r="L12" i="8"/>
  <c r="I12" i="8"/>
  <c r="F41" i="10"/>
  <c r="F40" i="10"/>
  <c r="F38" i="10"/>
  <c r="F37" i="10"/>
  <c r="F36" i="10"/>
  <c r="F35" i="10"/>
  <c r="F34" i="10"/>
  <c r="F33" i="10"/>
  <c r="F32" i="10"/>
  <c r="F30" i="10"/>
  <c r="F29" i="10"/>
  <c r="F28" i="10"/>
  <c r="F26" i="10"/>
  <c r="F25" i="10"/>
  <c r="F19" i="10"/>
  <c r="F17" i="10"/>
  <c r="B17" i="10"/>
  <c r="F16" i="10"/>
  <c r="F15" i="10"/>
  <c r="F14" i="10"/>
  <c r="F13" i="10"/>
  <c r="B13" i="10"/>
  <c r="F12" i="10"/>
  <c r="F11" i="10"/>
  <c r="F42" i="10" l="1"/>
  <c r="C11" i="8" s="1"/>
  <c r="F20" i="10"/>
  <c r="F122" i="6"/>
  <c r="F118" i="6"/>
  <c r="F44" i="10" l="1"/>
  <c r="D11" i="8" s="1"/>
  <c r="B11" i="8"/>
  <c r="C27" i="7"/>
  <c r="B27" i="7"/>
  <c r="C26" i="7"/>
  <c r="B26" i="7"/>
  <c r="C25" i="7"/>
  <c r="B25" i="7"/>
  <c r="C24" i="7"/>
  <c r="B24" i="7"/>
  <c r="C22" i="7"/>
  <c r="C23" i="7"/>
  <c r="B23" i="7"/>
  <c r="C18" i="7"/>
  <c r="B18" i="7"/>
  <c r="C15" i="7"/>
  <c r="B15" i="7"/>
  <c r="C16" i="7"/>
  <c r="C14" i="7"/>
  <c r="C13" i="7"/>
  <c r="C12" i="7"/>
  <c r="C11" i="7"/>
  <c r="C13" i="8" l="1"/>
  <c r="J37" i="7"/>
  <c r="I37" i="7"/>
  <c r="D37" i="7"/>
  <c r="L37" i="7"/>
  <c r="K37" i="7"/>
  <c r="F113" i="6"/>
  <c r="F111" i="6"/>
  <c r="F110" i="6"/>
  <c r="F109" i="6"/>
  <c r="F108" i="6"/>
  <c r="F107" i="6"/>
  <c r="F105" i="6"/>
  <c r="F104" i="6"/>
  <c r="L76" i="7" l="1"/>
  <c r="L13" i="8"/>
  <c r="L14" i="8" s="1"/>
  <c r="K76" i="7"/>
  <c r="K13" i="8"/>
  <c r="K14" i="8" s="1"/>
  <c r="J76" i="7"/>
  <c r="J13" i="8"/>
  <c r="J14" i="8" s="1"/>
  <c r="I76" i="7"/>
  <c r="I13" i="8"/>
  <c r="I14" i="8" s="1"/>
  <c r="D76" i="7"/>
  <c r="B13" i="8"/>
  <c r="D13" i="8" l="1"/>
  <c r="F15" i="6"/>
  <c r="F16" i="6"/>
  <c r="F154" i="6" l="1"/>
  <c r="F153" i="6"/>
  <c r="F152" i="6"/>
  <c r="F150" i="6"/>
  <c r="F149" i="6"/>
  <c r="F148" i="6"/>
  <c r="F147" i="6"/>
  <c r="F146" i="6"/>
  <c r="F145" i="6"/>
  <c r="F144" i="6"/>
  <c r="F142" i="6"/>
  <c r="F141" i="6"/>
  <c r="F140" i="6"/>
  <c r="F139" i="6"/>
  <c r="F137" i="6"/>
  <c r="F136" i="6"/>
  <c r="F135" i="6"/>
  <c r="F134" i="6"/>
  <c r="F133" i="6"/>
  <c r="F132" i="6"/>
  <c r="F131" i="6"/>
  <c r="F129" i="6"/>
  <c r="F121" i="6"/>
  <c r="F120" i="6"/>
  <c r="F119" i="6"/>
  <c r="F117" i="6"/>
  <c r="F116" i="6"/>
  <c r="F115" i="6"/>
  <c r="F58" i="6"/>
  <c r="F17" i="6" l="1"/>
  <c r="F11" i="6"/>
  <c r="F18" i="6" l="1"/>
  <c r="F22" i="6"/>
  <c r="F93" i="6"/>
  <c r="F82" i="6"/>
  <c r="F81" i="6"/>
  <c r="F66" i="6"/>
  <c r="F63" i="6"/>
  <c r="F62" i="6"/>
  <c r="F61" i="6"/>
  <c r="F60" i="6"/>
  <c r="F59" i="6"/>
  <c r="F57" i="6"/>
  <c r="F14" i="6" l="1"/>
  <c r="F95" i="6"/>
  <c r="F97" i="6"/>
  <c r="F52" i="6"/>
  <c r="F50" i="6"/>
  <c r="F88" i="6"/>
  <c r="F85" i="6"/>
  <c r="F13" i="6"/>
  <c r="F38" i="6"/>
  <c r="F34" i="6"/>
  <c r="F31" i="6"/>
  <c r="F26" i="6"/>
  <c r="F42" i="6"/>
  <c r="F77" i="6"/>
  <c r="F74" i="6"/>
  <c r="F91" i="6"/>
  <c r="F90" i="6"/>
  <c r="F12" i="6"/>
  <c r="F20" i="6"/>
  <c r="F19" i="6"/>
  <c r="F125" i="6"/>
  <c r="F36" i="6"/>
  <c r="F39" i="6"/>
  <c r="F76" i="6"/>
  <c r="F78" i="6"/>
  <c r="F35" i="6"/>
  <c r="F28" i="6"/>
  <c r="F75" i="6"/>
  <c r="F79" i="6"/>
  <c r="F53" i="6"/>
  <c r="F51" i="6"/>
  <c r="F37" i="6"/>
  <c r="F87" i="6"/>
  <c r="F92" i="6"/>
  <c r="F69" i="6"/>
  <c r="F49" i="6"/>
  <c r="F54" i="6"/>
  <c r="F29" i="6"/>
  <c r="F65" i="6"/>
  <c r="F70" i="6"/>
  <c r="F83" i="6"/>
  <c r="F98" i="6"/>
  <c r="F55" i="6"/>
  <c r="F25" i="6"/>
  <c r="F30" i="6"/>
  <c r="F67" i="6"/>
  <c r="F71" i="6"/>
  <c r="F96" i="6"/>
  <c r="F33" i="6"/>
  <c r="F27" i="6"/>
  <c r="F68" i="6"/>
  <c r="F94" i="6"/>
  <c r="F73" i="6" l="1"/>
  <c r="F127" i="6"/>
  <c r="F84" i="6"/>
  <c r="F89" i="6"/>
  <c r="F47" i="6"/>
  <c r="F46" i="6"/>
  <c r="F45" i="6"/>
  <c r="F124" i="6"/>
  <c r="F155" i="6" s="1"/>
  <c r="F41" i="6"/>
  <c r="F44" i="6"/>
  <c r="F43" i="6"/>
  <c r="F86" i="6"/>
  <c r="F126" i="6"/>
  <c r="F23" i="6"/>
  <c r="F99" i="6" l="1"/>
  <c r="C12" i="8" l="1"/>
  <c r="C14" i="8" s="1"/>
  <c r="F157" i="6"/>
  <c r="B12" i="8"/>
  <c r="D12" i="8" l="1"/>
  <c r="D14" i="8" s="1"/>
  <c r="B14" i="8"/>
</calcChain>
</file>

<file path=xl/sharedStrings.xml><?xml version="1.0" encoding="utf-8"?>
<sst xmlns="http://schemas.openxmlformats.org/spreadsheetml/2006/main" count="558" uniqueCount="276">
  <si>
    <t>Total</t>
  </si>
  <si>
    <t>Service</t>
  </si>
  <si>
    <t>Fee</t>
  </si>
  <si>
    <t>RESIDENTIAL SERVICES</t>
  </si>
  <si>
    <t xml:space="preserve">   1 12 Cu. Yd. Container</t>
  </si>
  <si>
    <t xml:space="preserve">   1 35 Cu. Yd. Container</t>
  </si>
  <si>
    <t xml:space="preserve">   1 10 Cu. Yd. Container</t>
  </si>
  <si>
    <t xml:space="preserve">   1 15 Cu. Yd. Container</t>
  </si>
  <si>
    <t xml:space="preserve">   1 20 Cu. Yd. Container</t>
  </si>
  <si>
    <t xml:space="preserve">   1 25 Cu. Yd. Container</t>
  </si>
  <si>
    <t xml:space="preserve">   1 30 Cu. Yd. Container</t>
  </si>
  <si>
    <t xml:space="preserve">   1 40 Cu. Yd. Container</t>
  </si>
  <si>
    <t xml:space="preserve">CITY OF BELLEVUE </t>
  </si>
  <si>
    <t>Garbage Service Fees</t>
  </si>
  <si>
    <t xml:space="preserve">  1 20 Gallon Cart</t>
  </si>
  <si>
    <t xml:space="preserve">  1 32 Gallon Cart</t>
  </si>
  <si>
    <t>Count</t>
  </si>
  <si>
    <t>yellow is a contractor modifiable field</t>
  </si>
  <si>
    <t>Monthly Rates for Weekly Service, except where noted</t>
  </si>
  <si>
    <t>Disposal</t>
  </si>
  <si>
    <t>Collection</t>
  </si>
  <si>
    <t>Proposed</t>
  </si>
  <si>
    <t># of Customers</t>
  </si>
  <si>
    <t># of Containers</t>
  </si>
  <si>
    <t>1 32 Gal Can (first can)</t>
  </si>
  <si>
    <t xml:space="preserve">  each additional can</t>
  </si>
  <si>
    <t xml:space="preserve"> each additional cart</t>
  </si>
  <si>
    <t>1 Yard</t>
  </si>
  <si>
    <t xml:space="preserve"> 1 yard (on call, per pickup)</t>
  </si>
  <si>
    <t xml:space="preserve"> 1 pickup weekly (per container)</t>
  </si>
  <si>
    <t xml:space="preserve"> 2 pickups weekly (per container)</t>
  </si>
  <si>
    <t xml:space="preserve"> 3 pickups weekly (per container)</t>
  </si>
  <si>
    <t xml:space="preserve"> 4 pickups weekly (per container)</t>
  </si>
  <si>
    <t xml:space="preserve"> 5 pickups weekly (per container)</t>
  </si>
  <si>
    <t xml:space="preserve"> 6 pickups weekly (per container)</t>
  </si>
  <si>
    <t>1.25 Yard</t>
  </si>
  <si>
    <t xml:space="preserve"> 1.25 yard (on call, per pickup)</t>
  </si>
  <si>
    <t>2 Yard</t>
  </si>
  <si>
    <t xml:space="preserve"> 2 yard (on call, per pickup)</t>
  </si>
  <si>
    <t>3 Yard</t>
  </si>
  <si>
    <t xml:space="preserve"> 3 yard (on call, per pickup)</t>
  </si>
  <si>
    <t>4 Yard</t>
  </si>
  <si>
    <t xml:space="preserve"> 4 yard (on call, per pickup)</t>
  </si>
  <si>
    <t>6 Yard</t>
  </si>
  <si>
    <t xml:space="preserve"> 6 yard (on call, per pickup)</t>
  </si>
  <si>
    <t>8 Yard</t>
  </si>
  <si>
    <t xml:space="preserve"> 8 yard (on call, per pickup)</t>
  </si>
  <si>
    <t>Compacted Containers:</t>
  </si>
  <si>
    <t>1 pickup weekly 1 Cu Yard (per container)</t>
  </si>
  <si>
    <t xml:space="preserve"> 1 pickup weekly 1.5 Cu Yard (per container)</t>
  </si>
  <si>
    <t xml:space="preserve"> Every Other week 2 Cu Yard (per container)</t>
  </si>
  <si>
    <t xml:space="preserve"> 1 pickup weekly 2 Cu Yard (per container)</t>
  </si>
  <si>
    <t xml:space="preserve"> 2 pickups weekly 2 Cu Yard (per container) </t>
  </si>
  <si>
    <t xml:space="preserve"> 3 pickups weekly 2 Cu Yard (per container)</t>
  </si>
  <si>
    <t xml:space="preserve"> 4 pickups weekly 2 Cu Yard (per container) </t>
  </si>
  <si>
    <t xml:space="preserve"> 6 pickups weekly 2 Cu Yard (per container) </t>
  </si>
  <si>
    <t xml:space="preserve"> 1 pickup weekly 3 Cu Yard (per container)</t>
  </si>
  <si>
    <t xml:space="preserve"> 2 pickups weekly 3 Cu Yard (per container) </t>
  </si>
  <si>
    <t xml:space="preserve"> 1 pickup weekly 4 Cu Yard (per container) </t>
  </si>
  <si>
    <t xml:space="preserve"> 2 pickups weekly 4 Cu Yard (per container) </t>
  </si>
  <si>
    <t xml:space="preserve"> Every Other week 6 Cu Yard (per container)</t>
  </si>
  <si>
    <t xml:space="preserve"> 1 pickup weekly 6 Cu Yard (per container) </t>
  </si>
  <si>
    <t xml:space="preserve"> 2 pickups weekly 6 Cu Yard (per container)</t>
  </si>
  <si>
    <t xml:space="preserve">     Monthly Rates    </t>
  </si>
  <si>
    <t>Haul</t>
  </si>
  <si>
    <t>Hauls/Month</t>
  </si>
  <si>
    <t># Containers</t>
  </si>
  <si>
    <t>Noncompacted Permanent Service</t>
  </si>
  <si>
    <t>Compacted Permanent Service</t>
  </si>
  <si>
    <t xml:space="preserve">  Redelivery Fee (carts)</t>
  </si>
  <si>
    <t>Miscellaneous Fees per item:</t>
  </si>
  <si>
    <t xml:space="preserve">  Return Trip</t>
  </si>
  <si>
    <t xml:space="preserve">  Drive-in - monthly fee</t>
  </si>
  <si>
    <t xml:space="preserve">  Carryout (each 25') - monthly fee</t>
  </si>
  <si>
    <t xml:space="preserve">  Redelivery</t>
  </si>
  <si>
    <t xml:space="preserve">  Disconnect Hydraulics</t>
  </si>
  <si>
    <t xml:space="preserve">  Unlock Container</t>
  </si>
  <si>
    <t xml:space="preserve">  Steam Cleaning (per yard)</t>
  </si>
  <si>
    <t>Additional Services:</t>
  </si>
  <si>
    <t xml:space="preserve">  Pressure Washing (per yard)</t>
  </si>
  <si>
    <t xml:space="preserve">  Standby Time (per minute)</t>
  </si>
  <si>
    <t>Hourly Rates:</t>
  </si>
  <si>
    <t xml:space="preserve">  Rear/Side Load Packer &amp; Driver</t>
  </si>
  <si>
    <t xml:space="preserve">  Front Load Packer &amp; Driver</t>
  </si>
  <si>
    <t xml:space="preserve">  Emergency: Load and Operator</t>
  </si>
  <si>
    <t xml:space="preserve">  Additional Labor (per person)</t>
  </si>
  <si>
    <t xml:space="preserve">  Litter Collection</t>
  </si>
  <si>
    <t>Cart Rental (Residential and Commercial):</t>
  </si>
  <si>
    <t xml:space="preserve">  1-32 Gal Cart Rental (per month)</t>
  </si>
  <si>
    <t xml:space="preserve">  Emergency: Transfer Trailer and Driver</t>
  </si>
  <si>
    <t xml:space="preserve">  Temp 2 Yard Container (daily rental)</t>
  </si>
  <si>
    <t xml:space="preserve">  Temp 4 Yard Container (daily rental)</t>
  </si>
  <si>
    <t xml:space="preserve">  Temp 6 Yard Container (daily rental)</t>
  </si>
  <si>
    <t xml:space="preserve">  Temp 2 Yard Container (monthly rental)</t>
  </si>
  <si>
    <t xml:space="preserve">  Temp 4 Yard Container (monthly rental)</t>
  </si>
  <si>
    <t xml:space="preserve">  Temp 6 Yard Container (monthly rental)</t>
  </si>
  <si>
    <t xml:space="preserve">  Temp 2 Yard Container (haul fee)</t>
  </si>
  <si>
    <t xml:space="preserve">  Temp 4 Yard Container (haul fee)</t>
  </si>
  <si>
    <t xml:space="preserve">  Temp 6 Yard Container (haul fee)</t>
  </si>
  <si>
    <t xml:space="preserve">  Delivery Charge (all sizes)</t>
  </si>
  <si>
    <t xml:space="preserve">   1 10 Cu. Yd. Daily Rental</t>
  </si>
  <si>
    <t xml:space="preserve">   1 12 Cu. Yd. Daily Rental</t>
  </si>
  <si>
    <t xml:space="preserve">   1 15 Cu. Yd. Daily Rental</t>
  </si>
  <si>
    <t xml:space="preserve">   1 20 Cu. Yd. Daily Rental</t>
  </si>
  <si>
    <t xml:space="preserve">   1 25 Cu. Yd. Daily Rental</t>
  </si>
  <si>
    <t xml:space="preserve">   1 30 Cu. Yd. Daily Rental</t>
  </si>
  <si>
    <t xml:space="preserve">   1 40 Cu. Yd. Daily Rental</t>
  </si>
  <si>
    <t xml:space="preserve">   1 10 Cu. Yd. Monthly Rental</t>
  </si>
  <si>
    <t xml:space="preserve">   1 12 Cu. Yd. Monthly Rental</t>
  </si>
  <si>
    <t xml:space="preserve">   1 15 Cu. Yd. Monthly Rental</t>
  </si>
  <si>
    <t xml:space="preserve">   1 20 Cu. Yd. Monthly Rental</t>
  </si>
  <si>
    <t xml:space="preserve">   1 25 Cu. Yd. Monthly Rental</t>
  </si>
  <si>
    <t xml:space="preserve">   1 30 Cu. Yd. Monthly Rental</t>
  </si>
  <si>
    <t xml:space="preserve">   1 40 Cu. Yd. Monthly Rental</t>
  </si>
  <si>
    <t xml:space="preserve">   1 10 Cu. Yd. Haul Fee</t>
  </si>
  <si>
    <t xml:space="preserve">   1 12 Cu. Yd. Haul Fee</t>
  </si>
  <si>
    <t xml:space="preserve">   1 15 Cu. Yd. Haul Fee</t>
  </si>
  <si>
    <t xml:space="preserve">   1 20 Cu. Yd. Haul Fee</t>
  </si>
  <si>
    <t xml:space="preserve">   1 25 Cu. Yd. Haul Fee</t>
  </si>
  <si>
    <t xml:space="preserve">   1 30 Cu. Yd. Haul Fee</t>
  </si>
  <si>
    <t xml:space="preserve">   1 40 Cu. Yd. Haul Fee</t>
  </si>
  <si>
    <t xml:space="preserve">   Owner-used garbage can surcharge (per can per month)</t>
  </si>
  <si>
    <t>Extra Organics Service:</t>
  </si>
  <si>
    <t xml:space="preserve">  Extra 96 Gallon Organics Cart rental, per month</t>
  </si>
  <si>
    <t xml:space="preserve">  1 10 Gallon Micro-Can</t>
  </si>
  <si>
    <t>Bulky Waste Collection:</t>
  </si>
  <si>
    <t xml:space="preserve">  On Call - per item per pickup</t>
  </si>
  <si>
    <t>Notes:</t>
  </si>
  <si>
    <t xml:space="preserve">  Bear-Proof Cart Surcharge (per cart per month)</t>
  </si>
  <si>
    <t>2. King County garbage tip fee for 2013-2014 as approved by King County Council is $120.17 per ton.</t>
  </si>
  <si>
    <t>Commercial</t>
  </si>
  <si>
    <t>Potential Contractor's Proposed Annual Solid Waste Collection Fee Revenue</t>
  </si>
  <si>
    <t xml:space="preserve"> 1-96 Gal Cart, (on call, per pickup)</t>
  </si>
  <si>
    <t xml:space="preserve">  1 64 Gallon Cart</t>
  </si>
  <si>
    <t xml:space="preserve">  1 96 Gallon Cart</t>
  </si>
  <si>
    <t xml:space="preserve">  1-64 Gal Cart Rental (per month)</t>
  </si>
  <si>
    <t xml:space="preserve">  1-96 Gal Cart Rental (per month)</t>
  </si>
  <si>
    <t xml:space="preserve">  Carryout (each 25') - monthly fee per can/cart</t>
  </si>
  <si>
    <t xml:space="preserve">  Quarterly Bulky Waste Pickup - per item, four or fewer items</t>
  </si>
  <si>
    <t xml:space="preserve">  Extra Can/Bag/Bundle &gt;6 units per week, per unit</t>
  </si>
  <si>
    <t xml:space="preserve">  1 45 Gallon Cart</t>
  </si>
  <si>
    <t>1 32 Gal Cart (first cart)</t>
  </si>
  <si>
    <t>1 64 Gal Cart (first cart)</t>
  </si>
  <si>
    <t>1 96 Gal Cart (first cart)</t>
  </si>
  <si>
    <t>1 45 Gal Cart (first cart)</t>
  </si>
  <si>
    <t xml:space="preserve"> 1-96 Gal Cart, weekly collection</t>
  </si>
  <si>
    <t xml:space="preserve"> 1-2 Cu Yard, weekly collection</t>
  </si>
  <si>
    <t xml:space="preserve"> 1-1 Cu Yard, weekly collection</t>
  </si>
  <si>
    <t xml:space="preserve"> 1-3 Cu Yard, weekly collection</t>
  </si>
  <si>
    <t xml:space="preserve"> 1-4 Cu Yard, weekly collection</t>
  </si>
  <si>
    <t xml:space="preserve"> 1-6 Cu Yard, weekly collection</t>
  </si>
  <si>
    <t xml:space="preserve"> 1-8 Cu Yard, weekly collection</t>
  </si>
  <si>
    <t xml:space="preserve">   1 10 Cu. Yd. Non-compacted Container</t>
  </si>
  <si>
    <t xml:space="preserve">   1 10 Cu. Yd. Compacted Container</t>
  </si>
  <si>
    <t xml:space="preserve"> 1 extra Cu Yard of Organics</t>
  </si>
  <si>
    <t>Extra Uncompacted Cu Yard or overweight (each/pickup)</t>
  </si>
  <si>
    <t>Extra 32 Gal can/bag or overweight (each/pickup)</t>
  </si>
  <si>
    <t xml:space="preserve">  1 32 gallon equivalent "extra" or overweight, per item</t>
  </si>
  <si>
    <t xml:space="preserve">   1 20 Cu. Yd. Non-compacted Container</t>
  </si>
  <si>
    <t xml:space="preserve">   1 20 Cu. Yd. Compacted Container</t>
  </si>
  <si>
    <t>Recycling Only/Organics Only Weekly Services:</t>
  </si>
  <si>
    <t xml:space="preserve">  Recycling Only</t>
  </si>
  <si>
    <t xml:space="preserve">  Organics Only</t>
  </si>
  <si>
    <t xml:space="preserve">  Recycling &amp; Organics Only</t>
  </si>
  <si>
    <t xml:space="preserve">  Roll-Out Container  - monthly fee per container</t>
  </si>
  <si>
    <t>Container</t>
  </si>
  <si>
    <t xml:space="preserve">  Temp 8 Yard Container (haul fee)</t>
  </si>
  <si>
    <t xml:space="preserve">  Temp 8 Yard Container (daily rental)</t>
  </si>
  <si>
    <t xml:space="preserve">  Temp 8 Yard Container (monthly rental)</t>
  </si>
  <si>
    <t>Organics Collection</t>
  </si>
  <si>
    <t>Monthly Rental Fee</t>
  </si>
  <si>
    <t xml:space="preserve">      Subtotal: Annual Revenue for Basic Services</t>
  </si>
  <si>
    <t xml:space="preserve">      Subtotal: Annual Revenue for Other Services</t>
  </si>
  <si>
    <t>3. Customer, haul trip and container counts for basic services based on Allied-Republic December 2012 Bellevue Report,</t>
  </si>
  <si>
    <t xml:space="preserve">4.  Haul trip, container counts and item counts for other services based on Allied-Republic average counts where available, </t>
  </si>
  <si>
    <t>Fee/Haul</t>
  </si>
  <si>
    <t xml:space="preserve">   Delivery (all sizes) Fee</t>
  </si>
  <si>
    <t>Deliveries/Month</t>
  </si>
  <si>
    <t>Fee/Delivery</t>
  </si>
  <si>
    <t>Yards/Month</t>
  </si>
  <si>
    <t>Per Yard</t>
  </si>
  <si>
    <t>WUTC Fee</t>
  </si>
  <si>
    <t>6. WUTC Fee is average fee charged by Sno-King and Eastside Disposal  in unincorporated King County areas adjacent</t>
  </si>
  <si>
    <t xml:space="preserve">       to Bellevue; no fee shown for services not listed on current WUTC tariffs for these companies.</t>
  </si>
  <si>
    <t>Unlimited</t>
  </si>
  <si>
    <t>Recycling</t>
  </si>
  <si>
    <t>COMMERCIAL/MULTIFAMILY SERVICES</t>
  </si>
  <si>
    <t>Small Appliance,</t>
  </si>
  <si>
    <t xml:space="preserve">Electronics, </t>
  </si>
  <si>
    <t>&amp; Textiles</t>
  </si>
  <si>
    <t>Organics</t>
  </si>
  <si>
    <t>Cart/Week</t>
  </si>
  <si>
    <t>1 96 Gallon</t>
  </si>
  <si>
    <t>Limit</t>
  </si>
  <si>
    <t xml:space="preserve">Recycling - </t>
  </si>
  <si>
    <t xml:space="preserve">Service </t>
  </si>
  <si>
    <t>Multifamily On-Call</t>
  </si>
  <si>
    <t xml:space="preserve">  Annual Revenue Increase/(Decrease)</t>
  </si>
  <si>
    <t>for Other</t>
  </si>
  <si>
    <t>Services</t>
  </si>
  <si>
    <t xml:space="preserve">      except that -- 2 hauls per month is assumed for permanent on-call customers, and where demand for service was zero</t>
  </si>
  <si>
    <t>SF Residential - COS Rates</t>
  </si>
  <si>
    <t>SF Residential - Linear Rates</t>
  </si>
  <si>
    <t>1. Only yellow shaded cells on this sheet are modifiable.</t>
  </si>
  <si>
    <t>3. Customer and container counts for basic services based on Allied-Republic December 2012 Bellevue Report, except that --</t>
  </si>
  <si>
    <t xml:space="preserve">      where demand for service was zero in December a line item demand of 1 is assumed.</t>
  </si>
  <si>
    <t>4.  Container counts and item counts for other services based on Allied-Republic average counts where available, except that --</t>
  </si>
  <si>
    <t xml:space="preserve">     where actual demand for other services is unknown a line item demand of 1 is assumed. </t>
  </si>
  <si>
    <t>Commercial/Multifamily Cart/Container</t>
  </si>
  <si>
    <r>
      <t xml:space="preserve">                                   </t>
    </r>
    <r>
      <rPr>
        <b/>
        <sz val="12"/>
        <rFont val="Arial MT"/>
      </rPr>
      <t>Total Annual Commercial/Multifamily Cart/Container Revenue</t>
    </r>
  </si>
  <si>
    <t>Monthly Service Fee</t>
  </si>
  <si>
    <t>Fee/Extra</t>
  </si>
  <si>
    <t>Extras/Month</t>
  </si>
  <si>
    <t>Items/Month</t>
  </si>
  <si>
    <t>Fee/Item</t>
  </si>
  <si>
    <t>-</t>
  </si>
  <si>
    <t>Current</t>
  </si>
  <si>
    <r>
      <t xml:space="preserve">                                   </t>
    </r>
    <r>
      <rPr>
        <b/>
        <sz val="12"/>
        <rFont val="Arial MT"/>
      </rPr>
      <t>Total Annual Residential Single Family Revenue</t>
    </r>
  </si>
  <si>
    <t>Misses</t>
  </si>
  <si>
    <t>Saturday</t>
  </si>
  <si>
    <t>for Friday</t>
  </si>
  <si>
    <t xml:space="preserve">Additional </t>
  </si>
  <si>
    <t>Recyclables</t>
  </si>
  <si>
    <t>Collect</t>
  </si>
  <si>
    <t>Where</t>
  </si>
  <si>
    <t>Feasible</t>
  </si>
  <si>
    <t xml:space="preserve">       included in 32-gallon cart count.</t>
  </si>
  <si>
    <t>3. Current container counts for basic services based on Allied-Republic December 2012 Bellevue Report; container count for cans</t>
  </si>
  <si>
    <t>4.  Item counts for other services based on Allied-Republic average counts where available, except that --</t>
  </si>
  <si>
    <t>5. Proposed garbage service fees include weekly curbside recycling at no additional charge.</t>
  </si>
  <si>
    <t>6. Proposed garbage service fees include weekly curbside collection of organics at no additional charge.</t>
  </si>
  <si>
    <t>7. WUTC Fee is average fee charged by Sno-King and Eastside Disposal  in unincorporated King County areas adjacent</t>
  </si>
  <si>
    <t>Not Applicable</t>
  </si>
  <si>
    <t>Opportunities</t>
  </si>
  <si>
    <t>In-City Customer</t>
  </si>
  <si>
    <t>per Contract</t>
  </si>
  <si>
    <t>Section 3.3.2.1</t>
  </si>
  <si>
    <t xml:space="preserve">      except that -- where actual demand for other services is unknown, a line item demand of 1 is assumed.</t>
  </si>
  <si>
    <t xml:space="preserve">      in December, a line item demand of 1 is assumed. </t>
  </si>
  <si>
    <t>Proposal Total</t>
  </si>
  <si>
    <t>Proposal Total for Other Collection Services</t>
  </si>
  <si>
    <t>Proposal Total for Basic Solid Waste Collection Services</t>
  </si>
  <si>
    <t xml:space="preserve">  Proposal  Total </t>
  </si>
  <si>
    <t>Base Proposal</t>
  </si>
  <si>
    <t>Enhancements Proposals</t>
  </si>
  <si>
    <t>Enhancements Proposals for Residential Linear Rates Structure</t>
  </si>
  <si>
    <t>Residential Linear Rates Structure Proposal</t>
  </si>
  <si>
    <t xml:space="preserve">                                                                         Note: Green shaded cell shows proponent's total revenue proposal.</t>
  </si>
  <si>
    <t xml:space="preserve">  Solid Drop Box Lid Charge (per month)</t>
  </si>
  <si>
    <t>Temporary Front Load Container Collection</t>
  </si>
  <si>
    <t>Noncompacted Permanent Vactor/Street Sweeping Wastes Service</t>
  </si>
  <si>
    <t>Garbage and Organics Service Fees</t>
  </si>
  <si>
    <t>5. Proposed garbage service fees include on-site limited recycling collection for Commercial Customers and unlimited</t>
  </si>
  <si>
    <t xml:space="preserve">     recycling collection for Multifamily Complex Customers at no additional charge.</t>
  </si>
  <si>
    <t xml:space="preserve">      recycling collection for Multifamily Complex Customers at no additional charge.</t>
  </si>
  <si>
    <t>5. Proposed haul service fees include on-site limited recycling collection for Commercial Customers and unlimited</t>
  </si>
  <si>
    <t>Single-family Cost-of-Service</t>
  </si>
  <si>
    <t>Single-family Linear</t>
  </si>
  <si>
    <t>Single-family</t>
  </si>
  <si>
    <r>
      <rPr>
        <b/>
        <sz val="14"/>
        <rFont val="Arial MT"/>
      </rPr>
      <t>*</t>
    </r>
    <r>
      <rPr>
        <b/>
        <sz val="12"/>
        <rFont val="Arial MT"/>
      </rPr>
      <t xml:space="preserve">"Other sites" means sites other than those, such as Factoria Transfer Station or Houghton Transfer Station, where garbage </t>
    </r>
  </si>
  <si>
    <t xml:space="preserve">       is traditionally hauled, and billing this charge to a customer requires the prior written approval of the City. </t>
  </si>
  <si>
    <r>
      <t xml:space="preserve">  </t>
    </r>
    <r>
      <rPr>
        <sz val="11"/>
        <rFont val="Arial"/>
        <family val="2"/>
      </rPr>
      <t>Additional Mileage Charge for Hauls to Other Sites</t>
    </r>
    <r>
      <rPr>
        <b/>
        <sz val="14"/>
        <rFont val="Arial MT"/>
      </rPr>
      <t>*</t>
    </r>
  </si>
  <si>
    <t>Totals Worksheet</t>
  </si>
  <si>
    <t>Commercial/Multifamily Worksheet</t>
  </si>
  <si>
    <t>Single-family Residential -- Cost-of-Service Rates Worksheet</t>
  </si>
  <si>
    <t>Single-family Residential -- Linear Rates Worksheet</t>
  </si>
  <si>
    <t>Revenue Increase/(Decrease) for Collection Service Enhancements</t>
  </si>
  <si>
    <t>Haul Fee Increase/(Decrease) for Service Enhancements</t>
  </si>
  <si>
    <t>Service Fee Increase/(Decrease) for Service Enhancements</t>
  </si>
  <si>
    <t>Commercial/Multifamily Drop-box</t>
  </si>
  <si>
    <t>Drop-box Worksheet</t>
  </si>
  <si>
    <t>Permanent Drop-box Rental</t>
  </si>
  <si>
    <t>Organics Drop-box Haul</t>
  </si>
  <si>
    <t>Temporary Drop-box</t>
  </si>
  <si>
    <t xml:space="preserve">                            Total Annual Commercial/Multifamily Drop-box Revenue</t>
  </si>
  <si>
    <t xml:space="preserve">  Drop-box Truck &amp;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</si>
</sst>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7" formatCode="&quot;$&quot;#,##0.00_);\(&quot;$&quot;#,##0.00\)"/>
    <numFmt numFmtId="43" formatCode="_(* #,##0.00_);_(* \(#,##0.00\);_(* &quot;-&quot;??_);_(@_)"/>
    <numFmt numFmtId="164" formatCode="_(* #,##0_);_(* \(#,##0\);_(* &quot;-&quot;??_);_(@_)"/>
  </numFmts>
  <fonts count="12">
    <font>
      <sz val="12"/>
      <name val="Arial MT"/>
    </font>
    <font>
      <sz val="10"/>
      <name val="Arial"/>
      <family val="2"/>
    </font>
    <font>
      <b/>
      <sz val="14"/>
      <name val="Arial MT"/>
    </font>
    <font>
      <b/>
      <sz val="12"/>
      <name val="Arial MT"/>
    </font>
    <font>
      <sz val="12"/>
      <color indexed="8"/>
      <name val="Arial MT"/>
    </font>
    <font>
      <b/>
      <u/>
      <sz val="12"/>
      <name val="Arial MT"/>
    </font>
    <font>
      <b/>
      <u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 MT"/>
    </font>
    <font>
      <sz val="11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gray125">
        <fgColor indexed="9"/>
      </patternFill>
    </fill>
    <fill>
      <patternFill patternType="solid">
        <fgColor rgb="FFFFFF00"/>
        <bgColor indexed="64"/>
      </patternFill>
    </fill>
    <fill>
      <patternFill patternType="gray125">
        <fgColor indexed="9"/>
        <bgColor rgb="FFFFFF00"/>
      </patternFill>
    </fill>
    <fill>
      <patternFill patternType="solid">
        <fgColor rgb="FF92D050"/>
        <bgColor indexed="64"/>
      </patternFill>
    </fill>
    <fill>
      <patternFill patternType="gray125">
        <fgColor indexed="8"/>
        <bgColor rgb="FF92D050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10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49">
    <xf numFmtId="0" fontId="0" fillId="0" borderId="0" xfId="0"/>
    <xf numFmtId="37" fontId="0" fillId="0" borderId="0" xfId="0" applyNumberFormat="1" applyProtection="1"/>
    <xf numFmtId="39" fontId="0" fillId="0" borderId="0" xfId="0" applyNumberFormat="1" applyProtection="1"/>
    <xf numFmtId="7" fontId="0" fillId="0" borderId="9" xfId="0" applyNumberFormat="1" applyBorder="1" applyProtection="1"/>
    <xf numFmtId="7" fontId="0" fillId="0" borderId="13" xfId="0" applyNumberFormat="1" applyBorder="1" applyProtection="1"/>
    <xf numFmtId="3" fontId="3" fillId="0" borderId="5" xfId="0" applyNumberFormat="1" applyFont="1" applyBorder="1" applyAlignment="1" applyProtection="1">
      <alignment horizontal="center"/>
    </xf>
    <xf numFmtId="3" fontId="3" fillId="0" borderId="6" xfId="0" applyNumberFormat="1" applyFont="1" applyBorder="1" applyAlignment="1" applyProtection="1">
      <alignment horizontal="center"/>
    </xf>
    <xf numFmtId="37" fontId="0" fillId="0" borderId="0" xfId="0" applyNumberFormat="1" applyAlignment="1" applyProtection="1">
      <alignment horizontal="center"/>
    </xf>
    <xf numFmtId="39" fontId="0" fillId="0" borderId="0" xfId="0" applyNumberFormat="1" applyAlignment="1" applyProtection="1">
      <alignment horizontal="center"/>
    </xf>
    <xf numFmtId="5" fontId="0" fillId="0" borderId="0" xfId="0" applyNumberFormat="1" applyAlignment="1" applyProtection="1">
      <alignment horizontal="center"/>
    </xf>
    <xf numFmtId="0" fontId="5" fillId="0" borderId="0" xfId="0" applyFont="1" applyProtection="1"/>
    <xf numFmtId="0" fontId="3" fillId="0" borderId="0" xfId="0" applyFont="1" applyFill="1" applyBorder="1" applyAlignment="1" applyProtection="1">
      <alignment horizontal="center"/>
    </xf>
    <xf numFmtId="0" fontId="0" fillId="0" borderId="0" xfId="0" applyProtection="1"/>
    <xf numFmtId="0" fontId="0" fillId="0" borderId="0" xfId="0" applyBorder="1" applyProtection="1"/>
    <xf numFmtId="7" fontId="0" fillId="0" borderId="0" xfId="0" applyNumberFormat="1" applyBorder="1" applyProtection="1"/>
    <xf numFmtId="0" fontId="0" fillId="0" borderId="0" xfId="0" applyFill="1" applyBorder="1" applyProtection="1"/>
    <xf numFmtId="7" fontId="0" fillId="0" borderId="0" xfId="0" applyNumberFormat="1" applyProtection="1"/>
    <xf numFmtId="7" fontId="4" fillId="4" borderId="9" xfId="0" applyNumberFormat="1" applyFont="1" applyFill="1" applyBorder="1" applyAlignment="1" applyProtection="1">
      <alignment horizontal="center"/>
      <protection locked="0"/>
    </xf>
    <xf numFmtId="7" fontId="4" fillId="0" borderId="9" xfId="0" applyNumberFormat="1" applyFont="1" applyBorder="1" applyAlignment="1" applyProtection="1">
      <alignment horizontal="center"/>
    </xf>
    <xf numFmtId="7" fontId="4" fillId="0" borderId="13" xfId="0" applyNumberFormat="1" applyFont="1" applyFill="1" applyBorder="1" applyAlignment="1" applyProtection="1">
      <alignment horizontal="center"/>
    </xf>
    <xf numFmtId="3" fontId="3" fillId="0" borderId="17" xfId="0" applyNumberFormat="1" applyFont="1" applyBorder="1" applyAlignment="1" applyProtection="1">
      <alignment horizontal="center"/>
    </xf>
    <xf numFmtId="3" fontId="3" fillId="0" borderId="18" xfId="0" applyNumberFormat="1" applyFont="1" applyBorder="1" applyAlignment="1" applyProtection="1">
      <alignment horizontal="center"/>
    </xf>
    <xf numFmtId="164" fontId="8" fillId="0" borderId="15" xfId="1" applyNumberFormat="1" applyFont="1" applyFill="1" applyBorder="1" applyProtection="1"/>
    <xf numFmtId="0" fontId="8" fillId="8" borderId="15" xfId="0" applyFont="1" applyFill="1" applyBorder="1" applyProtection="1"/>
    <xf numFmtId="164" fontId="8" fillId="0" borderId="15" xfId="1" applyNumberFormat="1" applyFont="1" applyBorder="1" applyProtection="1"/>
    <xf numFmtId="3" fontId="0" fillId="0" borderId="0" xfId="0" applyNumberFormat="1" applyAlignment="1" applyProtection="1">
      <alignment horizontal="center"/>
    </xf>
    <xf numFmtId="164" fontId="8" fillId="0" borderId="0" xfId="1" applyNumberFormat="1" applyFont="1" applyBorder="1" applyProtection="1"/>
    <xf numFmtId="7" fontId="0" fillId="0" borderId="29" xfId="0" applyNumberFormat="1" applyBorder="1" applyProtection="1"/>
    <xf numFmtId="7" fontId="0" fillId="0" borderId="15" xfId="0" applyNumberFormat="1" applyBorder="1" applyProtection="1"/>
    <xf numFmtId="7" fontId="0" fillId="4" borderId="15" xfId="0" applyNumberFormat="1" applyFill="1" applyBorder="1" applyProtection="1">
      <protection locked="0"/>
    </xf>
    <xf numFmtId="164" fontId="8" fillId="0" borderId="31" xfId="1" applyNumberFormat="1" applyFont="1" applyBorder="1" applyProtection="1"/>
    <xf numFmtId="7" fontId="0" fillId="0" borderId="30" xfId="0" applyNumberFormat="1" applyBorder="1" applyProtection="1"/>
    <xf numFmtId="7" fontId="0" fillId="4" borderId="29" xfId="0" applyNumberFormat="1" applyFill="1" applyBorder="1" applyProtection="1">
      <protection locked="0"/>
    </xf>
    <xf numFmtId="7" fontId="0" fillId="4" borderId="30" xfId="0" applyNumberFormat="1" applyFill="1" applyBorder="1" applyProtection="1">
      <protection locked="0"/>
    </xf>
    <xf numFmtId="7" fontId="4" fillId="0" borderId="33" xfId="0" applyNumberFormat="1" applyFont="1" applyBorder="1" applyAlignment="1" applyProtection="1">
      <alignment horizontal="center"/>
    </xf>
    <xf numFmtId="7" fontId="4" fillId="0" borderId="35" xfId="0" applyNumberFormat="1" applyFont="1" applyBorder="1" applyAlignment="1" applyProtection="1">
      <alignment horizontal="center"/>
    </xf>
    <xf numFmtId="7" fontId="0" fillId="0" borderId="35" xfId="0" applyNumberFormat="1" applyBorder="1" applyProtection="1"/>
    <xf numFmtId="7" fontId="3" fillId="0" borderId="30" xfId="0" applyNumberFormat="1" applyFont="1" applyBorder="1" applyAlignment="1" applyProtection="1">
      <alignment horizontal="center"/>
    </xf>
    <xf numFmtId="7" fontId="0" fillId="0" borderId="0" xfId="0" applyNumberFormat="1" applyFill="1" applyBorder="1" applyProtection="1"/>
    <xf numFmtId="164" fontId="8" fillId="0" borderId="37" xfId="1" applyNumberFormat="1" applyFont="1" applyFill="1" applyBorder="1" applyProtection="1"/>
    <xf numFmtId="7" fontId="0" fillId="0" borderId="37" xfId="0" applyNumberFormat="1" applyBorder="1" applyProtection="1"/>
    <xf numFmtId="164" fontId="8" fillId="0" borderId="37" xfId="1" applyNumberFormat="1" applyFont="1" applyBorder="1" applyProtection="1"/>
    <xf numFmtId="7" fontId="4" fillId="0" borderId="13" xfId="0" applyNumberFormat="1" applyFont="1" applyBorder="1" applyAlignment="1" applyProtection="1">
      <alignment horizontal="center"/>
    </xf>
    <xf numFmtId="7" fontId="4" fillId="0" borderId="36" xfId="0" applyNumberFormat="1" applyFont="1" applyBorder="1" applyAlignment="1" applyProtection="1">
      <alignment horizontal="center"/>
    </xf>
    <xf numFmtId="7" fontId="0" fillId="0" borderId="38" xfId="0" applyNumberFormat="1" applyBorder="1" applyProtection="1"/>
    <xf numFmtId="0" fontId="2" fillId="2" borderId="16" xfId="0" applyFont="1" applyFill="1" applyBorder="1" applyAlignment="1" applyProtection="1">
      <alignment horizontal="centerContinuous"/>
    </xf>
    <xf numFmtId="0" fontId="0" fillId="2" borderId="18" xfId="0" applyFill="1" applyBorder="1" applyAlignment="1" applyProtection="1">
      <alignment horizontal="centerContinuous"/>
    </xf>
    <xf numFmtId="0" fontId="0" fillId="5" borderId="20" xfId="0" applyFill="1" applyBorder="1" applyAlignment="1" applyProtection="1">
      <alignment horizontal="centerContinuous"/>
    </xf>
    <xf numFmtId="0" fontId="0" fillId="0" borderId="21" xfId="0" applyBorder="1" applyProtection="1"/>
    <xf numFmtId="0" fontId="0" fillId="0" borderId="22" xfId="0" applyBorder="1" applyProtection="1"/>
    <xf numFmtId="3" fontId="0" fillId="3" borderId="16" xfId="0" applyNumberFormat="1" applyFill="1" applyBorder="1" applyAlignment="1" applyProtection="1">
      <alignment horizontal="center"/>
    </xf>
    <xf numFmtId="0" fontId="3" fillId="0" borderId="23" xfId="0" applyFont="1" applyBorder="1" applyProtection="1"/>
    <xf numFmtId="0" fontId="0" fillId="0" borderId="24" xfId="0" applyBorder="1" applyProtection="1"/>
    <xf numFmtId="0" fontId="3" fillId="0" borderId="25" xfId="0" applyFont="1" applyBorder="1" applyAlignment="1" applyProtection="1">
      <alignment horizontal="left"/>
    </xf>
    <xf numFmtId="0" fontId="0" fillId="0" borderId="26" xfId="0" applyBorder="1" applyProtection="1"/>
    <xf numFmtId="0" fontId="0" fillId="0" borderId="27" xfId="0" applyBorder="1" applyProtection="1"/>
    <xf numFmtId="0" fontId="7" fillId="0" borderId="19" xfId="0" applyFont="1" applyBorder="1" applyAlignment="1" applyProtection="1">
      <alignment horizontal="center"/>
    </xf>
    <xf numFmtId="0" fontId="7" fillId="0" borderId="8" xfId="0" applyFont="1" applyBorder="1" applyAlignment="1" applyProtection="1">
      <alignment horizontal="center"/>
    </xf>
    <xf numFmtId="2" fontId="9" fillId="0" borderId="15" xfId="2" applyNumberFormat="1" applyFont="1" applyBorder="1" applyAlignment="1" applyProtection="1">
      <alignment horizontal="left"/>
    </xf>
    <xf numFmtId="0" fontId="9" fillId="0" borderId="15" xfId="3" applyFont="1" applyFill="1" applyBorder="1" applyProtection="1"/>
    <xf numFmtId="2" fontId="8" fillId="0" borderId="28" xfId="2" applyNumberFormat="1" applyFont="1" applyBorder="1" applyProtection="1"/>
    <xf numFmtId="0" fontId="3" fillId="0" borderId="0" xfId="0" applyFont="1" applyProtection="1"/>
    <xf numFmtId="7" fontId="0" fillId="4" borderId="37" xfId="0" applyNumberFormat="1" applyFill="1" applyBorder="1" applyProtection="1">
      <protection locked="0"/>
    </xf>
    <xf numFmtId="0" fontId="3" fillId="3" borderId="16" xfId="0" applyFont="1" applyFill="1" applyBorder="1" applyAlignment="1" applyProtection="1">
      <alignment horizontal="center"/>
    </xf>
    <xf numFmtId="0" fontId="3" fillId="0" borderId="17" xfId="0" applyFont="1" applyBorder="1" applyAlignment="1" applyProtection="1">
      <alignment horizontal="center"/>
    </xf>
    <xf numFmtId="0" fontId="6" fillId="0" borderId="19" xfId="2" applyFont="1" applyBorder="1" applyProtection="1"/>
    <xf numFmtId="2" fontId="8" fillId="0" borderId="15" xfId="2" applyNumberFormat="1" applyFont="1" applyBorder="1" applyAlignment="1" applyProtection="1">
      <alignment horizontal="left"/>
    </xf>
    <xf numFmtId="2" fontId="8" fillId="0" borderId="15" xfId="2" applyNumberFormat="1" applyFont="1" applyFill="1" applyBorder="1" applyAlignment="1" applyProtection="1">
      <alignment horizontal="left"/>
    </xf>
    <xf numFmtId="2" fontId="8" fillId="0" borderId="15" xfId="2" applyNumberFormat="1" applyFont="1" applyFill="1" applyBorder="1" applyProtection="1"/>
    <xf numFmtId="2" fontId="8" fillId="0" borderId="0" xfId="2" applyNumberFormat="1" applyFont="1" applyBorder="1" applyProtection="1"/>
    <xf numFmtId="0" fontId="2" fillId="2" borderId="1" xfId="0" applyFont="1" applyFill="1" applyBorder="1" applyAlignment="1" applyProtection="1">
      <alignment horizontal="centerContinuous"/>
    </xf>
    <xf numFmtId="0" fontId="0" fillId="0" borderId="11" xfId="0" applyFill="1" applyBorder="1" applyAlignment="1" applyProtection="1">
      <alignment horizontal="centerContinuous"/>
    </xf>
    <xf numFmtId="0" fontId="0" fillId="2" borderId="2" xfId="0" applyFill="1" applyBorder="1" applyAlignment="1" applyProtection="1">
      <alignment horizontal="centerContinuous"/>
    </xf>
    <xf numFmtId="3" fontId="0" fillId="2" borderId="3" xfId="0" applyNumberFormat="1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Continuous"/>
    </xf>
    <xf numFmtId="0" fontId="0" fillId="5" borderId="11" xfId="0" applyFill="1" applyBorder="1" applyAlignment="1" applyProtection="1">
      <alignment horizontal="centerContinuous"/>
    </xf>
    <xf numFmtId="3" fontId="0" fillId="3" borderId="14" xfId="0" applyNumberFormat="1" applyFill="1" applyBorder="1" applyAlignment="1" applyProtection="1">
      <alignment horizontal="center"/>
    </xf>
    <xf numFmtId="3" fontId="0" fillId="3" borderId="5" xfId="0" applyNumberFormat="1" applyFill="1" applyBorder="1" applyAlignment="1" applyProtection="1">
      <alignment horizontal="center"/>
    </xf>
    <xf numFmtId="0" fontId="3" fillId="3" borderId="5" xfId="0" applyFont="1" applyFill="1" applyBorder="1" applyAlignment="1" applyProtection="1">
      <alignment horizontal="center"/>
    </xf>
    <xf numFmtId="0" fontId="0" fillId="3" borderId="0" xfId="0" applyFill="1" applyBorder="1" applyProtection="1"/>
    <xf numFmtId="0" fontId="3" fillId="0" borderId="4" xfId="0" applyFont="1" applyBorder="1" applyProtection="1"/>
    <xf numFmtId="0" fontId="3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7" fontId="4" fillId="0" borderId="9" xfId="0" applyNumberFormat="1" applyFont="1" applyFill="1" applyBorder="1" applyAlignment="1" applyProtection="1">
      <alignment horizontal="center"/>
    </xf>
    <xf numFmtId="164" fontId="8" fillId="9" borderId="15" xfId="1" applyNumberFormat="1" applyFont="1" applyFill="1" applyBorder="1" applyProtection="1"/>
    <xf numFmtId="164" fontId="8" fillId="0" borderId="40" xfId="1" applyNumberFormat="1" applyFont="1" applyBorder="1" applyProtection="1"/>
    <xf numFmtId="0" fontId="3" fillId="0" borderId="0" xfId="0" applyFont="1" applyBorder="1" applyAlignment="1" applyProtection="1">
      <alignment horizontal="left"/>
    </xf>
    <xf numFmtId="7" fontId="0" fillId="4" borderId="38" xfId="0" applyNumberFormat="1" applyFill="1" applyBorder="1" applyProtection="1">
      <protection locked="0"/>
    </xf>
    <xf numFmtId="0" fontId="7" fillId="0" borderId="39" xfId="0" applyFont="1" applyBorder="1" applyAlignment="1" applyProtection="1">
      <alignment horizontal="center"/>
    </xf>
    <xf numFmtId="0" fontId="0" fillId="0" borderId="41" xfId="0" applyBorder="1" applyProtection="1"/>
    <xf numFmtId="0" fontId="0" fillId="0" borderId="42" xfId="0" applyBorder="1" applyProtection="1"/>
    <xf numFmtId="7" fontId="0" fillId="0" borderId="42" xfId="0" applyNumberFormat="1" applyBorder="1" applyProtection="1"/>
    <xf numFmtId="7" fontId="0" fillId="0" borderId="43" xfId="0" applyNumberFormat="1" applyBorder="1" applyProtection="1"/>
    <xf numFmtId="7" fontId="0" fillId="0" borderId="44" xfId="0" applyNumberFormat="1" applyBorder="1" applyProtection="1"/>
    <xf numFmtId="0" fontId="0" fillId="0" borderId="45" xfId="0" applyBorder="1" applyProtection="1"/>
    <xf numFmtId="0" fontId="0" fillId="0" borderId="46" xfId="0" applyBorder="1" applyProtection="1"/>
    <xf numFmtId="0" fontId="0" fillId="0" borderId="48" xfId="0" applyBorder="1" applyProtection="1"/>
    <xf numFmtId="0" fontId="0" fillId="0" borderId="49" xfId="0" applyBorder="1" applyProtection="1"/>
    <xf numFmtId="7" fontId="0" fillId="4" borderId="47" xfId="0" applyNumberFormat="1" applyFill="1" applyBorder="1" applyProtection="1">
      <protection locked="0"/>
    </xf>
    <xf numFmtId="7" fontId="0" fillId="4" borderId="44" xfId="0" applyNumberFormat="1" applyFill="1" applyBorder="1" applyProtection="1">
      <protection locked="0"/>
    </xf>
    <xf numFmtId="7" fontId="0" fillId="4" borderId="50" xfId="0" applyNumberFormat="1" applyFill="1" applyBorder="1" applyProtection="1">
      <protection locked="0"/>
    </xf>
    <xf numFmtId="7" fontId="0" fillId="0" borderId="51" xfId="0" applyNumberFormat="1" applyBorder="1" applyProtection="1"/>
    <xf numFmtId="0" fontId="0" fillId="0" borderId="37" xfId="0" applyBorder="1" applyAlignment="1" applyProtection="1">
      <alignment horizontal="left"/>
    </xf>
    <xf numFmtId="7" fontId="3" fillId="0" borderId="0" xfId="0" applyNumberFormat="1" applyFont="1" applyBorder="1" applyAlignment="1" applyProtection="1">
      <alignment horizontal="center"/>
    </xf>
    <xf numFmtId="0" fontId="3" fillId="0" borderId="42" xfId="0" applyFont="1" applyBorder="1" applyAlignment="1" applyProtection="1">
      <alignment horizontal="left"/>
    </xf>
    <xf numFmtId="2" fontId="8" fillId="0" borderId="52" xfId="2" applyNumberFormat="1" applyFont="1" applyBorder="1" applyProtection="1"/>
    <xf numFmtId="7" fontId="0" fillId="4" borderId="40" xfId="0" applyNumberFormat="1" applyFill="1" applyBorder="1" applyProtection="1">
      <protection locked="0"/>
    </xf>
    <xf numFmtId="0" fontId="3" fillId="0" borderId="53" xfId="0" applyFont="1" applyBorder="1" applyAlignment="1" applyProtection="1">
      <alignment horizontal="left"/>
    </xf>
    <xf numFmtId="0" fontId="0" fillId="0" borderId="54" xfId="0" applyBorder="1" applyProtection="1"/>
    <xf numFmtId="7" fontId="0" fillId="0" borderId="55" xfId="0" applyNumberFormat="1" applyBorder="1" applyProtection="1"/>
    <xf numFmtId="164" fontId="8" fillId="0" borderId="57" xfId="1" applyNumberFormat="1" applyFont="1" applyBorder="1" applyProtection="1"/>
    <xf numFmtId="7" fontId="0" fillId="0" borderId="19" xfId="0" applyNumberFormat="1" applyBorder="1" applyProtection="1"/>
    <xf numFmtId="164" fontId="8" fillId="0" borderId="54" xfId="1" applyNumberFormat="1" applyFont="1" applyBorder="1" applyProtection="1"/>
    <xf numFmtId="7" fontId="0" fillId="0" borderId="58" xfId="0" applyNumberFormat="1" applyBorder="1" applyProtection="1"/>
    <xf numFmtId="7" fontId="0" fillId="0" borderId="57" xfId="0" applyNumberFormat="1" applyBorder="1" applyProtection="1"/>
    <xf numFmtId="7" fontId="3" fillId="0" borderId="59" xfId="0" applyNumberFormat="1" applyFont="1" applyBorder="1" applyAlignment="1" applyProtection="1">
      <alignment horizontal="center"/>
    </xf>
    <xf numFmtId="7" fontId="3" fillId="0" borderId="60" xfId="0" applyNumberFormat="1" applyFont="1" applyBorder="1" applyAlignment="1" applyProtection="1">
      <alignment horizontal="center"/>
    </xf>
    <xf numFmtId="7" fontId="3" fillId="0" borderId="61" xfId="0" applyNumberFormat="1" applyFont="1" applyBorder="1" applyAlignment="1" applyProtection="1">
      <alignment horizontal="center"/>
    </xf>
    <xf numFmtId="0" fontId="0" fillId="0" borderId="59" xfId="0" applyBorder="1" applyProtection="1"/>
    <xf numFmtId="0" fontId="0" fillId="0" borderId="60" xfId="0" applyBorder="1" applyProtection="1"/>
    <xf numFmtId="7" fontId="0" fillId="0" borderId="60" xfId="0" applyNumberFormat="1" applyBorder="1" applyProtection="1"/>
    <xf numFmtId="7" fontId="0" fillId="0" borderId="60" xfId="0" applyNumberFormat="1" applyFill="1" applyBorder="1" applyProtection="1"/>
    <xf numFmtId="7" fontId="0" fillId="0" borderId="61" xfId="0" applyNumberFormat="1" applyFill="1" applyBorder="1" applyProtection="1"/>
    <xf numFmtId="0" fontId="3" fillId="0" borderId="41" xfId="0" applyFont="1" applyBorder="1" applyProtection="1"/>
    <xf numFmtId="7" fontId="0" fillId="0" borderId="61" xfId="0" applyNumberFormat="1" applyBorder="1" applyProtection="1"/>
    <xf numFmtId="3" fontId="3" fillId="0" borderId="24" xfId="0" applyNumberFormat="1" applyFont="1" applyBorder="1" applyAlignment="1" applyProtection="1">
      <alignment horizontal="center"/>
    </xf>
    <xf numFmtId="0" fontId="0" fillId="0" borderId="62" xfId="0" applyBorder="1"/>
    <xf numFmtId="0" fontId="2" fillId="0" borderId="66" xfId="0" applyFont="1" applyBorder="1"/>
    <xf numFmtId="0" fontId="2" fillId="0" borderId="67" xfId="0" applyFont="1" applyBorder="1"/>
    <xf numFmtId="0" fontId="2" fillId="0" borderId="61" xfId="0" applyFont="1" applyBorder="1"/>
    <xf numFmtId="7" fontId="3" fillId="0" borderId="66" xfId="0" applyNumberFormat="1" applyFont="1" applyBorder="1"/>
    <xf numFmtId="7" fontId="3" fillId="0" borderId="66" xfId="0" applyNumberFormat="1" applyFont="1" applyBorder="1" applyAlignment="1">
      <alignment horizontal="right"/>
    </xf>
    <xf numFmtId="7" fontId="3" fillId="0" borderId="67" xfId="0" applyNumberFormat="1" applyFont="1" applyBorder="1"/>
    <xf numFmtId="7" fontId="5" fillId="0" borderId="67" xfId="0" applyNumberFormat="1" applyFont="1" applyBorder="1"/>
    <xf numFmtId="7" fontId="3" fillId="0" borderId="61" xfId="0" applyNumberFormat="1" applyFont="1" applyBorder="1"/>
    <xf numFmtId="2" fontId="8" fillId="0" borderId="37" xfId="2" applyNumberFormat="1" applyFont="1" applyFill="1" applyBorder="1" applyAlignment="1" applyProtection="1">
      <alignment horizontal="left"/>
    </xf>
    <xf numFmtId="7" fontId="0" fillId="0" borderId="68" xfId="0" applyNumberFormat="1" applyBorder="1" applyProtection="1"/>
    <xf numFmtId="7" fontId="0" fillId="0" borderId="71" xfId="0" applyNumberFormat="1" applyBorder="1" applyProtection="1"/>
    <xf numFmtId="2" fontId="8" fillId="0" borderId="37" xfId="2" applyNumberFormat="1" applyFont="1" applyFill="1" applyBorder="1" applyProtection="1"/>
    <xf numFmtId="164" fontId="8" fillId="9" borderId="37" xfId="1" applyNumberFormat="1" applyFont="1" applyFill="1" applyBorder="1" applyProtection="1"/>
    <xf numFmtId="2" fontId="8" fillId="0" borderId="37" xfId="2" applyNumberFormat="1" applyFont="1" applyBorder="1" applyAlignment="1" applyProtection="1">
      <alignment horizontal="left"/>
    </xf>
    <xf numFmtId="7" fontId="0" fillId="0" borderId="54" xfId="0" applyNumberFormat="1" applyBorder="1" applyProtection="1"/>
    <xf numFmtId="7" fontId="0" fillId="0" borderId="69" xfId="0" applyNumberFormat="1" applyBorder="1" applyProtection="1"/>
    <xf numFmtId="7" fontId="0" fillId="4" borderId="70" xfId="0" applyNumberFormat="1" applyFill="1" applyBorder="1" applyProtection="1">
      <protection locked="0"/>
    </xf>
    <xf numFmtId="7" fontId="4" fillId="0" borderId="73" xfId="0" applyNumberFormat="1" applyFont="1" applyBorder="1" applyAlignment="1" applyProtection="1">
      <alignment horizontal="center"/>
    </xf>
    <xf numFmtId="0" fontId="0" fillId="0" borderId="28" xfId="0" applyBorder="1" applyAlignment="1" applyProtection="1">
      <alignment horizontal="left"/>
    </xf>
    <xf numFmtId="0" fontId="0" fillId="0" borderId="53" xfId="0" applyBorder="1" applyProtection="1"/>
    <xf numFmtId="0" fontId="0" fillId="0" borderId="74" xfId="0" applyBorder="1" applyProtection="1"/>
    <xf numFmtId="7" fontId="0" fillId="0" borderId="75" xfId="0" applyNumberFormat="1" applyBorder="1" applyProtection="1"/>
    <xf numFmtId="0" fontId="0" fillId="0" borderId="76" xfId="0" applyBorder="1" applyAlignment="1" applyProtection="1">
      <alignment horizontal="left"/>
    </xf>
    <xf numFmtId="0" fontId="3" fillId="0" borderId="77" xfId="0" applyFont="1" applyBorder="1" applyAlignment="1" applyProtection="1">
      <alignment horizontal="left"/>
    </xf>
    <xf numFmtId="164" fontId="8" fillId="0" borderId="78" xfId="1" applyNumberFormat="1" applyFont="1" applyBorder="1" applyProtection="1"/>
    <xf numFmtId="7" fontId="0" fillId="0" borderId="78" xfId="0" applyNumberFormat="1" applyBorder="1" applyProtection="1"/>
    <xf numFmtId="0" fontId="0" fillId="0" borderId="79" xfId="0" applyBorder="1" applyProtection="1"/>
    <xf numFmtId="7" fontId="0" fillId="0" borderId="7" xfId="0" applyNumberFormat="1" applyBorder="1" applyProtection="1"/>
    <xf numFmtId="0" fontId="0" fillId="0" borderId="81" xfId="0" applyBorder="1" applyProtection="1"/>
    <xf numFmtId="7" fontId="0" fillId="4" borderId="82" xfId="0" applyNumberFormat="1" applyFill="1" applyBorder="1" applyProtection="1">
      <protection locked="0"/>
    </xf>
    <xf numFmtId="0" fontId="0" fillId="0" borderId="83" xfId="0" applyBorder="1" applyProtection="1"/>
    <xf numFmtId="7" fontId="0" fillId="0" borderId="83" xfId="0" applyNumberFormat="1" applyBorder="1" applyProtection="1"/>
    <xf numFmtId="7" fontId="0" fillId="0" borderId="84" xfId="0" applyNumberFormat="1" applyBorder="1" applyAlignment="1" applyProtection="1">
      <alignment horizontal="center"/>
    </xf>
    <xf numFmtId="0" fontId="0" fillId="0" borderId="84" xfId="0" applyBorder="1" applyAlignment="1" applyProtection="1">
      <alignment horizontal="center"/>
    </xf>
    <xf numFmtId="0" fontId="0" fillId="0" borderId="84" xfId="0" applyBorder="1" applyProtection="1"/>
    <xf numFmtId="7" fontId="0" fillId="0" borderId="85" xfId="0" applyNumberFormat="1" applyBorder="1" applyAlignment="1" applyProtection="1">
      <alignment horizontal="center"/>
    </xf>
    <xf numFmtId="0" fontId="0" fillId="0" borderId="85" xfId="0" applyBorder="1" applyAlignment="1" applyProtection="1">
      <alignment horizontal="center"/>
    </xf>
    <xf numFmtId="0" fontId="0" fillId="0" borderId="85" xfId="0" applyBorder="1" applyProtection="1"/>
    <xf numFmtId="5" fontId="0" fillId="0" borderId="80" xfId="0" applyNumberFormat="1" applyBorder="1" applyAlignment="1" applyProtection="1">
      <alignment horizontal="center"/>
    </xf>
    <xf numFmtId="39" fontId="0" fillId="0" borderId="80" xfId="0" applyNumberFormat="1" applyBorder="1" applyAlignment="1" applyProtection="1">
      <alignment horizontal="center"/>
    </xf>
    <xf numFmtId="0" fontId="0" fillId="0" borderId="80" xfId="0" applyBorder="1" applyProtection="1"/>
    <xf numFmtId="0" fontId="0" fillId="0" borderId="7" xfId="0" applyBorder="1" applyProtection="1"/>
    <xf numFmtId="0" fontId="0" fillId="0" borderId="54" xfId="0" applyFill="1" applyBorder="1" applyAlignment="1" applyProtection="1">
      <alignment horizontal="left"/>
    </xf>
    <xf numFmtId="0" fontId="3" fillId="0" borderId="79" xfId="0" applyFont="1" applyBorder="1" applyProtection="1"/>
    <xf numFmtId="7" fontId="3" fillId="0" borderId="87" xfId="0" applyNumberFormat="1" applyFont="1" applyBorder="1" applyAlignment="1" applyProtection="1">
      <alignment horizontal="center"/>
    </xf>
    <xf numFmtId="7" fontId="0" fillId="0" borderId="88" xfId="0" applyNumberFormat="1" applyBorder="1" applyProtection="1"/>
    <xf numFmtId="7" fontId="3" fillId="0" borderId="72" xfId="0" applyNumberFormat="1" applyFont="1" applyBorder="1" applyAlignment="1" applyProtection="1">
      <alignment horizontal="center"/>
    </xf>
    <xf numFmtId="7" fontId="0" fillId="0" borderId="86" xfId="0" applyNumberFormat="1" applyBorder="1" applyProtection="1"/>
    <xf numFmtId="0" fontId="3" fillId="0" borderId="66" xfId="0" applyFont="1" applyBorder="1" applyAlignment="1">
      <alignment horizontal="center"/>
    </xf>
    <xf numFmtId="7" fontId="3" fillId="0" borderId="67" xfId="0" applyNumberFormat="1" applyFont="1" applyBorder="1" applyAlignment="1">
      <alignment horizontal="center"/>
    </xf>
    <xf numFmtId="7" fontId="5" fillId="0" borderId="67" xfId="0" applyNumberFormat="1" applyFont="1" applyBorder="1" applyAlignment="1">
      <alignment horizontal="center"/>
    </xf>
    <xf numFmtId="3" fontId="4" fillId="0" borderId="33" xfId="0" applyNumberFormat="1" applyFont="1" applyBorder="1" applyAlignment="1" applyProtection="1">
      <alignment horizontal="center"/>
    </xf>
    <xf numFmtId="3" fontId="4" fillId="0" borderId="73" xfId="0" applyNumberFormat="1" applyFont="1" applyBorder="1" applyAlignment="1" applyProtection="1">
      <alignment horizontal="center"/>
    </xf>
    <xf numFmtId="3" fontId="4" fillId="0" borderId="72" xfId="0" applyNumberFormat="1" applyFont="1" applyBorder="1" applyAlignment="1" applyProtection="1">
      <alignment horizontal="center"/>
    </xf>
    <xf numFmtId="7" fontId="4" fillId="4" borderId="33" xfId="0" applyNumberFormat="1" applyFont="1" applyFill="1" applyBorder="1" applyAlignment="1" applyProtection="1">
      <alignment horizontal="center"/>
      <protection locked="0"/>
    </xf>
    <xf numFmtId="7" fontId="4" fillId="4" borderId="75" xfId="0" applyNumberFormat="1" applyFont="1" applyFill="1" applyBorder="1" applyAlignment="1" applyProtection="1">
      <alignment horizontal="center"/>
      <protection locked="0"/>
    </xf>
    <xf numFmtId="7" fontId="4" fillId="4" borderId="35" xfId="0" applyNumberFormat="1" applyFont="1" applyFill="1" applyBorder="1" applyAlignment="1" applyProtection="1">
      <alignment horizontal="center"/>
      <protection locked="0"/>
    </xf>
    <xf numFmtId="7" fontId="0" fillId="4" borderId="15" xfId="0" applyNumberForma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 vertical="center" wrapText="1"/>
    </xf>
    <xf numFmtId="0" fontId="2" fillId="0" borderId="90" xfId="0" applyFont="1" applyBorder="1"/>
    <xf numFmtId="7" fontId="3" fillId="0" borderId="90" xfId="0" applyNumberFormat="1" applyFont="1" applyBorder="1"/>
    <xf numFmtId="7" fontId="3" fillId="0" borderId="90" xfId="0" applyNumberFormat="1" applyFont="1" applyBorder="1" applyAlignment="1">
      <alignment horizontal="right"/>
    </xf>
    <xf numFmtId="0" fontId="3" fillId="0" borderId="62" xfId="0" applyFont="1" applyBorder="1" applyAlignment="1">
      <alignment horizontal="center" vertical="center" wrapText="1"/>
    </xf>
    <xf numFmtId="7" fontId="3" fillId="0" borderId="0" xfId="0" applyNumberFormat="1" applyFont="1" applyBorder="1" applyAlignment="1">
      <alignment horizontal="right"/>
    </xf>
    <xf numFmtId="7" fontId="3" fillId="0" borderId="0" xfId="0" applyNumberFormat="1" applyFont="1" applyBorder="1"/>
    <xf numFmtId="7" fontId="5" fillId="0" borderId="0" xfId="0" applyNumberFormat="1" applyFont="1" applyBorder="1"/>
    <xf numFmtId="0" fontId="0" fillId="0" borderId="0" xfId="0" applyBorder="1" applyAlignment="1"/>
    <xf numFmtId="0" fontId="0" fillId="0" borderId="0" xfId="0" applyBorder="1"/>
    <xf numFmtId="7" fontId="3" fillId="0" borderId="89" xfId="0" applyNumberFormat="1" applyFont="1" applyBorder="1"/>
    <xf numFmtId="0" fontId="3" fillId="0" borderId="89" xfId="0" applyFont="1" applyBorder="1" applyAlignment="1">
      <alignment horizontal="center"/>
    </xf>
    <xf numFmtId="7" fontId="3" fillId="6" borderId="90" xfId="0" applyNumberFormat="1" applyFont="1" applyFill="1" applyBorder="1"/>
    <xf numFmtId="0" fontId="3" fillId="0" borderId="86" xfId="0" applyFont="1" applyFill="1" applyBorder="1"/>
    <xf numFmtId="0" fontId="0" fillId="0" borderId="99" xfId="0" applyBorder="1" applyProtection="1"/>
    <xf numFmtId="0" fontId="0" fillId="0" borderId="100" xfId="0" applyBorder="1" applyProtection="1"/>
    <xf numFmtId="0" fontId="0" fillId="0" borderId="10" xfId="0" applyFont="1" applyBorder="1" applyAlignment="1" applyProtection="1">
      <alignment horizontal="left"/>
    </xf>
    <xf numFmtId="0" fontId="9" fillId="0" borderId="10" xfId="0" applyFont="1" applyBorder="1" applyAlignment="1" applyProtection="1">
      <alignment horizontal="left"/>
    </xf>
    <xf numFmtId="0" fontId="8" fillId="0" borderId="10" xfId="0" applyFont="1" applyBorder="1" applyAlignment="1" applyProtection="1">
      <alignment horizontal="left"/>
    </xf>
    <xf numFmtId="0" fontId="8" fillId="0" borderId="34" xfId="0" applyFont="1" applyBorder="1" applyAlignment="1" applyProtection="1">
      <alignment horizontal="left"/>
    </xf>
    <xf numFmtId="0" fontId="8" fillId="0" borderId="7" xfId="0" applyFont="1" applyBorder="1" applyAlignment="1" applyProtection="1">
      <alignment horizontal="left"/>
    </xf>
    <xf numFmtId="0" fontId="9" fillId="0" borderId="28" xfId="0" applyFont="1" applyBorder="1" applyAlignment="1" applyProtection="1">
      <alignment horizontal="left"/>
    </xf>
    <xf numFmtId="0" fontId="8" fillId="0" borderId="56" xfId="0" applyFont="1" applyBorder="1" applyAlignment="1" applyProtection="1">
      <alignment horizontal="left"/>
    </xf>
    <xf numFmtId="0" fontId="9" fillId="0" borderId="11" xfId="0" applyFont="1" applyBorder="1" applyAlignment="1" applyProtection="1">
      <alignment horizontal="left"/>
    </xf>
    <xf numFmtId="0" fontId="9" fillId="0" borderId="12" xfId="0" applyFont="1" applyBorder="1" applyAlignment="1" applyProtection="1">
      <alignment horizontal="left"/>
    </xf>
    <xf numFmtId="0" fontId="8" fillId="0" borderId="32" xfId="0" applyFont="1" applyBorder="1" applyAlignment="1" applyProtection="1">
      <alignment horizontal="left"/>
    </xf>
    <xf numFmtId="3" fontId="11" fillId="0" borderId="9" xfId="0" applyNumberFormat="1" applyFont="1" applyBorder="1" applyAlignment="1" applyProtection="1">
      <alignment horizontal="center"/>
    </xf>
    <xf numFmtId="3" fontId="11" fillId="0" borderId="36" xfId="0" applyNumberFormat="1" applyFont="1" applyBorder="1" applyAlignment="1" applyProtection="1">
      <alignment horizontal="center"/>
    </xf>
    <xf numFmtId="3" fontId="11" fillId="0" borderId="33" xfId="0" applyNumberFormat="1" applyFont="1" applyBorder="1" applyAlignment="1" applyProtection="1">
      <alignment horizontal="center"/>
    </xf>
    <xf numFmtId="0" fontId="8" fillId="0" borderId="0" xfId="0" applyFont="1" applyProtection="1"/>
    <xf numFmtId="3" fontId="11" fillId="0" borderId="75" xfId="0" applyNumberFormat="1" applyFont="1" applyBorder="1" applyAlignment="1" applyProtection="1">
      <alignment horizontal="center"/>
    </xf>
    <xf numFmtId="3" fontId="11" fillId="0" borderId="73" xfId="0" applyNumberFormat="1" applyFont="1" applyBorder="1" applyAlignment="1" applyProtection="1">
      <alignment horizontal="center"/>
    </xf>
    <xf numFmtId="3" fontId="11" fillId="0" borderId="72" xfId="0" applyNumberFormat="1" applyFont="1" applyBorder="1" applyAlignment="1" applyProtection="1">
      <alignment horizontal="center"/>
    </xf>
    <xf numFmtId="3" fontId="11" fillId="0" borderId="13" xfId="0" applyNumberFormat="1" applyFont="1" applyBorder="1" applyAlignment="1" applyProtection="1">
      <alignment horizontal="center"/>
    </xf>
    <xf numFmtId="37" fontId="11" fillId="0" borderId="9" xfId="0" applyNumberFormat="1" applyFont="1" applyBorder="1" applyAlignment="1" applyProtection="1">
      <alignment horizontal="center"/>
    </xf>
    <xf numFmtId="3" fontId="11" fillId="0" borderId="12" xfId="0" applyNumberFormat="1" applyFont="1" applyFill="1" applyBorder="1" applyAlignment="1" applyProtection="1">
      <alignment horizontal="center"/>
    </xf>
    <xf numFmtId="7" fontId="11" fillId="0" borderId="12" xfId="0" applyNumberFormat="1" applyFont="1" applyFill="1" applyBorder="1" applyAlignment="1" applyProtection="1">
      <alignment horizontal="center"/>
    </xf>
    <xf numFmtId="3" fontId="11" fillId="4" borderId="33" xfId="0" applyNumberFormat="1" applyFont="1" applyFill="1" applyBorder="1" applyAlignment="1" applyProtection="1">
      <alignment horizontal="center"/>
      <protection locked="0"/>
    </xf>
    <xf numFmtId="3" fontId="11" fillId="4" borderId="9" xfId="0" applyNumberFormat="1" applyFont="1" applyFill="1" applyBorder="1" applyAlignment="1" applyProtection="1">
      <alignment horizontal="center"/>
      <protection locked="0"/>
    </xf>
    <xf numFmtId="3" fontId="11" fillId="4" borderId="36" xfId="0" applyNumberFormat="1" applyFont="1" applyFill="1" applyBorder="1" applyAlignment="1" applyProtection="1">
      <alignment horizontal="center"/>
      <protection locked="0"/>
    </xf>
    <xf numFmtId="3" fontId="11" fillId="0" borderId="55" xfId="0" applyNumberFormat="1" applyFont="1" applyBorder="1" applyAlignment="1" applyProtection="1">
      <alignment horizontal="center"/>
    </xf>
    <xf numFmtId="3" fontId="11" fillId="0" borderId="54" xfId="0" applyNumberFormat="1" applyFont="1" applyBorder="1" applyAlignment="1" applyProtection="1">
      <alignment horizontal="center"/>
    </xf>
    <xf numFmtId="3" fontId="11" fillId="0" borderId="54" xfId="0" applyNumberFormat="1" applyFont="1" applyFill="1" applyBorder="1" applyAlignment="1" applyProtection="1">
      <alignment horizontal="center"/>
    </xf>
    <xf numFmtId="7" fontId="11" fillId="0" borderId="54" xfId="0" applyNumberFormat="1" applyFont="1" applyFill="1" applyBorder="1" applyAlignment="1" applyProtection="1">
      <alignment horizontal="center"/>
    </xf>
    <xf numFmtId="0" fontId="2" fillId="0" borderId="0" xfId="0" applyFont="1"/>
    <xf numFmtId="0" fontId="2" fillId="0" borderId="0" xfId="0" applyFont="1" applyProtection="1"/>
    <xf numFmtId="0" fontId="2" fillId="0" borderId="95" xfId="0" applyFont="1" applyBorder="1" applyAlignment="1">
      <alignment horizontal="center" vertical="center"/>
    </xf>
    <xf numFmtId="0" fontId="10" fillId="0" borderId="96" xfId="0" applyFont="1" applyBorder="1" applyAlignment="1"/>
    <xf numFmtId="0" fontId="10" fillId="0" borderId="97" xfId="0" applyFont="1" applyBorder="1" applyAlignment="1"/>
    <xf numFmtId="0" fontId="2" fillId="0" borderId="96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3" fillId="0" borderId="94" xfId="0" applyFont="1" applyBorder="1" applyAlignment="1" applyProtection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3" fillId="0" borderId="91" xfId="0" applyFont="1" applyBorder="1" applyAlignment="1" applyProtection="1">
      <alignment horizontal="center"/>
    </xf>
    <xf numFmtId="0" fontId="3" fillId="0" borderId="92" xfId="0" applyFont="1" applyBorder="1" applyAlignment="1">
      <alignment horizontal="center"/>
    </xf>
    <xf numFmtId="0" fontId="3" fillId="0" borderId="93" xfId="0" applyFont="1" applyBorder="1" applyAlignment="1">
      <alignment horizontal="center"/>
    </xf>
    <xf numFmtId="0" fontId="3" fillId="0" borderId="92" xfId="0" applyFont="1" applyBorder="1" applyAlignment="1" applyProtection="1">
      <alignment horizontal="center"/>
    </xf>
    <xf numFmtId="0" fontId="3" fillId="0" borderId="93" xfId="0" applyFont="1" applyBorder="1" applyAlignment="1" applyProtection="1">
      <alignment horizontal="center"/>
    </xf>
    <xf numFmtId="0" fontId="3" fillId="7" borderId="7" xfId="0" applyFont="1" applyFill="1" applyBorder="1" applyAlignment="1" applyProtection="1">
      <alignment horizontal="center"/>
    </xf>
    <xf numFmtId="0" fontId="3" fillId="6" borderId="7" xfId="0" applyFont="1" applyFill="1" applyBorder="1" applyAlignment="1" applyProtection="1"/>
  </cellXfs>
  <cellStyles count="4">
    <cellStyle name="Comma" xfId="1" builtinId="3"/>
    <cellStyle name="Normal" xfId="0" builtinId="0"/>
    <cellStyle name="Normal_9704DF" xfId="2"/>
    <cellStyle name="Normal_9901DF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9"/>
  <sheetViews>
    <sheetView tabSelected="1" workbookViewId="0">
      <selection activeCell="L19" sqref="A1:L19"/>
    </sheetView>
  </sheetViews>
  <sheetFormatPr defaultRowHeight="15"/>
  <cols>
    <col min="1" max="1" width="43.88671875" bestFit="1" customWidth="1"/>
    <col min="2" max="4" width="16.77734375" customWidth="1"/>
    <col min="5" max="6" width="5.77734375" customWidth="1"/>
    <col min="7" max="11" width="16.77734375" customWidth="1"/>
    <col min="12" max="12" width="15.33203125" bestFit="1" customWidth="1"/>
  </cols>
  <sheetData>
    <row r="1" spans="1:32" ht="18">
      <c r="A1" s="230" t="s">
        <v>262</v>
      </c>
    </row>
    <row r="2" spans="1:32" ht="18.75" thickBot="1">
      <c r="A2" s="230"/>
    </row>
    <row r="3" spans="1:32" ht="19.5" thickTop="1" thickBot="1">
      <c r="A3" s="232" t="s">
        <v>131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4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</row>
    <row r="4" spans="1:32" ht="19.5" thickTop="1" thickBot="1">
      <c r="A4" s="232" t="s">
        <v>243</v>
      </c>
      <c r="B4" s="233"/>
      <c r="C4" s="233"/>
      <c r="D4" s="234"/>
      <c r="E4" s="194"/>
      <c r="F4" s="194"/>
      <c r="G4" s="232" t="s">
        <v>244</v>
      </c>
      <c r="H4" s="235"/>
      <c r="I4" s="235"/>
      <c r="J4" s="235"/>
      <c r="K4" s="235"/>
      <c r="L4" s="236"/>
    </row>
    <row r="5" spans="1:32" ht="16.5" customHeight="1" thickTop="1" thickBot="1">
      <c r="A5" s="127"/>
      <c r="B5" s="237" t="s">
        <v>241</v>
      </c>
      <c r="C5" s="237" t="s">
        <v>240</v>
      </c>
      <c r="D5" s="237" t="s">
        <v>239</v>
      </c>
      <c r="E5" s="190"/>
      <c r="G5" s="239" t="s">
        <v>266</v>
      </c>
      <c r="H5" s="240"/>
      <c r="I5" s="240"/>
      <c r="J5" s="240"/>
      <c r="K5" s="240"/>
      <c r="L5" s="241"/>
    </row>
    <row r="6" spans="1:32" ht="16.5" thickBot="1">
      <c r="A6" s="127"/>
      <c r="B6" s="238"/>
      <c r="C6" s="238"/>
      <c r="D6" s="238"/>
      <c r="E6" s="186"/>
      <c r="G6" s="20" t="s">
        <v>219</v>
      </c>
      <c r="H6" s="20" t="s">
        <v>258</v>
      </c>
      <c r="I6" s="126"/>
      <c r="J6" s="20" t="s">
        <v>196</v>
      </c>
      <c r="K6" s="20" t="s">
        <v>190</v>
      </c>
      <c r="L6" s="20" t="s">
        <v>234</v>
      </c>
    </row>
    <row r="7" spans="1:32" ht="16.5" thickBot="1">
      <c r="A7" s="127"/>
      <c r="B7" s="238"/>
      <c r="C7" s="238"/>
      <c r="D7" s="238"/>
      <c r="E7" s="186"/>
      <c r="G7" s="20" t="s">
        <v>20</v>
      </c>
      <c r="H7" s="20" t="s">
        <v>221</v>
      </c>
      <c r="I7" s="126" t="s">
        <v>184</v>
      </c>
      <c r="J7" s="20" t="s">
        <v>187</v>
      </c>
      <c r="K7" s="20" t="s">
        <v>194</v>
      </c>
      <c r="L7" s="20" t="s">
        <v>195</v>
      </c>
    </row>
    <row r="8" spans="1:32" ht="16.5" thickBot="1">
      <c r="A8" s="127"/>
      <c r="B8" s="238"/>
      <c r="C8" s="238"/>
      <c r="D8" s="238"/>
      <c r="E8" s="186"/>
      <c r="G8" s="20" t="s">
        <v>220</v>
      </c>
      <c r="H8" s="20" t="s">
        <v>222</v>
      </c>
      <c r="I8" s="126" t="s">
        <v>130</v>
      </c>
      <c r="J8" s="20" t="s">
        <v>188</v>
      </c>
      <c r="K8" s="20" t="s">
        <v>192</v>
      </c>
      <c r="L8" s="20" t="s">
        <v>233</v>
      </c>
    </row>
    <row r="9" spans="1:32" ht="16.5" thickBot="1">
      <c r="A9" s="127"/>
      <c r="B9" s="238"/>
      <c r="C9" s="238"/>
      <c r="D9" s="238"/>
      <c r="E9" s="186"/>
      <c r="G9" s="20" t="s">
        <v>258</v>
      </c>
      <c r="H9" s="20" t="s">
        <v>224</v>
      </c>
      <c r="I9" s="126" t="s">
        <v>185</v>
      </c>
      <c r="J9" s="20" t="s">
        <v>189</v>
      </c>
      <c r="K9" s="20" t="s">
        <v>191</v>
      </c>
      <c r="L9" s="20" t="s">
        <v>235</v>
      </c>
    </row>
    <row r="10" spans="1:32" ht="16.5" thickBot="1">
      <c r="A10" s="127"/>
      <c r="B10" s="238"/>
      <c r="C10" s="238"/>
      <c r="D10" s="238"/>
      <c r="E10" s="186"/>
      <c r="G10" s="20" t="s">
        <v>218</v>
      </c>
      <c r="H10" s="20" t="s">
        <v>225</v>
      </c>
      <c r="I10" s="126"/>
      <c r="J10" s="20" t="s">
        <v>185</v>
      </c>
      <c r="K10" s="20" t="s">
        <v>193</v>
      </c>
      <c r="L10" s="20" t="s">
        <v>236</v>
      </c>
    </row>
    <row r="11" spans="1:32" ht="18">
      <c r="A11" s="128" t="s">
        <v>201</v>
      </c>
      <c r="B11" s="131">
        <f>'SF Residential - COS'!F20</f>
        <v>0</v>
      </c>
      <c r="C11" s="131">
        <f>'SF Residential - COS'!F42</f>
        <v>0</v>
      </c>
      <c r="D11" s="132">
        <f>'SF Residential - COS'!F44</f>
        <v>0</v>
      </c>
      <c r="E11" s="191"/>
      <c r="G11" s="131">
        <f>'SF Residential - COS'!K44</f>
        <v>0</v>
      </c>
      <c r="H11" s="131">
        <f>'SF Residential - COS'!L44</f>
        <v>0</v>
      </c>
      <c r="I11" s="176" t="s">
        <v>232</v>
      </c>
      <c r="J11" s="176" t="s">
        <v>232</v>
      </c>
      <c r="K11" s="176" t="s">
        <v>232</v>
      </c>
      <c r="L11" s="131">
        <f>'SF Residential - COS'!M44</f>
        <v>0</v>
      </c>
    </row>
    <row r="12" spans="1:32" ht="18">
      <c r="A12" s="129" t="s">
        <v>208</v>
      </c>
      <c r="B12" s="133">
        <f>Commercial!F99</f>
        <v>0</v>
      </c>
      <c r="C12" s="133">
        <f>Commercial!F155</f>
        <v>0</v>
      </c>
      <c r="D12" s="133">
        <f>Commercial!F157</f>
        <v>0</v>
      </c>
      <c r="E12" s="192"/>
      <c r="G12" s="177" t="s">
        <v>232</v>
      </c>
      <c r="H12" s="177" t="s">
        <v>232</v>
      </c>
      <c r="I12" s="133">
        <f>Commercial!K157</f>
        <v>0</v>
      </c>
      <c r="J12" s="133">
        <f>Commercial!L157</f>
        <v>0</v>
      </c>
      <c r="K12" s="133">
        <f>Commercial!M157</f>
        <v>0</v>
      </c>
      <c r="L12" s="133">
        <f>Commercial!N157</f>
        <v>0</v>
      </c>
    </row>
    <row r="13" spans="1:32" ht="18.75" thickBot="1">
      <c r="A13" s="129" t="s">
        <v>269</v>
      </c>
      <c r="B13" s="134">
        <f>'Drop-box'!D37</f>
        <v>0</v>
      </c>
      <c r="C13" s="134">
        <f>'Drop-box'!D74</f>
        <v>0</v>
      </c>
      <c r="D13" s="133">
        <f>'Drop-box'!D76</f>
        <v>0</v>
      </c>
      <c r="E13" s="193"/>
      <c r="G13" s="178" t="s">
        <v>232</v>
      </c>
      <c r="H13" s="178" t="s">
        <v>232</v>
      </c>
      <c r="I13" s="134">
        <f>'Drop-box'!I37</f>
        <v>0</v>
      </c>
      <c r="J13" s="134">
        <f>'Drop-box'!J37</f>
        <v>0</v>
      </c>
      <c r="K13" s="134">
        <f>'Drop-box'!K37</f>
        <v>0</v>
      </c>
      <c r="L13" s="134">
        <f>'Drop-box'!L37</f>
        <v>0</v>
      </c>
    </row>
    <row r="14" spans="1:32" ht="18.75" thickBot="1">
      <c r="A14" s="130" t="s">
        <v>242</v>
      </c>
      <c r="B14" s="135">
        <f t="shared" ref="B14:D14" si="0">SUM(B11:B13)</f>
        <v>0</v>
      </c>
      <c r="C14" s="135">
        <f t="shared" si="0"/>
        <v>0</v>
      </c>
      <c r="D14" s="198">
        <f t="shared" si="0"/>
        <v>0</v>
      </c>
      <c r="E14" s="192"/>
      <c r="G14" s="135">
        <f t="shared" ref="G14:L14" si="1">SUM(G11:G13)</f>
        <v>0</v>
      </c>
      <c r="H14" s="135">
        <f t="shared" si="1"/>
        <v>0</v>
      </c>
      <c r="I14" s="135">
        <f t="shared" si="1"/>
        <v>0</v>
      </c>
      <c r="J14" s="135">
        <f t="shared" si="1"/>
        <v>0</v>
      </c>
      <c r="K14" s="135">
        <f t="shared" si="1"/>
        <v>0</v>
      </c>
      <c r="L14" s="135">
        <f t="shared" si="1"/>
        <v>0</v>
      </c>
    </row>
    <row r="15" spans="1:32" ht="15.75">
      <c r="A15" s="199" t="s">
        <v>247</v>
      </c>
    </row>
    <row r="17" spans="1:12" ht="15.75" thickBot="1"/>
    <row r="18" spans="1:12" ht="19.5" thickTop="1" thickBot="1">
      <c r="A18" s="232" t="s">
        <v>246</v>
      </c>
      <c r="B18" s="233"/>
      <c r="C18" s="233"/>
      <c r="D18" s="234"/>
      <c r="G18" s="232" t="s">
        <v>245</v>
      </c>
      <c r="H18" s="235"/>
      <c r="I18" s="235"/>
      <c r="J18" s="235"/>
      <c r="K18" s="235"/>
      <c r="L18" s="236"/>
    </row>
    <row r="19" spans="1:12" ht="19.5" thickTop="1" thickBot="1">
      <c r="A19" s="187" t="s">
        <v>202</v>
      </c>
      <c r="B19" s="188">
        <f>'SF Residential - Linear'!F20</f>
        <v>0</v>
      </c>
      <c r="C19" s="188">
        <f>'SF Residential - Linear'!F42</f>
        <v>0</v>
      </c>
      <c r="D19" s="189">
        <f>'SF Residential - Linear'!F44</f>
        <v>0</v>
      </c>
      <c r="E19" s="191"/>
      <c r="G19" s="196">
        <f>'SF Residential - Linear'!K44</f>
        <v>0</v>
      </c>
      <c r="H19" s="196">
        <f>'SF Residential - Linear'!L44</f>
        <v>0</v>
      </c>
      <c r="I19" s="197" t="s">
        <v>232</v>
      </c>
      <c r="J19" s="197" t="s">
        <v>232</v>
      </c>
      <c r="K19" s="197" t="s">
        <v>232</v>
      </c>
      <c r="L19" s="196">
        <f>'SF Residential - Linear'!M44</f>
        <v>0</v>
      </c>
    </row>
  </sheetData>
  <sheetProtection password="A2DE" sheet="1" objects="1" scenarios="1"/>
  <mergeCells count="9">
    <mergeCell ref="A3:L3"/>
    <mergeCell ref="A4:D4"/>
    <mergeCell ref="G4:L4"/>
    <mergeCell ref="A18:D18"/>
    <mergeCell ref="G18:L18"/>
    <mergeCell ref="B5:B10"/>
    <mergeCell ref="C5:C10"/>
    <mergeCell ref="D5:D10"/>
    <mergeCell ref="G5:L5"/>
  </mergeCells>
  <pageMargins left="0.7" right="0.7" top="0.75" bottom="0.75" header="0.3" footer="0.3"/>
  <pageSetup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9"/>
  <sheetViews>
    <sheetView workbookViewId="0">
      <pane xSplit="1" ySplit="10" topLeftCell="B11" activePane="bottomRight" state="frozen"/>
      <selection pane="topRight" activeCell="B1" sqref="B1"/>
      <selection pane="bottomLeft" activeCell="A6" sqref="A6"/>
      <selection pane="bottomRight" activeCell="L89" sqref="A1:L89"/>
    </sheetView>
  </sheetViews>
  <sheetFormatPr defaultRowHeight="15"/>
  <cols>
    <col min="1" max="1" width="57.6640625" style="12" customWidth="1"/>
    <col min="2" max="2" width="12.6640625" style="12" bestFit="1" customWidth="1"/>
    <col min="3" max="3" width="15" style="12" bestFit="1" customWidth="1"/>
    <col min="4" max="4" width="17.44140625" style="12" bestFit="1" customWidth="1"/>
    <col min="5" max="5" width="4.77734375" style="12" customWidth="1"/>
    <col min="6" max="6" width="10" style="12" bestFit="1" customWidth="1"/>
    <col min="7" max="8" width="10" style="12" customWidth="1"/>
    <col min="9" max="9" width="13.77734375" style="12" customWidth="1"/>
    <col min="10" max="10" width="16.77734375" style="12" bestFit="1" customWidth="1"/>
    <col min="11" max="11" width="12.44140625" style="12" bestFit="1" customWidth="1"/>
    <col min="12" max="12" width="15.33203125" style="12" bestFit="1" customWidth="1"/>
    <col min="13" max="16384" width="8.88671875" style="12"/>
  </cols>
  <sheetData>
    <row r="1" spans="1:12" ht="18">
      <c r="A1" s="231" t="s">
        <v>270</v>
      </c>
    </row>
    <row r="2" spans="1:12" ht="15.75" thickBot="1"/>
    <row r="3" spans="1:12" ht="18">
      <c r="A3" s="45" t="s">
        <v>12</v>
      </c>
    </row>
    <row r="4" spans="1:12" ht="15.75" thickBot="1">
      <c r="A4" s="46" t="s">
        <v>251</v>
      </c>
    </row>
    <row r="5" spans="1:12" ht="16.5" thickBot="1">
      <c r="A5" s="47" t="s">
        <v>17</v>
      </c>
      <c r="B5" s="48"/>
      <c r="C5" s="49"/>
      <c r="D5" s="50"/>
      <c r="I5" s="242" t="s">
        <v>267</v>
      </c>
      <c r="J5" s="243"/>
      <c r="K5" s="243"/>
      <c r="L5" s="244"/>
    </row>
    <row r="6" spans="1:12" ht="15.75">
      <c r="A6" s="51"/>
      <c r="B6" s="13"/>
      <c r="C6" s="52"/>
      <c r="D6" s="20"/>
      <c r="I6" s="20"/>
      <c r="J6" s="20" t="s">
        <v>196</v>
      </c>
      <c r="K6" s="20" t="s">
        <v>190</v>
      </c>
      <c r="L6" s="20" t="s">
        <v>234</v>
      </c>
    </row>
    <row r="7" spans="1:12" ht="15.75">
      <c r="A7" s="51"/>
      <c r="B7" s="13"/>
      <c r="C7" s="52"/>
      <c r="D7" s="20"/>
      <c r="I7" s="20" t="s">
        <v>184</v>
      </c>
      <c r="J7" s="20" t="s">
        <v>187</v>
      </c>
      <c r="K7" s="20" t="s">
        <v>194</v>
      </c>
      <c r="L7" s="20" t="s">
        <v>195</v>
      </c>
    </row>
    <row r="8" spans="1:12" ht="15.75">
      <c r="A8" s="51"/>
      <c r="B8" s="13"/>
      <c r="C8" s="52"/>
      <c r="D8" s="20" t="s">
        <v>21</v>
      </c>
      <c r="I8" s="20" t="s">
        <v>130</v>
      </c>
      <c r="J8" s="20" t="s">
        <v>188</v>
      </c>
      <c r="K8" s="20" t="s">
        <v>192</v>
      </c>
      <c r="L8" s="20" t="s">
        <v>233</v>
      </c>
    </row>
    <row r="9" spans="1:12" ht="16.5" thickBot="1">
      <c r="A9" s="53" t="s">
        <v>186</v>
      </c>
      <c r="B9" s="54"/>
      <c r="C9" s="55"/>
      <c r="D9" s="20" t="s">
        <v>64</v>
      </c>
      <c r="I9" s="20" t="s">
        <v>185</v>
      </c>
      <c r="J9" s="20" t="s">
        <v>189</v>
      </c>
      <c r="K9" s="20" t="s">
        <v>191</v>
      </c>
      <c r="L9" s="20" t="s">
        <v>235</v>
      </c>
    </row>
    <row r="10" spans="1:12" ht="16.5" thickBot="1">
      <c r="A10" s="209" t="s">
        <v>67</v>
      </c>
      <c r="B10" s="56" t="s">
        <v>22</v>
      </c>
      <c r="C10" s="57" t="s">
        <v>65</v>
      </c>
      <c r="D10" s="21" t="s">
        <v>2</v>
      </c>
      <c r="I10" s="20"/>
      <c r="J10" s="20" t="s">
        <v>185</v>
      </c>
      <c r="K10" s="20" t="s">
        <v>193</v>
      </c>
      <c r="L10" s="20" t="s">
        <v>236</v>
      </c>
    </row>
    <row r="11" spans="1:12">
      <c r="A11" s="204" t="s">
        <v>6</v>
      </c>
      <c r="B11" s="22">
        <v>1</v>
      </c>
      <c r="C11" s="22">
        <f>1*2</f>
        <v>2</v>
      </c>
      <c r="D11" s="32">
        <v>0</v>
      </c>
      <c r="E11" s="95"/>
      <c r="F11" s="96"/>
      <c r="G11" s="96"/>
      <c r="H11" s="96"/>
      <c r="I11" s="99">
        <v>0</v>
      </c>
      <c r="J11" s="99">
        <v>0</v>
      </c>
      <c r="K11" s="99">
        <v>0</v>
      </c>
      <c r="L11" s="99">
        <v>0</v>
      </c>
    </row>
    <row r="12" spans="1:12">
      <c r="A12" s="204" t="s">
        <v>4</v>
      </c>
      <c r="B12" s="22">
        <v>4</v>
      </c>
      <c r="C12" s="22">
        <f>11*2</f>
        <v>22</v>
      </c>
      <c r="D12" s="33">
        <v>0</v>
      </c>
      <c r="E12" s="90"/>
      <c r="F12" s="91"/>
      <c r="G12" s="91"/>
      <c r="H12" s="91"/>
      <c r="I12" s="100">
        <v>0</v>
      </c>
      <c r="J12" s="100">
        <v>0</v>
      </c>
      <c r="K12" s="100">
        <v>0</v>
      </c>
      <c r="L12" s="100">
        <v>0</v>
      </c>
    </row>
    <row r="13" spans="1:12">
      <c r="A13" s="204" t="s">
        <v>7</v>
      </c>
      <c r="B13" s="22">
        <v>3</v>
      </c>
      <c r="C13" s="22">
        <f>3*2</f>
        <v>6</v>
      </c>
      <c r="D13" s="33">
        <v>0</v>
      </c>
      <c r="E13" s="90"/>
      <c r="F13" s="91"/>
      <c r="G13" s="91"/>
      <c r="H13" s="91"/>
      <c r="I13" s="100">
        <v>0</v>
      </c>
      <c r="J13" s="100">
        <v>0</v>
      </c>
      <c r="K13" s="100">
        <v>0</v>
      </c>
      <c r="L13" s="100">
        <v>0</v>
      </c>
    </row>
    <row r="14" spans="1:12">
      <c r="A14" s="204" t="s">
        <v>8</v>
      </c>
      <c r="B14" s="22">
        <v>3</v>
      </c>
      <c r="C14" s="22">
        <f>3*2</f>
        <v>6</v>
      </c>
      <c r="D14" s="33">
        <v>0</v>
      </c>
      <c r="E14" s="90"/>
      <c r="F14" s="91"/>
      <c r="G14" s="91"/>
      <c r="H14" s="91"/>
      <c r="I14" s="100">
        <v>0</v>
      </c>
      <c r="J14" s="100">
        <v>0</v>
      </c>
      <c r="K14" s="100">
        <v>0</v>
      </c>
      <c r="L14" s="100">
        <v>0</v>
      </c>
    </row>
    <row r="15" spans="1:12">
      <c r="A15" s="204" t="s">
        <v>9</v>
      </c>
      <c r="B15" s="22">
        <f>24+6+1+1</f>
        <v>32</v>
      </c>
      <c r="C15" s="22">
        <f>24*2+6*(52/12)+1*3*(52/12)+1*5*(52/12)</f>
        <v>108.66666666666666</v>
      </c>
      <c r="D15" s="33">
        <v>0</v>
      </c>
      <c r="E15" s="90"/>
      <c r="F15" s="91"/>
      <c r="G15" s="91"/>
      <c r="H15" s="91"/>
      <c r="I15" s="100">
        <v>0</v>
      </c>
      <c r="J15" s="100">
        <v>0</v>
      </c>
      <c r="K15" s="100">
        <v>0</v>
      </c>
      <c r="L15" s="100">
        <v>0</v>
      </c>
    </row>
    <row r="16" spans="1:12">
      <c r="A16" s="204" t="s">
        <v>10</v>
      </c>
      <c r="B16" s="22">
        <v>1</v>
      </c>
      <c r="C16" s="22">
        <f>1*2</f>
        <v>2</v>
      </c>
      <c r="D16" s="33">
        <v>0</v>
      </c>
      <c r="E16" s="90"/>
      <c r="F16" s="91"/>
      <c r="G16" s="91"/>
      <c r="H16" s="91"/>
      <c r="I16" s="100">
        <v>0</v>
      </c>
      <c r="J16" s="100">
        <v>0</v>
      </c>
      <c r="K16" s="100">
        <v>0</v>
      </c>
      <c r="L16" s="100">
        <v>0</v>
      </c>
    </row>
    <row r="17" spans="1:12">
      <c r="A17" s="204" t="s">
        <v>5</v>
      </c>
      <c r="B17" s="22">
        <v>1</v>
      </c>
      <c r="C17" s="22">
        <v>1</v>
      </c>
      <c r="D17" s="33">
        <v>0</v>
      </c>
      <c r="E17" s="90"/>
      <c r="F17" s="91"/>
      <c r="G17" s="91"/>
      <c r="H17" s="91"/>
      <c r="I17" s="100">
        <v>0</v>
      </c>
      <c r="J17" s="100">
        <v>0</v>
      </c>
      <c r="K17" s="100">
        <v>0</v>
      </c>
      <c r="L17" s="100">
        <v>0</v>
      </c>
    </row>
    <row r="18" spans="1:12">
      <c r="A18" s="204" t="s">
        <v>11</v>
      </c>
      <c r="B18" s="22">
        <f>7+1</f>
        <v>8</v>
      </c>
      <c r="C18" s="22">
        <f>7*2+1*(52/12)</f>
        <v>18.333333333333332</v>
      </c>
      <c r="D18" s="33">
        <v>0</v>
      </c>
      <c r="E18" s="90"/>
      <c r="F18" s="91"/>
      <c r="G18" s="91"/>
      <c r="H18" s="91"/>
      <c r="I18" s="100">
        <v>0</v>
      </c>
      <c r="J18" s="100">
        <v>0</v>
      </c>
      <c r="K18" s="100">
        <v>0</v>
      </c>
      <c r="L18" s="100">
        <v>0</v>
      </c>
    </row>
    <row r="19" spans="1:12" ht="15.75">
      <c r="A19" s="209" t="s">
        <v>250</v>
      </c>
      <c r="B19" s="23"/>
      <c r="C19" s="23"/>
      <c r="D19" s="31"/>
      <c r="E19" s="200"/>
      <c r="F19" s="201"/>
      <c r="G19" s="201"/>
      <c r="H19" s="201"/>
      <c r="I19" s="94"/>
      <c r="J19" s="94"/>
      <c r="K19" s="94"/>
      <c r="L19" s="94"/>
    </row>
    <row r="20" spans="1:12">
      <c r="A20" s="204" t="s">
        <v>4</v>
      </c>
      <c r="B20" s="39">
        <v>1</v>
      </c>
      <c r="C20" s="39">
        <v>25.9</v>
      </c>
      <c r="D20" s="33">
        <v>0</v>
      </c>
      <c r="E20" s="200"/>
      <c r="F20" s="201"/>
      <c r="G20" s="201"/>
      <c r="H20" s="201"/>
      <c r="I20" s="100">
        <v>0</v>
      </c>
      <c r="J20" s="100">
        <v>0</v>
      </c>
      <c r="K20" s="100">
        <v>0</v>
      </c>
      <c r="L20" s="100">
        <v>0</v>
      </c>
    </row>
    <row r="21" spans="1:12" ht="15.75">
      <c r="A21" s="209" t="s">
        <v>68</v>
      </c>
      <c r="B21" s="23"/>
      <c r="C21" s="23"/>
      <c r="D21" s="31"/>
      <c r="E21" s="90"/>
      <c r="F21" s="91"/>
      <c r="G21" s="91"/>
      <c r="H21" s="91"/>
      <c r="I21" s="94"/>
      <c r="J21" s="94"/>
      <c r="K21" s="94"/>
      <c r="L21" s="94"/>
    </row>
    <row r="22" spans="1:12">
      <c r="A22" s="204" t="s">
        <v>6</v>
      </c>
      <c r="B22" s="24">
        <v>1</v>
      </c>
      <c r="C22" s="24">
        <f>1*22</f>
        <v>22</v>
      </c>
      <c r="D22" s="33">
        <v>0</v>
      </c>
      <c r="E22" s="90"/>
      <c r="F22" s="91"/>
      <c r="G22" s="91"/>
      <c r="H22" s="91"/>
      <c r="I22" s="100">
        <v>0</v>
      </c>
      <c r="J22" s="100">
        <v>0</v>
      </c>
      <c r="K22" s="100">
        <v>0</v>
      </c>
      <c r="L22" s="100">
        <v>0</v>
      </c>
    </row>
    <row r="23" spans="1:12">
      <c r="A23" s="204" t="s">
        <v>7</v>
      </c>
      <c r="B23" s="24">
        <f>2+3+1</f>
        <v>6</v>
      </c>
      <c r="C23" s="24">
        <f>2*(52/48)+3*(26/12)+1*(52/12)</f>
        <v>13</v>
      </c>
      <c r="D23" s="33">
        <v>0</v>
      </c>
      <c r="E23" s="90"/>
      <c r="F23" s="91"/>
      <c r="G23" s="91"/>
      <c r="H23" s="91"/>
      <c r="I23" s="100">
        <v>0</v>
      </c>
      <c r="J23" s="100">
        <v>0</v>
      </c>
      <c r="K23" s="100">
        <v>0</v>
      </c>
      <c r="L23" s="100">
        <v>0</v>
      </c>
    </row>
    <row r="24" spans="1:12">
      <c r="A24" s="204" t="s">
        <v>8</v>
      </c>
      <c r="B24" s="24">
        <f>11+2+5+13</f>
        <v>31</v>
      </c>
      <c r="C24" s="24">
        <f>11*2+2*(52/48)+5*(26/12)+13*(52/12)</f>
        <v>91.333333333333329</v>
      </c>
      <c r="D24" s="33">
        <v>0</v>
      </c>
      <c r="E24" s="90"/>
      <c r="F24" s="91"/>
      <c r="G24" s="91"/>
      <c r="H24" s="91"/>
      <c r="I24" s="100">
        <v>0</v>
      </c>
      <c r="J24" s="100">
        <v>0</v>
      </c>
      <c r="K24" s="100">
        <v>0</v>
      </c>
      <c r="L24" s="100">
        <v>0</v>
      </c>
    </row>
    <row r="25" spans="1:12">
      <c r="A25" s="204" t="s">
        <v>9</v>
      </c>
      <c r="B25" s="24">
        <f>8+8+1+3+11+3+1</f>
        <v>35</v>
      </c>
      <c r="C25" s="24">
        <f>8*2+8*(26/12)+1*(52/36)+3*(52/48)+11*(52/12)+3*2*(52/12)+1*3*(52/12)</f>
        <v>124.69444444444443</v>
      </c>
      <c r="D25" s="33">
        <v>0</v>
      </c>
      <c r="E25" s="90"/>
      <c r="F25" s="91"/>
      <c r="G25" s="91"/>
      <c r="H25" s="91"/>
      <c r="I25" s="100">
        <v>0</v>
      </c>
      <c r="J25" s="100">
        <v>0</v>
      </c>
      <c r="K25" s="100">
        <v>0</v>
      </c>
      <c r="L25" s="100">
        <v>0</v>
      </c>
    </row>
    <row r="26" spans="1:12">
      <c r="A26" s="204" t="s">
        <v>10</v>
      </c>
      <c r="B26" s="24">
        <f>16+1+4+6+7+1</f>
        <v>35</v>
      </c>
      <c r="C26" s="24">
        <f>16*2+1*(52/36)+4*(52/48)+6*(26/12)+7*(52/12)+1*6*(52/12)</f>
        <v>107.11111111111111</v>
      </c>
      <c r="D26" s="33">
        <v>0</v>
      </c>
      <c r="E26" s="90"/>
      <c r="F26" s="91"/>
      <c r="G26" s="91"/>
      <c r="H26" s="91"/>
      <c r="I26" s="100">
        <v>0</v>
      </c>
      <c r="J26" s="100">
        <v>0</v>
      </c>
      <c r="K26" s="100">
        <v>0</v>
      </c>
      <c r="L26" s="100">
        <v>0</v>
      </c>
    </row>
    <row r="27" spans="1:12" ht="15.75" thickBot="1">
      <c r="A27" s="204" t="s">
        <v>11</v>
      </c>
      <c r="B27" s="24">
        <f>5+1</f>
        <v>6</v>
      </c>
      <c r="C27" s="24">
        <f>5*2+1*3*(52/12)</f>
        <v>23</v>
      </c>
      <c r="D27" s="33">
        <v>0</v>
      </c>
      <c r="E27" s="97"/>
      <c r="F27" s="98"/>
      <c r="G27" s="98"/>
      <c r="H27" s="98"/>
      <c r="I27" s="101">
        <v>0</v>
      </c>
      <c r="J27" s="101">
        <v>0</v>
      </c>
      <c r="K27" s="101">
        <v>0</v>
      </c>
      <c r="L27" s="101">
        <v>0</v>
      </c>
    </row>
    <row r="28" spans="1:12" ht="15.75">
      <c r="A28" s="209" t="s">
        <v>271</v>
      </c>
      <c r="B28" s="23"/>
      <c r="C28" s="56" t="s">
        <v>66</v>
      </c>
      <c r="D28" s="37" t="s">
        <v>170</v>
      </c>
      <c r="I28" s="119"/>
      <c r="J28" s="119"/>
      <c r="K28" s="119"/>
      <c r="L28" s="119"/>
    </row>
    <row r="29" spans="1:12">
      <c r="A29" s="204" t="s">
        <v>6</v>
      </c>
      <c r="B29" s="24">
        <v>1</v>
      </c>
      <c r="C29" s="24">
        <v>1</v>
      </c>
      <c r="D29" s="33">
        <v>0</v>
      </c>
      <c r="I29" s="120"/>
      <c r="J29" s="120"/>
      <c r="K29" s="120"/>
      <c r="L29" s="120"/>
    </row>
    <row r="30" spans="1:12">
      <c r="A30" s="204" t="s">
        <v>4</v>
      </c>
      <c r="B30" s="24">
        <v>5</v>
      </c>
      <c r="C30" s="24">
        <v>21</v>
      </c>
      <c r="D30" s="33">
        <v>0</v>
      </c>
      <c r="I30" s="120"/>
      <c r="J30" s="120"/>
      <c r="K30" s="120"/>
      <c r="L30" s="120"/>
    </row>
    <row r="31" spans="1:12">
      <c r="A31" s="204" t="s">
        <v>7</v>
      </c>
      <c r="B31" s="24">
        <v>3</v>
      </c>
      <c r="C31" s="24">
        <v>3</v>
      </c>
      <c r="D31" s="33">
        <v>0</v>
      </c>
      <c r="I31" s="120"/>
      <c r="J31" s="120"/>
      <c r="K31" s="120"/>
      <c r="L31" s="120"/>
    </row>
    <row r="32" spans="1:12">
      <c r="A32" s="204" t="s">
        <v>8</v>
      </c>
      <c r="B32" s="24">
        <v>3</v>
      </c>
      <c r="C32" s="24">
        <v>3</v>
      </c>
      <c r="D32" s="33">
        <v>0</v>
      </c>
      <c r="I32" s="120"/>
      <c r="J32" s="120"/>
      <c r="K32" s="120"/>
      <c r="L32" s="120"/>
    </row>
    <row r="33" spans="1:12">
      <c r="A33" s="204" t="s">
        <v>9</v>
      </c>
      <c r="B33" s="24">
        <v>32</v>
      </c>
      <c r="C33" s="24">
        <v>32</v>
      </c>
      <c r="D33" s="33">
        <v>0</v>
      </c>
      <c r="I33" s="120"/>
      <c r="J33" s="120"/>
      <c r="K33" s="120"/>
      <c r="L33" s="120"/>
    </row>
    <row r="34" spans="1:12">
      <c r="A34" s="204" t="s">
        <v>10</v>
      </c>
      <c r="B34" s="24">
        <v>1</v>
      </c>
      <c r="C34" s="24">
        <v>1</v>
      </c>
      <c r="D34" s="33">
        <v>0</v>
      </c>
      <c r="I34" s="120"/>
      <c r="J34" s="120"/>
      <c r="K34" s="120"/>
      <c r="L34" s="120"/>
    </row>
    <row r="35" spans="1:12">
      <c r="A35" s="204" t="s">
        <v>5</v>
      </c>
      <c r="B35" s="24">
        <v>1</v>
      </c>
      <c r="C35" s="24">
        <v>1</v>
      </c>
      <c r="D35" s="33">
        <v>0</v>
      </c>
      <c r="I35" s="120"/>
      <c r="J35" s="120"/>
      <c r="K35" s="120"/>
      <c r="L35" s="120"/>
    </row>
    <row r="36" spans="1:12" ht="15.75" thickBot="1">
      <c r="A36" s="208" t="s">
        <v>11</v>
      </c>
      <c r="B36" s="86">
        <v>8</v>
      </c>
      <c r="C36" s="86">
        <v>8</v>
      </c>
      <c r="D36" s="107">
        <v>0</v>
      </c>
      <c r="I36" s="120"/>
      <c r="J36" s="120"/>
      <c r="K36" s="120"/>
      <c r="L36" s="120"/>
    </row>
    <row r="37" spans="1:12" ht="16.5" thickBot="1">
      <c r="A37" s="108" t="s">
        <v>171</v>
      </c>
      <c r="B37" s="113"/>
      <c r="C37" s="113"/>
      <c r="D37" s="114">
        <f>12*SUMPRODUCT($C$11:$C$27*D11:D27)+12*SUMPRODUCT(C29:C36*D29:D36)</f>
        <v>0</v>
      </c>
      <c r="E37" s="124" t="s">
        <v>197</v>
      </c>
      <c r="F37" s="91"/>
      <c r="G37" s="105"/>
      <c r="H37" s="91"/>
      <c r="I37" s="102">
        <f t="shared" ref="I37:L37" si="0">12*SUMPRODUCT($C$11:$C$27*I11:I27)</f>
        <v>0</v>
      </c>
      <c r="J37" s="102">
        <f t="shared" si="0"/>
        <v>0</v>
      </c>
      <c r="K37" s="102">
        <f t="shared" si="0"/>
        <v>0</v>
      </c>
      <c r="L37" s="102">
        <f t="shared" si="0"/>
        <v>0</v>
      </c>
    </row>
    <row r="38" spans="1:12" ht="16.5" thickBot="1">
      <c r="A38" s="87"/>
      <c r="B38" s="111"/>
      <c r="C38" s="111"/>
      <c r="D38" s="115"/>
      <c r="E38" s="13"/>
      <c r="F38" s="13"/>
      <c r="G38" s="87"/>
      <c r="H38" s="13"/>
      <c r="I38" s="121"/>
      <c r="J38" s="121"/>
      <c r="K38" s="121"/>
      <c r="L38" s="121"/>
    </row>
    <row r="39" spans="1:12" ht="15.75">
      <c r="A39" s="87"/>
      <c r="B39" s="111"/>
      <c r="C39" s="111"/>
      <c r="D39" s="112"/>
      <c r="E39" s="13"/>
      <c r="F39" s="116" t="s">
        <v>181</v>
      </c>
      <c r="G39" s="87"/>
      <c r="H39" s="13"/>
      <c r="I39" s="121"/>
      <c r="J39" s="121"/>
      <c r="K39" s="121"/>
      <c r="L39" s="121"/>
    </row>
    <row r="40" spans="1:12" ht="15.75">
      <c r="A40" s="103"/>
      <c r="B40" s="30"/>
      <c r="C40" s="86"/>
      <c r="D40" s="40"/>
      <c r="F40" s="117" t="s">
        <v>198</v>
      </c>
      <c r="G40" s="104"/>
      <c r="H40" s="104"/>
      <c r="I40" s="120"/>
      <c r="J40" s="120"/>
      <c r="K40" s="120"/>
      <c r="L40" s="120"/>
    </row>
    <row r="41" spans="1:12" ht="16.5" thickBot="1">
      <c r="A41" s="59" t="s">
        <v>272</v>
      </c>
      <c r="B41" s="41"/>
      <c r="C41" s="89" t="s">
        <v>65</v>
      </c>
      <c r="D41" s="37" t="s">
        <v>175</v>
      </c>
      <c r="F41" s="118" t="s">
        <v>199</v>
      </c>
      <c r="I41" s="120"/>
      <c r="J41" s="120"/>
      <c r="K41" s="120"/>
      <c r="L41" s="120"/>
    </row>
    <row r="42" spans="1:12">
      <c r="A42" s="204" t="s">
        <v>152</v>
      </c>
      <c r="B42" s="24">
        <v>1</v>
      </c>
      <c r="C42" s="24">
        <v>1</v>
      </c>
      <c r="D42" s="62">
        <v>0</v>
      </c>
      <c r="F42" s="119"/>
      <c r="I42" s="120"/>
      <c r="J42" s="120"/>
      <c r="K42" s="120"/>
      <c r="L42" s="120"/>
    </row>
    <row r="43" spans="1:12">
      <c r="A43" s="204" t="s">
        <v>153</v>
      </c>
      <c r="B43" s="24">
        <v>1</v>
      </c>
      <c r="C43" s="24">
        <v>1</v>
      </c>
      <c r="D43" s="62">
        <v>0</v>
      </c>
      <c r="F43" s="120"/>
      <c r="I43" s="120"/>
      <c r="J43" s="120"/>
      <c r="K43" s="120"/>
      <c r="L43" s="120"/>
    </row>
    <row r="44" spans="1:12">
      <c r="A44" s="204" t="s">
        <v>158</v>
      </c>
      <c r="B44" s="24">
        <v>10</v>
      </c>
      <c r="C44" s="24">
        <v>21</v>
      </c>
      <c r="D44" s="62">
        <v>0</v>
      </c>
      <c r="F44" s="120"/>
      <c r="I44" s="120"/>
      <c r="J44" s="120"/>
      <c r="K44" s="120"/>
      <c r="L44" s="120"/>
    </row>
    <row r="45" spans="1:12">
      <c r="A45" s="204" t="s">
        <v>159</v>
      </c>
      <c r="B45" s="24">
        <v>1</v>
      </c>
      <c r="C45" s="24">
        <v>1</v>
      </c>
      <c r="D45" s="33">
        <v>0</v>
      </c>
      <c r="F45" s="120"/>
      <c r="I45" s="120"/>
      <c r="J45" s="120"/>
      <c r="K45" s="120"/>
      <c r="L45" s="120"/>
    </row>
    <row r="46" spans="1:12" ht="15.75">
      <c r="A46" s="207" t="s">
        <v>273</v>
      </c>
      <c r="B46" s="23"/>
      <c r="C46" s="56" t="s">
        <v>66</v>
      </c>
      <c r="D46" s="37" t="s">
        <v>170</v>
      </c>
      <c r="F46" s="120"/>
      <c r="I46" s="120"/>
      <c r="J46" s="120"/>
      <c r="K46" s="120"/>
      <c r="L46" s="120"/>
    </row>
    <row r="47" spans="1:12">
      <c r="A47" s="204" t="s">
        <v>100</v>
      </c>
      <c r="B47" s="24">
        <v>1</v>
      </c>
      <c r="C47" s="24">
        <v>1</v>
      </c>
      <c r="D47" s="33">
        <v>0</v>
      </c>
      <c r="E47" s="14"/>
      <c r="F47" s="121">
        <v>2.25</v>
      </c>
      <c r="G47" s="14"/>
      <c r="H47" s="14"/>
      <c r="I47" s="120"/>
      <c r="J47" s="120"/>
      <c r="K47" s="120"/>
      <c r="L47" s="120"/>
    </row>
    <row r="48" spans="1:12">
      <c r="A48" s="204" t="s">
        <v>101</v>
      </c>
      <c r="B48" s="24">
        <v>1</v>
      </c>
      <c r="C48" s="24">
        <v>1</v>
      </c>
      <c r="D48" s="33">
        <v>0</v>
      </c>
      <c r="F48" s="121">
        <v>2.35</v>
      </c>
      <c r="G48" s="14"/>
      <c r="H48" s="14"/>
      <c r="I48" s="120"/>
      <c r="J48" s="120"/>
      <c r="K48" s="120"/>
      <c r="L48" s="120"/>
    </row>
    <row r="49" spans="1:12">
      <c r="A49" s="204" t="s">
        <v>102</v>
      </c>
      <c r="B49" s="24">
        <v>3</v>
      </c>
      <c r="C49" s="24">
        <v>3</v>
      </c>
      <c r="D49" s="33">
        <v>0</v>
      </c>
      <c r="E49" s="14"/>
      <c r="F49" s="121">
        <v>2.4500000000000002</v>
      </c>
      <c r="G49" s="14"/>
      <c r="H49" s="14"/>
      <c r="I49" s="120"/>
      <c r="J49" s="120"/>
      <c r="K49" s="120"/>
      <c r="L49" s="120"/>
    </row>
    <row r="50" spans="1:12">
      <c r="A50" s="204" t="s">
        <v>103</v>
      </c>
      <c r="B50" s="24">
        <v>9</v>
      </c>
      <c r="C50" s="24">
        <v>9</v>
      </c>
      <c r="D50" s="33">
        <v>0</v>
      </c>
      <c r="E50" s="14"/>
      <c r="F50" s="120"/>
      <c r="G50" s="13"/>
      <c r="H50" s="13"/>
      <c r="I50" s="120"/>
      <c r="J50" s="120"/>
      <c r="K50" s="120"/>
      <c r="L50" s="120"/>
    </row>
    <row r="51" spans="1:12">
      <c r="A51" s="204" t="s">
        <v>104</v>
      </c>
      <c r="B51" s="24">
        <v>18</v>
      </c>
      <c r="C51" s="24">
        <v>34</v>
      </c>
      <c r="D51" s="33">
        <v>0</v>
      </c>
      <c r="E51" s="14"/>
      <c r="F51" s="120"/>
      <c r="G51" s="13"/>
      <c r="H51" s="13"/>
      <c r="I51" s="120"/>
      <c r="J51" s="120"/>
      <c r="K51" s="120"/>
      <c r="L51" s="120"/>
    </row>
    <row r="52" spans="1:12">
      <c r="A52" s="204" t="s">
        <v>105</v>
      </c>
      <c r="B52" s="24">
        <v>3</v>
      </c>
      <c r="C52" s="24">
        <v>8</v>
      </c>
      <c r="D52" s="33">
        <v>0</v>
      </c>
      <c r="E52" s="14"/>
      <c r="F52" s="120"/>
      <c r="G52" s="13"/>
      <c r="H52" s="13"/>
      <c r="I52" s="120"/>
      <c r="J52" s="120"/>
      <c r="K52" s="120"/>
      <c r="L52" s="120"/>
    </row>
    <row r="53" spans="1:12">
      <c r="A53" s="204" t="s">
        <v>106</v>
      </c>
      <c r="B53" s="24">
        <v>2</v>
      </c>
      <c r="C53" s="24">
        <v>6</v>
      </c>
      <c r="D53" s="33">
        <v>0</v>
      </c>
      <c r="E53" s="14"/>
      <c r="F53" s="120"/>
      <c r="G53" s="13"/>
      <c r="H53" s="13"/>
      <c r="I53" s="120"/>
      <c r="J53" s="120"/>
      <c r="K53" s="120"/>
      <c r="L53" s="120"/>
    </row>
    <row r="54" spans="1:12">
      <c r="A54" s="204" t="s">
        <v>107</v>
      </c>
      <c r="B54" s="24">
        <v>1</v>
      </c>
      <c r="C54" s="24">
        <v>1</v>
      </c>
      <c r="D54" s="29">
        <v>0</v>
      </c>
      <c r="E54" s="14"/>
      <c r="F54" s="121">
        <v>67.5</v>
      </c>
      <c r="G54" s="14"/>
      <c r="H54" s="14"/>
      <c r="I54" s="120"/>
      <c r="J54" s="120"/>
      <c r="K54" s="120"/>
      <c r="L54" s="120"/>
    </row>
    <row r="55" spans="1:12">
      <c r="A55" s="204" t="s">
        <v>108</v>
      </c>
      <c r="B55" s="24">
        <v>1</v>
      </c>
      <c r="C55" s="24">
        <v>1</v>
      </c>
      <c r="D55" s="29">
        <v>0</v>
      </c>
      <c r="F55" s="121">
        <v>70.5</v>
      </c>
      <c r="G55" s="14"/>
      <c r="H55" s="14"/>
      <c r="I55" s="120"/>
      <c r="J55" s="120"/>
      <c r="K55" s="120"/>
      <c r="L55" s="120"/>
    </row>
    <row r="56" spans="1:12">
      <c r="A56" s="204" t="s">
        <v>109</v>
      </c>
      <c r="B56" s="24">
        <v>1</v>
      </c>
      <c r="C56" s="24">
        <v>1</v>
      </c>
      <c r="D56" s="29">
        <v>0</v>
      </c>
      <c r="E56" s="14"/>
      <c r="F56" s="120"/>
      <c r="I56" s="120"/>
      <c r="J56" s="120"/>
      <c r="K56" s="120"/>
      <c r="L56" s="120"/>
    </row>
    <row r="57" spans="1:12">
      <c r="A57" s="204" t="s">
        <v>110</v>
      </c>
      <c r="B57" s="24">
        <v>1</v>
      </c>
      <c r="C57" s="24">
        <v>1</v>
      </c>
      <c r="D57" s="29">
        <v>0</v>
      </c>
      <c r="E57" s="14"/>
      <c r="F57" s="120"/>
      <c r="I57" s="120"/>
      <c r="J57" s="120"/>
      <c r="K57" s="120"/>
      <c r="L57" s="120"/>
    </row>
    <row r="58" spans="1:12">
      <c r="A58" s="204" t="s">
        <v>111</v>
      </c>
      <c r="B58" s="24">
        <v>1</v>
      </c>
      <c r="C58" s="24">
        <v>1</v>
      </c>
      <c r="D58" s="29">
        <v>0</v>
      </c>
      <c r="E58" s="14"/>
      <c r="F58" s="120"/>
      <c r="I58" s="120"/>
      <c r="J58" s="120"/>
      <c r="K58" s="120"/>
      <c r="L58" s="120"/>
    </row>
    <row r="59" spans="1:12">
      <c r="A59" s="204" t="s">
        <v>112</v>
      </c>
      <c r="B59" s="24">
        <v>1</v>
      </c>
      <c r="C59" s="24">
        <v>1</v>
      </c>
      <c r="D59" s="29">
        <v>0</v>
      </c>
      <c r="E59" s="14"/>
      <c r="F59" s="120"/>
      <c r="I59" s="120"/>
      <c r="J59" s="120"/>
      <c r="K59" s="120"/>
      <c r="L59" s="120"/>
    </row>
    <row r="60" spans="1:12">
      <c r="A60" s="204" t="s">
        <v>113</v>
      </c>
      <c r="B60" s="24">
        <v>1</v>
      </c>
      <c r="C60" s="24">
        <v>1</v>
      </c>
      <c r="D60" s="29">
        <v>0</v>
      </c>
      <c r="E60" s="14"/>
      <c r="F60" s="120"/>
      <c r="I60" s="120"/>
      <c r="J60" s="120"/>
      <c r="K60" s="120"/>
      <c r="L60" s="120"/>
    </row>
    <row r="61" spans="1:12" ht="15.75">
      <c r="A61" s="205"/>
      <c r="B61" s="23"/>
      <c r="C61" s="89" t="s">
        <v>65</v>
      </c>
      <c r="D61" s="37" t="s">
        <v>175</v>
      </c>
      <c r="E61" s="14"/>
      <c r="F61" s="120"/>
      <c r="I61" s="120"/>
      <c r="J61" s="120"/>
      <c r="K61" s="120"/>
      <c r="L61" s="120"/>
    </row>
    <row r="62" spans="1:12">
      <c r="A62" s="204" t="s">
        <v>114</v>
      </c>
      <c r="B62" s="24">
        <v>1</v>
      </c>
      <c r="C62" s="24">
        <v>1</v>
      </c>
      <c r="D62" s="29">
        <v>0</v>
      </c>
      <c r="E62" s="14"/>
      <c r="F62" s="121">
        <v>121.41</v>
      </c>
      <c r="G62" s="14"/>
      <c r="H62" s="14"/>
      <c r="I62" s="120"/>
      <c r="J62" s="120"/>
      <c r="K62" s="120"/>
      <c r="L62" s="120"/>
    </row>
    <row r="63" spans="1:12">
      <c r="A63" s="204" t="s">
        <v>115</v>
      </c>
      <c r="B63" s="24">
        <v>1</v>
      </c>
      <c r="C63" s="24">
        <v>1</v>
      </c>
      <c r="D63" s="29">
        <v>0</v>
      </c>
      <c r="E63" s="14"/>
      <c r="F63" s="121">
        <v>121.41</v>
      </c>
      <c r="G63" s="14"/>
      <c r="H63" s="14"/>
      <c r="I63" s="120"/>
      <c r="J63" s="120"/>
      <c r="K63" s="120"/>
      <c r="L63" s="120"/>
    </row>
    <row r="64" spans="1:12">
      <c r="A64" s="204" t="s">
        <v>116</v>
      </c>
      <c r="B64" s="24">
        <v>3</v>
      </c>
      <c r="C64" s="24">
        <v>6</v>
      </c>
      <c r="D64" s="29">
        <v>0</v>
      </c>
      <c r="E64" s="14"/>
      <c r="F64" s="121">
        <v>121.41</v>
      </c>
      <c r="G64" s="14"/>
      <c r="H64" s="14"/>
      <c r="I64" s="120"/>
      <c r="J64" s="120"/>
      <c r="K64" s="120"/>
      <c r="L64" s="120"/>
    </row>
    <row r="65" spans="1:12">
      <c r="A65" s="204" t="s">
        <v>117</v>
      </c>
      <c r="B65" s="24">
        <v>9</v>
      </c>
      <c r="C65" s="24">
        <v>9</v>
      </c>
      <c r="D65" s="29">
        <v>0</v>
      </c>
      <c r="E65" s="14"/>
      <c r="F65" s="121">
        <v>121.41</v>
      </c>
      <c r="G65" s="14"/>
      <c r="H65" s="14"/>
      <c r="I65" s="120"/>
      <c r="J65" s="120"/>
      <c r="K65" s="120"/>
      <c r="L65" s="120"/>
    </row>
    <row r="66" spans="1:12">
      <c r="A66" s="204" t="s">
        <v>118</v>
      </c>
      <c r="B66" s="24">
        <v>18</v>
      </c>
      <c r="C66" s="24">
        <v>34</v>
      </c>
      <c r="D66" s="29">
        <v>0</v>
      </c>
      <c r="E66" s="14"/>
      <c r="F66" s="121">
        <v>121.41</v>
      </c>
      <c r="G66" s="14"/>
      <c r="H66" s="14"/>
      <c r="I66" s="120"/>
      <c r="J66" s="120"/>
      <c r="K66" s="120"/>
      <c r="L66" s="120"/>
    </row>
    <row r="67" spans="1:12">
      <c r="A67" s="204" t="s">
        <v>119</v>
      </c>
      <c r="B67" s="24">
        <v>3</v>
      </c>
      <c r="C67" s="24">
        <v>8</v>
      </c>
      <c r="D67" s="29">
        <v>0</v>
      </c>
      <c r="E67" s="14"/>
      <c r="F67" s="121">
        <v>121.41</v>
      </c>
      <c r="G67" s="14"/>
      <c r="H67" s="14"/>
      <c r="I67" s="120"/>
      <c r="J67" s="120"/>
      <c r="K67" s="120"/>
      <c r="L67" s="120"/>
    </row>
    <row r="68" spans="1:12">
      <c r="A68" s="204" t="s">
        <v>120</v>
      </c>
      <c r="B68" s="24">
        <v>2</v>
      </c>
      <c r="C68" s="24">
        <v>6</v>
      </c>
      <c r="D68" s="29">
        <v>0</v>
      </c>
      <c r="E68" s="14"/>
      <c r="F68" s="121">
        <v>121.41</v>
      </c>
      <c r="G68" s="14"/>
      <c r="H68" s="14"/>
      <c r="I68" s="120"/>
      <c r="J68" s="120"/>
      <c r="K68" s="120"/>
      <c r="L68" s="120"/>
    </row>
    <row r="69" spans="1:12" ht="15.75">
      <c r="A69" s="206"/>
      <c r="B69" s="41"/>
      <c r="C69" s="89" t="s">
        <v>177</v>
      </c>
      <c r="D69" s="37" t="s">
        <v>178</v>
      </c>
      <c r="E69" s="14"/>
      <c r="F69" s="120"/>
      <c r="I69" s="120"/>
      <c r="J69" s="120"/>
      <c r="K69" s="120"/>
      <c r="L69" s="120"/>
    </row>
    <row r="70" spans="1:12">
      <c r="A70" s="206" t="s">
        <v>176</v>
      </c>
      <c r="B70" s="24">
        <v>25</v>
      </c>
      <c r="C70" s="24">
        <v>25</v>
      </c>
      <c r="D70" s="33">
        <v>0</v>
      </c>
      <c r="E70" s="38"/>
      <c r="F70" s="122">
        <v>61.99</v>
      </c>
      <c r="G70" s="38"/>
      <c r="H70" s="38"/>
      <c r="I70" s="120"/>
      <c r="J70" s="120"/>
      <c r="K70" s="120"/>
      <c r="L70" s="120"/>
    </row>
    <row r="71" spans="1:12" ht="15.75">
      <c r="A71" s="203" t="s">
        <v>78</v>
      </c>
      <c r="B71" s="23"/>
      <c r="C71" s="89" t="s">
        <v>179</v>
      </c>
      <c r="D71" s="37" t="s">
        <v>180</v>
      </c>
      <c r="E71" s="38"/>
      <c r="F71" s="120"/>
      <c r="I71" s="120"/>
      <c r="J71" s="120"/>
      <c r="K71" s="120"/>
      <c r="L71" s="120"/>
    </row>
    <row r="72" spans="1:12">
      <c r="A72" s="60" t="s">
        <v>79</v>
      </c>
      <c r="B72" s="24">
        <v>1</v>
      </c>
      <c r="C72" s="24">
        <v>1</v>
      </c>
      <c r="D72" s="88">
        <v>0</v>
      </c>
      <c r="E72" s="38"/>
      <c r="F72" s="122">
        <v>2.1</v>
      </c>
      <c r="G72" s="38"/>
      <c r="H72" s="38"/>
      <c r="I72" s="120"/>
      <c r="J72" s="120"/>
      <c r="K72" s="120"/>
      <c r="L72" s="120"/>
    </row>
    <row r="73" spans="1:12" ht="15.75" thickBot="1">
      <c r="A73" s="106" t="s">
        <v>77</v>
      </c>
      <c r="B73" s="86">
        <v>1</v>
      </c>
      <c r="C73" s="86">
        <v>1</v>
      </c>
      <c r="D73" s="107">
        <v>0</v>
      </c>
      <c r="E73" s="38"/>
      <c r="F73" s="123">
        <v>1.81</v>
      </c>
      <c r="G73" s="38"/>
      <c r="H73" s="38"/>
      <c r="I73" s="120"/>
      <c r="J73" s="120"/>
      <c r="K73" s="120"/>
      <c r="L73" s="120"/>
    </row>
    <row r="74" spans="1:12" ht="15.75">
      <c r="A74" s="108" t="s">
        <v>172</v>
      </c>
      <c r="B74" s="109"/>
      <c r="C74" s="109"/>
      <c r="D74" s="110">
        <f>12*SUMPRODUCT(C42:C45*D42:D45)+12*SUMPRODUCT(C47:C60*D47:D60)+12*SUMPRODUCT(C62:C68*D62:D68)+12*C70*D70+12*SUMPRODUCT(C72:C73*D72:D73)</f>
        <v>0</v>
      </c>
      <c r="I74" s="120"/>
      <c r="J74" s="120"/>
      <c r="K74" s="120"/>
      <c r="L74" s="120"/>
    </row>
    <row r="75" spans="1:12" ht="16.5" thickBot="1">
      <c r="A75" s="87"/>
      <c r="D75" s="16"/>
      <c r="I75" s="120"/>
      <c r="J75" s="120"/>
      <c r="K75" s="120"/>
      <c r="L75" s="120"/>
    </row>
    <row r="76" spans="1:12" ht="16.5" thickBot="1">
      <c r="A76" s="124" t="s">
        <v>274</v>
      </c>
      <c r="B76" s="91"/>
      <c r="C76" s="91"/>
      <c r="D76" s="93">
        <f>D37+D74</f>
        <v>0</v>
      </c>
      <c r="E76" s="124" t="s">
        <v>197</v>
      </c>
      <c r="F76" s="91"/>
      <c r="G76" s="105"/>
      <c r="H76" s="91"/>
      <c r="I76" s="102">
        <f t="shared" ref="I76:L76" si="1">I37</f>
        <v>0</v>
      </c>
      <c r="J76" s="102">
        <f t="shared" si="1"/>
        <v>0</v>
      </c>
      <c r="K76" s="102">
        <f t="shared" si="1"/>
        <v>0</v>
      </c>
      <c r="L76" s="102">
        <f t="shared" si="1"/>
        <v>0</v>
      </c>
    </row>
    <row r="78" spans="1:12" ht="15.75">
      <c r="A78" s="61" t="s">
        <v>127</v>
      </c>
    </row>
    <row r="79" spans="1:12" ht="15.75">
      <c r="A79" s="61" t="s">
        <v>203</v>
      </c>
    </row>
    <row r="80" spans="1:12" ht="15.75">
      <c r="A80" s="61" t="s">
        <v>129</v>
      </c>
    </row>
    <row r="81" spans="1:1" ht="15.75">
      <c r="A81" s="61" t="s">
        <v>173</v>
      </c>
    </row>
    <row r="82" spans="1:1" ht="15.75">
      <c r="A82" s="61" t="s">
        <v>200</v>
      </c>
    </row>
    <row r="83" spans="1:1" ht="15.75">
      <c r="A83" s="61" t="s">
        <v>238</v>
      </c>
    </row>
    <row r="84" spans="1:1" ht="15.75">
      <c r="A84" s="61" t="s">
        <v>174</v>
      </c>
    </row>
    <row r="85" spans="1:1" ht="15.75">
      <c r="A85" s="61" t="s">
        <v>237</v>
      </c>
    </row>
    <row r="86" spans="1:1" ht="15.75">
      <c r="A86" s="61" t="s">
        <v>255</v>
      </c>
    </row>
    <row r="87" spans="1:1" ht="15.75">
      <c r="A87" s="61" t="s">
        <v>254</v>
      </c>
    </row>
    <row r="88" spans="1:1" ht="15.75">
      <c r="A88" s="61" t="s">
        <v>182</v>
      </c>
    </row>
    <row r="89" spans="1:1" ht="15.75">
      <c r="A89" s="61" t="s">
        <v>183</v>
      </c>
    </row>
  </sheetData>
  <sheetProtection password="A2DE" sheet="1" objects="1" scenarios="1"/>
  <mergeCells count="1">
    <mergeCell ref="I5:L5"/>
  </mergeCells>
  <pageMargins left="0.7" right="0.7" top="0.75" bottom="0.75" header="0.3" footer="0.3"/>
  <pageSetup paperSize="17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72"/>
  <sheetViews>
    <sheetView workbookViewId="0">
      <pane xSplit="1" ySplit="10" topLeftCell="B11" activePane="bottomRight" state="frozen"/>
      <selection pane="topRight" activeCell="B1" sqref="B1"/>
      <selection pane="bottomLeft" activeCell="A6" sqref="A6"/>
      <selection pane="bottomRight" activeCell="N172" sqref="A1:N172"/>
    </sheetView>
  </sheetViews>
  <sheetFormatPr defaultRowHeight="15"/>
  <cols>
    <col min="1" max="1" width="53.44140625" style="12" customWidth="1"/>
    <col min="2" max="2" width="12.6640625" style="12" bestFit="1" customWidth="1"/>
    <col min="3" max="3" width="15" style="12" bestFit="1" customWidth="1"/>
    <col min="4" max="5" width="12.77734375" style="12" customWidth="1"/>
    <col min="6" max="6" width="18.33203125" style="12" bestFit="1" customWidth="1"/>
    <col min="7" max="7" width="8.88671875" style="12"/>
    <col min="8" max="8" width="10" style="12" bestFit="1" customWidth="1"/>
    <col min="9" max="10" width="8.88671875" style="12"/>
    <col min="11" max="14" width="16.77734375" style="12" customWidth="1"/>
    <col min="15" max="16384" width="8.88671875" style="12"/>
  </cols>
  <sheetData>
    <row r="1" spans="1:14" ht="18">
      <c r="A1" s="231" t="s">
        <v>263</v>
      </c>
    </row>
    <row r="2" spans="1:14" ht="15.75" thickBot="1"/>
    <row r="3" spans="1:14" ht="18">
      <c r="A3" s="45" t="s">
        <v>12</v>
      </c>
    </row>
    <row r="4" spans="1:14" ht="15.75" thickBot="1">
      <c r="A4" s="46" t="s">
        <v>251</v>
      </c>
    </row>
    <row r="5" spans="1:14" ht="16.5" thickBot="1">
      <c r="A5" s="47" t="s">
        <v>17</v>
      </c>
      <c r="B5" s="48"/>
      <c r="C5" s="49"/>
      <c r="D5" s="50"/>
      <c r="E5" s="50"/>
      <c r="F5" s="63"/>
      <c r="K5" s="242" t="s">
        <v>268</v>
      </c>
      <c r="L5" s="245"/>
      <c r="M5" s="245"/>
      <c r="N5" s="246"/>
    </row>
    <row r="6" spans="1:14" ht="15.75">
      <c r="A6" s="51"/>
      <c r="B6" s="13"/>
      <c r="C6" s="52"/>
      <c r="D6" s="20"/>
      <c r="E6" s="20"/>
      <c r="F6" s="20"/>
      <c r="K6" s="20"/>
      <c r="L6" s="20" t="s">
        <v>196</v>
      </c>
      <c r="M6" s="20" t="s">
        <v>190</v>
      </c>
      <c r="N6" s="20" t="s">
        <v>234</v>
      </c>
    </row>
    <row r="7" spans="1:14" ht="15.75">
      <c r="A7" s="51"/>
      <c r="B7" s="13"/>
      <c r="C7" s="52"/>
      <c r="D7" s="20"/>
      <c r="E7" s="20"/>
      <c r="F7" s="20" t="s">
        <v>21</v>
      </c>
      <c r="K7" s="20" t="s">
        <v>184</v>
      </c>
      <c r="L7" s="20" t="s">
        <v>187</v>
      </c>
      <c r="M7" s="20" t="s">
        <v>194</v>
      </c>
      <c r="N7" s="20" t="s">
        <v>195</v>
      </c>
    </row>
    <row r="8" spans="1:14" ht="15.75">
      <c r="A8" s="51"/>
      <c r="B8" s="13"/>
      <c r="C8" s="52"/>
      <c r="D8" s="20" t="s">
        <v>21</v>
      </c>
      <c r="E8" s="20" t="s">
        <v>21</v>
      </c>
      <c r="F8" s="64" t="s">
        <v>0</v>
      </c>
      <c r="K8" s="20" t="s">
        <v>130</v>
      </c>
      <c r="L8" s="20" t="s">
        <v>188</v>
      </c>
      <c r="M8" s="20" t="s">
        <v>192</v>
      </c>
      <c r="N8" s="20" t="s">
        <v>233</v>
      </c>
    </row>
    <row r="9" spans="1:14" ht="16.5" thickBot="1">
      <c r="A9" s="53" t="s">
        <v>186</v>
      </c>
      <c r="B9" s="54"/>
      <c r="C9" s="55"/>
      <c r="D9" s="20" t="s">
        <v>19</v>
      </c>
      <c r="E9" s="20" t="s">
        <v>20</v>
      </c>
      <c r="F9" s="64" t="s">
        <v>1</v>
      </c>
      <c r="K9" s="20" t="s">
        <v>185</v>
      </c>
      <c r="L9" s="20" t="s">
        <v>189</v>
      </c>
      <c r="M9" s="20" t="s">
        <v>191</v>
      </c>
      <c r="N9" s="20" t="s">
        <v>235</v>
      </c>
    </row>
    <row r="10" spans="1:14" ht="16.5" thickBot="1">
      <c r="A10" s="65" t="s">
        <v>63</v>
      </c>
      <c r="B10" s="56" t="s">
        <v>22</v>
      </c>
      <c r="C10" s="57" t="s">
        <v>23</v>
      </c>
      <c r="D10" s="21" t="s">
        <v>2</v>
      </c>
      <c r="E10" s="21" t="s">
        <v>2</v>
      </c>
      <c r="F10" s="21" t="s">
        <v>2</v>
      </c>
      <c r="K10" s="20"/>
      <c r="L10" s="20" t="s">
        <v>185</v>
      </c>
      <c r="M10" s="20" t="s">
        <v>193</v>
      </c>
      <c r="N10" s="20" t="s">
        <v>236</v>
      </c>
    </row>
    <row r="11" spans="1:14" ht="15.75" thickBot="1">
      <c r="A11" s="66" t="s">
        <v>24</v>
      </c>
      <c r="B11" s="22">
        <v>26</v>
      </c>
      <c r="C11" s="22">
        <v>26</v>
      </c>
      <c r="D11" s="32">
        <v>0</v>
      </c>
      <c r="E11" s="32">
        <v>0</v>
      </c>
      <c r="F11" s="27">
        <f>ROUND(D11+E11,2)</f>
        <v>0</v>
      </c>
      <c r="G11" s="90"/>
      <c r="H11" s="91"/>
      <c r="I11" s="91"/>
      <c r="J11" s="91"/>
      <c r="K11" s="144">
        <v>0</v>
      </c>
      <c r="L11" s="144">
        <v>0</v>
      </c>
      <c r="M11" s="144">
        <v>0</v>
      </c>
      <c r="N11" s="144">
        <v>0</v>
      </c>
    </row>
    <row r="12" spans="1:14" ht="15.75" thickBot="1">
      <c r="A12" s="66" t="s">
        <v>25</v>
      </c>
      <c r="B12" s="22">
        <v>29</v>
      </c>
      <c r="C12" s="22">
        <v>429</v>
      </c>
      <c r="D12" s="29">
        <v>0</v>
      </c>
      <c r="E12" s="29">
        <v>0</v>
      </c>
      <c r="F12" s="27">
        <f t="shared" ref="F12:F23" si="0">ROUND(D12+E12,2)</f>
        <v>0</v>
      </c>
      <c r="G12" s="90"/>
      <c r="H12" s="91"/>
      <c r="I12" s="91"/>
      <c r="J12" s="91"/>
      <c r="K12" s="100">
        <v>0</v>
      </c>
      <c r="L12" s="100">
        <v>0</v>
      </c>
      <c r="M12" s="100">
        <v>0</v>
      </c>
      <c r="N12" s="100">
        <v>0</v>
      </c>
    </row>
    <row r="13" spans="1:14" ht="15.75" thickBot="1">
      <c r="A13" s="66" t="s">
        <v>141</v>
      </c>
      <c r="B13" s="22">
        <v>14</v>
      </c>
      <c r="C13" s="22">
        <v>14</v>
      </c>
      <c r="D13" s="29">
        <v>0</v>
      </c>
      <c r="E13" s="29">
        <v>0</v>
      </c>
      <c r="F13" s="27">
        <f t="shared" si="0"/>
        <v>0</v>
      </c>
      <c r="G13" s="90"/>
      <c r="H13" s="91"/>
      <c r="I13" s="91"/>
      <c r="J13" s="91"/>
      <c r="K13" s="100">
        <v>0</v>
      </c>
      <c r="L13" s="100">
        <v>0</v>
      </c>
      <c r="M13" s="100">
        <v>0</v>
      </c>
      <c r="N13" s="100">
        <v>0</v>
      </c>
    </row>
    <row r="14" spans="1:14" ht="15.75" thickBot="1">
      <c r="A14" s="66" t="s">
        <v>26</v>
      </c>
      <c r="B14" s="22">
        <v>14</v>
      </c>
      <c r="C14" s="22">
        <v>166</v>
      </c>
      <c r="D14" s="29">
        <v>0</v>
      </c>
      <c r="E14" s="29">
        <v>0</v>
      </c>
      <c r="F14" s="27">
        <f t="shared" si="0"/>
        <v>0</v>
      </c>
      <c r="G14" s="90"/>
      <c r="H14" s="91"/>
      <c r="I14" s="91"/>
      <c r="J14" s="91"/>
      <c r="K14" s="100">
        <v>0</v>
      </c>
      <c r="L14" s="100">
        <v>0</v>
      </c>
      <c r="M14" s="100">
        <v>0</v>
      </c>
      <c r="N14" s="100">
        <v>0</v>
      </c>
    </row>
    <row r="15" spans="1:14" ht="15.75" thickBot="1">
      <c r="A15" s="66" t="s">
        <v>144</v>
      </c>
      <c r="B15" s="39">
        <v>1</v>
      </c>
      <c r="C15" s="39">
        <v>1</v>
      </c>
      <c r="D15" s="29">
        <v>0</v>
      </c>
      <c r="E15" s="29">
        <v>0</v>
      </c>
      <c r="F15" s="27">
        <f t="shared" si="0"/>
        <v>0</v>
      </c>
      <c r="G15" s="90"/>
      <c r="H15" s="91"/>
      <c r="I15" s="91"/>
      <c r="J15" s="91"/>
      <c r="K15" s="100">
        <v>0</v>
      </c>
      <c r="L15" s="100">
        <v>0</v>
      </c>
      <c r="M15" s="100">
        <v>0</v>
      </c>
      <c r="N15" s="100">
        <v>0</v>
      </c>
    </row>
    <row r="16" spans="1:14" ht="15.75" thickBot="1">
      <c r="A16" s="66" t="s">
        <v>26</v>
      </c>
      <c r="B16" s="39">
        <v>1</v>
      </c>
      <c r="C16" s="39">
        <v>1</v>
      </c>
      <c r="D16" s="29">
        <v>0</v>
      </c>
      <c r="E16" s="29">
        <v>0</v>
      </c>
      <c r="F16" s="27">
        <f t="shared" si="0"/>
        <v>0</v>
      </c>
      <c r="G16" s="90"/>
      <c r="H16" s="91"/>
      <c r="I16" s="91"/>
      <c r="J16" s="91"/>
      <c r="K16" s="100">
        <v>0</v>
      </c>
      <c r="L16" s="100">
        <v>0</v>
      </c>
      <c r="M16" s="100">
        <v>0</v>
      </c>
      <c r="N16" s="100">
        <v>0</v>
      </c>
    </row>
    <row r="17" spans="1:14" ht="15.75" thickBot="1">
      <c r="A17" s="66" t="s">
        <v>142</v>
      </c>
      <c r="B17" s="22">
        <v>62</v>
      </c>
      <c r="C17" s="22">
        <v>62</v>
      </c>
      <c r="D17" s="29">
        <v>0</v>
      </c>
      <c r="E17" s="29">
        <v>0</v>
      </c>
      <c r="F17" s="27">
        <f t="shared" si="0"/>
        <v>0</v>
      </c>
      <c r="G17" s="90"/>
      <c r="H17" s="91"/>
      <c r="I17" s="91"/>
      <c r="J17" s="91"/>
      <c r="K17" s="100">
        <v>0</v>
      </c>
      <c r="L17" s="100">
        <v>0</v>
      </c>
      <c r="M17" s="100">
        <v>0</v>
      </c>
      <c r="N17" s="100">
        <v>0</v>
      </c>
    </row>
    <row r="18" spans="1:14" ht="15.75" thickBot="1">
      <c r="A18" s="66" t="s">
        <v>26</v>
      </c>
      <c r="B18" s="22">
        <v>62</v>
      </c>
      <c r="C18" s="22">
        <v>124</v>
      </c>
      <c r="D18" s="29">
        <v>0</v>
      </c>
      <c r="E18" s="29">
        <v>0</v>
      </c>
      <c r="F18" s="27">
        <f t="shared" si="0"/>
        <v>0</v>
      </c>
      <c r="G18" s="90"/>
      <c r="H18" s="91"/>
      <c r="I18" s="91"/>
      <c r="J18" s="91"/>
      <c r="K18" s="100">
        <v>0</v>
      </c>
      <c r="L18" s="100">
        <v>0</v>
      </c>
      <c r="M18" s="100">
        <v>0</v>
      </c>
      <c r="N18" s="100">
        <v>0</v>
      </c>
    </row>
    <row r="19" spans="1:14" ht="15.75" thickBot="1">
      <c r="A19" s="66" t="s">
        <v>143</v>
      </c>
      <c r="B19" s="22">
        <v>248</v>
      </c>
      <c r="C19" s="22">
        <v>248</v>
      </c>
      <c r="D19" s="29">
        <v>0</v>
      </c>
      <c r="E19" s="29">
        <v>0</v>
      </c>
      <c r="F19" s="27">
        <f t="shared" si="0"/>
        <v>0</v>
      </c>
      <c r="G19" s="90"/>
      <c r="H19" s="91"/>
      <c r="I19" s="91"/>
      <c r="J19" s="91"/>
      <c r="K19" s="100">
        <v>0</v>
      </c>
      <c r="L19" s="100">
        <v>0</v>
      </c>
      <c r="M19" s="100">
        <v>0</v>
      </c>
      <c r="N19" s="100">
        <v>0</v>
      </c>
    </row>
    <row r="20" spans="1:14">
      <c r="A20" s="66" t="s">
        <v>26</v>
      </c>
      <c r="B20" s="22">
        <v>248</v>
      </c>
      <c r="C20" s="22">
        <v>261</v>
      </c>
      <c r="D20" s="29">
        <v>0</v>
      </c>
      <c r="E20" s="29">
        <v>0</v>
      </c>
      <c r="F20" s="27">
        <f t="shared" si="0"/>
        <v>0</v>
      </c>
      <c r="G20" s="90"/>
      <c r="H20" s="91"/>
      <c r="I20" s="91"/>
      <c r="J20" s="91"/>
      <c r="K20" s="100">
        <v>0</v>
      </c>
      <c r="L20" s="100">
        <v>0</v>
      </c>
      <c r="M20" s="100">
        <v>0</v>
      </c>
      <c r="N20" s="100">
        <v>0</v>
      </c>
    </row>
    <row r="21" spans="1:14" ht="16.5" thickBot="1">
      <c r="A21" s="141"/>
      <c r="B21" s="39"/>
      <c r="C21" s="57" t="s">
        <v>212</v>
      </c>
      <c r="D21" s="39"/>
      <c r="E21" s="39"/>
      <c r="F21" s="37" t="s">
        <v>211</v>
      </c>
      <c r="G21" s="90"/>
      <c r="H21" s="91"/>
      <c r="I21" s="91"/>
      <c r="J21" s="91"/>
      <c r="K21" s="94"/>
      <c r="L21" s="94"/>
      <c r="M21" s="94"/>
      <c r="N21" s="94"/>
    </row>
    <row r="22" spans="1:14" ht="15.75" thickBot="1">
      <c r="A22" s="66" t="s">
        <v>156</v>
      </c>
      <c r="B22" s="24">
        <v>0</v>
      </c>
      <c r="C22" s="22">
        <v>163</v>
      </c>
      <c r="D22" s="29">
        <v>0</v>
      </c>
      <c r="E22" s="29">
        <v>0</v>
      </c>
      <c r="F22" s="27">
        <f t="shared" si="0"/>
        <v>0</v>
      </c>
      <c r="G22" s="90"/>
      <c r="H22" s="91"/>
      <c r="I22" s="91"/>
      <c r="J22" s="91"/>
      <c r="K22" s="94"/>
      <c r="L22" s="94"/>
      <c r="M22" s="94"/>
      <c r="N22" s="94"/>
    </row>
    <row r="23" spans="1:14">
      <c r="A23" s="66" t="s">
        <v>155</v>
      </c>
      <c r="B23" s="24">
        <v>0</v>
      </c>
      <c r="C23" s="24">
        <v>190</v>
      </c>
      <c r="D23" s="29">
        <v>0</v>
      </c>
      <c r="E23" s="29">
        <v>0</v>
      </c>
      <c r="F23" s="27">
        <f t="shared" si="0"/>
        <v>0</v>
      </c>
      <c r="G23" s="90"/>
      <c r="H23" s="91"/>
      <c r="I23" s="91"/>
      <c r="J23" s="91"/>
      <c r="K23" s="94"/>
      <c r="L23" s="94"/>
      <c r="M23" s="94"/>
      <c r="N23" s="94"/>
    </row>
    <row r="24" spans="1:14" ht="16.5" thickBot="1">
      <c r="A24" s="58" t="s">
        <v>27</v>
      </c>
      <c r="B24" s="23"/>
      <c r="C24" s="23"/>
      <c r="D24" s="28"/>
      <c r="E24" s="28"/>
      <c r="F24" s="28"/>
      <c r="G24" s="90"/>
      <c r="H24" s="91"/>
      <c r="I24" s="91"/>
      <c r="J24" s="91"/>
      <c r="K24" s="94"/>
      <c r="L24" s="94"/>
      <c r="M24" s="94"/>
      <c r="N24" s="94"/>
    </row>
    <row r="25" spans="1:14" ht="15.75" thickBot="1">
      <c r="A25" s="66" t="s">
        <v>28</v>
      </c>
      <c r="B25" s="24">
        <v>6</v>
      </c>
      <c r="C25" s="24">
        <v>6</v>
      </c>
      <c r="D25" s="29">
        <v>0</v>
      </c>
      <c r="E25" s="29">
        <v>0</v>
      </c>
      <c r="F25" s="27">
        <f t="shared" ref="F25:F31" si="1">ROUND(D25+E25,2)</f>
        <v>0</v>
      </c>
      <c r="G25" s="90"/>
      <c r="H25" s="91"/>
      <c r="I25" s="91"/>
      <c r="J25" s="91"/>
      <c r="K25" s="100">
        <v>0</v>
      </c>
      <c r="L25" s="100">
        <v>0</v>
      </c>
      <c r="M25" s="100">
        <v>0</v>
      </c>
      <c r="N25" s="100">
        <v>0</v>
      </c>
    </row>
    <row r="26" spans="1:14" ht="15.75" thickBot="1">
      <c r="A26" s="66" t="s">
        <v>29</v>
      </c>
      <c r="B26" s="24">
        <v>46</v>
      </c>
      <c r="C26" s="24">
        <v>46</v>
      </c>
      <c r="D26" s="29">
        <v>0</v>
      </c>
      <c r="E26" s="29">
        <v>0</v>
      </c>
      <c r="F26" s="27">
        <f t="shared" si="1"/>
        <v>0</v>
      </c>
      <c r="G26" s="90"/>
      <c r="H26" s="91"/>
      <c r="I26" s="91"/>
      <c r="J26" s="91"/>
      <c r="K26" s="100">
        <v>0</v>
      </c>
      <c r="L26" s="100">
        <v>0</v>
      </c>
      <c r="M26" s="100">
        <v>0</v>
      </c>
      <c r="N26" s="100">
        <v>0</v>
      </c>
    </row>
    <row r="27" spans="1:14" ht="15.75" thickBot="1">
      <c r="A27" s="66" t="s">
        <v>30</v>
      </c>
      <c r="B27" s="24">
        <v>1</v>
      </c>
      <c r="C27" s="24">
        <v>2</v>
      </c>
      <c r="D27" s="29">
        <v>0</v>
      </c>
      <c r="E27" s="29">
        <v>0</v>
      </c>
      <c r="F27" s="27">
        <f t="shared" si="1"/>
        <v>0</v>
      </c>
      <c r="G27" s="90"/>
      <c r="H27" s="91"/>
      <c r="I27" s="91"/>
      <c r="J27" s="91"/>
      <c r="K27" s="100">
        <v>0</v>
      </c>
      <c r="L27" s="100">
        <v>0</v>
      </c>
      <c r="M27" s="100">
        <v>0</v>
      </c>
      <c r="N27" s="100">
        <v>0</v>
      </c>
    </row>
    <row r="28" spans="1:14" ht="15.75" thickBot="1">
      <c r="A28" s="66" t="s">
        <v>31</v>
      </c>
      <c r="B28" s="24">
        <v>1</v>
      </c>
      <c r="C28" s="24">
        <v>1</v>
      </c>
      <c r="D28" s="29">
        <v>0</v>
      </c>
      <c r="E28" s="29">
        <v>0</v>
      </c>
      <c r="F28" s="27">
        <f t="shared" si="1"/>
        <v>0</v>
      </c>
      <c r="G28" s="90"/>
      <c r="H28" s="91"/>
      <c r="I28" s="91"/>
      <c r="J28" s="91"/>
      <c r="K28" s="100">
        <v>0</v>
      </c>
      <c r="L28" s="100">
        <v>0</v>
      </c>
      <c r="M28" s="100">
        <v>0</v>
      </c>
      <c r="N28" s="100">
        <v>0</v>
      </c>
    </row>
    <row r="29" spans="1:14" ht="15.75" thickBot="1">
      <c r="A29" s="66" t="s">
        <v>32</v>
      </c>
      <c r="B29" s="24">
        <v>1</v>
      </c>
      <c r="C29" s="24">
        <v>1</v>
      </c>
      <c r="D29" s="29">
        <v>0</v>
      </c>
      <c r="E29" s="29">
        <v>0</v>
      </c>
      <c r="F29" s="27">
        <f t="shared" si="1"/>
        <v>0</v>
      </c>
      <c r="G29" s="90"/>
      <c r="H29" s="91"/>
      <c r="I29" s="91"/>
      <c r="J29" s="91"/>
      <c r="K29" s="100">
        <v>0</v>
      </c>
      <c r="L29" s="100">
        <v>0</v>
      </c>
      <c r="M29" s="100">
        <v>0</v>
      </c>
      <c r="N29" s="100">
        <v>0</v>
      </c>
    </row>
    <row r="30" spans="1:14" ht="15.75" thickBot="1">
      <c r="A30" s="66" t="s">
        <v>33</v>
      </c>
      <c r="B30" s="24">
        <v>1</v>
      </c>
      <c r="C30" s="24">
        <v>1</v>
      </c>
      <c r="D30" s="29">
        <v>0</v>
      </c>
      <c r="E30" s="29">
        <v>0</v>
      </c>
      <c r="F30" s="27">
        <f t="shared" si="1"/>
        <v>0</v>
      </c>
      <c r="G30" s="90"/>
      <c r="H30" s="91"/>
      <c r="I30" s="91"/>
      <c r="J30" s="91"/>
      <c r="K30" s="100">
        <v>0</v>
      </c>
      <c r="L30" s="100">
        <v>0</v>
      </c>
      <c r="M30" s="100">
        <v>0</v>
      </c>
      <c r="N30" s="100">
        <v>0</v>
      </c>
    </row>
    <row r="31" spans="1:14">
      <c r="A31" s="66" t="s">
        <v>34</v>
      </c>
      <c r="B31" s="24">
        <v>1</v>
      </c>
      <c r="C31" s="24">
        <v>1</v>
      </c>
      <c r="D31" s="29">
        <v>0</v>
      </c>
      <c r="E31" s="29">
        <v>0</v>
      </c>
      <c r="F31" s="27">
        <f t="shared" si="1"/>
        <v>0</v>
      </c>
      <c r="G31" s="90"/>
      <c r="H31" s="91"/>
      <c r="I31" s="91"/>
      <c r="J31" s="91"/>
      <c r="K31" s="100">
        <v>0</v>
      </c>
      <c r="L31" s="100">
        <v>0</v>
      </c>
      <c r="M31" s="100">
        <v>0</v>
      </c>
      <c r="N31" s="100">
        <v>0</v>
      </c>
    </row>
    <row r="32" spans="1:14" ht="16.5" thickBot="1">
      <c r="A32" s="58" t="s">
        <v>35</v>
      </c>
      <c r="B32" s="23"/>
      <c r="C32" s="23"/>
      <c r="D32" s="28"/>
      <c r="E32" s="28"/>
      <c r="F32" s="28"/>
      <c r="G32" s="90"/>
      <c r="H32" s="91"/>
      <c r="I32" s="91"/>
      <c r="J32" s="91"/>
      <c r="K32" s="94"/>
      <c r="L32" s="94"/>
      <c r="M32" s="94"/>
      <c r="N32" s="94"/>
    </row>
    <row r="33" spans="1:14" ht="15.75" thickBot="1">
      <c r="A33" s="66" t="s">
        <v>36</v>
      </c>
      <c r="B33" s="24">
        <v>5</v>
      </c>
      <c r="C33" s="24">
        <v>5</v>
      </c>
      <c r="D33" s="29">
        <v>0</v>
      </c>
      <c r="E33" s="29">
        <v>0</v>
      </c>
      <c r="F33" s="27">
        <f t="shared" ref="F33:F39" si="2">ROUND(D33+E33,2)</f>
        <v>0</v>
      </c>
      <c r="G33" s="90"/>
      <c r="H33" s="91"/>
      <c r="I33" s="91"/>
      <c r="J33" s="91"/>
      <c r="K33" s="100">
        <v>0</v>
      </c>
      <c r="L33" s="100">
        <v>0</v>
      </c>
      <c r="M33" s="100">
        <v>0</v>
      </c>
      <c r="N33" s="100">
        <v>0</v>
      </c>
    </row>
    <row r="34" spans="1:14" ht="15.75" thickBot="1">
      <c r="A34" s="66" t="s">
        <v>29</v>
      </c>
      <c r="B34" s="24">
        <v>82</v>
      </c>
      <c r="C34" s="24">
        <v>85</v>
      </c>
      <c r="D34" s="29">
        <v>0</v>
      </c>
      <c r="E34" s="29">
        <v>0</v>
      </c>
      <c r="F34" s="27">
        <f t="shared" si="2"/>
        <v>0</v>
      </c>
      <c r="G34" s="90"/>
      <c r="H34" s="91"/>
      <c r="I34" s="91"/>
      <c r="J34" s="91"/>
      <c r="K34" s="100">
        <v>0</v>
      </c>
      <c r="L34" s="100">
        <v>0</v>
      </c>
      <c r="M34" s="100">
        <v>0</v>
      </c>
      <c r="N34" s="100">
        <v>0</v>
      </c>
    </row>
    <row r="35" spans="1:14" ht="15.75" thickBot="1">
      <c r="A35" s="66" t="s">
        <v>30</v>
      </c>
      <c r="B35" s="24">
        <v>7</v>
      </c>
      <c r="C35" s="24">
        <v>8</v>
      </c>
      <c r="D35" s="29">
        <v>0</v>
      </c>
      <c r="E35" s="29">
        <v>0</v>
      </c>
      <c r="F35" s="27">
        <f t="shared" si="2"/>
        <v>0</v>
      </c>
      <c r="G35" s="90"/>
      <c r="H35" s="91"/>
      <c r="I35" s="91"/>
      <c r="J35" s="91"/>
      <c r="K35" s="100">
        <v>0</v>
      </c>
      <c r="L35" s="100">
        <v>0</v>
      </c>
      <c r="M35" s="100">
        <v>0</v>
      </c>
      <c r="N35" s="100">
        <v>0</v>
      </c>
    </row>
    <row r="36" spans="1:14" ht="15.75" thickBot="1">
      <c r="A36" s="66" t="s">
        <v>31</v>
      </c>
      <c r="B36" s="24">
        <v>1</v>
      </c>
      <c r="C36" s="24">
        <v>1</v>
      </c>
      <c r="D36" s="29">
        <v>0</v>
      </c>
      <c r="E36" s="29">
        <v>0</v>
      </c>
      <c r="F36" s="27">
        <f t="shared" si="2"/>
        <v>0</v>
      </c>
      <c r="G36" s="90"/>
      <c r="H36" s="91"/>
      <c r="I36" s="91"/>
      <c r="J36" s="91"/>
      <c r="K36" s="100">
        <v>0</v>
      </c>
      <c r="L36" s="100">
        <v>0</v>
      </c>
      <c r="M36" s="100">
        <v>0</v>
      </c>
      <c r="N36" s="100">
        <v>0</v>
      </c>
    </row>
    <row r="37" spans="1:14" ht="15.75" thickBot="1">
      <c r="A37" s="66" t="s">
        <v>32</v>
      </c>
      <c r="B37" s="24">
        <v>1</v>
      </c>
      <c r="C37" s="24">
        <v>1</v>
      </c>
      <c r="D37" s="29">
        <v>0</v>
      </c>
      <c r="E37" s="29">
        <v>0</v>
      </c>
      <c r="F37" s="27">
        <f t="shared" si="2"/>
        <v>0</v>
      </c>
      <c r="G37" s="90"/>
      <c r="H37" s="91"/>
      <c r="I37" s="91"/>
      <c r="J37" s="91"/>
      <c r="K37" s="100">
        <v>0</v>
      </c>
      <c r="L37" s="100">
        <v>0</v>
      </c>
      <c r="M37" s="100">
        <v>0</v>
      </c>
      <c r="N37" s="100">
        <v>0</v>
      </c>
    </row>
    <row r="38" spans="1:14" ht="15.75" thickBot="1">
      <c r="A38" s="66" t="s">
        <v>33</v>
      </c>
      <c r="B38" s="24">
        <v>1</v>
      </c>
      <c r="C38" s="24">
        <v>1</v>
      </c>
      <c r="D38" s="29">
        <v>0</v>
      </c>
      <c r="E38" s="29">
        <v>0</v>
      </c>
      <c r="F38" s="27">
        <f t="shared" si="2"/>
        <v>0</v>
      </c>
      <c r="G38" s="90"/>
      <c r="H38" s="91"/>
      <c r="I38" s="91"/>
      <c r="J38" s="91"/>
      <c r="K38" s="100">
        <v>0</v>
      </c>
      <c r="L38" s="100">
        <v>0</v>
      </c>
      <c r="M38" s="100">
        <v>0</v>
      </c>
      <c r="N38" s="100">
        <v>0</v>
      </c>
    </row>
    <row r="39" spans="1:14">
      <c r="A39" s="66" t="s">
        <v>34</v>
      </c>
      <c r="B39" s="24">
        <v>1</v>
      </c>
      <c r="C39" s="24">
        <v>1</v>
      </c>
      <c r="D39" s="29">
        <v>0</v>
      </c>
      <c r="E39" s="29">
        <v>0</v>
      </c>
      <c r="F39" s="27">
        <f t="shared" si="2"/>
        <v>0</v>
      </c>
      <c r="G39" s="90"/>
      <c r="H39" s="91"/>
      <c r="I39" s="91"/>
      <c r="J39" s="91"/>
      <c r="K39" s="100">
        <v>0</v>
      </c>
      <c r="L39" s="100">
        <v>0</v>
      </c>
      <c r="M39" s="100">
        <v>0</v>
      </c>
      <c r="N39" s="100">
        <v>0</v>
      </c>
    </row>
    <row r="40" spans="1:14" ht="16.5" thickBot="1">
      <c r="A40" s="58" t="s">
        <v>37</v>
      </c>
      <c r="B40" s="23"/>
      <c r="C40" s="23"/>
      <c r="D40" s="28"/>
      <c r="E40" s="28"/>
      <c r="F40" s="28"/>
      <c r="G40" s="90"/>
      <c r="H40" s="91"/>
      <c r="I40" s="91"/>
      <c r="J40" s="91"/>
      <c r="K40" s="94"/>
      <c r="L40" s="94"/>
      <c r="M40" s="94"/>
      <c r="N40" s="94"/>
    </row>
    <row r="41" spans="1:14" ht="15.75" thickBot="1">
      <c r="A41" s="66" t="s">
        <v>38</v>
      </c>
      <c r="B41" s="24">
        <v>7</v>
      </c>
      <c r="C41" s="24">
        <v>7</v>
      </c>
      <c r="D41" s="29">
        <v>0</v>
      </c>
      <c r="E41" s="29">
        <v>0</v>
      </c>
      <c r="F41" s="27">
        <f t="shared" ref="F41:F47" si="3">ROUND(D41+E41,2)</f>
        <v>0</v>
      </c>
      <c r="G41" s="90"/>
      <c r="H41" s="91"/>
      <c r="I41" s="91"/>
      <c r="J41" s="91"/>
      <c r="K41" s="100">
        <v>0</v>
      </c>
      <c r="L41" s="100">
        <v>0</v>
      </c>
      <c r="M41" s="100">
        <v>0</v>
      </c>
      <c r="N41" s="100">
        <v>0</v>
      </c>
    </row>
    <row r="42" spans="1:14" ht="15.75" thickBot="1">
      <c r="A42" s="66" t="s">
        <v>29</v>
      </c>
      <c r="B42" s="24">
        <v>177</v>
      </c>
      <c r="C42" s="24">
        <v>198</v>
      </c>
      <c r="D42" s="29">
        <v>0</v>
      </c>
      <c r="E42" s="29">
        <v>0</v>
      </c>
      <c r="F42" s="27">
        <f t="shared" si="3"/>
        <v>0</v>
      </c>
      <c r="G42" s="90"/>
      <c r="H42" s="91"/>
      <c r="I42" s="91"/>
      <c r="J42" s="91"/>
      <c r="K42" s="100">
        <v>0</v>
      </c>
      <c r="L42" s="100">
        <v>0</v>
      </c>
      <c r="M42" s="100">
        <v>0</v>
      </c>
      <c r="N42" s="100">
        <v>0</v>
      </c>
    </row>
    <row r="43" spans="1:14" ht="15.75" thickBot="1">
      <c r="A43" s="66" t="s">
        <v>30</v>
      </c>
      <c r="B43" s="24">
        <v>45</v>
      </c>
      <c r="C43" s="24">
        <v>54</v>
      </c>
      <c r="D43" s="29">
        <v>0</v>
      </c>
      <c r="E43" s="29">
        <v>0</v>
      </c>
      <c r="F43" s="27">
        <f t="shared" si="3"/>
        <v>0</v>
      </c>
      <c r="G43" s="90"/>
      <c r="H43" s="91"/>
      <c r="I43" s="91"/>
      <c r="J43" s="91"/>
      <c r="K43" s="100">
        <v>0</v>
      </c>
      <c r="L43" s="100">
        <v>0</v>
      </c>
      <c r="M43" s="100">
        <v>0</v>
      </c>
      <c r="N43" s="100">
        <v>0</v>
      </c>
    </row>
    <row r="44" spans="1:14" ht="15.75" thickBot="1">
      <c r="A44" s="66" t="s">
        <v>31</v>
      </c>
      <c r="B44" s="24">
        <v>16</v>
      </c>
      <c r="C44" s="24">
        <v>23</v>
      </c>
      <c r="D44" s="29">
        <v>0</v>
      </c>
      <c r="E44" s="29">
        <v>0</v>
      </c>
      <c r="F44" s="27">
        <f t="shared" si="3"/>
        <v>0</v>
      </c>
      <c r="G44" s="90"/>
      <c r="H44" s="91"/>
      <c r="I44" s="91"/>
      <c r="J44" s="91"/>
      <c r="K44" s="100">
        <v>0</v>
      </c>
      <c r="L44" s="100">
        <v>0</v>
      </c>
      <c r="M44" s="100">
        <v>0</v>
      </c>
      <c r="N44" s="100">
        <v>0</v>
      </c>
    </row>
    <row r="45" spans="1:14" ht="15.75" thickBot="1">
      <c r="A45" s="66" t="s">
        <v>32</v>
      </c>
      <c r="B45" s="24">
        <v>2</v>
      </c>
      <c r="C45" s="24">
        <v>2</v>
      </c>
      <c r="D45" s="29">
        <v>0</v>
      </c>
      <c r="E45" s="29">
        <v>0</v>
      </c>
      <c r="F45" s="27">
        <f t="shared" si="3"/>
        <v>0</v>
      </c>
      <c r="G45" s="90"/>
      <c r="H45" s="91"/>
      <c r="I45" s="91"/>
      <c r="J45" s="91"/>
      <c r="K45" s="100">
        <v>0</v>
      </c>
      <c r="L45" s="100">
        <v>0</v>
      </c>
      <c r="M45" s="100">
        <v>0</v>
      </c>
      <c r="N45" s="100">
        <v>0</v>
      </c>
    </row>
    <row r="46" spans="1:14" ht="15.75" thickBot="1">
      <c r="A46" s="66" t="s">
        <v>33</v>
      </c>
      <c r="B46" s="24">
        <v>1</v>
      </c>
      <c r="C46" s="24">
        <v>1</v>
      </c>
      <c r="D46" s="29">
        <v>0</v>
      </c>
      <c r="E46" s="29">
        <v>0</v>
      </c>
      <c r="F46" s="27">
        <f t="shared" si="3"/>
        <v>0</v>
      </c>
      <c r="G46" s="90"/>
      <c r="H46" s="91"/>
      <c r="I46" s="91"/>
      <c r="J46" s="91"/>
      <c r="K46" s="100">
        <v>0</v>
      </c>
      <c r="L46" s="100">
        <v>0</v>
      </c>
      <c r="M46" s="100">
        <v>0</v>
      </c>
      <c r="N46" s="100">
        <v>0</v>
      </c>
    </row>
    <row r="47" spans="1:14">
      <c r="A47" s="66" t="s">
        <v>34</v>
      </c>
      <c r="B47" s="24">
        <v>1</v>
      </c>
      <c r="C47" s="24">
        <v>1</v>
      </c>
      <c r="D47" s="29">
        <v>0</v>
      </c>
      <c r="E47" s="29">
        <v>0</v>
      </c>
      <c r="F47" s="27">
        <f t="shared" si="3"/>
        <v>0</v>
      </c>
      <c r="G47" s="90"/>
      <c r="H47" s="91"/>
      <c r="I47" s="91"/>
      <c r="J47" s="91"/>
      <c r="K47" s="100">
        <v>0</v>
      </c>
      <c r="L47" s="100">
        <v>0</v>
      </c>
      <c r="M47" s="100">
        <v>0</v>
      </c>
      <c r="N47" s="100">
        <v>0</v>
      </c>
    </row>
    <row r="48" spans="1:14" ht="16.5" thickBot="1">
      <c r="A48" s="58" t="s">
        <v>39</v>
      </c>
      <c r="B48" s="23"/>
      <c r="C48" s="23"/>
      <c r="D48" s="28"/>
      <c r="E48" s="28"/>
      <c r="F48" s="28"/>
      <c r="G48" s="90"/>
      <c r="H48" s="91"/>
      <c r="I48" s="91"/>
      <c r="J48" s="91"/>
      <c r="K48" s="94"/>
      <c r="L48" s="94"/>
      <c r="M48" s="94"/>
      <c r="N48" s="94"/>
    </row>
    <row r="49" spans="1:14" ht="15.75" thickBot="1">
      <c r="A49" s="66" t="s">
        <v>40</v>
      </c>
      <c r="B49" s="24">
        <v>3</v>
      </c>
      <c r="C49" s="24">
        <v>3</v>
      </c>
      <c r="D49" s="29">
        <v>0</v>
      </c>
      <c r="E49" s="29">
        <v>0</v>
      </c>
      <c r="F49" s="27">
        <f t="shared" ref="F49:F55" si="4">ROUND(D49+E49,2)</f>
        <v>0</v>
      </c>
      <c r="G49" s="90"/>
      <c r="H49" s="91"/>
      <c r="I49" s="91"/>
      <c r="J49" s="91"/>
      <c r="K49" s="100">
        <v>0</v>
      </c>
      <c r="L49" s="100">
        <v>0</v>
      </c>
      <c r="M49" s="100">
        <v>0</v>
      </c>
      <c r="N49" s="100">
        <v>0</v>
      </c>
    </row>
    <row r="50" spans="1:14" ht="15.75" thickBot="1">
      <c r="A50" s="66" t="s">
        <v>29</v>
      </c>
      <c r="B50" s="24">
        <v>166</v>
      </c>
      <c r="C50" s="24">
        <v>218</v>
      </c>
      <c r="D50" s="29">
        <v>0</v>
      </c>
      <c r="E50" s="29">
        <v>0</v>
      </c>
      <c r="F50" s="27">
        <f t="shared" si="4"/>
        <v>0</v>
      </c>
      <c r="G50" s="90"/>
      <c r="H50" s="91"/>
      <c r="I50" s="91"/>
      <c r="J50" s="91"/>
      <c r="K50" s="100">
        <v>0</v>
      </c>
      <c r="L50" s="100">
        <v>0</v>
      </c>
      <c r="M50" s="100">
        <v>0</v>
      </c>
      <c r="N50" s="100">
        <v>0</v>
      </c>
    </row>
    <row r="51" spans="1:14" ht="15.75" thickBot="1">
      <c r="A51" s="66" t="s">
        <v>30</v>
      </c>
      <c r="B51" s="24">
        <v>55</v>
      </c>
      <c r="C51" s="24">
        <v>77</v>
      </c>
      <c r="D51" s="29">
        <v>0</v>
      </c>
      <c r="E51" s="29">
        <v>0</v>
      </c>
      <c r="F51" s="27">
        <f t="shared" si="4"/>
        <v>0</v>
      </c>
      <c r="G51" s="90"/>
      <c r="H51" s="91"/>
      <c r="I51" s="91"/>
      <c r="J51" s="91"/>
      <c r="K51" s="100">
        <v>0</v>
      </c>
      <c r="L51" s="100">
        <v>0</v>
      </c>
      <c r="M51" s="100">
        <v>0</v>
      </c>
      <c r="N51" s="100">
        <v>0</v>
      </c>
    </row>
    <row r="52" spans="1:14" ht="15.75" thickBot="1">
      <c r="A52" s="66" t="s">
        <v>31</v>
      </c>
      <c r="B52" s="24">
        <v>11</v>
      </c>
      <c r="C52" s="24">
        <v>13</v>
      </c>
      <c r="D52" s="29">
        <v>0</v>
      </c>
      <c r="E52" s="29">
        <v>0</v>
      </c>
      <c r="F52" s="27">
        <f t="shared" si="4"/>
        <v>0</v>
      </c>
      <c r="G52" s="90"/>
      <c r="H52" s="91"/>
      <c r="I52" s="91"/>
      <c r="J52" s="91"/>
      <c r="K52" s="100">
        <v>0</v>
      </c>
      <c r="L52" s="100">
        <v>0</v>
      </c>
      <c r="M52" s="100">
        <v>0</v>
      </c>
      <c r="N52" s="100">
        <v>0</v>
      </c>
    </row>
    <row r="53" spans="1:14" ht="15.75" thickBot="1">
      <c r="A53" s="66" t="s">
        <v>32</v>
      </c>
      <c r="B53" s="24">
        <v>2</v>
      </c>
      <c r="C53" s="24">
        <v>2</v>
      </c>
      <c r="D53" s="29">
        <v>0</v>
      </c>
      <c r="E53" s="29">
        <v>0</v>
      </c>
      <c r="F53" s="27">
        <f t="shared" si="4"/>
        <v>0</v>
      </c>
      <c r="G53" s="90"/>
      <c r="H53" s="91"/>
      <c r="I53" s="91"/>
      <c r="J53" s="91"/>
      <c r="K53" s="100">
        <v>0</v>
      </c>
      <c r="L53" s="100">
        <v>0</v>
      </c>
      <c r="M53" s="100">
        <v>0</v>
      </c>
      <c r="N53" s="100">
        <v>0</v>
      </c>
    </row>
    <row r="54" spans="1:14" ht="15.75" thickBot="1">
      <c r="A54" s="66" t="s">
        <v>33</v>
      </c>
      <c r="B54" s="24">
        <v>2</v>
      </c>
      <c r="C54" s="24">
        <v>3</v>
      </c>
      <c r="D54" s="29">
        <v>0</v>
      </c>
      <c r="E54" s="29">
        <v>0</v>
      </c>
      <c r="F54" s="27">
        <f t="shared" si="4"/>
        <v>0</v>
      </c>
      <c r="G54" s="90"/>
      <c r="H54" s="91"/>
      <c r="I54" s="91"/>
      <c r="J54" s="91"/>
      <c r="K54" s="100">
        <v>0</v>
      </c>
      <c r="L54" s="100">
        <v>0</v>
      </c>
      <c r="M54" s="100">
        <v>0</v>
      </c>
      <c r="N54" s="100">
        <v>0</v>
      </c>
    </row>
    <row r="55" spans="1:14">
      <c r="A55" s="66" t="s">
        <v>34</v>
      </c>
      <c r="B55" s="24">
        <v>1</v>
      </c>
      <c r="C55" s="24">
        <v>1</v>
      </c>
      <c r="D55" s="29">
        <v>0</v>
      </c>
      <c r="E55" s="29">
        <v>0</v>
      </c>
      <c r="F55" s="27">
        <f t="shared" si="4"/>
        <v>0</v>
      </c>
      <c r="G55" s="90"/>
      <c r="H55" s="91"/>
      <c r="I55" s="91"/>
      <c r="J55" s="91"/>
      <c r="K55" s="100">
        <v>0</v>
      </c>
      <c r="L55" s="100">
        <v>0</v>
      </c>
      <c r="M55" s="100">
        <v>0</v>
      </c>
      <c r="N55" s="100">
        <v>0</v>
      </c>
    </row>
    <row r="56" spans="1:14" ht="16.5" thickBot="1">
      <c r="A56" s="58" t="s">
        <v>41</v>
      </c>
      <c r="B56" s="23"/>
      <c r="C56" s="23"/>
      <c r="D56" s="28"/>
      <c r="E56" s="28"/>
      <c r="F56" s="28"/>
      <c r="G56" s="90"/>
      <c r="H56" s="91"/>
      <c r="I56" s="91"/>
      <c r="J56" s="91"/>
      <c r="K56" s="94"/>
      <c r="L56" s="94"/>
      <c r="M56" s="94"/>
      <c r="N56" s="94"/>
    </row>
    <row r="57" spans="1:14" ht="15.75" thickBot="1">
      <c r="A57" s="66" t="s">
        <v>42</v>
      </c>
      <c r="B57" s="24">
        <v>10</v>
      </c>
      <c r="C57" s="24">
        <v>10</v>
      </c>
      <c r="D57" s="29">
        <v>0</v>
      </c>
      <c r="E57" s="29">
        <v>0</v>
      </c>
      <c r="F57" s="27">
        <f t="shared" ref="F57:F63" si="5">ROUND(D57+E57,2)</f>
        <v>0</v>
      </c>
      <c r="G57" s="90"/>
      <c r="H57" s="91"/>
      <c r="I57" s="91"/>
      <c r="J57" s="91"/>
      <c r="K57" s="100">
        <v>0</v>
      </c>
      <c r="L57" s="100">
        <v>0</v>
      </c>
      <c r="M57" s="100">
        <v>0</v>
      </c>
      <c r="N57" s="100">
        <v>0</v>
      </c>
    </row>
    <row r="58" spans="1:14" ht="15.75" thickBot="1">
      <c r="A58" s="66" t="s">
        <v>29</v>
      </c>
      <c r="B58" s="24">
        <v>214</v>
      </c>
      <c r="C58" s="24">
        <v>291</v>
      </c>
      <c r="D58" s="29">
        <v>0</v>
      </c>
      <c r="E58" s="29">
        <v>0</v>
      </c>
      <c r="F58" s="27">
        <f t="shared" si="5"/>
        <v>0</v>
      </c>
      <c r="G58" s="90"/>
      <c r="H58" s="91"/>
      <c r="I58" s="91"/>
      <c r="J58" s="91"/>
      <c r="K58" s="100">
        <v>0</v>
      </c>
      <c r="L58" s="100">
        <v>0</v>
      </c>
      <c r="M58" s="100">
        <v>0</v>
      </c>
      <c r="N58" s="100">
        <v>0</v>
      </c>
    </row>
    <row r="59" spans="1:14" ht="15.75" thickBot="1">
      <c r="A59" s="66" t="s">
        <v>30</v>
      </c>
      <c r="B59" s="24">
        <v>113</v>
      </c>
      <c r="C59" s="24">
        <v>140</v>
      </c>
      <c r="D59" s="29">
        <v>0</v>
      </c>
      <c r="E59" s="29">
        <v>0</v>
      </c>
      <c r="F59" s="27">
        <f t="shared" si="5"/>
        <v>0</v>
      </c>
      <c r="G59" s="90"/>
      <c r="H59" s="91"/>
      <c r="I59" s="91"/>
      <c r="J59" s="91"/>
      <c r="K59" s="100">
        <v>0</v>
      </c>
      <c r="L59" s="100">
        <v>0</v>
      </c>
      <c r="M59" s="100">
        <v>0</v>
      </c>
      <c r="N59" s="100">
        <v>0</v>
      </c>
    </row>
    <row r="60" spans="1:14" ht="15.75" thickBot="1">
      <c r="A60" s="66" t="s">
        <v>31</v>
      </c>
      <c r="B60" s="24">
        <v>40</v>
      </c>
      <c r="C60" s="24">
        <v>49</v>
      </c>
      <c r="D60" s="29">
        <v>0</v>
      </c>
      <c r="E60" s="29">
        <v>0</v>
      </c>
      <c r="F60" s="27">
        <f t="shared" si="5"/>
        <v>0</v>
      </c>
      <c r="G60" s="90"/>
      <c r="H60" s="91"/>
      <c r="I60" s="91"/>
      <c r="J60" s="91"/>
      <c r="K60" s="100">
        <v>0</v>
      </c>
      <c r="L60" s="100">
        <v>0</v>
      </c>
      <c r="M60" s="100">
        <v>0</v>
      </c>
      <c r="N60" s="100">
        <v>0</v>
      </c>
    </row>
    <row r="61" spans="1:14" ht="15.75" thickBot="1">
      <c r="A61" s="66" t="s">
        <v>32</v>
      </c>
      <c r="B61" s="24">
        <v>8</v>
      </c>
      <c r="C61" s="24">
        <v>8</v>
      </c>
      <c r="D61" s="29">
        <v>0</v>
      </c>
      <c r="E61" s="29">
        <v>0</v>
      </c>
      <c r="F61" s="27">
        <f t="shared" si="5"/>
        <v>0</v>
      </c>
      <c r="G61" s="90"/>
      <c r="H61" s="91"/>
      <c r="I61" s="91"/>
      <c r="J61" s="91"/>
      <c r="K61" s="100">
        <v>0</v>
      </c>
      <c r="L61" s="100">
        <v>0</v>
      </c>
      <c r="M61" s="100">
        <v>0</v>
      </c>
      <c r="N61" s="100">
        <v>0</v>
      </c>
    </row>
    <row r="62" spans="1:14" ht="15.75" thickBot="1">
      <c r="A62" s="66" t="s">
        <v>33</v>
      </c>
      <c r="B62" s="24">
        <v>3</v>
      </c>
      <c r="C62" s="24">
        <v>3</v>
      </c>
      <c r="D62" s="29">
        <v>0</v>
      </c>
      <c r="E62" s="29">
        <v>0</v>
      </c>
      <c r="F62" s="27">
        <f t="shared" si="5"/>
        <v>0</v>
      </c>
      <c r="G62" s="90"/>
      <c r="H62" s="91"/>
      <c r="I62" s="91"/>
      <c r="J62" s="91"/>
      <c r="K62" s="100">
        <v>0</v>
      </c>
      <c r="L62" s="100">
        <v>0</v>
      </c>
      <c r="M62" s="100">
        <v>0</v>
      </c>
      <c r="N62" s="100">
        <v>0</v>
      </c>
    </row>
    <row r="63" spans="1:14">
      <c r="A63" s="66" t="s">
        <v>34</v>
      </c>
      <c r="B63" s="24">
        <v>3</v>
      </c>
      <c r="C63" s="24">
        <v>3</v>
      </c>
      <c r="D63" s="29">
        <v>0</v>
      </c>
      <c r="E63" s="29">
        <v>0</v>
      </c>
      <c r="F63" s="27">
        <f t="shared" si="5"/>
        <v>0</v>
      </c>
      <c r="G63" s="90"/>
      <c r="H63" s="91"/>
      <c r="I63" s="91"/>
      <c r="J63" s="91"/>
      <c r="K63" s="100">
        <v>0</v>
      </c>
      <c r="L63" s="100">
        <v>0</v>
      </c>
      <c r="M63" s="100">
        <v>0</v>
      </c>
      <c r="N63" s="100">
        <v>0</v>
      </c>
    </row>
    <row r="64" spans="1:14" ht="16.5" thickBot="1">
      <c r="A64" s="58" t="s">
        <v>43</v>
      </c>
      <c r="B64" s="23"/>
      <c r="C64" s="23"/>
      <c r="D64" s="28"/>
      <c r="E64" s="28"/>
      <c r="F64" s="28"/>
      <c r="G64" s="90"/>
      <c r="H64" s="91"/>
      <c r="I64" s="91"/>
      <c r="J64" s="91"/>
      <c r="K64" s="94"/>
      <c r="L64" s="94"/>
      <c r="M64" s="94"/>
      <c r="N64" s="94"/>
    </row>
    <row r="65" spans="1:14" ht="15.75" thickBot="1">
      <c r="A65" s="66" t="s">
        <v>44</v>
      </c>
      <c r="B65" s="24">
        <v>5</v>
      </c>
      <c r="C65" s="24">
        <v>5</v>
      </c>
      <c r="D65" s="29">
        <v>0</v>
      </c>
      <c r="E65" s="29">
        <v>0</v>
      </c>
      <c r="F65" s="27">
        <f t="shared" ref="F65:F71" si="6">ROUND(D65+E65,2)</f>
        <v>0</v>
      </c>
      <c r="G65" s="90"/>
      <c r="H65" s="91"/>
      <c r="I65" s="91"/>
      <c r="J65" s="91"/>
      <c r="K65" s="100">
        <v>0</v>
      </c>
      <c r="L65" s="100">
        <v>0</v>
      </c>
      <c r="M65" s="100">
        <v>0</v>
      </c>
      <c r="N65" s="100">
        <v>0</v>
      </c>
    </row>
    <row r="66" spans="1:14" ht="15.75" thickBot="1">
      <c r="A66" s="66" t="s">
        <v>29</v>
      </c>
      <c r="B66" s="24">
        <v>168</v>
      </c>
      <c r="C66" s="24">
        <v>188</v>
      </c>
      <c r="D66" s="29">
        <v>0</v>
      </c>
      <c r="E66" s="29">
        <v>0</v>
      </c>
      <c r="F66" s="27">
        <f t="shared" si="6"/>
        <v>0</v>
      </c>
      <c r="G66" s="90"/>
      <c r="H66" s="91"/>
      <c r="I66" s="91"/>
      <c r="J66" s="91"/>
      <c r="K66" s="100">
        <v>0</v>
      </c>
      <c r="L66" s="100">
        <v>0</v>
      </c>
      <c r="M66" s="100">
        <v>0</v>
      </c>
      <c r="N66" s="100">
        <v>0</v>
      </c>
    </row>
    <row r="67" spans="1:14" ht="15.75" thickBot="1">
      <c r="A67" s="66" t="s">
        <v>30</v>
      </c>
      <c r="B67" s="24">
        <v>78</v>
      </c>
      <c r="C67" s="24">
        <v>106</v>
      </c>
      <c r="D67" s="29">
        <v>0</v>
      </c>
      <c r="E67" s="29">
        <v>0</v>
      </c>
      <c r="F67" s="27">
        <f t="shared" si="6"/>
        <v>0</v>
      </c>
      <c r="G67" s="90"/>
      <c r="H67" s="91"/>
      <c r="I67" s="91"/>
      <c r="J67" s="91"/>
      <c r="K67" s="100">
        <v>0</v>
      </c>
      <c r="L67" s="100">
        <v>0</v>
      </c>
      <c r="M67" s="100">
        <v>0</v>
      </c>
      <c r="N67" s="100">
        <v>0</v>
      </c>
    </row>
    <row r="68" spans="1:14" ht="15.75" thickBot="1">
      <c r="A68" s="66" t="s">
        <v>31</v>
      </c>
      <c r="B68" s="24">
        <v>25</v>
      </c>
      <c r="C68" s="24">
        <v>29</v>
      </c>
      <c r="D68" s="29">
        <v>0</v>
      </c>
      <c r="E68" s="29">
        <v>0</v>
      </c>
      <c r="F68" s="27">
        <f t="shared" si="6"/>
        <v>0</v>
      </c>
      <c r="G68" s="90"/>
      <c r="H68" s="91"/>
      <c r="I68" s="91"/>
      <c r="J68" s="91"/>
      <c r="K68" s="100">
        <v>0</v>
      </c>
      <c r="L68" s="100">
        <v>0</v>
      </c>
      <c r="M68" s="100">
        <v>0</v>
      </c>
      <c r="N68" s="100">
        <v>0</v>
      </c>
    </row>
    <row r="69" spans="1:14" ht="15.75" thickBot="1">
      <c r="A69" s="66" t="s">
        <v>32</v>
      </c>
      <c r="B69" s="24">
        <v>3</v>
      </c>
      <c r="C69" s="24">
        <v>4</v>
      </c>
      <c r="D69" s="29">
        <v>0</v>
      </c>
      <c r="E69" s="29">
        <v>0</v>
      </c>
      <c r="F69" s="27">
        <f t="shared" si="6"/>
        <v>0</v>
      </c>
      <c r="G69" s="90"/>
      <c r="H69" s="91"/>
      <c r="I69" s="91"/>
      <c r="J69" s="91"/>
      <c r="K69" s="100">
        <v>0</v>
      </c>
      <c r="L69" s="100">
        <v>0</v>
      </c>
      <c r="M69" s="100">
        <v>0</v>
      </c>
      <c r="N69" s="100">
        <v>0</v>
      </c>
    </row>
    <row r="70" spans="1:14" ht="15.75" thickBot="1">
      <c r="A70" s="66" t="s">
        <v>33</v>
      </c>
      <c r="B70" s="24">
        <v>1</v>
      </c>
      <c r="C70" s="24">
        <v>1</v>
      </c>
      <c r="D70" s="29">
        <v>0</v>
      </c>
      <c r="E70" s="29">
        <v>0</v>
      </c>
      <c r="F70" s="27">
        <f t="shared" si="6"/>
        <v>0</v>
      </c>
      <c r="G70" s="90"/>
      <c r="H70" s="91"/>
      <c r="I70" s="91"/>
      <c r="J70" s="91"/>
      <c r="K70" s="100">
        <v>0</v>
      </c>
      <c r="L70" s="100">
        <v>0</v>
      </c>
      <c r="M70" s="100">
        <v>0</v>
      </c>
      <c r="N70" s="100">
        <v>0</v>
      </c>
    </row>
    <row r="71" spans="1:14">
      <c r="A71" s="66" t="s">
        <v>34</v>
      </c>
      <c r="B71" s="24">
        <v>1</v>
      </c>
      <c r="C71" s="24">
        <v>1</v>
      </c>
      <c r="D71" s="29">
        <v>0</v>
      </c>
      <c r="E71" s="29">
        <v>0</v>
      </c>
      <c r="F71" s="27">
        <f t="shared" si="6"/>
        <v>0</v>
      </c>
      <c r="G71" s="90"/>
      <c r="H71" s="91"/>
      <c r="I71" s="91"/>
      <c r="J71" s="91"/>
      <c r="K71" s="100">
        <v>0</v>
      </c>
      <c r="L71" s="100">
        <v>0</v>
      </c>
      <c r="M71" s="100">
        <v>0</v>
      </c>
      <c r="N71" s="100">
        <v>0</v>
      </c>
    </row>
    <row r="72" spans="1:14" ht="16.5" thickBot="1">
      <c r="A72" s="58" t="s">
        <v>45</v>
      </c>
      <c r="B72" s="23"/>
      <c r="C72" s="23"/>
      <c r="D72" s="28"/>
      <c r="E72" s="28"/>
      <c r="F72" s="28"/>
      <c r="G72" s="90"/>
      <c r="H72" s="91"/>
      <c r="I72" s="91"/>
      <c r="J72" s="91"/>
      <c r="K72" s="94"/>
      <c r="L72" s="94"/>
      <c r="M72" s="94"/>
      <c r="N72" s="94"/>
    </row>
    <row r="73" spans="1:14" ht="15.75" thickBot="1">
      <c r="A73" s="66" t="s">
        <v>46</v>
      </c>
      <c r="B73" s="24">
        <v>7</v>
      </c>
      <c r="C73" s="24">
        <v>7</v>
      </c>
      <c r="D73" s="29">
        <v>0</v>
      </c>
      <c r="E73" s="29">
        <v>0</v>
      </c>
      <c r="F73" s="27">
        <f t="shared" ref="F73:F79" si="7">ROUND(D73+E73,2)</f>
        <v>0</v>
      </c>
      <c r="G73" s="90"/>
      <c r="H73" s="91"/>
      <c r="I73" s="91"/>
      <c r="J73" s="91"/>
      <c r="K73" s="100">
        <v>0</v>
      </c>
      <c r="L73" s="100">
        <v>0</v>
      </c>
      <c r="M73" s="100">
        <v>0</v>
      </c>
      <c r="N73" s="100">
        <v>0</v>
      </c>
    </row>
    <row r="74" spans="1:14" ht="15.75" thickBot="1">
      <c r="A74" s="66" t="s">
        <v>29</v>
      </c>
      <c r="B74" s="24">
        <v>85</v>
      </c>
      <c r="C74" s="24">
        <v>97</v>
      </c>
      <c r="D74" s="29">
        <v>0</v>
      </c>
      <c r="E74" s="29">
        <v>0</v>
      </c>
      <c r="F74" s="27">
        <f t="shared" si="7"/>
        <v>0</v>
      </c>
      <c r="G74" s="90"/>
      <c r="H74" s="91"/>
      <c r="I74" s="91"/>
      <c r="J74" s="91"/>
      <c r="K74" s="100">
        <v>0</v>
      </c>
      <c r="L74" s="100">
        <v>0</v>
      </c>
      <c r="M74" s="100">
        <v>0</v>
      </c>
      <c r="N74" s="100">
        <v>0</v>
      </c>
    </row>
    <row r="75" spans="1:14" ht="15.75" thickBot="1">
      <c r="A75" s="66" t="s">
        <v>30</v>
      </c>
      <c r="B75" s="24">
        <v>63</v>
      </c>
      <c r="C75" s="24">
        <v>69</v>
      </c>
      <c r="D75" s="29">
        <v>0</v>
      </c>
      <c r="E75" s="29">
        <v>0</v>
      </c>
      <c r="F75" s="27">
        <f t="shared" si="7"/>
        <v>0</v>
      </c>
      <c r="G75" s="90"/>
      <c r="H75" s="91"/>
      <c r="I75" s="91"/>
      <c r="J75" s="91"/>
      <c r="K75" s="100">
        <v>0</v>
      </c>
      <c r="L75" s="100">
        <v>0</v>
      </c>
      <c r="M75" s="100">
        <v>0</v>
      </c>
      <c r="N75" s="100">
        <v>0</v>
      </c>
    </row>
    <row r="76" spans="1:14" ht="15.75" thickBot="1">
      <c r="A76" s="66" t="s">
        <v>31</v>
      </c>
      <c r="B76" s="24">
        <v>28</v>
      </c>
      <c r="C76" s="24">
        <v>29</v>
      </c>
      <c r="D76" s="29">
        <v>0</v>
      </c>
      <c r="E76" s="29">
        <v>0</v>
      </c>
      <c r="F76" s="27">
        <f t="shared" si="7"/>
        <v>0</v>
      </c>
      <c r="G76" s="90"/>
      <c r="H76" s="91"/>
      <c r="I76" s="91"/>
      <c r="J76" s="91"/>
      <c r="K76" s="100">
        <v>0</v>
      </c>
      <c r="L76" s="100">
        <v>0</v>
      </c>
      <c r="M76" s="100">
        <v>0</v>
      </c>
      <c r="N76" s="100">
        <v>0</v>
      </c>
    </row>
    <row r="77" spans="1:14" ht="15.75" thickBot="1">
      <c r="A77" s="66" t="s">
        <v>32</v>
      </c>
      <c r="B77" s="24">
        <v>4</v>
      </c>
      <c r="C77" s="24">
        <v>4</v>
      </c>
      <c r="D77" s="29">
        <v>0</v>
      </c>
      <c r="E77" s="29">
        <v>0</v>
      </c>
      <c r="F77" s="27">
        <f t="shared" si="7"/>
        <v>0</v>
      </c>
      <c r="G77" s="90"/>
      <c r="H77" s="91"/>
      <c r="I77" s="91"/>
      <c r="J77" s="91"/>
      <c r="K77" s="100">
        <v>0</v>
      </c>
      <c r="L77" s="100">
        <v>0</v>
      </c>
      <c r="M77" s="100">
        <v>0</v>
      </c>
      <c r="N77" s="100">
        <v>0</v>
      </c>
    </row>
    <row r="78" spans="1:14" ht="15.75" thickBot="1">
      <c r="A78" s="66" t="s">
        <v>33</v>
      </c>
      <c r="B78" s="24">
        <v>6</v>
      </c>
      <c r="C78" s="24">
        <v>6</v>
      </c>
      <c r="D78" s="29">
        <v>0</v>
      </c>
      <c r="E78" s="29">
        <v>0</v>
      </c>
      <c r="F78" s="27">
        <f t="shared" si="7"/>
        <v>0</v>
      </c>
      <c r="G78" s="90"/>
      <c r="H78" s="91"/>
      <c r="I78" s="91"/>
      <c r="J78" s="91"/>
      <c r="K78" s="100">
        <v>0</v>
      </c>
      <c r="L78" s="100">
        <v>0</v>
      </c>
      <c r="M78" s="100">
        <v>0</v>
      </c>
      <c r="N78" s="100">
        <v>0</v>
      </c>
    </row>
    <row r="79" spans="1:14">
      <c r="A79" s="66" t="s">
        <v>34</v>
      </c>
      <c r="B79" s="24">
        <v>1</v>
      </c>
      <c r="C79" s="24">
        <v>1</v>
      </c>
      <c r="D79" s="29">
        <v>0</v>
      </c>
      <c r="E79" s="29">
        <v>0</v>
      </c>
      <c r="F79" s="27">
        <f t="shared" si="7"/>
        <v>0</v>
      </c>
      <c r="G79" s="90"/>
      <c r="H79" s="91"/>
      <c r="I79" s="91"/>
      <c r="J79" s="91"/>
      <c r="K79" s="100">
        <v>0</v>
      </c>
      <c r="L79" s="100">
        <v>0</v>
      </c>
      <c r="M79" s="100">
        <v>0</v>
      </c>
      <c r="N79" s="100">
        <v>0</v>
      </c>
    </row>
    <row r="80" spans="1:14" ht="16.5" thickBot="1">
      <c r="A80" s="58" t="s">
        <v>47</v>
      </c>
      <c r="B80" s="23"/>
      <c r="C80" s="23"/>
      <c r="D80" s="28"/>
      <c r="E80" s="28"/>
      <c r="F80" s="28"/>
      <c r="G80" s="90"/>
      <c r="H80" s="91"/>
      <c r="I80" s="91"/>
      <c r="J80" s="91"/>
      <c r="K80" s="94"/>
      <c r="L80" s="94"/>
      <c r="M80" s="94"/>
      <c r="N80" s="94"/>
    </row>
    <row r="81" spans="1:14" ht="15.75" thickBot="1">
      <c r="A81" s="66" t="s">
        <v>48</v>
      </c>
      <c r="B81" s="24">
        <v>1</v>
      </c>
      <c r="C81" s="24">
        <v>1</v>
      </c>
      <c r="D81" s="29">
        <v>0</v>
      </c>
      <c r="E81" s="29">
        <v>0</v>
      </c>
      <c r="F81" s="27">
        <f t="shared" ref="F81:F107" si="8">ROUND(D81+E81,2)</f>
        <v>0</v>
      </c>
      <c r="G81" s="90"/>
      <c r="H81" s="91"/>
      <c r="I81" s="91"/>
      <c r="J81" s="91"/>
      <c r="K81" s="100">
        <v>0</v>
      </c>
      <c r="L81" s="100">
        <v>0</v>
      </c>
      <c r="M81" s="100">
        <v>0</v>
      </c>
      <c r="N81" s="100">
        <v>0</v>
      </c>
    </row>
    <row r="82" spans="1:14" ht="15.75" thickBot="1">
      <c r="A82" s="66" t="s">
        <v>49</v>
      </c>
      <c r="B82" s="24">
        <v>1</v>
      </c>
      <c r="C82" s="24">
        <v>1</v>
      </c>
      <c r="D82" s="29">
        <v>0</v>
      </c>
      <c r="E82" s="29">
        <v>0</v>
      </c>
      <c r="F82" s="27">
        <f t="shared" si="8"/>
        <v>0</v>
      </c>
      <c r="G82" s="90"/>
      <c r="H82" s="91"/>
      <c r="I82" s="91"/>
      <c r="J82" s="91"/>
      <c r="K82" s="100">
        <v>0</v>
      </c>
      <c r="L82" s="100">
        <v>0</v>
      </c>
      <c r="M82" s="100">
        <v>0</v>
      </c>
      <c r="N82" s="100">
        <v>0</v>
      </c>
    </row>
    <row r="83" spans="1:14" ht="15.75" thickBot="1">
      <c r="A83" s="66" t="s">
        <v>38</v>
      </c>
      <c r="B83" s="24">
        <v>1</v>
      </c>
      <c r="C83" s="24">
        <v>1</v>
      </c>
      <c r="D83" s="29">
        <v>0</v>
      </c>
      <c r="E83" s="29">
        <v>0</v>
      </c>
      <c r="F83" s="27">
        <f t="shared" si="8"/>
        <v>0</v>
      </c>
      <c r="G83" s="90"/>
      <c r="H83" s="91"/>
      <c r="I83" s="91"/>
      <c r="J83" s="91"/>
      <c r="K83" s="100">
        <v>0</v>
      </c>
      <c r="L83" s="100">
        <v>0</v>
      </c>
      <c r="M83" s="100">
        <v>0</v>
      </c>
      <c r="N83" s="100">
        <v>0</v>
      </c>
    </row>
    <row r="84" spans="1:14" ht="15.75" thickBot="1">
      <c r="A84" s="67" t="s">
        <v>50</v>
      </c>
      <c r="B84" s="24">
        <v>2</v>
      </c>
      <c r="C84" s="24">
        <v>3</v>
      </c>
      <c r="D84" s="29">
        <v>0</v>
      </c>
      <c r="E84" s="29">
        <v>0</v>
      </c>
      <c r="F84" s="27">
        <f t="shared" si="8"/>
        <v>0</v>
      </c>
      <c r="G84" s="90"/>
      <c r="H84" s="91"/>
      <c r="I84" s="91"/>
      <c r="J84" s="91"/>
      <c r="K84" s="100">
        <v>0</v>
      </c>
      <c r="L84" s="100">
        <v>0</v>
      </c>
      <c r="M84" s="100">
        <v>0</v>
      </c>
      <c r="N84" s="100">
        <v>0</v>
      </c>
    </row>
    <row r="85" spans="1:14" ht="15.75" thickBot="1">
      <c r="A85" s="67" t="s">
        <v>51</v>
      </c>
      <c r="B85" s="24">
        <v>4</v>
      </c>
      <c r="C85" s="24">
        <v>10</v>
      </c>
      <c r="D85" s="29">
        <v>0</v>
      </c>
      <c r="E85" s="29">
        <v>0</v>
      </c>
      <c r="F85" s="27">
        <f t="shared" si="8"/>
        <v>0</v>
      </c>
      <c r="G85" s="90"/>
      <c r="H85" s="91"/>
      <c r="I85" s="91"/>
      <c r="J85" s="91"/>
      <c r="K85" s="100">
        <v>0</v>
      </c>
      <c r="L85" s="100">
        <v>0</v>
      </c>
      <c r="M85" s="100">
        <v>0</v>
      </c>
      <c r="N85" s="100">
        <v>0</v>
      </c>
    </row>
    <row r="86" spans="1:14" ht="15.75" thickBot="1">
      <c r="A86" s="67" t="s">
        <v>52</v>
      </c>
      <c r="B86" s="24">
        <v>11</v>
      </c>
      <c r="C86" s="24">
        <v>21</v>
      </c>
      <c r="D86" s="29">
        <v>0</v>
      </c>
      <c r="E86" s="29">
        <v>0</v>
      </c>
      <c r="F86" s="27">
        <f t="shared" si="8"/>
        <v>0</v>
      </c>
      <c r="G86" s="90"/>
      <c r="H86" s="91"/>
      <c r="I86" s="91"/>
      <c r="J86" s="91"/>
      <c r="K86" s="100">
        <v>0</v>
      </c>
      <c r="L86" s="100">
        <v>0</v>
      </c>
      <c r="M86" s="100">
        <v>0</v>
      </c>
      <c r="N86" s="100">
        <v>0</v>
      </c>
    </row>
    <row r="87" spans="1:14" ht="15.75" thickBot="1">
      <c r="A87" s="67" t="s">
        <v>53</v>
      </c>
      <c r="B87" s="24">
        <v>2</v>
      </c>
      <c r="C87" s="24">
        <v>3</v>
      </c>
      <c r="D87" s="29">
        <v>0</v>
      </c>
      <c r="E87" s="29">
        <v>0</v>
      </c>
      <c r="F87" s="27">
        <f t="shared" si="8"/>
        <v>0</v>
      </c>
      <c r="G87" s="90"/>
      <c r="H87" s="91"/>
      <c r="I87" s="91"/>
      <c r="J87" s="91"/>
      <c r="K87" s="100">
        <v>0</v>
      </c>
      <c r="L87" s="100">
        <v>0</v>
      </c>
      <c r="M87" s="100">
        <v>0</v>
      </c>
      <c r="N87" s="100">
        <v>0</v>
      </c>
    </row>
    <row r="88" spans="1:14" ht="15.75" thickBot="1">
      <c r="A88" s="67" t="s">
        <v>54</v>
      </c>
      <c r="B88" s="24">
        <v>1</v>
      </c>
      <c r="C88" s="24">
        <v>1</v>
      </c>
      <c r="D88" s="29">
        <v>0</v>
      </c>
      <c r="E88" s="29">
        <v>0</v>
      </c>
      <c r="F88" s="27">
        <f t="shared" si="8"/>
        <v>0</v>
      </c>
      <c r="G88" s="90"/>
      <c r="H88" s="91"/>
      <c r="I88" s="91"/>
      <c r="J88" s="91"/>
      <c r="K88" s="100">
        <v>0</v>
      </c>
      <c r="L88" s="100">
        <v>0</v>
      </c>
      <c r="M88" s="100">
        <v>0</v>
      </c>
      <c r="N88" s="100">
        <v>0</v>
      </c>
    </row>
    <row r="89" spans="1:14" ht="15.75" thickBot="1">
      <c r="A89" s="67" t="s">
        <v>55</v>
      </c>
      <c r="B89" s="24">
        <v>1</v>
      </c>
      <c r="C89" s="24">
        <v>2</v>
      </c>
      <c r="D89" s="29">
        <v>0</v>
      </c>
      <c r="E89" s="29">
        <v>0</v>
      </c>
      <c r="F89" s="27">
        <f t="shared" si="8"/>
        <v>0</v>
      </c>
      <c r="G89" s="90"/>
      <c r="H89" s="91"/>
      <c r="I89" s="91"/>
      <c r="J89" s="91"/>
      <c r="K89" s="100">
        <v>0</v>
      </c>
      <c r="L89" s="100">
        <v>0</v>
      </c>
      <c r="M89" s="100">
        <v>0</v>
      </c>
      <c r="N89" s="100">
        <v>0</v>
      </c>
    </row>
    <row r="90" spans="1:14" ht="15.75" thickBot="1">
      <c r="A90" s="67" t="s">
        <v>56</v>
      </c>
      <c r="B90" s="24">
        <v>6</v>
      </c>
      <c r="C90" s="24">
        <v>7</v>
      </c>
      <c r="D90" s="29">
        <v>0</v>
      </c>
      <c r="E90" s="29">
        <v>0</v>
      </c>
      <c r="F90" s="27">
        <f t="shared" si="8"/>
        <v>0</v>
      </c>
      <c r="G90" s="90"/>
      <c r="H90" s="91"/>
      <c r="I90" s="91"/>
      <c r="J90" s="91"/>
      <c r="K90" s="100">
        <v>0</v>
      </c>
      <c r="L90" s="100">
        <v>0</v>
      </c>
      <c r="M90" s="100">
        <v>0</v>
      </c>
      <c r="N90" s="100">
        <v>0</v>
      </c>
    </row>
    <row r="91" spans="1:14" ht="15.75" thickBot="1">
      <c r="A91" s="67" t="s">
        <v>57</v>
      </c>
      <c r="B91" s="24">
        <v>3</v>
      </c>
      <c r="C91" s="24">
        <v>5</v>
      </c>
      <c r="D91" s="29">
        <v>0</v>
      </c>
      <c r="E91" s="29">
        <v>0</v>
      </c>
      <c r="F91" s="27">
        <f t="shared" si="8"/>
        <v>0</v>
      </c>
      <c r="G91" s="90"/>
      <c r="H91" s="91"/>
      <c r="I91" s="91"/>
      <c r="J91" s="91"/>
      <c r="K91" s="100">
        <v>0</v>
      </c>
      <c r="L91" s="100">
        <v>0</v>
      </c>
      <c r="M91" s="100">
        <v>0</v>
      </c>
      <c r="N91" s="100">
        <v>0</v>
      </c>
    </row>
    <row r="92" spans="1:14" ht="15.75" thickBot="1">
      <c r="A92" s="66" t="s">
        <v>42</v>
      </c>
      <c r="B92" s="24">
        <v>1</v>
      </c>
      <c r="C92" s="24">
        <v>4</v>
      </c>
      <c r="D92" s="29">
        <v>0</v>
      </c>
      <c r="E92" s="29">
        <v>0</v>
      </c>
      <c r="F92" s="27">
        <f t="shared" si="8"/>
        <v>0</v>
      </c>
      <c r="G92" s="90"/>
      <c r="H92" s="91"/>
      <c r="I92" s="91"/>
      <c r="J92" s="91"/>
      <c r="K92" s="100">
        <v>0</v>
      </c>
      <c r="L92" s="100">
        <v>0</v>
      </c>
      <c r="M92" s="100">
        <v>0</v>
      </c>
      <c r="N92" s="100">
        <v>0</v>
      </c>
    </row>
    <row r="93" spans="1:14" ht="15.75" thickBot="1">
      <c r="A93" s="67" t="s">
        <v>58</v>
      </c>
      <c r="B93" s="24">
        <v>4</v>
      </c>
      <c r="C93" s="24">
        <v>6</v>
      </c>
      <c r="D93" s="29">
        <v>0</v>
      </c>
      <c r="E93" s="29">
        <v>0</v>
      </c>
      <c r="F93" s="27">
        <f t="shared" si="8"/>
        <v>0</v>
      </c>
      <c r="G93" s="90"/>
      <c r="H93" s="91"/>
      <c r="I93" s="91"/>
      <c r="J93" s="91"/>
      <c r="K93" s="100">
        <v>0</v>
      </c>
      <c r="L93" s="100">
        <v>0</v>
      </c>
      <c r="M93" s="100">
        <v>0</v>
      </c>
      <c r="N93" s="100">
        <v>0</v>
      </c>
    </row>
    <row r="94" spans="1:14" ht="15.75" thickBot="1">
      <c r="A94" s="67" t="s">
        <v>59</v>
      </c>
      <c r="B94" s="24">
        <v>3</v>
      </c>
      <c r="C94" s="24">
        <v>3</v>
      </c>
      <c r="D94" s="29">
        <v>0</v>
      </c>
      <c r="E94" s="29">
        <v>0</v>
      </c>
      <c r="F94" s="27">
        <f t="shared" si="8"/>
        <v>0</v>
      </c>
      <c r="G94" s="90"/>
      <c r="H94" s="91"/>
      <c r="I94" s="91"/>
      <c r="J94" s="91"/>
      <c r="K94" s="100">
        <v>0</v>
      </c>
      <c r="L94" s="100">
        <v>0</v>
      </c>
      <c r="M94" s="100">
        <v>0</v>
      </c>
      <c r="N94" s="100">
        <v>0</v>
      </c>
    </row>
    <row r="95" spans="1:14" ht="15.75" thickBot="1">
      <c r="A95" s="66" t="s">
        <v>44</v>
      </c>
      <c r="B95" s="24">
        <v>2</v>
      </c>
      <c r="C95" s="24">
        <v>2</v>
      </c>
      <c r="D95" s="29">
        <v>0</v>
      </c>
      <c r="E95" s="29">
        <v>0</v>
      </c>
      <c r="F95" s="27">
        <f t="shared" si="8"/>
        <v>0</v>
      </c>
      <c r="G95" s="90"/>
      <c r="H95" s="91"/>
      <c r="I95" s="91"/>
      <c r="J95" s="91"/>
      <c r="K95" s="100">
        <v>0</v>
      </c>
      <c r="L95" s="100">
        <v>0</v>
      </c>
      <c r="M95" s="100">
        <v>0</v>
      </c>
      <c r="N95" s="100">
        <v>0</v>
      </c>
    </row>
    <row r="96" spans="1:14" ht="15.75" thickBot="1">
      <c r="A96" s="67" t="s">
        <v>60</v>
      </c>
      <c r="B96" s="24">
        <v>1</v>
      </c>
      <c r="C96" s="24">
        <v>1</v>
      </c>
      <c r="D96" s="29">
        <v>0</v>
      </c>
      <c r="E96" s="29">
        <v>0</v>
      </c>
      <c r="F96" s="27">
        <f t="shared" si="8"/>
        <v>0</v>
      </c>
      <c r="G96" s="90"/>
      <c r="H96" s="91"/>
      <c r="I96" s="91"/>
      <c r="J96" s="91"/>
      <c r="K96" s="100">
        <v>0</v>
      </c>
      <c r="L96" s="100">
        <v>0</v>
      </c>
      <c r="M96" s="100">
        <v>0</v>
      </c>
      <c r="N96" s="100">
        <v>0</v>
      </c>
    </row>
    <row r="97" spans="1:14" ht="15.75" thickBot="1">
      <c r="A97" s="67" t="s">
        <v>61</v>
      </c>
      <c r="B97" s="24">
        <v>5</v>
      </c>
      <c r="C97" s="24">
        <v>5</v>
      </c>
      <c r="D97" s="29">
        <v>0</v>
      </c>
      <c r="E97" s="29">
        <v>0</v>
      </c>
      <c r="F97" s="27">
        <f t="shared" si="8"/>
        <v>0</v>
      </c>
      <c r="G97" s="90"/>
      <c r="H97" s="91"/>
      <c r="I97" s="91"/>
      <c r="J97" s="91"/>
      <c r="K97" s="100">
        <v>0</v>
      </c>
      <c r="L97" s="100">
        <v>0</v>
      </c>
      <c r="M97" s="100">
        <v>0</v>
      </c>
      <c r="N97" s="100">
        <v>0</v>
      </c>
    </row>
    <row r="98" spans="1:14" ht="15.75" thickBot="1">
      <c r="A98" s="67" t="s">
        <v>62</v>
      </c>
      <c r="B98" s="24">
        <v>4</v>
      </c>
      <c r="C98" s="24">
        <v>4</v>
      </c>
      <c r="D98" s="29">
        <v>0</v>
      </c>
      <c r="E98" s="29">
        <v>0</v>
      </c>
      <c r="F98" s="27">
        <f t="shared" si="8"/>
        <v>0</v>
      </c>
      <c r="G98" s="90"/>
      <c r="H98" s="91"/>
      <c r="I98" s="91"/>
      <c r="J98" s="91"/>
      <c r="K98" s="100">
        <v>0</v>
      </c>
      <c r="L98" s="100">
        <v>0</v>
      </c>
      <c r="M98" s="100">
        <v>0</v>
      </c>
      <c r="N98" s="100">
        <v>0</v>
      </c>
    </row>
    <row r="99" spans="1:14" ht="16.5" thickBot="1">
      <c r="A99" s="108" t="s">
        <v>171</v>
      </c>
      <c r="B99" s="41"/>
      <c r="C99" s="41"/>
      <c r="D99" s="28"/>
      <c r="E99" s="28"/>
      <c r="F99" s="137">
        <f>12*SUMPRODUCT($C$11:$C$20*F11:F20)+12*SUMPRODUCT($C$22:$C$23*F22:F23)+12*SUMPRODUCT($C$25:$C$98*F25:F98)</f>
        <v>0</v>
      </c>
      <c r="G99" s="124" t="s">
        <v>197</v>
      </c>
      <c r="H99" s="91"/>
      <c r="I99" s="91"/>
      <c r="J99" s="91"/>
      <c r="K99" s="138">
        <f t="shared" ref="K99:N99" si="9">12*SUMPRODUCT($C$11:$C$20*K11:K20)+12*SUMPRODUCT($C$25:$C$98*K25:K98)</f>
        <v>0</v>
      </c>
      <c r="L99" s="138">
        <f t="shared" si="9"/>
        <v>0</v>
      </c>
      <c r="M99" s="138">
        <f t="shared" si="9"/>
        <v>0</v>
      </c>
      <c r="N99" s="138">
        <f t="shared" si="9"/>
        <v>0</v>
      </c>
    </row>
    <row r="100" spans="1:14" ht="15.75" thickBot="1">
      <c r="A100" s="136"/>
      <c r="B100" s="41"/>
      <c r="C100" s="41"/>
      <c r="D100" s="28"/>
      <c r="E100" s="28"/>
      <c r="F100" s="137"/>
    </row>
    <row r="101" spans="1:14" ht="16.5" thickBot="1">
      <c r="A101" s="136"/>
      <c r="B101" s="41"/>
      <c r="C101" s="41"/>
      <c r="D101" s="28"/>
      <c r="E101" s="28"/>
      <c r="F101" s="137"/>
      <c r="H101" s="116" t="s">
        <v>181</v>
      </c>
    </row>
    <row r="102" spans="1:14" ht="15.75">
      <c r="A102" s="136"/>
      <c r="B102" s="41"/>
      <c r="C102" s="41"/>
      <c r="D102" s="28"/>
      <c r="E102" s="28"/>
      <c r="F102" s="137"/>
      <c r="H102" s="117" t="s">
        <v>198</v>
      </c>
    </row>
    <row r="103" spans="1:14" ht="16.5" thickBot="1">
      <c r="A103" s="59" t="s">
        <v>169</v>
      </c>
      <c r="B103" s="56" t="s">
        <v>22</v>
      </c>
      <c r="C103" s="57" t="s">
        <v>23</v>
      </c>
      <c r="D103" s="28"/>
      <c r="E103" s="28"/>
      <c r="F103" s="37" t="s">
        <v>210</v>
      </c>
      <c r="H103" s="118" t="s">
        <v>199</v>
      </c>
    </row>
    <row r="104" spans="1:14" ht="15.75" thickBot="1">
      <c r="A104" s="68" t="s">
        <v>132</v>
      </c>
      <c r="B104" s="85">
        <v>1</v>
      </c>
      <c r="C104" s="85">
        <v>1</v>
      </c>
      <c r="D104" s="29">
        <v>0</v>
      </c>
      <c r="E104" s="29">
        <v>0</v>
      </c>
      <c r="F104" s="27">
        <f t="shared" si="8"/>
        <v>0</v>
      </c>
      <c r="H104" s="143"/>
    </row>
    <row r="105" spans="1:14" ht="15.75" thickBot="1">
      <c r="A105" s="68" t="s">
        <v>145</v>
      </c>
      <c r="B105" s="85">
        <v>146</v>
      </c>
      <c r="C105" s="85">
        <v>252</v>
      </c>
      <c r="D105" s="29">
        <v>0</v>
      </c>
      <c r="E105" s="29">
        <v>0</v>
      </c>
      <c r="F105" s="27">
        <f t="shared" si="8"/>
        <v>0</v>
      </c>
      <c r="H105" s="121"/>
    </row>
    <row r="106" spans="1:14" ht="15.75" thickBot="1">
      <c r="A106" s="68" t="s">
        <v>147</v>
      </c>
      <c r="B106" s="85">
        <v>1</v>
      </c>
      <c r="C106" s="85">
        <v>1</v>
      </c>
      <c r="D106" s="29">
        <v>0</v>
      </c>
      <c r="E106" s="29">
        <v>0</v>
      </c>
      <c r="F106" s="27">
        <f t="shared" si="8"/>
        <v>0</v>
      </c>
      <c r="H106" s="121"/>
    </row>
    <row r="107" spans="1:14" ht="15.75" thickBot="1">
      <c r="A107" s="68" t="s">
        <v>146</v>
      </c>
      <c r="B107" s="85">
        <v>1</v>
      </c>
      <c r="C107" s="85">
        <v>1</v>
      </c>
      <c r="D107" s="29">
        <v>0</v>
      </c>
      <c r="E107" s="29">
        <v>0</v>
      </c>
      <c r="F107" s="27">
        <f t="shared" si="8"/>
        <v>0</v>
      </c>
      <c r="H107" s="121"/>
    </row>
    <row r="108" spans="1:14" ht="15.75" thickBot="1">
      <c r="A108" s="68" t="s">
        <v>148</v>
      </c>
      <c r="B108" s="85">
        <v>1</v>
      </c>
      <c r="C108" s="85">
        <v>1</v>
      </c>
      <c r="D108" s="29">
        <v>0</v>
      </c>
      <c r="E108" s="29">
        <v>0</v>
      </c>
      <c r="F108" s="27">
        <f t="shared" ref="F108:F113" si="10">ROUND(D108+E108,2)</f>
        <v>0</v>
      </c>
      <c r="H108" s="121"/>
    </row>
    <row r="109" spans="1:14" ht="15.75" thickBot="1">
      <c r="A109" s="68" t="s">
        <v>149</v>
      </c>
      <c r="B109" s="85">
        <v>1</v>
      </c>
      <c r="C109" s="85">
        <v>1</v>
      </c>
      <c r="D109" s="29">
        <v>0</v>
      </c>
      <c r="E109" s="29">
        <v>0</v>
      </c>
      <c r="F109" s="27">
        <f t="shared" si="10"/>
        <v>0</v>
      </c>
      <c r="H109" s="121"/>
    </row>
    <row r="110" spans="1:14" ht="15.75" thickBot="1">
      <c r="A110" s="68" t="s">
        <v>150</v>
      </c>
      <c r="B110" s="85">
        <v>1</v>
      </c>
      <c r="C110" s="85">
        <v>1</v>
      </c>
      <c r="D110" s="29">
        <v>0</v>
      </c>
      <c r="E110" s="29">
        <v>0</v>
      </c>
      <c r="F110" s="27">
        <f t="shared" si="10"/>
        <v>0</v>
      </c>
      <c r="H110" s="121"/>
    </row>
    <row r="111" spans="1:14">
      <c r="A111" s="68" t="s">
        <v>151</v>
      </c>
      <c r="B111" s="85">
        <v>1</v>
      </c>
      <c r="C111" s="85">
        <v>1</v>
      </c>
      <c r="D111" s="29">
        <v>0</v>
      </c>
      <c r="E111" s="29">
        <v>0</v>
      </c>
      <c r="F111" s="27">
        <f t="shared" si="10"/>
        <v>0</v>
      </c>
      <c r="H111" s="121"/>
    </row>
    <row r="112" spans="1:14" ht="16.5" thickBot="1">
      <c r="A112" s="139"/>
      <c r="B112" s="140"/>
      <c r="C112" s="57" t="s">
        <v>212</v>
      </c>
      <c r="D112" s="140"/>
      <c r="E112" s="140"/>
      <c r="F112" s="37" t="s">
        <v>211</v>
      </c>
      <c r="H112" s="121"/>
    </row>
    <row r="113" spans="1:8">
      <c r="A113" s="68" t="s">
        <v>154</v>
      </c>
      <c r="B113" s="85">
        <v>0</v>
      </c>
      <c r="C113" s="85">
        <v>1</v>
      </c>
      <c r="D113" s="29">
        <v>0</v>
      </c>
      <c r="E113" s="29">
        <v>0</v>
      </c>
      <c r="F113" s="27">
        <f t="shared" si="10"/>
        <v>0</v>
      </c>
      <c r="H113" s="121"/>
    </row>
    <row r="114" spans="1:8" ht="16.5" thickBot="1">
      <c r="A114" s="203" t="s">
        <v>249</v>
      </c>
      <c r="B114" s="23"/>
      <c r="C114" s="57" t="s">
        <v>23</v>
      </c>
      <c r="D114" s="28"/>
      <c r="E114" s="28"/>
      <c r="F114" s="37" t="s">
        <v>170</v>
      </c>
      <c r="H114" s="121"/>
    </row>
    <row r="115" spans="1:8" ht="15.75" thickBot="1">
      <c r="A115" s="69" t="s">
        <v>90</v>
      </c>
      <c r="B115" s="24">
        <v>5</v>
      </c>
      <c r="C115" s="24">
        <v>5</v>
      </c>
      <c r="D115" s="24">
        <v>0</v>
      </c>
      <c r="E115" s="29">
        <v>0</v>
      </c>
      <c r="F115" s="27">
        <f t="shared" ref="F115:F129" si="11">ROUND(D115+E115,2)</f>
        <v>0</v>
      </c>
      <c r="H115" s="121">
        <v>1.4</v>
      </c>
    </row>
    <row r="116" spans="1:8" ht="15.75" thickBot="1">
      <c r="A116" s="69" t="s">
        <v>91</v>
      </c>
      <c r="B116" s="24">
        <v>9</v>
      </c>
      <c r="C116" s="24">
        <v>9</v>
      </c>
      <c r="D116" s="24">
        <v>0</v>
      </c>
      <c r="E116" s="29">
        <v>0</v>
      </c>
      <c r="F116" s="27">
        <f t="shared" si="11"/>
        <v>0</v>
      </c>
      <c r="H116" s="121">
        <v>1.45</v>
      </c>
    </row>
    <row r="117" spans="1:8" ht="15.75" thickBot="1">
      <c r="A117" s="69" t="s">
        <v>92</v>
      </c>
      <c r="B117" s="24">
        <v>110</v>
      </c>
      <c r="C117" s="24">
        <v>110</v>
      </c>
      <c r="D117" s="24">
        <v>0</v>
      </c>
      <c r="E117" s="29">
        <v>0</v>
      </c>
      <c r="F117" s="27">
        <f t="shared" si="11"/>
        <v>0</v>
      </c>
      <c r="H117" s="121">
        <v>1.65</v>
      </c>
    </row>
    <row r="118" spans="1:8" ht="15.75" thickBot="1">
      <c r="A118" s="69" t="s">
        <v>167</v>
      </c>
      <c r="B118" s="24">
        <v>17</v>
      </c>
      <c r="C118" s="24">
        <v>17</v>
      </c>
      <c r="D118" s="24">
        <v>0</v>
      </c>
      <c r="E118" s="62">
        <v>0</v>
      </c>
      <c r="F118" s="27">
        <f t="shared" si="11"/>
        <v>0</v>
      </c>
      <c r="H118" s="121"/>
    </row>
    <row r="119" spans="1:8" ht="15.75" thickBot="1">
      <c r="A119" s="69" t="s">
        <v>93</v>
      </c>
      <c r="B119" s="24">
        <v>1</v>
      </c>
      <c r="C119" s="24">
        <v>1</v>
      </c>
      <c r="D119" s="24">
        <v>0</v>
      </c>
      <c r="E119" s="29">
        <v>0</v>
      </c>
      <c r="F119" s="27">
        <f t="shared" si="11"/>
        <v>0</v>
      </c>
      <c r="H119" s="121">
        <v>42</v>
      </c>
    </row>
    <row r="120" spans="1:8" ht="15.75" thickBot="1">
      <c r="A120" s="69" t="s">
        <v>94</v>
      </c>
      <c r="B120" s="24">
        <v>1</v>
      </c>
      <c r="C120" s="24">
        <v>1</v>
      </c>
      <c r="D120" s="24">
        <v>0</v>
      </c>
      <c r="E120" s="29">
        <v>0</v>
      </c>
      <c r="F120" s="27">
        <f t="shared" si="11"/>
        <v>0</v>
      </c>
      <c r="H120" s="121">
        <v>43.5</v>
      </c>
    </row>
    <row r="121" spans="1:8" ht="15.75" thickBot="1">
      <c r="A121" s="69" t="s">
        <v>95</v>
      </c>
      <c r="B121" s="24">
        <v>1</v>
      </c>
      <c r="C121" s="24">
        <v>1</v>
      </c>
      <c r="D121" s="24">
        <v>0</v>
      </c>
      <c r="E121" s="29">
        <v>0</v>
      </c>
      <c r="F121" s="27">
        <f t="shared" si="11"/>
        <v>0</v>
      </c>
      <c r="H121" s="121">
        <v>49.5</v>
      </c>
    </row>
    <row r="122" spans="1:8">
      <c r="A122" s="69" t="s">
        <v>168</v>
      </c>
      <c r="B122" s="24">
        <v>1</v>
      </c>
      <c r="C122" s="24">
        <v>1</v>
      </c>
      <c r="D122" s="24">
        <v>0</v>
      </c>
      <c r="E122" s="62">
        <v>0</v>
      </c>
      <c r="F122" s="27">
        <f t="shared" si="11"/>
        <v>0</v>
      </c>
      <c r="H122" s="121"/>
    </row>
    <row r="123" spans="1:8" ht="16.5" thickBot="1">
      <c r="A123" s="69"/>
      <c r="B123" s="41"/>
      <c r="C123" s="57" t="s">
        <v>65</v>
      </c>
      <c r="D123" s="41"/>
      <c r="E123" s="41"/>
      <c r="F123" s="37" t="s">
        <v>175</v>
      </c>
      <c r="H123" s="121"/>
    </row>
    <row r="124" spans="1:8" ht="15.75" thickBot="1">
      <c r="A124" s="69" t="s">
        <v>96</v>
      </c>
      <c r="B124" s="24">
        <v>5</v>
      </c>
      <c r="C124" s="24">
        <v>5</v>
      </c>
      <c r="D124" s="29">
        <v>0</v>
      </c>
      <c r="E124" s="29">
        <v>0</v>
      </c>
      <c r="F124" s="27">
        <f t="shared" si="11"/>
        <v>0</v>
      </c>
      <c r="H124" s="121">
        <v>31.78</v>
      </c>
    </row>
    <row r="125" spans="1:8" ht="15.75" thickBot="1">
      <c r="A125" s="69" t="s">
        <v>97</v>
      </c>
      <c r="B125" s="24">
        <v>15</v>
      </c>
      <c r="C125" s="24">
        <v>20</v>
      </c>
      <c r="D125" s="29">
        <v>0</v>
      </c>
      <c r="E125" s="29">
        <v>0</v>
      </c>
      <c r="F125" s="27">
        <f t="shared" si="11"/>
        <v>0</v>
      </c>
      <c r="H125" s="121">
        <v>44</v>
      </c>
    </row>
    <row r="126" spans="1:8" ht="15.75" thickBot="1">
      <c r="A126" s="69" t="s">
        <v>98</v>
      </c>
      <c r="B126" s="24">
        <v>28</v>
      </c>
      <c r="C126" s="24">
        <v>37</v>
      </c>
      <c r="D126" s="29">
        <v>0</v>
      </c>
      <c r="E126" s="29">
        <v>0</v>
      </c>
      <c r="F126" s="27">
        <f t="shared" si="11"/>
        <v>0</v>
      </c>
      <c r="H126" s="121">
        <v>52.4</v>
      </c>
    </row>
    <row r="127" spans="1:8">
      <c r="A127" s="69" t="s">
        <v>166</v>
      </c>
      <c r="B127" s="41">
        <v>13</v>
      </c>
      <c r="C127" s="41">
        <v>15</v>
      </c>
      <c r="D127" s="62">
        <v>0</v>
      </c>
      <c r="E127" s="62">
        <v>0</v>
      </c>
      <c r="F127" s="27">
        <f t="shared" si="11"/>
        <v>0</v>
      </c>
      <c r="H127" s="121"/>
    </row>
    <row r="128" spans="1:8" ht="16.5" thickBot="1">
      <c r="A128" s="69"/>
      <c r="B128" s="41"/>
      <c r="C128" s="89" t="s">
        <v>177</v>
      </c>
      <c r="D128" s="41"/>
      <c r="E128" s="41"/>
      <c r="F128" s="37" t="s">
        <v>178</v>
      </c>
      <c r="H128" s="121"/>
    </row>
    <row r="129" spans="1:8">
      <c r="A129" s="69" t="s">
        <v>99</v>
      </c>
      <c r="B129" s="24">
        <v>49</v>
      </c>
      <c r="C129" s="24">
        <v>49</v>
      </c>
      <c r="D129" s="24">
        <v>0</v>
      </c>
      <c r="E129" s="29">
        <v>0</v>
      </c>
      <c r="F129" s="27">
        <f t="shared" si="11"/>
        <v>0</v>
      </c>
      <c r="H129" s="121">
        <v>58.47</v>
      </c>
    </row>
    <row r="130" spans="1:8" ht="16.5" thickBot="1">
      <c r="A130" s="203" t="s">
        <v>70</v>
      </c>
      <c r="B130" s="23"/>
      <c r="C130" s="57" t="s">
        <v>213</v>
      </c>
      <c r="D130" s="28"/>
      <c r="E130" s="28"/>
      <c r="F130" s="37" t="s">
        <v>214</v>
      </c>
      <c r="H130" s="121"/>
    </row>
    <row r="131" spans="1:8" ht="15.75" thickBot="1">
      <c r="A131" s="204" t="s">
        <v>71</v>
      </c>
      <c r="B131" s="24">
        <v>89</v>
      </c>
      <c r="C131" s="24">
        <v>101</v>
      </c>
      <c r="D131" s="24">
        <v>0</v>
      </c>
      <c r="E131" s="29">
        <v>0</v>
      </c>
      <c r="F131" s="27">
        <f t="shared" ref="F131:F137" si="12">ROUND(D131+E131,2)</f>
        <v>0</v>
      </c>
      <c r="H131" s="121">
        <v>18.37</v>
      </c>
    </row>
    <row r="132" spans="1:8" ht="15.75" thickBot="1">
      <c r="A132" s="204" t="s">
        <v>137</v>
      </c>
      <c r="B132" s="24">
        <v>1</v>
      </c>
      <c r="C132" s="24">
        <v>1</v>
      </c>
      <c r="D132" s="24">
        <v>0</v>
      </c>
      <c r="E132" s="29">
        <v>0</v>
      </c>
      <c r="F132" s="27">
        <f t="shared" si="12"/>
        <v>0</v>
      </c>
      <c r="H132" s="121">
        <v>1.02</v>
      </c>
    </row>
    <row r="133" spans="1:8" ht="15.75" thickBot="1">
      <c r="A133" s="204" t="s">
        <v>74</v>
      </c>
      <c r="B133" s="24">
        <v>23</v>
      </c>
      <c r="C133" s="24">
        <v>26</v>
      </c>
      <c r="D133" s="24">
        <v>0</v>
      </c>
      <c r="E133" s="29">
        <v>0</v>
      </c>
      <c r="F133" s="27">
        <f t="shared" si="12"/>
        <v>0</v>
      </c>
      <c r="H133" s="121">
        <v>26.84</v>
      </c>
    </row>
    <row r="134" spans="1:8" ht="15.75" thickBot="1">
      <c r="A134" s="60" t="s">
        <v>164</v>
      </c>
      <c r="B134" s="24">
        <v>77</v>
      </c>
      <c r="C134" s="24">
        <v>77</v>
      </c>
      <c r="D134" s="24">
        <v>0</v>
      </c>
      <c r="E134" s="29">
        <v>0</v>
      </c>
      <c r="F134" s="27">
        <f t="shared" si="12"/>
        <v>0</v>
      </c>
      <c r="H134" s="121">
        <v>2.08</v>
      </c>
    </row>
    <row r="135" spans="1:8" ht="15.75" thickBot="1">
      <c r="A135" s="60" t="s">
        <v>75</v>
      </c>
      <c r="B135" s="24">
        <v>1</v>
      </c>
      <c r="C135" s="24">
        <v>1</v>
      </c>
      <c r="D135" s="24">
        <v>0</v>
      </c>
      <c r="E135" s="29">
        <v>0</v>
      </c>
      <c r="F135" s="27">
        <f t="shared" si="12"/>
        <v>0</v>
      </c>
      <c r="H135" s="121">
        <v>22.17</v>
      </c>
    </row>
    <row r="136" spans="1:8" ht="15.75" thickBot="1">
      <c r="A136" s="60" t="s">
        <v>76</v>
      </c>
      <c r="B136" s="24">
        <v>26</v>
      </c>
      <c r="C136" s="24">
        <v>26</v>
      </c>
      <c r="D136" s="24">
        <v>0</v>
      </c>
      <c r="E136" s="29">
        <v>0</v>
      </c>
      <c r="F136" s="27">
        <f t="shared" si="12"/>
        <v>0</v>
      </c>
      <c r="H136" s="121">
        <v>2.66</v>
      </c>
    </row>
    <row r="137" spans="1:8">
      <c r="A137" s="60" t="s">
        <v>77</v>
      </c>
      <c r="B137" s="24">
        <v>13</v>
      </c>
      <c r="C137" s="24">
        <v>13</v>
      </c>
      <c r="D137" s="24">
        <v>0</v>
      </c>
      <c r="E137" s="29">
        <v>0</v>
      </c>
      <c r="F137" s="27">
        <f t="shared" si="12"/>
        <v>0</v>
      </c>
      <c r="H137" s="121">
        <v>1.81</v>
      </c>
    </row>
    <row r="138" spans="1:8" ht="16.5" thickBot="1">
      <c r="A138" s="203" t="s">
        <v>78</v>
      </c>
      <c r="B138" s="23"/>
      <c r="C138" s="23"/>
      <c r="D138" s="28"/>
      <c r="E138" s="28"/>
      <c r="F138" s="28"/>
      <c r="H138" s="121"/>
    </row>
    <row r="139" spans="1:8" ht="18.75" thickBot="1">
      <c r="A139" s="202" t="s">
        <v>261</v>
      </c>
      <c r="B139" s="24">
        <v>89</v>
      </c>
      <c r="C139" s="24">
        <v>89</v>
      </c>
      <c r="D139" s="24">
        <v>0</v>
      </c>
      <c r="E139" s="29">
        <v>0</v>
      </c>
      <c r="F139" s="27">
        <f t="shared" ref="F139:F142" si="13">ROUND(D139+E139,2)</f>
        <v>0</v>
      </c>
      <c r="H139" s="121">
        <v>1.65</v>
      </c>
    </row>
    <row r="140" spans="1:8" ht="15.75" thickBot="1">
      <c r="A140" s="204" t="s">
        <v>248</v>
      </c>
      <c r="B140" s="24">
        <v>27</v>
      </c>
      <c r="C140" s="24">
        <v>27</v>
      </c>
      <c r="D140" s="24">
        <v>0</v>
      </c>
      <c r="E140" s="29">
        <v>0</v>
      </c>
      <c r="F140" s="27">
        <f t="shared" si="13"/>
        <v>0</v>
      </c>
      <c r="H140" s="121"/>
    </row>
    <row r="141" spans="1:8" ht="15.75" thickBot="1">
      <c r="A141" s="60" t="s">
        <v>79</v>
      </c>
      <c r="B141" s="24">
        <v>4</v>
      </c>
      <c r="C141" s="24">
        <v>4</v>
      </c>
      <c r="D141" s="24">
        <v>0</v>
      </c>
      <c r="E141" s="29">
        <v>0</v>
      </c>
      <c r="F141" s="27">
        <f t="shared" si="13"/>
        <v>0</v>
      </c>
      <c r="H141" s="121">
        <v>2.1</v>
      </c>
    </row>
    <row r="142" spans="1:8">
      <c r="A142" s="60" t="s">
        <v>80</v>
      </c>
      <c r="B142" s="24">
        <v>1</v>
      </c>
      <c r="C142" s="24">
        <v>1</v>
      </c>
      <c r="D142" s="24">
        <v>0</v>
      </c>
      <c r="E142" s="29">
        <v>0</v>
      </c>
      <c r="F142" s="27">
        <f t="shared" si="13"/>
        <v>0</v>
      </c>
      <c r="H142" s="121"/>
    </row>
    <row r="143" spans="1:8" ht="16.5" thickBot="1">
      <c r="A143" s="203" t="s">
        <v>81</v>
      </c>
      <c r="B143" s="23"/>
      <c r="C143" s="23"/>
      <c r="D143" s="24"/>
      <c r="E143" s="28"/>
      <c r="F143" s="28"/>
      <c r="H143" s="121"/>
    </row>
    <row r="144" spans="1:8" ht="15.75" thickBot="1">
      <c r="A144" s="60" t="s">
        <v>82</v>
      </c>
      <c r="B144" s="24">
        <v>1</v>
      </c>
      <c r="C144" s="24">
        <v>1</v>
      </c>
      <c r="D144" s="24">
        <v>0</v>
      </c>
      <c r="E144" s="29">
        <v>0</v>
      </c>
      <c r="F144" s="27">
        <f t="shared" ref="F144:F150" si="14">ROUND(D144+E144,2)</f>
        <v>0</v>
      </c>
      <c r="H144" s="121">
        <v>80.86</v>
      </c>
    </row>
    <row r="145" spans="1:14" ht="15.75" thickBot="1">
      <c r="A145" s="60" t="s">
        <v>83</v>
      </c>
      <c r="B145" s="24">
        <v>55</v>
      </c>
      <c r="C145" s="24">
        <v>55</v>
      </c>
      <c r="D145" s="24">
        <v>0</v>
      </c>
      <c r="E145" s="29">
        <v>0</v>
      </c>
      <c r="F145" s="27">
        <f t="shared" si="14"/>
        <v>0</v>
      </c>
      <c r="H145" s="121">
        <v>80.86</v>
      </c>
    </row>
    <row r="146" spans="1:14" ht="15.75" thickBot="1">
      <c r="A146" s="60" t="s">
        <v>275</v>
      </c>
      <c r="B146" s="24">
        <v>120</v>
      </c>
      <c r="C146" s="24">
        <v>120</v>
      </c>
      <c r="D146" s="24">
        <v>0</v>
      </c>
      <c r="E146" s="29">
        <v>0</v>
      </c>
      <c r="F146" s="27">
        <f t="shared" si="14"/>
        <v>0</v>
      </c>
      <c r="H146" s="121">
        <v>80.86</v>
      </c>
    </row>
    <row r="147" spans="1:14" ht="15.75" thickBot="1">
      <c r="A147" s="60" t="s">
        <v>84</v>
      </c>
      <c r="B147" s="24">
        <v>1</v>
      </c>
      <c r="C147" s="24">
        <v>1</v>
      </c>
      <c r="D147" s="24">
        <v>0</v>
      </c>
      <c r="E147" s="29">
        <v>0</v>
      </c>
      <c r="F147" s="27">
        <f t="shared" si="14"/>
        <v>0</v>
      </c>
      <c r="H147" s="121"/>
    </row>
    <row r="148" spans="1:14" ht="15.75" thickBot="1">
      <c r="A148" s="60" t="s">
        <v>89</v>
      </c>
      <c r="B148" s="24">
        <v>1</v>
      </c>
      <c r="C148" s="24">
        <v>1</v>
      </c>
      <c r="D148" s="24">
        <v>0</v>
      </c>
      <c r="E148" s="29">
        <v>0</v>
      </c>
      <c r="F148" s="27">
        <f t="shared" si="14"/>
        <v>0</v>
      </c>
      <c r="H148" s="121"/>
    </row>
    <row r="149" spans="1:14" ht="15.75" thickBot="1">
      <c r="A149" s="60" t="s">
        <v>85</v>
      </c>
      <c r="B149" s="24">
        <v>1</v>
      </c>
      <c r="C149" s="24">
        <v>1</v>
      </c>
      <c r="D149" s="24">
        <v>0</v>
      </c>
      <c r="E149" s="29">
        <v>0</v>
      </c>
      <c r="F149" s="27">
        <f t="shared" si="14"/>
        <v>0</v>
      </c>
      <c r="H149" s="121">
        <v>40.450000000000003</v>
      </c>
    </row>
    <row r="150" spans="1:14">
      <c r="A150" s="60" t="s">
        <v>86</v>
      </c>
      <c r="B150" s="24">
        <v>1</v>
      </c>
      <c r="C150" s="24">
        <v>1</v>
      </c>
      <c r="D150" s="24">
        <v>0</v>
      </c>
      <c r="E150" s="29">
        <v>0</v>
      </c>
      <c r="F150" s="27">
        <f t="shared" si="14"/>
        <v>0</v>
      </c>
      <c r="H150" s="121"/>
    </row>
    <row r="151" spans="1:14" ht="16.5" thickBot="1">
      <c r="A151" s="203" t="s">
        <v>87</v>
      </c>
      <c r="B151" s="23"/>
      <c r="C151" s="23"/>
      <c r="D151" s="28"/>
      <c r="E151" s="28"/>
      <c r="F151" s="28"/>
      <c r="H151" s="121"/>
    </row>
    <row r="152" spans="1:14" ht="15.75" thickBot="1">
      <c r="A152" s="60" t="s">
        <v>88</v>
      </c>
      <c r="B152" s="24">
        <v>1</v>
      </c>
      <c r="C152" s="24">
        <v>1</v>
      </c>
      <c r="D152" s="24">
        <v>0</v>
      </c>
      <c r="E152" s="29">
        <v>0</v>
      </c>
      <c r="F152" s="27">
        <f t="shared" ref="F152:F154" si="15">ROUND(D152+E152,2)</f>
        <v>0</v>
      </c>
      <c r="H152" s="121">
        <v>1</v>
      </c>
    </row>
    <row r="153" spans="1:14" ht="15.75" thickBot="1">
      <c r="A153" s="60" t="s">
        <v>135</v>
      </c>
      <c r="B153" s="24">
        <v>1</v>
      </c>
      <c r="C153" s="24">
        <v>1</v>
      </c>
      <c r="D153" s="24">
        <v>0</v>
      </c>
      <c r="E153" s="29">
        <v>0</v>
      </c>
      <c r="F153" s="27">
        <f t="shared" si="15"/>
        <v>0</v>
      </c>
      <c r="H153" s="121">
        <v>1.48</v>
      </c>
    </row>
    <row r="154" spans="1:14" ht="15.75" thickBot="1">
      <c r="A154" s="60" t="s">
        <v>136</v>
      </c>
      <c r="B154" s="24">
        <v>1</v>
      </c>
      <c r="C154" s="24">
        <v>1</v>
      </c>
      <c r="D154" s="24">
        <v>0</v>
      </c>
      <c r="E154" s="29">
        <v>0</v>
      </c>
      <c r="F154" s="27">
        <f t="shared" si="15"/>
        <v>0</v>
      </c>
      <c r="H154" s="125">
        <v>1.6</v>
      </c>
    </row>
    <row r="155" spans="1:14" ht="15.75">
      <c r="A155" s="108" t="s">
        <v>172</v>
      </c>
      <c r="B155" s="113"/>
      <c r="C155" s="113"/>
      <c r="D155" s="142"/>
      <c r="E155" s="142"/>
      <c r="F155" s="110">
        <f>12*SUMPRODUCT(F104:F111*$C$104:$C$111)+12* C113*F113+12*SUMPRODUCT(C115:C122*F115:F122)+12*SUMPRODUCT(C124:C127*F124:F127)+12*C129*F129+12*SUMPRODUCT(F131:F154*$C$131:$C$154)</f>
        <v>0</v>
      </c>
    </row>
    <row r="156" spans="1:14" ht="15.75" thickBot="1">
      <c r="A156" s="69"/>
      <c r="B156" s="26"/>
      <c r="C156" s="26"/>
      <c r="D156" s="16"/>
      <c r="E156" s="16"/>
      <c r="F156" s="16"/>
    </row>
    <row r="157" spans="1:14" ht="16.5" thickBot="1">
      <c r="A157" s="90" t="s">
        <v>209</v>
      </c>
      <c r="B157" s="91"/>
      <c r="C157" s="91"/>
      <c r="D157" s="92"/>
      <c r="E157" s="92"/>
      <c r="F157" s="93">
        <f>F99+F155</f>
        <v>0</v>
      </c>
      <c r="G157" s="124" t="s">
        <v>197</v>
      </c>
      <c r="H157" s="91"/>
      <c r="I157" s="105"/>
      <c r="J157" s="91"/>
      <c r="K157" s="102">
        <f t="shared" ref="K157:N157" si="16">K99</f>
        <v>0</v>
      </c>
      <c r="L157" s="102">
        <f t="shared" si="16"/>
        <v>0</v>
      </c>
      <c r="M157" s="102">
        <f t="shared" si="16"/>
        <v>0</v>
      </c>
      <c r="N157" s="102">
        <f t="shared" si="16"/>
        <v>0</v>
      </c>
    </row>
    <row r="160" spans="1:14" ht="15.75">
      <c r="A160" s="61" t="s">
        <v>127</v>
      </c>
    </row>
    <row r="161" spans="1:1" ht="18">
      <c r="A161" s="61" t="s">
        <v>259</v>
      </c>
    </row>
    <row r="162" spans="1:1" ht="15.75">
      <c r="A162" s="61" t="s">
        <v>260</v>
      </c>
    </row>
    <row r="163" spans="1:1" ht="15.75">
      <c r="A163" s="61" t="s">
        <v>203</v>
      </c>
    </row>
    <row r="164" spans="1:1" ht="15.75">
      <c r="A164" s="61" t="s">
        <v>129</v>
      </c>
    </row>
    <row r="165" spans="1:1" ht="15.75">
      <c r="A165" s="61" t="s">
        <v>204</v>
      </c>
    </row>
    <row r="166" spans="1:1" ht="15.75">
      <c r="A166" s="61" t="s">
        <v>205</v>
      </c>
    </row>
    <row r="167" spans="1:1" ht="15.75">
      <c r="A167" s="61" t="s">
        <v>206</v>
      </c>
    </row>
    <row r="168" spans="1:1" ht="15.75">
      <c r="A168" s="61" t="s">
        <v>207</v>
      </c>
    </row>
    <row r="169" spans="1:1" ht="15.75">
      <c r="A169" s="61" t="s">
        <v>252</v>
      </c>
    </row>
    <row r="170" spans="1:1" ht="15.75">
      <c r="A170" s="61" t="s">
        <v>253</v>
      </c>
    </row>
    <row r="171" spans="1:1" ht="15.75">
      <c r="A171" s="61" t="s">
        <v>182</v>
      </c>
    </row>
    <row r="172" spans="1:1" ht="15.75">
      <c r="A172" s="61" t="s">
        <v>183</v>
      </c>
    </row>
  </sheetData>
  <sheetProtection password="A2DE" sheet="1" objects="1" scenarios="1"/>
  <mergeCells count="1">
    <mergeCell ref="K5:N5"/>
  </mergeCells>
  <pageMargins left="0.7" right="0.7" top="0.75" bottom="0.75" header="0.3" footer="0.3"/>
  <pageSetup paperSize="17" scale="7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M57"/>
  <sheetViews>
    <sheetView showGridLines="0" zoomScaleNormal="100" zoomScaleSheetLayoutView="100" workbookViewId="0">
      <pane xSplit="1" topLeftCell="B1" activePane="topRight" state="frozen"/>
      <selection pane="topRight" activeCell="M57" sqref="A1:M57"/>
    </sheetView>
  </sheetViews>
  <sheetFormatPr defaultColWidth="8.6640625" defaultRowHeight="15"/>
  <cols>
    <col min="1" max="1" width="48" style="12" customWidth="1"/>
    <col min="2" max="2" width="10.77734375" style="25" customWidth="1"/>
    <col min="3" max="3" width="11.21875" style="25" bestFit="1" customWidth="1"/>
    <col min="4" max="5" width="13.77734375" style="25" customWidth="1"/>
    <col min="6" max="6" width="13.77734375" style="12" customWidth="1"/>
    <col min="7" max="7" width="8.77734375" style="12" customWidth="1"/>
    <col min="8" max="8" width="10" style="12" bestFit="1" customWidth="1"/>
    <col min="9" max="10" width="8.77734375" style="12" customWidth="1"/>
    <col min="11" max="11" width="20.77734375" style="12" customWidth="1"/>
    <col min="12" max="12" width="18.77734375" style="12" customWidth="1"/>
    <col min="13" max="13" width="22.77734375" style="12" customWidth="1"/>
    <col min="14" max="14" width="12.6640625" style="12" customWidth="1"/>
    <col min="15" max="16384" width="8.6640625" style="12"/>
  </cols>
  <sheetData>
    <row r="1" spans="1:13" ht="18">
      <c r="A1" s="231" t="s">
        <v>264</v>
      </c>
    </row>
    <row r="3" spans="1:13" ht="21.75" customHeight="1">
      <c r="A3" s="70" t="s">
        <v>12</v>
      </c>
      <c r="B3" s="247" t="s">
        <v>256</v>
      </c>
      <c r="C3" s="247"/>
      <c r="D3" s="247"/>
      <c r="E3" s="247"/>
      <c r="F3" s="248"/>
      <c r="G3" s="71"/>
      <c r="H3" s="15"/>
      <c r="I3" s="15"/>
    </row>
    <row r="4" spans="1:13" ht="18" customHeight="1" thickBot="1">
      <c r="A4" s="72" t="s">
        <v>13</v>
      </c>
      <c r="B4" s="73"/>
      <c r="C4" s="73"/>
      <c r="D4" s="73"/>
      <c r="E4" s="73"/>
      <c r="F4" s="74"/>
      <c r="G4" s="71"/>
      <c r="H4" s="15"/>
      <c r="I4" s="15"/>
    </row>
    <row r="5" spans="1:13" ht="18" customHeight="1" thickBot="1">
      <c r="A5" s="75" t="s">
        <v>17</v>
      </c>
      <c r="B5" s="76"/>
      <c r="C5" s="77"/>
      <c r="D5" s="77"/>
      <c r="E5" s="77"/>
      <c r="F5" s="78"/>
      <c r="G5" s="79"/>
      <c r="K5" s="242" t="s">
        <v>268</v>
      </c>
      <c r="L5" s="245"/>
      <c r="M5" s="246"/>
    </row>
    <row r="6" spans="1:13" ht="15.75">
      <c r="A6" s="80"/>
      <c r="B6" s="5"/>
      <c r="C6" s="5"/>
      <c r="D6" s="5"/>
      <c r="E6" s="5"/>
      <c r="F6" s="81"/>
      <c r="H6" s="10"/>
      <c r="I6" s="11"/>
      <c r="K6" s="20"/>
      <c r="L6" s="20" t="s">
        <v>223</v>
      </c>
      <c r="M6" s="20" t="s">
        <v>234</v>
      </c>
    </row>
    <row r="7" spans="1:13" ht="15.75">
      <c r="A7" s="80"/>
      <c r="B7" s="5"/>
      <c r="C7" s="5"/>
      <c r="D7" s="5"/>
      <c r="E7" s="5"/>
      <c r="F7" s="81" t="s">
        <v>21</v>
      </c>
      <c r="H7" s="10"/>
      <c r="I7" s="11"/>
      <c r="K7" s="20" t="s">
        <v>219</v>
      </c>
      <c r="L7" s="20" t="s">
        <v>221</v>
      </c>
      <c r="M7" s="20" t="s">
        <v>195</v>
      </c>
    </row>
    <row r="8" spans="1:13" ht="15.75">
      <c r="A8" s="80"/>
      <c r="B8" s="5" t="s">
        <v>216</v>
      </c>
      <c r="C8" s="5" t="s">
        <v>21</v>
      </c>
      <c r="D8" s="5" t="s">
        <v>21</v>
      </c>
      <c r="E8" s="5" t="s">
        <v>21</v>
      </c>
      <c r="F8" s="81" t="s">
        <v>0</v>
      </c>
      <c r="H8" s="10"/>
      <c r="I8" s="11"/>
      <c r="K8" s="20" t="s">
        <v>20</v>
      </c>
      <c r="L8" s="20" t="s">
        <v>222</v>
      </c>
      <c r="M8" s="20" t="s">
        <v>233</v>
      </c>
    </row>
    <row r="9" spans="1:13" ht="15.75">
      <c r="A9" s="82" t="s">
        <v>3</v>
      </c>
      <c r="B9" s="5" t="s">
        <v>165</v>
      </c>
      <c r="C9" s="5" t="s">
        <v>165</v>
      </c>
      <c r="D9" s="5" t="s">
        <v>19</v>
      </c>
      <c r="E9" s="5" t="s">
        <v>20</v>
      </c>
      <c r="F9" s="81" t="s">
        <v>1</v>
      </c>
      <c r="K9" s="20" t="s">
        <v>220</v>
      </c>
      <c r="L9" s="20" t="s">
        <v>224</v>
      </c>
      <c r="M9" s="20" t="s">
        <v>235</v>
      </c>
    </row>
    <row r="10" spans="1:13" ht="16.5" thickBot="1">
      <c r="A10" s="210" t="s">
        <v>18</v>
      </c>
      <c r="B10" s="6" t="s">
        <v>16</v>
      </c>
      <c r="C10" s="6" t="s">
        <v>16</v>
      </c>
      <c r="D10" s="6" t="s">
        <v>2</v>
      </c>
      <c r="E10" s="6" t="s">
        <v>2</v>
      </c>
      <c r="F10" s="83" t="s">
        <v>2</v>
      </c>
      <c r="K10" s="20" t="s">
        <v>218</v>
      </c>
      <c r="L10" s="20" t="s">
        <v>225</v>
      </c>
      <c r="M10" s="20" t="s">
        <v>236</v>
      </c>
    </row>
    <row r="11" spans="1:13">
      <c r="A11" s="204" t="s">
        <v>124</v>
      </c>
      <c r="B11" s="179"/>
      <c r="C11" s="223">
        <v>0</v>
      </c>
      <c r="D11" s="182">
        <v>0</v>
      </c>
      <c r="E11" s="182">
        <v>0</v>
      </c>
      <c r="F11" s="3">
        <f t="shared" ref="F11:F19" si="0">ROUND(D11+E11,2)</f>
        <v>0</v>
      </c>
      <c r="G11" s="147"/>
      <c r="H11" s="109"/>
      <c r="I11" s="109"/>
      <c r="J11" s="148"/>
      <c r="K11" s="144">
        <v>0</v>
      </c>
      <c r="L11" s="144">
        <v>0</v>
      </c>
      <c r="M11" s="144">
        <v>0</v>
      </c>
    </row>
    <row r="12" spans="1:13">
      <c r="A12" s="204" t="s">
        <v>14</v>
      </c>
      <c r="B12" s="212">
        <v>6046</v>
      </c>
      <c r="C12" s="224">
        <v>0</v>
      </c>
      <c r="D12" s="17">
        <v>0</v>
      </c>
      <c r="E12" s="17">
        <v>0</v>
      </c>
      <c r="F12" s="3">
        <f t="shared" si="0"/>
        <v>0</v>
      </c>
      <c r="G12" s="147"/>
      <c r="H12" s="142"/>
      <c r="I12" s="142"/>
      <c r="J12" s="148"/>
      <c r="K12" s="100">
        <v>0</v>
      </c>
      <c r="L12" s="100">
        <v>0</v>
      </c>
      <c r="M12" s="100">
        <v>0</v>
      </c>
    </row>
    <row r="13" spans="1:13">
      <c r="A13" s="204" t="s">
        <v>15</v>
      </c>
      <c r="B13" s="212">
        <f>13361+471+184*2+6*3+1*4</f>
        <v>14222</v>
      </c>
      <c r="C13" s="212">
        <f>29176-SUM(C14:C16)-C11-C12</f>
        <v>29176</v>
      </c>
      <c r="D13" s="17">
        <v>0</v>
      </c>
      <c r="E13" s="17">
        <v>0</v>
      </c>
      <c r="F13" s="3">
        <f t="shared" si="0"/>
        <v>0</v>
      </c>
      <c r="G13" s="147"/>
      <c r="H13" s="142"/>
      <c r="I13" s="142"/>
      <c r="J13" s="148"/>
      <c r="K13" s="100">
        <v>0</v>
      </c>
      <c r="L13" s="100">
        <v>0</v>
      </c>
      <c r="M13" s="100">
        <v>0</v>
      </c>
    </row>
    <row r="14" spans="1:13">
      <c r="A14" s="204" t="s">
        <v>140</v>
      </c>
      <c r="B14" s="213"/>
      <c r="C14" s="225">
        <v>0</v>
      </c>
      <c r="D14" s="17">
        <v>0</v>
      </c>
      <c r="E14" s="17">
        <v>0</v>
      </c>
      <c r="F14" s="3">
        <f t="shared" si="0"/>
        <v>0</v>
      </c>
      <c r="G14" s="147"/>
      <c r="H14" s="142"/>
      <c r="I14" s="142"/>
      <c r="J14" s="148"/>
      <c r="K14" s="100">
        <v>0</v>
      </c>
      <c r="L14" s="100">
        <v>0</v>
      </c>
      <c r="M14" s="100">
        <v>0</v>
      </c>
    </row>
    <row r="15" spans="1:13">
      <c r="A15" s="204" t="s">
        <v>133</v>
      </c>
      <c r="B15" s="212">
        <v>6424</v>
      </c>
      <c r="C15" s="224">
        <v>0</v>
      </c>
      <c r="D15" s="17">
        <v>0</v>
      </c>
      <c r="E15" s="17">
        <v>0</v>
      </c>
      <c r="F15" s="3">
        <f t="shared" si="0"/>
        <v>0</v>
      </c>
      <c r="G15" s="147"/>
      <c r="H15" s="142"/>
      <c r="I15" s="142"/>
      <c r="J15" s="148"/>
      <c r="K15" s="100">
        <v>0</v>
      </c>
      <c r="L15" s="100">
        <v>0</v>
      </c>
      <c r="M15" s="100">
        <v>0</v>
      </c>
    </row>
    <row r="16" spans="1:13" ht="15.75" thickBot="1">
      <c r="A16" s="204" t="s">
        <v>134</v>
      </c>
      <c r="B16" s="212">
        <v>2484</v>
      </c>
      <c r="C16" s="224">
        <v>0</v>
      </c>
      <c r="D16" s="17">
        <v>0</v>
      </c>
      <c r="E16" s="17">
        <v>0</v>
      </c>
      <c r="F16" s="110">
        <f t="shared" si="0"/>
        <v>0</v>
      </c>
      <c r="G16" s="169"/>
      <c r="H16" s="155"/>
      <c r="I16" s="155"/>
      <c r="J16" s="156"/>
      <c r="K16" s="157">
        <v>0</v>
      </c>
      <c r="L16" s="157">
        <v>0</v>
      </c>
      <c r="M16" s="157">
        <v>0</v>
      </c>
    </row>
    <row r="17" spans="1:13">
      <c r="A17" s="211" t="s">
        <v>121</v>
      </c>
      <c r="B17" s="214">
        <f>471+2*184+6*3+1*4</f>
        <v>861</v>
      </c>
      <c r="C17" s="226">
        <v>861</v>
      </c>
      <c r="D17" s="34" t="s">
        <v>215</v>
      </c>
      <c r="E17" s="182">
        <v>0</v>
      </c>
      <c r="F17" s="110">
        <f t="shared" si="0"/>
        <v>0</v>
      </c>
      <c r="G17" s="170"/>
      <c r="H17" s="109"/>
      <c r="I17" s="109"/>
      <c r="J17" s="109"/>
      <c r="K17" s="160"/>
      <c r="L17" s="161"/>
      <c r="M17" s="162"/>
    </row>
    <row r="18" spans="1:13" ht="15.75">
      <c r="A18" s="205"/>
      <c r="B18" s="215"/>
      <c r="C18" s="57" t="s">
        <v>212</v>
      </c>
      <c r="D18" s="39"/>
      <c r="E18" s="39"/>
      <c r="F18" s="172" t="s">
        <v>211</v>
      </c>
      <c r="G18" s="170"/>
      <c r="H18" s="109"/>
      <c r="I18" s="109"/>
      <c r="J18" s="109"/>
      <c r="K18" s="163"/>
      <c r="L18" s="164"/>
      <c r="M18" s="165"/>
    </row>
    <row r="19" spans="1:13" ht="15.75" thickBot="1">
      <c r="A19" s="208" t="s">
        <v>157</v>
      </c>
      <c r="B19" s="216">
        <v>1778</v>
      </c>
      <c r="C19" s="216">
        <v>1778</v>
      </c>
      <c r="D19" s="183">
        <v>0</v>
      </c>
      <c r="E19" s="183">
        <v>0</v>
      </c>
      <c r="F19" s="149">
        <f t="shared" si="0"/>
        <v>0</v>
      </c>
      <c r="G19" s="159"/>
      <c r="H19" s="158"/>
      <c r="I19" s="159"/>
      <c r="J19" s="158"/>
      <c r="K19" s="166"/>
      <c r="L19" s="167"/>
      <c r="M19" s="168"/>
    </row>
    <row r="20" spans="1:13" ht="16.5" thickBot="1">
      <c r="A20" s="151" t="s">
        <v>171</v>
      </c>
      <c r="B20" s="152"/>
      <c r="C20" s="152"/>
      <c r="D20" s="153"/>
      <c r="E20" s="153"/>
      <c r="F20" s="173">
        <f>12*SUMPRODUCT($C$11:$C$17*F11:F17)+12*C19*F19</f>
        <v>0</v>
      </c>
      <c r="G20" s="171" t="s">
        <v>197</v>
      </c>
      <c r="H20" s="154"/>
      <c r="I20" s="154"/>
      <c r="J20" s="154"/>
      <c r="K20" s="153">
        <f t="shared" ref="K20:M20" si="1">12*SUMPRODUCT($C$11:$C$17*K11:K17)</f>
        <v>0</v>
      </c>
      <c r="L20" s="153">
        <f t="shared" si="1"/>
        <v>0</v>
      </c>
      <c r="M20" s="153">
        <f t="shared" si="1"/>
        <v>0</v>
      </c>
    </row>
    <row r="21" spans="1:13" ht="15.75" thickBot="1">
      <c r="A21" s="150"/>
      <c r="B21" s="217"/>
      <c r="C21" s="217"/>
      <c r="D21" s="180"/>
      <c r="E21" s="180"/>
      <c r="F21" s="180"/>
      <c r="G21" s="14"/>
      <c r="I21" s="16"/>
      <c r="K21" s="9"/>
      <c r="L21" s="8"/>
    </row>
    <row r="22" spans="1:13" ht="15.75">
      <c r="A22" s="146"/>
      <c r="B22" s="218"/>
      <c r="C22" s="218"/>
      <c r="D22" s="181"/>
      <c r="E22" s="181"/>
      <c r="F22" s="181"/>
      <c r="G22" s="14"/>
      <c r="H22" s="116" t="s">
        <v>181</v>
      </c>
      <c r="I22" s="16"/>
      <c r="K22" s="9"/>
      <c r="L22" s="8"/>
    </row>
    <row r="23" spans="1:13" ht="15.75">
      <c r="A23" s="146"/>
      <c r="B23" s="218"/>
      <c r="C23" s="218"/>
      <c r="D23" s="181"/>
      <c r="E23" s="181"/>
      <c r="F23" s="181"/>
      <c r="G23" s="14"/>
      <c r="H23" s="117" t="s">
        <v>198</v>
      </c>
      <c r="I23" s="16"/>
      <c r="K23" s="9"/>
      <c r="L23" s="8"/>
    </row>
    <row r="24" spans="1:13" ht="16.5" thickBot="1">
      <c r="A24" s="207" t="s">
        <v>122</v>
      </c>
      <c r="B24" s="218"/>
      <c r="C24" s="57" t="s">
        <v>213</v>
      </c>
      <c r="D24" s="145"/>
      <c r="E24" s="145"/>
      <c r="F24" s="174" t="s">
        <v>214</v>
      </c>
      <c r="G24" s="2"/>
      <c r="H24" s="118" t="s">
        <v>199</v>
      </c>
      <c r="I24" s="2"/>
      <c r="K24" s="7"/>
      <c r="L24" s="8"/>
    </row>
    <row r="25" spans="1:13">
      <c r="A25" s="204" t="s">
        <v>139</v>
      </c>
      <c r="B25" s="214">
        <f>1248/12</f>
        <v>104</v>
      </c>
      <c r="C25" s="214">
        <f>1248/12</f>
        <v>104</v>
      </c>
      <c r="D25" s="18"/>
      <c r="E25" s="17">
        <v>0</v>
      </c>
      <c r="F25" s="3">
        <f>ROUND(D25+E25,2)</f>
        <v>0</v>
      </c>
      <c r="G25" s="14"/>
      <c r="H25" s="143">
        <v>2.86</v>
      </c>
      <c r="I25" s="16"/>
      <c r="K25" s="1"/>
      <c r="L25" s="2"/>
    </row>
    <row r="26" spans="1:13">
      <c r="A26" s="204" t="s">
        <v>123</v>
      </c>
      <c r="B26" s="214">
        <v>1579</v>
      </c>
      <c r="C26" s="214">
        <v>1579</v>
      </c>
      <c r="D26" s="18"/>
      <c r="E26" s="17">
        <v>0</v>
      </c>
      <c r="F26" s="3">
        <f>ROUND(D26+E26,2)</f>
        <v>0</v>
      </c>
      <c r="G26" s="14"/>
      <c r="H26" s="175">
        <v>1.6</v>
      </c>
      <c r="I26" s="16"/>
      <c r="K26" s="1"/>
      <c r="L26" s="2"/>
    </row>
    <row r="27" spans="1:13" ht="15.75">
      <c r="A27" s="209" t="s">
        <v>160</v>
      </c>
      <c r="B27" s="219"/>
      <c r="C27" s="227"/>
      <c r="D27" s="42"/>
      <c r="E27" s="42"/>
      <c r="F27" s="4"/>
      <c r="G27" s="14"/>
      <c r="H27" s="175"/>
      <c r="I27" s="16"/>
      <c r="K27" s="1"/>
      <c r="L27" s="2"/>
    </row>
    <row r="28" spans="1:13">
      <c r="A28" s="204" t="s">
        <v>161</v>
      </c>
      <c r="B28" s="220">
        <v>63</v>
      </c>
      <c r="C28" s="220">
        <v>63</v>
      </c>
      <c r="D28" s="18"/>
      <c r="E28" s="17">
        <v>0</v>
      </c>
      <c r="F28" s="3">
        <f>ROUND(D28+E28,2)</f>
        <v>0</v>
      </c>
      <c r="G28" s="14"/>
      <c r="H28" s="175">
        <v>10.199999999999999</v>
      </c>
      <c r="I28" s="16"/>
      <c r="K28" s="1"/>
      <c r="L28" s="2"/>
    </row>
    <row r="29" spans="1:13">
      <c r="A29" s="204" t="s">
        <v>162</v>
      </c>
      <c r="B29" s="220">
        <v>87</v>
      </c>
      <c r="C29" s="220">
        <v>87</v>
      </c>
      <c r="D29" s="17">
        <v>0</v>
      </c>
      <c r="E29" s="17">
        <v>0</v>
      </c>
      <c r="F29" s="3">
        <f>ROUND(D29+E29,2)</f>
        <v>0</v>
      </c>
      <c r="G29" s="14"/>
      <c r="H29" s="175">
        <v>9.6</v>
      </c>
      <c r="I29" s="16"/>
      <c r="K29" s="1"/>
      <c r="L29" s="2"/>
    </row>
    <row r="30" spans="1:13">
      <c r="A30" s="204" t="s">
        <v>163</v>
      </c>
      <c r="B30" s="220">
        <v>1</v>
      </c>
      <c r="C30" s="220">
        <v>1</v>
      </c>
      <c r="D30" s="17">
        <v>0</v>
      </c>
      <c r="E30" s="17">
        <v>0</v>
      </c>
      <c r="F30" s="3">
        <f>ROUND(D30+E30,2)</f>
        <v>0</v>
      </c>
      <c r="G30" s="14"/>
      <c r="H30" s="175"/>
      <c r="I30" s="16"/>
      <c r="K30" s="1"/>
      <c r="L30" s="2"/>
    </row>
    <row r="31" spans="1:13" ht="15.75">
      <c r="A31" s="203" t="s">
        <v>70</v>
      </c>
      <c r="B31" s="221"/>
      <c r="C31" s="228"/>
      <c r="D31" s="19"/>
      <c r="E31" s="19"/>
      <c r="F31" s="4"/>
      <c r="H31" s="175"/>
    </row>
    <row r="32" spans="1:13">
      <c r="A32" s="204" t="s">
        <v>71</v>
      </c>
      <c r="B32" s="220">
        <f>156/12</f>
        <v>13</v>
      </c>
      <c r="C32" s="220">
        <f>156/12</f>
        <v>13</v>
      </c>
      <c r="D32" s="18"/>
      <c r="E32" s="17">
        <v>0</v>
      </c>
      <c r="F32" s="3">
        <f>ROUND(D32+E32,2)</f>
        <v>0</v>
      </c>
      <c r="G32" s="14"/>
      <c r="H32" s="175">
        <v>5.73</v>
      </c>
      <c r="I32" s="16"/>
    </row>
    <row r="33" spans="1:13">
      <c r="A33" s="204" t="s">
        <v>72</v>
      </c>
      <c r="B33" s="220">
        <v>21</v>
      </c>
      <c r="C33" s="220">
        <v>21</v>
      </c>
      <c r="D33" s="18"/>
      <c r="E33" s="17">
        <v>0</v>
      </c>
      <c r="F33" s="3">
        <f>ROUND(D33+E33,2)</f>
        <v>0</v>
      </c>
      <c r="G33" s="14"/>
      <c r="H33" s="175">
        <v>5.25</v>
      </c>
      <c r="I33" s="16"/>
    </row>
    <row r="34" spans="1:13">
      <c r="A34" s="204" t="s">
        <v>73</v>
      </c>
      <c r="B34" s="220">
        <v>31</v>
      </c>
      <c r="C34" s="220">
        <v>31</v>
      </c>
      <c r="D34" s="18"/>
      <c r="E34" s="17">
        <v>0</v>
      </c>
      <c r="F34" s="3">
        <f>ROUND(D34+E34,2)</f>
        <v>0</v>
      </c>
      <c r="G34" s="14"/>
      <c r="H34" s="175">
        <v>0.55000000000000004</v>
      </c>
      <c r="I34" s="16"/>
    </row>
    <row r="35" spans="1:13">
      <c r="A35" s="205" t="s">
        <v>128</v>
      </c>
      <c r="B35" s="220">
        <v>1</v>
      </c>
      <c r="C35" s="220">
        <v>1</v>
      </c>
      <c r="D35" s="35"/>
      <c r="E35" s="184">
        <v>0</v>
      </c>
      <c r="F35" s="36">
        <f>ROUND(D35+E35,2)</f>
        <v>0</v>
      </c>
      <c r="G35" s="14"/>
      <c r="H35" s="175"/>
      <c r="I35" s="16"/>
    </row>
    <row r="36" spans="1:13">
      <c r="A36" s="60" t="s">
        <v>79</v>
      </c>
      <c r="B36" s="220">
        <v>1</v>
      </c>
      <c r="C36" s="220">
        <v>1</v>
      </c>
      <c r="D36" s="43"/>
      <c r="E36" s="185">
        <v>0</v>
      </c>
      <c r="F36" s="44">
        <f t="shared" ref="F36:F37" si="2">ROUND(D36+E36,2)</f>
        <v>0</v>
      </c>
      <c r="G36" s="38"/>
      <c r="H36" s="175">
        <v>2.1</v>
      </c>
      <c r="I36" s="16"/>
    </row>
    <row r="37" spans="1:13">
      <c r="A37" s="60" t="s">
        <v>77</v>
      </c>
      <c r="B37" s="220">
        <v>1</v>
      </c>
      <c r="C37" s="220">
        <v>1</v>
      </c>
      <c r="D37" s="43"/>
      <c r="E37" s="185">
        <v>0</v>
      </c>
      <c r="F37" s="44">
        <f t="shared" si="2"/>
        <v>0</v>
      </c>
      <c r="G37" s="38"/>
      <c r="H37" s="175">
        <v>1.51</v>
      </c>
      <c r="I37" s="16"/>
    </row>
    <row r="38" spans="1:13">
      <c r="A38" s="204" t="s">
        <v>69</v>
      </c>
      <c r="B38" s="220">
        <f>226/12</f>
        <v>18.833333333333332</v>
      </c>
      <c r="C38" s="220">
        <f>226/12</f>
        <v>18.833333333333332</v>
      </c>
      <c r="D38" s="18"/>
      <c r="E38" s="17">
        <v>0</v>
      </c>
      <c r="F38" s="3">
        <f>ROUND(D38+E38,2)</f>
        <v>0</v>
      </c>
      <c r="G38" s="14"/>
      <c r="H38" s="175">
        <v>16.7</v>
      </c>
      <c r="I38" s="16"/>
    </row>
    <row r="39" spans="1:13" ht="15.75">
      <c r="A39" s="203" t="s">
        <v>125</v>
      </c>
      <c r="B39" s="222"/>
      <c r="C39" s="229"/>
      <c r="D39" s="19"/>
      <c r="E39" s="19"/>
      <c r="F39" s="4"/>
      <c r="H39" s="175"/>
    </row>
    <row r="40" spans="1:13">
      <c r="A40" s="204" t="s">
        <v>126</v>
      </c>
      <c r="B40" s="220">
        <v>1</v>
      </c>
      <c r="C40" s="220">
        <v>1</v>
      </c>
      <c r="D40" s="18"/>
      <c r="E40" s="17">
        <v>0</v>
      </c>
      <c r="F40" s="3">
        <f t="shared" ref="F40:F41" si="3">ROUND(D40+E40,2)</f>
        <v>0</v>
      </c>
      <c r="G40" s="14"/>
      <c r="H40" s="175"/>
      <c r="I40" s="16"/>
    </row>
    <row r="41" spans="1:13" ht="15.75" thickBot="1">
      <c r="A41" s="204" t="s">
        <v>138</v>
      </c>
      <c r="B41" s="220">
        <v>1</v>
      </c>
      <c r="C41" s="220">
        <v>1</v>
      </c>
      <c r="D41" s="18"/>
      <c r="E41" s="17">
        <v>0</v>
      </c>
      <c r="F41" s="3">
        <f t="shared" si="3"/>
        <v>0</v>
      </c>
      <c r="G41" s="14"/>
      <c r="H41" s="125"/>
      <c r="I41" s="16"/>
    </row>
    <row r="42" spans="1:13" ht="15.75">
      <c r="A42" s="108" t="s">
        <v>172</v>
      </c>
      <c r="B42" s="113"/>
      <c r="C42" s="113"/>
      <c r="D42" s="142"/>
      <c r="E42" s="142"/>
      <c r="F42" s="110">
        <f>12*SUMPRODUCT(C25:C41*F25:F41)</f>
        <v>0</v>
      </c>
    </row>
    <row r="43" spans="1:13" ht="15.75" thickBot="1"/>
    <row r="44" spans="1:13" ht="16.5" thickBot="1">
      <c r="A44" s="90" t="s">
        <v>217</v>
      </c>
      <c r="B44" s="91"/>
      <c r="C44" s="91"/>
      <c r="D44" s="92"/>
      <c r="E44" s="92"/>
      <c r="F44" s="93">
        <f>F20+F42</f>
        <v>0</v>
      </c>
      <c r="G44" s="124" t="s">
        <v>197</v>
      </c>
      <c r="H44" s="91"/>
      <c r="I44" s="105"/>
      <c r="J44" s="91"/>
      <c r="K44" s="102">
        <f>K20</f>
        <v>0</v>
      </c>
      <c r="L44" s="102">
        <f>L20</f>
        <v>0</v>
      </c>
      <c r="M44" s="102">
        <f>M20</f>
        <v>0</v>
      </c>
    </row>
    <row r="45" spans="1:13" ht="15" customHeight="1">
      <c r="H45" s="16"/>
    </row>
    <row r="47" spans="1:13" ht="15.75">
      <c r="A47" s="61" t="s">
        <v>127</v>
      </c>
    </row>
    <row r="48" spans="1:13" ht="15.75">
      <c r="A48" s="61" t="s">
        <v>203</v>
      </c>
    </row>
    <row r="49" spans="1:1" ht="15.75">
      <c r="A49" s="61" t="s">
        <v>129</v>
      </c>
    </row>
    <row r="50" spans="1:1" ht="15.75">
      <c r="A50" s="61" t="s">
        <v>227</v>
      </c>
    </row>
    <row r="51" spans="1:1" ht="15.75">
      <c r="A51" s="61" t="s">
        <v>226</v>
      </c>
    </row>
    <row r="52" spans="1:1" ht="15.75">
      <c r="A52" s="61" t="s">
        <v>228</v>
      </c>
    </row>
    <row r="53" spans="1:1" ht="15.75">
      <c r="A53" s="61" t="s">
        <v>207</v>
      </c>
    </row>
    <row r="54" spans="1:1" ht="15.75">
      <c r="A54" s="61" t="s">
        <v>229</v>
      </c>
    </row>
    <row r="55" spans="1:1" ht="15.75">
      <c r="A55" s="61" t="s">
        <v>230</v>
      </c>
    </row>
    <row r="56" spans="1:1" ht="15.75">
      <c r="A56" s="61" t="s">
        <v>231</v>
      </c>
    </row>
    <row r="57" spans="1:1" ht="15.75">
      <c r="A57" s="61" t="s">
        <v>183</v>
      </c>
    </row>
  </sheetData>
  <sheetProtection password="A2DE" sheet="1" objects="1" scenarios="1"/>
  <mergeCells count="2">
    <mergeCell ref="B3:F3"/>
    <mergeCell ref="K5:M5"/>
  </mergeCells>
  <pageMargins left="0.5" right="0.5" top="0.5" bottom="0.53" header="0.25" footer="0.25"/>
  <pageSetup paperSize="17" scale="81" orientation="landscape" useFirstPageNumber="1" r:id="rId1"/>
  <headerFooter alignWithMargins="0">
    <oddHeader>&amp;L&amp;C&amp;"Times New Roman,Bold"&amp;14Form 2A&amp;R</oddHeader>
    <oddFooter xml:space="preserve">&amp;L&amp;"Times New Roman,Regular"City of Bellevue RFB/P Forms&amp;C&amp;"Times New Roman,Regular"&amp;P&amp;R&amp;"Times New Roman,Regular"Proponent:___________________&amp;"Geneva,Regular"
</oddFooter>
  </headerFooter>
  <ignoredErrors>
    <ignoredError sqref="C1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M57"/>
  <sheetViews>
    <sheetView showGridLines="0" zoomScaleNormal="100" zoomScaleSheetLayoutView="100" workbookViewId="0">
      <pane xSplit="1" topLeftCell="B1" activePane="topRight" state="frozen"/>
      <selection pane="topRight" activeCell="M57" sqref="A1:M57"/>
    </sheetView>
  </sheetViews>
  <sheetFormatPr defaultColWidth="8.6640625" defaultRowHeight="15"/>
  <cols>
    <col min="1" max="1" width="48" style="12" customWidth="1"/>
    <col min="2" max="2" width="10.77734375" style="25" customWidth="1"/>
    <col min="3" max="3" width="11.21875" style="25" bestFit="1" customWidth="1"/>
    <col min="4" max="5" width="13.77734375" style="25" customWidth="1"/>
    <col min="6" max="6" width="13.77734375" style="12" customWidth="1"/>
    <col min="7" max="7" width="8.77734375" style="12" customWidth="1"/>
    <col min="8" max="8" width="10" style="12" bestFit="1" customWidth="1"/>
    <col min="9" max="10" width="8.77734375" style="12" customWidth="1"/>
    <col min="11" max="13" width="22.77734375" style="12" customWidth="1"/>
    <col min="14" max="14" width="12.6640625" style="12" customWidth="1"/>
    <col min="15" max="16384" width="8.6640625" style="12"/>
  </cols>
  <sheetData>
    <row r="1" spans="1:13" ht="18">
      <c r="A1" s="231" t="s">
        <v>265</v>
      </c>
    </row>
    <row r="3" spans="1:13" ht="21.75" customHeight="1">
      <c r="A3" s="70" t="s">
        <v>12</v>
      </c>
      <c r="B3" s="247" t="s">
        <v>257</v>
      </c>
      <c r="C3" s="247"/>
      <c r="D3" s="247"/>
      <c r="E3" s="247"/>
      <c r="F3" s="248"/>
      <c r="G3" s="71"/>
      <c r="H3" s="15"/>
      <c r="I3" s="15"/>
    </row>
    <row r="4" spans="1:13" ht="18" customHeight="1" thickBot="1">
      <c r="A4" s="72" t="s">
        <v>13</v>
      </c>
      <c r="B4" s="73"/>
      <c r="C4" s="73"/>
      <c r="D4" s="73"/>
      <c r="E4" s="73"/>
      <c r="F4" s="74"/>
      <c r="G4" s="71"/>
      <c r="H4" s="15"/>
      <c r="I4" s="15"/>
    </row>
    <row r="5" spans="1:13" ht="18" customHeight="1" thickBot="1">
      <c r="A5" s="75" t="s">
        <v>17</v>
      </c>
      <c r="B5" s="76"/>
      <c r="C5" s="77"/>
      <c r="D5" s="77"/>
      <c r="E5" s="77"/>
      <c r="F5" s="78"/>
      <c r="G5" s="79"/>
      <c r="K5" s="242" t="s">
        <v>268</v>
      </c>
      <c r="L5" s="245"/>
      <c r="M5" s="246"/>
    </row>
    <row r="6" spans="1:13" ht="15.75">
      <c r="A6" s="80"/>
      <c r="B6" s="5"/>
      <c r="C6" s="5"/>
      <c r="D6" s="5"/>
      <c r="E6" s="5"/>
      <c r="F6" s="81"/>
      <c r="H6" s="10"/>
      <c r="I6" s="11"/>
      <c r="K6" s="20"/>
      <c r="L6" s="20" t="s">
        <v>223</v>
      </c>
      <c r="M6" s="20" t="s">
        <v>234</v>
      </c>
    </row>
    <row r="7" spans="1:13" ht="15.75">
      <c r="A7" s="80"/>
      <c r="B7" s="5"/>
      <c r="C7" s="5"/>
      <c r="D7" s="5"/>
      <c r="E7" s="5"/>
      <c r="F7" s="81" t="s">
        <v>21</v>
      </c>
      <c r="H7" s="10"/>
      <c r="I7" s="11"/>
      <c r="K7" s="20" t="s">
        <v>219</v>
      </c>
      <c r="L7" s="20" t="s">
        <v>221</v>
      </c>
      <c r="M7" s="20" t="s">
        <v>195</v>
      </c>
    </row>
    <row r="8" spans="1:13" ht="15.75">
      <c r="A8" s="80"/>
      <c r="B8" s="5" t="s">
        <v>216</v>
      </c>
      <c r="C8" s="5" t="s">
        <v>21</v>
      </c>
      <c r="D8" s="5" t="s">
        <v>21</v>
      </c>
      <c r="E8" s="5" t="s">
        <v>21</v>
      </c>
      <c r="F8" s="81" t="s">
        <v>0</v>
      </c>
      <c r="H8" s="10"/>
      <c r="I8" s="11"/>
      <c r="K8" s="20" t="s">
        <v>20</v>
      </c>
      <c r="L8" s="20" t="s">
        <v>222</v>
      </c>
      <c r="M8" s="20" t="s">
        <v>233</v>
      </c>
    </row>
    <row r="9" spans="1:13" ht="15.75">
      <c r="A9" s="82" t="s">
        <v>3</v>
      </c>
      <c r="B9" s="5" t="s">
        <v>165</v>
      </c>
      <c r="C9" s="5" t="s">
        <v>165</v>
      </c>
      <c r="D9" s="5" t="s">
        <v>19</v>
      </c>
      <c r="E9" s="5" t="s">
        <v>20</v>
      </c>
      <c r="F9" s="81" t="s">
        <v>1</v>
      </c>
      <c r="K9" s="20" t="s">
        <v>220</v>
      </c>
      <c r="L9" s="20" t="s">
        <v>224</v>
      </c>
      <c r="M9" s="20" t="s">
        <v>235</v>
      </c>
    </row>
    <row r="10" spans="1:13" ht="16.5" thickBot="1">
      <c r="A10" s="210" t="s">
        <v>18</v>
      </c>
      <c r="B10" s="6" t="s">
        <v>16</v>
      </c>
      <c r="C10" s="6" t="s">
        <v>16</v>
      </c>
      <c r="D10" s="6" t="s">
        <v>2</v>
      </c>
      <c r="E10" s="6" t="s">
        <v>2</v>
      </c>
      <c r="F10" s="83" t="s">
        <v>2</v>
      </c>
      <c r="K10" s="20" t="s">
        <v>218</v>
      </c>
      <c r="L10" s="20" t="s">
        <v>225</v>
      </c>
      <c r="M10" s="20" t="s">
        <v>236</v>
      </c>
    </row>
    <row r="11" spans="1:13">
      <c r="A11" s="204" t="s">
        <v>124</v>
      </c>
      <c r="B11" s="214"/>
      <c r="C11" s="223">
        <v>0</v>
      </c>
      <c r="D11" s="34">
        <f>(10/32)*D13</f>
        <v>0</v>
      </c>
      <c r="E11" s="34">
        <f>(10/32)*E13</f>
        <v>0</v>
      </c>
      <c r="F11" s="3">
        <f t="shared" ref="F11:F19" si="0">ROUND(D11+E11,2)</f>
        <v>0</v>
      </c>
      <c r="G11" s="147"/>
      <c r="H11" s="109"/>
      <c r="I11" s="109"/>
      <c r="J11" s="148"/>
      <c r="K11" s="144">
        <v>0</v>
      </c>
      <c r="L11" s="144">
        <v>0</v>
      </c>
      <c r="M11" s="144">
        <v>0</v>
      </c>
    </row>
    <row r="12" spans="1:13">
      <c r="A12" s="204" t="s">
        <v>14</v>
      </c>
      <c r="B12" s="212">
        <v>6046</v>
      </c>
      <c r="C12" s="224">
        <v>0</v>
      </c>
      <c r="D12" s="18">
        <f>(20/32)*D13</f>
        <v>0</v>
      </c>
      <c r="E12" s="18">
        <f>(20/32)*E13</f>
        <v>0</v>
      </c>
      <c r="F12" s="3">
        <f t="shared" si="0"/>
        <v>0</v>
      </c>
      <c r="G12" s="147"/>
      <c r="H12" s="142"/>
      <c r="I12" s="142"/>
      <c r="J12" s="148"/>
      <c r="K12" s="100">
        <v>0</v>
      </c>
      <c r="L12" s="100">
        <v>0</v>
      </c>
      <c r="M12" s="100">
        <v>0</v>
      </c>
    </row>
    <row r="13" spans="1:13">
      <c r="A13" s="204" t="s">
        <v>15</v>
      </c>
      <c r="B13" s="212">
        <f>13361+471+184*2+6*3+1*4</f>
        <v>14222</v>
      </c>
      <c r="C13" s="212">
        <f>29176-SUM(C14:C16)-C11-C12</f>
        <v>29176</v>
      </c>
      <c r="D13" s="17">
        <v>0</v>
      </c>
      <c r="E13" s="17">
        <v>0</v>
      </c>
      <c r="F13" s="3">
        <f t="shared" si="0"/>
        <v>0</v>
      </c>
      <c r="G13" s="147"/>
      <c r="H13" s="142"/>
      <c r="I13" s="142"/>
      <c r="J13" s="148"/>
      <c r="K13" s="100">
        <v>0</v>
      </c>
      <c r="L13" s="100">
        <v>0</v>
      </c>
      <c r="M13" s="100">
        <v>0</v>
      </c>
    </row>
    <row r="14" spans="1:13">
      <c r="A14" s="204" t="s">
        <v>140</v>
      </c>
      <c r="B14" s="213"/>
      <c r="C14" s="225">
        <v>0</v>
      </c>
      <c r="D14" s="18">
        <f>(45/32)*D13</f>
        <v>0</v>
      </c>
      <c r="E14" s="18">
        <f>(45/32)*E13</f>
        <v>0</v>
      </c>
      <c r="F14" s="3">
        <f t="shared" si="0"/>
        <v>0</v>
      </c>
      <c r="G14" s="147"/>
      <c r="H14" s="142"/>
      <c r="I14" s="142"/>
      <c r="J14" s="148"/>
      <c r="K14" s="100">
        <v>0</v>
      </c>
      <c r="L14" s="100">
        <v>0</v>
      </c>
      <c r="M14" s="100">
        <v>0</v>
      </c>
    </row>
    <row r="15" spans="1:13">
      <c r="A15" s="204" t="s">
        <v>133</v>
      </c>
      <c r="B15" s="212">
        <v>6424</v>
      </c>
      <c r="C15" s="224">
        <v>0</v>
      </c>
      <c r="D15" s="18">
        <f>(64/32)*D13</f>
        <v>0</v>
      </c>
      <c r="E15" s="18">
        <f>(64/32)*E13</f>
        <v>0</v>
      </c>
      <c r="F15" s="3">
        <f t="shared" si="0"/>
        <v>0</v>
      </c>
      <c r="G15" s="147"/>
      <c r="H15" s="142"/>
      <c r="I15" s="142"/>
      <c r="J15" s="148"/>
      <c r="K15" s="100">
        <v>0</v>
      </c>
      <c r="L15" s="100">
        <v>0</v>
      </c>
      <c r="M15" s="100">
        <v>0</v>
      </c>
    </row>
    <row r="16" spans="1:13" ht="15.75" thickBot="1">
      <c r="A16" s="204" t="s">
        <v>134</v>
      </c>
      <c r="B16" s="212">
        <v>2484</v>
      </c>
      <c r="C16" s="224">
        <v>0</v>
      </c>
      <c r="D16" s="18">
        <f>(96/32)*D13</f>
        <v>0</v>
      </c>
      <c r="E16" s="18">
        <f>(96/32)*E13</f>
        <v>0</v>
      </c>
      <c r="F16" s="110">
        <f t="shared" si="0"/>
        <v>0</v>
      </c>
      <c r="G16" s="169"/>
      <c r="H16" s="155"/>
      <c r="I16" s="155"/>
      <c r="J16" s="156"/>
      <c r="K16" s="157">
        <v>0</v>
      </c>
      <c r="L16" s="157">
        <v>0</v>
      </c>
      <c r="M16" s="157">
        <v>0</v>
      </c>
    </row>
    <row r="17" spans="1:13">
      <c r="A17" s="211" t="s">
        <v>121</v>
      </c>
      <c r="B17" s="214">
        <f>471+2*184+6*3+1*4</f>
        <v>861</v>
      </c>
      <c r="C17" s="226">
        <v>861</v>
      </c>
      <c r="D17" s="34" t="s">
        <v>215</v>
      </c>
      <c r="E17" s="182">
        <v>0</v>
      </c>
      <c r="F17" s="110">
        <f t="shared" si="0"/>
        <v>0</v>
      </c>
      <c r="G17" s="170"/>
      <c r="H17" s="109"/>
      <c r="I17" s="109"/>
      <c r="J17" s="109"/>
      <c r="K17" s="160"/>
      <c r="L17" s="161"/>
      <c r="M17" s="162"/>
    </row>
    <row r="18" spans="1:13" ht="15.75">
      <c r="A18" s="205"/>
      <c r="B18" s="215"/>
      <c r="C18" s="57" t="s">
        <v>212</v>
      </c>
      <c r="D18" s="39"/>
      <c r="E18" s="39"/>
      <c r="F18" s="172" t="s">
        <v>211</v>
      </c>
      <c r="G18" s="170"/>
      <c r="H18" s="109"/>
      <c r="I18" s="109"/>
      <c r="J18" s="109"/>
      <c r="K18" s="163"/>
      <c r="L18" s="164"/>
      <c r="M18" s="165"/>
    </row>
    <row r="19" spans="1:13" ht="15.75" thickBot="1">
      <c r="A19" s="208" t="s">
        <v>157</v>
      </c>
      <c r="B19" s="216">
        <v>1778</v>
      </c>
      <c r="C19" s="216">
        <v>1778</v>
      </c>
      <c r="D19" s="84">
        <f>D13/(52/12)</f>
        <v>0</v>
      </c>
      <c r="E19" s="183">
        <v>0</v>
      </c>
      <c r="F19" s="149">
        <f t="shared" si="0"/>
        <v>0</v>
      </c>
      <c r="G19" s="159"/>
      <c r="H19" s="158"/>
      <c r="I19" s="159"/>
      <c r="J19" s="158"/>
      <c r="K19" s="166"/>
      <c r="L19" s="167"/>
      <c r="M19" s="168"/>
    </row>
    <row r="20" spans="1:13" ht="16.5" thickBot="1">
      <c r="A20" s="151" t="s">
        <v>171</v>
      </c>
      <c r="B20" s="152"/>
      <c r="C20" s="152"/>
      <c r="D20" s="153"/>
      <c r="E20" s="153"/>
      <c r="F20" s="173">
        <f>12*SUMPRODUCT($C$11:$C$17*F11:F17)+12*C19*F19</f>
        <v>0</v>
      </c>
      <c r="G20" s="171" t="s">
        <v>197</v>
      </c>
      <c r="H20" s="154"/>
      <c r="I20" s="154"/>
      <c r="J20" s="154"/>
      <c r="K20" s="153">
        <f t="shared" ref="K20:M20" si="1">12*SUMPRODUCT($C$11:$C$17*K11:K17)</f>
        <v>0</v>
      </c>
      <c r="L20" s="153">
        <f t="shared" si="1"/>
        <v>0</v>
      </c>
      <c r="M20" s="153">
        <f t="shared" si="1"/>
        <v>0</v>
      </c>
    </row>
    <row r="21" spans="1:13" ht="15.75" thickBot="1">
      <c r="A21" s="150"/>
      <c r="B21" s="217"/>
      <c r="C21" s="217"/>
      <c r="D21" s="180"/>
      <c r="E21" s="180"/>
      <c r="F21" s="180"/>
      <c r="G21" s="14"/>
      <c r="I21" s="16"/>
      <c r="K21" s="9"/>
      <c r="L21" s="8"/>
    </row>
    <row r="22" spans="1:13" ht="15.75">
      <c r="A22" s="146"/>
      <c r="B22" s="218"/>
      <c r="C22" s="218"/>
      <c r="D22" s="181"/>
      <c r="E22" s="181"/>
      <c r="F22" s="181"/>
      <c r="G22" s="14"/>
      <c r="H22" s="116" t="s">
        <v>181</v>
      </c>
      <c r="I22" s="16"/>
      <c r="K22" s="9"/>
      <c r="L22" s="8"/>
    </row>
    <row r="23" spans="1:13" ht="15.75">
      <c r="A23" s="146"/>
      <c r="B23" s="218"/>
      <c r="C23" s="218"/>
      <c r="D23" s="181"/>
      <c r="E23" s="181"/>
      <c r="F23" s="181"/>
      <c r="G23" s="14"/>
      <c r="H23" s="117" t="s">
        <v>198</v>
      </c>
      <c r="I23" s="16"/>
      <c r="K23" s="9"/>
      <c r="L23" s="8"/>
    </row>
    <row r="24" spans="1:13" ht="16.5" thickBot="1">
      <c r="A24" s="207" t="s">
        <v>122</v>
      </c>
      <c r="B24" s="218"/>
      <c r="C24" s="57" t="s">
        <v>213</v>
      </c>
      <c r="D24" s="145"/>
      <c r="E24" s="145"/>
      <c r="F24" s="174" t="s">
        <v>214</v>
      </c>
      <c r="G24" s="2"/>
      <c r="H24" s="118" t="s">
        <v>199</v>
      </c>
      <c r="I24" s="2"/>
      <c r="K24" s="7"/>
      <c r="L24" s="8"/>
    </row>
    <row r="25" spans="1:13">
      <c r="A25" s="204" t="s">
        <v>139</v>
      </c>
      <c r="B25" s="214">
        <f>1248/12</f>
        <v>104</v>
      </c>
      <c r="C25" s="214">
        <f>1248/12</f>
        <v>104</v>
      </c>
      <c r="D25" s="18"/>
      <c r="E25" s="17">
        <v>0</v>
      </c>
      <c r="F25" s="3">
        <f>ROUND(D25+E25,2)</f>
        <v>0</v>
      </c>
      <c r="G25" s="14"/>
      <c r="H25" s="143">
        <v>2.86</v>
      </c>
      <c r="I25" s="16"/>
      <c r="K25" s="1"/>
      <c r="L25" s="2"/>
    </row>
    <row r="26" spans="1:13">
      <c r="A26" s="204" t="s">
        <v>123</v>
      </c>
      <c r="B26" s="214">
        <v>1579</v>
      </c>
      <c r="C26" s="214">
        <v>1579</v>
      </c>
      <c r="D26" s="18"/>
      <c r="E26" s="17">
        <v>0</v>
      </c>
      <c r="F26" s="3">
        <f>ROUND(D26+E26,2)</f>
        <v>0</v>
      </c>
      <c r="G26" s="14"/>
      <c r="H26" s="175">
        <v>1.6</v>
      </c>
      <c r="I26" s="16"/>
      <c r="K26" s="1"/>
      <c r="L26" s="2"/>
    </row>
    <row r="27" spans="1:13" ht="15.75">
      <c r="A27" s="209" t="s">
        <v>160</v>
      </c>
      <c r="B27" s="219"/>
      <c r="C27" s="227"/>
      <c r="D27" s="42"/>
      <c r="E27" s="42"/>
      <c r="F27" s="4"/>
      <c r="G27" s="14"/>
      <c r="H27" s="175"/>
      <c r="I27" s="16"/>
      <c r="K27" s="1"/>
      <c r="L27" s="2"/>
    </row>
    <row r="28" spans="1:13">
      <c r="A28" s="204" t="s">
        <v>161</v>
      </c>
      <c r="B28" s="220">
        <v>63</v>
      </c>
      <c r="C28" s="220">
        <v>63</v>
      </c>
      <c r="D28" s="18"/>
      <c r="E28" s="17">
        <v>0</v>
      </c>
      <c r="F28" s="3">
        <f>ROUND(D28+E28,2)</f>
        <v>0</v>
      </c>
      <c r="G28" s="14"/>
      <c r="H28" s="175">
        <v>10.199999999999999</v>
      </c>
      <c r="I28" s="16"/>
      <c r="K28" s="1"/>
      <c r="L28" s="2"/>
    </row>
    <row r="29" spans="1:13">
      <c r="A29" s="204" t="s">
        <v>162</v>
      </c>
      <c r="B29" s="220">
        <v>87</v>
      </c>
      <c r="C29" s="220">
        <v>87</v>
      </c>
      <c r="D29" s="17">
        <v>0</v>
      </c>
      <c r="E29" s="17">
        <v>0</v>
      </c>
      <c r="F29" s="3">
        <f>ROUND(D29+E29,2)</f>
        <v>0</v>
      </c>
      <c r="G29" s="14"/>
      <c r="H29" s="175">
        <v>9.6</v>
      </c>
      <c r="I29" s="16"/>
      <c r="K29" s="1"/>
      <c r="L29" s="2"/>
    </row>
    <row r="30" spans="1:13">
      <c r="A30" s="204" t="s">
        <v>163</v>
      </c>
      <c r="B30" s="220">
        <v>1</v>
      </c>
      <c r="C30" s="220">
        <v>1</v>
      </c>
      <c r="D30" s="17">
        <v>0</v>
      </c>
      <c r="E30" s="17">
        <v>0</v>
      </c>
      <c r="F30" s="3">
        <f>ROUND(D30+E30,2)</f>
        <v>0</v>
      </c>
      <c r="G30" s="14"/>
      <c r="H30" s="175"/>
      <c r="I30" s="16"/>
      <c r="K30" s="1"/>
      <c r="L30" s="2"/>
    </row>
    <row r="31" spans="1:13" ht="15.75">
      <c r="A31" s="203" t="s">
        <v>70</v>
      </c>
      <c r="B31" s="221"/>
      <c r="C31" s="228"/>
      <c r="D31" s="19"/>
      <c r="E31" s="19"/>
      <c r="F31" s="4"/>
      <c r="H31" s="175"/>
    </row>
    <row r="32" spans="1:13">
      <c r="A32" s="204" t="s">
        <v>71</v>
      </c>
      <c r="B32" s="220">
        <f>156/12</f>
        <v>13</v>
      </c>
      <c r="C32" s="220">
        <f>156/12</f>
        <v>13</v>
      </c>
      <c r="D32" s="18"/>
      <c r="E32" s="17">
        <v>0</v>
      </c>
      <c r="F32" s="3">
        <f>ROUND(D32+E32,2)</f>
        <v>0</v>
      </c>
      <c r="G32" s="14"/>
      <c r="H32" s="175">
        <v>5.73</v>
      </c>
      <c r="I32" s="16"/>
    </row>
    <row r="33" spans="1:13">
      <c r="A33" s="204" t="s">
        <v>72</v>
      </c>
      <c r="B33" s="220">
        <v>21</v>
      </c>
      <c r="C33" s="220">
        <v>21</v>
      </c>
      <c r="D33" s="18"/>
      <c r="E33" s="17">
        <v>0</v>
      </c>
      <c r="F33" s="3">
        <f>ROUND(D33+E33,2)</f>
        <v>0</v>
      </c>
      <c r="G33" s="14"/>
      <c r="H33" s="175">
        <v>5.25</v>
      </c>
      <c r="I33" s="16"/>
    </row>
    <row r="34" spans="1:13">
      <c r="A34" s="204" t="s">
        <v>73</v>
      </c>
      <c r="B34" s="220">
        <v>31</v>
      </c>
      <c r="C34" s="220">
        <v>31</v>
      </c>
      <c r="D34" s="18"/>
      <c r="E34" s="17">
        <v>0</v>
      </c>
      <c r="F34" s="3">
        <f>ROUND(D34+E34,2)</f>
        <v>0</v>
      </c>
      <c r="G34" s="14"/>
      <c r="H34" s="175">
        <v>0.55000000000000004</v>
      </c>
      <c r="I34" s="16"/>
    </row>
    <row r="35" spans="1:13">
      <c r="A35" s="205" t="s">
        <v>128</v>
      </c>
      <c r="B35" s="220">
        <v>1</v>
      </c>
      <c r="C35" s="220">
        <v>1</v>
      </c>
      <c r="D35" s="35"/>
      <c r="E35" s="184">
        <v>0</v>
      </c>
      <c r="F35" s="36">
        <f>ROUND(D35+E35,2)</f>
        <v>0</v>
      </c>
      <c r="G35" s="14"/>
      <c r="H35" s="175"/>
      <c r="I35" s="16"/>
    </row>
    <row r="36" spans="1:13">
      <c r="A36" s="60" t="s">
        <v>79</v>
      </c>
      <c r="B36" s="220">
        <v>1</v>
      </c>
      <c r="C36" s="220">
        <v>1</v>
      </c>
      <c r="D36" s="43"/>
      <c r="E36" s="185">
        <v>0</v>
      </c>
      <c r="F36" s="44">
        <f t="shared" ref="F36:F37" si="2">ROUND(D36+E36,2)</f>
        <v>0</v>
      </c>
      <c r="G36" s="38"/>
      <c r="H36" s="175">
        <v>2.1</v>
      </c>
      <c r="I36" s="16"/>
    </row>
    <row r="37" spans="1:13">
      <c r="A37" s="60" t="s">
        <v>77</v>
      </c>
      <c r="B37" s="220">
        <v>1</v>
      </c>
      <c r="C37" s="220">
        <v>1</v>
      </c>
      <c r="D37" s="43"/>
      <c r="E37" s="185">
        <v>0</v>
      </c>
      <c r="F37" s="44">
        <f t="shared" si="2"/>
        <v>0</v>
      </c>
      <c r="G37" s="38"/>
      <c r="H37" s="175">
        <v>1.51</v>
      </c>
      <c r="I37" s="16"/>
    </row>
    <row r="38" spans="1:13">
      <c r="A38" s="204" t="s">
        <v>69</v>
      </c>
      <c r="B38" s="220">
        <f>226/12</f>
        <v>18.833333333333332</v>
      </c>
      <c r="C38" s="220">
        <f>226/12</f>
        <v>18.833333333333332</v>
      </c>
      <c r="D38" s="18"/>
      <c r="E38" s="17">
        <v>0</v>
      </c>
      <c r="F38" s="3">
        <f>ROUND(D38+E38,2)</f>
        <v>0</v>
      </c>
      <c r="G38" s="14"/>
      <c r="H38" s="175">
        <v>16.7</v>
      </c>
      <c r="I38" s="16"/>
    </row>
    <row r="39" spans="1:13" ht="15.75">
      <c r="A39" s="203" t="s">
        <v>125</v>
      </c>
      <c r="B39" s="222"/>
      <c r="C39" s="229"/>
      <c r="D39" s="19"/>
      <c r="E39" s="19"/>
      <c r="F39" s="4"/>
      <c r="H39" s="175"/>
    </row>
    <row r="40" spans="1:13">
      <c r="A40" s="204" t="s">
        <v>126</v>
      </c>
      <c r="B40" s="220">
        <v>1</v>
      </c>
      <c r="C40" s="220">
        <v>1</v>
      </c>
      <c r="D40" s="18"/>
      <c r="E40" s="17">
        <v>0</v>
      </c>
      <c r="F40" s="3">
        <f t="shared" ref="F40:F41" si="3">ROUND(D40+E40,2)</f>
        <v>0</v>
      </c>
      <c r="G40" s="14"/>
      <c r="H40" s="175"/>
      <c r="I40" s="16"/>
    </row>
    <row r="41" spans="1:13" ht="15.75" thickBot="1">
      <c r="A41" s="204" t="s">
        <v>138</v>
      </c>
      <c r="B41" s="220">
        <v>1</v>
      </c>
      <c r="C41" s="220">
        <v>1</v>
      </c>
      <c r="D41" s="18"/>
      <c r="E41" s="17">
        <v>0</v>
      </c>
      <c r="F41" s="3">
        <f t="shared" si="3"/>
        <v>0</v>
      </c>
      <c r="G41" s="14"/>
      <c r="H41" s="125"/>
      <c r="I41" s="16"/>
    </row>
    <row r="42" spans="1:13" ht="15.75">
      <c r="A42" s="108" t="s">
        <v>172</v>
      </c>
      <c r="B42" s="113"/>
      <c r="C42" s="113"/>
      <c r="D42" s="142"/>
      <c r="E42" s="142"/>
      <c r="F42" s="110">
        <f>12*SUMPRODUCT(C25:C41*F25:F41)</f>
        <v>0</v>
      </c>
    </row>
    <row r="43" spans="1:13" ht="15.75" thickBot="1"/>
    <row r="44" spans="1:13" ht="16.5" thickBot="1">
      <c r="A44" s="90" t="s">
        <v>217</v>
      </c>
      <c r="B44" s="91"/>
      <c r="C44" s="91"/>
      <c r="D44" s="92"/>
      <c r="E44" s="92"/>
      <c r="F44" s="93">
        <f>F20+F42</f>
        <v>0</v>
      </c>
      <c r="G44" s="124" t="s">
        <v>197</v>
      </c>
      <c r="H44" s="91"/>
      <c r="I44" s="105"/>
      <c r="J44" s="91"/>
      <c r="K44" s="102">
        <f t="shared" ref="K44:M44" si="4">K20</f>
        <v>0</v>
      </c>
      <c r="L44" s="102">
        <f t="shared" si="4"/>
        <v>0</v>
      </c>
      <c r="M44" s="102">
        <f t="shared" si="4"/>
        <v>0</v>
      </c>
    </row>
    <row r="45" spans="1:13" ht="15" customHeight="1">
      <c r="H45" s="16"/>
    </row>
    <row r="47" spans="1:13" ht="15.75">
      <c r="A47" s="61" t="s">
        <v>127</v>
      </c>
    </row>
    <row r="48" spans="1:13" ht="15.75">
      <c r="A48" s="61" t="s">
        <v>203</v>
      </c>
    </row>
    <row r="49" spans="1:1" ht="15.75">
      <c r="A49" s="61" t="s">
        <v>129</v>
      </c>
    </row>
    <row r="50" spans="1:1" ht="15.75">
      <c r="A50" s="61" t="s">
        <v>227</v>
      </c>
    </row>
    <row r="51" spans="1:1" ht="15.75">
      <c r="A51" s="61" t="s">
        <v>226</v>
      </c>
    </row>
    <row r="52" spans="1:1" ht="15.75">
      <c r="A52" s="61" t="s">
        <v>228</v>
      </c>
    </row>
    <row r="53" spans="1:1" ht="15.75">
      <c r="A53" s="61" t="s">
        <v>207</v>
      </c>
    </row>
    <row r="54" spans="1:1" ht="15.75">
      <c r="A54" s="61" t="s">
        <v>229</v>
      </c>
    </row>
    <row r="55" spans="1:1" ht="15.75">
      <c r="A55" s="61" t="s">
        <v>230</v>
      </c>
    </row>
    <row r="56" spans="1:1" ht="15.75">
      <c r="A56" s="61" t="s">
        <v>231</v>
      </c>
    </row>
    <row r="57" spans="1:1" ht="15.75">
      <c r="A57" s="61" t="s">
        <v>183</v>
      </c>
    </row>
  </sheetData>
  <sheetProtection password="A2DE" sheet="1" objects="1" scenarios="1"/>
  <mergeCells count="2">
    <mergeCell ref="B3:F3"/>
    <mergeCell ref="K5:M5"/>
  </mergeCells>
  <pageMargins left="0.5" right="0.5" top="0.5" bottom="0.53" header="0.25" footer="0.25"/>
  <pageSetup paperSize="17" scale="79" orientation="landscape" useFirstPageNumber="1" r:id="rId1"/>
  <headerFooter alignWithMargins="0">
    <oddHeader>&amp;L&amp;C&amp;"Times New Roman,Bold"&amp;14Form 2A&amp;R</oddHeader>
    <oddFooter xml:space="preserve">&amp;L&amp;"Times New Roman,Regular"City of Bellevue RFB/P Forms&amp;C&amp;"Times New Roman,Regular"&amp;P&amp;R&amp;"Times New Roman,Regular"Proponent:___________________&amp;"Geneva,Regular"
</oddFooter>
  </headerFooter>
  <ignoredErrors>
    <ignoredError sqref="C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Totals</vt:lpstr>
      <vt:lpstr>Drop-box</vt:lpstr>
      <vt:lpstr>Commercial</vt:lpstr>
      <vt:lpstr>SF Residential - COS</vt:lpstr>
      <vt:lpstr>SF Residential - Linear</vt:lpstr>
      <vt:lpstr>Commercial!Print_Area</vt:lpstr>
      <vt:lpstr>'Drop-box'!Print_Area</vt:lpstr>
      <vt:lpstr>'SF Residential - COS'!Print_Area</vt:lpstr>
      <vt:lpstr>'SF Residential - Linear'!Print_Area</vt:lpstr>
      <vt:lpstr>Totals!Print_Area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</dc:creator>
  <cp:lastModifiedBy>sfferris</cp:lastModifiedBy>
  <cp:lastPrinted>2013-04-13T00:33:33Z</cp:lastPrinted>
  <dcterms:created xsi:type="dcterms:W3CDTF">2000-08-08T17:14:17Z</dcterms:created>
  <dcterms:modified xsi:type="dcterms:W3CDTF">2013-04-13T00:33:39Z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1084144723</vt:i4>
  </property>
  <property fmtid="{D5CDD505-2E9C-101B-9397-08002B2CF9AE}" pid="4" name="_EmailSubject">
    <vt:lpwstr>Complete set of Solid Waste Collection RFP Document for Issuance</vt:lpwstr>
  </property>
  <property fmtid="{D5CDD505-2E9C-101B-9397-08002B2CF9AE}" pid="5" name="_AuthorEmail">
    <vt:lpwstr>SFFerris@bellevuewa.gov</vt:lpwstr>
  </property>
  <property fmtid="{D5CDD505-2E9C-101B-9397-08002B2CF9AE}" pid="6" name="_AuthorEmailDisplayName">
    <vt:lpwstr>Fife-Ferris, Susan</vt:lpwstr>
  </property>
</Properties>
</file>