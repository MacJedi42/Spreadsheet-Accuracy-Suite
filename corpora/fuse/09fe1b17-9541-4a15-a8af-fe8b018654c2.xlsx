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FV" sheetId="1" r:id="rId1"/>
    <sheet name="PV" sheetId="4" r:id="rId2"/>
    <sheet name="PMT" sheetId="5" r:id="rId3"/>
    <sheet name="NPER" sheetId="3" r:id="rId4"/>
    <sheet name="RATE" sheetId="6" r:id="rId5"/>
    <sheet name="NPV" sheetId="7" r:id="rId6"/>
  </sheets>
  <definedNames>
    <definedName name="F" localSheetId="0">FV!$B$4</definedName>
    <definedName name="F" localSheetId="3">NPER!$B$4</definedName>
    <definedName name="F" localSheetId="2">PMT!$B$4</definedName>
    <definedName name="F" localSheetId="1">PV!$B$4</definedName>
    <definedName name="F" localSheetId="4">RATE!$B$4</definedName>
    <definedName name="n" localSheetId="0">FV!$B$1</definedName>
    <definedName name="n" localSheetId="3">NPER!$B$1</definedName>
    <definedName name="n" localSheetId="2">PMT!$B$1</definedName>
    <definedName name="n" localSheetId="1">PV!$B$1</definedName>
    <definedName name="n" localSheetId="4">RATE!$B$1</definedName>
    <definedName name="P" localSheetId="0">FV!$B$2</definedName>
    <definedName name="P" localSheetId="3">NPER!$B$2</definedName>
    <definedName name="P" localSheetId="2">PMT!$B$2</definedName>
    <definedName name="P" localSheetId="1">PV!$B$2</definedName>
    <definedName name="P" localSheetId="4">RATE!$B$2</definedName>
    <definedName name="payment" localSheetId="2">PMT!$F$2</definedName>
    <definedName name="rate" localSheetId="0">FV!$B$5</definedName>
    <definedName name="rate" localSheetId="3">NPER!$B$5</definedName>
    <definedName name="rate" localSheetId="5">NPV!$D$2</definedName>
    <definedName name="rate" localSheetId="2">PMT!$B$5</definedName>
    <definedName name="rate" localSheetId="1">PV!$B$5</definedName>
    <definedName name="rate" localSheetId="4">RATE!$B$5</definedName>
    <definedName name="s" localSheetId="4">RATE!$B$7</definedName>
    <definedName name="X" localSheetId="0">FV!$B$3</definedName>
    <definedName name="X" localSheetId="3">NPER!$B$3</definedName>
    <definedName name="X" localSheetId="2">PMT!$B$3</definedName>
    <definedName name="X" localSheetId="1">PV!$B$3</definedName>
    <definedName name="X" localSheetId="4">RATE!$B$3</definedName>
    <definedName name="year" localSheetId="5">NPV!$A$2:$A$8</definedName>
  </definedNames>
  <calcPr calcId="125725"/>
</workbook>
</file>

<file path=xl/calcChain.xml><?xml version="1.0" encoding="utf-8"?>
<calcChain xmlns="http://schemas.openxmlformats.org/spreadsheetml/2006/main">
  <c r="D2" i="7"/>
  <c r="C3" s="1"/>
  <c r="E2" i="6"/>
  <c r="G2"/>
  <c r="B6"/>
  <c r="B8" s="1"/>
  <c r="B5"/>
  <c r="E3" s="1"/>
  <c r="E4" s="1"/>
  <c r="E5" s="1"/>
  <c r="E6" s="1"/>
  <c r="E7" s="1"/>
  <c r="G2" i="3"/>
  <c r="E4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3"/>
  <c r="E2"/>
  <c r="B1"/>
  <c r="E2" i="5"/>
  <c r="E3" s="1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H2"/>
  <c r="B6"/>
  <c r="B3" s="1"/>
  <c r="B6" i="4"/>
  <c r="G2"/>
  <c r="E3" i="1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2"/>
  <c r="G2"/>
  <c r="B6"/>
  <c r="C12" i="7" l="1"/>
  <c r="C8"/>
  <c r="C2"/>
  <c r="C7"/>
  <c r="C6"/>
  <c r="C5"/>
  <c r="C4"/>
  <c r="B2" i="4"/>
  <c r="E3" s="1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B4" i="1"/>
  <c r="C10" i="7" l="1"/>
</calcChain>
</file>

<file path=xl/sharedStrings.xml><?xml version="1.0" encoding="utf-8"?>
<sst xmlns="http://schemas.openxmlformats.org/spreadsheetml/2006/main" count="53" uniqueCount="21">
  <si>
    <t>n</t>
  </si>
  <si>
    <t>P</t>
  </si>
  <si>
    <t>X</t>
  </si>
  <si>
    <t>rate</t>
  </si>
  <si>
    <t>F</t>
  </si>
  <si>
    <t>(1 + rate)^n</t>
  </si>
  <si>
    <t>Intrinsic</t>
  </si>
  <si>
    <t>month</t>
  </si>
  <si>
    <t>net worth at the end of the month</t>
  </si>
  <si>
    <t>amount owing at the end of the month</t>
  </si>
  <si>
    <t>payment</t>
  </si>
  <si>
    <t>s</t>
  </si>
  <si>
    <t>s^n</t>
  </si>
  <si>
    <t>leftside</t>
  </si>
  <si>
    <t>year</t>
  </si>
  <si>
    <t>net worth at the end of the year</t>
  </si>
  <si>
    <t>Year</t>
  </si>
  <si>
    <t>Cash flow at end of year</t>
  </si>
  <si>
    <t>PV of cash flow</t>
  </si>
  <si>
    <t>NPV by schedule</t>
  </si>
  <si>
    <t>NPV by black box formula</t>
  </si>
</sst>
</file>

<file path=xl/styles.xml><?xml version="1.0" encoding="utf-8"?>
<styleSheet xmlns="http://schemas.openxmlformats.org/spreadsheetml/2006/main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000000%"/>
    <numFmt numFmtId="165" formatCode="0.00000"/>
    <numFmt numFmtId="166" formatCode="0.00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0" fontId="0" fillId="0" borderId="0" xfId="0" applyNumberFormat="1"/>
    <xf numFmtId="0" fontId="0" fillId="0" borderId="0" xfId="0" applyFont="1" applyAlignment="1">
      <alignment horizontal="center"/>
    </xf>
    <xf numFmtId="44" fontId="0" fillId="0" borderId="0" xfId="1" applyFont="1"/>
    <xf numFmtId="44" fontId="2" fillId="0" borderId="0" xfId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4" fontId="3" fillId="2" borderId="0" xfId="2" applyNumberFormat="1"/>
    <xf numFmtId="8" fontId="3" fillId="2" borderId="0" xfId="2" applyNumberFormat="1"/>
    <xf numFmtId="9" fontId="0" fillId="0" borderId="0" xfId="0" applyNumberFormat="1"/>
    <xf numFmtId="8" fontId="0" fillId="0" borderId="0" xfId="0" applyNumberFormat="1"/>
    <xf numFmtId="165" fontId="0" fillId="0" borderId="0" xfId="0" applyNumberFormat="1"/>
    <xf numFmtId="8" fontId="0" fillId="0" borderId="0" xfId="1" applyNumberFormat="1" applyFont="1"/>
    <xf numFmtId="8" fontId="2" fillId="0" borderId="0" xfId="1" applyNumberFormat="1" applyFont="1"/>
    <xf numFmtId="166" fontId="0" fillId="0" borderId="0" xfId="3" applyNumberFormat="1" applyFont="1"/>
    <xf numFmtId="0" fontId="3" fillId="2" borderId="0" xfId="2" applyAlignment="1">
      <alignment horizontal="left"/>
    </xf>
    <xf numFmtId="164" fontId="3" fillId="2" borderId="0" xfId="2" applyNumberFormat="1"/>
  </cellXfs>
  <cellStyles count="4">
    <cellStyle name="Currency" xfId="1" builtinId="4"/>
    <cellStyle name="Good" xfId="2" builtinId="26"/>
    <cellStyle name="Normal" xfId="0" builtinId="0"/>
    <cellStyle name="Percent" xfId="3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showFormulas="1" zoomScaleNormal="100" workbookViewId="0">
      <pane ySplit="3030" activePane="bottomLeft"/>
      <selection sqref="A1:XFD1048576"/>
      <selection pane="bottomLeft" activeCell="I16" sqref="I16"/>
    </sheetView>
  </sheetViews>
  <sheetFormatPr defaultRowHeight="15"/>
  <cols>
    <col min="1" max="1" width="11" style="7" bestFit="1" customWidth="1"/>
    <col min="2" max="2" width="14.28515625" bestFit="1" customWidth="1"/>
    <col min="3" max="3" width="4" customWidth="1"/>
    <col min="4" max="4" width="6.85546875" bestFit="1" customWidth="1"/>
    <col min="5" max="5" width="33.28515625" style="4" bestFit="1" customWidth="1"/>
    <col min="6" max="6" width="1.5703125" customWidth="1"/>
    <col min="7" max="7" width="12.7109375" bestFit="1" customWidth="1"/>
    <col min="13" max="13" width="13.7109375" bestFit="1" customWidth="1"/>
  </cols>
  <sheetData>
    <row r="1" spans="1:7">
      <c r="A1" s="6" t="s">
        <v>0</v>
      </c>
      <c r="B1">
        <v>180</v>
      </c>
      <c r="D1" s="1" t="s">
        <v>7</v>
      </c>
      <c r="E1" s="5" t="s">
        <v>8</v>
      </c>
      <c r="G1" s="1" t="s">
        <v>6</v>
      </c>
    </row>
    <row r="2" spans="1:7">
      <c r="A2" s="6" t="s">
        <v>1</v>
      </c>
      <c r="B2" s="4">
        <v>400000</v>
      </c>
      <c r="D2">
        <v>0</v>
      </c>
      <c r="E2" s="4">
        <f>P</f>
        <v>400000</v>
      </c>
      <c r="G2" s="10">
        <f>FV(rate,n,-X,-P)</f>
        <v>1214292.3948584017</v>
      </c>
    </row>
    <row r="3" spans="1:7">
      <c r="A3" s="6" t="s">
        <v>2</v>
      </c>
      <c r="B3" s="4">
        <v>800</v>
      </c>
      <c r="D3">
        <v>1</v>
      </c>
      <c r="E3" s="4">
        <f t="shared" ref="E3:E34" si="0">E2 + rate*E2 + X</f>
        <v>402800</v>
      </c>
    </row>
    <row r="4" spans="1:7">
      <c r="A4" s="6" t="s">
        <v>4</v>
      </c>
      <c r="B4" s="9">
        <f>P*B6 + X*(B6-1)/rate</f>
        <v>1214292.3948584017</v>
      </c>
      <c r="D4">
        <v>2</v>
      </c>
      <c r="E4" s="4">
        <f t="shared" si="0"/>
        <v>405614</v>
      </c>
    </row>
    <row r="5" spans="1:7">
      <c r="A5" s="6" t="s">
        <v>3</v>
      </c>
      <c r="B5" s="2">
        <v>5.0000000000000001E-3</v>
      </c>
      <c r="D5">
        <v>3</v>
      </c>
      <c r="E5" s="4">
        <f t="shared" si="0"/>
        <v>408442.07</v>
      </c>
    </row>
    <row r="6" spans="1:7">
      <c r="A6" s="6" t="s">
        <v>5</v>
      </c>
      <c r="B6" s="3">
        <f>(1 + rate)^n</f>
        <v>2.454093562247146</v>
      </c>
      <c r="D6">
        <v>4</v>
      </c>
      <c r="E6" s="4">
        <f t="shared" si="0"/>
        <v>411284.28035000002</v>
      </c>
    </row>
    <row r="7" spans="1:7">
      <c r="D7">
        <v>5</v>
      </c>
      <c r="E7" s="4">
        <f t="shared" si="0"/>
        <v>414140.70175175002</v>
      </c>
    </row>
    <row r="8" spans="1:7">
      <c r="D8">
        <v>6</v>
      </c>
      <c r="E8" s="4">
        <f t="shared" si="0"/>
        <v>417011.40526050876</v>
      </c>
    </row>
    <row r="9" spans="1:7">
      <c r="D9">
        <v>7</v>
      </c>
      <c r="E9" s="4">
        <f t="shared" si="0"/>
        <v>419896.46228681132</v>
      </c>
    </row>
    <row r="10" spans="1:7">
      <c r="D10">
        <v>8</v>
      </c>
      <c r="E10" s="4">
        <f t="shared" si="0"/>
        <v>422795.94459824538</v>
      </c>
    </row>
    <row r="11" spans="1:7">
      <c r="D11">
        <v>9</v>
      </c>
      <c r="E11" s="4">
        <f t="shared" si="0"/>
        <v>425709.92432123661</v>
      </c>
    </row>
    <row r="12" spans="1:7">
      <c r="D12">
        <v>10</v>
      </c>
      <c r="E12" s="4">
        <f t="shared" si="0"/>
        <v>428638.4739428428</v>
      </c>
    </row>
    <row r="13" spans="1:7">
      <c r="D13">
        <v>11</v>
      </c>
      <c r="E13" s="4">
        <f t="shared" si="0"/>
        <v>431581.666312557</v>
      </c>
    </row>
    <row r="14" spans="1:7">
      <c r="D14">
        <v>12</v>
      </c>
      <c r="E14" s="4">
        <f t="shared" si="0"/>
        <v>434539.57464411977</v>
      </c>
    </row>
    <row r="15" spans="1:7">
      <c r="D15">
        <v>13</v>
      </c>
      <c r="E15" s="4">
        <f t="shared" si="0"/>
        <v>437512.27251734037</v>
      </c>
    </row>
    <row r="16" spans="1:7">
      <c r="D16">
        <v>14</v>
      </c>
      <c r="E16" s="4">
        <f t="shared" si="0"/>
        <v>440499.83387992706</v>
      </c>
    </row>
    <row r="17" spans="4:5">
      <c r="D17">
        <v>15</v>
      </c>
      <c r="E17" s="4">
        <f t="shared" si="0"/>
        <v>443502.33304932667</v>
      </c>
    </row>
    <row r="18" spans="4:5">
      <c r="D18">
        <v>16</v>
      </c>
      <c r="E18" s="4">
        <f t="shared" si="0"/>
        <v>446519.84471457329</v>
      </c>
    </row>
    <row r="19" spans="4:5">
      <c r="D19">
        <v>17</v>
      </c>
      <c r="E19" s="4">
        <f t="shared" si="0"/>
        <v>449552.44393814617</v>
      </c>
    </row>
    <row r="20" spans="4:5">
      <c r="D20">
        <v>18</v>
      </c>
      <c r="E20" s="4">
        <f t="shared" si="0"/>
        <v>452600.20615783689</v>
      </c>
    </row>
    <row r="21" spans="4:5">
      <c r="D21">
        <v>19</v>
      </c>
      <c r="E21" s="4">
        <f t="shared" si="0"/>
        <v>455663.20718862605</v>
      </c>
    </row>
    <row r="22" spans="4:5">
      <c r="D22">
        <v>20</v>
      </c>
      <c r="E22" s="4">
        <f t="shared" si="0"/>
        <v>458741.52322456916</v>
      </c>
    </row>
    <row r="23" spans="4:5">
      <c r="D23">
        <v>21</v>
      </c>
      <c r="E23" s="4">
        <f t="shared" si="0"/>
        <v>461835.23084069201</v>
      </c>
    </row>
    <row r="24" spans="4:5">
      <c r="D24">
        <v>22</v>
      </c>
      <c r="E24" s="4">
        <f t="shared" si="0"/>
        <v>464944.40699489549</v>
      </c>
    </row>
    <row r="25" spans="4:5">
      <c r="D25">
        <v>23</v>
      </c>
      <c r="E25" s="4">
        <f t="shared" si="0"/>
        <v>468069.12902986998</v>
      </c>
    </row>
    <row r="26" spans="4:5">
      <c r="D26">
        <v>24</v>
      </c>
      <c r="E26" s="4">
        <f t="shared" si="0"/>
        <v>471209.47467501933</v>
      </c>
    </row>
    <row r="27" spans="4:5">
      <c r="D27">
        <v>25</v>
      </c>
      <c r="E27" s="4">
        <f t="shared" si="0"/>
        <v>474365.52204839443</v>
      </c>
    </row>
    <row r="28" spans="4:5">
      <c r="D28">
        <v>26</v>
      </c>
      <c r="E28" s="4">
        <f t="shared" si="0"/>
        <v>477537.34965863638</v>
      </c>
    </row>
    <row r="29" spans="4:5">
      <c r="D29">
        <v>27</v>
      </c>
      <c r="E29" s="4">
        <f t="shared" si="0"/>
        <v>480725.03640692955</v>
      </c>
    </row>
    <row r="30" spans="4:5">
      <c r="D30">
        <v>28</v>
      </c>
      <c r="E30" s="4">
        <f t="shared" si="0"/>
        <v>483928.66158896417</v>
      </c>
    </row>
    <row r="31" spans="4:5">
      <c r="D31">
        <v>29</v>
      </c>
      <c r="E31" s="4">
        <f t="shared" si="0"/>
        <v>487148.30489690899</v>
      </c>
    </row>
    <row r="32" spans="4:5">
      <c r="D32">
        <v>30</v>
      </c>
      <c r="E32" s="4">
        <f t="shared" si="0"/>
        <v>490384.04642139352</v>
      </c>
    </row>
    <row r="33" spans="4:5">
      <c r="D33">
        <v>31</v>
      </c>
      <c r="E33" s="4">
        <f t="shared" si="0"/>
        <v>493635.96665350051</v>
      </c>
    </row>
    <row r="34" spans="4:5">
      <c r="D34">
        <v>32</v>
      </c>
      <c r="E34" s="4">
        <f t="shared" si="0"/>
        <v>496904.14648676803</v>
      </c>
    </row>
    <row r="35" spans="4:5">
      <c r="D35">
        <v>33</v>
      </c>
      <c r="E35" s="4">
        <f t="shared" ref="E35:E66" si="1">E34 + rate*E34 + X</f>
        <v>500188.66721920186</v>
      </c>
    </row>
    <row r="36" spans="4:5">
      <c r="D36">
        <v>34</v>
      </c>
      <c r="E36" s="4">
        <f t="shared" si="1"/>
        <v>503489.61055529787</v>
      </c>
    </row>
    <row r="37" spans="4:5">
      <c r="D37">
        <v>35</v>
      </c>
      <c r="E37" s="4">
        <f t="shared" si="1"/>
        <v>506807.05860807438</v>
      </c>
    </row>
    <row r="38" spans="4:5">
      <c r="D38">
        <v>36</v>
      </c>
      <c r="E38" s="4">
        <f t="shared" si="1"/>
        <v>510141.09390111477</v>
      </c>
    </row>
    <row r="39" spans="4:5">
      <c r="D39">
        <v>37</v>
      </c>
      <c r="E39" s="4">
        <f t="shared" si="1"/>
        <v>513491.79937062034</v>
      </c>
    </row>
    <row r="40" spans="4:5">
      <c r="D40">
        <v>38</v>
      </c>
      <c r="E40" s="4">
        <f t="shared" si="1"/>
        <v>516859.25836747343</v>
      </c>
    </row>
    <row r="41" spans="4:5">
      <c r="D41">
        <v>39</v>
      </c>
      <c r="E41" s="4">
        <f t="shared" si="1"/>
        <v>520243.55465931079</v>
      </c>
    </row>
    <row r="42" spans="4:5">
      <c r="D42">
        <v>40</v>
      </c>
      <c r="E42" s="4">
        <f t="shared" si="1"/>
        <v>523644.77243260737</v>
      </c>
    </row>
    <row r="43" spans="4:5">
      <c r="D43">
        <v>41</v>
      </c>
      <c r="E43" s="4">
        <f t="shared" si="1"/>
        <v>527062.99629477039</v>
      </c>
    </row>
    <row r="44" spans="4:5">
      <c r="D44">
        <v>42</v>
      </c>
      <c r="E44" s="4">
        <f t="shared" si="1"/>
        <v>530498.31127624423</v>
      </c>
    </row>
    <row r="45" spans="4:5">
      <c r="D45">
        <v>43</v>
      </c>
      <c r="E45" s="4">
        <f t="shared" si="1"/>
        <v>533950.80283262546</v>
      </c>
    </row>
    <row r="46" spans="4:5">
      <c r="D46">
        <v>44</v>
      </c>
      <c r="E46" s="4">
        <f t="shared" si="1"/>
        <v>537420.55684678862</v>
      </c>
    </row>
    <row r="47" spans="4:5">
      <c r="D47">
        <v>45</v>
      </c>
      <c r="E47" s="4">
        <f t="shared" si="1"/>
        <v>540907.6596310226</v>
      </c>
    </row>
    <row r="48" spans="4:5">
      <c r="D48">
        <v>46</v>
      </c>
      <c r="E48" s="4">
        <f t="shared" si="1"/>
        <v>544412.19792917767</v>
      </c>
    </row>
    <row r="49" spans="4:5">
      <c r="D49">
        <v>47</v>
      </c>
      <c r="E49" s="4">
        <f t="shared" si="1"/>
        <v>547934.25891882356</v>
      </c>
    </row>
    <row r="50" spans="4:5">
      <c r="D50">
        <v>48</v>
      </c>
      <c r="E50" s="4">
        <f t="shared" si="1"/>
        <v>551473.93021341763</v>
      </c>
    </row>
    <row r="51" spans="4:5">
      <c r="D51">
        <v>49</v>
      </c>
      <c r="E51" s="4">
        <f t="shared" si="1"/>
        <v>555031.2998644847</v>
      </c>
    </row>
    <row r="52" spans="4:5">
      <c r="D52">
        <v>50</v>
      </c>
      <c r="E52" s="4">
        <f t="shared" si="1"/>
        <v>558606.45636380708</v>
      </c>
    </row>
    <row r="53" spans="4:5">
      <c r="D53">
        <v>51</v>
      </c>
      <c r="E53" s="4">
        <f t="shared" si="1"/>
        <v>562199.48864562612</v>
      </c>
    </row>
    <row r="54" spans="4:5">
      <c r="D54">
        <v>52</v>
      </c>
      <c r="E54" s="4">
        <f t="shared" si="1"/>
        <v>565810.48608885426</v>
      </c>
    </row>
    <row r="55" spans="4:5">
      <c r="D55">
        <v>53</v>
      </c>
      <c r="E55" s="4">
        <f t="shared" si="1"/>
        <v>569439.53851929854</v>
      </c>
    </row>
    <row r="56" spans="4:5">
      <c r="D56">
        <v>54</v>
      </c>
      <c r="E56" s="4">
        <f t="shared" si="1"/>
        <v>573086.73621189501</v>
      </c>
    </row>
    <row r="57" spans="4:5">
      <c r="D57">
        <v>55</v>
      </c>
      <c r="E57" s="4">
        <f t="shared" si="1"/>
        <v>576752.16989295452</v>
      </c>
    </row>
    <row r="58" spans="4:5">
      <c r="D58">
        <v>56</v>
      </c>
      <c r="E58" s="4">
        <f t="shared" si="1"/>
        <v>580435.93074241932</v>
      </c>
    </row>
    <row r="59" spans="4:5">
      <c r="D59">
        <v>57</v>
      </c>
      <c r="E59" s="4">
        <f t="shared" si="1"/>
        <v>584138.11039613141</v>
      </c>
    </row>
    <row r="60" spans="4:5">
      <c r="D60">
        <v>58</v>
      </c>
      <c r="E60" s="4">
        <f t="shared" si="1"/>
        <v>587858.80094811204</v>
      </c>
    </row>
    <row r="61" spans="4:5">
      <c r="D61">
        <v>59</v>
      </c>
      <c r="E61" s="4">
        <f t="shared" si="1"/>
        <v>591598.09495285258</v>
      </c>
    </row>
    <row r="62" spans="4:5">
      <c r="D62">
        <v>60</v>
      </c>
      <c r="E62" s="4">
        <f t="shared" si="1"/>
        <v>595356.08542761684</v>
      </c>
    </row>
    <row r="63" spans="4:5">
      <c r="D63">
        <v>61</v>
      </c>
      <c r="E63" s="4">
        <f t="shared" si="1"/>
        <v>599132.86585475493</v>
      </c>
    </row>
    <row r="64" spans="4:5">
      <c r="D64">
        <v>62</v>
      </c>
      <c r="E64" s="4">
        <f t="shared" si="1"/>
        <v>602928.53018402867</v>
      </c>
    </row>
    <row r="65" spans="4:5">
      <c r="D65">
        <v>63</v>
      </c>
      <c r="E65" s="4">
        <f t="shared" si="1"/>
        <v>606743.17283494887</v>
      </c>
    </row>
    <row r="66" spans="4:5">
      <c r="D66">
        <v>64</v>
      </c>
      <c r="E66" s="4">
        <f t="shared" si="1"/>
        <v>610576.88869912364</v>
      </c>
    </row>
    <row r="67" spans="4:5">
      <c r="D67">
        <v>65</v>
      </c>
      <c r="E67" s="4">
        <f t="shared" ref="E67:E98" si="2">E66 + rate*E66 + X</f>
        <v>614429.77314261929</v>
      </c>
    </row>
    <row r="68" spans="4:5">
      <c r="D68">
        <v>66</v>
      </c>
      <c r="E68" s="4">
        <f t="shared" si="2"/>
        <v>618301.92200833233</v>
      </c>
    </row>
    <row r="69" spans="4:5">
      <c r="D69">
        <v>67</v>
      </c>
      <c r="E69" s="4">
        <f t="shared" si="2"/>
        <v>622193.43161837396</v>
      </c>
    </row>
    <row r="70" spans="4:5">
      <c r="D70">
        <v>68</v>
      </c>
      <c r="E70" s="4">
        <f t="shared" si="2"/>
        <v>626104.39877646579</v>
      </c>
    </row>
    <row r="71" spans="4:5">
      <c r="D71">
        <v>69</v>
      </c>
      <c r="E71" s="4">
        <f t="shared" si="2"/>
        <v>630034.92077034817</v>
      </c>
    </row>
    <row r="72" spans="4:5">
      <c r="D72">
        <v>70</v>
      </c>
      <c r="E72" s="4">
        <f t="shared" si="2"/>
        <v>633985.09537419991</v>
      </c>
    </row>
    <row r="73" spans="4:5">
      <c r="D73">
        <v>71</v>
      </c>
      <c r="E73" s="4">
        <f t="shared" si="2"/>
        <v>637955.02085107088</v>
      </c>
    </row>
    <row r="74" spans="4:5">
      <c r="D74">
        <v>72</v>
      </c>
      <c r="E74" s="4">
        <f t="shared" si="2"/>
        <v>641944.79595532618</v>
      </c>
    </row>
    <row r="75" spans="4:5">
      <c r="D75">
        <v>73</v>
      </c>
      <c r="E75" s="4">
        <f t="shared" si="2"/>
        <v>645954.51993510278</v>
      </c>
    </row>
    <row r="76" spans="4:5">
      <c r="D76">
        <v>74</v>
      </c>
      <c r="E76" s="4">
        <f t="shared" si="2"/>
        <v>649984.29253477824</v>
      </c>
    </row>
    <row r="77" spans="4:5">
      <c r="D77">
        <v>75</v>
      </c>
      <c r="E77" s="4">
        <f t="shared" si="2"/>
        <v>654034.21399745217</v>
      </c>
    </row>
    <row r="78" spans="4:5">
      <c r="D78">
        <v>76</v>
      </c>
      <c r="E78" s="4">
        <f t="shared" si="2"/>
        <v>658104.38506743941</v>
      </c>
    </row>
    <row r="79" spans="4:5">
      <c r="D79">
        <v>77</v>
      </c>
      <c r="E79" s="4">
        <f t="shared" si="2"/>
        <v>662194.90699277655</v>
      </c>
    </row>
    <row r="80" spans="4:5">
      <c r="D80">
        <v>78</v>
      </c>
      <c r="E80" s="4">
        <f t="shared" si="2"/>
        <v>666305.88152774039</v>
      </c>
    </row>
    <row r="81" spans="4:5">
      <c r="D81">
        <v>79</v>
      </c>
      <c r="E81" s="4">
        <f t="shared" si="2"/>
        <v>670437.4109353791</v>
      </c>
    </row>
    <row r="82" spans="4:5">
      <c r="D82">
        <v>80</v>
      </c>
      <c r="E82" s="4">
        <f t="shared" si="2"/>
        <v>674589.59799005603</v>
      </c>
    </row>
    <row r="83" spans="4:5">
      <c r="D83">
        <v>81</v>
      </c>
      <c r="E83" s="4">
        <f t="shared" si="2"/>
        <v>678762.54598000634</v>
      </c>
    </row>
    <row r="84" spans="4:5">
      <c r="D84">
        <v>82</v>
      </c>
      <c r="E84" s="4">
        <f t="shared" si="2"/>
        <v>682956.35870990634</v>
      </c>
    </row>
    <row r="85" spans="4:5">
      <c r="D85">
        <v>83</v>
      </c>
      <c r="E85" s="4">
        <f t="shared" si="2"/>
        <v>687171.14050345588</v>
      </c>
    </row>
    <row r="86" spans="4:5">
      <c r="D86">
        <v>84</v>
      </c>
      <c r="E86" s="4">
        <f t="shared" si="2"/>
        <v>691406.99620597321</v>
      </c>
    </row>
    <row r="87" spans="4:5">
      <c r="D87">
        <v>85</v>
      </c>
      <c r="E87" s="4">
        <f t="shared" si="2"/>
        <v>695664.03118700313</v>
      </c>
    </row>
    <row r="88" spans="4:5">
      <c r="D88">
        <v>86</v>
      </c>
      <c r="E88" s="4">
        <f t="shared" si="2"/>
        <v>699942.35134293814</v>
      </c>
    </row>
    <row r="89" spans="4:5">
      <c r="D89">
        <v>87</v>
      </c>
      <c r="E89" s="4">
        <f t="shared" si="2"/>
        <v>704242.06309965288</v>
      </c>
    </row>
    <row r="90" spans="4:5">
      <c r="D90">
        <v>88</v>
      </c>
      <c r="E90" s="4">
        <f t="shared" si="2"/>
        <v>708563.27341515117</v>
      </c>
    </row>
    <row r="91" spans="4:5">
      <c r="D91">
        <v>89</v>
      </c>
      <c r="E91" s="4">
        <f t="shared" si="2"/>
        <v>712906.08978222695</v>
      </c>
    </row>
    <row r="92" spans="4:5">
      <c r="D92">
        <v>90</v>
      </c>
      <c r="E92" s="4">
        <f t="shared" si="2"/>
        <v>717270.62023113808</v>
      </c>
    </row>
    <row r="93" spans="4:5">
      <c r="D93">
        <v>91</v>
      </c>
      <c r="E93" s="4">
        <f t="shared" si="2"/>
        <v>721656.9733322938</v>
      </c>
    </row>
    <row r="94" spans="4:5">
      <c r="D94">
        <v>92</v>
      </c>
      <c r="E94" s="4">
        <f t="shared" si="2"/>
        <v>726065.25819895521</v>
      </c>
    </row>
    <row r="95" spans="4:5">
      <c r="D95">
        <v>93</v>
      </c>
      <c r="E95" s="4">
        <f t="shared" si="2"/>
        <v>730495.58448994998</v>
      </c>
    </row>
    <row r="96" spans="4:5">
      <c r="D96">
        <v>94</v>
      </c>
      <c r="E96" s="4">
        <f t="shared" si="2"/>
        <v>734948.06241239968</v>
      </c>
    </row>
    <row r="97" spans="4:5">
      <c r="D97">
        <v>95</v>
      </c>
      <c r="E97" s="4">
        <f t="shared" si="2"/>
        <v>739422.80272446165</v>
      </c>
    </row>
    <row r="98" spans="4:5">
      <c r="D98">
        <v>96</v>
      </c>
      <c r="E98" s="4">
        <f t="shared" si="2"/>
        <v>743919.91673808394</v>
      </c>
    </row>
    <row r="99" spans="4:5">
      <c r="D99">
        <v>97</v>
      </c>
      <c r="E99" s="4">
        <f t="shared" ref="E99:E130" si="3">E98 + rate*E98 + X</f>
        <v>748439.51632177434</v>
      </c>
    </row>
    <row r="100" spans="4:5">
      <c r="D100">
        <v>98</v>
      </c>
      <c r="E100" s="4">
        <f t="shared" si="3"/>
        <v>752981.71390338324</v>
      </c>
    </row>
    <row r="101" spans="4:5">
      <c r="D101">
        <v>99</v>
      </c>
      <c r="E101" s="4">
        <f t="shared" si="3"/>
        <v>757546.6224729002</v>
      </c>
    </row>
    <row r="102" spans="4:5">
      <c r="D102">
        <v>100</v>
      </c>
      <c r="E102" s="4">
        <f t="shared" si="3"/>
        <v>762134.35558526474</v>
      </c>
    </row>
    <row r="103" spans="4:5">
      <c r="D103">
        <v>101</v>
      </c>
      <c r="E103" s="4">
        <f t="shared" si="3"/>
        <v>766745.02736319101</v>
      </c>
    </row>
    <row r="104" spans="4:5">
      <c r="D104">
        <v>102</v>
      </c>
      <c r="E104" s="4">
        <f t="shared" si="3"/>
        <v>771378.75250000693</v>
      </c>
    </row>
    <row r="105" spans="4:5">
      <c r="D105">
        <v>103</v>
      </c>
      <c r="E105" s="4">
        <f t="shared" si="3"/>
        <v>776035.64626250695</v>
      </c>
    </row>
    <row r="106" spans="4:5">
      <c r="D106">
        <v>104</v>
      </c>
      <c r="E106" s="4">
        <f t="shared" si="3"/>
        <v>780715.8244938195</v>
      </c>
    </row>
    <row r="107" spans="4:5">
      <c r="D107">
        <v>105</v>
      </c>
      <c r="E107" s="4">
        <f t="shared" si="3"/>
        <v>785419.40361628856</v>
      </c>
    </row>
    <row r="108" spans="4:5">
      <c r="D108">
        <v>106</v>
      </c>
      <c r="E108" s="4">
        <f t="shared" si="3"/>
        <v>790146.50063437002</v>
      </c>
    </row>
    <row r="109" spans="4:5">
      <c r="D109">
        <v>107</v>
      </c>
      <c r="E109" s="4">
        <f t="shared" si="3"/>
        <v>794897.23313754192</v>
      </c>
    </row>
    <row r="110" spans="4:5">
      <c r="D110">
        <v>108</v>
      </c>
      <c r="E110" s="4">
        <f t="shared" si="3"/>
        <v>799671.71930322959</v>
      </c>
    </row>
    <row r="111" spans="4:5">
      <c r="D111">
        <v>109</v>
      </c>
      <c r="E111" s="4">
        <f t="shared" si="3"/>
        <v>804470.07789974578</v>
      </c>
    </row>
    <row r="112" spans="4:5">
      <c r="D112">
        <v>110</v>
      </c>
      <c r="E112" s="4">
        <f t="shared" si="3"/>
        <v>809292.42828924453</v>
      </c>
    </row>
    <row r="113" spans="4:5">
      <c r="D113">
        <v>111</v>
      </c>
      <c r="E113" s="4">
        <f t="shared" si="3"/>
        <v>814138.89043069072</v>
      </c>
    </row>
    <row r="114" spans="4:5">
      <c r="D114">
        <v>112</v>
      </c>
      <c r="E114" s="4">
        <f t="shared" si="3"/>
        <v>819009.58488284412</v>
      </c>
    </row>
    <row r="115" spans="4:5">
      <c r="D115">
        <v>113</v>
      </c>
      <c r="E115" s="4">
        <f t="shared" si="3"/>
        <v>823904.6328072584</v>
      </c>
    </row>
    <row r="116" spans="4:5">
      <c r="D116">
        <v>114</v>
      </c>
      <c r="E116" s="4">
        <f t="shared" si="3"/>
        <v>828824.15597129473</v>
      </c>
    </row>
    <row r="117" spans="4:5">
      <c r="D117">
        <v>115</v>
      </c>
      <c r="E117" s="4">
        <f t="shared" si="3"/>
        <v>833768.27675115119</v>
      </c>
    </row>
    <row r="118" spans="4:5">
      <c r="D118">
        <v>116</v>
      </c>
      <c r="E118" s="4">
        <f t="shared" si="3"/>
        <v>838737.11813490698</v>
      </c>
    </row>
    <row r="119" spans="4:5">
      <c r="D119">
        <v>117</v>
      </c>
      <c r="E119" s="4">
        <f t="shared" si="3"/>
        <v>843730.8037255815</v>
      </c>
    </row>
    <row r="120" spans="4:5">
      <c r="D120">
        <v>118</v>
      </c>
      <c r="E120" s="4">
        <f t="shared" si="3"/>
        <v>848749.45774420945</v>
      </c>
    </row>
    <row r="121" spans="4:5">
      <c r="D121">
        <v>119</v>
      </c>
      <c r="E121" s="4">
        <f t="shared" si="3"/>
        <v>853793.20503293048</v>
      </c>
    </row>
    <row r="122" spans="4:5">
      <c r="D122">
        <v>120</v>
      </c>
      <c r="E122" s="4">
        <f t="shared" si="3"/>
        <v>858862.17105809518</v>
      </c>
    </row>
    <row r="123" spans="4:5">
      <c r="D123">
        <v>121</v>
      </c>
      <c r="E123" s="4">
        <f t="shared" si="3"/>
        <v>863956.48191338568</v>
      </c>
    </row>
    <row r="124" spans="4:5">
      <c r="D124">
        <v>122</v>
      </c>
      <c r="E124" s="4">
        <f t="shared" si="3"/>
        <v>869076.2643229526</v>
      </c>
    </row>
    <row r="125" spans="4:5">
      <c r="D125">
        <v>123</v>
      </c>
      <c r="E125" s="4">
        <f t="shared" si="3"/>
        <v>874221.64564456732</v>
      </c>
    </row>
    <row r="126" spans="4:5">
      <c r="D126">
        <v>124</v>
      </c>
      <c r="E126" s="4">
        <f t="shared" si="3"/>
        <v>879392.75387279014</v>
      </c>
    </row>
    <row r="127" spans="4:5">
      <c r="D127">
        <v>125</v>
      </c>
      <c r="E127" s="4">
        <f t="shared" si="3"/>
        <v>884589.71764215408</v>
      </c>
    </row>
    <row r="128" spans="4:5">
      <c r="D128">
        <v>126</v>
      </c>
      <c r="E128" s="4">
        <f t="shared" si="3"/>
        <v>889812.66623036482</v>
      </c>
    </row>
    <row r="129" spans="4:5">
      <c r="D129">
        <v>127</v>
      </c>
      <c r="E129" s="4">
        <f t="shared" si="3"/>
        <v>895061.72956151667</v>
      </c>
    </row>
    <row r="130" spans="4:5">
      <c r="D130">
        <v>128</v>
      </c>
      <c r="E130" s="4">
        <f t="shared" si="3"/>
        <v>900337.03820932424</v>
      </c>
    </row>
    <row r="131" spans="4:5">
      <c r="D131">
        <v>129</v>
      </c>
      <c r="E131" s="4">
        <f t="shared" ref="E131:E162" si="4">E130 + rate*E130 + X</f>
        <v>905638.72340037092</v>
      </c>
    </row>
    <row r="132" spans="4:5">
      <c r="D132">
        <v>130</v>
      </c>
      <c r="E132" s="4">
        <f t="shared" si="4"/>
        <v>910966.91701737279</v>
      </c>
    </row>
    <row r="133" spans="4:5">
      <c r="D133">
        <v>131</v>
      </c>
      <c r="E133" s="4">
        <f t="shared" si="4"/>
        <v>916321.7516024597</v>
      </c>
    </row>
    <row r="134" spans="4:5">
      <c r="D134">
        <v>132</v>
      </c>
      <c r="E134" s="4">
        <f t="shared" si="4"/>
        <v>921703.360360472</v>
      </c>
    </row>
    <row r="135" spans="4:5">
      <c r="D135">
        <v>133</v>
      </c>
      <c r="E135" s="4">
        <f t="shared" si="4"/>
        <v>927111.87716227432</v>
      </c>
    </row>
    <row r="136" spans="4:5">
      <c r="D136">
        <v>134</v>
      </c>
      <c r="E136" s="4">
        <f t="shared" si="4"/>
        <v>932547.43654808565</v>
      </c>
    </row>
    <row r="137" spans="4:5">
      <c r="D137">
        <v>135</v>
      </c>
      <c r="E137" s="4">
        <f t="shared" si="4"/>
        <v>938010.17373082612</v>
      </c>
    </row>
    <row r="138" spans="4:5">
      <c r="D138">
        <v>136</v>
      </c>
      <c r="E138" s="4">
        <f t="shared" si="4"/>
        <v>943500.22459948028</v>
      </c>
    </row>
    <row r="139" spans="4:5">
      <c r="D139">
        <v>137</v>
      </c>
      <c r="E139" s="4">
        <f t="shared" si="4"/>
        <v>949017.72572247765</v>
      </c>
    </row>
    <row r="140" spans="4:5">
      <c r="D140">
        <v>138</v>
      </c>
      <c r="E140" s="4">
        <f t="shared" si="4"/>
        <v>954562.81435109</v>
      </c>
    </row>
    <row r="141" spans="4:5">
      <c r="D141">
        <v>139</v>
      </c>
      <c r="E141" s="4">
        <f t="shared" si="4"/>
        <v>960135.6284228455</v>
      </c>
    </row>
    <row r="142" spans="4:5">
      <c r="D142">
        <v>140</v>
      </c>
      <c r="E142" s="4">
        <f t="shared" si="4"/>
        <v>965736.3065649597</v>
      </c>
    </row>
    <row r="143" spans="4:5">
      <c r="D143">
        <v>141</v>
      </c>
      <c r="E143" s="4">
        <f t="shared" si="4"/>
        <v>971364.98809778446</v>
      </c>
    </row>
    <row r="144" spans="4:5">
      <c r="D144">
        <v>142</v>
      </c>
      <c r="E144" s="4">
        <f t="shared" si="4"/>
        <v>977021.81303827337</v>
      </c>
    </row>
    <row r="145" spans="4:5">
      <c r="D145">
        <v>143</v>
      </c>
      <c r="E145" s="4">
        <f t="shared" si="4"/>
        <v>982706.92210346472</v>
      </c>
    </row>
    <row r="146" spans="4:5">
      <c r="D146">
        <v>144</v>
      </c>
      <c r="E146" s="4">
        <f t="shared" si="4"/>
        <v>988420.45671398204</v>
      </c>
    </row>
    <row r="147" spans="4:5">
      <c r="D147">
        <v>145</v>
      </c>
      <c r="E147" s="4">
        <f t="shared" si="4"/>
        <v>994162.55899755191</v>
      </c>
    </row>
    <row r="148" spans="4:5">
      <c r="D148">
        <v>146</v>
      </c>
      <c r="E148" s="4">
        <f t="shared" si="4"/>
        <v>999933.37179253972</v>
      </c>
    </row>
    <row r="149" spans="4:5">
      <c r="D149">
        <v>147</v>
      </c>
      <c r="E149" s="4">
        <f t="shared" si="4"/>
        <v>1005733.0386515025</v>
      </c>
    </row>
    <row r="150" spans="4:5">
      <c r="D150">
        <v>148</v>
      </c>
      <c r="E150" s="4">
        <f t="shared" si="4"/>
        <v>1011561.70384476</v>
      </c>
    </row>
    <row r="151" spans="4:5">
      <c r="D151">
        <v>149</v>
      </c>
      <c r="E151" s="4">
        <f t="shared" si="4"/>
        <v>1017419.5123639838</v>
      </c>
    </row>
    <row r="152" spans="4:5">
      <c r="D152">
        <v>150</v>
      </c>
      <c r="E152" s="4">
        <f t="shared" si="4"/>
        <v>1023306.6099258037</v>
      </c>
    </row>
    <row r="153" spans="4:5">
      <c r="D153">
        <v>151</v>
      </c>
      <c r="E153" s="4">
        <f t="shared" si="4"/>
        <v>1029223.1429754328</v>
      </c>
    </row>
    <row r="154" spans="4:5">
      <c r="D154">
        <v>152</v>
      </c>
      <c r="E154" s="4">
        <f t="shared" si="4"/>
        <v>1035169.2586903099</v>
      </c>
    </row>
    <row r="155" spans="4:5">
      <c r="D155">
        <v>153</v>
      </c>
      <c r="E155" s="4">
        <f t="shared" si="4"/>
        <v>1041145.1049837614</v>
      </c>
    </row>
    <row r="156" spans="4:5">
      <c r="D156">
        <v>154</v>
      </c>
      <c r="E156" s="4">
        <f t="shared" si="4"/>
        <v>1047150.8305086802</v>
      </c>
    </row>
    <row r="157" spans="4:5">
      <c r="D157">
        <v>155</v>
      </c>
      <c r="E157" s="4">
        <f t="shared" si="4"/>
        <v>1053186.5846612237</v>
      </c>
    </row>
    <row r="158" spans="4:5">
      <c r="D158">
        <v>156</v>
      </c>
      <c r="E158" s="4">
        <f t="shared" si="4"/>
        <v>1059252.5175845297</v>
      </c>
    </row>
    <row r="159" spans="4:5">
      <c r="D159">
        <v>157</v>
      </c>
      <c r="E159" s="4">
        <f t="shared" si="4"/>
        <v>1065348.7801724523</v>
      </c>
    </row>
    <row r="160" spans="4:5">
      <c r="D160">
        <v>158</v>
      </c>
      <c r="E160" s="4">
        <f t="shared" si="4"/>
        <v>1071475.5240733146</v>
      </c>
    </row>
    <row r="161" spans="4:5">
      <c r="D161">
        <v>159</v>
      </c>
      <c r="E161" s="4">
        <f t="shared" si="4"/>
        <v>1077632.9016936813</v>
      </c>
    </row>
    <row r="162" spans="4:5">
      <c r="D162">
        <v>160</v>
      </c>
      <c r="E162" s="4">
        <f t="shared" si="4"/>
        <v>1083821.0662021497</v>
      </c>
    </row>
    <row r="163" spans="4:5">
      <c r="D163">
        <v>161</v>
      </c>
      <c r="E163" s="4">
        <f t="shared" ref="E163:E182" si="5">E162 + rate*E162 + X</f>
        <v>1090040.1715331604</v>
      </c>
    </row>
    <row r="164" spans="4:5">
      <c r="D164">
        <v>162</v>
      </c>
      <c r="E164" s="4">
        <f t="shared" si="5"/>
        <v>1096290.3723908262</v>
      </c>
    </row>
    <row r="165" spans="4:5">
      <c r="D165">
        <v>163</v>
      </c>
      <c r="E165" s="4">
        <f t="shared" si="5"/>
        <v>1102571.8242527803</v>
      </c>
    </row>
    <row r="166" spans="4:5">
      <c r="D166">
        <v>164</v>
      </c>
      <c r="E166" s="4">
        <f t="shared" si="5"/>
        <v>1108884.6833740443</v>
      </c>
    </row>
    <row r="167" spans="4:5">
      <c r="D167">
        <v>165</v>
      </c>
      <c r="E167" s="4">
        <f t="shared" si="5"/>
        <v>1115229.1067909144</v>
      </c>
    </row>
    <row r="168" spans="4:5">
      <c r="D168">
        <v>166</v>
      </c>
      <c r="E168" s="4">
        <f t="shared" si="5"/>
        <v>1121605.2523248689</v>
      </c>
    </row>
    <row r="169" spans="4:5">
      <c r="D169">
        <v>167</v>
      </c>
      <c r="E169" s="4">
        <f t="shared" si="5"/>
        <v>1128013.2785864933</v>
      </c>
    </row>
    <row r="170" spans="4:5">
      <c r="D170">
        <v>168</v>
      </c>
      <c r="E170" s="4">
        <f t="shared" si="5"/>
        <v>1134453.3449794259</v>
      </c>
    </row>
    <row r="171" spans="4:5">
      <c r="D171">
        <v>169</v>
      </c>
      <c r="E171" s="4">
        <f t="shared" si="5"/>
        <v>1140925.611704323</v>
      </c>
    </row>
    <row r="172" spans="4:5">
      <c r="D172">
        <v>170</v>
      </c>
      <c r="E172" s="4">
        <f t="shared" si="5"/>
        <v>1147430.2397628445</v>
      </c>
    </row>
    <row r="173" spans="4:5">
      <c r="D173">
        <v>171</v>
      </c>
      <c r="E173" s="4">
        <f t="shared" si="5"/>
        <v>1153967.3909616587</v>
      </c>
    </row>
    <row r="174" spans="4:5">
      <c r="D174">
        <v>172</v>
      </c>
      <c r="E174" s="4">
        <f t="shared" si="5"/>
        <v>1160537.227916467</v>
      </c>
    </row>
    <row r="175" spans="4:5">
      <c r="D175">
        <v>173</v>
      </c>
      <c r="E175" s="4">
        <f t="shared" si="5"/>
        <v>1167139.9140560494</v>
      </c>
    </row>
    <row r="176" spans="4:5">
      <c r="D176">
        <v>174</v>
      </c>
      <c r="E176" s="4">
        <f t="shared" si="5"/>
        <v>1173775.6136263297</v>
      </c>
    </row>
    <row r="177" spans="4:5">
      <c r="D177">
        <v>175</v>
      </c>
      <c r="E177" s="4">
        <f t="shared" si="5"/>
        <v>1180444.4916944613</v>
      </c>
    </row>
    <row r="178" spans="4:5">
      <c r="D178">
        <v>176</v>
      </c>
      <c r="E178" s="4">
        <f t="shared" si="5"/>
        <v>1187146.7141529336</v>
      </c>
    </row>
    <row r="179" spans="4:5">
      <c r="D179">
        <v>177</v>
      </c>
      <c r="E179" s="4">
        <f t="shared" si="5"/>
        <v>1193882.4477236983</v>
      </c>
    </row>
    <row r="180" spans="4:5">
      <c r="D180">
        <v>178</v>
      </c>
      <c r="E180" s="4">
        <f t="shared" si="5"/>
        <v>1200651.8599623169</v>
      </c>
    </row>
    <row r="181" spans="4:5">
      <c r="D181">
        <v>179</v>
      </c>
      <c r="E181" s="4">
        <f t="shared" si="5"/>
        <v>1207455.1192621286</v>
      </c>
    </row>
    <row r="182" spans="4:5">
      <c r="D182">
        <v>180</v>
      </c>
      <c r="E182" s="9">
        <f t="shared" si="5"/>
        <v>1214292.3948584392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8"/>
  <sheetViews>
    <sheetView tabSelected="1" zoomScaleNormal="100" workbookViewId="0">
      <selection activeCell="J23" sqref="J23"/>
    </sheetView>
  </sheetViews>
  <sheetFormatPr defaultRowHeight="15"/>
  <cols>
    <col min="1" max="1" width="11" bestFit="1" customWidth="1"/>
    <col min="2" max="2" width="12.5703125" bestFit="1" customWidth="1"/>
    <col min="3" max="3" width="2.7109375" customWidth="1"/>
    <col min="4" max="4" width="6.85546875" bestFit="1" customWidth="1"/>
    <col min="5" max="5" width="33.28515625" style="4" bestFit="1" customWidth="1"/>
    <col min="6" max="6" width="1.140625" customWidth="1"/>
    <col min="7" max="7" width="10.140625" bestFit="1" customWidth="1"/>
    <col min="11" max="11" width="11.5703125" bestFit="1" customWidth="1"/>
  </cols>
  <sheetData>
    <row r="1" spans="1:10">
      <c r="A1" s="6" t="s">
        <v>0</v>
      </c>
      <c r="B1">
        <v>216</v>
      </c>
      <c r="D1" s="1" t="s">
        <v>7</v>
      </c>
      <c r="E1" s="5" t="s">
        <v>8</v>
      </c>
      <c r="G1" s="1" t="s">
        <v>6</v>
      </c>
    </row>
    <row r="2" spans="1:10">
      <c r="A2" s="6" t="s">
        <v>1</v>
      </c>
      <c r="B2" s="9">
        <f>(F + X*(1 - B6)/rate)/B6</f>
        <v>14481.699094699406</v>
      </c>
      <c r="D2">
        <v>0</v>
      </c>
      <c r="E2" s="9">
        <v>14481.699094697666</v>
      </c>
      <c r="G2" s="10">
        <f>-PV(rate,n,-X,F)</f>
        <v>14481.699094699406</v>
      </c>
    </row>
    <row r="3" spans="1:10">
      <c r="A3" s="6" t="s">
        <v>2</v>
      </c>
      <c r="B3" s="4">
        <v>200</v>
      </c>
      <c r="D3">
        <v>1</v>
      </c>
      <c r="E3" s="4">
        <f t="shared" ref="E3:E66" si="0">E2 + E2*rate + X</f>
        <v>14754.107590171154</v>
      </c>
    </row>
    <row r="4" spans="1:10">
      <c r="A4" s="6" t="s">
        <v>4</v>
      </c>
      <c r="B4" s="4">
        <v>120000</v>
      </c>
      <c r="D4">
        <v>2</v>
      </c>
      <c r="E4" s="4">
        <f t="shared" si="0"/>
        <v>15027.878128122009</v>
      </c>
      <c r="I4" s="8"/>
      <c r="J4" s="8"/>
    </row>
    <row r="5" spans="1:10">
      <c r="A5" s="6" t="s">
        <v>3</v>
      </c>
      <c r="B5" s="2">
        <v>5.0000000000000001E-3</v>
      </c>
      <c r="D5">
        <v>3</v>
      </c>
      <c r="E5" s="4">
        <f t="shared" si="0"/>
        <v>15303.017518762619</v>
      </c>
    </row>
    <row r="6" spans="1:10">
      <c r="A6" s="6" t="s">
        <v>5</v>
      </c>
      <c r="B6" s="3">
        <f>(1 + rate)^n</f>
        <v>2.936765972035674</v>
      </c>
      <c r="D6">
        <v>4</v>
      </c>
      <c r="E6" s="4">
        <f t="shared" si="0"/>
        <v>15579.532606356432</v>
      </c>
    </row>
    <row r="7" spans="1:10">
      <c r="D7">
        <v>5</v>
      </c>
      <c r="E7" s="4">
        <f t="shared" si="0"/>
        <v>15857.430269388215</v>
      </c>
    </row>
    <row r="8" spans="1:10">
      <c r="D8">
        <v>6</v>
      </c>
      <c r="E8" s="4">
        <f t="shared" si="0"/>
        <v>16136.717420735156</v>
      </c>
    </row>
    <row r="9" spans="1:10">
      <c r="D9">
        <v>7</v>
      </c>
      <c r="E9" s="4">
        <f t="shared" si="0"/>
        <v>16417.401007838831</v>
      </c>
    </row>
    <row r="10" spans="1:10">
      <c r="D10">
        <v>8</v>
      </c>
      <c r="E10" s="4">
        <f t="shared" si="0"/>
        <v>16699.488012878024</v>
      </c>
    </row>
    <row r="11" spans="1:10">
      <c r="D11">
        <v>9</v>
      </c>
      <c r="E11" s="4">
        <f t="shared" si="0"/>
        <v>16982.985452942416</v>
      </c>
    </row>
    <row r="12" spans="1:10">
      <c r="D12">
        <v>10</v>
      </c>
      <c r="E12" s="4">
        <f t="shared" si="0"/>
        <v>17267.900380207127</v>
      </c>
    </row>
    <row r="13" spans="1:10">
      <c r="D13">
        <v>11</v>
      </c>
      <c r="E13" s="4">
        <f t="shared" si="0"/>
        <v>17554.239882108162</v>
      </c>
    </row>
    <row r="14" spans="1:10">
      <c r="D14">
        <v>12</v>
      </c>
      <c r="E14" s="4">
        <f t="shared" si="0"/>
        <v>17842.011081518704</v>
      </c>
    </row>
    <row r="15" spans="1:10">
      <c r="D15">
        <v>13</v>
      </c>
      <c r="E15" s="4">
        <f t="shared" si="0"/>
        <v>18131.221136926299</v>
      </c>
    </row>
    <row r="16" spans="1:10">
      <c r="D16">
        <v>14</v>
      </c>
      <c r="E16" s="4">
        <f t="shared" si="0"/>
        <v>18421.877242610932</v>
      </c>
    </row>
    <row r="17" spans="4:5">
      <c r="D17">
        <v>15</v>
      </c>
      <c r="E17" s="4">
        <f t="shared" si="0"/>
        <v>18713.986628823986</v>
      </c>
    </row>
    <row r="18" spans="4:5">
      <c r="D18">
        <v>16</v>
      </c>
      <c r="E18" s="4">
        <f t="shared" si="0"/>
        <v>19007.556561968107</v>
      </c>
    </row>
    <row r="19" spans="4:5">
      <c r="D19">
        <v>17</v>
      </c>
      <c r="E19" s="4">
        <f t="shared" si="0"/>
        <v>19302.594344777946</v>
      </c>
    </row>
    <row r="20" spans="4:5">
      <c r="D20">
        <v>18</v>
      </c>
      <c r="E20" s="4">
        <f t="shared" si="0"/>
        <v>19599.107316501835</v>
      </c>
    </row>
    <row r="21" spans="4:5">
      <c r="D21">
        <v>19</v>
      </c>
      <c r="E21" s="4">
        <f t="shared" si="0"/>
        <v>19897.102853084343</v>
      </c>
    </row>
    <row r="22" spans="4:5">
      <c r="D22">
        <v>20</v>
      </c>
      <c r="E22" s="4">
        <f t="shared" si="0"/>
        <v>20196.588367349766</v>
      </c>
    </row>
    <row r="23" spans="4:5">
      <c r="D23">
        <v>21</v>
      </c>
      <c r="E23" s="4">
        <f t="shared" si="0"/>
        <v>20497.571309186515</v>
      </c>
    </row>
    <row r="24" spans="4:5">
      <c r="D24">
        <v>22</v>
      </c>
      <c r="E24" s="4">
        <f t="shared" si="0"/>
        <v>20800.059165732448</v>
      </c>
    </row>
    <row r="25" spans="4:5">
      <c r="D25">
        <v>23</v>
      </c>
      <c r="E25" s="4">
        <f t="shared" si="0"/>
        <v>21104.059461561108</v>
      </c>
    </row>
    <row r="26" spans="4:5">
      <c r="D26">
        <v>24</v>
      </c>
      <c r="E26" s="4">
        <f t="shared" si="0"/>
        <v>21409.579758868913</v>
      </c>
    </row>
    <row r="27" spans="4:5">
      <c r="D27">
        <v>25</v>
      </c>
      <c r="E27" s="4">
        <f t="shared" si="0"/>
        <v>21716.627657663259</v>
      </c>
    </row>
    <row r="28" spans="4:5">
      <c r="D28">
        <v>26</v>
      </c>
      <c r="E28" s="4">
        <f t="shared" si="0"/>
        <v>22025.210795951574</v>
      </c>
    </row>
    <row r="29" spans="4:5">
      <c r="D29">
        <v>27</v>
      </c>
      <c r="E29" s="4">
        <f t="shared" si="0"/>
        <v>22335.336849931333</v>
      </c>
    </row>
    <row r="30" spans="4:5">
      <c r="D30">
        <v>28</v>
      </c>
      <c r="E30" s="4">
        <f t="shared" si="0"/>
        <v>22647.013534180991</v>
      </c>
    </row>
    <row r="31" spans="4:5">
      <c r="D31">
        <v>29</v>
      </c>
      <c r="E31" s="4">
        <f t="shared" si="0"/>
        <v>22960.248601851898</v>
      </c>
    </row>
    <row r="32" spans="4:5">
      <c r="D32">
        <v>30</v>
      </c>
      <c r="E32" s="4">
        <f t="shared" si="0"/>
        <v>23275.049844861158</v>
      </c>
    </row>
    <row r="33" spans="4:5">
      <c r="D33">
        <v>31</v>
      </c>
      <c r="E33" s="4">
        <f t="shared" si="0"/>
        <v>23591.425094085465</v>
      </c>
    </row>
    <row r="34" spans="4:5">
      <c r="D34">
        <v>32</v>
      </c>
      <c r="E34" s="4">
        <f t="shared" si="0"/>
        <v>23909.382219555893</v>
      </c>
    </row>
    <row r="35" spans="4:5">
      <c r="D35">
        <v>33</v>
      </c>
      <c r="E35" s="4">
        <f t="shared" si="0"/>
        <v>24228.929130653672</v>
      </c>
    </row>
    <row r="36" spans="4:5">
      <c r="D36">
        <v>34</v>
      </c>
      <c r="E36" s="4">
        <f t="shared" si="0"/>
        <v>24550.073776306941</v>
      </c>
    </row>
    <row r="37" spans="4:5">
      <c r="D37">
        <v>35</v>
      </c>
      <c r="E37" s="4">
        <f t="shared" si="0"/>
        <v>24872.824145188475</v>
      </c>
    </row>
    <row r="38" spans="4:5">
      <c r="D38">
        <v>36</v>
      </c>
      <c r="E38" s="4">
        <f t="shared" si="0"/>
        <v>25197.188265914418</v>
      </c>
    </row>
    <row r="39" spans="4:5">
      <c r="D39">
        <v>37</v>
      </c>
      <c r="E39" s="4">
        <f t="shared" si="0"/>
        <v>25523.174207243988</v>
      </c>
    </row>
    <row r="40" spans="4:5">
      <c r="D40">
        <v>38</v>
      </c>
      <c r="E40" s="4">
        <f t="shared" si="0"/>
        <v>25850.79007828021</v>
      </c>
    </row>
    <row r="41" spans="4:5">
      <c r="D41">
        <v>39</v>
      </c>
      <c r="E41" s="4">
        <f t="shared" si="0"/>
        <v>26180.044028671611</v>
      </c>
    </row>
    <row r="42" spans="4:5">
      <c r="D42">
        <v>40</v>
      </c>
      <c r="E42" s="4">
        <f t="shared" si="0"/>
        <v>26510.944248814969</v>
      </c>
    </row>
    <row r="43" spans="4:5">
      <c r="D43">
        <v>41</v>
      </c>
      <c r="E43" s="4">
        <f t="shared" si="0"/>
        <v>26843.498970059045</v>
      </c>
    </row>
    <row r="44" spans="4:5">
      <c r="D44">
        <v>42</v>
      </c>
      <c r="E44" s="4">
        <f t="shared" si="0"/>
        <v>27177.716464909339</v>
      </c>
    </row>
    <row r="45" spans="4:5">
      <c r="D45">
        <v>43</v>
      </c>
      <c r="E45" s="4">
        <f t="shared" si="0"/>
        <v>27513.605047233887</v>
      </c>
    </row>
    <row r="46" spans="4:5">
      <c r="D46">
        <v>44</v>
      </c>
      <c r="E46" s="4">
        <f t="shared" si="0"/>
        <v>27851.173072470057</v>
      </c>
    </row>
    <row r="47" spans="4:5">
      <c r="D47">
        <v>45</v>
      </c>
      <c r="E47" s="4">
        <f t="shared" si="0"/>
        <v>28190.428937832407</v>
      </c>
    </row>
    <row r="48" spans="4:5">
      <c r="D48">
        <v>46</v>
      </c>
      <c r="E48" s="4">
        <f t="shared" si="0"/>
        <v>28531.38108252157</v>
      </c>
    </row>
    <row r="49" spans="4:5">
      <c r="D49">
        <v>47</v>
      </c>
      <c r="E49" s="4">
        <f t="shared" si="0"/>
        <v>28874.037987934178</v>
      </c>
    </row>
    <row r="50" spans="4:5">
      <c r="D50">
        <v>48</v>
      </c>
      <c r="E50" s="4">
        <f t="shared" si="0"/>
        <v>29218.408177873847</v>
      </c>
    </row>
    <row r="51" spans="4:5">
      <c r="D51">
        <v>49</v>
      </c>
      <c r="E51" s="4">
        <f t="shared" si="0"/>
        <v>29564.500218763216</v>
      </c>
    </row>
    <row r="52" spans="4:5">
      <c r="D52">
        <v>50</v>
      </c>
      <c r="E52" s="4">
        <f t="shared" si="0"/>
        <v>29912.322719857031</v>
      </c>
    </row>
    <row r="53" spans="4:5">
      <c r="D53">
        <v>51</v>
      </c>
      <c r="E53" s="4">
        <f t="shared" si="0"/>
        <v>30261.884333456317</v>
      </c>
    </row>
    <row r="54" spans="4:5">
      <c r="D54">
        <v>52</v>
      </c>
      <c r="E54" s="4">
        <f t="shared" si="0"/>
        <v>30613.193755123597</v>
      </c>
    </row>
    <row r="55" spans="4:5">
      <c r="D55">
        <v>53</v>
      </c>
      <c r="E55" s="4">
        <f t="shared" si="0"/>
        <v>30966.259723899217</v>
      </c>
    </row>
    <row r="56" spans="4:5">
      <c r="D56">
        <v>54</v>
      </c>
      <c r="E56" s="4">
        <f t="shared" si="0"/>
        <v>31321.091022518714</v>
      </c>
    </row>
    <row r="57" spans="4:5">
      <c r="D57">
        <v>55</v>
      </c>
      <c r="E57" s="4">
        <f t="shared" si="0"/>
        <v>31677.696477631307</v>
      </c>
    </row>
    <row r="58" spans="4:5">
      <c r="D58">
        <v>56</v>
      </c>
      <c r="E58" s="4">
        <f t="shared" si="0"/>
        <v>32036.084960019463</v>
      </c>
    </row>
    <row r="59" spans="4:5">
      <c r="D59">
        <v>57</v>
      </c>
      <c r="E59" s="4">
        <f t="shared" si="0"/>
        <v>32396.265384819562</v>
      </c>
    </row>
    <row r="60" spans="4:5">
      <c r="D60">
        <v>58</v>
      </c>
      <c r="E60" s="4">
        <f t="shared" si="0"/>
        <v>32758.246711743661</v>
      </c>
    </row>
    <row r="61" spans="4:5">
      <c r="D61">
        <v>59</v>
      </c>
      <c r="E61" s="4">
        <f t="shared" si="0"/>
        <v>33122.037945302378</v>
      </c>
    </row>
    <row r="62" spans="4:5">
      <c r="D62">
        <v>60</v>
      </c>
      <c r="E62" s="4">
        <f t="shared" si="0"/>
        <v>33487.648135028889</v>
      </c>
    </row>
    <row r="63" spans="4:5">
      <c r="D63">
        <v>61</v>
      </c>
      <c r="E63" s="4">
        <f t="shared" si="0"/>
        <v>33855.086375704035</v>
      </c>
    </row>
    <row r="64" spans="4:5">
      <c r="D64">
        <v>62</v>
      </c>
      <c r="E64" s="4">
        <f t="shared" si="0"/>
        <v>34224.361807582558</v>
      </c>
    </row>
    <row r="65" spans="4:5">
      <c r="D65">
        <v>63</v>
      </c>
      <c r="E65" s="4">
        <f t="shared" si="0"/>
        <v>34595.48361662047</v>
      </c>
    </row>
    <row r="66" spans="4:5">
      <c r="D66">
        <v>64</v>
      </c>
      <c r="E66" s="4">
        <f t="shared" si="0"/>
        <v>34968.46103470357</v>
      </c>
    </row>
    <row r="67" spans="4:5">
      <c r="D67">
        <v>65</v>
      </c>
      <c r="E67" s="4">
        <f t="shared" ref="E67:E130" si="1">E66 + E66*rate + X</f>
        <v>35343.303339877086</v>
      </c>
    </row>
    <row r="68" spans="4:5">
      <c r="D68">
        <v>66</v>
      </c>
      <c r="E68" s="4">
        <f t="shared" si="1"/>
        <v>35720.019856576473</v>
      </c>
    </row>
    <row r="69" spans="4:5">
      <c r="D69">
        <v>67</v>
      </c>
      <c r="E69" s="4">
        <f t="shared" si="1"/>
        <v>36098.619955859358</v>
      </c>
    </row>
    <row r="70" spans="4:5">
      <c r="D70">
        <v>68</v>
      </c>
      <c r="E70" s="4">
        <f t="shared" si="1"/>
        <v>36479.113055638656</v>
      </c>
    </row>
    <row r="71" spans="4:5">
      <c r="D71">
        <v>69</v>
      </c>
      <c r="E71" s="4">
        <f t="shared" si="1"/>
        <v>36861.508620916851</v>
      </c>
    </row>
    <row r="72" spans="4:5">
      <c r="D72">
        <v>70</v>
      </c>
      <c r="E72" s="4">
        <f t="shared" si="1"/>
        <v>37245.816164021438</v>
      </c>
    </row>
    <row r="73" spans="4:5">
      <c r="D73">
        <v>71</v>
      </c>
      <c r="E73" s="4">
        <f t="shared" si="1"/>
        <v>37632.045244841545</v>
      </c>
    </row>
    <row r="74" spans="4:5">
      <c r="D74">
        <v>72</v>
      </c>
      <c r="E74" s="4">
        <f t="shared" si="1"/>
        <v>38020.205471065754</v>
      </c>
    </row>
    <row r="75" spans="4:5">
      <c r="D75">
        <v>73</v>
      </c>
      <c r="E75" s="4">
        <f t="shared" si="1"/>
        <v>38410.30649842108</v>
      </c>
    </row>
    <row r="76" spans="4:5">
      <c r="D76">
        <v>74</v>
      </c>
      <c r="E76" s="4">
        <f t="shared" si="1"/>
        <v>38802.358030913187</v>
      </c>
    </row>
    <row r="77" spans="4:5">
      <c r="D77">
        <v>75</v>
      </c>
      <c r="E77" s="4">
        <f t="shared" si="1"/>
        <v>39196.369821067754</v>
      </c>
    </row>
    <row r="78" spans="4:5">
      <c r="D78">
        <v>76</v>
      </c>
      <c r="E78" s="4">
        <f t="shared" si="1"/>
        <v>39592.351670173091</v>
      </c>
    </row>
    <row r="79" spans="4:5">
      <c r="D79">
        <v>77</v>
      </c>
      <c r="E79" s="4">
        <f t="shared" si="1"/>
        <v>39990.313428523958</v>
      </c>
    </row>
    <row r="80" spans="4:5">
      <c r="D80">
        <v>78</v>
      </c>
      <c r="E80" s="4">
        <f t="shared" si="1"/>
        <v>40390.264995666577</v>
      </c>
    </row>
    <row r="81" spans="4:5">
      <c r="D81">
        <v>79</v>
      </c>
      <c r="E81" s="4">
        <f t="shared" si="1"/>
        <v>40792.216320644911</v>
      </c>
    </row>
    <row r="82" spans="4:5">
      <c r="D82">
        <v>80</v>
      </c>
      <c r="E82" s="4">
        <f t="shared" si="1"/>
        <v>41196.177402248133</v>
      </c>
    </row>
    <row r="83" spans="4:5">
      <c r="D83">
        <v>81</v>
      </c>
      <c r="E83" s="4">
        <f t="shared" si="1"/>
        <v>41602.158289259372</v>
      </c>
    </row>
    <row r="84" spans="4:5">
      <c r="D84">
        <v>82</v>
      </c>
      <c r="E84" s="4">
        <f t="shared" si="1"/>
        <v>42010.169080705666</v>
      </c>
    </row>
    <row r="85" spans="4:5">
      <c r="D85">
        <v>83</v>
      </c>
      <c r="E85" s="4">
        <f t="shared" si="1"/>
        <v>42420.219926109196</v>
      </c>
    </row>
    <row r="86" spans="4:5">
      <c r="D86">
        <v>84</v>
      </c>
      <c r="E86" s="4">
        <f t="shared" si="1"/>
        <v>42832.321025739744</v>
      </c>
    </row>
    <row r="87" spans="4:5">
      <c r="D87">
        <v>85</v>
      </c>
      <c r="E87" s="4">
        <f t="shared" si="1"/>
        <v>43246.482630868442</v>
      </c>
    </row>
    <row r="88" spans="4:5">
      <c r="D88">
        <v>86</v>
      </c>
      <c r="E88" s="4">
        <f t="shared" si="1"/>
        <v>43662.715044022785</v>
      </c>
    </row>
    <row r="89" spans="4:5">
      <c r="D89">
        <v>87</v>
      </c>
      <c r="E89" s="4">
        <f t="shared" si="1"/>
        <v>44081.028619242898</v>
      </c>
    </row>
    <row r="90" spans="4:5">
      <c r="D90">
        <v>88</v>
      </c>
      <c r="E90" s="4">
        <f t="shared" si="1"/>
        <v>44501.433762339111</v>
      </c>
    </row>
    <row r="91" spans="4:5">
      <c r="D91">
        <v>89</v>
      </c>
      <c r="E91" s="4">
        <f t="shared" si="1"/>
        <v>44923.940931150806</v>
      </c>
    </row>
    <row r="92" spans="4:5">
      <c r="D92">
        <v>90</v>
      </c>
      <c r="E92" s="4">
        <f t="shared" si="1"/>
        <v>45348.560635806563</v>
      </c>
    </row>
    <row r="93" spans="4:5">
      <c r="D93">
        <v>91</v>
      </c>
      <c r="E93" s="4">
        <f t="shared" si="1"/>
        <v>45775.303438985597</v>
      </c>
    </row>
    <row r="94" spans="4:5">
      <c r="D94">
        <v>92</v>
      </c>
      <c r="E94" s="4">
        <f t="shared" si="1"/>
        <v>46204.179956180524</v>
      </c>
    </row>
    <row r="95" spans="4:5">
      <c r="D95">
        <v>93</v>
      </c>
      <c r="E95" s="4">
        <f t="shared" si="1"/>
        <v>46635.200855961426</v>
      </c>
    </row>
    <row r="96" spans="4:5">
      <c r="D96">
        <v>94</v>
      </c>
      <c r="E96" s="4">
        <f t="shared" si="1"/>
        <v>47068.376860241231</v>
      </c>
    </row>
    <row r="97" spans="4:5">
      <c r="D97">
        <v>95</v>
      </c>
      <c r="E97" s="4">
        <f t="shared" si="1"/>
        <v>47503.718744542435</v>
      </c>
    </row>
    <row r="98" spans="4:5">
      <c r="D98">
        <v>96</v>
      </c>
      <c r="E98" s="4">
        <f t="shared" si="1"/>
        <v>47941.237338265149</v>
      </c>
    </row>
    <row r="99" spans="4:5">
      <c r="D99">
        <v>97</v>
      </c>
      <c r="E99" s="4">
        <f t="shared" si="1"/>
        <v>48380.943524956478</v>
      </c>
    </row>
    <row r="100" spans="4:5">
      <c r="D100">
        <v>98</v>
      </c>
      <c r="E100" s="4">
        <f t="shared" si="1"/>
        <v>48822.848242581262</v>
      </c>
    </row>
    <row r="101" spans="4:5">
      <c r="D101">
        <v>99</v>
      </c>
      <c r="E101" s="4">
        <f t="shared" si="1"/>
        <v>49266.962483794166</v>
      </c>
    </row>
    <row r="102" spans="4:5">
      <c r="D102">
        <v>100</v>
      </c>
      <c r="E102" s="4">
        <f t="shared" si="1"/>
        <v>49713.297296213139</v>
      </c>
    </row>
    <row r="103" spans="4:5">
      <c r="D103">
        <v>101</v>
      </c>
      <c r="E103" s="4">
        <f t="shared" si="1"/>
        <v>50161.863782694207</v>
      </c>
    </row>
    <row r="104" spans="4:5">
      <c r="D104">
        <v>102</v>
      </c>
      <c r="E104" s="4">
        <f t="shared" si="1"/>
        <v>50612.673101607681</v>
      </c>
    </row>
    <row r="105" spans="4:5">
      <c r="D105">
        <v>103</v>
      </c>
      <c r="E105" s="4">
        <f t="shared" si="1"/>
        <v>51065.736467115719</v>
      </c>
    </row>
    <row r="106" spans="4:5">
      <c r="D106">
        <v>104</v>
      </c>
      <c r="E106" s="4">
        <f t="shared" si="1"/>
        <v>51521.0651494513</v>
      </c>
    </row>
    <row r="107" spans="4:5">
      <c r="D107">
        <v>105</v>
      </c>
      <c r="E107" s="4">
        <f t="shared" si="1"/>
        <v>51978.67047519856</v>
      </c>
    </row>
    <row r="108" spans="4:5">
      <c r="D108">
        <v>106</v>
      </c>
      <c r="E108" s="4">
        <f t="shared" si="1"/>
        <v>52438.563827574551</v>
      </c>
    </row>
    <row r="109" spans="4:5">
      <c r="D109">
        <v>107</v>
      </c>
      <c r="E109" s="4">
        <f t="shared" si="1"/>
        <v>52900.756646712427</v>
      </c>
    </row>
    <row r="110" spans="4:5">
      <c r="D110">
        <v>108</v>
      </c>
      <c r="E110" s="4">
        <f t="shared" si="1"/>
        <v>53365.260429945993</v>
      </c>
    </row>
    <row r="111" spans="4:5">
      <c r="D111">
        <v>109</v>
      </c>
      <c r="E111" s="4">
        <f t="shared" si="1"/>
        <v>53832.086732095726</v>
      </c>
    </row>
    <row r="112" spans="4:5">
      <c r="D112">
        <v>110</v>
      </c>
      <c r="E112" s="4">
        <f t="shared" si="1"/>
        <v>54301.247165756206</v>
      </c>
    </row>
    <row r="113" spans="4:5">
      <c r="D113">
        <v>111</v>
      </c>
      <c r="E113" s="4">
        <f t="shared" si="1"/>
        <v>54772.753401584989</v>
      </c>
    </row>
    <row r="114" spans="4:5">
      <c r="D114">
        <v>112</v>
      </c>
      <c r="E114" s="4">
        <f t="shared" si="1"/>
        <v>55246.617168592915</v>
      </c>
    </row>
    <row r="115" spans="4:5">
      <c r="D115">
        <v>113</v>
      </c>
      <c r="E115" s="4">
        <f t="shared" si="1"/>
        <v>55722.850254435878</v>
      </c>
    </row>
    <row r="116" spans="4:5">
      <c r="D116">
        <v>114</v>
      </c>
      <c r="E116" s="4">
        <f t="shared" si="1"/>
        <v>56201.464505708056</v>
      </c>
    </row>
    <row r="117" spans="4:5">
      <c r="D117">
        <v>115</v>
      </c>
      <c r="E117" s="4">
        <f t="shared" si="1"/>
        <v>56682.471828236594</v>
      </c>
    </row>
    <row r="118" spans="4:5">
      <c r="D118">
        <v>116</v>
      </c>
      <c r="E118" s="4">
        <f t="shared" si="1"/>
        <v>57165.884187377778</v>
      </c>
    </row>
    <row r="119" spans="4:5">
      <c r="D119">
        <v>117</v>
      </c>
      <c r="E119" s="4">
        <f t="shared" si="1"/>
        <v>57651.713608314669</v>
      </c>
    </row>
    <row r="120" spans="4:5">
      <c r="D120">
        <v>118</v>
      </c>
      <c r="E120" s="4">
        <f t="shared" si="1"/>
        <v>58139.972176356241</v>
      </c>
    </row>
    <row r="121" spans="4:5">
      <c r="D121">
        <v>119</v>
      </c>
      <c r="E121" s="4">
        <f t="shared" si="1"/>
        <v>58630.672037238022</v>
      </c>
    </row>
    <row r="122" spans="4:5">
      <c r="D122">
        <v>120</v>
      </c>
      <c r="E122" s="4">
        <f t="shared" si="1"/>
        <v>59123.825397424211</v>
      </c>
    </row>
    <row r="123" spans="4:5">
      <c r="D123">
        <v>121</v>
      </c>
      <c r="E123" s="4">
        <f t="shared" si="1"/>
        <v>59619.44452441133</v>
      </c>
    </row>
    <row r="124" spans="4:5">
      <c r="D124">
        <v>122</v>
      </c>
      <c r="E124" s="4">
        <f t="shared" si="1"/>
        <v>60117.541747033385</v>
      </c>
    </row>
    <row r="125" spans="4:5">
      <c r="D125">
        <v>123</v>
      </c>
      <c r="E125" s="4">
        <f t="shared" si="1"/>
        <v>60618.129455768554</v>
      </c>
    </row>
    <row r="126" spans="4:5">
      <c r="D126">
        <v>124</v>
      </c>
      <c r="E126" s="4">
        <f t="shared" si="1"/>
        <v>61121.220103047395</v>
      </c>
    </row>
    <row r="127" spans="4:5">
      <c r="D127">
        <v>125</v>
      </c>
      <c r="E127" s="4">
        <f t="shared" si="1"/>
        <v>61626.826203562632</v>
      </c>
    </row>
    <row r="128" spans="4:5">
      <c r="D128">
        <v>126</v>
      </c>
      <c r="E128" s="4">
        <f t="shared" si="1"/>
        <v>62134.960334580443</v>
      </c>
    </row>
    <row r="129" spans="4:5">
      <c r="D129">
        <v>127</v>
      </c>
      <c r="E129" s="4">
        <f t="shared" si="1"/>
        <v>62645.635136253346</v>
      </c>
    </row>
    <row r="130" spans="4:5">
      <c r="D130">
        <v>128</v>
      </c>
      <c r="E130" s="4">
        <f t="shared" si="1"/>
        <v>63158.863311934612</v>
      </c>
    </row>
    <row r="131" spans="4:5">
      <c r="D131">
        <v>129</v>
      </c>
      <c r="E131" s="4">
        <f t="shared" ref="E131:E194" si="2">E130 + E130*rate + X</f>
        <v>63674.657628494286</v>
      </c>
    </row>
    <row r="132" spans="4:5">
      <c r="D132">
        <v>130</v>
      </c>
      <c r="E132" s="4">
        <f t="shared" si="2"/>
        <v>64193.030916636759</v>
      </c>
    </row>
    <row r="133" spans="4:5">
      <c r="D133">
        <v>131</v>
      </c>
      <c r="E133" s="4">
        <f t="shared" si="2"/>
        <v>64713.996071219939</v>
      </c>
    </row>
    <row r="134" spans="4:5">
      <c r="D134">
        <v>132</v>
      </c>
      <c r="E134" s="4">
        <f t="shared" si="2"/>
        <v>65237.566051576039</v>
      </c>
    </row>
    <row r="135" spans="4:5">
      <c r="D135">
        <v>133</v>
      </c>
      <c r="E135" s="4">
        <f t="shared" si="2"/>
        <v>65763.753881833924</v>
      </c>
    </row>
    <row r="136" spans="4:5">
      <c r="D136">
        <v>134</v>
      </c>
      <c r="E136" s="4">
        <f t="shared" si="2"/>
        <v>66292.572651243099</v>
      </c>
    </row>
    <row r="137" spans="4:5">
      <c r="D137">
        <v>135</v>
      </c>
      <c r="E137" s="4">
        <f t="shared" si="2"/>
        <v>66824.035514499308</v>
      </c>
    </row>
    <row r="138" spans="4:5">
      <c r="D138">
        <v>136</v>
      </c>
      <c r="E138" s="4">
        <f t="shared" si="2"/>
        <v>67358.155692071799</v>
      </c>
    </row>
    <row r="139" spans="4:5">
      <c r="D139">
        <v>137</v>
      </c>
      <c r="E139" s="4">
        <f t="shared" si="2"/>
        <v>67894.946470532159</v>
      </c>
    </row>
    <row r="140" spans="4:5">
      <c r="D140">
        <v>138</v>
      </c>
      <c r="E140" s="4">
        <f t="shared" si="2"/>
        <v>68434.421202884812</v>
      </c>
    </row>
    <row r="141" spans="4:5">
      <c r="D141">
        <v>139</v>
      </c>
      <c r="E141" s="4">
        <f t="shared" si="2"/>
        <v>68976.593308899231</v>
      </c>
    </row>
    <row r="142" spans="4:5">
      <c r="D142">
        <v>140</v>
      </c>
      <c r="E142" s="4">
        <f t="shared" si="2"/>
        <v>69521.476275443725</v>
      </c>
    </row>
    <row r="143" spans="4:5">
      <c r="D143">
        <v>141</v>
      </c>
      <c r="E143" s="4">
        <f t="shared" si="2"/>
        <v>70069.083656820949</v>
      </c>
    </row>
    <row r="144" spans="4:5">
      <c r="D144">
        <v>142</v>
      </c>
      <c r="E144" s="4">
        <f t="shared" si="2"/>
        <v>70619.429075105058</v>
      </c>
    </row>
    <row r="145" spans="4:5">
      <c r="D145">
        <v>143</v>
      </c>
      <c r="E145" s="4">
        <f t="shared" si="2"/>
        <v>71172.526220480577</v>
      </c>
    </row>
    <row r="146" spans="4:5">
      <c r="D146">
        <v>144</v>
      </c>
      <c r="E146" s="4">
        <f t="shared" si="2"/>
        <v>71728.388851582975</v>
      </c>
    </row>
    <row r="147" spans="4:5">
      <c r="D147">
        <v>145</v>
      </c>
      <c r="E147" s="4">
        <f t="shared" si="2"/>
        <v>72287.030795840896</v>
      </c>
    </row>
    <row r="148" spans="4:5">
      <c r="D148">
        <v>146</v>
      </c>
      <c r="E148" s="4">
        <f t="shared" si="2"/>
        <v>72848.465949820107</v>
      </c>
    </row>
    <row r="149" spans="4:5">
      <c r="D149">
        <v>147</v>
      </c>
      <c r="E149" s="4">
        <f t="shared" si="2"/>
        <v>73412.708279569211</v>
      </c>
    </row>
    <row r="150" spans="4:5">
      <c r="D150">
        <v>148</v>
      </c>
      <c r="E150" s="4">
        <f t="shared" si="2"/>
        <v>73979.771820967057</v>
      </c>
    </row>
    <row r="151" spans="4:5">
      <c r="D151">
        <v>149</v>
      </c>
      <c r="E151" s="4">
        <f t="shared" si="2"/>
        <v>74549.670680071897</v>
      </c>
    </row>
    <row r="152" spans="4:5">
      <c r="D152">
        <v>150</v>
      </c>
      <c r="E152" s="4">
        <f t="shared" si="2"/>
        <v>75122.419033472252</v>
      </c>
    </row>
    <row r="153" spans="4:5">
      <c r="D153">
        <v>151</v>
      </c>
      <c r="E153" s="4">
        <f t="shared" si="2"/>
        <v>75698.031128639617</v>
      </c>
    </row>
    <row r="154" spans="4:5">
      <c r="D154">
        <v>152</v>
      </c>
      <c r="E154" s="4">
        <f t="shared" si="2"/>
        <v>76276.521284282819</v>
      </c>
    </row>
    <row r="155" spans="4:5">
      <c r="D155">
        <v>153</v>
      </c>
      <c r="E155" s="4">
        <f t="shared" si="2"/>
        <v>76857.903890704227</v>
      </c>
    </row>
    <row r="156" spans="4:5">
      <c r="D156">
        <v>154</v>
      </c>
      <c r="E156" s="4">
        <f t="shared" si="2"/>
        <v>77442.19341015775</v>
      </c>
    </row>
    <row r="157" spans="4:5">
      <c r="D157">
        <v>155</v>
      </c>
      <c r="E157" s="4">
        <f t="shared" si="2"/>
        <v>78029.404377208542</v>
      </c>
    </row>
    <row r="158" spans="4:5">
      <c r="D158">
        <v>156</v>
      </c>
      <c r="E158" s="4">
        <f t="shared" si="2"/>
        <v>78619.551399094591</v>
      </c>
    </row>
    <row r="159" spans="4:5">
      <c r="D159">
        <v>157</v>
      </c>
      <c r="E159" s="4">
        <f t="shared" si="2"/>
        <v>79212.649156090061</v>
      </c>
    </row>
    <row r="160" spans="4:5">
      <c r="D160">
        <v>158</v>
      </c>
      <c r="E160" s="4">
        <f t="shared" si="2"/>
        <v>79808.712401870507</v>
      </c>
    </row>
    <row r="161" spans="4:5">
      <c r="D161">
        <v>159</v>
      </c>
      <c r="E161" s="4">
        <f t="shared" si="2"/>
        <v>80407.755963879856</v>
      </c>
    </row>
    <row r="162" spans="4:5">
      <c r="D162">
        <v>160</v>
      </c>
      <c r="E162" s="4">
        <f t="shared" si="2"/>
        <v>81009.794743699254</v>
      </c>
    </row>
    <row r="163" spans="4:5">
      <c r="D163">
        <v>161</v>
      </c>
      <c r="E163" s="4">
        <f t="shared" si="2"/>
        <v>81614.843717417752</v>
      </c>
    </row>
    <row r="164" spans="4:5">
      <c r="D164">
        <v>162</v>
      </c>
      <c r="E164" s="4">
        <f t="shared" si="2"/>
        <v>82222.917936004844</v>
      </c>
    </row>
    <row r="165" spans="4:5">
      <c r="D165">
        <v>163</v>
      </c>
      <c r="E165" s="4">
        <f t="shared" si="2"/>
        <v>82834.032525684874</v>
      </c>
    </row>
    <row r="166" spans="4:5">
      <c r="D166">
        <v>164</v>
      </c>
      <c r="E166" s="4">
        <f t="shared" si="2"/>
        <v>83448.202688313293</v>
      </c>
    </row>
    <row r="167" spans="4:5">
      <c r="D167">
        <v>165</v>
      </c>
      <c r="E167" s="4">
        <f t="shared" si="2"/>
        <v>84065.443701754863</v>
      </c>
    </row>
    <row r="168" spans="4:5">
      <c r="D168">
        <v>166</v>
      </c>
      <c r="E168" s="4">
        <f t="shared" si="2"/>
        <v>84685.770920263632</v>
      </c>
    </row>
    <row r="169" spans="4:5">
      <c r="D169">
        <v>167</v>
      </c>
      <c r="E169" s="4">
        <f t="shared" si="2"/>
        <v>85309.199774864945</v>
      </c>
    </row>
    <row r="170" spans="4:5">
      <c r="D170">
        <v>168</v>
      </c>
      <c r="E170" s="4">
        <f t="shared" si="2"/>
        <v>85935.745773739269</v>
      </c>
    </row>
    <row r="171" spans="4:5">
      <c r="D171">
        <v>169</v>
      </c>
      <c r="E171" s="4">
        <f t="shared" si="2"/>
        <v>86565.424502607959</v>
      </c>
    </row>
    <row r="172" spans="4:5">
      <c r="D172">
        <v>170</v>
      </c>
      <c r="E172" s="4">
        <f t="shared" si="2"/>
        <v>87198.251625121004</v>
      </c>
    </row>
    <row r="173" spans="4:5">
      <c r="D173">
        <v>171</v>
      </c>
      <c r="E173" s="4">
        <f t="shared" si="2"/>
        <v>87834.24288324661</v>
      </c>
    </row>
    <row r="174" spans="4:5">
      <c r="D174">
        <v>172</v>
      </c>
      <c r="E174" s="4">
        <f t="shared" si="2"/>
        <v>88473.414097662841</v>
      </c>
    </row>
    <row r="175" spans="4:5">
      <c r="D175">
        <v>173</v>
      </c>
      <c r="E175" s="4">
        <f t="shared" si="2"/>
        <v>89115.781168151152</v>
      </c>
    </row>
    <row r="176" spans="4:5">
      <c r="D176">
        <v>174</v>
      </c>
      <c r="E176" s="4">
        <f t="shared" si="2"/>
        <v>89761.360073991906</v>
      </c>
    </row>
    <row r="177" spans="4:5">
      <c r="D177">
        <v>175</v>
      </c>
      <c r="E177" s="4">
        <f t="shared" si="2"/>
        <v>90410.166874361865</v>
      </c>
    </row>
    <row r="178" spans="4:5">
      <c r="D178">
        <v>176</v>
      </c>
      <c r="E178" s="4">
        <f t="shared" si="2"/>
        <v>91062.217708733675</v>
      </c>
    </row>
    <row r="179" spans="4:5">
      <c r="D179">
        <v>177</v>
      </c>
      <c r="E179" s="4">
        <f t="shared" si="2"/>
        <v>91717.528797277337</v>
      </c>
    </row>
    <row r="180" spans="4:5">
      <c r="D180">
        <v>178</v>
      </c>
      <c r="E180" s="4">
        <f t="shared" si="2"/>
        <v>92376.11644126373</v>
      </c>
    </row>
    <row r="181" spans="4:5">
      <c r="D181">
        <v>179</v>
      </c>
      <c r="E181" s="4">
        <f t="shared" si="2"/>
        <v>93037.997023470045</v>
      </c>
    </row>
    <row r="182" spans="4:5">
      <c r="D182">
        <v>180</v>
      </c>
      <c r="E182" s="4">
        <f t="shared" si="2"/>
        <v>93703.187008587396</v>
      </c>
    </row>
    <row r="183" spans="4:5">
      <c r="D183">
        <v>181</v>
      </c>
      <c r="E183" s="4">
        <f t="shared" si="2"/>
        <v>94371.702943630327</v>
      </c>
    </row>
    <row r="184" spans="4:5">
      <c r="D184">
        <v>182</v>
      </c>
      <c r="E184" s="4">
        <f t="shared" si="2"/>
        <v>95043.561458348486</v>
      </c>
    </row>
    <row r="185" spans="4:5">
      <c r="D185">
        <v>183</v>
      </c>
      <c r="E185" s="4">
        <f t="shared" si="2"/>
        <v>95718.779265640231</v>
      </c>
    </row>
    <row r="186" spans="4:5">
      <c r="D186">
        <v>184</v>
      </c>
      <c r="E186" s="4">
        <f t="shared" si="2"/>
        <v>96397.373161968426</v>
      </c>
    </row>
    <row r="187" spans="4:5">
      <c r="D187">
        <v>185</v>
      </c>
      <c r="E187" s="4">
        <f t="shared" si="2"/>
        <v>97079.360027778268</v>
      </c>
    </row>
    <row r="188" spans="4:5">
      <c r="D188">
        <v>186</v>
      </c>
      <c r="E188" s="4">
        <f t="shared" si="2"/>
        <v>97764.756827917154</v>
      </c>
    </row>
    <row r="189" spans="4:5">
      <c r="D189">
        <v>187</v>
      </c>
      <c r="E189" s="4">
        <f t="shared" si="2"/>
        <v>98453.580612056743</v>
      </c>
    </row>
    <row r="190" spans="4:5">
      <c r="D190">
        <v>188</v>
      </c>
      <c r="E190" s="4">
        <f t="shared" si="2"/>
        <v>99145.848515117032</v>
      </c>
    </row>
    <row r="191" spans="4:5">
      <c r="D191">
        <v>189</v>
      </c>
      <c r="E191" s="4">
        <f t="shared" si="2"/>
        <v>99841.577757692619</v>
      </c>
    </row>
    <row r="192" spans="4:5">
      <c r="D192">
        <v>190</v>
      </c>
      <c r="E192" s="4">
        <f t="shared" si="2"/>
        <v>100540.78564648108</v>
      </c>
    </row>
    <row r="193" spans="4:5">
      <c r="D193">
        <v>191</v>
      </c>
      <c r="E193" s="4">
        <f t="shared" si="2"/>
        <v>101243.48957471349</v>
      </c>
    </row>
    <row r="194" spans="4:5">
      <c r="D194">
        <v>192</v>
      </c>
      <c r="E194" s="4">
        <f t="shared" si="2"/>
        <v>101949.70702258706</v>
      </c>
    </row>
    <row r="195" spans="4:5">
      <c r="D195">
        <v>193</v>
      </c>
      <c r="E195" s="4">
        <f t="shared" ref="E195:E218" si="3">E194 + E194*rate + X</f>
        <v>102659.45555769998</v>
      </c>
    </row>
    <row r="196" spans="4:5">
      <c r="D196">
        <v>194</v>
      </c>
      <c r="E196" s="4">
        <f t="shared" si="3"/>
        <v>103372.75283548849</v>
      </c>
    </row>
    <row r="197" spans="4:5">
      <c r="D197">
        <v>195</v>
      </c>
      <c r="E197" s="4">
        <f t="shared" si="3"/>
        <v>104089.61659966593</v>
      </c>
    </row>
    <row r="198" spans="4:5">
      <c r="D198">
        <v>196</v>
      </c>
      <c r="E198" s="4">
        <f t="shared" si="3"/>
        <v>104810.06468266426</v>
      </c>
    </row>
    <row r="199" spans="4:5">
      <c r="D199">
        <v>197</v>
      </c>
      <c r="E199" s="4">
        <f t="shared" si="3"/>
        <v>105534.11500607758</v>
      </c>
    </row>
    <row r="200" spans="4:5">
      <c r="D200">
        <v>198</v>
      </c>
      <c r="E200" s="4">
        <f t="shared" si="3"/>
        <v>106261.78558110796</v>
      </c>
    </row>
    <row r="201" spans="4:5">
      <c r="D201">
        <v>199</v>
      </c>
      <c r="E201" s="4">
        <f t="shared" si="3"/>
        <v>106993.09450901351</v>
      </c>
    </row>
    <row r="202" spans="4:5">
      <c r="D202">
        <v>200</v>
      </c>
      <c r="E202" s="4">
        <f t="shared" si="3"/>
        <v>107728.05998155857</v>
      </c>
    </row>
    <row r="203" spans="4:5">
      <c r="D203">
        <v>201</v>
      </c>
      <c r="E203" s="4">
        <f t="shared" si="3"/>
        <v>108466.70028146637</v>
      </c>
    </row>
    <row r="204" spans="4:5">
      <c r="D204">
        <v>202</v>
      </c>
      <c r="E204" s="4">
        <f t="shared" si="3"/>
        <v>109209.03378287371</v>
      </c>
    </row>
    <row r="205" spans="4:5">
      <c r="D205">
        <v>203</v>
      </c>
      <c r="E205" s="4">
        <f t="shared" si="3"/>
        <v>109955.07895178808</v>
      </c>
    </row>
    <row r="206" spans="4:5">
      <c r="D206">
        <v>204</v>
      </c>
      <c r="E206" s="4">
        <f t="shared" si="3"/>
        <v>110704.85434654701</v>
      </c>
    </row>
    <row r="207" spans="4:5">
      <c r="D207">
        <v>205</v>
      </c>
      <c r="E207" s="4">
        <f t="shared" si="3"/>
        <v>111458.37861827975</v>
      </c>
    </row>
    <row r="208" spans="4:5">
      <c r="D208">
        <v>206</v>
      </c>
      <c r="E208" s="4">
        <f t="shared" si="3"/>
        <v>112215.67051137115</v>
      </c>
    </row>
    <row r="209" spans="4:5">
      <c r="D209">
        <v>207</v>
      </c>
      <c r="E209" s="4">
        <f t="shared" si="3"/>
        <v>112976.74886392801</v>
      </c>
    </row>
    <row r="210" spans="4:5">
      <c r="D210">
        <v>208</v>
      </c>
      <c r="E210" s="4">
        <f t="shared" si="3"/>
        <v>113741.63260824764</v>
      </c>
    </row>
    <row r="211" spans="4:5">
      <c r="D211">
        <v>209</v>
      </c>
      <c r="E211" s="4">
        <f t="shared" si="3"/>
        <v>114510.34077128889</v>
      </c>
    </row>
    <row r="212" spans="4:5">
      <c r="D212">
        <v>210</v>
      </c>
      <c r="E212" s="4">
        <f t="shared" si="3"/>
        <v>115282.89247514533</v>
      </c>
    </row>
    <row r="213" spans="4:5">
      <c r="D213">
        <v>211</v>
      </c>
      <c r="E213" s="4">
        <f t="shared" si="3"/>
        <v>116059.30693752106</v>
      </c>
    </row>
    <row r="214" spans="4:5">
      <c r="D214">
        <v>212</v>
      </c>
      <c r="E214" s="4">
        <f t="shared" si="3"/>
        <v>116839.60347220866</v>
      </c>
    </row>
    <row r="215" spans="4:5">
      <c r="D215">
        <v>213</v>
      </c>
      <c r="E215" s="4">
        <f t="shared" si="3"/>
        <v>117623.80148956971</v>
      </c>
    </row>
    <row r="216" spans="4:5">
      <c r="D216">
        <v>214</v>
      </c>
      <c r="E216" s="4">
        <f t="shared" si="3"/>
        <v>118411.92049701756</v>
      </c>
    </row>
    <row r="217" spans="4:5">
      <c r="D217">
        <v>215</v>
      </c>
      <c r="E217" s="4">
        <f t="shared" si="3"/>
        <v>119203.98009950265</v>
      </c>
    </row>
    <row r="218" spans="4:5">
      <c r="D218">
        <v>216</v>
      </c>
      <c r="E218" s="4">
        <f t="shared" si="3"/>
        <v>120000.00000000016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showFormulas="1" zoomScaleNormal="100" workbookViewId="0"/>
  </sheetViews>
  <sheetFormatPr defaultRowHeight="15"/>
  <cols>
    <col min="1" max="1" width="5.5703125" bestFit="1" customWidth="1"/>
    <col min="2" max="2" width="11.28515625" bestFit="1" customWidth="1"/>
    <col min="3" max="3" width="0.85546875" customWidth="1"/>
    <col min="4" max="4" width="3.5703125" bestFit="1" customWidth="1"/>
    <col min="5" max="5" width="18.140625" style="4" bestFit="1" customWidth="1"/>
    <col min="6" max="6" width="8.85546875" bestFit="1" customWidth="1"/>
    <col min="7" max="7" width="1" customWidth="1"/>
    <col min="8" max="8" width="8.140625" bestFit="1" customWidth="1"/>
    <col min="10" max="10" width="15.85546875" customWidth="1"/>
  </cols>
  <sheetData>
    <row r="1" spans="1:8">
      <c r="A1" s="6" t="s">
        <v>0</v>
      </c>
      <c r="B1">
        <v>36</v>
      </c>
      <c r="D1" s="1" t="s">
        <v>7</v>
      </c>
      <c r="E1" s="5" t="s">
        <v>9</v>
      </c>
      <c r="F1" s="1" t="s">
        <v>10</v>
      </c>
      <c r="G1" s="1"/>
      <c r="H1" s="1" t="s">
        <v>6</v>
      </c>
    </row>
    <row r="2" spans="1:8">
      <c r="A2" s="6" t="s">
        <v>1</v>
      </c>
      <c r="B2" s="12">
        <v>11250</v>
      </c>
      <c r="D2">
        <v>0</v>
      </c>
      <c r="E2" s="4">
        <f>P</f>
        <v>11250</v>
      </c>
      <c r="F2" s="10">
        <v>-373.66098539457687</v>
      </c>
      <c r="H2" s="10">
        <f>PMT(rate,n,P,0)</f>
        <v>-373.66098539457562</v>
      </c>
    </row>
    <row r="3" spans="1:8">
      <c r="A3" s="17" t="s">
        <v>2</v>
      </c>
      <c r="B3" s="10">
        <f>rate*(F - P*B6)/(B6 - 1)</f>
        <v>-373.66098539457562</v>
      </c>
      <c r="D3">
        <v>1</v>
      </c>
      <c r="E3" s="4">
        <f t="shared" ref="E3:E38" si="0">E2 + E2*rate + payment</f>
        <v>10988.839014605423</v>
      </c>
    </row>
    <row r="4" spans="1:8">
      <c r="A4" s="6" t="s">
        <v>4</v>
      </c>
      <c r="B4" s="12">
        <v>0</v>
      </c>
      <c r="D4">
        <v>2</v>
      </c>
      <c r="E4" s="4">
        <f t="shared" si="0"/>
        <v>10725.066419356899</v>
      </c>
    </row>
    <row r="5" spans="1:8">
      <c r="A5" s="6" t="s">
        <v>3</v>
      </c>
      <c r="B5" s="11">
        <v>0.01</v>
      </c>
      <c r="D5">
        <v>3</v>
      </c>
      <c r="E5" s="4">
        <f t="shared" si="0"/>
        <v>10458.656098155891</v>
      </c>
    </row>
    <row r="6" spans="1:8">
      <c r="A6" s="6" t="s">
        <v>5</v>
      </c>
      <c r="B6">
        <f>(1 + rate)^n</f>
        <v>1.430768783591581</v>
      </c>
      <c r="D6">
        <v>4</v>
      </c>
      <c r="E6" s="4">
        <f t="shared" si="0"/>
        <v>10189.581673742872</v>
      </c>
    </row>
    <row r="7" spans="1:8">
      <c r="D7">
        <v>5</v>
      </c>
      <c r="E7" s="4">
        <f t="shared" si="0"/>
        <v>9917.8165050857242</v>
      </c>
    </row>
    <row r="8" spans="1:8">
      <c r="D8">
        <v>6</v>
      </c>
      <c r="E8" s="4">
        <f t="shared" si="0"/>
        <v>9643.3336847420032</v>
      </c>
    </row>
    <row r="9" spans="1:8">
      <c r="D9">
        <v>7</v>
      </c>
      <c r="E9" s="4">
        <f t="shared" si="0"/>
        <v>9366.1060361948457</v>
      </c>
    </row>
    <row r="10" spans="1:8">
      <c r="D10">
        <v>8</v>
      </c>
      <c r="E10" s="4">
        <f t="shared" si="0"/>
        <v>9086.1061111622166</v>
      </c>
    </row>
    <row r="11" spans="1:8">
      <c r="D11">
        <v>9</v>
      </c>
      <c r="E11" s="4">
        <f t="shared" si="0"/>
        <v>8803.3061868792611</v>
      </c>
    </row>
    <row r="12" spans="1:8">
      <c r="D12">
        <v>10</v>
      </c>
      <c r="E12" s="4">
        <f t="shared" si="0"/>
        <v>8517.6782633534767</v>
      </c>
    </row>
    <row r="13" spans="1:8">
      <c r="D13">
        <v>11</v>
      </c>
      <c r="E13" s="4">
        <f t="shared" si="0"/>
        <v>8229.1940605924337</v>
      </c>
    </row>
    <row r="14" spans="1:8">
      <c r="D14">
        <v>12</v>
      </c>
      <c r="E14" s="4">
        <f t="shared" si="0"/>
        <v>7937.8250158037818</v>
      </c>
    </row>
    <row r="15" spans="1:8">
      <c r="D15">
        <v>13</v>
      </c>
      <c r="E15" s="4">
        <f t="shared" si="0"/>
        <v>7643.5422805672433</v>
      </c>
    </row>
    <row r="16" spans="1:8">
      <c r="D16">
        <v>14</v>
      </c>
      <c r="E16" s="4">
        <f t="shared" si="0"/>
        <v>7346.3167179783395</v>
      </c>
    </row>
    <row r="17" spans="4:5">
      <c r="D17">
        <v>15</v>
      </c>
      <c r="E17" s="4">
        <f t="shared" si="0"/>
        <v>7046.1188997635463</v>
      </c>
    </row>
    <row r="18" spans="4:5">
      <c r="D18">
        <v>16</v>
      </c>
      <c r="E18" s="4">
        <f t="shared" si="0"/>
        <v>6742.9191033666057</v>
      </c>
    </row>
    <row r="19" spans="4:5">
      <c r="D19">
        <v>17</v>
      </c>
      <c r="E19" s="4">
        <f t="shared" si="0"/>
        <v>6436.6873090056952</v>
      </c>
    </row>
    <row r="20" spans="4:5">
      <c r="D20">
        <v>18</v>
      </c>
      <c r="E20" s="4">
        <f t="shared" si="0"/>
        <v>6127.3931967011758</v>
      </c>
    </row>
    <row r="21" spans="4:5">
      <c r="D21">
        <v>19</v>
      </c>
      <c r="E21" s="4">
        <f t="shared" si="0"/>
        <v>5815.0061432736111</v>
      </c>
    </row>
    <row r="22" spans="4:5">
      <c r="D22">
        <v>20</v>
      </c>
      <c r="E22" s="4">
        <f t="shared" si="0"/>
        <v>5499.4952193117706</v>
      </c>
    </row>
    <row r="23" spans="4:5">
      <c r="D23">
        <v>21</v>
      </c>
      <c r="E23" s="4">
        <f t="shared" si="0"/>
        <v>5180.8291861103116</v>
      </c>
    </row>
    <row r="24" spans="4:5">
      <c r="D24">
        <v>22</v>
      </c>
      <c r="E24" s="4">
        <f t="shared" si="0"/>
        <v>4858.9764925768386</v>
      </c>
    </row>
    <row r="25" spans="4:5">
      <c r="D25">
        <v>23</v>
      </c>
      <c r="E25" s="4">
        <f t="shared" si="0"/>
        <v>4533.9052721080307</v>
      </c>
    </row>
    <row r="26" spans="4:5">
      <c r="D26">
        <v>24</v>
      </c>
      <c r="E26" s="4">
        <f t="shared" si="0"/>
        <v>4205.5833394345345</v>
      </c>
    </row>
    <row r="27" spans="4:5">
      <c r="D27">
        <v>25</v>
      </c>
      <c r="E27" s="4">
        <f t="shared" si="0"/>
        <v>3873.978187434303</v>
      </c>
    </row>
    <row r="28" spans="4:5">
      <c r="D28">
        <v>26</v>
      </c>
      <c r="E28" s="4">
        <f t="shared" si="0"/>
        <v>3539.056983914069</v>
      </c>
    </row>
    <row r="29" spans="4:5">
      <c r="D29">
        <v>27</v>
      </c>
      <c r="E29" s="4">
        <f t="shared" si="0"/>
        <v>3200.7865683586328</v>
      </c>
    </row>
    <row r="30" spans="4:5">
      <c r="D30">
        <v>28</v>
      </c>
      <c r="E30" s="4">
        <f t="shared" si="0"/>
        <v>2859.1334486476421</v>
      </c>
    </row>
    <row r="31" spans="4:5">
      <c r="D31">
        <v>29</v>
      </c>
      <c r="E31" s="4">
        <f t="shared" si="0"/>
        <v>2514.0637977395418</v>
      </c>
    </row>
    <row r="32" spans="4:5">
      <c r="D32">
        <v>30</v>
      </c>
      <c r="E32" s="4">
        <f t="shared" si="0"/>
        <v>2165.5434503223601</v>
      </c>
    </row>
    <row r="33" spans="4:5">
      <c r="D33">
        <v>31</v>
      </c>
      <c r="E33" s="4">
        <f t="shared" si="0"/>
        <v>1813.5378994310067</v>
      </c>
    </row>
    <row r="34" spans="4:5">
      <c r="D34">
        <v>32</v>
      </c>
      <c r="E34" s="4">
        <f t="shared" si="0"/>
        <v>1458.0122930307398</v>
      </c>
    </row>
    <row r="35" spans="4:5">
      <c r="D35">
        <v>33</v>
      </c>
      <c r="E35" s="4">
        <f t="shared" si="0"/>
        <v>1098.9314305664702</v>
      </c>
    </row>
    <row r="36" spans="4:5">
      <c r="D36">
        <v>34</v>
      </c>
      <c r="E36" s="4">
        <f t="shared" si="0"/>
        <v>736.25975947755808</v>
      </c>
    </row>
    <row r="37" spans="4:5">
      <c r="D37">
        <v>35</v>
      </c>
      <c r="E37" s="4">
        <f t="shared" si="0"/>
        <v>369.9613716777568</v>
      </c>
    </row>
    <row r="38" spans="4:5">
      <c r="D38">
        <v>36</v>
      </c>
      <c r="E38" s="4">
        <f t="shared" si="0"/>
        <v>-4.2518877307884395E-11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2"/>
  <sheetViews>
    <sheetView showFormulas="1" zoomScaleNormal="100" workbookViewId="0">
      <pane ySplit="3900" topLeftCell="A389"/>
      <selection pane="bottomLeft" activeCell="C403" sqref="C403"/>
    </sheetView>
  </sheetViews>
  <sheetFormatPr defaultRowHeight="15"/>
  <cols>
    <col min="1" max="1" width="2.42578125" bestFit="1" customWidth="1"/>
    <col min="2" max="2" width="21" bestFit="1" customWidth="1"/>
    <col min="3" max="3" width="1.140625" customWidth="1"/>
    <col min="4" max="4" width="3.5703125" bestFit="1" customWidth="1"/>
    <col min="5" max="5" width="16" style="4" bestFit="1" customWidth="1"/>
    <col min="6" max="6" width="1.140625" customWidth="1"/>
    <col min="7" max="7" width="9.28515625" bestFit="1" customWidth="1"/>
  </cols>
  <sheetData>
    <row r="1" spans="1:7">
      <c r="A1" s="6" t="s">
        <v>0</v>
      </c>
      <c r="B1">
        <f>(LN(rate*F + X) - LN(rate*P + X))/LN(1 + rate)</f>
        <v>390.15417611029665</v>
      </c>
      <c r="D1" s="1" t="s">
        <v>7</v>
      </c>
      <c r="E1" s="5" t="s">
        <v>8</v>
      </c>
      <c r="F1" s="1"/>
      <c r="G1" s="1" t="s">
        <v>6</v>
      </c>
    </row>
    <row r="2" spans="1:7">
      <c r="A2" s="6" t="s">
        <v>1</v>
      </c>
      <c r="B2" s="4">
        <v>200000</v>
      </c>
      <c r="D2">
        <v>0</v>
      </c>
      <c r="E2" s="4">
        <f>P</f>
        <v>200000</v>
      </c>
      <c r="G2">
        <f>NPER(rate,-X,-P,F)</f>
        <v>390.15417611029676</v>
      </c>
    </row>
    <row r="3" spans="1:7">
      <c r="A3" s="6" t="s">
        <v>2</v>
      </c>
      <c r="B3" s="4">
        <v>500</v>
      </c>
      <c r="D3">
        <v>1</v>
      </c>
      <c r="E3" s="4">
        <f t="shared" ref="E3:E66" si="0">E2 + E2*rate + X</f>
        <v>201500</v>
      </c>
    </row>
    <row r="4" spans="1:7">
      <c r="A4" s="6" t="s">
        <v>4</v>
      </c>
      <c r="B4" s="4">
        <v>2000000</v>
      </c>
      <c r="D4">
        <v>2</v>
      </c>
      <c r="E4" s="4">
        <f t="shared" si="0"/>
        <v>203007.5</v>
      </c>
    </row>
    <row r="5" spans="1:7">
      <c r="A5" s="6" t="s">
        <v>3</v>
      </c>
      <c r="B5" s="2">
        <v>5.0000000000000001E-3</v>
      </c>
      <c r="D5">
        <v>3</v>
      </c>
      <c r="E5" s="4">
        <f t="shared" si="0"/>
        <v>204522.53750000001</v>
      </c>
    </row>
    <row r="6" spans="1:7">
      <c r="A6" s="6"/>
      <c r="D6">
        <v>4</v>
      </c>
      <c r="E6" s="4">
        <f t="shared" si="0"/>
        <v>206045.1501875</v>
      </c>
    </row>
    <row r="7" spans="1:7">
      <c r="D7">
        <v>5</v>
      </c>
      <c r="E7" s="4">
        <f t="shared" si="0"/>
        <v>207575.3759384375</v>
      </c>
    </row>
    <row r="8" spans="1:7">
      <c r="D8">
        <v>6</v>
      </c>
      <c r="E8" s="4">
        <f t="shared" si="0"/>
        <v>209113.25281812969</v>
      </c>
    </row>
    <row r="9" spans="1:7">
      <c r="D9">
        <v>7</v>
      </c>
      <c r="E9" s="4">
        <f t="shared" si="0"/>
        <v>210658.81908222035</v>
      </c>
    </row>
    <row r="10" spans="1:7">
      <c r="D10">
        <v>8</v>
      </c>
      <c r="E10" s="4">
        <f t="shared" si="0"/>
        <v>212212.11317763146</v>
      </c>
    </row>
    <row r="11" spans="1:7">
      <c r="D11">
        <v>9</v>
      </c>
      <c r="E11" s="4">
        <f t="shared" si="0"/>
        <v>213773.17374351961</v>
      </c>
    </row>
    <row r="12" spans="1:7">
      <c r="D12">
        <v>10</v>
      </c>
      <c r="E12" s="4">
        <f t="shared" si="0"/>
        <v>215342.03961223722</v>
      </c>
    </row>
    <row r="13" spans="1:7">
      <c r="D13">
        <v>11</v>
      </c>
      <c r="E13" s="4">
        <f t="shared" si="0"/>
        <v>216918.74981029841</v>
      </c>
    </row>
    <row r="14" spans="1:7">
      <c r="D14">
        <v>12</v>
      </c>
      <c r="E14" s="4">
        <f t="shared" si="0"/>
        <v>218503.34355934992</v>
      </c>
    </row>
    <row r="15" spans="1:7">
      <c r="D15">
        <v>13</v>
      </c>
      <c r="E15" s="4">
        <f t="shared" si="0"/>
        <v>220095.86027714665</v>
      </c>
    </row>
    <row r="16" spans="1:7">
      <c r="D16">
        <v>14</v>
      </c>
      <c r="E16" s="4">
        <f t="shared" si="0"/>
        <v>221696.33957853238</v>
      </c>
    </row>
    <row r="17" spans="4:5">
      <c r="D17">
        <v>15</v>
      </c>
      <c r="E17" s="4">
        <f t="shared" si="0"/>
        <v>223304.82127642503</v>
      </c>
    </row>
    <row r="18" spans="4:5">
      <c r="D18">
        <v>16</v>
      </c>
      <c r="E18" s="4">
        <f t="shared" si="0"/>
        <v>224921.34538280717</v>
      </c>
    </row>
    <row r="19" spans="4:5">
      <c r="D19">
        <v>17</v>
      </c>
      <c r="E19" s="4">
        <f t="shared" si="0"/>
        <v>226545.9521097212</v>
      </c>
    </row>
    <row r="20" spans="4:5">
      <c r="D20">
        <v>18</v>
      </c>
      <c r="E20" s="4">
        <f t="shared" si="0"/>
        <v>228178.68187026979</v>
      </c>
    </row>
    <row r="21" spans="4:5">
      <c r="D21">
        <v>19</v>
      </c>
      <c r="E21" s="4">
        <f t="shared" si="0"/>
        <v>229819.57527962115</v>
      </c>
    </row>
    <row r="22" spans="4:5">
      <c r="D22">
        <v>20</v>
      </c>
      <c r="E22" s="4">
        <f t="shared" si="0"/>
        <v>231468.67315601924</v>
      </c>
    </row>
    <row r="23" spans="4:5">
      <c r="D23">
        <v>21</v>
      </c>
      <c r="E23" s="4">
        <f t="shared" si="0"/>
        <v>233126.01652179935</v>
      </c>
    </row>
    <row r="24" spans="4:5">
      <c r="D24">
        <v>22</v>
      </c>
      <c r="E24" s="4">
        <f t="shared" si="0"/>
        <v>234791.64660440834</v>
      </c>
    </row>
    <row r="25" spans="4:5">
      <c r="D25">
        <v>23</v>
      </c>
      <c r="E25" s="4">
        <f t="shared" si="0"/>
        <v>236465.60483743038</v>
      </c>
    </row>
    <row r="26" spans="4:5">
      <c r="D26">
        <v>24</v>
      </c>
      <c r="E26" s="4">
        <f t="shared" si="0"/>
        <v>238147.93286161753</v>
      </c>
    </row>
    <row r="27" spans="4:5">
      <c r="D27">
        <v>25</v>
      </c>
      <c r="E27" s="4">
        <f t="shared" si="0"/>
        <v>239838.67252592562</v>
      </c>
    </row>
    <row r="28" spans="4:5">
      <c r="D28">
        <v>26</v>
      </c>
      <c r="E28" s="4">
        <f t="shared" si="0"/>
        <v>241537.86588855524</v>
      </c>
    </row>
    <row r="29" spans="4:5">
      <c r="D29">
        <v>27</v>
      </c>
      <c r="E29" s="4">
        <f t="shared" si="0"/>
        <v>243245.55521799801</v>
      </c>
    </row>
    <row r="30" spans="4:5">
      <c r="D30">
        <v>28</v>
      </c>
      <c r="E30" s="4">
        <f t="shared" si="0"/>
        <v>244961.78299408802</v>
      </c>
    </row>
    <row r="31" spans="4:5">
      <c r="D31">
        <v>29</v>
      </c>
      <c r="E31" s="4">
        <f t="shared" si="0"/>
        <v>246686.59190905845</v>
      </c>
    </row>
    <row r="32" spans="4:5">
      <c r="D32">
        <v>30</v>
      </c>
      <c r="E32" s="4">
        <f t="shared" si="0"/>
        <v>248420.02486860374</v>
      </c>
    </row>
    <row r="33" spans="4:5">
      <c r="D33">
        <v>31</v>
      </c>
      <c r="E33" s="4">
        <f t="shared" si="0"/>
        <v>250162.12499294674</v>
      </c>
    </row>
    <row r="34" spans="4:5">
      <c r="D34">
        <v>32</v>
      </c>
      <c r="E34" s="4">
        <f t="shared" si="0"/>
        <v>251912.93561791148</v>
      </c>
    </row>
    <row r="35" spans="4:5">
      <c r="D35">
        <v>33</v>
      </c>
      <c r="E35" s="4">
        <f t="shared" si="0"/>
        <v>253672.50029600103</v>
      </c>
    </row>
    <row r="36" spans="4:5">
      <c r="D36">
        <v>34</v>
      </c>
      <c r="E36" s="4">
        <f t="shared" si="0"/>
        <v>255440.86279748104</v>
      </c>
    </row>
    <row r="37" spans="4:5">
      <c r="D37">
        <v>35</v>
      </c>
      <c r="E37" s="4">
        <f t="shared" si="0"/>
        <v>257218.06711146844</v>
      </c>
    </row>
    <row r="38" spans="4:5">
      <c r="D38">
        <v>36</v>
      </c>
      <c r="E38" s="4">
        <f t="shared" si="0"/>
        <v>259004.15744702579</v>
      </c>
    </row>
    <row r="39" spans="4:5">
      <c r="D39">
        <v>37</v>
      </c>
      <c r="E39" s="4">
        <f t="shared" si="0"/>
        <v>260799.17823426091</v>
      </c>
    </row>
    <row r="40" spans="4:5">
      <c r="D40">
        <v>38</v>
      </c>
      <c r="E40" s="4">
        <f t="shared" si="0"/>
        <v>262603.17412543221</v>
      </c>
    </row>
    <row r="41" spans="4:5">
      <c r="D41">
        <v>39</v>
      </c>
      <c r="E41" s="4">
        <f t="shared" si="0"/>
        <v>264416.18999605934</v>
      </c>
    </row>
    <row r="42" spans="4:5">
      <c r="D42">
        <v>40</v>
      </c>
      <c r="E42" s="4">
        <f t="shared" si="0"/>
        <v>266238.27094603964</v>
      </c>
    </row>
    <row r="43" spans="4:5">
      <c r="D43">
        <v>41</v>
      </c>
      <c r="E43" s="4">
        <f t="shared" si="0"/>
        <v>268069.46230076987</v>
      </c>
    </row>
    <row r="44" spans="4:5">
      <c r="D44">
        <v>42</v>
      </c>
      <c r="E44" s="4">
        <f t="shared" si="0"/>
        <v>269909.8096122737</v>
      </c>
    </row>
    <row r="45" spans="4:5">
      <c r="D45">
        <v>43</v>
      </c>
      <c r="E45" s="4">
        <f t="shared" si="0"/>
        <v>271759.35866033507</v>
      </c>
    </row>
    <row r="46" spans="4:5">
      <c r="D46">
        <v>44</v>
      </c>
      <c r="E46" s="4">
        <f t="shared" si="0"/>
        <v>273618.15545363672</v>
      </c>
    </row>
    <row r="47" spans="4:5">
      <c r="D47">
        <v>45</v>
      </c>
      <c r="E47" s="4">
        <f t="shared" si="0"/>
        <v>275486.24623090489</v>
      </c>
    </row>
    <row r="48" spans="4:5">
      <c r="D48">
        <v>46</v>
      </c>
      <c r="E48" s="4">
        <f t="shared" si="0"/>
        <v>277363.67746205942</v>
      </c>
    </row>
    <row r="49" spans="4:5">
      <c r="D49">
        <v>47</v>
      </c>
      <c r="E49" s="4">
        <f t="shared" si="0"/>
        <v>279250.49584936973</v>
      </c>
    </row>
    <row r="50" spans="4:5">
      <c r="D50">
        <v>48</v>
      </c>
      <c r="E50" s="4">
        <f t="shared" si="0"/>
        <v>281146.74832861661</v>
      </c>
    </row>
    <row r="51" spans="4:5">
      <c r="D51">
        <v>49</v>
      </c>
      <c r="E51" s="4">
        <f t="shared" si="0"/>
        <v>283052.48207025969</v>
      </c>
    </row>
    <row r="52" spans="4:5">
      <c r="D52">
        <v>50</v>
      </c>
      <c r="E52" s="4">
        <f t="shared" si="0"/>
        <v>284967.744480611</v>
      </c>
    </row>
    <row r="53" spans="4:5">
      <c r="D53">
        <v>51</v>
      </c>
      <c r="E53" s="4">
        <f t="shared" si="0"/>
        <v>286892.58320301404</v>
      </c>
    </row>
    <row r="54" spans="4:5">
      <c r="D54">
        <v>52</v>
      </c>
      <c r="E54" s="4">
        <f t="shared" si="0"/>
        <v>288827.04611902911</v>
      </c>
    </row>
    <row r="55" spans="4:5">
      <c r="D55">
        <v>53</v>
      </c>
      <c r="E55" s="4">
        <f t="shared" si="0"/>
        <v>290771.18134962424</v>
      </c>
    </row>
    <row r="56" spans="4:5">
      <c r="D56">
        <v>54</v>
      </c>
      <c r="E56" s="4">
        <f t="shared" si="0"/>
        <v>292725.03725637234</v>
      </c>
    </row>
    <row r="57" spans="4:5">
      <c r="D57">
        <v>55</v>
      </c>
      <c r="E57" s="4">
        <f t="shared" si="0"/>
        <v>294688.6624426542</v>
      </c>
    </row>
    <row r="58" spans="4:5">
      <c r="D58">
        <v>56</v>
      </c>
      <c r="E58" s="4">
        <f t="shared" si="0"/>
        <v>296662.10575486749</v>
      </c>
    </row>
    <row r="59" spans="4:5">
      <c r="D59">
        <v>57</v>
      </c>
      <c r="E59" s="4">
        <f t="shared" si="0"/>
        <v>298645.41628364183</v>
      </c>
    </row>
    <row r="60" spans="4:5">
      <c r="D60">
        <v>58</v>
      </c>
      <c r="E60" s="4">
        <f t="shared" si="0"/>
        <v>300638.64336506004</v>
      </c>
    </row>
    <row r="61" spans="4:5">
      <c r="D61">
        <v>59</v>
      </c>
      <c r="E61" s="4">
        <f t="shared" si="0"/>
        <v>302641.83658188535</v>
      </c>
    </row>
    <row r="62" spans="4:5">
      <c r="D62">
        <v>60</v>
      </c>
      <c r="E62" s="4">
        <f t="shared" si="0"/>
        <v>304655.04576479475</v>
      </c>
    </row>
    <row r="63" spans="4:5">
      <c r="D63">
        <v>61</v>
      </c>
      <c r="E63" s="4">
        <f t="shared" si="0"/>
        <v>306678.32099361875</v>
      </c>
    </row>
    <row r="64" spans="4:5">
      <c r="D64">
        <v>62</v>
      </c>
      <c r="E64" s="4">
        <f t="shared" si="0"/>
        <v>308711.71259858686</v>
      </c>
    </row>
    <row r="65" spans="4:5">
      <c r="D65">
        <v>63</v>
      </c>
      <c r="E65" s="4">
        <f t="shared" si="0"/>
        <v>310755.27116157982</v>
      </c>
    </row>
    <row r="66" spans="4:5">
      <c r="D66">
        <v>64</v>
      </c>
      <c r="E66" s="4">
        <f t="shared" si="0"/>
        <v>312809.04751738772</v>
      </c>
    </row>
    <row r="67" spans="4:5">
      <c r="D67">
        <v>65</v>
      </c>
      <c r="E67" s="4">
        <f t="shared" ref="E67:E130" si="1">E66 + E66*rate + X</f>
        <v>314873.09275497467</v>
      </c>
    </row>
    <row r="68" spans="4:5">
      <c r="D68">
        <v>66</v>
      </c>
      <c r="E68" s="4">
        <f t="shared" si="1"/>
        <v>316947.45821874955</v>
      </c>
    </row>
    <row r="69" spans="4:5">
      <c r="D69">
        <v>67</v>
      </c>
      <c r="E69" s="4">
        <f t="shared" si="1"/>
        <v>319032.1955098433</v>
      </c>
    </row>
    <row r="70" spans="4:5">
      <c r="D70">
        <v>68</v>
      </c>
      <c r="E70" s="4">
        <f t="shared" si="1"/>
        <v>321127.35648739251</v>
      </c>
    </row>
    <row r="71" spans="4:5">
      <c r="D71">
        <v>69</v>
      </c>
      <c r="E71" s="4">
        <f t="shared" si="1"/>
        <v>323232.99326982949</v>
      </c>
    </row>
    <row r="72" spans="4:5">
      <c r="D72">
        <v>70</v>
      </c>
      <c r="E72" s="4">
        <f t="shared" si="1"/>
        <v>325349.15823617863</v>
      </c>
    </row>
    <row r="73" spans="4:5">
      <c r="D73">
        <v>71</v>
      </c>
      <c r="E73" s="4">
        <f t="shared" si="1"/>
        <v>327475.9040273595</v>
      </c>
    </row>
    <row r="74" spans="4:5">
      <c r="D74">
        <v>72</v>
      </c>
      <c r="E74" s="4">
        <f t="shared" si="1"/>
        <v>329613.28354749631</v>
      </c>
    </row>
    <row r="75" spans="4:5">
      <c r="D75">
        <v>73</v>
      </c>
      <c r="E75" s="4">
        <f t="shared" si="1"/>
        <v>331761.34996523376</v>
      </c>
    </row>
    <row r="76" spans="4:5">
      <c r="D76">
        <v>74</v>
      </c>
      <c r="E76" s="4">
        <f t="shared" si="1"/>
        <v>333920.15671505994</v>
      </c>
    </row>
    <row r="77" spans="4:5">
      <c r="D77">
        <v>75</v>
      </c>
      <c r="E77" s="4">
        <f t="shared" si="1"/>
        <v>336089.75749863527</v>
      </c>
    </row>
    <row r="78" spans="4:5">
      <c r="D78">
        <v>76</v>
      </c>
      <c r="E78" s="4">
        <f t="shared" si="1"/>
        <v>338270.20628612844</v>
      </c>
    </row>
    <row r="79" spans="4:5">
      <c r="D79">
        <v>77</v>
      </c>
      <c r="E79" s="4">
        <f t="shared" si="1"/>
        <v>340461.55731755908</v>
      </c>
    </row>
    <row r="80" spans="4:5">
      <c r="D80">
        <v>78</v>
      </c>
      <c r="E80" s="4">
        <f t="shared" si="1"/>
        <v>342663.86510414688</v>
      </c>
    </row>
    <row r="81" spans="4:5">
      <c r="D81">
        <v>79</v>
      </c>
      <c r="E81" s="4">
        <f t="shared" si="1"/>
        <v>344877.1844296676</v>
      </c>
    </row>
    <row r="82" spans="4:5">
      <c r="D82">
        <v>80</v>
      </c>
      <c r="E82" s="4">
        <f t="shared" si="1"/>
        <v>347101.57035181596</v>
      </c>
    </row>
    <row r="83" spans="4:5">
      <c r="D83">
        <v>81</v>
      </c>
      <c r="E83" s="4">
        <f t="shared" si="1"/>
        <v>349337.07820357505</v>
      </c>
    </row>
    <row r="84" spans="4:5">
      <c r="D84">
        <v>82</v>
      </c>
      <c r="E84" s="4">
        <f t="shared" si="1"/>
        <v>351583.76359459292</v>
      </c>
    </row>
    <row r="85" spans="4:5">
      <c r="D85">
        <v>83</v>
      </c>
      <c r="E85" s="4">
        <f t="shared" si="1"/>
        <v>353841.68241256586</v>
      </c>
    </row>
    <row r="86" spans="4:5">
      <c r="D86">
        <v>84</v>
      </c>
      <c r="E86" s="4">
        <f t="shared" si="1"/>
        <v>356110.8908246287</v>
      </c>
    </row>
    <row r="87" spans="4:5">
      <c r="D87">
        <v>85</v>
      </c>
      <c r="E87" s="4">
        <f t="shared" si="1"/>
        <v>358391.44527875184</v>
      </c>
    </row>
    <row r="88" spans="4:5">
      <c r="D88">
        <v>86</v>
      </c>
      <c r="E88" s="4">
        <f t="shared" si="1"/>
        <v>360683.40250514558</v>
      </c>
    </row>
    <row r="89" spans="4:5">
      <c r="D89">
        <v>87</v>
      </c>
      <c r="E89" s="4">
        <f t="shared" si="1"/>
        <v>362986.81951767131</v>
      </c>
    </row>
    <row r="90" spans="4:5">
      <c r="D90">
        <v>88</v>
      </c>
      <c r="E90" s="4">
        <f t="shared" si="1"/>
        <v>365301.75361525966</v>
      </c>
    </row>
    <row r="91" spans="4:5">
      <c r="D91">
        <v>89</v>
      </c>
      <c r="E91" s="4">
        <f t="shared" si="1"/>
        <v>367628.26238333597</v>
      </c>
    </row>
    <row r="92" spans="4:5">
      <c r="D92">
        <v>90</v>
      </c>
      <c r="E92" s="4">
        <f t="shared" si="1"/>
        <v>369966.40369525267</v>
      </c>
    </row>
    <row r="93" spans="4:5">
      <c r="D93">
        <v>91</v>
      </c>
      <c r="E93" s="4">
        <f t="shared" si="1"/>
        <v>372316.23571372894</v>
      </c>
    </row>
    <row r="94" spans="4:5">
      <c r="D94">
        <v>92</v>
      </c>
      <c r="E94" s="4">
        <f t="shared" si="1"/>
        <v>374677.81689229759</v>
      </c>
    </row>
    <row r="95" spans="4:5">
      <c r="D95">
        <v>93</v>
      </c>
      <c r="E95" s="4">
        <f t="shared" si="1"/>
        <v>377051.20597675908</v>
      </c>
    </row>
    <row r="96" spans="4:5">
      <c r="D96">
        <v>94</v>
      </c>
      <c r="E96" s="4">
        <f t="shared" si="1"/>
        <v>379436.46200664289</v>
      </c>
    </row>
    <row r="97" spans="4:5">
      <c r="D97">
        <v>95</v>
      </c>
      <c r="E97" s="4">
        <f t="shared" si="1"/>
        <v>381833.64431667613</v>
      </c>
    </row>
    <row r="98" spans="4:5">
      <c r="D98">
        <v>96</v>
      </c>
      <c r="E98" s="4">
        <f t="shared" si="1"/>
        <v>384242.81253825949</v>
      </c>
    </row>
    <row r="99" spans="4:5">
      <c r="D99">
        <v>97</v>
      </c>
      <c r="E99" s="4">
        <f t="shared" si="1"/>
        <v>386664.02660095081</v>
      </c>
    </row>
    <row r="100" spans="4:5">
      <c r="D100">
        <v>98</v>
      </c>
      <c r="E100" s="4">
        <f t="shared" si="1"/>
        <v>389097.34673395555</v>
      </c>
    </row>
    <row r="101" spans="4:5">
      <c r="D101">
        <v>99</v>
      </c>
      <c r="E101" s="4">
        <f t="shared" si="1"/>
        <v>391542.83346762531</v>
      </c>
    </row>
    <row r="102" spans="4:5">
      <c r="D102">
        <v>100</v>
      </c>
      <c r="E102" s="4">
        <f t="shared" si="1"/>
        <v>394000.54763496341</v>
      </c>
    </row>
    <row r="103" spans="4:5">
      <c r="D103">
        <v>101</v>
      </c>
      <c r="E103" s="4">
        <f t="shared" si="1"/>
        <v>396470.55037313822</v>
      </c>
    </row>
    <row r="104" spans="4:5">
      <c r="D104">
        <v>102</v>
      </c>
      <c r="E104" s="4">
        <f t="shared" si="1"/>
        <v>398952.90312500391</v>
      </c>
    </row>
    <row r="105" spans="4:5">
      <c r="D105">
        <v>103</v>
      </c>
      <c r="E105" s="4">
        <f t="shared" si="1"/>
        <v>401447.66764062893</v>
      </c>
    </row>
    <row r="106" spans="4:5">
      <c r="D106">
        <v>104</v>
      </c>
      <c r="E106" s="4">
        <f t="shared" si="1"/>
        <v>403954.9059788321</v>
      </c>
    </row>
    <row r="107" spans="4:5">
      <c r="D107">
        <v>105</v>
      </c>
      <c r="E107" s="4">
        <f t="shared" si="1"/>
        <v>406474.68050872628</v>
      </c>
    </row>
    <row r="108" spans="4:5">
      <c r="D108">
        <v>106</v>
      </c>
      <c r="E108" s="4">
        <f t="shared" si="1"/>
        <v>409007.05391126993</v>
      </c>
    </row>
    <row r="109" spans="4:5">
      <c r="D109">
        <v>107</v>
      </c>
      <c r="E109" s="4">
        <f t="shared" si="1"/>
        <v>411552.08918082627</v>
      </c>
    </row>
    <row r="110" spans="4:5">
      <c r="D110">
        <v>108</v>
      </c>
      <c r="E110" s="4">
        <f t="shared" si="1"/>
        <v>414109.84962673037</v>
      </c>
    </row>
    <row r="111" spans="4:5">
      <c r="D111">
        <v>109</v>
      </c>
      <c r="E111" s="4">
        <f t="shared" si="1"/>
        <v>416680.39887486404</v>
      </c>
    </row>
    <row r="112" spans="4:5">
      <c r="D112">
        <v>110</v>
      </c>
      <c r="E112" s="4">
        <f t="shared" si="1"/>
        <v>419263.80086923839</v>
      </c>
    </row>
    <row r="113" spans="4:5">
      <c r="D113">
        <v>111</v>
      </c>
      <c r="E113" s="4">
        <f t="shared" si="1"/>
        <v>421860.1198735846</v>
      </c>
    </row>
    <row r="114" spans="4:5">
      <c r="D114">
        <v>112</v>
      </c>
      <c r="E114" s="4">
        <f t="shared" si="1"/>
        <v>424469.42047295254</v>
      </c>
    </row>
    <row r="115" spans="4:5">
      <c r="D115">
        <v>113</v>
      </c>
      <c r="E115" s="4">
        <f t="shared" si="1"/>
        <v>427091.7675753173</v>
      </c>
    </row>
    <row r="116" spans="4:5">
      <c r="D116">
        <v>114</v>
      </c>
      <c r="E116" s="4">
        <f t="shared" si="1"/>
        <v>429727.22641319386</v>
      </c>
    </row>
    <row r="117" spans="4:5">
      <c r="D117">
        <v>115</v>
      </c>
      <c r="E117" s="4">
        <f t="shared" si="1"/>
        <v>432375.86254525982</v>
      </c>
    </row>
    <row r="118" spans="4:5">
      <c r="D118">
        <v>116</v>
      </c>
      <c r="E118" s="4">
        <f t="shared" si="1"/>
        <v>435037.74185798614</v>
      </c>
    </row>
    <row r="119" spans="4:5">
      <c r="D119">
        <v>117</v>
      </c>
      <c r="E119" s="4">
        <f t="shared" si="1"/>
        <v>437712.93056727608</v>
      </c>
    </row>
    <row r="120" spans="4:5">
      <c r="D120">
        <v>118</v>
      </c>
      <c r="E120" s="4">
        <f t="shared" si="1"/>
        <v>440401.49522011244</v>
      </c>
    </row>
    <row r="121" spans="4:5">
      <c r="D121">
        <v>119</v>
      </c>
      <c r="E121" s="4">
        <f t="shared" si="1"/>
        <v>443103.50269621302</v>
      </c>
    </row>
    <row r="122" spans="4:5">
      <c r="D122">
        <v>120</v>
      </c>
      <c r="E122" s="4">
        <f t="shared" si="1"/>
        <v>445819.02020969411</v>
      </c>
    </row>
    <row r="123" spans="4:5">
      <c r="D123">
        <v>121</v>
      </c>
      <c r="E123" s="4">
        <f t="shared" si="1"/>
        <v>448548.11531074258</v>
      </c>
    </row>
    <row r="124" spans="4:5">
      <c r="D124">
        <v>122</v>
      </c>
      <c r="E124" s="4">
        <f t="shared" si="1"/>
        <v>451290.85588729632</v>
      </c>
    </row>
    <row r="125" spans="4:5">
      <c r="D125">
        <v>123</v>
      </c>
      <c r="E125" s="4">
        <f t="shared" si="1"/>
        <v>454047.31016673282</v>
      </c>
    </row>
    <row r="126" spans="4:5">
      <c r="D126">
        <v>124</v>
      </c>
      <c r="E126" s="4">
        <f t="shared" si="1"/>
        <v>456817.5467175665</v>
      </c>
    </row>
    <row r="127" spans="4:5">
      <c r="D127">
        <v>125</v>
      </c>
      <c r="E127" s="4">
        <f t="shared" si="1"/>
        <v>459601.63445115433</v>
      </c>
    </row>
    <row r="128" spans="4:5">
      <c r="D128">
        <v>126</v>
      </c>
      <c r="E128" s="4">
        <f t="shared" si="1"/>
        <v>462399.64262341009</v>
      </c>
    </row>
    <row r="129" spans="4:5">
      <c r="D129">
        <v>127</v>
      </c>
      <c r="E129" s="4">
        <f t="shared" si="1"/>
        <v>465211.64083652716</v>
      </c>
    </row>
    <row r="130" spans="4:5">
      <c r="D130">
        <v>128</v>
      </c>
      <c r="E130" s="4">
        <f t="shared" si="1"/>
        <v>468037.69904070982</v>
      </c>
    </row>
    <row r="131" spans="4:5">
      <c r="D131">
        <v>129</v>
      </c>
      <c r="E131" s="4">
        <f t="shared" ref="E131:E194" si="2">E130 + E130*rate + X</f>
        <v>470877.88753591338</v>
      </c>
    </row>
    <row r="132" spans="4:5">
      <c r="D132">
        <v>130</v>
      </c>
      <c r="E132" s="4">
        <f t="shared" si="2"/>
        <v>473732.27697359293</v>
      </c>
    </row>
    <row r="133" spans="4:5">
      <c r="D133">
        <v>131</v>
      </c>
      <c r="E133" s="4">
        <f t="shared" si="2"/>
        <v>476600.9383584609</v>
      </c>
    </row>
    <row r="134" spans="4:5">
      <c r="D134">
        <v>132</v>
      </c>
      <c r="E134" s="4">
        <f t="shared" si="2"/>
        <v>479483.94305025321</v>
      </c>
    </row>
    <row r="135" spans="4:5">
      <c r="D135">
        <v>133</v>
      </c>
      <c r="E135" s="4">
        <f t="shared" si="2"/>
        <v>482381.36276550445</v>
      </c>
    </row>
    <row r="136" spans="4:5">
      <c r="D136">
        <v>134</v>
      </c>
      <c r="E136" s="4">
        <f t="shared" si="2"/>
        <v>485293.26957933197</v>
      </c>
    </row>
    <row r="137" spans="4:5">
      <c r="D137">
        <v>135</v>
      </c>
      <c r="E137" s="4">
        <f t="shared" si="2"/>
        <v>488219.73592722864</v>
      </c>
    </row>
    <row r="138" spans="4:5">
      <c r="D138">
        <v>136</v>
      </c>
      <c r="E138" s="4">
        <f t="shared" si="2"/>
        <v>491160.83460686478</v>
      </c>
    </row>
    <row r="139" spans="4:5">
      <c r="D139">
        <v>137</v>
      </c>
      <c r="E139" s="4">
        <f t="shared" si="2"/>
        <v>494116.63877989911</v>
      </c>
    </row>
    <row r="140" spans="4:5">
      <c r="D140">
        <v>138</v>
      </c>
      <c r="E140" s="4">
        <f t="shared" si="2"/>
        <v>497087.22197379859</v>
      </c>
    </row>
    <row r="141" spans="4:5">
      <c r="D141">
        <v>139</v>
      </c>
      <c r="E141" s="4">
        <f t="shared" si="2"/>
        <v>500072.65808366757</v>
      </c>
    </row>
    <row r="142" spans="4:5">
      <c r="D142">
        <v>140</v>
      </c>
      <c r="E142" s="4">
        <f t="shared" si="2"/>
        <v>503073.02137408592</v>
      </c>
    </row>
    <row r="143" spans="4:5">
      <c r="D143">
        <v>141</v>
      </c>
      <c r="E143" s="4">
        <f t="shared" si="2"/>
        <v>506088.38648095634</v>
      </c>
    </row>
    <row r="144" spans="4:5">
      <c r="D144">
        <v>142</v>
      </c>
      <c r="E144" s="4">
        <f t="shared" si="2"/>
        <v>509118.8284133611</v>
      </c>
    </row>
    <row r="145" spans="4:5">
      <c r="D145">
        <v>143</v>
      </c>
      <c r="E145" s="4">
        <f t="shared" si="2"/>
        <v>512164.42255542788</v>
      </c>
    </row>
    <row r="146" spans="4:5">
      <c r="D146">
        <v>144</v>
      </c>
      <c r="E146" s="4">
        <f t="shared" si="2"/>
        <v>515225.24466820504</v>
      </c>
    </row>
    <row r="147" spans="4:5">
      <c r="D147">
        <v>145</v>
      </c>
      <c r="E147" s="4">
        <f t="shared" si="2"/>
        <v>518301.37089154607</v>
      </c>
    </row>
    <row r="148" spans="4:5">
      <c r="D148">
        <v>146</v>
      </c>
      <c r="E148" s="4">
        <f t="shared" si="2"/>
        <v>521392.8777460038</v>
      </c>
    </row>
    <row r="149" spans="4:5">
      <c r="D149">
        <v>147</v>
      </c>
      <c r="E149" s="4">
        <f t="shared" si="2"/>
        <v>524499.8421347338</v>
      </c>
    </row>
    <row r="150" spans="4:5">
      <c r="D150">
        <v>148</v>
      </c>
      <c r="E150" s="4">
        <f t="shared" si="2"/>
        <v>527622.34134540742</v>
      </c>
    </row>
    <row r="151" spans="4:5">
      <c r="D151">
        <v>149</v>
      </c>
      <c r="E151" s="4">
        <f t="shared" si="2"/>
        <v>530760.45305213449</v>
      </c>
    </row>
    <row r="152" spans="4:5">
      <c r="D152">
        <v>150</v>
      </c>
      <c r="E152" s="4">
        <f t="shared" si="2"/>
        <v>533914.2553173952</v>
      </c>
    </row>
    <row r="153" spans="4:5">
      <c r="D153">
        <v>151</v>
      </c>
      <c r="E153" s="4">
        <f t="shared" si="2"/>
        <v>537083.82659398217</v>
      </c>
    </row>
    <row r="154" spans="4:5">
      <c r="D154">
        <v>152</v>
      </c>
      <c r="E154" s="4">
        <f t="shared" si="2"/>
        <v>540269.2457269521</v>
      </c>
    </row>
    <row r="155" spans="4:5">
      <c r="D155">
        <v>153</v>
      </c>
      <c r="E155" s="4">
        <f t="shared" si="2"/>
        <v>543470.5919555868</v>
      </c>
    </row>
    <row r="156" spans="4:5">
      <c r="D156">
        <v>154</v>
      </c>
      <c r="E156" s="4">
        <f t="shared" si="2"/>
        <v>546687.94491536473</v>
      </c>
    </row>
    <row r="157" spans="4:5">
      <c r="D157">
        <v>155</v>
      </c>
      <c r="E157" s="4">
        <f t="shared" si="2"/>
        <v>549921.38463994151</v>
      </c>
    </row>
    <row r="158" spans="4:5">
      <c r="D158">
        <v>156</v>
      </c>
      <c r="E158" s="4">
        <f t="shared" si="2"/>
        <v>553170.99156314123</v>
      </c>
    </row>
    <row r="159" spans="4:5">
      <c r="D159">
        <v>157</v>
      </c>
      <c r="E159" s="4">
        <f t="shared" si="2"/>
        <v>556436.84652095695</v>
      </c>
    </row>
    <row r="160" spans="4:5">
      <c r="D160">
        <v>158</v>
      </c>
      <c r="E160" s="4">
        <f t="shared" si="2"/>
        <v>559719.03075356176</v>
      </c>
    </row>
    <row r="161" spans="4:5">
      <c r="D161">
        <v>159</v>
      </c>
      <c r="E161" s="4">
        <f t="shared" si="2"/>
        <v>563017.62590732961</v>
      </c>
    </row>
    <row r="162" spans="4:5">
      <c r="D162">
        <v>160</v>
      </c>
      <c r="E162" s="4">
        <f t="shared" si="2"/>
        <v>566332.71403686621</v>
      </c>
    </row>
    <row r="163" spans="4:5">
      <c r="D163">
        <v>161</v>
      </c>
      <c r="E163" s="4">
        <f t="shared" si="2"/>
        <v>569664.37760705058</v>
      </c>
    </row>
    <row r="164" spans="4:5">
      <c r="D164">
        <v>162</v>
      </c>
      <c r="E164" s="4">
        <f t="shared" si="2"/>
        <v>573012.69949508586</v>
      </c>
    </row>
    <row r="165" spans="4:5">
      <c r="D165">
        <v>163</v>
      </c>
      <c r="E165" s="4">
        <f t="shared" si="2"/>
        <v>576377.76299256133</v>
      </c>
    </row>
    <row r="166" spans="4:5">
      <c r="D166">
        <v>164</v>
      </c>
      <c r="E166" s="4">
        <f t="shared" si="2"/>
        <v>579759.65180752415</v>
      </c>
    </row>
    <row r="167" spans="4:5">
      <c r="D167">
        <v>165</v>
      </c>
      <c r="E167" s="4">
        <f t="shared" si="2"/>
        <v>583158.45006656181</v>
      </c>
    </row>
    <row r="168" spans="4:5">
      <c r="D168">
        <v>166</v>
      </c>
      <c r="E168" s="4">
        <f t="shared" si="2"/>
        <v>586574.24231689458</v>
      </c>
    </row>
    <row r="169" spans="4:5">
      <c r="D169">
        <v>167</v>
      </c>
      <c r="E169" s="4">
        <f t="shared" si="2"/>
        <v>590007.11352847901</v>
      </c>
    </row>
    <row r="170" spans="4:5">
      <c r="D170">
        <v>168</v>
      </c>
      <c r="E170" s="4">
        <f t="shared" si="2"/>
        <v>593457.14909612143</v>
      </c>
    </row>
    <row r="171" spans="4:5">
      <c r="D171">
        <v>169</v>
      </c>
      <c r="E171" s="4">
        <f t="shared" si="2"/>
        <v>596924.43484160199</v>
      </c>
    </row>
    <row r="172" spans="4:5">
      <c r="D172">
        <v>170</v>
      </c>
      <c r="E172" s="4">
        <f t="shared" si="2"/>
        <v>600409.05701581005</v>
      </c>
    </row>
    <row r="173" spans="4:5">
      <c r="D173">
        <v>171</v>
      </c>
      <c r="E173" s="4">
        <f t="shared" si="2"/>
        <v>603911.10230088909</v>
      </c>
    </row>
    <row r="174" spans="4:5">
      <c r="D174">
        <v>172</v>
      </c>
      <c r="E174" s="4">
        <f t="shared" si="2"/>
        <v>607430.6578123935</v>
      </c>
    </row>
    <row r="175" spans="4:5">
      <c r="D175">
        <v>173</v>
      </c>
      <c r="E175" s="4">
        <f t="shared" si="2"/>
        <v>610967.81110145547</v>
      </c>
    </row>
    <row r="176" spans="4:5">
      <c r="D176">
        <v>174</v>
      </c>
      <c r="E176" s="4">
        <f t="shared" si="2"/>
        <v>614522.6501569628</v>
      </c>
    </row>
    <row r="177" spans="4:5">
      <c r="D177">
        <v>175</v>
      </c>
      <c r="E177" s="4">
        <f t="shared" si="2"/>
        <v>618095.26340774761</v>
      </c>
    </row>
    <row r="178" spans="4:5">
      <c r="D178">
        <v>176</v>
      </c>
      <c r="E178" s="4">
        <f t="shared" si="2"/>
        <v>621685.73972478637</v>
      </c>
    </row>
    <row r="179" spans="4:5">
      <c r="D179">
        <v>177</v>
      </c>
      <c r="E179" s="4">
        <f t="shared" si="2"/>
        <v>625294.16842341027</v>
      </c>
    </row>
    <row r="180" spans="4:5">
      <c r="D180">
        <v>178</v>
      </c>
      <c r="E180" s="4">
        <f t="shared" si="2"/>
        <v>628920.63926552737</v>
      </c>
    </row>
    <row r="181" spans="4:5">
      <c r="D181">
        <v>179</v>
      </c>
      <c r="E181" s="4">
        <f t="shared" si="2"/>
        <v>632565.24246185506</v>
      </c>
    </row>
    <row r="182" spans="4:5">
      <c r="D182">
        <v>180</v>
      </c>
      <c r="E182" s="4">
        <f t="shared" si="2"/>
        <v>636228.06867416436</v>
      </c>
    </row>
    <row r="183" spans="4:5">
      <c r="D183">
        <v>181</v>
      </c>
      <c r="E183" s="4">
        <f t="shared" si="2"/>
        <v>639909.20901753521</v>
      </c>
    </row>
    <row r="184" spans="4:5">
      <c r="D184">
        <v>182</v>
      </c>
      <c r="E184" s="4">
        <f t="shared" si="2"/>
        <v>643608.75506262283</v>
      </c>
    </row>
    <row r="185" spans="4:5">
      <c r="D185">
        <v>183</v>
      </c>
      <c r="E185" s="4">
        <f t="shared" si="2"/>
        <v>647326.7988379359</v>
      </c>
    </row>
    <row r="186" spans="4:5">
      <c r="D186">
        <v>184</v>
      </c>
      <c r="E186" s="4">
        <f t="shared" si="2"/>
        <v>651063.43283212557</v>
      </c>
    </row>
    <row r="187" spans="4:5">
      <c r="D187">
        <v>185</v>
      </c>
      <c r="E187" s="4">
        <f t="shared" si="2"/>
        <v>654818.74999628623</v>
      </c>
    </row>
    <row r="188" spans="4:5">
      <c r="D188">
        <v>186</v>
      </c>
      <c r="E188" s="4">
        <f t="shared" si="2"/>
        <v>658592.84374626761</v>
      </c>
    </row>
    <row r="189" spans="4:5">
      <c r="D189">
        <v>187</v>
      </c>
      <c r="E189" s="4">
        <f t="shared" si="2"/>
        <v>662385.807964999</v>
      </c>
    </row>
    <row r="190" spans="4:5">
      <c r="D190">
        <v>188</v>
      </c>
      <c r="E190" s="4">
        <f t="shared" si="2"/>
        <v>666197.73700482398</v>
      </c>
    </row>
    <row r="191" spans="4:5">
      <c r="D191">
        <v>189</v>
      </c>
      <c r="E191" s="4">
        <f t="shared" si="2"/>
        <v>670028.72568984807</v>
      </c>
    </row>
    <row r="192" spans="4:5">
      <c r="D192">
        <v>190</v>
      </c>
      <c r="E192" s="4">
        <f t="shared" si="2"/>
        <v>673878.86931829737</v>
      </c>
    </row>
    <row r="193" spans="4:5">
      <c r="D193">
        <v>191</v>
      </c>
      <c r="E193" s="4">
        <f t="shared" si="2"/>
        <v>677748.2636648888</v>
      </c>
    </row>
    <row r="194" spans="4:5">
      <c r="D194">
        <v>192</v>
      </c>
      <c r="E194" s="4">
        <f t="shared" si="2"/>
        <v>681637.00498321326</v>
      </c>
    </row>
    <row r="195" spans="4:5">
      <c r="D195">
        <v>193</v>
      </c>
      <c r="E195" s="4">
        <f t="shared" ref="E195:E258" si="3">E194 + E194*rate + X</f>
        <v>685545.19000812934</v>
      </c>
    </row>
    <row r="196" spans="4:5">
      <c r="D196">
        <v>194</v>
      </c>
      <c r="E196" s="4">
        <f t="shared" si="3"/>
        <v>689472.91595816996</v>
      </c>
    </row>
    <row r="197" spans="4:5">
      <c r="D197">
        <v>195</v>
      </c>
      <c r="E197" s="4">
        <f t="shared" si="3"/>
        <v>693420.28053796082</v>
      </c>
    </row>
    <row r="198" spans="4:5">
      <c r="D198">
        <v>196</v>
      </c>
      <c r="E198" s="4">
        <f t="shared" si="3"/>
        <v>697387.38194065064</v>
      </c>
    </row>
    <row r="199" spans="4:5">
      <c r="D199">
        <v>197</v>
      </c>
      <c r="E199" s="4">
        <f t="shared" si="3"/>
        <v>701374.31885035394</v>
      </c>
    </row>
    <row r="200" spans="4:5">
      <c r="D200">
        <v>198</v>
      </c>
      <c r="E200" s="4">
        <f t="shared" si="3"/>
        <v>705381.19044460566</v>
      </c>
    </row>
    <row r="201" spans="4:5">
      <c r="D201">
        <v>199</v>
      </c>
      <c r="E201" s="4">
        <f t="shared" si="3"/>
        <v>709408.09639682865</v>
      </c>
    </row>
    <row r="202" spans="4:5">
      <c r="D202">
        <v>200</v>
      </c>
      <c r="E202" s="4">
        <f t="shared" si="3"/>
        <v>713455.1368788128</v>
      </c>
    </row>
    <row r="203" spans="4:5">
      <c r="D203">
        <v>201</v>
      </c>
      <c r="E203" s="4">
        <f t="shared" si="3"/>
        <v>717522.41256320686</v>
      </c>
    </row>
    <row r="204" spans="4:5">
      <c r="D204">
        <v>202</v>
      </c>
      <c r="E204" s="4">
        <f t="shared" si="3"/>
        <v>721610.0246260229</v>
      </c>
    </row>
    <row r="205" spans="4:5">
      <c r="D205">
        <v>203</v>
      </c>
      <c r="E205" s="4">
        <f t="shared" si="3"/>
        <v>725718.07474915299</v>
      </c>
    </row>
    <row r="206" spans="4:5">
      <c r="D206">
        <v>204</v>
      </c>
      <c r="E206" s="4">
        <f t="shared" si="3"/>
        <v>729846.66512289876</v>
      </c>
    </row>
    <row r="207" spans="4:5">
      <c r="D207">
        <v>205</v>
      </c>
      <c r="E207" s="4">
        <f t="shared" si="3"/>
        <v>733995.89844851324</v>
      </c>
    </row>
    <row r="208" spans="4:5">
      <c r="D208">
        <v>206</v>
      </c>
      <c r="E208" s="4">
        <f t="shared" si="3"/>
        <v>738165.8779407558</v>
      </c>
    </row>
    <row r="209" spans="4:5">
      <c r="D209">
        <v>207</v>
      </c>
      <c r="E209" s="4">
        <f t="shared" si="3"/>
        <v>742356.70733045961</v>
      </c>
    </row>
    <row r="210" spans="4:5">
      <c r="D210">
        <v>208</v>
      </c>
      <c r="E210" s="4">
        <f t="shared" si="3"/>
        <v>746568.49086711195</v>
      </c>
    </row>
    <row r="211" spans="4:5">
      <c r="D211">
        <v>209</v>
      </c>
      <c r="E211" s="4">
        <f t="shared" si="3"/>
        <v>750801.33332144748</v>
      </c>
    </row>
    <row r="212" spans="4:5">
      <c r="D212">
        <v>210</v>
      </c>
      <c r="E212" s="4">
        <f t="shared" si="3"/>
        <v>755055.33998805471</v>
      </c>
    </row>
    <row r="213" spans="4:5">
      <c r="D213">
        <v>211</v>
      </c>
      <c r="E213" s="4">
        <f t="shared" si="3"/>
        <v>759330.61668799503</v>
      </c>
    </row>
    <row r="214" spans="4:5">
      <c r="D214">
        <v>212</v>
      </c>
      <c r="E214" s="4">
        <f t="shared" si="3"/>
        <v>763627.26977143507</v>
      </c>
    </row>
    <row r="215" spans="4:5">
      <c r="D215">
        <v>213</v>
      </c>
      <c r="E215" s="4">
        <f t="shared" si="3"/>
        <v>767945.40612029226</v>
      </c>
    </row>
    <row r="216" spans="4:5">
      <c r="D216">
        <v>214</v>
      </c>
      <c r="E216" s="4">
        <f t="shared" si="3"/>
        <v>772285.13315089373</v>
      </c>
    </row>
    <row r="217" spans="4:5">
      <c r="D217">
        <v>215</v>
      </c>
      <c r="E217" s="4">
        <f t="shared" si="3"/>
        <v>776646.5588166482</v>
      </c>
    </row>
    <row r="218" spans="4:5">
      <c r="D218">
        <v>216</v>
      </c>
      <c r="E218" s="4">
        <f t="shared" si="3"/>
        <v>781029.79161073139</v>
      </c>
    </row>
    <row r="219" spans="4:5">
      <c r="D219">
        <v>217</v>
      </c>
      <c r="E219" s="4">
        <f t="shared" si="3"/>
        <v>785434.94056878507</v>
      </c>
    </row>
    <row r="220" spans="4:5">
      <c r="D220">
        <v>218</v>
      </c>
      <c r="E220" s="4">
        <f t="shared" si="3"/>
        <v>789862.11527162895</v>
      </c>
    </row>
    <row r="221" spans="4:5">
      <c r="D221">
        <v>219</v>
      </c>
      <c r="E221" s="4">
        <f t="shared" si="3"/>
        <v>794311.42584798706</v>
      </c>
    </row>
    <row r="222" spans="4:5">
      <c r="D222">
        <v>220</v>
      </c>
      <c r="E222" s="4">
        <f t="shared" si="3"/>
        <v>798782.98297722696</v>
      </c>
    </row>
    <row r="223" spans="4:5">
      <c r="D223">
        <v>221</v>
      </c>
      <c r="E223" s="4">
        <f t="shared" si="3"/>
        <v>803276.89789211308</v>
      </c>
    </row>
    <row r="224" spans="4:5">
      <c r="D224">
        <v>222</v>
      </c>
      <c r="E224" s="4">
        <f t="shared" si="3"/>
        <v>807793.28238157369</v>
      </c>
    </row>
    <row r="225" spans="4:5">
      <c r="D225">
        <v>223</v>
      </c>
      <c r="E225" s="4">
        <f t="shared" si="3"/>
        <v>812332.24879348162</v>
      </c>
    </row>
    <row r="226" spans="4:5">
      <c r="D226">
        <v>224</v>
      </c>
      <c r="E226" s="4">
        <f t="shared" si="3"/>
        <v>816893.91003744898</v>
      </c>
    </row>
    <row r="227" spans="4:5">
      <c r="D227">
        <v>225</v>
      </c>
      <c r="E227" s="4">
        <f t="shared" si="3"/>
        <v>821478.37958763621</v>
      </c>
    </row>
    <row r="228" spans="4:5">
      <c r="D228">
        <v>226</v>
      </c>
      <c r="E228" s="4">
        <f t="shared" si="3"/>
        <v>826085.77148557443</v>
      </c>
    </row>
    <row r="229" spans="4:5">
      <c r="D229">
        <v>227</v>
      </c>
      <c r="E229" s="4">
        <f t="shared" si="3"/>
        <v>830716.20034300233</v>
      </c>
    </row>
    <row r="230" spans="4:5">
      <c r="D230">
        <v>228</v>
      </c>
      <c r="E230" s="4">
        <f t="shared" si="3"/>
        <v>835369.78134471737</v>
      </c>
    </row>
    <row r="231" spans="4:5">
      <c r="D231">
        <v>229</v>
      </c>
      <c r="E231" s="4">
        <f t="shared" si="3"/>
        <v>840046.63025144092</v>
      </c>
    </row>
    <row r="232" spans="4:5">
      <c r="D232">
        <v>230</v>
      </c>
      <c r="E232" s="4">
        <f t="shared" si="3"/>
        <v>844746.86340269807</v>
      </c>
    </row>
    <row r="233" spans="4:5">
      <c r="D233">
        <v>231</v>
      </c>
      <c r="E233" s="4">
        <f t="shared" si="3"/>
        <v>849470.5977197116</v>
      </c>
    </row>
    <row r="234" spans="4:5">
      <c r="D234">
        <v>232</v>
      </c>
      <c r="E234" s="4">
        <f t="shared" si="3"/>
        <v>854217.95070831012</v>
      </c>
    </row>
    <row r="235" spans="4:5">
      <c r="D235">
        <v>233</v>
      </c>
      <c r="E235" s="4">
        <f t="shared" si="3"/>
        <v>858989.04046185163</v>
      </c>
    </row>
    <row r="236" spans="4:5">
      <c r="D236">
        <v>234</v>
      </c>
      <c r="E236" s="4">
        <f t="shared" si="3"/>
        <v>863783.98566416092</v>
      </c>
    </row>
    <row r="237" spans="4:5">
      <c r="D237">
        <v>235</v>
      </c>
      <c r="E237" s="4">
        <f t="shared" si="3"/>
        <v>868602.90559248172</v>
      </c>
    </row>
    <row r="238" spans="4:5">
      <c r="D238">
        <v>236</v>
      </c>
      <c r="E238" s="4">
        <f t="shared" si="3"/>
        <v>873445.92012044415</v>
      </c>
    </row>
    <row r="239" spans="4:5">
      <c r="D239">
        <v>237</v>
      </c>
      <c r="E239" s="4">
        <f t="shared" si="3"/>
        <v>878313.14972104633</v>
      </c>
    </row>
    <row r="240" spans="4:5">
      <c r="D240">
        <v>238</v>
      </c>
      <c r="E240" s="4">
        <f t="shared" si="3"/>
        <v>883204.71546965151</v>
      </c>
    </row>
    <row r="241" spans="4:5">
      <c r="D241">
        <v>239</v>
      </c>
      <c r="E241" s="4">
        <f t="shared" si="3"/>
        <v>888120.73904699972</v>
      </c>
    </row>
    <row r="242" spans="4:5">
      <c r="D242">
        <v>240</v>
      </c>
      <c r="E242" s="4">
        <f t="shared" si="3"/>
        <v>893061.3427422347</v>
      </c>
    </row>
    <row r="243" spans="4:5">
      <c r="D243">
        <v>241</v>
      </c>
      <c r="E243" s="4">
        <f t="shared" si="3"/>
        <v>898026.64945594582</v>
      </c>
    </row>
    <row r="244" spans="4:5">
      <c r="D244">
        <v>242</v>
      </c>
      <c r="E244" s="4">
        <f t="shared" si="3"/>
        <v>903016.7827032255</v>
      </c>
    </row>
    <row r="245" spans="4:5">
      <c r="D245">
        <v>243</v>
      </c>
      <c r="E245" s="4">
        <f t="shared" si="3"/>
        <v>908031.86661674164</v>
      </c>
    </row>
    <row r="246" spans="4:5">
      <c r="D246">
        <v>244</v>
      </c>
      <c r="E246" s="4">
        <f t="shared" si="3"/>
        <v>913072.0259498253</v>
      </c>
    </row>
    <row r="247" spans="4:5">
      <c r="D247">
        <v>245</v>
      </c>
      <c r="E247" s="4">
        <f t="shared" si="3"/>
        <v>918137.38607957447</v>
      </c>
    </row>
    <row r="248" spans="4:5">
      <c r="D248">
        <v>246</v>
      </c>
      <c r="E248" s="4">
        <f t="shared" si="3"/>
        <v>923228.07300997234</v>
      </c>
    </row>
    <row r="249" spans="4:5">
      <c r="D249">
        <v>247</v>
      </c>
      <c r="E249" s="4">
        <f t="shared" si="3"/>
        <v>928344.21337502217</v>
      </c>
    </row>
    <row r="250" spans="4:5">
      <c r="D250">
        <v>248</v>
      </c>
      <c r="E250" s="4">
        <f t="shared" si="3"/>
        <v>933485.93444189732</v>
      </c>
    </row>
    <row r="251" spans="4:5">
      <c r="D251">
        <v>249</v>
      </c>
      <c r="E251" s="4">
        <f t="shared" si="3"/>
        <v>938653.36411410675</v>
      </c>
    </row>
    <row r="252" spans="4:5">
      <c r="D252">
        <v>250</v>
      </c>
      <c r="E252" s="4">
        <f t="shared" si="3"/>
        <v>943846.63093467732</v>
      </c>
    </row>
    <row r="253" spans="4:5">
      <c r="D253">
        <v>251</v>
      </c>
      <c r="E253" s="4">
        <f t="shared" si="3"/>
        <v>949065.86408935068</v>
      </c>
    </row>
    <row r="254" spans="4:5">
      <c r="D254">
        <v>252</v>
      </c>
      <c r="E254" s="4">
        <f t="shared" si="3"/>
        <v>954311.19340979739</v>
      </c>
    </row>
    <row r="255" spans="4:5">
      <c r="D255">
        <v>253</v>
      </c>
      <c r="E255" s="4">
        <f t="shared" si="3"/>
        <v>959582.74937684636</v>
      </c>
    </row>
    <row r="256" spans="4:5">
      <c r="D256">
        <v>254</v>
      </c>
      <c r="E256" s="4">
        <f t="shared" si="3"/>
        <v>964880.66312373057</v>
      </c>
    </row>
    <row r="257" spans="4:5">
      <c r="D257">
        <v>255</v>
      </c>
      <c r="E257" s="4">
        <f t="shared" si="3"/>
        <v>970205.0664393492</v>
      </c>
    </row>
    <row r="258" spans="4:5">
      <c r="D258">
        <v>256</v>
      </c>
      <c r="E258" s="4">
        <f t="shared" si="3"/>
        <v>975556.09177154594</v>
      </c>
    </row>
    <row r="259" spans="4:5">
      <c r="D259">
        <v>257</v>
      </c>
      <c r="E259" s="4">
        <f t="shared" ref="E259:E322" si="4">E258 + E258*rate + X</f>
        <v>980933.87223040371</v>
      </c>
    </row>
    <row r="260" spans="4:5">
      <c r="D260">
        <v>258</v>
      </c>
      <c r="E260" s="4">
        <f t="shared" si="4"/>
        <v>986338.5415915557</v>
      </c>
    </row>
    <row r="261" spans="4:5">
      <c r="D261">
        <v>259</v>
      </c>
      <c r="E261" s="4">
        <f t="shared" si="4"/>
        <v>991770.23429951351</v>
      </c>
    </row>
    <row r="262" spans="4:5">
      <c r="D262">
        <v>260</v>
      </c>
      <c r="E262" s="4">
        <f t="shared" si="4"/>
        <v>997229.08547101112</v>
      </c>
    </row>
    <row r="263" spans="4:5">
      <c r="D263">
        <v>261</v>
      </c>
      <c r="E263" s="4">
        <f t="shared" si="4"/>
        <v>1002715.2308983662</v>
      </c>
    </row>
    <row r="264" spans="4:5">
      <c r="D264">
        <v>262</v>
      </c>
      <c r="E264" s="4">
        <f t="shared" si="4"/>
        <v>1008228.8070528581</v>
      </c>
    </row>
    <row r="265" spans="4:5">
      <c r="D265">
        <v>263</v>
      </c>
      <c r="E265" s="4">
        <f t="shared" si="4"/>
        <v>1013769.9510881223</v>
      </c>
    </row>
    <row r="266" spans="4:5">
      <c r="D266">
        <v>264</v>
      </c>
      <c r="E266" s="4">
        <f t="shared" si="4"/>
        <v>1019338.8008435629</v>
      </c>
    </row>
    <row r="267" spans="4:5">
      <c r="D267">
        <v>265</v>
      </c>
      <c r="E267" s="4">
        <f t="shared" si="4"/>
        <v>1024935.4948477808</v>
      </c>
    </row>
    <row r="268" spans="4:5">
      <c r="D268">
        <v>266</v>
      </c>
      <c r="E268" s="4">
        <f t="shared" si="4"/>
        <v>1030560.1723220197</v>
      </c>
    </row>
    <row r="269" spans="4:5">
      <c r="D269">
        <v>267</v>
      </c>
      <c r="E269" s="4">
        <f t="shared" si="4"/>
        <v>1036212.9731836298</v>
      </c>
    </row>
    <row r="270" spans="4:5">
      <c r="D270">
        <v>268</v>
      </c>
      <c r="E270" s="4">
        <f t="shared" si="4"/>
        <v>1041894.0380495479</v>
      </c>
    </row>
    <row r="271" spans="4:5">
      <c r="D271">
        <v>269</v>
      </c>
      <c r="E271" s="4">
        <f t="shared" si="4"/>
        <v>1047603.5082397957</v>
      </c>
    </row>
    <row r="272" spans="4:5">
      <c r="D272">
        <v>270</v>
      </c>
      <c r="E272" s="4">
        <f t="shared" si="4"/>
        <v>1053341.5257809947</v>
      </c>
    </row>
    <row r="273" spans="4:5">
      <c r="D273">
        <v>271</v>
      </c>
      <c r="E273" s="4">
        <f t="shared" si="4"/>
        <v>1059108.2334098998</v>
      </c>
    </row>
    <row r="274" spans="4:5">
      <c r="D274">
        <v>272</v>
      </c>
      <c r="E274" s="4">
        <f t="shared" si="4"/>
        <v>1064903.7745769492</v>
      </c>
    </row>
    <row r="275" spans="4:5">
      <c r="D275">
        <v>273</v>
      </c>
      <c r="E275" s="4">
        <f t="shared" si="4"/>
        <v>1070728.293449834</v>
      </c>
    </row>
    <row r="276" spans="4:5">
      <c r="D276">
        <v>274</v>
      </c>
      <c r="E276" s="4">
        <f t="shared" si="4"/>
        <v>1076581.9349170832</v>
      </c>
    </row>
    <row r="277" spans="4:5">
      <c r="D277">
        <v>275</v>
      </c>
      <c r="E277" s="4">
        <f t="shared" si="4"/>
        <v>1082464.8445916686</v>
      </c>
    </row>
    <row r="278" spans="4:5">
      <c r="D278">
        <v>276</v>
      </c>
      <c r="E278" s="4">
        <f t="shared" si="4"/>
        <v>1088377.168814627</v>
      </c>
    </row>
    <row r="279" spans="4:5">
      <c r="D279">
        <v>277</v>
      </c>
      <c r="E279" s="4">
        <f t="shared" si="4"/>
        <v>1094319.0546587</v>
      </c>
    </row>
    <row r="280" spans="4:5">
      <c r="D280">
        <v>278</v>
      </c>
      <c r="E280" s="4">
        <f t="shared" si="4"/>
        <v>1100290.6499319936</v>
      </c>
    </row>
    <row r="281" spans="4:5">
      <c r="D281">
        <v>279</v>
      </c>
      <c r="E281" s="4">
        <f t="shared" si="4"/>
        <v>1106292.1031816534</v>
      </c>
    </row>
    <row r="282" spans="4:5">
      <c r="D282">
        <v>280</v>
      </c>
      <c r="E282" s="4">
        <f t="shared" si="4"/>
        <v>1112323.5636975616</v>
      </c>
    </row>
    <row r="283" spans="4:5">
      <c r="D283">
        <v>281</v>
      </c>
      <c r="E283" s="4">
        <f t="shared" si="4"/>
        <v>1118385.1815160494</v>
      </c>
    </row>
    <row r="284" spans="4:5">
      <c r="D284">
        <v>282</v>
      </c>
      <c r="E284" s="4">
        <f t="shared" si="4"/>
        <v>1124477.1074236296</v>
      </c>
    </row>
    <row r="285" spans="4:5">
      <c r="D285">
        <v>283</v>
      </c>
      <c r="E285" s="4">
        <f t="shared" si="4"/>
        <v>1130599.4929607478</v>
      </c>
    </row>
    <row r="286" spans="4:5">
      <c r="D286">
        <v>284</v>
      </c>
      <c r="E286" s="4">
        <f t="shared" si="4"/>
        <v>1136752.4904255515</v>
      </c>
    </row>
    <row r="287" spans="4:5">
      <c r="D287">
        <v>285</v>
      </c>
      <c r="E287" s="4">
        <f t="shared" si="4"/>
        <v>1142936.2528776792</v>
      </c>
    </row>
    <row r="288" spans="4:5">
      <c r="D288">
        <v>286</v>
      </c>
      <c r="E288" s="4">
        <f t="shared" si="4"/>
        <v>1149150.9341420676</v>
      </c>
    </row>
    <row r="289" spans="4:5">
      <c r="D289">
        <v>287</v>
      </c>
      <c r="E289" s="4">
        <f t="shared" si="4"/>
        <v>1155396.6888127779</v>
      </c>
    </row>
    <row r="290" spans="4:5">
      <c r="D290">
        <v>288</v>
      </c>
      <c r="E290" s="4">
        <f t="shared" si="4"/>
        <v>1161673.6722568418</v>
      </c>
    </row>
    <row r="291" spans="4:5">
      <c r="D291">
        <v>289</v>
      </c>
      <c r="E291" s="4">
        <f t="shared" si="4"/>
        <v>1167982.040618126</v>
      </c>
    </row>
    <row r="292" spans="4:5">
      <c r="D292">
        <v>290</v>
      </c>
      <c r="E292" s="4">
        <f t="shared" si="4"/>
        <v>1174321.9508212167</v>
      </c>
    </row>
    <row r="293" spans="4:5">
      <c r="D293">
        <v>291</v>
      </c>
      <c r="E293" s="4">
        <f t="shared" si="4"/>
        <v>1180693.5605753227</v>
      </c>
    </row>
    <row r="294" spans="4:5">
      <c r="D294">
        <v>292</v>
      </c>
      <c r="E294" s="4">
        <f t="shared" si="4"/>
        <v>1187097.0283781993</v>
      </c>
    </row>
    <row r="295" spans="4:5">
      <c r="D295">
        <v>293</v>
      </c>
      <c r="E295" s="4">
        <f t="shared" si="4"/>
        <v>1193532.5135200904</v>
      </c>
    </row>
    <row r="296" spans="4:5">
      <c r="D296">
        <v>294</v>
      </c>
      <c r="E296" s="4">
        <f t="shared" si="4"/>
        <v>1200000.1760876908</v>
      </c>
    </row>
    <row r="297" spans="4:5">
      <c r="D297">
        <v>295</v>
      </c>
      <c r="E297" s="4">
        <f t="shared" si="4"/>
        <v>1206500.1769681291</v>
      </c>
    </row>
    <row r="298" spans="4:5">
      <c r="D298">
        <v>296</v>
      </c>
      <c r="E298" s="4">
        <f t="shared" si="4"/>
        <v>1213032.6778529698</v>
      </c>
    </row>
    <row r="299" spans="4:5">
      <c r="D299">
        <v>297</v>
      </c>
      <c r="E299" s="4">
        <f t="shared" si="4"/>
        <v>1219597.8412422347</v>
      </c>
    </row>
    <row r="300" spans="4:5">
      <c r="D300">
        <v>298</v>
      </c>
      <c r="E300" s="4">
        <f t="shared" si="4"/>
        <v>1226195.8304484459</v>
      </c>
    </row>
    <row r="301" spans="4:5">
      <c r="D301">
        <v>299</v>
      </c>
      <c r="E301" s="4">
        <f t="shared" si="4"/>
        <v>1232826.8096006881</v>
      </c>
    </row>
    <row r="302" spans="4:5">
      <c r="D302">
        <v>300</v>
      </c>
      <c r="E302" s="4">
        <f t="shared" si="4"/>
        <v>1239490.9436486915</v>
      </c>
    </row>
    <row r="303" spans="4:5">
      <c r="D303">
        <v>301</v>
      </c>
      <c r="E303" s="4">
        <f t="shared" si="4"/>
        <v>1246188.3983669351</v>
      </c>
    </row>
    <row r="304" spans="4:5">
      <c r="D304">
        <v>302</v>
      </c>
      <c r="E304" s="4">
        <f t="shared" si="4"/>
        <v>1252919.3403587698</v>
      </c>
    </row>
    <row r="305" spans="4:5">
      <c r="D305">
        <v>303</v>
      </c>
      <c r="E305" s="4">
        <f t="shared" si="4"/>
        <v>1259683.9370605636</v>
      </c>
    </row>
    <row r="306" spans="4:5">
      <c r="D306">
        <v>304</v>
      </c>
      <c r="E306" s="4">
        <f t="shared" si="4"/>
        <v>1266482.3567458664</v>
      </c>
    </row>
    <row r="307" spans="4:5">
      <c r="D307">
        <v>305</v>
      </c>
      <c r="E307" s="4">
        <f t="shared" si="4"/>
        <v>1273314.7685295958</v>
      </c>
    </row>
    <row r="308" spans="4:5">
      <c r="D308">
        <v>306</v>
      </c>
      <c r="E308" s="4">
        <f t="shared" si="4"/>
        <v>1280181.3423722438</v>
      </c>
    </row>
    <row r="309" spans="4:5">
      <c r="D309">
        <v>307</v>
      </c>
      <c r="E309" s="4">
        <f t="shared" si="4"/>
        <v>1287082.249084105</v>
      </c>
    </row>
    <row r="310" spans="4:5">
      <c r="D310">
        <v>308</v>
      </c>
      <c r="E310" s="4">
        <f t="shared" si="4"/>
        <v>1294017.6603295256</v>
      </c>
    </row>
    <row r="311" spans="4:5">
      <c r="D311">
        <v>309</v>
      </c>
      <c r="E311" s="4">
        <f t="shared" si="4"/>
        <v>1300987.7486311733</v>
      </c>
    </row>
    <row r="312" spans="4:5">
      <c r="D312">
        <v>310</v>
      </c>
      <c r="E312" s="4">
        <f t="shared" si="4"/>
        <v>1307992.6873743292</v>
      </c>
    </row>
    <row r="313" spans="4:5">
      <c r="D313">
        <v>311</v>
      </c>
      <c r="E313" s="4">
        <f t="shared" si="4"/>
        <v>1315032.6508112007</v>
      </c>
    </row>
    <row r="314" spans="4:5">
      <c r="D314">
        <v>312</v>
      </c>
      <c r="E314" s="4">
        <f t="shared" si="4"/>
        <v>1322107.8140652566</v>
      </c>
    </row>
    <row r="315" spans="4:5">
      <c r="D315">
        <v>313</v>
      </c>
      <c r="E315" s="4">
        <f t="shared" si="4"/>
        <v>1329218.353135583</v>
      </c>
    </row>
    <row r="316" spans="4:5">
      <c r="D316">
        <v>314</v>
      </c>
      <c r="E316" s="4">
        <f t="shared" si="4"/>
        <v>1336364.444901261</v>
      </c>
    </row>
    <row r="317" spans="4:5">
      <c r="D317">
        <v>315</v>
      </c>
      <c r="E317" s="4">
        <f t="shared" si="4"/>
        <v>1343546.2671257674</v>
      </c>
    </row>
    <row r="318" spans="4:5">
      <c r="D318">
        <v>316</v>
      </c>
      <c r="E318" s="4">
        <f t="shared" si="4"/>
        <v>1350763.9984613962</v>
      </c>
    </row>
    <row r="319" spans="4:5">
      <c r="D319">
        <v>317</v>
      </c>
      <c r="E319" s="4">
        <f t="shared" si="4"/>
        <v>1358017.8184537031</v>
      </c>
    </row>
    <row r="320" spans="4:5">
      <c r="D320">
        <v>318</v>
      </c>
      <c r="E320" s="4">
        <f t="shared" si="4"/>
        <v>1365307.9075459717</v>
      </c>
    </row>
    <row r="321" spans="4:5">
      <c r="D321">
        <v>319</v>
      </c>
      <c r="E321" s="4">
        <f t="shared" si="4"/>
        <v>1372634.4470837016</v>
      </c>
    </row>
    <row r="322" spans="4:5">
      <c r="D322">
        <v>320</v>
      </c>
      <c r="E322" s="4">
        <f t="shared" si="4"/>
        <v>1379997.6193191202</v>
      </c>
    </row>
    <row r="323" spans="4:5">
      <c r="D323">
        <v>321</v>
      </c>
      <c r="E323" s="4">
        <f t="shared" ref="E323:E386" si="5">E322 + E322*rate + X</f>
        <v>1387397.6074157157</v>
      </c>
    </row>
    <row r="324" spans="4:5">
      <c r="D324">
        <v>322</v>
      </c>
      <c r="E324" s="4">
        <f t="shared" si="5"/>
        <v>1394834.5954527943</v>
      </c>
    </row>
    <row r="325" spans="4:5">
      <c r="D325">
        <v>323</v>
      </c>
      <c r="E325" s="4">
        <f t="shared" si="5"/>
        <v>1402308.7684300584</v>
      </c>
    </row>
    <row r="326" spans="4:5">
      <c r="D326">
        <v>324</v>
      </c>
      <c r="E326" s="4">
        <f t="shared" si="5"/>
        <v>1409820.3122722087</v>
      </c>
    </row>
    <row r="327" spans="4:5">
      <c r="D327">
        <v>325</v>
      </c>
      <c r="E327" s="4">
        <f t="shared" si="5"/>
        <v>1417369.4138335697</v>
      </c>
    </row>
    <row r="328" spans="4:5">
      <c r="D328">
        <v>326</v>
      </c>
      <c r="E328" s="4">
        <f t="shared" si="5"/>
        <v>1424956.2609027375</v>
      </c>
    </row>
    <row r="329" spans="4:5">
      <c r="D329">
        <v>327</v>
      </c>
      <c r="E329" s="4">
        <f t="shared" si="5"/>
        <v>1432581.0422072513</v>
      </c>
    </row>
    <row r="330" spans="4:5">
      <c r="D330">
        <v>328</v>
      </c>
      <c r="E330" s="4">
        <f t="shared" si="5"/>
        <v>1440243.9474182876</v>
      </c>
    </row>
    <row r="331" spans="4:5">
      <c r="D331">
        <v>329</v>
      </c>
      <c r="E331" s="4">
        <f t="shared" si="5"/>
        <v>1447945.167155379</v>
      </c>
    </row>
    <row r="332" spans="4:5">
      <c r="D332">
        <v>330</v>
      </c>
      <c r="E332" s="4">
        <f t="shared" si="5"/>
        <v>1455684.8929911559</v>
      </c>
    </row>
    <row r="333" spans="4:5">
      <c r="D333">
        <v>331</v>
      </c>
      <c r="E333" s="4">
        <f t="shared" si="5"/>
        <v>1463463.3174561115</v>
      </c>
    </row>
    <row r="334" spans="4:5">
      <c r="D334">
        <v>332</v>
      </c>
      <c r="E334" s="4">
        <f t="shared" si="5"/>
        <v>1471280.634043392</v>
      </c>
    </row>
    <row r="335" spans="4:5">
      <c r="D335">
        <v>333</v>
      </c>
      <c r="E335" s="4">
        <f t="shared" si="5"/>
        <v>1479137.0372136091</v>
      </c>
    </row>
    <row r="336" spans="4:5">
      <c r="D336">
        <v>334</v>
      </c>
      <c r="E336" s="4">
        <f t="shared" si="5"/>
        <v>1487032.7223996771</v>
      </c>
    </row>
    <row r="337" spans="4:5">
      <c r="D337">
        <v>335</v>
      </c>
      <c r="E337" s="4">
        <f t="shared" si="5"/>
        <v>1494967.8860116755</v>
      </c>
    </row>
    <row r="338" spans="4:5">
      <c r="D338">
        <v>336</v>
      </c>
      <c r="E338" s="4">
        <f t="shared" si="5"/>
        <v>1502942.7254417338</v>
      </c>
    </row>
    <row r="339" spans="4:5">
      <c r="D339">
        <v>337</v>
      </c>
      <c r="E339" s="4">
        <f t="shared" si="5"/>
        <v>1510957.4390689426</v>
      </c>
    </row>
    <row r="340" spans="4:5">
      <c r="D340">
        <v>338</v>
      </c>
      <c r="E340" s="4">
        <f t="shared" si="5"/>
        <v>1519012.2262642873</v>
      </c>
    </row>
    <row r="341" spans="4:5">
      <c r="D341">
        <v>339</v>
      </c>
      <c r="E341" s="4">
        <f t="shared" si="5"/>
        <v>1527107.2873956086</v>
      </c>
    </row>
    <row r="342" spans="4:5">
      <c r="D342">
        <v>340</v>
      </c>
      <c r="E342" s="4">
        <f t="shared" si="5"/>
        <v>1535242.8238325866</v>
      </c>
    </row>
    <row r="343" spans="4:5">
      <c r="D343">
        <v>341</v>
      </c>
      <c r="E343" s="4">
        <f t="shared" si="5"/>
        <v>1543419.0379517495</v>
      </c>
    </row>
    <row r="344" spans="4:5">
      <c r="D344">
        <v>342</v>
      </c>
      <c r="E344" s="4">
        <f t="shared" si="5"/>
        <v>1551636.1331415083</v>
      </c>
    </row>
    <row r="345" spans="4:5">
      <c r="D345">
        <v>343</v>
      </c>
      <c r="E345" s="4">
        <f t="shared" si="5"/>
        <v>1559894.3138072158</v>
      </c>
    </row>
    <row r="346" spans="4:5">
      <c r="D346">
        <v>344</v>
      </c>
      <c r="E346" s="4">
        <f t="shared" si="5"/>
        <v>1568193.7853762519</v>
      </c>
    </row>
    <row r="347" spans="4:5">
      <c r="D347">
        <v>345</v>
      </c>
      <c r="E347" s="4">
        <f t="shared" si="5"/>
        <v>1576534.7543031331</v>
      </c>
    </row>
    <row r="348" spans="4:5">
      <c r="D348">
        <v>346</v>
      </c>
      <c r="E348" s="4">
        <f t="shared" si="5"/>
        <v>1584917.4280746488</v>
      </c>
    </row>
    <row r="349" spans="4:5">
      <c r="D349">
        <v>347</v>
      </c>
      <c r="E349" s="4">
        <f t="shared" si="5"/>
        <v>1593342.015215022</v>
      </c>
    </row>
    <row r="350" spans="4:5">
      <c r="D350">
        <v>348</v>
      </c>
      <c r="E350" s="4">
        <f t="shared" si="5"/>
        <v>1601808.7252910971</v>
      </c>
    </row>
    <row r="351" spans="4:5">
      <c r="D351">
        <v>349</v>
      </c>
      <c r="E351" s="4">
        <f t="shared" si="5"/>
        <v>1610317.7689175527</v>
      </c>
    </row>
    <row r="352" spans="4:5">
      <c r="D352">
        <v>350</v>
      </c>
      <c r="E352" s="4">
        <f t="shared" si="5"/>
        <v>1618869.3577621405</v>
      </c>
    </row>
    <row r="353" spans="4:5">
      <c r="D353">
        <v>351</v>
      </c>
      <c r="E353" s="4">
        <f t="shared" si="5"/>
        <v>1627463.7045509513</v>
      </c>
    </row>
    <row r="354" spans="4:5">
      <c r="D354">
        <v>352</v>
      </c>
      <c r="E354" s="4">
        <f t="shared" si="5"/>
        <v>1636101.0230737061</v>
      </c>
    </row>
    <row r="355" spans="4:5">
      <c r="D355">
        <v>353</v>
      </c>
      <c r="E355" s="4">
        <f t="shared" si="5"/>
        <v>1644781.5281890747</v>
      </c>
    </row>
    <row r="356" spans="4:5">
      <c r="D356">
        <v>354</v>
      </c>
      <c r="E356" s="4">
        <f t="shared" si="5"/>
        <v>1653505.4358300201</v>
      </c>
    </row>
    <row r="357" spans="4:5">
      <c r="D357">
        <v>355</v>
      </c>
      <c r="E357" s="4">
        <f t="shared" si="5"/>
        <v>1662272.9630091703</v>
      </c>
    </row>
    <row r="358" spans="4:5">
      <c r="D358">
        <v>356</v>
      </c>
      <c r="E358" s="4">
        <f t="shared" si="5"/>
        <v>1671084.3278242161</v>
      </c>
    </row>
    <row r="359" spans="4:5">
      <c r="D359">
        <v>357</v>
      </c>
      <c r="E359" s="4">
        <f t="shared" si="5"/>
        <v>1679939.7494633372</v>
      </c>
    </row>
    <row r="360" spans="4:5">
      <c r="D360">
        <v>358</v>
      </c>
      <c r="E360" s="4">
        <f t="shared" si="5"/>
        <v>1688839.4482106538</v>
      </c>
    </row>
    <row r="361" spans="4:5">
      <c r="D361">
        <v>359</v>
      </c>
      <c r="E361" s="4">
        <f t="shared" si="5"/>
        <v>1697783.6454517071</v>
      </c>
    </row>
    <row r="362" spans="4:5">
      <c r="D362">
        <v>360</v>
      </c>
      <c r="E362" s="4">
        <f t="shared" si="5"/>
        <v>1706772.5636789657</v>
      </c>
    </row>
    <row r="363" spans="4:5">
      <c r="D363">
        <v>361</v>
      </c>
      <c r="E363" s="4">
        <f t="shared" si="5"/>
        <v>1715806.4264973605</v>
      </c>
    </row>
    <row r="364" spans="4:5">
      <c r="D364">
        <v>362</v>
      </c>
      <c r="E364" s="4">
        <f t="shared" si="5"/>
        <v>1724885.4586298473</v>
      </c>
    </row>
    <row r="365" spans="4:5">
      <c r="D365">
        <v>363</v>
      </c>
      <c r="E365" s="4">
        <f t="shared" si="5"/>
        <v>1734009.8859229966</v>
      </c>
    </row>
    <row r="366" spans="4:5">
      <c r="D366">
        <v>364</v>
      </c>
      <c r="E366" s="4">
        <f t="shared" si="5"/>
        <v>1743179.9353526116</v>
      </c>
    </row>
    <row r="367" spans="4:5">
      <c r="D367">
        <v>365</v>
      </c>
      <c r="E367" s="4">
        <f t="shared" si="5"/>
        <v>1752395.8350293746</v>
      </c>
    </row>
    <row r="368" spans="4:5">
      <c r="D368">
        <v>366</v>
      </c>
      <c r="E368" s="4">
        <f t="shared" si="5"/>
        <v>1761657.8142045215</v>
      </c>
    </row>
    <row r="369" spans="4:5">
      <c r="D369">
        <v>367</v>
      </c>
      <c r="E369" s="4">
        <f t="shared" si="5"/>
        <v>1770966.103275544</v>
      </c>
    </row>
    <row r="370" spans="4:5">
      <c r="D370">
        <v>368</v>
      </c>
      <c r="E370" s="4">
        <f t="shared" si="5"/>
        <v>1780320.9337919217</v>
      </c>
    </row>
    <row r="371" spans="4:5">
      <c r="D371">
        <v>369</v>
      </c>
      <c r="E371" s="4">
        <f t="shared" si="5"/>
        <v>1789722.5384608812</v>
      </c>
    </row>
    <row r="372" spans="4:5">
      <c r="D372">
        <v>370</v>
      </c>
      <c r="E372" s="4">
        <f t="shared" si="5"/>
        <v>1799171.1511531856</v>
      </c>
    </row>
    <row r="373" spans="4:5">
      <c r="D373">
        <v>371</v>
      </c>
      <c r="E373" s="4">
        <f t="shared" si="5"/>
        <v>1808667.0069089516</v>
      </c>
    </row>
    <row r="374" spans="4:5">
      <c r="D374">
        <v>372</v>
      </c>
      <c r="E374" s="4">
        <f t="shared" si="5"/>
        <v>1818210.3419434964</v>
      </c>
    </row>
    <row r="375" spans="4:5">
      <c r="D375">
        <v>373</v>
      </c>
      <c r="E375" s="4">
        <f t="shared" si="5"/>
        <v>1827801.3936532137</v>
      </c>
    </row>
    <row r="376" spans="4:5">
      <c r="D376">
        <v>374</v>
      </c>
      <c r="E376" s="4">
        <f t="shared" si="5"/>
        <v>1837440.4006214798</v>
      </c>
    </row>
    <row r="377" spans="4:5">
      <c r="D377">
        <v>375</v>
      </c>
      <c r="E377" s="4">
        <f t="shared" si="5"/>
        <v>1847127.6026245872</v>
      </c>
    </row>
    <row r="378" spans="4:5">
      <c r="D378">
        <v>376</v>
      </c>
      <c r="E378" s="4">
        <f t="shared" si="5"/>
        <v>1856863.2406377101</v>
      </c>
    </row>
    <row r="379" spans="4:5">
      <c r="D379">
        <v>377</v>
      </c>
      <c r="E379" s="4">
        <f t="shared" si="5"/>
        <v>1866647.5568408987</v>
      </c>
    </row>
    <row r="380" spans="4:5">
      <c r="D380">
        <v>378</v>
      </c>
      <c r="E380" s="4">
        <f t="shared" si="5"/>
        <v>1876480.7946251032</v>
      </c>
    </row>
    <row r="381" spans="4:5">
      <c r="D381">
        <v>379</v>
      </c>
      <c r="E381" s="4">
        <f t="shared" si="5"/>
        <v>1886363.1985982289</v>
      </c>
    </row>
    <row r="382" spans="4:5">
      <c r="D382">
        <v>380</v>
      </c>
      <c r="E382" s="4">
        <f t="shared" si="5"/>
        <v>1896295.0145912201</v>
      </c>
    </row>
    <row r="383" spans="4:5">
      <c r="D383">
        <v>381</v>
      </c>
      <c r="E383" s="4">
        <f t="shared" si="5"/>
        <v>1906276.4896641762</v>
      </c>
    </row>
    <row r="384" spans="4:5">
      <c r="D384">
        <v>382</v>
      </c>
      <c r="E384" s="4">
        <f t="shared" si="5"/>
        <v>1916307.8721124972</v>
      </c>
    </row>
    <row r="385" spans="4:5">
      <c r="D385">
        <v>383</v>
      </c>
      <c r="E385" s="4">
        <f t="shared" si="5"/>
        <v>1926389.4114730598</v>
      </c>
    </row>
    <row r="386" spans="4:5">
      <c r="D386">
        <v>384</v>
      </c>
      <c r="E386" s="4">
        <f t="shared" si="5"/>
        <v>1936521.358530425</v>
      </c>
    </row>
    <row r="387" spans="4:5">
      <c r="D387">
        <v>385</v>
      </c>
      <c r="E387" s="4">
        <f t="shared" ref="E387:E402" si="6">E386 + E386*rate + X</f>
        <v>1946703.965323077</v>
      </c>
    </row>
    <row r="388" spans="4:5">
      <c r="D388">
        <v>386</v>
      </c>
      <c r="E388" s="4">
        <f t="shared" si="6"/>
        <v>1956937.4851496925</v>
      </c>
    </row>
    <row r="389" spans="4:5">
      <c r="D389">
        <v>387</v>
      </c>
      <c r="E389" s="4">
        <f t="shared" si="6"/>
        <v>1967222.172575441</v>
      </c>
    </row>
    <row r="390" spans="4:5">
      <c r="D390">
        <v>388</v>
      </c>
      <c r="E390" s="4">
        <f t="shared" si="6"/>
        <v>1977558.2834383182</v>
      </c>
    </row>
    <row r="391" spans="4:5">
      <c r="D391">
        <v>389</v>
      </c>
      <c r="E391" s="4">
        <f t="shared" si="6"/>
        <v>1987946.0748555097</v>
      </c>
    </row>
    <row r="392" spans="4:5">
      <c r="D392">
        <v>390</v>
      </c>
      <c r="E392" s="4">
        <f t="shared" si="6"/>
        <v>1998385.8052297872</v>
      </c>
    </row>
    <row r="393" spans="4:5">
      <c r="D393">
        <v>391</v>
      </c>
      <c r="E393" s="4">
        <f t="shared" si="6"/>
        <v>2008877.7342559362</v>
      </c>
    </row>
    <row r="394" spans="4:5">
      <c r="D394">
        <v>392</v>
      </c>
      <c r="E394" s="4">
        <f t="shared" si="6"/>
        <v>2019422.1229272159</v>
      </c>
    </row>
    <row r="395" spans="4:5">
      <c r="D395">
        <v>393</v>
      </c>
      <c r="E395" s="4">
        <f t="shared" si="6"/>
        <v>2030019.2335418519</v>
      </c>
    </row>
    <row r="396" spans="4:5">
      <c r="D396">
        <v>394</v>
      </c>
      <c r="E396" s="4">
        <f t="shared" si="6"/>
        <v>2040669.3297095611</v>
      </c>
    </row>
    <row r="397" spans="4:5">
      <c r="D397">
        <v>395</v>
      </c>
      <c r="E397" s="4">
        <f t="shared" si="6"/>
        <v>2051372.6763581089</v>
      </c>
    </row>
    <row r="398" spans="4:5">
      <c r="D398">
        <v>396</v>
      </c>
      <c r="E398" s="4">
        <f t="shared" si="6"/>
        <v>2062129.5397398993</v>
      </c>
    </row>
    <row r="399" spans="4:5">
      <c r="D399">
        <v>397</v>
      </c>
      <c r="E399" s="4">
        <f t="shared" si="6"/>
        <v>2072940.1874385988</v>
      </c>
    </row>
    <row r="400" spans="4:5">
      <c r="D400">
        <v>398</v>
      </c>
      <c r="E400" s="4">
        <f t="shared" si="6"/>
        <v>2083804.8883757917</v>
      </c>
    </row>
    <row r="401" spans="4:5">
      <c r="D401">
        <v>399</v>
      </c>
      <c r="E401" s="4">
        <f t="shared" si="6"/>
        <v>2094723.9128176707</v>
      </c>
    </row>
    <row r="402" spans="4:5">
      <c r="D402">
        <v>400</v>
      </c>
      <c r="E402" s="4">
        <f t="shared" si="6"/>
        <v>2105697.532381759</v>
      </c>
    </row>
  </sheetData>
  <conditionalFormatting sqref="E1:E1048576">
    <cfRule type="cellIs" dxfId="1" priority="2" operator="greaterThan">
      <formula>$B$4</formula>
    </cfRule>
    <cfRule type="cellIs" dxfId="0" priority="1" operator="greaterThan">
      <formula>$B$4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Formulas="1" workbookViewId="0"/>
  </sheetViews>
  <sheetFormatPr defaultRowHeight="15"/>
  <cols>
    <col min="1" max="1" width="4" bestFit="1" customWidth="1"/>
    <col min="2" max="2" width="14.5703125" bestFit="1" customWidth="1"/>
    <col min="3" max="3" width="1.140625" customWidth="1"/>
    <col min="4" max="4" width="2.5703125" bestFit="1" customWidth="1"/>
    <col min="5" max="5" width="15" style="4" bestFit="1" customWidth="1"/>
    <col min="6" max="6" width="1" customWidth="1"/>
    <col min="7" max="7" width="10.28515625" bestFit="1" customWidth="1"/>
    <col min="13" max="13" width="12.140625" bestFit="1" customWidth="1"/>
  </cols>
  <sheetData>
    <row r="1" spans="1:9">
      <c r="A1" s="6" t="s">
        <v>0</v>
      </c>
      <c r="B1">
        <v>5</v>
      </c>
      <c r="D1" s="1" t="s">
        <v>14</v>
      </c>
      <c r="E1" s="5" t="s">
        <v>15</v>
      </c>
      <c r="G1" s="1" t="s">
        <v>6</v>
      </c>
    </row>
    <row r="2" spans="1:9">
      <c r="A2" s="6" t="s">
        <v>1</v>
      </c>
      <c r="B2" s="4">
        <v>5000000</v>
      </c>
      <c r="D2">
        <v>0</v>
      </c>
      <c r="E2" s="4">
        <f>P</f>
        <v>5000000</v>
      </c>
      <c r="G2" s="18">
        <f>RATE(n,-X,-P,F,,10%)</f>
        <v>0.11802783558392829</v>
      </c>
    </row>
    <row r="3" spans="1:9">
      <c r="A3" s="6" t="s">
        <v>2</v>
      </c>
      <c r="B3" s="4">
        <v>200000</v>
      </c>
      <c r="D3">
        <v>1</v>
      </c>
      <c r="E3" s="4">
        <f>E2 + E2*rate + X</f>
        <v>5790139.1779193617</v>
      </c>
    </row>
    <row r="4" spans="1:9">
      <c r="A4" s="6" t="s">
        <v>4</v>
      </c>
      <c r="B4" s="4">
        <v>10000000</v>
      </c>
      <c r="D4">
        <v>2</v>
      </c>
      <c r="E4" s="4">
        <f>E3 + E3*rate + X</f>
        <v>6673536.7728185663</v>
      </c>
    </row>
    <row r="5" spans="1:9">
      <c r="A5" s="6" t="s">
        <v>3</v>
      </c>
      <c r="B5" s="18">
        <f>s - 1</f>
        <v>0.11802783558387242</v>
      </c>
      <c r="D5">
        <v>3</v>
      </c>
      <c r="E5" s="4">
        <f>E4 + E4*rate + X</f>
        <v>7661199.8738037227</v>
      </c>
    </row>
    <row r="6" spans="1:9">
      <c r="A6" s="6" t="s">
        <v>12</v>
      </c>
      <c r="B6">
        <f>s^n</f>
        <v>1.7468800363412873</v>
      </c>
      <c r="D6">
        <v>4</v>
      </c>
      <c r="E6" s="4">
        <f>E5 + E5*rate + X</f>
        <v>8765434.7128842119</v>
      </c>
    </row>
    <row r="7" spans="1:9">
      <c r="A7" s="6" t="s">
        <v>11</v>
      </c>
      <c r="B7" s="13">
        <v>1.1180278355838724</v>
      </c>
      <c r="D7">
        <v>5</v>
      </c>
      <c r="E7" s="4">
        <f>E6 + E6*rate + X</f>
        <v>9999999.9999976773</v>
      </c>
    </row>
    <row r="8" spans="1:9">
      <c r="A8" s="6" t="s">
        <v>13</v>
      </c>
      <c r="B8">
        <f>P*B6*s + (X - P)*B6 - F*s + F - X</f>
        <v>-2.7567148208618164E-7</v>
      </c>
    </row>
    <row r="9" spans="1:9">
      <c r="I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2" sqref="D2"/>
    </sheetView>
  </sheetViews>
  <sheetFormatPr defaultRowHeight="15"/>
  <cols>
    <col min="2" max="2" width="25.28515625" style="4" bestFit="1" customWidth="1"/>
    <col min="3" max="3" width="16" style="4" bestFit="1" customWidth="1"/>
    <col min="4" max="4" width="12.85546875" customWidth="1"/>
  </cols>
  <sheetData>
    <row r="1" spans="1:4">
      <c r="A1" t="s">
        <v>16</v>
      </c>
      <c r="B1" s="4" t="s">
        <v>17</v>
      </c>
      <c r="C1" s="4" t="s">
        <v>18</v>
      </c>
      <c r="D1" t="s">
        <v>3</v>
      </c>
    </row>
    <row r="2" spans="1:4">
      <c r="A2">
        <v>0</v>
      </c>
      <c r="B2" s="14">
        <v>-10000000</v>
      </c>
      <c r="C2" s="14">
        <f t="shared" ref="C2:C8" si="0">B2/(1 + rate)^year</f>
        <v>-10000000</v>
      </c>
      <c r="D2" s="16">
        <f>D3/100000</f>
        <v>4.4470000000000003E-2</v>
      </c>
    </row>
    <row r="3" spans="1:4">
      <c r="A3">
        <v>1</v>
      </c>
      <c r="B3" s="14">
        <v>1000000</v>
      </c>
      <c r="C3" s="14">
        <f t="shared" si="0"/>
        <v>957423.38219383988</v>
      </c>
      <c r="D3">
        <v>4447</v>
      </c>
    </row>
    <row r="4" spans="1:4">
      <c r="A4">
        <v>2</v>
      </c>
      <c r="B4" s="14">
        <v>1000000</v>
      </c>
      <c r="C4" s="14">
        <f t="shared" si="0"/>
        <v>916659.53277149168</v>
      </c>
    </row>
    <row r="5" spans="1:4">
      <c r="A5">
        <v>3</v>
      </c>
      <c r="B5" s="14">
        <v>2000000</v>
      </c>
      <c r="C5" s="14">
        <f t="shared" si="0"/>
        <v>1755262.5403726131</v>
      </c>
    </row>
    <row r="6" spans="1:4">
      <c r="A6">
        <v>4</v>
      </c>
      <c r="B6" s="14">
        <v>2000000</v>
      </c>
      <c r="C6" s="14">
        <f t="shared" si="0"/>
        <v>1680529.3980416991</v>
      </c>
    </row>
    <row r="7" spans="1:4">
      <c r="A7">
        <v>5</v>
      </c>
      <c r="B7" s="14">
        <v>2000000</v>
      </c>
      <c r="C7" s="14">
        <f t="shared" si="0"/>
        <v>1608978.1401492613</v>
      </c>
    </row>
    <row r="8" spans="1:4">
      <c r="A8">
        <v>6</v>
      </c>
      <c r="B8" s="14">
        <v>4000000</v>
      </c>
      <c r="C8" s="14">
        <f t="shared" si="0"/>
        <v>3080946.5856353198</v>
      </c>
    </row>
    <row r="10" spans="1:4">
      <c r="B10" s="15" t="s">
        <v>19</v>
      </c>
      <c r="C10" s="14">
        <f>SUM(C2:C8)</f>
        <v>-200.42083577625453</v>
      </c>
    </row>
    <row r="11" spans="1:4">
      <c r="B11" s="15"/>
    </row>
    <row r="12" spans="1:4">
      <c r="B12" s="15" t="s">
        <v>20</v>
      </c>
      <c r="C12" s="14">
        <f>NPV(rate,B3:B8) + B2</f>
        <v>-200.42083577625453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29</vt:i4>
      </vt:variant>
    </vt:vector>
  </HeadingPairs>
  <TitlesOfParts>
    <vt:vector size="35" baseType="lpstr">
      <vt:lpstr>FV</vt:lpstr>
      <vt:lpstr>PV</vt:lpstr>
      <vt:lpstr>PMT</vt:lpstr>
      <vt:lpstr>NPER</vt:lpstr>
      <vt:lpstr>RATE</vt:lpstr>
      <vt:lpstr>NPV</vt:lpstr>
      <vt:lpstr>FV!F</vt:lpstr>
      <vt:lpstr>NPER!F</vt:lpstr>
      <vt:lpstr>PMT!F</vt:lpstr>
      <vt:lpstr>PV!F</vt:lpstr>
      <vt:lpstr>RATE!F</vt:lpstr>
      <vt:lpstr>FV!n</vt:lpstr>
      <vt:lpstr>NPER!n</vt:lpstr>
      <vt:lpstr>PMT!n</vt:lpstr>
      <vt:lpstr>PV!n</vt:lpstr>
      <vt:lpstr>RATE!n</vt:lpstr>
      <vt:lpstr>FV!P</vt:lpstr>
      <vt:lpstr>NPER!P</vt:lpstr>
      <vt:lpstr>PMT!P</vt:lpstr>
      <vt:lpstr>PV!P</vt:lpstr>
      <vt:lpstr>RATE!P</vt:lpstr>
      <vt:lpstr>PMT!payment</vt:lpstr>
      <vt:lpstr>FV!rate</vt:lpstr>
      <vt:lpstr>NPER!rate</vt:lpstr>
      <vt:lpstr>NPV!rate</vt:lpstr>
      <vt:lpstr>PMT!rate</vt:lpstr>
      <vt:lpstr>PV!rate</vt:lpstr>
      <vt:lpstr>RATE!rate</vt:lpstr>
      <vt:lpstr>RATE!s</vt:lpstr>
      <vt:lpstr>FV!X</vt:lpstr>
      <vt:lpstr>NPER!X</vt:lpstr>
      <vt:lpstr>PMT!X</vt:lpstr>
      <vt:lpstr>PV!X</vt:lpstr>
      <vt:lpstr>RATE!X</vt:lpstr>
      <vt:lpstr>NPV!year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2010-11-15T00:54:11Z</dcterms:modified>
</cp:coreProperties>
</file>