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8" yWindow="132" windowWidth="14628" windowHeight="5496"/>
  </bookViews>
  <sheets>
    <sheet name="RoT V3.0 Beta" sheetId="1" r:id="rId1"/>
  </sheets>
  <calcPr calcId="125725"/>
</workbook>
</file>

<file path=xl/calcChain.xml><?xml version="1.0" encoding="utf-8"?>
<calcChain xmlns="http://schemas.openxmlformats.org/spreadsheetml/2006/main">
  <c r="L265" i="1"/>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L5"/>
  <c r="S265"/>
  <c r="S264"/>
  <c r="S263"/>
  <c r="S262"/>
  <c r="S261"/>
  <c r="S260"/>
  <c r="S259"/>
  <c r="S258"/>
  <c r="S257"/>
  <c r="S256"/>
  <c r="S255"/>
  <c r="S254"/>
  <c r="S253"/>
  <c r="S252"/>
  <c r="S251"/>
  <c r="S250"/>
  <c r="S249"/>
  <c r="S248"/>
  <c r="S247"/>
  <c r="S246"/>
  <c r="S245"/>
  <c r="S244"/>
  <c r="S243"/>
  <c r="S242"/>
  <c r="S241"/>
  <c r="S240"/>
  <c r="S239"/>
  <c r="S238"/>
  <c r="S237"/>
  <c r="S236"/>
  <c r="S235"/>
  <c r="S234"/>
  <c r="S233"/>
  <c r="S232"/>
  <c r="S231"/>
  <c r="S230"/>
  <c r="S229"/>
  <c r="S228"/>
  <c r="S227"/>
  <c r="S226"/>
  <c r="S225"/>
  <c r="S224"/>
  <c r="S223"/>
  <c r="S222"/>
  <c r="S221"/>
  <c r="S220"/>
  <c r="S219"/>
  <c r="S218"/>
  <c r="S217"/>
  <c r="S216"/>
  <c r="S215"/>
  <c r="S214"/>
  <c r="S213"/>
  <c r="S212"/>
  <c r="S211"/>
  <c r="S210"/>
  <c r="S209"/>
  <c r="S208"/>
  <c r="S207"/>
  <c r="S206"/>
  <c r="S205"/>
  <c r="S204"/>
  <c r="S203"/>
  <c r="S202"/>
  <c r="S201"/>
  <c r="S200"/>
  <c r="S199"/>
  <c r="S198"/>
  <c r="S197"/>
  <c r="S196"/>
  <c r="S195"/>
  <c r="S194"/>
  <c r="S193"/>
  <c r="S192"/>
  <c r="S191"/>
  <c r="S190"/>
  <c r="S189"/>
  <c r="S188"/>
  <c r="S187"/>
  <c r="S186"/>
  <c r="S185"/>
  <c r="S184"/>
  <c r="S183"/>
  <c r="S182"/>
  <c r="S181"/>
  <c r="S180"/>
  <c r="S179"/>
  <c r="S178"/>
  <c r="S177"/>
  <c r="S176"/>
  <c r="S175"/>
  <c r="S174"/>
  <c r="S173"/>
  <c r="S172"/>
  <c r="S171"/>
  <c r="S170"/>
  <c r="S169"/>
  <c r="S168"/>
  <c r="S167"/>
  <c r="S166"/>
  <c r="S165"/>
  <c r="S164"/>
  <c r="S163"/>
  <c r="S162"/>
  <c r="S161"/>
  <c r="S160"/>
  <c r="S159"/>
  <c r="S158"/>
  <c r="S157"/>
  <c r="S156"/>
  <c r="S155"/>
  <c r="S154"/>
  <c r="S153"/>
  <c r="S152"/>
  <c r="S151"/>
  <c r="S150"/>
  <c r="S149"/>
  <c r="S148"/>
  <c r="S147"/>
  <c r="S146"/>
  <c r="S145"/>
  <c r="S144"/>
  <c r="S143"/>
  <c r="S142"/>
  <c r="S141"/>
  <c r="S140"/>
  <c r="S139"/>
  <c r="S138"/>
  <c r="S137"/>
  <c r="S136"/>
  <c r="S135"/>
  <c r="S134"/>
  <c r="S133"/>
  <c r="S132"/>
  <c r="S131"/>
  <c r="S130"/>
  <c r="S129"/>
  <c r="S128"/>
  <c r="S127"/>
  <c r="S126"/>
  <c r="S125"/>
  <c r="S124"/>
  <c r="S123"/>
  <c r="S122"/>
  <c r="S121"/>
  <c r="S120"/>
  <c r="S119"/>
  <c r="S118"/>
  <c r="S117"/>
  <c r="S116"/>
  <c r="S115"/>
  <c r="S114"/>
  <c r="S113"/>
  <c r="S112"/>
  <c r="S111"/>
  <c r="S110"/>
  <c r="S109"/>
  <c r="S108"/>
  <c r="S10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S44"/>
  <c r="S43"/>
  <c r="S42"/>
  <c r="S41"/>
  <c r="S40"/>
  <c r="S39"/>
  <c r="S38"/>
  <c r="S37"/>
  <c r="S36"/>
  <c r="S35"/>
  <c r="S34"/>
  <c r="S33"/>
  <c r="S32"/>
  <c r="S31"/>
  <c r="S30"/>
  <c r="S29"/>
  <c r="S28"/>
  <c r="S27"/>
  <c r="S26"/>
  <c r="S25"/>
  <c r="S24"/>
  <c r="S23"/>
  <c r="S22"/>
  <c r="S21"/>
  <c r="S20"/>
  <c r="S19"/>
  <c r="S18"/>
  <c r="S17"/>
  <c r="S16"/>
  <c r="S15"/>
  <c r="S14"/>
  <c r="S13"/>
  <c r="S12"/>
  <c r="S11"/>
  <c r="S10"/>
  <c r="S9"/>
  <c r="S8"/>
  <c r="S7"/>
  <c r="S6"/>
  <c r="S5"/>
  <c r="T265" l="1"/>
  <c r="U265" s="1"/>
  <c r="V265" s="1"/>
  <c r="R265"/>
  <c r="Q265"/>
  <c r="N265" s="1"/>
  <c r="P265"/>
  <c r="O265"/>
  <c r="K265" s="1"/>
  <c r="J265"/>
  <c r="T264"/>
  <c r="U264" s="1"/>
  <c r="V264" s="1"/>
  <c r="R264"/>
  <c r="Q264"/>
  <c r="N264" s="1"/>
  <c r="P264"/>
  <c r="O264"/>
  <c r="K264" s="1"/>
  <c r="J264"/>
  <c r="T263"/>
  <c r="U263" s="1"/>
  <c r="V263" s="1"/>
  <c r="R263"/>
  <c r="Q263"/>
  <c r="N263" s="1"/>
  <c r="P263"/>
  <c r="O263"/>
  <c r="K263" s="1"/>
  <c r="J263"/>
  <c r="T262"/>
  <c r="U262" s="1"/>
  <c r="V262" s="1"/>
  <c r="R262"/>
  <c r="Q262"/>
  <c r="N262" s="1"/>
  <c r="P262"/>
  <c r="O262"/>
  <c r="K262" s="1"/>
  <c r="J262"/>
  <c r="T261"/>
  <c r="U261" s="1"/>
  <c r="V261" s="1"/>
  <c r="R261"/>
  <c r="Q261"/>
  <c r="N261" s="1"/>
  <c r="P261"/>
  <c r="O261"/>
  <c r="K261"/>
  <c r="J261"/>
  <c r="T260"/>
  <c r="U260" s="1"/>
  <c r="V260" s="1"/>
  <c r="R260"/>
  <c r="Q260"/>
  <c r="N260" s="1"/>
  <c r="P260"/>
  <c r="O260"/>
  <c r="K260" s="1"/>
  <c r="J260"/>
  <c r="T259"/>
  <c r="U259" s="1"/>
  <c r="V259" s="1"/>
  <c r="R259"/>
  <c r="Q259"/>
  <c r="N259" s="1"/>
  <c r="P259"/>
  <c r="O259"/>
  <c r="K259" s="1"/>
  <c r="J259"/>
  <c r="T258"/>
  <c r="U258" s="1"/>
  <c r="V258" s="1"/>
  <c r="R258"/>
  <c r="Q258"/>
  <c r="N258" s="1"/>
  <c r="P258"/>
  <c r="O258"/>
  <c r="K258" s="1"/>
  <c r="J258"/>
  <c r="T257"/>
  <c r="U257" s="1"/>
  <c r="V257" s="1"/>
  <c r="R257"/>
  <c r="Q257"/>
  <c r="N257" s="1"/>
  <c r="P257"/>
  <c r="O257"/>
  <c r="M257"/>
  <c r="K257"/>
  <c r="J257"/>
  <c r="T256"/>
  <c r="U256" s="1"/>
  <c r="V256" s="1"/>
  <c r="R256"/>
  <c r="Q256"/>
  <c r="N256" s="1"/>
  <c r="P256"/>
  <c r="O256"/>
  <c r="K256" s="1"/>
  <c r="J256"/>
  <c r="T255"/>
  <c r="U255" s="1"/>
  <c r="V255" s="1"/>
  <c r="R255"/>
  <c r="Q255"/>
  <c r="N255" s="1"/>
  <c r="P255"/>
  <c r="O255"/>
  <c r="K255" s="1"/>
  <c r="J255"/>
  <c r="T254"/>
  <c r="U254" s="1"/>
  <c r="V254" s="1"/>
  <c r="R254"/>
  <c r="Q254"/>
  <c r="N254" s="1"/>
  <c r="P254"/>
  <c r="O254"/>
  <c r="K254" s="1"/>
  <c r="J254"/>
  <c r="T253"/>
  <c r="U253" s="1"/>
  <c r="V253" s="1"/>
  <c r="R253"/>
  <c r="Q253"/>
  <c r="N253" s="1"/>
  <c r="P253"/>
  <c r="O253"/>
  <c r="K253" s="1"/>
  <c r="J253"/>
  <c r="T252"/>
  <c r="U252" s="1"/>
  <c r="V252" s="1"/>
  <c r="R252"/>
  <c r="Q252"/>
  <c r="N252" s="1"/>
  <c r="P252"/>
  <c r="O252"/>
  <c r="K252" s="1"/>
  <c r="J252"/>
  <c r="T251"/>
  <c r="U251" s="1"/>
  <c r="V251" s="1"/>
  <c r="R251"/>
  <c r="Q251"/>
  <c r="N251" s="1"/>
  <c r="P251"/>
  <c r="O251"/>
  <c r="K251"/>
  <c r="J251"/>
  <c r="T250"/>
  <c r="U250" s="1"/>
  <c r="V250" s="1"/>
  <c r="R250"/>
  <c r="Q250"/>
  <c r="N250" s="1"/>
  <c r="P250"/>
  <c r="O250"/>
  <c r="K250" s="1"/>
  <c r="J250"/>
  <c r="T249"/>
  <c r="U249" s="1"/>
  <c r="V249" s="1"/>
  <c r="R249"/>
  <c r="Q249"/>
  <c r="N249" s="1"/>
  <c r="P249"/>
  <c r="O249"/>
  <c r="K249"/>
  <c r="J249"/>
  <c r="T248"/>
  <c r="U248" s="1"/>
  <c r="V248" s="1"/>
  <c r="R248"/>
  <c r="Q248"/>
  <c r="N248" s="1"/>
  <c r="P248"/>
  <c r="O248"/>
  <c r="K248" s="1"/>
  <c r="J248"/>
  <c r="T247"/>
  <c r="U247" s="1"/>
  <c r="V247" s="1"/>
  <c r="R247"/>
  <c r="Q247"/>
  <c r="N247" s="1"/>
  <c r="P247"/>
  <c r="O247"/>
  <c r="K247" s="1"/>
  <c r="J247"/>
  <c r="T246"/>
  <c r="U246" s="1"/>
  <c r="V246" s="1"/>
  <c r="R246"/>
  <c r="Q246"/>
  <c r="N246" s="1"/>
  <c r="P246"/>
  <c r="O246"/>
  <c r="K246" s="1"/>
  <c r="J246"/>
  <c r="T245"/>
  <c r="U245" s="1"/>
  <c r="V245" s="1"/>
  <c r="R245"/>
  <c r="Q245"/>
  <c r="N245" s="1"/>
  <c r="P245"/>
  <c r="O245"/>
  <c r="K245" s="1"/>
  <c r="J245"/>
  <c r="T244"/>
  <c r="U244" s="1"/>
  <c r="V244" s="1"/>
  <c r="R244"/>
  <c r="Q244"/>
  <c r="N244" s="1"/>
  <c r="P244"/>
  <c r="O244"/>
  <c r="K244" s="1"/>
  <c r="J244"/>
  <c r="T243"/>
  <c r="U243" s="1"/>
  <c r="V243" s="1"/>
  <c r="R243"/>
  <c r="Q243"/>
  <c r="N243" s="1"/>
  <c r="P243"/>
  <c r="O243"/>
  <c r="K243"/>
  <c r="J243"/>
  <c r="T242"/>
  <c r="U242" s="1"/>
  <c r="V242" s="1"/>
  <c r="R242"/>
  <c r="Q242"/>
  <c r="N242" s="1"/>
  <c r="P242"/>
  <c r="O242"/>
  <c r="K242" s="1"/>
  <c r="J242"/>
  <c r="T241"/>
  <c r="U241" s="1"/>
  <c r="V241" s="1"/>
  <c r="R241"/>
  <c r="Q241"/>
  <c r="N241" s="1"/>
  <c r="P241"/>
  <c r="O241"/>
  <c r="K241"/>
  <c r="J241"/>
  <c r="T240"/>
  <c r="U240" s="1"/>
  <c r="V240" s="1"/>
  <c r="R240"/>
  <c r="Q240"/>
  <c r="N240" s="1"/>
  <c r="P240"/>
  <c r="O240"/>
  <c r="K240" s="1"/>
  <c r="J240"/>
  <c r="T239"/>
  <c r="U239" s="1"/>
  <c r="V239" s="1"/>
  <c r="R239"/>
  <c r="Q239"/>
  <c r="N239" s="1"/>
  <c r="P239"/>
  <c r="O239"/>
  <c r="K239" s="1"/>
  <c r="J239"/>
  <c r="T238"/>
  <c r="U238" s="1"/>
  <c r="V238" s="1"/>
  <c r="R238"/>
  <c r="Q238"/>
  <c r="N238" s="1"/>
  <c r="P238"/>
  <c r="O238"/>
  <c r="K238" s="1"/>
  <c r="J238"/>
  <c r="T237"/>
  <c r="U237" s="1"/>
  <c r="V237" s="1"/>
  <c r="R237"/>
  <c r="Q237"/>
  <c r="N237" s="1"/>
  <c r="P237"/>
  <c r="O237"/>
  <c r="K237" s="1"/>
  <c r="J237"/>
  <c r="T236"/>
  <c r="U236" s="1"/>
  <c r="V236" s="1"/>
  <c r="R236"/>
  <c r="Q236"/>
  <c r="N236" s="1"/>
  <c r="P236"/>
  <c r="O236"/>
  <c r="K236" s="1"/>
  <c r="J236"/>
  <c r="T235"/>
  <c r="U235" s="1"/>
  <c r="V235" s="1"/>
  <c r="R235"/>
  <c r="Q235"/>
  <c r="N235" s="1"/>
  <c r="P235"/>
  <c r="O235"/>
  <c r="K235"/>
  <c r="J235"/>
  <c r="T234"/>
  <c r="U234" s="1"/>
  <c r="V234" s="1"/>
  <c r="R234"/>
  <c r="Q234"/>
  <c r="N234" s="1"/>
  <c r="P234"/>
  <c r="O234"/>
  <c r="K234" s="1"/>
  <c r="J234"/>
  <c r="T233"/>
  <c r="U233" s="1"/>
  <c r="V233" s="1"/>
  <c r="R233"/>
  <c r="Q233"/>
  <c r="N233" s="1"/>
  <c r="P233"/>
  <c r="O233"/>
  <c r="K233"/>
  <c r="J233"/>
  <c r="T232"/>
  <c r="U232" s="1"/>
  <c r="V232" s="1"/>
  <c r="R232"/>
  <c r="Q232"/>
  <c r="N232" s="1"/>
  <c r="P232"/>
  <c r="O232"/>
  <c r="K232" s="1"/>
  <c r="J232"/>
  <c r="T231"/>
  <c r="U231" s="1"/>
  <c r="V231" s="1"/>
  <c r="R231"/>
  <c r="Q231"/>
  <c r="N231" s="1"/>
  <c r="P231"/>
  <c r="O231"/>
  <c r="K231" s="1"/>
  <c r="J231"/>
  <c r="T230"/>
  <c r="U230" s="1"/>
  <c r="V230" s="1"/>
  <c r="R230"/>
  <c r="Q230"/>
  <c r="N230" s="1"/>
  <c r="P230"/>
  <c r="O230"/>
  <c r="K230" s="1"/>
  <c r="J230"/>
  <c r="T229"/>
  <c r="U229" s="1"/>
  <c r="V229" s="1"/>
  <c r="R229"/>
  <c r="Q229"/>
  <c r="N229" s="1"/>
  <c r="P229"/>
  <c r="O229"/>
  <c r="K229" s="1"/>
  <c r="J229"/>
  <c r="T228"/>
  <c r="U228" s="1"/>
  <c r="V228" s="1"/>
  <c r="R228"/>
  <c r="Q228"/>
  <c r="N228" s="1"/>
  <c r="P228"/>
  <c r="O228"/>
  <c r="K228" s="1"/>
  <c r="J228"/>
  <c r="T227"/>
  <c r="U227" s="1"/>
  <c r="V227" s="1"/>
  <c r="R227"/>
  <c r="Q227"/>
  <c r="N227" s="1"/>
  <c r="P227"/>
  <c r="O227"/>
  <c r="K227"/>
  <c r="J227"/>
  <c r="T226"/>
  <c r="U226" s="1"/>
  <c r="V226" s="1"/>
  <c r="R226"/>
  <c r="Q226"/>
  <c r="N226" s="1"/>
  <c r="P226"/>
  <c r="O226"/>
  <c r="K226" s="1"/>
  <c r="J226"/>
  <c r="T225"/>
  <c r="U225" s="1"/>
  <c r="V225" s="1"/>
  <c r="R225"/>
  <c r="Q225"/>
  <c r="N225" s="1"/>
  <c r="P225"/>
  <c r="O225"/>
  <c r="K225"/>
  <c r="J225"/>
  <c r="T224"/>
  <c r="U224" s="1"/>
  <c r="V224" s="1"/>
  <c r="R224"/>
  <c r="Q224"/>
  <c r="N224" s="1"/>
  <c r="P224"/>
  <c r="O224"/>
  <c r="K224" s="1"/>
  <c r="J224"/>
  <c r="T223"/>
  <c r="U223" s="1"/>
  <c r="V223" s="1"/>
  <c r="R223"/>
  <c r="Q223"/>
  <c r="N223" s="1"/>
  <c r="P223"/>
  <c r="O223"/>
  <c r="K223" s="1"/>
  <c r="J223"/>
  <c r="T222"/>
  <c r="U222" s="1"/>
  <c r="V222" s="1"/>
  <c r="R222"/>
  <c r="Q222"/>
  <c r="N222" s="1"/>
  <c r="P222"/>
  <c r="O222"/>
  <c r="K222" s="1"/>
  <c r="J222"/>
  <c r="T221"/>
  <c r="U221" s="1"/>
  <c r="V221" s="1"/>
  <c r="R221"/>
  <c r="Q221"/>
  <c r="N221" s="1"/>
  <c r="P221"/>
  <c r="O221"/>
  <c r="K221" s="1"/>
  <c r="J221"/>
  <c r="T220"/>
  <c r="U220" s="1"/>
  <c r="V220" s="1"/>
  <c r="R220"/>
  <c r="Q220"/>
  <c r="N220" s="1"/>
  <c r="P220"/>
  <c r="O220"/>
  <c r="K220" s="1"/>
  <c r="J220"/>
  <c r="T219"/>
  <c r="U219" s="1"/>
  <c r="V219" s="1"/>
  <c r="R219"/>
  <c r="Q219"/>
  <c r="N219" s="1"/>
  <c r="P219"/>
  <c r="O219"/>
  <c r="K219"/>
  <c r="J219"/>
  <c r="T218"/>
  <c r="U218" s="1"/>
  <c r="V218" s="1"/>
  <c r="R218"/>
  <c r="Q218"/>
  <c r="N218" s="1"/>
  <c r="P218"/>
  <c r="O218"/>
  <c r="K218" s="1"/>
  <c r="J218"/>
  <c r="T217"/>
  <c r="U217" s="1"/>
  <c r="V217" s="1"/>
  <c r="R217"/>
  <c r="Q217"/>
  <c r="N217" s="1"/>
  <c r="P217"/>
  <c r="O217"/>
  <c r="K217"/>
  <c r="J217"/>
  <c r="T216"/>
  <c r="U216" s="1"/>
  <c r="V216" s="1"/>
  <c r="R216"/>
  <c r="Q216"/>
  <c r="N216" s="1"/>
  <c r="P216"/>
  <c r="O216"/>
  <c r="K216" s="1"/>
  <c r="J216"/>
  <c r="T215"/>
  <c r="U215" s="1"/>
  <c r="V215" s="1"/>
  <c r="R215"/>
  <c r="Q215"/>
  <c r="N215" s="1"/>
  <c r="P215"/>
  <c r="O215"/>
  <c r="K215" s="1"/>
  <c r="J215"/>
  <c r="T214"/>
  <c r="U214" s="1"/>
  <c r="V214" s="1"/>
  <c r="R214"/>
  <c r="Q214"/>
  <c r="N214" s="1"/>
  <c r="P214"/>
  <c r="O214"/>
  <c r="K214" s="1"/>
  <c r="J214"/>
  <c r="T213"/>
  <c r="U213" s="1"/>
  <c r="V213" s="1"/>
  <c r="R213"/>
  <c r="Q213"/>
  <c r="N213" s="1"/>
  <c r="P213"/>
  <c r="O213"/>
  <c r="K213" s="1"/>
  <c r="J213"/>
  <c r="T212"/>
  <c r="U212" s="1"/>
  <c r="V212" s="1"/>
  <c r="R212"/>
  <c r="Q212"/>
  <c r="N212" s="1"/>
  <c r="P212"/>
  <c r="O212"/>
  <c r="K212" s="1"/>
  <c r="J212"/>
  <c r="T211"/>
  <c r="U211" s="1"/>
  <c r="V211" s="1"/>
  <c r="R211"/>
  <c r="Q211"/>
  <c r="N211" s="1"/>
  <c r="P211"/>
  <c r="O211"/>
  <c r="K211"/>
  <c r="J211"/>
  <c r="T210"/>
  <c r="U210" s="1"/>
  <c r="V210" s="1"/>
  <c r="R210"/>
  <c r="Q210"/>
  <c r="N210" s="1"/>
  <c r="P210"/>
  <c r="O210"/>
  <c r="K210" s="1"/>
  <c r="J210"/>
  <c r="T209"/>
  <c r="U209" s="1"/>
  <c r="V209" s="1"/>
  <c r="R209"/>
  <c r="Q209"/>
  <c r="N209" s="1"/>
  <c r="P209"/>
  <c r="O209"/>
  <c r="K209"/>
  <c r="J209"/>
  <c r="T208"/>
  <c r="U208" s="1"/>
  <c r="V208" s="1"/>
  <c r="R208"/>
  <c r="Q208"/>
  <c r="N208" s="1"/>
  <c r="P208"/>
  <c r="O208"/>
  <c r="K208" s="1"/>
  <c r="J208"/>
  <c r="T207"/>
  <c r="U207" s="1"/>
  <c r="V207" s="1"/>
  <c r="R207"/>
  <c r="Q207"/>
  <c r="N207" s="1"/>
  <c r="P207"/>
  <c r="O207"/>
  <c r="K207" s="1"/>
  <c r="J207"/>
  <c r="T206"/>
  <c r="U206" s="1"/>
  <c r="V206" s="1"/>
  <c r="R206"/>
  <c r="Q206"/>
  <c r="N206" s="1"/>
  <c r="P206"/>
  <c r="O206"/>
  <c r="K206" s="1"/>
  <c r="J206"/>
  <c r="T205"/>
  <c r="U205" s="1"/>
  <c r="V205" s="1"/>
  <c r="R205"/>
  <c r="Q205"/>
  <c r="N205" s="1"/>
  <c r="P205"/>
  <c r="O205"/>
  <c r="M205"/>
  <c r="K205"/>
  <c r="J205"/>
  <c r="T204"/>
  <c r="U204" s="1"/>
  <c r="V204" s="1"/>
  <c r="R204"/>
  <c r="Q204"/>
  <c r="N204" s="1"/>
  <c r="P204"/>
  <c r="O204"/>
  <c r="K204" s="1"/>
  <c r="J204"/>
  <c r="T203"/>
  <c r="U203" s="1"/>
  <c r="V203" s="1"/>
  <c r="R203"/>
  <c r="Q203"/>
  <c r="N203" s="1"/>
  <c r="P203"/>
  <c r="O203"/>
  <c r="K203" s="1"/>
  <c r="J203"/>
  <c r="T202"/>
  <c r="U202" s="1"/>
  <c r="V202" s="1"/>
  <c r="R202"/>
  <c r="Q202"/>
  <c r="N202" s="1"/>
  <c r="P202"/>
  <c r="O202"/>
  <c r="K202" s="1"/>
  <c r="J202"/>
  <c r="T201"/>
  <c r="U201" s="1"/>
  <c r="V201" s="1"/>
  <c r="R201"/>
  <c r="Q201"/>
  <c r="N201" s="1"/>
  <c r="P201"/>
  <c r="O201"/>
  <c r="M201"/>
  <c r="K201"/>
  <c r="J201"/>
  <c r="T200"/>
  <c r="U200" s="1"/>
  <c r="V200" s="1"/>
  <c r="R200"/>
  <c r="Q200"/>
  <c r="N200" s="1"/>
  <c r="P200"/>
  <c r="O200"/>
  <c r="K200" s="1"/>
  <c r="J200"/>
  <c r="T199"/>
  <c r="U199" s="1"/>
  <c r="V199" s="1"/>
  <c r="R199"/>
  <c r="Q199"/>
  <c r="N199" s="1"/>
  <c r="P199"/>
  <c r="O199"/>
  <c r="K199" s="1"/>
  <c r="J199"/>
  <c r="T198"/>
  <c r="U198" s="1"/>
  <c r="V198" s="1"/>
  <c r="R198"/>
  <c r="Q198"/>
  <c r="N198" s="1"/>
  <c r="P198"/>
  <c r="O198"/>
  <c r="K198" s="1"/>
  <c r="J198"/>
  <c r="T197"/>
  <c r="U197" s="1"/>
  <c r="V197" s="1"/>
  <c r="R197"/>
  <c r="Q197"/>
  <c r="N197" s="1"/>
  <c r="P197"/>
  <c r="O197"/>
  <c r="K197" s="1"/>
  <c r="J197"/>
  <c r="T196"/>
  <c r="U196" s="1"/>
  <c r="V196" s="1"/>
  <c r="R196"/>
  <c r="Q196"/>
  <c r="N196" s="1"/>
  <c r="P196"/>
  <c r="O196"/>
  <c r="K196" s="1"/>
  <c r="J196"/>
  <c r="T195"/>
  <c r="U195" s="1"/>
  <c r="V195" s="1"/>
  <c r="R195"/>
  <c r="Q195"/>
  <c r="N195" s="1"/>
  <c r="P195"/>
  <c r="O195"/>
  <c r="K195" s="1"/>
  <c r="J195"/>
  <c r="T194"/>
  <c r="U194" s="1"/>
  <c r="V194" s="1"/>
  <c r="R194"/>
  <c r="Q194"/>
  <c r="N194" s="1"/>
  <c r="P194"/>
  <c r="O194"/>
  <c r="K194" s="1"/>
  <c r="J194"/>
  <c r="T193"/>
  <c r="U193" s="1"/>
  <c r="V193" s="1"/>
  <c r="R193"/>
  <c r="Q193"/>
  <c r="N193" s="1"/>
  <c r="P193"/>
  <c r="O193"/>
  <c r="K193" s="1"/>
  <c r="J193"/>
  <c r="T192"/>
  <c r="U192" s="1"/>
  <c r="V192" s="1"/>
  <c r="R192"/>
  <c r="Q192"/>
  <c r="N192" s="1"/>
  <c r="P192"/>
  <c r="O192"/>
  <c r="K192" s="1"/>
  <c r="J192"/>
  <c r="T191"/>
  <c r="U191" s="1"/>
  <c r="V191" s="1"/>
  <c r="R191"/>
  <c r="Q191"/>
  <c r="N191" s="1"/>
  <c r="P191"/>
  <c r="O191"/>
  <c r="K191" s="1"/>
  <c r="J191"/>
  <c r="T190"/>
  <c r="U190" s="1"/>
  <c r="V190" s="1"/>
  <c r="R190"/>
  <c r="Q190"/>
  <c r="N190" s="1"/>
  <c r="P190"/>
  <c r="O190"/>
  <c r="K190" s="1"/>
  <c r="J190"/>
  <c r="T189"/>
  <c r="U189" s="1"/>
  <c r="V189" s="1"/>
  <c r="R189"/>
  <c r="Q189"/>
  <c r="N189" s="1"/>
  <c r="P189"/>
  <c r="O189"/>
  <c r="K189" s="1"/>
  <c r="J189"/>
  <c r="T188"/>
  <c r="U188" s="1"/>
  <c r="V188" s="1"/>
  <c r="R188"/>
  <c r="Q188"/>
  <c r="N188" s="1"/>
  <c r="P188"/>
  <c r="O188"/>
  <c r="K188" s="1"/>
  <c r="J188"/>
  <c r="T187"/>
  <c r="U187" s="1"/>
  <c r="V187" s="1"/>
  <c r="R187"/>
  <c r="Q187"/>
  <c r="N187" s="1"/>
  <c r="P187"/>
  <c r="O187"/>
  <c r="K187" s="1"/>
  <c r="J187"/>
  <c r="T186"/>
  <c r="U186" s="1"/>
  <c r="V186" s="1"/>
  <c r="R186"/>
  <c r="Q186"/>
  <c r="N186" s="1"/>
  <c r="P186"/>
  <c r="O186"/>
  <c r="K186" s="1"/>
  <c r="J186"/>
  <c r="T185"/>
  <c r="U185" s="1"/>
  <c r="V185" s="1"/>
  <c r="R185"/>
  <c r="Q185"/>
  <c r="N185" s="1"/>
  <c r="P185"/>
  <c r="O185"/>
  <c r="K185" s="1"/>
  <c r="J185"/>
  <c r="T184"/>
  <c r="U184" s="1"/>
  <c r="V184" s="1"/>
  <c r="R184"/>
  <c r="Q184"/>
  <c r="N184" s="1"/>
  <c r="P184"/>
  <c r="O184"/>
  <c r="K184" s="1"/>
  <c r="J184"/>
  <c r="T183"/>
  <c r="U183" s="1"/>
  <c r="V183" s="1"/>
  <c r="R183"/>
  <c r="Q183"/>
  <c r="N183" s="1"/>
  <c r="P183"/>
  <c r="O183"/>
  <c r="K183"/>
  <c r="J183"/>
  <c r="T182"/>
  <c r="U182" s="1"/>
  <c r="V182" s="1"/>
  <c r="R182"/>
  <c r="Q182"/>
  <c r="N182" s="1"/>
  <c r="P182"/>
  <c r="O182"/>
  <c r="K182" s="1"/>
  <c r="J182"/>
  <c r="T181"/>
  <c r="U181" s="1"/>
  <c r="V181" s="1"/>
  <c r="R181"/>
  <c r="Q181"/>
  <c r="N181" s="1"/>
  <c r="P181"/>
  <c r="O181"/>
  <c r="K181"/>
  <c r="J181"/>
  <c r="T180"/>
  <c r="U180" s="1"/>
  <c r="V180" s="1"/>
  <c r="R180"/>
  <c r="Q180"/>
  <c r="N180" s="1"/>
  <c r="P180"/>
  <c r="O180"/>
  <c r="K180" s="1"/>
  <c r="J180"/>
  <c r="T179"/>
  <c r="U179" s="1"/>
  <c r="V179" s="1"/>
  <c r="R179"/>
  <c r="Q179"/>
  <c r="N179" s="1"/>
  <c r="P179"/>
  <c r="O179"/>
  <c r="K179" s="1"/>
  <c r="J179"/>
  <c r="T178"/>
  <c r="U178" s="1"/>
  <c r="V178" s="1"/>
  <c r="R178"/>
  <c r="Q178"/>
  <c r="N178" s="1"/>
  <c r="P178"/>
  <c r="O178"/>
  <c r="K178" s="1"/>
  <c r="J178"/>
  <c r="T177"/>
  <c r="U177" s="1"/>
  <c r="V177" s="1"/>
  <c r="R177"/>
  <c r="Q177"/>
  <c r="N177" s="1"/>
  <c r="P177"/>
  <c r="O177"/>
  <c r="K177"/>
  <c r="J177"/>
  <c r="T176"/>
  <c r="U176" s="1"/>
  <c r="V176" s="1"/>
  <c r="R176"/>
  <c r="Q176"/>
  <c r="N176" s="1"/>
  <c r="P176"/>
  <c r="O176"/>
  <c r="K176" s="1"/>
  <c r="J176"/>
  <c r="T175"/>
  <c r="U175" s="1"/>
  <c r="V175" s="1"/>
  <c r="R175"/>
  <c r="Q175"/>
  <c r="N175" s="1"/>
  <c r="P175"/>
  <c r="O175"/>
  <c r="K175" s="1"/>
  <c r="J175"/>
  <c r="T174"/>
  <c r="U174" s="1"/>
  <c r="V174" s="1"/>
  <c r="R174"/>
  <c r="Q174"/>
  <c r="N174" s="1"/>
  <c r="P174"/>
  <c r="O174"/>
  <c r="K174" s="1"/>
  <c r="J174"/>
  <c r="T173"/>
  <c r="U173" s="1"/>
  <c r="V173" s="1"/>
  <c r="R173"/>
  <c r="Q173"/>
  <c r="N173" s="1"/>
  <c r="P173"/>
  <c r="O173"/>
  <c r="M173"/>
  <c r="K173"/>
  <c r="J173"/>
  <c r="T172"/>
  <c r="U172" s="1"/>
  <c r="V172" s="1"/>
  <c r="R172"/>
  <c r="Q172"/>
  <c r="N172" s="1"/>
  <c r="P172"/>
  <c r="O172"/>
  <c r="K172" s="1"/>
  <c r="J172"/>
  <c r="T171"/>
  <c r="U171" s="1"/>
  <c r="V171" s="1"/>
  <c r="R171"/>
  <c r="Q171"/>
  <c r="N171" s="1"/>
  <c r="P171"/>
  <c r="O171"/>
  <c r="K171" s="1"/>
  <c r="J171"/>
  <c r="T170"/>
  <c r="U170" s="1"/>
  <c r="V170" s="1"/>
  <c r="R170"/>
  <c r="Q170"/>
  <c r="P170"/>
  <c r="O170"/>
  <c r="K170" s="1"/>
  <c r="J170"/>
  <c r="T169"/>
  <c r="U169" s="1"/>
  <c r="V169" s="1"/>
  <c r="R169"/>
  <c r="Q169"/>
  <c r="N169" s="1"/>
  <c r="P169"/>
  <c r="O169"/>
  <c r="M169"/>
  <c r="K169"/>
  <c r="J169"/>
  <c r="T168"/>
  <c r="U168" s="1"/>
  <c r="V168" s="1"/>
  <c r="R168"/>
  <c r="Q168"/>
  <c r="P168"/>
  <c r="O168"/>
  <c r="K168" s="1"/>
  <c r="J168"/>
  <c r="T167"/>
  <c r="U167" s="1"/>
  <c r="V167" s="1"/>
  <c r="R167"/>
  <c r="Q167"/>
  <c r="N167" s="1"/>
  <c r="P167"/>
  <c r="O167"/>
  <c r="K167"/>
  <c r="J167"/>
  <c r="T166"/>
  <c r="U166" s="1"/>
  <c r="V166" s="1"/>
  <c r="R166"/>
  <c r="Q166"/>
  <c r="P166"/>
  <c r="O166"/>
  <c r="K166" s="1"/>
  <c r="J166"/>
  <c r="T165"/>
  <c r="U165" s="1"/>
  <c r="V165" s="1"/>
  <c r="R165"/>
  <c r="Q165"/>
  <c r="N165" s="1"/>
  <c r="P165"/>
  <c r="O165"/>
  <c r="K165"/>
  <c r="J165"/>
  <c r="T164"/>
  <c r="U164" s="1"/>
  <c r="V164" s="1"/>
  <c r="R164"/>
  <c r="Q164"/>
  <c r="P164"/>
  <c r="O164"/>
  <c r="K164" s="1"/>
  <c r="J164"/>
  <c r="T163"/>
  <c r="U163" s="1"/>
  <c r="V163" s="1"/>
  <c r="R163"/>
  <c r="Q163"/>
  <c r="N163" s="1"/>
  <c r="P163"/>
  <c r="O163"/>
  <c r="K163" s="1"/>
  <c r="J163"/>
  <c r="T162"/>
  <c r="U162" s="1"/>
  <c r="V162" s="1"/>
  <c r="R162"/>
  <c r="Q162"/>
  <c r="P162"/>
  <c r="O162"/>
  <c r="K162" s="1"/>
  <c r="J162"/>
  <c r="T161"/>
  <c r="U161" s="1"/>
  <c r="V161" s="1"/>
  <c r="R161"/>
  <c r="Q161"/>
  <c r="N161" s="1"/>
  <c r="P161"/>
  <c r="O161"/>
  <c r="K161"/>
  <c r="J161"/>
  <c r="T160"/>
  <c r="U160" s="1"/>
  <c r="V160" s="1"/>
  <c r="R160"/>
  <c r="Q160"/>
  <c r="P160"/>
  <c r="O160"/>
  <c r="K160" s="1"/>
  <c r="J160"/>
  <c r="T159"/>
  <c r="U159" s="1"/>
  <c r="V159" s="1"/>
  <c r="R159"/>
  <c r="Q159"/>
  <c r="N159" s="1"/>
  <c r="P159"/>
  <c r="O159"/>
  <c r="K159" s="1"/>
  <c r="J159"/>
  <c r="T158"/>
  <c r="U158" s="1"/>
  <c r="V158" s="1"/>
  <c r="R158"/>
  <c r="Q158"/>
  <c r="P158"/>
  <c r="O158"/>
  <c r="K158" s="1"/>
  <c r="J158"/>
  <c r="T157"/>
  <c r="U157" s="1"/>
  <c r="V157" s="1"/>
  <c r="R157"/>
  <c r="Q157"/>
  <c r="N157" s="1"/>
  <c r="P157"/>
  <c r="O157"/>
  <c r="M157"/>
  <c r="K157"/>
  <c r="J157"/>
  <c r="T156"/>
  <c r="U156" s="1"/>
  <c r="V156" s="1"/>
  <c r="R156"/>
  <c r="Q156"/>
  <c r="P156"/>
  <c r="O156"/>
  <c r="K156" s="1"/>
  <c r="J156"/>
  <c r="T155"/>
  <c r="U155" s="1"/>
  <c r="V155" s="1"/>
  <c r="R155"/>
  <c r="Q155"/>
  <c r="N155" s="1"/>
  <c r="P155"/>
  <c r="O155"/>
  <c r="K155" s="1"/>
  <c r="J155"/>
  <c r="T154"/>
  <c r="U154" s="1"/>
  <c r="V154" s="1"/>
  <c r="R154"/>
  <c r="Q154"/>
  <c r="P154"/>
  <c r="O154"/>
  <c r="K154" s="1"/>
  <c r="J154"/>
  <c r="T153"/>
  <c r="U153" s="1"/>
  <c r="V153" s="1"/>
  <c r="R153"/>
  <c r="Q153"/>
  <c r="N153" s="1"/>
  <c r="P153"/>
  <c r="O153"/>
  <c r="K153"/>
  <c r="J153"/>
  <c r="T152"/>
  <c r="U152" s="1"/>
  <c r="V152" s="1"/>
  <c r="R152"/>
  <c r="Q152"/>
  <c r="P152"/>
  <c r="O152"/>
  <c r="K152" s="1"/>
  <c r="J152"/>
  <c r="T151"/>
  <c r="U151" s="1"/>
  <c r="V151" s="1"/>
  <c r="R151"/>
  <c r="Q151"/>
  <c r="N151" s="1"/>
  <c r="P151"/>
  <c r="O151"/>
  <c r="K151" s="1"/>
  <c r="J151"/>
  <c r="T150"/>
  <c r="U150" s="1"/>
  <c r="V150" s="1"/>
  <c r="R150"/>
  <c r="Q150"/>
  <c r="P150"/>
  <c r="O150"/>
  <c r="K150" s="1"/>
  <c r="J150"/>
  <c r="T149"/>
  <c r="U149" s="1"/>
  <c r="V149" s="1"/>
  <c r="R149"/>
  <c r="Q149"/>
  <c r="N149" s="1"/>
  <c r="P149"/>
  <c r="O149"/>
  <c r="M149"/>
  <c r="K149"/>
  <c r="J149"/>
  <c r="T148"/>
  <c r="U148" s="1"/>
  <c r="V148" s="1"/>
  <c r="R148"/>
  <c r="Q148"/>
  <c r="P148"/>
  <c r="O148"/>
  <c r="K148" s="1"/>
  <c r="J148"/>
  <c r="T147"/>
  <c r="U147" s="1"/>
  <c r="V147" s="1"/>
  <c r="R147"/>
  <c r="Q147"/>
  <c r="N147" s="1"/>
  <c r="P147"/>
  <c r="O147"/>
  <c r="K147" s="1"/>
  <c r="J147"/>
  <c r="T146"/>
  <c r="U146" s="1"/>
  <c r="V146" s="1"/>
  <c r="R146"/>
  <c r="Q146"/>
  <c r="P146"/>
  <c r="O146"/>
  <c r="K146" s="1"/>
  <c r="J146"/>
  <c r="T145"/>
  <c r="U145" s="1"/>
  <c r="V145" s="1"/>
  <c r="R145"/>
  <c r="Q145"/>
  <c r="N145" s="1"/>
  <c r="P145"/>
  <c r="O145"/>
  <c r="K145"/>
  <c r="J145"/>
  <c r="T144"/>
  <c r="U144" s="1"/>
  <c r="V144" s="1"/>
  <c r="R144"/>
  <c r="Q144"/>
  <c r="P144"/>
  <c r="O144"/>
  <c r="K144" s="1"/>
  <c r="J144"/>
  <c r="T143"/>
  <c r="U143" s="1"/>
  <c r="V143" s="1"/>
  <c r="R143"/>
  <c r="Q143"/>
  <c r="N143" s="1"/>
  <c r="P143"/>
  <c r="O143"/>
  <c r="K143" s="1"/>
  <c r="J143"/>
  <c r="T142"/>
  <c r="U142" s="1"/>
  <c r="V142" s="1"/>
  <c r="R142"/>
  <c r="Q142"/>
  <c r="P142"/>
  <c r="O142"/>
  <c r="K142" s="1"/>
  <c r="J142"/>
  <c r="T141"/>
  <c r="U141" s="1"/>
  <c r="V141" s="1"/>
  <c r="R141"/>
  <c r="Q141"/>
  <c r="N141" s="1"/>
  <c r="P141"/>
  <c r="O141"/>
  <c r="M141"/>
  <c r="K141"/>
  <c r="J141"/>
  <c r="T140"/>
  <c r="U140" s="1"/>
  <c r="V140" s="1"/>
  <c r="R140"/>
  <c r="Q140"/>
  <c r="P140"/>
  <c r="O140"/>
  <c r="K140" s="1"/>
  <c r="J140"/>
  <c r="T139"/>
  <c r="U139" s="1"/>
  <c r="V139" s="1"/>
  <c r="R139"/>
  <c r="Q139"/>
  <c r="N139" s="1"/>
  <c r="P139"/>
  <c r="O139"/>
  <c r="K139" s="1"/>
  <c r="J139"/>
  <c r="T138"/>
  <c r="U138" s="1"/>
  <c r="V138" s="1"/>
  <c r="R138"/>
  <c r="Q138"/>
  <c r="P138"/>
  <c r="O138"/>
  <c r="K138" s="1"/>
  <c r="J138"/>
  <c r="T137"/>
  <c r="U137" s="1"/>
  <c r="V137" s="1"/>
  <c r="R137"/>
  <c r="Q137"/>
  <c r="N137" s="1"/>
  <c r="P137"/>
  <c r="O137"/>
  <c r="K137"/>
  <c r="J137"/>
  <c r="T136"/>
  <c r="U136" s="1"/>
  <c r="V136" s="1"/>
  <c r="R136"/>
  <c r="Q136"/>
  <c r="P136"/>
  <c r="O136"/>
  <c r="K136" s="1"/>
  <c r="J136"/>
  <c r="T135"/>
  <c r="U135" s="1"/>
  <c r="V135" s="1"/>
  <c r="R135"/>
  <c r="Q135"/>
  <c r="N135" s="1"/>
  <c r="P135"/>
  <c r="O135"/>
  <c r="K135" s="1"/>
  <c r="J135"/>
  <c r="T134"/>
  <c r="U134" s="1"/>
  <c r="V134" s="1"/>
  <c r="R134"/>
  <c r="Q134"/>
  <c r="P134"/>
  <c r="O134"/>
  <c r="K134" s="1"/>
  <c r="J134"/>
  <c r="T133"/>
  <c r="U133" s="1"/>
  <c r="V133" s="1"/>
  <c r="R133"/>
  <c r="Q133"/>
  <c r="N133" s="1"/>
  <c r="P133"/>
  <c r="O133"/>
  <c r="M133"/>
  <c r="K133"/>
  <c r="J133"/>
  <c r="T132"/>
  <c r="U132" s="1"/>
  <c r="V132" s="1"/>
  <c r="R132"/>
  <c r="Q132"/>
  <c r="P132"/>
  <c r="O132"/>
  <c r="K132" s="1"/>
  <c r="J132"/>
  <c r="T131"/>
  <c r="U131" s="1"/>
  <c r="V131" s="1"/>
  <c r="R131"/>
  <c r="Q131"/>
  <c r="N131" s="1"/>
  <c r="P131"/>
  <c r="O131"/>
  <c r="K131"/>
  <c r="J131"/>
  <c r="T130"/>
  <c r="U130" s="1"/>
  <c r="V130" s="1"/>
  <c r="R130"/>
  <c r="Q130"/>
  <c r="P130"/>
  <c r="O130"/>
  <c r="K130" s="1"/>
  <c r="J130"/>
  <c r="T129"/>
  <c r="U129" s="1"/>
  <c r="V129" s="1"/>
  <c r="R129"/>
  <c r="Q129"/>
  <c r="N129" s="1"/>
  <c r="P129"/>
  <c r="O129"/>
  <c r="K129" s="1"/>
  <c r="J129"/>
  <c r="T128"/>
  <c r="U128" s="1"/>
  <c r="V128" s="1"/>
  <c r="R128"/>
  <c r="Q128"/>
  <c r="N128" s="1"/>
  <c r="P128"/>
  <c r="O128"/>
  <c r="K128" s="1"/>
  <c r="J128"/>
  <c r="T127"/>
  <c r="U127" s="1"/>
  <c r="V127" s="1"/>
  <c r="R127"/>
  <c r="Q127"/>
  <c r="N127" s="1"/>
  <c r="P127"/>
  <c r="O127"/>
  <c r="K127"/>
  <c r="J127"/>
  <c r="T126"/>
  <c r="U126" s="1"/>
  <c r="V126" s="1"/>
  <c r="R126"/>
  <c r="Q126"/>
  <c r="N126" s="1"/>
  <c r="P126"/>
  <c r="O126"/>
  <c r="K126" s="1"/>
  <c r="J126"/>
  <c r="T125"/>
  <c r="U125" s="1"/>
  <c r="V125" s="1"/>
  <c r="R125"/>
  <c r="Q125"/>
  <c r="N125" s="1"/>
  <c r="P125"/>
  <c r="O125"/>
  <c r="K125" s="1"/>
  <c r="J125"/>
  <c r="T124"/>
  <c r="U124" s="1"/>
  <c r="V124" s="1"/>
  <c r="R124"/>
  <c r="Q124"/>
  <c r="N124" s="1"/>
  <c r="P124"/>
  <c r="O124"/>
  <c r="K124" s="1"/>
  <c r="J124"/>
  <c r="T123"/>
  <c r="U123" s="1"/>
  <c r="V123" s="1"/>
  <c r="R123"/>
  <c r="Q123"/>
  <c r="N123" s="1"/>
  <c r="P123"/>
  <c r="O123"/>
  <c r="M123"/>
  <c r="K123"/>
  <c r="J123"/>
  <c r="T122"/>
  <c r="U122" s="1"/>
  <c r="V122" s="1"/>
  <c r="R122"/>
  <c r="Q122"/>
  <c r="N122" s="1"/>
  <c r="P122"/>
  <c r="O122"/>
  <c r="K122" s="1"/>
  <c r="J122"/>
  <c r="T121"/>
  <c r="U121" s="1"/>
  <c r="V121" s="1"/>
  <c r="R121"/>
  <c r="Q121"/>
  <c r="N121" s="1"/>
  <c r="P121"/>
  <c r="O121"/>
  <c r="K121" s="1"/>
  <c r="J121"/>
  <c r="T120"/>
  <c r="U120" s="1"/>
  <c r="V120" s="1"/>
  <c r="R120"/>
  <c r="Q120"/>
  <c r="N120" s="1"/>
  <c r="P120"/>
  <c r="O120"/>
  <c r="K120" s="1"/>
  <c r="J120"/>
  <c r="T119"/>
  <c r="U119" s="1"/>
  <c r="V119" s="1"/>
  <c r="R119"/>
  <c r="Q119"/>
  <c r="N119" s="1"/>
  <c r="P119"/>
  <c r="O119"/>
  <c r="K119" s="1"/>
  <c r="J119"/>
  <c r="T118"/>
  <c r="U118" s="1"/>
  <c r="V118" s="1"/>
  <c r="R118"/>
  <c r="Q118"/>
  <c r="N118" s="1"/>
  <c r="P118"/>
  <c r="O118"/>
  <c r="K118" s="1"/>
  <c r="J118"/>
  <c r="T117"/>
  <c r="U117" s="1"/>
  <c r="V117" s="1"/>
  <c r="R117"/>
  <c r="Q117"/>
  <c r="N117" s="1"/>
  <c r="P117"/>
  <c r="O117"/>
  <c r="K117"/>
  <c r="J117"/>
  <c r="T116"/>
  <c r="U116" s="1"/>
  <c r="V116" s="1"/>
  <c r="R116"/>
  <c r="Q116"/>
  <c r="N116" s="1"/>
  <c r="P116"/>
  <c r="O116"/>
  <c r="K116" s="1"/>
  <c r="J116"/>
  <c r="T115"/>
  <c r="U115" s="1"/>
  <c r="V115" s="1"/>
  <c r="R115"/>
  <c r="Q115"/>
  <c r="N115" s="1"/>
  <c r="P115"/>
  <c r="O115"/>
  <c r="K115"/>
  <c r="J115"/>
  <c r="T114"/>
  <c r="U114" s="1"/>
  <c r="V114" s="1"/>
  <c r="R114"/>
  <c r="Q114"/>
  <c r="N114" s="1"/>
  <c r="P114"/>
  <c r="O114"/>
  <c r="K114" s="1"/>
  <c r="J114"/>
  <c r="T113"/>
  <c r="U113" s="1"/>
  <c r="V113" s="1"/>
  <c r="R113"/>
  <c r="Q113"/>
  <c r="N113" s="1"/>
  <c r="P113"/>
  <c r="O113"/>
  <c r="K113" s="1"/>
  <c r="J113"/>
  <c r="T112"/>
  <c r="U112" s="1"/>
  <c r="V112" s="1"/>
  <c r="R112"/>
  <c r="Q112"/>
  <c r="N112" s="1"/>
  <c r="P112"/>
  <c r="O112"/>
  <c r="K112" s="1"/>
  <c r="J112"/>
  <c r="T111"/>
  <c r="U111" s="1"/>
  <c r="V111" s="1"/>
  <c r="R111"/>
  <c r="Q111"/>
  <c r="N111" s="1"/>
  <c r="P111"/>
  <c r="O111"/>
  <c r="K111" s="1"/>
  <c r="J111"/>
  <c r="T110"/>
  <c r="U110" s="1"/>
  <c r="V110" s="1"/>
  <c r="T109"/>
  <c r="U109" s="1"/>
  <c r="V109" s="1"/>
  <c r="T108"/>
  <c r="U108" s="1"/>
  <c r="V108" s="1"/>
  <c r="T107"/>
  <c r="U107" s="1"/>
  <c r="V107" s="1"/>
  <c r="T106"/>
  <c r="U106" s="1"/>
  <c r="V106" s="1"/>
  <c r="T105"/>
  <c r="U105" s="1"/>
  <c r="V105" s="1"/>
  <c r="T104"/>
  <c r="U104" s="1"/>
  <c r="V104" s="1"/>
  <c r="T103"/>
  <c r="U103" s="1"/>
  <c r="V103" s="1"/>
  <c r="T102"/>
  <c r="U102" s="1"/>
  <c r="V102" s="1"/>
  <c r="T101"/>
  <c r="U101" s="1"/>
  <c r="V101" s="1"/>
  <c r="T100"/>
  <c r="U100" s="1"/>
  <c r="V100" s="1"/>
  <c r="T99"/>
  <c r="U99" s="1"/>
  <c r="V99" s="1"/>
  <c r="T98"/>
  <c r="U98" s="1"/>
  <c r="V98" s="1"/>
  <c r="T97"/>
  <c r="U97" s="1"/>
  <c r="V97" s="1"/>
  <c r="T96"/>
  <c r="U96" s="1"/>
  <c r="V96" s="1"/>
  <c r="T95"/>
  <c r="U95" s="1"/>
  <c r="V95" s="1"/>
  <c r="T94"/>
  <c r="U94" s="1"/>
  <c r="V94" s="1"/>
  <c r="T93"/>
  <c r="U93" s="1"/>
  <c r="V93" s="1"/>
  <c r="T92"/>
  <c r="U92" s="1"/>
  <c r="V92" s="1"/>
  <c r="T91"/>
  <c r="U91" s="1"/>
  <c r="V91" s="1"/>
  <c r="T90"/>
  <c r="U90" s="1"/>
  <c r="V90" s="1"/>
  <c r="T89"/>
  <c r="U89" s="1"/>
  <c r="V89" s="1"/>
  <c r="T88"/>
  <c r="U88" s="1"/>
  <c r="V88" s="1"/>
  <c r="T87"/>
  <c r="U87" s="1"/>
  <c r="V87" s="1"/>
  <c r="T86"/>
  <c r="U86" s="1"/>
  <c r="V86" s="1"/>
  <c r="T85"/>
  <c r="U85" s="1"/>
  <c r="V85" s="1"/>
  <c r="T84"/>
  <c r="U84" s="1"/>
  <c r="V84" s="1"/>
  <c r="T83"/>
  <c r="U83" s="1"/>
  <c r="V83" s="1"/>
  <c r="T82"/>
  <c r="U82" s="1"/>
  <c r="V82" s="1"/>
  <c r="T81"/>
  <c r="U81" s="1"/>
  <c r="V81" s="1"/>
  <c r="T80"/>
  <c r="U80" s="1"/>
  <c r="V80" s="1"/>
  <c r="T79"/>
  <c r="U79" s="1"/>
  <c r="V79" s="1"/>
  <c r="T78"/>
  <c r="U78" s="1"/>
  <c r="V78" s="1"/>
  <c r="T77"/>
  <c r="U77" s="1"/>
  <c r="V77" s="1"/>
  <c r="T76"/>
  <c r="U76" s="1"/>
  <c r="V76" s="1"/>
  <c r="T75"/>
  <c r="U75" s="1"/>
  <c r="V75" s="1"/>
  <c r="T74"/>
  <c r="U74" s="1"/>
  <c r="V74" s="1"/>
  <c r="T73"/>
  <c r="U73" s="1"/>
  <c r="V73" s="1"/>
  <c r="T72"/>
  <c r="U72" s="1"/>
  <c r="V72" s="1"/>
  <c r="T71"/>
  <c r="U71" s="1"/>
  <c r="V71" s="1"/>
  <c r="T70"/>
  <c r="U70" s="1"/>
  <c r="V70" s="1"/>
  <c r="T69"/>
  <c r="U69" s="1"/>
  <c r="V69" s="1"/>
  <c r="T68"/>
  <c r="U68" s="1"/>
  <c r="V68" s="1"/>
  <c r="T67"/>
  <c r="U67" s="1"/>
  <c r="V67" s="1"/>
  <c r="T66"/>
  <c r="U66" s="1"/>
  <c r="V66" s="1"/>
  <c r="T65"/>
  <c r="U65" s="1"/>
  <c r="V65" s="1"/>
  <c r="T64"/>
  <c r="U64" s="1"/>
  <c r="V64" s="1"/>
  <c r="T63"/>
  <c r="U63" s="1"/>
  <c r="V63" s="1"/>
  <c r="T62"/>
  <c r="U62" s="1"/>
  <c r="V62" s="1"/>
  <c r="T61"/>
  <c r="U61" s="1"/>
  <c r="V61" s="1"/>
  <c r="T60"/>
  <c r="U60" s="1"/>
  <c r="V60" s="1"/>
  <c r="T59"/>
  <c r="U59" s="1"/>
  <c r="V59" s="1"/>
  <c r="T58"/>
  <c r="U58" s="1"/>
  <c r="V58" s="1"/>
  <c r="T57"/>
  <c r="U57" s="1"/>
  <c r="V57" s="1"/>
  <c r="T56"/>
  <c r="U56" s="1"/>
  <c r="V56" s="1"/>
  <c r="T55"/>
  <c r="U55" s="1"/>
  <c r="V55" s="1"/>
  <c r="T54"/>
  <c r="U54" s="1"/>
  <c r="V54" s="1"/>
  <c r="T53"/>
  <c r="U53" s="1"/>
  <c r="V53" s="1"/>
  <c r="T52"/>
  <c r="U52" s="1"/>
  <c r="V52" s="1"/>
  <c r="T51"/>
  <c r="U51" s="1"/>
  <c r="V51" s="1"/>
  <c r="T50"/>
  <c r="U50" s="1"/>
  <c r="V50" s="1"/>
  <c r="T49"/>
  <c r="U49" s="1"/>
  <c r="V49" s="1"/>
  <c r="T48"/>
  <c r="U48" s="1"/>
  <c r="V48" s="1"/>
  <c r="T47"/>
  <c r="U47" s="1"/>
  <c r="V47" s="1"/>
  <c r="T46"/>
  <c r="U46" s="1"/>
  <c r="V46" s="1"/>
  <c r="T45"/>
  <c r="U45" s="1"/>
  <c r="V45" s="1"/>
  <c r="T44"/>
  <c r="U44" s="1"/>
  <c r="V44" s="1"/>
  <c r="T43"/>
  <c r="U43" s="1"/>
  <c r="V43" s="1"/>
  <c r="T42"/>
  <c r="U42" s="1"/>
  <c r="V42" s="1"/>
  <c r="T41"/>
  <c r="U41" s="1"/>
  <c r="V41" s="1"/>
  <c r="T40"/>
  <c r="U40" s="1"/>
  <c r="V40" s="1"/>
  <c r="T39"/>
  <c r="U39" s="1"/>
  <c r="V39" s="1"/>
  <c r="T38"/>
  <c r="U38" s="1"/>
  <c r="V38" s="1"/>
  <c r="T37"/>
  <c r="U37" s="1"/>
  <c r="V37" s="1"/>
  <c r="T36"/>
  <c r="U36" s="1"/>
  <c r="V36" s="1"/>
  <c r="T35"/>
  <c r="U35" s="1"/>
  <c r="V35" s="1"/>
  <c r="T34"/>
  <c r="U34" s="1"/>
  <c r="V34" s="1"/>
  <c r="T33"/>
  <c r="U33" s="1"/>
  <c r="V33" s="1"/>
  <c r="T32"/>
  <c r="U32" s="1"/>
  <c r="V32" s="1"/>
  <c r="T31"/>
  <c r="U31" s="1"/>
  <c r="V31" s="1"/>
  <c r="T30"/>
  <c r="U30" s="1"/>
  <c r="V30" s="1"/>
  <c r="T29"/>
  <c r="U29" s="1"/>
  <c r="V29" s="1"/>
  <c r="T28"/>
  <c r="U28" s="1"/>
  <c r="V28" s="1"/>
  <c r="T27"/>
  <c r="U27" s="1"/>
  <c r="V27" s="1"/>
  <c r="T26"/>
  <c r="U26" s="1"/>
  <c r="V26" s="1"/>
  <c r="T25"/>
  <c r="U25" s="1"/>
  <c r="V25" s="1"/>
  <c r="T24"/>
  <c r="U24" s="1"/>
  <c r="V24" s="1"/>
  <c r="T23"/>
  <c r="U23" s="1"/>
  <c r="V23" s="1"/>
  <c r="T22"/>
  <c r="U22" s="1"/>
  <c r="V22" s="1"/>
  <c r="T21"/>
  <c r="U21" s="1"/>
  <c r="V21" s="1"/>
  <c r="T20"/>
  <c r="U20" s="1"/>
  <c r="V20" s="1"/>
  <c r="T19"/>
  <c r="U19" s="1"/>
  <c r="V19" s="1"/>
  <c r="T18"/>
  <c r="U18" s="1"/>
  <c r="V18" s="1"/>
  <c r="T17"/>
  <c r="U17" s="1"/>
  <c r="V17" s="1"/>
  <c r="T16"/>
  <c r="U16" s="1"/>
  <c r="V16" s="1"/>
  <c r="T15"/>
  <c r="U15" s="1"/>
  <c r="V15" s="1"/>
  <c r="T14"/>
  <c r="U14" s="1"/>
  <c r="V14" s="1"/>
  <c r="T13"/>
  <c r="U13" s="1"/>
  <c r="V13" s="1"/>
  <c r="T12"/>
  <c r="U12" s="1"/>
  <c r="V12" s="1"/>
  <c r="T11"/>
  <c r="U11" s="1"/>
  <c r="V11" s="1"/>
  <c r="T10"/>
  <c r="U10" s="1"/>
  <c r="V10" s="1"/>
  <c r="T9"/>
  <c r="U9" s="1"/>
  <c r="V9" s="1"/>
  <c r="T8"/>
  <c r="U8" s="1"/>
  <c r="V8" s="1"/>
  <c r="T7"/>
  <c r="U7" s="1"/>
  <c r="V7" s="1"/>
  <c r="T6"/>
  <c r="U6" s="1"/>
  <c r="V6" s="1"/>
  <c r="T5"/>
  <c r="U5" s="1"/>
  <c r="V5" s="1"/>
  <c r="O110"/>
  <c r="O109"/>
  <c r="O108"/>
  <c r="O107"/>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O9"/>
  <c r="O8"/>
  <c r="O7"/>
  <c r="O6"/>
  <c r="O5"/>
  <c r="K5" s="1"/>
  <c r="K110"/>
  <c r="K109"/>
  <c r="K108"/>
  <c r="K107"/>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K44"/>
  <c r="K43"/>
  <c r="K42"/>
  <c r="K41"/>
  <c r="K40"/>
  <c r="K39"/>
  <c r="K38"/>
  <c r="K37"/>
  <c r="K36"/>
  <c r="K35"/>
  <c r="K34"/>
  <c r="K33"/>
  <c r="K32"/>
  <c r="K31"/>
  <c r="K30"/>
  <c r="K29"/>
  <c r="K28"/>
  <c r="K27"/>
  <c r="K26"/>
  <c r="K25"/>
  <c r="K24"/>
  <c r="K23"/>
  <c r="K22"/>
  <c r="K21"/>
  <c r="K20"/>
  <c r="K19"/>
  <c r="K18"/>
  <c r="K17"/>
  <c r="K16"/>
  <c r="K15"/>
  <c r="K14"/>
  <c r="K13"/>
  <c r="K12"/>
  <c r="K11"/>
  <c r="K10"/>
  <c r="K9"/>
  <c r="K8"/>
  <c r="K7"/>
  <c r="K6"/>
  <c r="M161" l="1"/>
  <c r="M165"/>
  <c r="M177"/>
  <c r="M181"/>
  <c r="M209"/>
  <c r="M217"/>
  <c r="M225"/>
  <c r="M233"/>
  <c r="M241"/>
  <c r="M249"/>
  <c r="M115"/>
  <c r="M111"/>
  <c r="M119"/>
  <c r="M127"/>
  <c r="M131"/>
  <c r="M137"/>
  <c r="M145"/>
  <c r="M153"/>
  <c r="M213"/>
  <c r="M221"/>
  <c r="M229"/>
  <c r="M237"/>
  <c r="M245"/>
  <c r="M253"/>
  <c r="M261"/>
  <c r="M113"/>
  <c r="M117"/>
  <c r="M121"/>
  <c r="M125"/>
  <c r="M129"/>
  <c r="M135"/>
  <c r="I135" s="1"/>
  <c r="H135" s="1"/>
  <c r="M139"/>
  <c r="M143"/>
  <c r="I143" s="1"/>
  <c r="H143" s="1"/>
  <c r="M147"/>
  <c r="M151"/>
  <c r="I151" s="1"/>
  <c r="H151" s="1"/>
  <c r="M155"/>
  <c r="M159"/>
  <c r="I159" s="1"/>
  <c r="H159" s="1"/>
  <c r="M163"/>
  <c r="M167"/>
  <c r="I167" s="1"/>
  <c r="H167" s="1"/>
  <c r="M171"/>
  <c r="M175"/>
  <c r="I175" s="1"/>
  <c r="H175" s="1"/>
  <c r="M179"/>
  <c r="M183"/>
  <c r="I183" s="1"/>
  <c r="H183" s="1"/>
  <c r="M203"/>
  <c r="M207"/>
  <c r="I207" s="1"/>
  <c r="H207" s="1"/>
  <c r="M211"/>
  <c r="M215"/>
  <c r="I215" s="1"/>
  <c r="H215" s="1"/>
  <c r="M219"/>
  <c r="M223"/>
  <c r="I223" s="1"/>
  <c r="H223" s="1"/>
  <c r="M227"/>
  <c r="M231"/>
  <c r="I231" s="1"/>
  <c r="H231" s="1"/>
  <c r="M235"/>
  <c r="M239"/>
  <c r="I239" s="1"/>
  <c r="H239" s="1"/>
  <c r="M243"/>
  <c r="M247"/>
  <c r="I247" s="1"/>
  <c r="H247" s="1"/>
  <c r="M251"/>
  <c r="M255"/>
  <c r="I255" s="1"/>
  <c r="H255" s="1"/>
  <c r="M259"/>
  <c r="M263"/>
  <c r="I263" s="1"/>
  <c r="H263" s="1"/>
  <c r="M264"/>
  <c r="N132"/>
  <c r="M132"/>
  <c r="N136"/>
  <c r="M136"/>
  <c r="N140"/>
  <c r="M140"/>
  <c r="N144"/>
  <c r="M144"/>
  <c r="N148"/>
  <c r="M148"/>
  <c r="N152"/>
  <c r="M152"/>
  <c r="N156"/>
  <c r="M156"/>
  <c r="N160"/>
  <c r="M160"/>
  <c r="N164"/>
  <c r="M164"/>
  <c r="N168"/>
  <c r="M168"/>
  <c r="N130"/>
  <c r="I130" s="1"/>
  <c r="H130" s="1"/>
  <c r="M130"/>
  <c r="N134"/>
  <c r="I134" s="1"/>
  <c r="H134" s="1"/>
  <c r="M134"/>
  <c r="N138"/>
  <c r="I138" s="1"/>
  <c r="H138" s="1"/>
  <c r="M138"/>
  <c r="N142"/>
  <c r="I142" s="1"/>
  <c r="H142" s="1"/>
  <c r="M142"/>
  <c r="N146"/>
  <c r="I146" s="1"/>
  <c r="H146" s="1"/>
  <c r="M146"/>
  <c r="N150"/>
  <c r="I150" s="1"/>
  <c r="H150" s="1"/>
  <c r="M150"/>
  <c r="N154"/>
  <c r="I154" s="1"/>
  <c r="H154" s="1"/>
  <c r="M154"/>
  <c r="N158"/>
  <c r="I158" s="1"/>
  <c r="H158" s="1"/>
  <c r="M158"/>
  <c r="N162"/>
  <c r="I162" s="1"/>
  <c r="H162" s="1"/>
  <c r="M162"/>
  <c r="N166"/>
  <c r="I166" s="1"/>
  <c r="H166" s="1"/>
  <c r="M166"/>
  <c r="N170"/>
  <c r="I170" s="1"/>
  <c r="H170" s="1"/>
  <c r="M170"/>
  <c r="I111"/>
  <c r="H111" s="1"/>
  <c r="M112"/>
  <c r="I112" s="1"/>
  <c r="H112" s="1"/>
  <c r="I113"/>
  <c r="H113" s="1"/>
  <c r="M114"/>
  <c r="I114" s="1"/>
  <c r="H114" s="1"/>
  <c r="I115"/>
  <c r="H115" s="1"/>
  <c r="M116"/>
  <c r="I116" s="1"/>
  <c r="H116" s="1"/>
  <c r="I117"/>
  <c r="H117" s="1"/>
  <c r="M118"/>
  <c r="I118" s="1"/>
  <c r="H118" s="1"/>
  <c r="I119"/>
  <c r="H119" s="1"/>
  <c r="M120"/>
  <c r="I120" s="1"/>
  <c r="H120" s="1"/>
  <c r="I121"/>
  <c r="H121" s="1"/>
  <c r="M122"/>
  <c r="I122" s="1"/>
  <c r="H122" s="1"/>
  <c r="I123"/>
  <c r="H123" s="1"/>
  <c r="M124"/>
  <c r="I124" s="1"/>
  <c r="H124" s="1"/>
  <c r="I125"/>
  <c r="H125" s="1"/>
  <c r="M126"/>
  <c r="I126" s="1"/>
  <c r="H126" s="1"/>
  <c r="I127"/>
  <c r="H127" s="1"/>
  <c r="M128"/>
  <c r="I128" s="1"/>
  <c r="H128" s="1"/>
  <c r="I129"/>
  <c r="H129" s="1"/>
  <c r="I131"/>
  <c r="H131" s="1"/>
  <c r="I133"/>
  <c r="H133" s="1"/>
  <c r="I137"/>
  <c r="H137" s="1"/>
  <c r="I139"/>
  <c r="H139" s="1"/>
  <c r="I141"/>
  <c r="H141" s="1"/>
  <c r="I145"/>
  <c r="H145" s="1"/>
  <c r="I147"/>
  <c r="H147" s="1"/>
  <c r="I149"/>
  <c r="H149" s="1"/>
  <c r="I153"/>
  <c r="H153" s="1"/>
  <c r="I155"/>
  <c r="H155" s="1"/>
  <c r="I157"/>
  <c r="H157" s="1"/>
  <c r="I161"/>
  <c r="H161" s="1"/>
  <c r="I163"/>
  <c r="H163" s="1"/>
  <c r="I165"/>
  <c r="H165" s="1"/>
  <c r="I169"/>
  <c r="H169" s="1"/>
  <c r="I171"/>
  <c r="H171" s="1"/>
  <c r="M172"/>
  <c r="I172" s="1"/>
  <c r="H172" s="1"/>
  <c r="I173"/>
  <c r="H173" s="1"/>
  <c r="M174"/>
  <c r="I174" s="1"/>
  <c r="H174" s="1"/>
  <c r="M176"/>
  <c r="I176" s="1"/>
  <c r="H176" s="1"/>
  <c r="I177"/>
  <c r="H177" s="1"/>
  <c r="M178"/>
  <c r="I178" s="1"/>
  <c r="H178" s="1"/>
  <c r="I179"/>
  <c r="H179" s="1"/>
  <c r="M180"/>
  <c r="I180" s="1"/>
  <c r="H180" s="1"/>
  <c r="I181"/>
  <c r="H181" s="1"/>
  <c r="M182"/>
  <c r="I182" s="1"/>
  <c r="H182" s="1"/>
  <c r="M184"/>
  <c r="I184" s="1"/>
  <c r="H184" s="1"/>
  <c r="M186"/>
  <c r="I186" s="1"/>
  <c r="H186" s="1"/>
  <c r="M188"/>
  <c r="I188" s="1"/>
  <c r="H188" s="1"/>
  <c r="M190"/>
  <c r="I190" s="1"/>
  <c r="H190" s="1"/>
  <c r="M192"/>
  <c r="I192" s="1"/>
  <c r="H192" s="1"/>
  <c r="M194"/>
  <c r="I194" s="1"/>
  <c r="H194" s="1"/>
  <c r="M196"/>
  <c r="I196" s="1"/>
  <c r="H196" s="1"/>
  <c r="M198"/>
  <c r="I198" s="1"/>
  <c r="H198" s="1"/>
  <c r="M200"/>
  <c r="I200" s="1"/>
  <c r="H200" s="1"/>
  <c r="I201"/>
  <c r="H201" s="1"/>
  <c r="M202"/>
  <c r="I202" s="1"/>
  <c r="H202" s="1"/>
  <c r="I203"/>
  <c r="H203" s="1"/>
  <c r="M204"/>
  <c r="I204" s="1"/>
  <c r="H204" s="1"/>
  <c r="I205"/>
  <c r="H205" s="1"/>
  <c r="M206"/>
  <c r="I206" s="1"/>
  <c r="H206" s="1"/>
  <c r="M208"/>
  <c r="I208" s="1"/>
  <c r="H208" s="1"/>
  <c r="I209"/>
  <c r="H209" s="1"/>
  <c r="M210"/>
  <c r="I210" s="1"/>
  <c r="H210" s="1"/>
  <c r="I211"/>
  <c r="H211" s="1"/>
  <c r="M212"/>
  <c r="I212" s="1"/>
  <c r="H212" s="1"/>
  <c r="I213"/>
  <c r="H213" s="1"/>
  <c r="M214"/>
  <c r="I214" s="1"/>
  <c r="H214" s="1"/>
  <c r="M216"/>
  <c r="I216" s="1"/>
  <c r="H216" s="1"/>
  <c r="I217"/>
  <c r="H217" s="1"/>
  <c r="M218"/>
  <c r="I218" s="1"/>
  <c r="H218" s="1"/>
  <c r="I219"/>
  <c r="H219" s="1"/>
  <c r="M220"/>
  <c r="I220" s="1"/>
  <c r="H220" s="1"/>
  <c r="I221"/>
  <c r="H221" s="1"/>
  <c r="M222"/>
  <c r="I222" s="1"/>
  <c r="H222" s="1"/>
  <c r="M224"/>
  <c r="I224" s="1"/>
  <c r="H224" s="1"/>
  <c r="I225"/>
  <c r="H225" s="1"/>
  <c r="M226"/>
  <c r="I226" s="1"/>
  <c r="H226" s="1"/>
  <c r="I227"/>
  <c r="H227" s="1"/>
  <c r="M228"/>
  <c r="I228" s="1"/>
  <c r="H228" s="1"/>
  <c r="I229"/>
  <c r="H229" s="1"/>
  <c r="M230"/>
  <c r="I230" s="1"/>
  <c r="H230" s="1"/>
  <c r="M232"/>
  <c r="I232" s="1"/>
  <c r="H232" s="1"/>
  <c r="I233"/>
  <c r="H233" s="1"/>
  <c r="M234"/>
  <c r="I234" s="1"/>
  <c r="H234" s="1"/>
  <c r="I235"/>
  <c r="H235" s="1"/>
  <c r="M236"/>
  <c r="I236" s="1"/>
  <c r="H236" s="1"/>
  <c r="I237"/>
  <c r="H237" s="1"/>
  <c r="M238"/>
  <c r="I238" s="1"/>
  <c r="H238" s="1"/>
  <c r="M240"/>
  <c r="I240" s="1"/>
  <c r="H240" s="1"/>
  <c r="I241"/>
  <c r="H241" s="1"/>
  <c r="M242"/>
  <c r="I242" s="1"/>
  <c r="H242" s="1"/>
  <c r="I243"/>
  <c r="H243" s="1"/>
  <c r="M244"/>
  <c r="I244" s="1"/>
  <c r="H244" s="1"/>
  <c r="I245"/>
  <c r="H245" s="1"/>
  <c r="M246"/>
  <c r="I246" s="1"/>
  <c r="H246" s="1"/>
  <c r="M248"/>
  <c r="I248" s="1"/>
  <c r="H248" s="1"/>
  <c r="I249"/>
  <c r="H249" s="1"/>
  <c r="M250"/>
  <c r="I250" s="1"/>
  <c r="H250" s="1"/>
  <c r="I251"/>
  <c r="H251" s="1"/>
  <c r="M252"/>
  <c r="I252" s="1"/>
  <c r="H252" s="1"/>
  <c r="I253"/>
  <c r="H253" s="1"/>
  <c r="M254"/>
  <c r="I254" s="1"/>
  <c r="H254" s="1"/>
  <c r="M256"/>
  <c r="I256" s="1"/>
  <c r="H256" s="1"/>
  <c r="I257"/>
  <c r="H257" s="1"/>
  <c r="M258"/>
  <c r="I258" s="1"/>
  <c r="H258" s="1"/>
  <c r="I259"/>
  <c r="H259" s="1"/>
  <c r="M260"/>
  <c r="I260" s="1"/>
  <c r="H260" s="1"/>
  <c r="I261"/>
  <c r="H261" s="1"/>
  <c r="M262"/>
  <c r="I262" s="1"/>
  <c r="H262" s="1"/>
  <c r="I264"/>
  <c r="H264" s="1"/>
  <c r="M265"/>
  <c r="I265" s="1"/>
  <c r="H265" s="1"/>
  <c r="M185"/>
  <c r="I185" s="1"/>
  <c r="H185" s="1"/>
  <c r="M187"/>
  <c r="I187" s="1"/>
  <c r="H187" s="1"/>
  <c r="M189"/>
  <c r="I189" s="1"/>
  <c r="H189" s="1"/>
  <c r="M191"/>
  <c r="I191" s="1"/>
  <c r="H191" s="1"/>
  <c r="M193"/>
  <c r="I193" s="1"/>
  <c r="H193" s="1"/>
  <c r="M195"/>
  <c r="I195" s="1"/>
  <c r="H195" s="1"/>
  <c r="M197"/>
  <c r="I197" s="1"/>
  <c r="H197" s="1"/>
  <c r="M199"/>
  <c r="I199" s="1"/>
  <c r="H199" s="1"/>
  <c r="I168" l="1"/>
  <c r="H168" s="1"/>
  <c r="I164"/>
  <c r="H164" s="1"/>
  <c r="I160"/>
  <c r="H160" s="1"/>
  <c r="I156"/>
  <c r="H156" s="1"/>
  <c r="I152"/>
  <c r="H152" s="1"/>
  <c r="I148"/>
  <c r="H148" s="1"/>
  <c r="I144"/>
  <c r="H144" s="1"/>
  <c r="I140"/>
  <c r="H140" s="1"/>
  <c r="I136"/>
  <c r="H136" s="1"/>
  <c r="I132"/>
  <c r="H132" s="1"/>
  <c r="J101"/>
  <c r="J78"/>
  <c r="J93"/>
  <c r="J57"/>
  <c r="J91"/>
  <c r="J90"/>
  <c r="J61"/>
  <c r="J73"/>
  <c r="J100"/>
  <c r="J88"/>
  <c r="J77"/>
  <c r="J58"/>
  <c r="J108"/>
  <c r="J98"/>
  <c r="J106"/>
  <c r="J109"/>
  <c r="J95"/>
  <c r="J56"/>
  <c r="J102"/>
  <c r="J110"/>
  <c r="J96"/>
  <c r="J65"/>
  <c r="J107"/>
  <c r="J97"/>
  <c r="J76"/>
  <c r="J5"/>
  <c r="J24"/>
  <c r="J47"/>
  <c r="J94"/>
  <c r="J48"/>
  <c r="J103"/>
  <c r="J60"/>
  <c r="J105"/>
  <c r="J32"/>
  <c r="J34"/>
  <c r="J71"/>
  <c r="J92"/>
  <c r="J51"/>
  <c r="J45"/>
  <c r="J26"/>
  <c r="J99"/>
  <c r="J85"/>
  <c r="J83"/>
  <c r="J82"/>
  <c r="J104"/>
  <c r="J89"/>
  <c r="J62"/>
  <c r="J87"/>
  <c r="J66"/>
  <c r="J54"/>
  <c r="J52"/>
  <c r="J39"/>
  <c r="J37"/>
  <c r="J28"/>
  <c r="J31"/>
  <c r="J53"/>
  <c r="J25"/>
  <c r="J29"/>
  <c r="J9"/>
  <c r="J81"/>
  <c r="J59"/>
  <c r="J23"/>
  <c r="J46"/>
  <c r="J30"/>
  <c r="J72"/>
  <c r="J84"/>
  <c r="J14"/>
  <c r="J80"/>
  <c r="J74"/>
  <c r="J18"/>
  <c r="J63"/>
  <c r="J22"/>
  <c r="J64"/>
  <c r="J44"/>
  <c r="J35"/>
  <c r="J70"/>
  <c r="J13"/>
  <c r="J21"/>
  <c r="J8"/>
  <c r="J11"/>
  <c r="J16"/>
  <c r="J17"/>
  <c r="J33"/>
  <c r="J55"/>
  <c r="J75"/>
  <c r="J86"/>
  <c r="J41"/>
  <c r="J69"/>
  <c r="J42"/>
  <c r="J12"/>
  <c r="J40"/>
  <c r="J36"/>
  <c r="J79"/>
  <c r="J27"/>
  <c r="J19"/>
  <c r="J10"/>
  <c r="J7"/>
  <c r="J68"/>
  <c r="J38"/>
  <c r="J20"/>
  <c r="J43"/>
  <c r="J50"/>
  <c r="J6"/>
  <c r="J67"/>
  <c r="J15"/>
  <c r="J49"/>
  <c r="R32" l="1"/>
  <c r="Q32"/>
  <c r="P32"/>
  <c r="R34"/>
  <c r="Q34"/>
  <c r="P34"/>
  <c r="R71"/>
  <c r="Q71"/>
  <c r="P71"/>
  <c r="R92"/>
  <c r="Q92"/>
  <c r="P92"/>
  <c r="R51"/>
  <c r="Q51"/>
  <c r="P51"/>
  <c r="R45"/>
  <c r="Q45"/>
  <c r="P45"/>
  <c r="R26"/>
  <c r="Q26"/>
  <c r="P26"/>
  <c r="R99"/>
  <c r="Q99"/>
  <c r="P99"/>
  <c r="R85"/>
  <c r="Q85"/>
  <c r="P85"/>
  <c r="R83"/>
  <c r="Q83"/>
  <c r="P83"/>
  <c r="R82"/>
  <c r="Q82"/>
  <c r="P82"/>
  <c r="R104"/>
  <c r="Q104"/>
  <c r="P104"/>
  <c r="R89"/>
  <c r="Q89"/>
  <c r="P89"/>
  <c r="R62"/>
  <c r="Q62"/>
  <c r="P62"/>
  <c r="R87"/>
  <c r="Q87"/>
  <c r="P87"/>
  <c r="R66"/>
  <c r="Q66"/>
  <c r="P66"/>
  <c r="R54"/>
  <c r="Q54"/>
  <c r="P54"/>
  <c r="R52"/>
  <c r="Q52"/>
  <c r="P52"/>
  <c r="R39"/>
  <c r="Q39"/>
  <c r="P39"/>
  <c r="R37"/>
  <c r="Q37"/>
  <c r="P37"/>
  <c r="R28"/>
  <c r="Q28"/>
  <c r="P28"/>
  <c r="R31"/>
  <c r="Q31"/>
  <c r="P31"/>
  <c r="R53"/>
  <c r="Q53"/>
  <c r="P53"/>
  <c r="R25"/>
  <c r="Q25"/>
  <c r="P25"/>
  <c r="R29"/>
  <c r="Q29"/>
  <c r="P29"/>
  <c r="R9"/>
  <c r="Q9"/>
  <c r="P9"/>
  <c r="R81"/>
  <c r="Q81"/>
  <c r="P81"/>
  <c r="R59"/>
  <c r="Q59"/>
  <c r="P59"/>
  <c r="R23"/>
  <c r="Q23"/>
  <c r="P23"/>
  <c r="R46"/>
  <c r="Q46"/>
  <c r="P46"/>
  <c r="R30"/>
  <c r="Q30"/>
  <c r="P30"/>
  <c r="R72"/>
  <c r="Q72"/>
  <c r="P72"/>
  <c r="R84"/>
  <c r="Q84"/>
  <c r="P84"/>
  <c r="R14"/>
  <c r="Q14"/>
  <c r="P14"/>
  <c r="R80"/>
  <c r="Q80"/>
  <c r="P80"/>
  <c r="R74"/>
  <c r="Q74"/>
  <c r="P74"/>
  <c r="R18"/>
  <c r="Q18"/>
  <c r="P18"/>
  <c r="R63"/>
  <c r="Q63"/>
  <c r="P63"/>
  <c r="R22"/>
  <c r="Q22"/>
  <c r="P22"/>
  <c r="R64"/>
  <c r="Q64"/>
  <c r="P64"/>
  <c r="R44"/>
  <c r="Q44"/>
  <c r="P44"/>
  <c r="R35"/>
  <c r="Q35"/>
  <c r="P35"/>
  <c r="R70"/>
  <c r="Q70"/>
  <c r="P70"/>
  <c r="R13"/>
  <c r="Q13"/>
  <c r="P13"/>
  <c r="R21"/>
  <c r="Q21"/>
  <c r="P21"/>
  <c r="R8"/>
  <c r="Q8"/>
  <c r="P8"/>
  <c r="R11"/>
  <c r="Q11"/>
  <c r="P11"/>
  <c r="R16"/>
  <c r="Q16"/>
  <c r="P16"/>
  <c r="R17"/>
  <c r="Q17"/>
  <c r="P17"/>
  <c r="R33"/>
  <c r="Q33"/>
  <c r="P33"/>
  <c r="R55"/>
  <c r="Q55"/>
  <c r="P55"/>
  <c r="R75"/>
  <c r="Q75"/>
  <c r="P75"/>
  <c r="R86"/>
  <c r="Q86"/>
  <c r="P86"/>
  <c r="R41"/>
  <c r="Q41"/>
  <c r="P41"/>
  <c r="R69"/>
  <c r="Q69"/>
  <c r="P69"/>
  <c r="R42"/>
  <c r="Q42"/>
  <c r="P42"/>
  <c r="R12"/>
  <c r="Q12"/>
  <c r="P12"/>
  <c r="R40"/>
  <c r="Q40"/>
  <c r="P40"/>
  <c r="R36"/>
  <c r="Q36"/>
  <c r="P36"/>
  <c r="R79"/>
  <c r="Q79"/>
  <c r="P79"/>
  <c r="R27"/>
  <c r="Q27"/>
  <c r="P27"/>
  <c r="R19"/>
  <c r="Q19"/>
  <c r="P19"/>
  <c r="R10"/>
  <c r="Q10"/>
  <c r="P10"/>
  <c r="R7"/>
  <c r="Q7"/>
  <c r="P7"/>
  <c r="R68"/>
  <c r="Q68"/>
  <c r="P68"/>
  <c r="R38"/>
  <c r="Q38"/>
  <c r="P38"/>
  <c r="R20"/>
  <c r="Q20"/>
  <c r="P20"/>
  <c r="R43"/>
  <c r="Q43"/>
  <c r="P43"/>
  <c r="R50"/>
  <c r="Q50"/>
  <c r="P50"/>
  <c r="R6"/>
  <c r="Q6"/>
  <c r="P6"/>
  <c r="R67"/>
  <c r="Q67"/>
  <c r="P67"/>
  <c r="R15"/>
  <c r="Q15"/>
  <c r="P15"/>
  <c r="R49"/>
  <c r="Q49"/>
  <c r="P49"/>
  <c r="R100"/>
  <c r="Q100"/>
  <c r="P100"/>
  <c r="R101"/>
  <c r="Q101"/>
  <c r="P101"/>
  <c r="R61"/>
  <c r="Q61"/>
  <c r="P61"/>
  <c r="R107"/>
  <c r="Q107"/>
  <c r="P107"/>
  <c r="R96"/>
  <c r="Q96"/>
  <c r="P96"/>
  <c r="R90"/>
  <c r="Q90"/>
  <c r="P90"/>
  <c r="R105"/>
  <c r="Q105"/>
  <c r="P105"/>
  <c r="R110"/>
  <c r="Q110"/>
  <c r="P110"/>
  <c r="R58"/>
  <c r="Q58"/>
  <c r="P58"/>
  <c r="R24"/>
  <c r="Q24"/>
  <c r="P24"/>
  <c r="R102"/>
  <c r="Q102"/>
  <c r="P102"/>
  <c r="R60"/>
  <c r="Q60"/>
  <c r="P60"/>
  <c r="R48"/>
  <c r="Q48"/>
  <c r="P48"/>
  <c r="R109"/>
  <c r="Q109"/>
  <c r="P109"/>
  <c r="R91"/>
  <c r="Q91"/>
  <c r="P91"/>
  <c r="R77"/>
  <c r="Q77"/>
  <c r="P77"/>
  <c r="R56"/>
  <c r="Q56"/>
  <c r="P56"/>
  <c r="R73"/>
  <c r="Q73"/>
  <c r="P73"/>
  <c r="R95"/>
  <c r="Q95"/>
  <c r="P95"/>
  <c r="R106"/>
  <c r="Q106"/>
  <c r="P106"/>
  <c r="R88"/>
  <c r="Q88"/>
  <c r="P88"/>
  <c r="R98"/>
  <c r="Q98"/>
  <c r="P98"/>
  <c r="R103"/>
  <c r="Q103"/>
  <c r="P103"/>
  <c r="R47"/>
  <c r="Q47"/>
  <c r="P47"/>
  <c r="R94"/>
  <c r="Q94"/>
  <c r="P94"/>
  <c r="R5"/>
  <c r="Q5"/>
  <c r="P5"/>
  <c r="R57"/>
  <c r="Q57"/>
  <c r="P57"/>
  <c r="R97"/>
  <c r="Q97"/>
  <c r="P97"/>
  <c r="R76"/>
  <c r="Q76"/>
  <c r="P76"/>
  <c r="R65"/>
  <c r="Q65"/>
  <c r="P65"/>
  <c r="R108"/>
  <c r="Q108"/>
  <c r="P108"/>
  <c r="R93"/>
  <c r="Q93"/>
  <c r="P93"/>
  <c r="R78"/>
  <c r="Q78"/>
  <c r="P78"/>
  <c r="N93" l="1"/>
  <c r="M93"/>
  <c r="N65"/>
  <c r="M65"/>
  <c r="N97"/>
  <c r="M97"/>
  <c r="N94"/>
  <c r="M94"/>
  <c r="N47"/>
  <c r="M47"/>
  <c r="N103"/>
  <c r="M103"/>
  <c r="N98"/>
  <c r="M98"/>
  <c r="N88"/>
  <c r="M88"/>
  <c r="N106"/>
  <c r="M106"/>
  <c r="N95"/>
  <c r="M95"/>
  <c r="N73"/>
  <c r="M73"/>
  <c r="N56"/>
  <c r="M56"/>
  <c r="N77"/>
  <c r="M77"/>
  <c r="N91"/>
  <c r="M91"/>
  <c r="N109"/>
  <c r="M109"/>
  <c r="N48"/>
  <c r="M48"/>
  <c r="N60"/>
  <c r="M60"/>
  <c r="N102"/>
  <c r="M102"/>
  <c r="N24"/>
  <c r="M24"/>
  <c r="N58"/>
  <c r="M58"/>
  <c r="N110"/>
  <c r="M110"/>
  <c r="N105"/>
  <c r="M105"/>
  <c r="N90"/>
  <c r="M90"/>
  <c r="N96"/>
  <c r="M96"/>
  <c r="N107"/>
  <c r="M107"/>
  <c r="N61"/>
  <c r="M61"/>
  <c r="N101"/>
  <c r="M101"/>
  <c r="N100"/>
  <c r="M100"/>
  <c r="N49"/>
  <c r="M49"/>
  <c r="N15"/>
  <c r="M15"/>
  <c r="N6"/>
  <c r="M6"/>
  <c r="N50"/>
  <c r="M50"/>
  <c r="N43"/>
  <c r="M43"/>
  <c r="N20"/>
  <c r="M20"/>
  <c r="N38"/>
  <c r="M38"/>
  <c r="N7"/>
  <c r="M7"/>
  <c r="N36"/>
  <c r="M36"/>
  <c r="N40"/>
  <c r="M40"/>
  <c r="N42"/>
  <c r="M42"/>
  <c r="N69"/>
  <c r="M69"/>
  <c r="N41"/>
  <c r="M41"/>
  <c r="N86"/>
  <c r="M86"/>
  <c r="N75"/>
  <c r="M75"/>
  <c r="N55"/>
  <c r="M55"/>
  <c r="N33"/>
  <c r="M33"/>
  <c r="N16"/>
  <c r="M16"/>
  <c r="N11"/>
  <c r="M11"/>
  <c r="N8"/>
  <c r="M8"/>
  <c r="N21"/>
  <c r="M21"/>
  <c r="N13"/>
  <c r="M13"/>
  <c r="N70"/>
  <c r="M70"/>
  <c r="N35"/>
  <c r="M35"/>
  <c r="N44"/>
  <c r="M44"/>
  <c r="N64"/>
  <c r="M64"/>
  <c r="N22"/>
  <c r="M22"/>
  <c r="N63"/>
  <c r="M63"/>
  <c r="N18"/>
  <c r="M18"/>
  <c r="N74"/>
  <c r="M74"/>
  <c r="N80"/>
  <c r="M80"/>
  <c r="N14"/>
  <c r="M14"/>
  <c r="N84"/>
  <c r="M84"/>
  <c r="N30"/>
  <c r="M30"/>
  <c r="N46"/>
  <c r="M46"/>
  <c r="N59"/>
  <c r="M59"/>
  <c r="N81"/>
  <c r="M81"/>
  <c r="N9"/>
  <c r="M9"/>
  <c r="N29"/>
  <c r="M29"/>
  <c r="N25"/>
  <c r="M25"/>
  <c r="N53"/>
  <c r="M53"/>
  <c r="N31"/>
  <c r="M31"/>
  <c r="N28"/>
  <c r="M28"/>
  <c r="N37"/>
  <c r="M37"/>
  <c r="N39"/>
  <c r="M39"/>
  <c r="N52"/>
  <c r="M52"/>
  <c r="N54"/>
  <c r="M54"/>
  <c r="N66"/>
  <c r="M66"/>
  <c r="N87"/>
  <c r="M87"/>
  <c r="N62"/>
  <c r="M62"/>
  <c r="N89"/>
  <c r="M89"/>
  <c r="N104"/>
  <c r="M104"/>
  <c r="N82"/>
  <c r="M82"/>
  <c r="N83"/>
  <c r="M83"/>
  <c r="N85"/>
  <c r="M85"/>
  <c r="N99"/>
  <c r="M99"/>
  <c r="N26"/>
  <c r="M26"/>
  <c r="N45"/>
  <c r="M45"/>
  <c r="N51"/>
  <c r="M51"/>
  <c r="N92"/>
  <c r="M92"/>
  <c r="N71"/>
  <c r="M71"/>
  <c r="N34"/>
  <c r="M34"/>
  <c r="N32"/>
  <c r="M32"/>
  <c r="N78"/>
  <c r="M78"/>
  <c r="N108"/>
  <c r="M108"/>
  <c r="N76"/>
  <c r="M76"/>
  <c r="N57"/>
  <c r="M57"/>
  <c r="N5"/>
  <c r="M5"/>
  <c r="N79"/>
  <c r="M79"/>
  <c r="M72"/>
  <c r="N72"/>
  <c r="M19"/>
  <c r="N19"/>
  <c r="N67"/>
  <c r="M67"/>
  <c r="N68"/>
  <c r="M68"/>
  <c r="M10"/>
  <c r="N10"/>
  <c r="M27"/>
  <c r="N27"/>
  <c r="N12"/>
  <c r="M12"/>
  <c r="N17"/>
  <c r="M17"/>
  <c r="N23"/>
  <c r="M23"/>
  <c r="I100" l="1"/>
  <c r="H100" s="1"/>
  <c r="I81"/>
  <c r="H81" s="1"/>
  <c r="I8"/>
  <c r="H8" s="1"/>
  <c r="I49"/>
  <c r="H49" s="1"/>
  <c r="I56"/>
  <c r="H56" s="1"/>
  <c r="I10"/>
  <c r="H10" s="1"/>
  <c r="I57"/>
  <c r="H57" s="1"/>
  <c r="I108"/>
  <c r="H108" s="1"/>
  <c r="I78"/>
  <c r="H78" s="1"/>
  <c r="I32"/>
  <c r="H32" s="1"/>
  <c r="I34"/>
  <c r="H34" s="1"/>
  <c r="I92"/>
  <c r="H92" s="1"/>
  <c r="I51"/>
  <c r="H51" s="1"/>
  <c r="I99"/>
  <c r="H99" s="1"/>
  <c r="I104"/>
  <c r="H104" s="1"/>
  <c r="I89"/>
  <c r="H89" s="1"/>
  <c r="I87"/>
  <c r="H87" s="1"/>
  <c r="I66"/>
  <c r="H66" s="1"/>
  <c r="I54"/>
  <c r="H54" s="1"/>
  <c r="I28"/>
  <c r="H28" s="1"/>
  <c r="I25"/>
  <c r="H25" s="1"/>
  <c r="I59"/>
  <c r="H59" s="1"/>
  <c r="I46"/>
  <c r="H46" s="1"/>
  <c r="I84"/>
  <c r="H84" s="1"/>
  <c r="I14"/>
  <c r="H14" s="1"/>
  <c r="I80"/>
  <c r="H80" s="1"/>
  <c r="I18"/>
  <c r="H18" s="1"/>
  <c r="I63"/>
  <c r="H63" s="1"/>
  <c r="I22"/>
  <c r="H22" s="1"/>
  <c r="I35"/>
  <c r="H35" s="1"/>
  <c r="I11"/>
  <c r="H11" s="1"/>
  <c r="I33"/>
  <c r="H33" s="1"/>
  <c r="I75"/>
  <c r="H75" s="1"/>
  <c r="I41"/>
  <c r="I69"/>
  <c r="H69" s="1"/>
  <c r="I42"/>
  <c r="H42" s="1"/>
  <c r="I7"/>
  <c r="H7" s="1"/>
  <c r="I38"/>
  <c r="H38" s="1"/>
  <c r="I43"/>
  <c r="H43" s="1"/>
  <c r="I6"/>
  <c r="H6" s="1"/>
  <c r="I101"/>
  <c r="H101" s="1"/>
  <c r="I96"/>
  <c r="H96" s="1"/>
  <c r="I90"/>
  <c r="H90" s="1"/>
  <c r="I58"/>
  <c r="H58" s="1"/>
  <c r="I48"/>
  <c r="H48" s="1"/>
  <c r="I109"/>
  <c r="H109" s="1"/>
  <c r="I73"/>
  <c r="H73" s="1"/>
  <c r="I88"/>
  <c r="H88" s="1"/>
  <c r="I98"/>
  <c r="H98" s="1"/>
  <c r="H41"/>
  <c r="I17"/>
  <c r="H17" s="1"/>
  <c r="I76"/>
  <c r="H76" s="1"/>
  <c r="I45"/>
  <c r="H45" s="1"/>
  <c r="I83"/>
  <c r="H83" s="1"/>
  <c r="I62"/>
  <c r="H62" s="1"/>
  <c r="I52"/>
  <c r="H52" s="1"/>
  <c r="I37"/>
  <c r="H37" s="1"/>
  <c r="I31"/>
  <c r="H31" s="1"/>
  <c r="I53"/>
  <c r="H53" s="1"/>
  <c r="I9"/>
  <c r="H9" s="1"/>
  <c r="I30"/>
  <c r="H30" s="1"/>
  <c r="I74"/>
  <c r="H74" s="1"/>
  <c r="I64"/>
  <c r="H64" s="1"/>
  <c r="I44"/>
  <c r="H44" s="1"/>
  <c r="I13"/>
  <c r="H13" s="1"/>
  <c r="I16"/>
  <c r="H16" s="1"/>
  <c r="I55"/>
  <c r="H55" s="1"/>
  <c r="I86"/>
  <c r="H86" s="1"/>
  <c r="I40"/>
  <c r="H40" s="1"/>
  <c r="I20"/>
  <c r="H20" s="1"/>
  <c r="I15"/>
  <c r="H15" s="1"/>
  <c r="I61"/>
  <c r="H61" s="1"/>
  <c r="I105"/>
  <c r="H105" s="1"/>
  <c r="I102"/>
  <c r="H102" s="1"/>
  <c r="I91"/>
  <c r="H91" s="1"/>
  <c r="I77"/>
  <c r="H77" s="1"/>
  <c r="I95"/>
  <c r="H95" s="1"/>
  <c r="I103"/>
  <c r="H103" s="1"/>
  <c r="I94"/>
  <c r="H94" s="1"/>
  <c r="I65"/>
  <c r="H65" s="1"/>
  <c r="I93"/>
  <c r="H93" s="1"/>
  <c r="I29"/>
  <c r="H29" s="1"/>
  <c r="I26"/>
  <c r="H26" s="1"/>
  <c r="I82"/>
  <c r="H82" s="1"/>
  <c r="I21"/>
  <c r="H21" s="1"/>
  <c r="I5"/>
  <c r="H5" s="1"/>
  <c r="I72"/>
  <c r="H72" s="1"/>
  <c r="I50"/>
  <c r="H50" s="1"/>
  <c r="I85"/>
  <c r="H85" s="1"/>
  <c r="I70"/>
  <c r="H70" s="1"/>
  <c r="I24"/>
  <c r="H24" s="1"/>
  <c r="I97"/>
  <c r="H97" s="1"/>
  <c r="I71"/>
  <c r="H71" s="1"/>
  <c r="I39"/>
  <c r="H39" s="1"/>
  <c r="I36"/>
  <c r="H36" s="1"/>
  <c r="I107"/>
  <c r="H107" s="1"/>
  <c r="I110"/>
  <c r="H110" s="1"/>
  <c r="I60"/>
  <c r="H60" s="1"/>
  <c r="I106"/>
  <c r="H106" s="1"/>
  <c r="I47"/>
  <c r="H47" s="1"/>
  <c r="I23"/>
  <c r="H23" s="1"/>
  <c r="I12"/>
  <c r="H12" s="1"/>
  <c r="I68"/>
  <c r="H68" s="1"/>
  <c r="I67"/>
  <c r="H67" s="1"/>
  <c r="I19"/>
  <c r="H19" s="1"/>
  <c r="I79"/>
  <c r="H79" s="1"/>
  <c r="I27"/>
  <c r="H27" s="1"/>
</calcChain>
</file>

<file path=xl/sharedStrings.xml><?xml version="1.0" encoding="utf-8"?>
<sst xmlns="http://schemas.openxmlformats.org/spreadsheetml/2006/main" count="1069" uniqueCount="987">
  <si>
    <t>Name</t>
  </si>
  <si>
    <t>RA</t>
  </si>
  <si>
    <t>Dec</t>
  </si>
  <si>
    <t>Sep</t>
  </si>
  <si>
    <t>M1</t>
  </si>
  <si>
    <t>M2</t>
  </si>
  <si>
    <t>WDS ID</t>
  </si>
  <si>
    <t>NEML 1-6.5</t>
  </si>
  <si>
    <t>CO 0.00-0.99</t>
  </si>
  <si>
    <t>dNEML</t>
  </si>
  <si>
    <t>TML_M2</t>
  </si>
  <si>
    <t>dM'</t>
  </si>
  <si>
    <t>M1'</t>
  </si>
  <si>
    <t>M2'</t>
  </si>
  <si>
    <t>M1''</t>
  </si>
  <si>
    <t>TML_M2 Ap</t>
  </si>
  <si>
    <t>pA'</t>
  </si>
  <si>
    <t>pA</t>
  </si>
  <si>
    <t>Dawes
pA1</t>
  </si>
  <si>
    <t>f(dM)
pA2</t>
  </si>
  <si>
    <t>f(m1)
pA3</t>
  </si>
  <si>
    <t>f(m2)
pA4</t>
  </si>
  <si>
    <t>f(NELM)
pA5</t>
  </si>
  <si>
    <t>WDS18373+0732</t>
  </si>
  <si>
    <t>STF2346, ADS8592, BD+07 03774</t>
  </si>
  <si>
    <t>18h 37m 15,3s</t>
  </si>
  <si>
    <t>+07:31:42,8</t>
  </si>
  <si>
    <t>WDS17524+0834</t>
  </si>
  <si>
    <t>AHD7, ADS8592, BD+08 03520</t>
  </si>
  <si>
    <t>17h 52m 24,4s</t>
  </si>
  <si>
    <t>+08:34:16,9</t>
  </si>
  <si>
    <t>WDS17312-1709</t>
  </si>
  <si>
    <t>HJ590, ADS8592, BD-17 04834</t>
  </si>
  <si>
    <t>17h 31m 12,8s</t>
  </si>
  <si>
    <t>-17:08:31,7</t>
  </si>
  <si>
    <t>WDS18281+0709</t>
  </si>
  <si>
    <t>J95, ADS8592</t>
  </si>
  <si>
    <t>18h 28m 05,5s</t>
  </si>
  <si>
    <t>+07:09:08,4</t>
  </si>
  <si>
    <t>WDS17470+0542</t>
  </si>
  <si>
    <t>STF2216, ADS8592, BD+05 03494</t>
  </si>
  <si>
    <t>17h 47m 02,2s</t>
  </si>
  <si>
    <t>+05:41:30,6</t>
  </si>
  <si>
    <t>WDS18427+1152</t>
  </si>
  <si>
    <t>AG364, ADS8592, BD+11 03571</t>
  </si>
  <si>
    <t>18h 42m 39,7s</t>
  </si>
  <si>
    <t>+11:51:18,9</t>
  </si>
  <si>
    <t>WDS17301+1019</t>
  </si>
  <si>
    <t>GRV958, ADS8592, BD+10 03221</t>
  </si>
  <si>
    <t>17h 30m 09,0s</t>
  </si>
  <si>
    <t>+10:19:42,8</t>
  </si>
  <si>
    <t>WDS16275-2440</t>
  </si>
  <si>
    <t>YLW16, ADS8592</t>
  </si>
  <si>
    <t>16h 27m 28,0s</t>
  </si>
  <si>
    <t>-24:39:35,5</t>
  </si>
  <si>
    <t>WDS17531+1401</t>
  </si>
  <si>
    <t>HJ1306, ADS8592, BD+14 03357</t>
  </si>
  <si>
    <t>17h 53m 08,8s</t>
  </si>
  <si>
    <t>+14:00:34,9</t>
  </si>
  <si>
    <t>WDS17219-1846</t>
  </si>
  <si>
    <t>SLE14, ADS8592</t>
  </si>
  <si>
    <t>17h 21m 52,9s</t>
  </si>
  <si>
    <t>-18:46:11,9</t>
  </si>
  <si>
    <t>WDS18334+0816</t>
  </si>
  <si>
    <t>STT355, ADS8592, BD+08 03741</t>
  </si>
  <si>
    <t>18h 33m 23,3s</t>
  </si>
  <si>
    <t>+08:16:05,7</t>
  </si>
  <si>
    <t>WDS18350+1127</t>
  </si>
  <si>
    <t>STF2341, ADS8592, BD+11 03513</t>
  </si>
  <si>
    <t>18h 34m 58,1s</t>
  </si>
  <si>
    <t>+11:26:32,2</t>
  </si>
  <si>
    <t>WDS17311+1027</t>
  </si>
  <si>
    <t>STF2176, ADS8592, BD+10 03225</t>
  </si>
  <si>
    <t>17h 31m 06,5s</t>
  </si>
  <si>
    <t>+10:26:57,5</t>
  </si>
  <si>
    <t>WDS17348+0601</t>
  </si>
  <si>
    <t>STF2185, ADS8592, BD+06 03456</t>
  </si>
  <si>
    <t>17h 34m 48,5s</t>
  </si>
  <si>
    <t>+06:01:25,8</t>
  </si>
  <si>
    <t>WDS17371-1636</t>
  </si>
  <si>
    <t>BHA58, ADS8592, BD-16 04567</t>
  </si>
  <si>
    <t>17h 37m 04,5s</t>
  </si>
  <si>
    <t>-16:36:10,7</t>
  </si>
  <si>
    <t>WDS17300-0825</t>
  </si>
  <si>
    <t>STF2169, ADS8592, BD-08 04447</t>
  </si>
  <si>
    <t>17h 30m 00,0s</t>
  </si>
  <si>
    <t>-08:24:51,8</t>
  </si>
  <si>
    <t>WDS18078+1304</t>
  </si>
  <si>
    <t>H574, ADS8592, BD+13 03529</t>
  </si>
  <si>
    <t>18h 07m 48,3s</t>
  </si>
  <si>
    <t>+13:04:16,0</t>
  </si>
  <si>
    <t>WDS17264-1931</t>
  </si>
  <si>
    <t>HJ4953, ADS8592, BD-19 04632</t>
  </si>
  <si>
    <t>17h 26m 24,0s</t>
  </si>
  <si>
    <t>-19:31:04,3</t>
  </si>
  <si>
    <t>WDS16514+0109</t>
  </si>
  <si>
    <t>STF2105, ADS8592, BD+01 03322</t>
  </si>
  <si>
    <t>16h 51m 22,8s</t>
  </si>
  <si>
    <t>+01:09:05,4</t>
  </si>
  <si>
    <t>WDS17241+0304</t>
  </si>
  <si>
    <t>STF2158, ADS8592, BD+03 03397</t>
  </si>
  <si>
    <t>17h 24m 03,4s</t>
  </si>
  <si>
    <t>+03:04:03,4</t>
  </si>
  <si>
    <t>WDS18065+0920</t>
  </si>
  <si>
    <t>ARN9001, ADS8592, BD+09 03561</t>
  </si>
  <si>
    <t>18h 06m 30,8s</t>
  </si>
  <si>
    <t>+09:20:25,1</t>
  </si>
  <si>
    <t>WDS16430+0327</t>
  </si>
  <si>
    <t>STF2081, ADS8592, BD+03 03254</t>
  </si>
  <si>
    <t>16h 43m 02,9s</t>
  </si>
  <si>
    <t>+03:27:15,7</t>
  </si>
  <si>
    <t>WDS17275+0428</t>
  </si>
  <si>
    <t>GRV956, ADS8592, BD+04 03424</t>
  </si>
  <si>
    <t>17h 27m 32,4s</t>
  </si>
  <si>
    <t>+04:28:44,5</t>
  </si>
  <si>
    <t>WDS17174-0752</t>
  </si>
  <si>
    <t>STF2144, ADS8592, BD-07 04419</t>
  </si>
  <si>
    <t>17h 17m 23,3s</t>
  </si>
  <si>
    <t>-07:52:09,0</t>
  </si>
  <si>
    <t>WDS17167-1709</t>
  </si>
  <si>
    <t>STN34, ADS8592, BD-16 04463</t>
  </si>
  <si>
    <t>17h 16m 42,4s</t>
  </si>
  <si>
    <t>-17:09:11,5</t>
  </si>
  <si>
    <t>WDS18041+0628</t>
  </si>
  <si>
    <t>STF2265, ADS8592, BD+06 03607</t>
  </si>
  <si>
    <t>18h 04m 05,2s</t>
  </si>
  <si>
    <t>+06:27:36,6</t>
  </si>
  <si>
    <t>WDS17012-2941</t>
  </si>
  <si>
    <t>HO554, ADS8592</t>
  </si>
  <si>
    <t>17h 01m 12,6s</t>
  </si>
  <si>
    <t>-29:41:03,6</t>
  </si>
  <si>
    <t>WDS17355-0556</t>
  </si>
  <si>
    <t>STF2183, ADS8592</t>
  </si>
  <si>
    <t>17h 35m 30,1s</t>
  </si>
  <si>
    <t>-05:55:53,6</t>
  </si>
  <si>
    <t>WDS18255+0756</t>
  </si>
  <si>
    <t>J2580, ADS8592</t>
  </si>
  <si>
    <t>18h 25m 32,5s</t>
  </si>
  <si>
    <t>+07:56:48,9</t>
  </si>
  <si>
    <t>WDS16265+0042</t>
  </si>
  <si>
    <t>BVD118, ADS8592</t>
  </si>
  <si>
    <t>16h 26m 28,7s</t>
  </si>
  <si>
    <t>+00:42:21,3</t>
  </si>
  <si>
    <t>WDS18130+1103</t>
  </si>
  <si>
    <t>TOB273, ADS8592</t>
  </si>
  <si>
    <t>18h 12m 58,3s</t>
  </si>
  <si>
    <t>+11:03:01,5</t>
  </si>
  <si>
    <t>WDS16395-1744</t>
  </si>
  <si>
    <t>HJ4879, ADS8592</t>
  </si>
  <si>
    <t>16h 39m 28,8s</t>
  </si>
  <si>
    <t>-17:43:54,6</t>
  </si>
  <si>
    <t>WDS17091-1815</t>
  </si>
  <si>
    <t>HJ4923, ADS8592, BD-18 04427</t>
  </si>
  <si>
    <t>17h 09m 07,5s</t>
  </si>
  <si>
    <t>-18:15:22,8</t>
  </si>
  <si>
    <t>WDS17527-0757</t>
  </si>
  <si>
    <t>STF2234, ADS8592, BD-07 04515</t>
  </si>
  <si>
    <t>17h 52m 44,0s</t>
  </si>
  <si>
    <t>-07:56:54,2</t>
  </si>
  <si>
    <t>WDS16516+0028</t>
  </si>
  <si>
    <t>GRV940, ADS8592, BD+00 03589</t>
  </si>
  <si>
    <t>16h 51m 37,0s</t>
  </si>
  <si>
    <t>+00:28:41,9</t>
  </si>
  <si>
    <t>WDS17085-2013</t>
  </si>
  <si>
    <t>HJ4922, ADS8592, BD-20 04646</t>
  </si>
  <si>
    <t>17h 08m 32,5s</t>
  </si>
  <si>
    <t>-20:13:03,0</t>
  </si>
  <si>
    <t>WDS18132+1053</t>
  </si>
  <si>
    <t>ROE121, ADS8592</t>
  </si>
  <si>
    <t>18h 13m 10,6s</t>
  </si>
  <si>
    <t>+10:53:16,2</t>
  </si>
  <si>
    <t>WDS17503+0415</t>
  </si>
  <si>
    <t>HJ855, ADS8592, BD+04 03520</t>
  </si>
  <si>
    <t>17h 50m 20,2s</t>
  </si>
  <si>
    <t>+04:14:38,7</t>
  </si>
  <si>
    <t>WDS17166+0325</t>
  </si>
  <si>
    <t>STF2141, ADS8592, BD+03 03375</t>
  </si>
  <si>
    <t>17h 16m 36,9s</t>
  </si>
  <si>
    <t>+03:24:30,4</t>
  </si>
  <si>
    <t>WDS16207-0356</t>
  </si>
  <si>
    <t>STF3103, ADS8592, BD-03 03921</t>
  </si>
  <si>
    <t>16h 20m 44,5s</t>
  </si>
  <si>
    <t>-03:55:44,6</t>
  </si>
  <si>
    <t>WDS18103+0235</t>
  </si>
  <si>
    <t>STF2287, ADS8592, BD+02 03516</t>
  </si>
  <si>
    <t>18h 10m 20,6s</t>
  </si>
  <si>
    <t>+02:35:10,1</t>
  </si>
  <si>
    <t>WDS16540-2857</t>
  </si>
  <si>
    <t>HJ4895, ADS8592, CD-28 12548</t>
  </si>
  <si>
    <t>16h 53m 58,0s</t>
  </si>
  <si>
    <t>-28:57:08,1</t>
  </si>
  <si>
    <t>WDS16265-0042</t>
  </si>
  <si>
    <t>SKF917, ADS8592, BD-00 03113</t>
  </si>
  <si>
    <t>-00:42:21,2</t>
  </si>
  <si>
    <t>WDS16111-0814</t>
  </si>
  <si>
    <t>MTL1, ADS8592, BD-07 04219</t>
  </si>
  <si>
    <t>16h 11m 05,0s</t>
  </si>
  <si>
    <t>-08:13:49,0</t>
  </si>
  <si>
    <t>WDS17318+1040</t>
  </si>
  <si>
    <t>AG355, ADS8592, BD+10 03229</t>
  </si>
  <si>
    <t>17h 31m 47,7s</t>
  </si>
  <si>
    <t>+10:39:32,9</t>
  </si>
  <si>
    <t>WDS17495+0911</t>
  </si>
  <si>
    <t>GRV964, ADS8592, BD+09 03481</t>
  </si>
  <si>
    <t>17h 49m 34,4s</t>
  </si>
  <si>
    <t>+09:11:29,5</t>
  </si>
  <si>
    <t>WDS17148+1000</t>
  </si>
  <si>
    <t>STF2143, ADS8592, BD+10 03169</t>
  </si>
  <si>
    <t>17h 14m 50,0s</t>
  </si>
  <si>
    <t>+09:59:37,2</t>
  </si>
  <si>
    <t>WDS18104+0232</t>
  </si>
  <si>
    <t>STF2288, ADS8592, BD+02 03517</t>
  </si>
  <si>
    <t>18h 10m 23,3s</t>
  </si>
  <si>
    <t>+02:31:46,2</t>
  </si>
  <si>
    <t>WDS18152+0229</t>
  </si>
  <si>
    <t>BAL1961, ADS8592, BD+02 03544</t>
  </si>
  <si>
    <t>18h 15m 10,4s</t>
  </si>
  <si>
    <t>+02:29:25,1</t>
  </si>
  <si>
    <t>WDS17078-2835</t>
  </si>
  <si>
    <t>HJ4919, ADS8592, CD-28 12845</t>
  </si>
  <si>
    <t>17h 07m 49,5s</t>
  </si>
  <si>
    <t>-28:34:48,4</t>
  </si>
  <si>
    <t>WDS18310+0924</t>
  </si>
  <si>
    <t>HJ860, ADS8592, BD+09 03746</t>
  </si>
  <si>
    <t>18h 30m 56,8s</t>
  </si>
  <si>
    <t>+09:24:32,6</t>
  </si>
  <si>
    <t>WDS18396+1146</t>
  </si>
  <si>
    <t>AG363, ADS8592, BD+11 03546</t>
  </si>
  <si>
    <t>18h 39m 34,3s</t>
  </si>
  <si>
    <t>+11:46:00,7</t>
  </si>
  <si>
    <t>HJ4879, ADS8592, BD-17 04611</t>
  </si>
  <si>
    <t>WDS16138-0739</t>
  </si>
  <si>
    <t>STF2018, ADS8592, BD-07 04234</t>
  </si>
  <si>
    <t>16h 13m 46,3s</t>
  </si>
  <si>
    <t>-07:38:44,5</t>
  </si>
  <si>
    <t>WDS18006+0256</t>
  </si>
  <si>
    <t>BU634, ADS8592</t>
  </si>
  <si>
    <t>18h 00m 40,9s</t>
  </si>
  <si>
    <t>+02:55:10,6</t>
  </si>
  <si>
    <t>18h 00m 38,7s</t>
  </si>
  <si>
    <t>+02:55:53,7</t>
  </si>
  <si>
    <t>WDS18276+0633</t>
  </si>
  <si>
    <t>BU464, ADS8592</t>
  </si>
  <si>
    <t>18h 27m 35,8s</t>
  </si>
  <si>
    <t>+06:32:59,0</t>
  </si>
  <si>
    <t>WDS18153+0305</t>
  </si>
  <si>
    <t>SLE146, ADS8592</t>
  </si>
  <si>
    <t>18h 15m 19,6s</t>
  </si>
  <si>
    <t>+03:05:25,7</t>
  </si>
  <si>
    <t>WDS18249+0819</t>
  </si>
  <si>
    <t>SLE171, ADS8592</t>
  </si>
  <si>
    <t>18h 24m 53,6s</t>
  </si>
  <si>
    <t>+08:18:51,6</t>
  </si>
  <si>
    <t>WDS18081+0343</t>
  </si>
  <si>
    <t>BAL2474, ADS8592</t>
  </si>
  <si>
    <t>18h 08m 03,4s</t>
  </si>
  <si>
    <t>+03:43:12,1</t>
  </si>
  <si>
    <t>WDS17370+0524</t>
  </si>
  <si>
    <t>GRV962, ADS8592, BD+05 03436</t>
  </si>
  <si>
    <t>17h 37m 03,7s</t>
  </si>
  <si>
    <t>+05:24:11,5</t>
  </si>
  <si>
    <t>WDS17427-2222</t>
  </si>
  <si>
    <t>HJ591, ADS8592, CD-22 04397</t>
  </si>
  <si>
    <t>17h 42m 40,5s</t>
  </si>
  <si>
    <t>-22:22:11,0</t>
  </si>
  <si>
    <t>WDS16263+0211</t>
  </si>
  <si>
    <t>BAL1915, ADS8592</t>
  </si>
  <si>
    <t>16h 26m 17,5s</t>
  </si>
  <si>
    <t>+02:10:44,7</t>
  </si>
  <si>
    <t>WDS18081+0213</t>
  </si>
  <si>
    <t>BU636, ADS8592</t>
  </si>
  <si>
    <t>18h 08m 07,2s</t>
  </si>
  <si>
    <t>+02:13:07,2</t>
  </si>
  <si>
    <t>WDS17507+0755</t>
  </si>
  <si>
    <t>STF2230, ADS8592, BD+07 03483</t>
  </si>
  <si>
    <t>17h 50m 43,2s</t>
  </si>
  <si>
    <t>+07:55:21,7</t>
  </si>
  <si>
    <t>STF2230, ADS8592</t>
  </si>
  <si>
    <t>17h 50m 40,1s</t>
  </si>
  <si>
    <t>+07:55:18,8</t>
  </si>
  <si>
    <t>WDS18237+0829</t>
  </si>
  <si>
    <t>ROE100, ADS8592, BD+08 03670</t>
  </si>
  <si>
    <t>18h 23m 43,3s</t>
  </si>
  <si>
    <t>+08:28:52,7</t>
  </si>
  <si>
    <t>WDS17487+0110</t>
  </si>
  <si>
    <t>STF2221, ADS8592, BD+01 03516</t>
  </si>
  <si>
    <t>17h 48m 43,8s</t>
  </si>
  <si>
    <t>+01:09:51,1</t>
  </si>
  <si>
    <t>WDS16307-2127</t>
  </si>
  <si>
    <t>JKS11, ADS8592, BD-21 04377</t>
  </si>
  <si>
    <t>16h 30m 40,2s</t>
  </si>
  <si>
    <t>-21:27:07,9</t>
  </si>
  <si>
    <t>WDS18235+0748</t>
  </si>
  <si>
    <t>SLE340, ADS8592</t>
  </si>
  <si>
    <t>18h 23m 29,6s</t>
  </si>
  <si>
    <t>+07:48:08,8</t>
  </si>
  <si>
    <t>WDS16273-2429</t>
  </si>
  <si>
    <t>YLW12, ADS8592</t>
  </si>
  <si>
    <t>16h 27m 17,6s</t>
  </si>
  <si>
    <t>-24:28:56,3</t>
  </si>
  <si>
    <t>WDS16363+0238</t>
  </si>
  <si>
    <t>BAL1918, ADS8592</t>
  </si>
  <si>
    <t>16h 36m 17,4s</t>
  </si>
  <si>
    <t>+02:37:21,4</t>
  </si>
  <si>
    <t>WDS17215+0203</t>
  </si>
  <si>
    <t>BAL1935, ADS8592</t>
  </si>
  <si>
    <t>17h 21m 33,3s</t>
  </si>
  <si>
    <t>+02:03:36,9</t>
  </si>
  <si>
    <t>WDS17050-0504</t>
  </si>
  <si>
    <t>LDS585, ADS8592</t>
  </si>
  <si>
    <t>17h 05m 03,4s</t>
  </si>
  <si>
    <t>-05:03:59,4</t>
  </si>
  <si>
    <t>WDS18397+0704</t>
  </si>
  <si>
    <t>J102, ADS8592</t>
  </si>
  <si>
    <t>18h 39m 40,6s</t>
  </si>
  <si>
    <t>+07:05:19,4</t>
  </si>
  <si>
    <t>WDS18301+0404</t>
  </si>
  <si>
    <t>STF2322, ADS8592</t>
  </si>
  <si>
    <t>18h 30m 05,1s</t>
  </si>
  <si>
    <t>+04:03:55,3</t>
  </si>
  <si>
    <t>WDS18243+0347</t>
  </si>
  <si>
    <t>BAL2490, ADS8592, BD+03 03699</t>
  </si>
  <si>
    <t>18h 24m 16,4s</t>
  </si>
  <si>
    <t>+03:46:32,9</t>
  </si>
  <si>
    <t>WDS16485+0237</t>
  </si>
  <si>
    <t>BAL1927, ADS8592, BD+02 03179</t>
  </si>
  <si>
    <t>16h 48m 32,9s</t>
  </si>
  <si>
    <t>+02:36:35,4</t>
  </si>
  <si>
    <t>WDS17512+0317</t>
  </si>
  <si>
    <t>BAL2455, ADS8592</t>
  </si>
  <si>
    <t>17h 51m 10,8s</t>
  </si>
  <si>
    <t>+03:17:02,7</t>
  </si>
  <si>
    <t>WDS18382+0909</t>
  </si>
  <si>
    <t>TOB292, ADS8592</t>
  </si>
  <si>
    <t>18h 38m 10,7s</t>
  </si>
  <si>
    <t>+09:09:08,7</t>
  </si>
  <si>
    <t>WDS16100-0815</t>
  </si>
  <si>
    <t>STF2012, ADS8592, BD-07 04215</t>
  </si>
  <si>
    <t>16h 09m 59,9s</t>
  </si>
  <si>
    <t>-08:15:05,7</t>
  </si>
  <si>
    <t>STF2183, ADS8592, BD-05 04465</t>
  </si>
  <si>
    <t>WDS16458-0116</t>
  </si>
  <si>
    <t>STE12, ADS8592, BD-01 03243</t>
  </si>
  <si>
    <t>16h 45m 49,2s</t>
  </si>
  <si>
    <t>-01:15:50,7</t>
  </si>
  <si>
    <t>WDS16235+0213</t>
  </si>
  <si>
    <t>STF2038, ADS8592, BD+02 03091</t>
  </si>
  <si>
    <t>16h 23m 31,5s</t>
  </si>
  <si>
    <t>+02:12:52,5</t>
  </si>
  <si>
    <t>WDS16057-0617</t>
  </si>
  <si>
    <t>STF2005, ADS8592</t>
  </si>
  <si>
    <t>16h 05m 44,5s</t>
  </si>
  <si>
    <t>-06:17:28,1</t>
  </si>
  <si>
    <t>WDS17148+0405</t>
  </si>
  <si>
    <t>BAL2882, ADS8592, BD+04 03363</t>
  </si>
  <si>
    <t>17h 14m 45,1s</t>
  </si>
  <si>
    <t>+04:05:37,9</t>
  </si>
  <si>
    <t>WDS18280+0400</t>
  </si>
  <si>
    <t>BAL2494, ADS8592</t>
  </si>
  <si>
    <t>18h 27m 58,4s</t>
  </si>
  <si>
    <t>+03:59:28,3</t>
  </si>
  <si>
    <t>WDS17056+0530</t>
  </si>
  <si>
    <t>SKF14, ADS8592</t>
  </si>
  <si>
    <t>17h 05m 37,9s</t>
  </si>
  <si>
    <t>+05:30:22,0</t>
  </si>
  <si>
    <t>WDS18335+0726</t>
  </si>
  <si>
    <t>SCJ18, ADS8592</t>
  </si>
  <si>
    <t>18h 33m 27,0s</t>
  </si>
  <si>
    <t>+07:25:49,0</t>
  </si>
  <si>
    <t>WDS17191+0412</t>
  </si>
  <si>
    <t>J451, ADS8592</t>
  </si>
  <si>
    <t>17h 19m 03,8s</t>
  </si>
  <si>
    <t>+04:11:30,2</t>
  </si>
  <si>
    <t>WDS18127+0456</t>
  </si>
  <si>
    <t>BAL2921, ADS8592</t>
  </si>
  <si>
    <t>18h 12m 41,1s</t>
  </si>
  <si>
    <t>+04:56:03,4</t>
  </si>
  <si>
    <t>WDS18390+0624</t>
  </si>
  <si>
    <t>SLE498, ADS8592</t>
  </si>
  <si>
    <t>18h 39m 01,3s</t>
  </si>
  <si>
    <t>+06:23:52,8</t>
  </si>
  <si>
    <t>WDS16595+0942</t>
  </si>
  <si>
    <t>STF2111, ADS8592, BD+09 03304</t>
  </si>
  <si>
    <t>16h 59m 30,9s</t>
  </si>
  <si>
    <t>+09:40:58,6</t>
  </si>
  <si>
    <t>WDS18210+0210</t>
  </si>
  <si>
    <t>TOB286, ADS8592</t>
  </si>
  <si>
    <t>18h 20m 59,1s</t>
  </si>
  <si>
    <t>+02:09:33,0</t>
  </si>
  <si>
    <t>WDS17200+0446</t>
  </si>
  <si>
    <t>BAL2888, ADS8592</t>
  </si>
  <si>
    <t>17h 20m 05,2s</t>
  </si>
  <si>
    <t>+04:45:29,4</t>
  </si>
  <si>
    <t>WDS18379+0905</t>
  </si>
  <si>
    <t>TOB293, ADS8592</t>
  </si>
  <si>
    <t>18h 37m 53,0s</t>
  </si>
  <si>
    <t>+09:04:54,7</t>
  </si>
  <si>
    <t>WDS16512+1122</t>
  </si>
  <si>
    <t>BPM671, ADS8592</t>
  </si>
  <si>
    <t>16h 51m 10,9s</t>
  </si>
  <si>
    <t>+11:21:55,5</t>
  </si>
  <si>
    <t>WDS18075+0029</t>
  </si>
  <si>
    <t>CBL166, ADS8592</t>
  </si>
  <si>
    <t>18h 07m 28,9s</t>
  </si>
  <si>
    <t>+00:29:27,2</t>
  </si>
  <si>
    <t>WDS17269+0437</t>
  </si>
  <si>
    <t>BAL2892, ADS8592</t>
  </si>
  <si>
    <t>17h 26m 56,3s</t>
  </si>
  <si>
    <t>+04:36:39,7</t>
  </si>
  <si>
    <t>WDS17504+0433</t>
  </si>
  <si>
    <t>BAL2902, ADS8592</t>
  </si>
  <si>
    <t>17h 50m 28,9s</t>
  </si>
  <si>
    <t>+04:32:48,2</t>
  </si>
  <si>
    <t>17h 50m 28,8s</t>
  </si>
  <si>
    <t>+04:32:46,1</t>
  </si>
  <si>
    <t>WDS18088+0404</t>
  </si>
  <si>
    <t>BAL2915, ADS8592</t>
  </si>
  <si>
    <t>18h 08m 44,2s</t>
  </si>
  <si>
    <t>+04:04:39,7</t>
  </si>
  <si>
    <t>WDS18151+0448</t>
  </si>
  <si>
    <t>BAL2923, ADS8592</t>
  </si>
  <si>
    <t>18h 15m 09,1s</t>
  </si>
  <si>
    <t>+04:48:13,7</t>
  </si>
  <si>
    <t>WDS17184+0445</t>
  </si>
  <si>
    <t>SLE18, ADS8592</t>
  </si>
  <si>
    <t>17h 18m 23,8s</t>
  </si>
  <si>
    <t>+04:45:02,6</t>
  </si>
  <si>
    <t>WDS18130+0243</t>
  </si>
  <si>
    <t>BAL1959, ADS8592</t>
  </si>
  <si>
    <t>18h 13m 00,9s</t>
  </si>
  <si>
    <t>+02:42:20,6</t>
  </si>
  <si>
    <t>WDS18212+0315</t>
  </si>
  <si>
    <t>BAL2489, ADS8592</t>
  </si>
  <si>
    <t>18h 21m 13,2s</t>
  </si>
  <si>
    <t>+03:15:06,5</t>
  </si>
  <si>
    <t>WDS17061+0206</t>
  </si>
  <si>
    <t>BAL1931, ADS8592</t>
  </si>
  <si>
    <t>17h 06m 09,8s</t>
  </si>
  <si>
    <t>+02:06:05,0</t>
  </si>
  <si>
    <t>WDS17076+0332</t>
  </si>
  <si>
    <t>BAL2434, ADS8592</t>
  </si>
  <si>
    <t>17h 07m 32,9s</t>
  </si>
  <si>
    <t>+03:32:22,0</t>
  </si>
  <si>
    <t>WDS18267+0337</t>
  </si>
  <si>
    <t>BAL2493, ADS8592</t>
  </si>
  <si>
    <t>18h 26m 40,7s</t>
  </si>
  <si>
    <t>+03:36:21,0</t>
  </si>
  <si>
    <t>WDS18015+0324</t>
  </si>
  <si>
    <t>BAL2467, ADS8592</t>
  </si>
  <si>
    <t>18h 01m 25,9s</t>
  </si>
  <si>
    <t>+03:24:14,8</t>
  </si>
  <si>
    <t>WDS16326+0024</t>
  </si>
  <si>
    <t>TOB260, ADS8592</t>
  </si>
  <si>
    <t>16h 32m 33,6s</t>
  </si>
  <si>
    <t>+00:23:44,5</t>
  </si>
  <si>
    <t>WDS18176+0333</t>
  </si>
  <si>
    <t>BAL2487, ADS8592</t>
  </si>
  <si>
    <t>18h 17m 34,4s</t>
  </si>
  <si>
    <t>+03:32:58,1</t>
  </si>
  <si>
    <t>WDS18355+0748</t>
  </si>
  <si>
    <t>SLE359, ADS8592</t>
  </si>
  <si>
    <t>18h 35m 29,6s</t>
  </si>
  <si>
    <t>+07:47:38,6</t>
  </si>
  <si>
    <t>WDS17226+0410</t>
  </si>
  <si>
    <t>BAL2891, ADS8592</t>
  </si>
  <si>
    <t>17h 22m 33,5s</t>
  </si>
  <si>
    <t>+04:09:51,6</t>
  </si>
  <si>
    <t>WDS16269+0113</t>
  </si>
  <si>
    <t>BAL1471, ADS8592</t>
  </si>
  <si>
    <t>16h 26m 49,5s</t>
  </si>
  <si>
    <t>+01:13:56,5</t>
  </si>
  <si>
    <t>WDS18157+0400</t>
  </si>
  <si>
    <t>SLE147, ADS8592</t>
  </si>
  <si>
    <t>18h 15m 44,7s</t>
  </si>
  <si>
    <t>+03:59:53,2</t>
  </si>
  <si>
    <t>AG364, ADS8592</t>
  </si>
  <si>
    <t>WDS18318+0729</t>
  </si>
  <si>
    <t>SLE350, ADS8592</t>
  </si>
  <si>
    <t>18h 31m 46,3s</t>
  </si>
  <si>
    <t>+07:29:26,3</t>
  </si>
  <si>
    <t>WDS17029-2938</t>
  </si>
  <si>
    <t>RST1929, ADS8592, CD-29 13141</t>
  </si>
  <si>
    <t>17h 02m 59,1s</t>
  </si>
  <si>
    <t>-29:37:39,2</t>
  </si>
  <si>
    <t>WDS18260+0803</t>
  </si>
  <si>
    <t>SLE175, ADS8592</t>
  </si>
  <si>
    <t>18h 25m 58,9s</t>
  </si>
  <si>
    <t>+08:02:44,8</t>
  </si>
  <si>
    <t>WDS18065+0331</t>
  </si>
  <si>
    <t>SLE84, ADS8592</t>
  </si>
  <si>
    <t>18h 06m 29,1s</t>
  </si>
  <si>
    <t>+03:31:12,2</t>
  </si>
  <si>
    <t>WDS17344+1310</t>
  </si>
  <si>
    <t>STF2184, ADS8592, BD+13 03397</t>
  </si>
  <si>
    <t>17h 34m 22,0s</t>
  </si>
  <si>
    <t>+13:09:39,7</t>
  </si>
  <si>
    <t>WDS16517-0138</t>
  </si>
  <si>
    <t>SLE1, ADS8592, BD-01 03259</t>
  </si>
  <si>
    <t>16h 51m 41,9s</t>
  </si>
  <si>
    <t>-01:37:58,2</t>
  </si>
  <si>
    <t>WDS18399+0722</t>
  </si>
  <si>
    <t>STF2355, ADS8592, BD+07 03798</t>
  </si>
  <si>
    <t>18h 39m 51,6s</t>
  </si>
  <si>
    <t>+07:21:31,4</t>
  </si>
  <si>
    <t>WDS17510+1213</t>
  </si>
  <si>
    <t>STF2231, ADS8592, BD+12 03309</t>
  </si>
  <si>
    <t>17h 51m 12,3s</t>
  </si>
  <si>
    <t>+12:08:35,6</t>
  </si>
  <si>
    <t>WDS18144+0415</t>
  </si>
  <si>
    <t>SLE143, ADS8592</t>
  </si>
  <si>
    <t>18h 14m 22,4s</t>
  </si>
  <si>
    <t>+04:14:35,6</t>
  </si>
  <si>
    <t>WDS16580+0139</t>
  </si>
  <si>
    <t>BAL1480, ADS8592</t>
  </si>
  <si>
    <t>16h 57m 58,2s</t>
  </si>
  <si>
    <t>+01:38:13,7</t>
  </si>
  <si>
    <t>WDS18155+0441</t>
  </si>
  <si>
    <t>BAL2924, ADS8592</t>
  </si>
  <si>
    <t>18h 15m 33,0s</t>
  </si>
  <si>
    <t>+04:41:13,3</t>
  </si>
  <si>
    <t>WDS18183+0329</t>
  </si>
  <si>
    <t>BAL2488, ADS8592</t>
  </si>
  <si>
    <t>18h 18m 15,8s</t>
  </si>
  <si>
    <t>+03:29:32,0</t>
  </si>
  <si>
    <t>WDS18012+0324</t>
  </si>
  <si>
    <t>BAL2465, ADS8592</t>
  </si>
  <si>
    <t>18h 01m 08,1s</t>
  </si>
  <si>
    <t>+03:24:17,6</t>
  </si>
  <si>
    <t>SLE229, ADS8592</t>
  </si>
  <si>
    <t>18h 39m 34,0s</t>
  </si>
  <si>
    <t>+11:45:45,5</t>
  </si>
  <si>
    <t>WDS18246+0653</t>
  </si>
  <si>
    <t>SLE341, ADS8592</t>
  </si>
  <si>
    <t>18h 24m 37,2s</t>
  </si>
  <si>
    <t>+06:52:41,1</t>
  </si>
  <si>
    <t>WDS18240+0940</t>
  </si>
  <si>
    <t>SLE170, ADS8592</t>
  </si>
  <si>
    <t>18h 24m 01,1s</t>
  </si>
  <si>
    <t>+09:39:34,8</t>
  </si>
  <si>
    <t>WDS18097+0247</t>
  </si>
  <si>
    <t>BAL1955, ADS8592</t>
  </si>
  <si>
    <t>18h 09m 43,7s</t>
  </si>
  <si>
    <t>+02:47:04,1</t>
  </si>
  <si>
    <t>WDS17342+0235</t>
  </si>
  <si>
    <t>BAL1940, ADS8592</t>
  </si>
  <si>
    <t>17h 34m 12,4s</t>
  </si>
  <si>
    <t>+02:34:56,9</t>
  </si>
  <si>
    <t>16h 05m 43,0s</t>
  </si>
  <si>
    <t>-06:17:45,5</t>
  </si>
  <si>
    <t>WDS17349-0044</t>
  </si>
  <si>
    <t>BAL891, ADS8592</t>
  </si>
  <si>
    <t>17h 34m 56,9s</t>
  </si>
  <si>
    <t>-00:44:53,3</t>
  </si>
  <si>
    <t>WDS17083-1847</t>
  </si>
  <si>
    <t>ARA436, ADS8592</t>
  </si>
  <si>
    <t>17h 08m 14,9s</t>
  </si>
  <si>
    <t>-18:46:55,0</t>
  </si>
  <si>
    <t>WDS17194-1849</t>
  </si>
  <si>
    <t>SLE12, ADS8592</t>
  </si>
  <si>
    <t>17h 19m 26,0s</t>
  </si>
  <si>
    <t>-18:48:33,1</t>
  </si>
  <si>
    <t>BU9015, ADS8592</t>
  </si>
  <si>
    <t>WDS16447+0220</t>
  </si>
  <si>
    <t>STF2088, ADS8592, BD+02 03166</t>
  </si>
  <si>
    <t>16h 44m 42,4s</t>
  </si>
  <si>
    <t>+02:19:58,6</t>
  </si>
  <si>
    <t>WDS18090+0315</t>
  </si>
  <si>
    <t>BAL2477, ADS8592</t>
  </si>
  <si>
    <t>18h 08m 57,7s</t>
  </si>
  <si>
    <t>+03:14:33,7</t>
  </si>
  <si>
    <t>WDS16473+0257</t>
  </si>
  <si>
    <t>BAL2424, ADS8592</t>
  </si>
  <si>
    <t>16h 47m 17,8s</t>
  </si>
  <si>
    <t>+02:57:38,0</t>
  </si>
  <si>
    <t>WDS17331+0243</t>
  </si>
  <si>
    <t>BAL1939, ADS8592, BD+02 03342</t>
  </si>
  <si>
    <t>17h 32m 15,9s</t>
  </si>
  <si>
    <t>+02:40:53,0</t>
  </si>
  <si>
    <t>WDS18310+0648</t>
  </si>
  <si>
    <t>SLE349, ADS8592</t>
  </si>
  <si>
    <t>18h 30m 58,6s</t>
  </si>
  <si>
    <t>+06:47:41,2</t>
  </si>
  <si>
    <t>STF2231, ADS8592, BD+12 03308</t>
  </si>
  <si>
    <t>17h 51m 01,1s</t>
  </si>
  <si>
    <t>+12:12:48,2</t>
  </si>
  <si>
    <t>WDS18055+0230</t>
  </si>
  <si>
    <t>STF2272, ADS8592</t>
  </si>
  <si>
    <t>18h 05m 27,4s</t>
  </si>
  <si>
    <t>+02:29:56,4</t>
  </si>
  <si>
    <t>+02:29:59,3</t>
  </si>
  <si>
    <t>WDS17045+0345</t>
  </si>
  <si>
    <t>LDS987, ADS8592</t>
  </si>
  <si>
    <t>17h 04m 28,9s</t>
  </si>
  <si>
    <t>+03:44:25,8</t>
  </si>
  <si>
    <t>WDS18209+0323</t>
  </si>
  <si>
    <t>HJ5495, ADS8592, BD+03 03680</t>
  </si>
  <si>
    <t>18h 20m 52,1s</t>
  </si>
  <si>
    <t>+03:22:37,7</t>
  </si>
  <si>
    <t>WDS17533-0556</t>
  </si>
  <si>
    <t>HO561, ADS8592, BD-05 04523</t>
  </si>
  <si>
    <t>17h 53m 15,4s</t>
  </si>
  <si>
    <t>-05:55:43,8</t>
  </si>
  <si>
    <t>WDS16588+0358</t>
  </si>
  <si>
    <t>STF3107, ADS8592</t>
  </si>
  <si>
    <t>16h 58m 50,3s</t>
  </si>
  <si>
    <t>+03:58:01,3</t>
  </si>
  <si>
    <t>WDS17183+0459</t>
  </si>
  <si>
    <t>UC226, ADS8592</t>
  </si>
  <si>
    <t>17h 18m 15,1s</t>
  </si>
  <si>
    <t>+04:58:48,6</t>
  </si>
  <si>
    <t>WDS16583+1234</t>
  </si>
  <si>
    <t>GRV943, ADS8592</t>
  </si>
  <si>
    <t>16h 58m 18,6s</t>
  </si>
  <si>
    <t>+12:34:40,7</t>
  </si>
  <si>
    <t>WDS17473+0851</t>
  </si>
  <si>
    <t>BVD124, ADS8592</t>
  </si>
  <si>
    <t>17h 47m 15,5s</t>
  </si>
  <si>
    <t>+08:50:51,6</t>
  </si>
  <si>
    <t>WDS17595+0001</t>
  </si>
  <si>
    <t>BAL1191, ADS8592, BD+00 03829</t>
  </si>
  <si>
    <t>17h 59m 31,7s</t>
  </si>
  <si>
    <t>+00:01:15,2</t>
  </si>
  <si>
    <t>WDS18068+0853</t>
  </si>
  <si>
    <t>SLE133, ADS8592</t>
  </si>
  <si>
    <t>18h 06m 50,8s</t>
  </si>
  <si>
    <t>+08:52:33,4</t>
  </si>
  <si>
    <t>WDS17229-0223</t>
  </si>
  <si>
    <t>RAG9, ADS8592</t>
  </si>
  <si>
    <t>17h 22m 51,3s</t>
  </si>
  <si>
    <t>-02:23:17,4</t>
  </si>
  <si>
    <t>WDS17261-2353</t>
  </si>
  <si>
    <t>ARA2202, ADS8592, CD-23 13379</t>
  </si>
  <si>
    <t>17h 26m 08,1s</t>
  </si>
  <si>
    <t>-23:53:29,9</t>
  </si>
  <si>
    <t>WDS18107+0417</t>
  </si>
  <si>
    <t>BAL2917, ADS8592</t>
  </si>
  <si>
    <t>18h 10m 36,9s</t>
  </si>
  <si>
    <t>+04:17:14,6</t>
  </si>
  <si>
    <t>WDS17506+0445</t>
  </si>
  <si>
    <t>BAL2905, ADS8592</t>
  </si>
  <si>
    <t>17h 50m 36,6s</t>
  </si>
  <si>
    <t>+04:45:34,3</t>
  </si>
  <si>
    <t>WDS18229+0835</t>
  </si>
  <si>
    <t>ROE99, ADS8592</t>
  </si>
  <si>
    <t>18h 22m 52,1s</t>
  </si>
  <si>
    <t>+08:34:36,7</t>
  </si>
  <si>
    <t>WDS17171+0434</t>
  </si>
  <si>
    <t>BAL2884, ADS8592</t>
  </si>
  <si>
    <t>17h 17m 12,5s</t>
  </si>
  <si>
    <t>+04:34:23,2</t>
  </si>
  <si>
    <t>WDS17153-2636</t>
  </si>
  <si>
    <t>SHJ243, ADS8592</t>
  </si>
  <si>
    <t>17h 15m 20,8s</t>
  </si>
  <si>
    <t>-26:36:06,1</t>
  </si>
  <si>
    <t>WDS18349+0804</t>
  </si>
  <si>
    <t>SLE356, ADS8592</t>
  </si>
  <si>
    <t>18h 34m 52,8s</t>
  </si>
  <si>
    <t>+08:04:01,8</t>
  </si>
  <si>
    <t>WDS18048+1333</t>
  </si>
  <si>
    <t>HJ1312, ADS8592</t>
  </si>
  <si>
    <t>18h 04m 43,3s</t>
  </si>
  <si>
    <t>+13:33:33,7</t>
  </si>
  <si>
    <t>WDS18140+0009</t>
  </si>
  <si>
    <t>BAL1193, ADS8592</t>
  </si>
  <si>
    <t>18h 14m 00,3s</t>
  </si>
  <si>
    <t>+00:08:13,1</t>
  </si>
  <si>
    <t>WDS17379+0347</t>
  </si>
  <si>
    <t>BAL2444, ADS8592</t>
  </si>
  <si>
    <t>17h 37m 52,5s</t>
  </si>
  <si>
    <t>+03:47:46,9</t>
  </si>
  <si>
    <t>WDS17183+0931</t>
  </si>
  <si>
    <t>STT326, ADS8592, BD+09 03361</t>
  </si>
  <si>
    <t>17h 18m 15,8s</t>
  </si>
  <si>
    <t>+09:31:03,9</t>
  </si>
  <si>
    <t>WDS17553+0416</t>
  </si>
  <si>
    <t>BAL2906, ADS8592</t>
  </si>
  <si>
    <t>17h 55m 15,3s</t>
  </si>
  <si>
    <t>+04:15:43,5</t>
  </si>
  <si>
    <t>WDS16489-1649</t>
  </si>
  <si>
    <t>LDS4695, ADS8592</t>
  </si>
  <si>
    <t>16h 48m 54,9s</t>
  </si>
  <si>
    <t>-16:47:53,0</t>
  </si>
  <si>
    <t>WDS18103+0209</t>
  </si>
  <si>
    <t>DAL18, ADS8592</t>
  </si>
  <si>
    <t>18h 10m 19,5s</t>
  </si>
  <si>
    <t>+02:09:01,2</t>
  </si>
  <si>
    <t>WDS16290-0104</t>
  </si>
  <si>
    <t>BAL888, ADS8592, BD-00 03124</t>
  </si>
  <si>
    <t>16h 28m 58,8s</t>
  </si>
  <si>
    <t>-01:04:19,3</t>
  </si>
  <si>
    <t>WDS18068+1120</t>
  </si>
  <si>
    <t>SLE132, ADS8592</t>
  </si>
  <si>
    <t>18h 06m 49,9s</t>
  </si>
  <si>
    <t>+11:20:20,9</t>
  </si>
  <si>
    <t>18h 06m 49,2s</t>
  </si>
  <si>
    <t>+11:20:14,9</t>
  </si>
  <si>
    <t>WDS16261-0657</t>
  </si>
  <si>
    <t>JKS10, ADS8592, BD-06 04430</t>
  </si>
  <si>
    <t>16h 26m 05,8s</t>
  </si>
  <si>
    <t>-06:56:44,3</t>
  </si>
  <si>
    <t>WDS17599+0435</t>
  </si>
  <si>
    <t>GRV972, ADS8592</t>
  </si>
  <si>
    <t>17h 59m 57,8s</t>
  </si>
  <si>
    <t>+04:35:29,1</t>
  </si>
  <si>
    <t>FOX233, ADS8592</t>
  </si>
  <si>
    <t>+07:21:32,4</t>
  </si>
  <si>
    <t>WDS16482-2432</t>
  </si>
  <si>
    <t>HJ1294, ADS8592, CD-24 12834</t>
  </si>
  <si>
    <t>16h 48m 13,8s</t>
  </si>
  <si>
    <t>-24:31:35,8</t>
  </si>
  <si>
    <t>WDS17021+0713</t>
  </si>
  <si>
    <t>BU1537, ADS8592</t>
  </si>
  <si>
    <t>17h 02m 07,9s</t>
  </si>
  <si>
    <t>+07:12:48,9</t>
  </si>
  <si>
    <t>WDS18192+0716</t>
  </si>
  <si>
    <t>HJ5494, ADS8592, BD+07 03629</t>
  </si>
  <si>
    <t>18h 19m 09,6s</t>
  </si>
  <si>
    <t>+07:15:35,1</t>
  </si>
  <si>
    <t>WDS16276-2431</t>
  </si>
  <si>
    <t>HCH5, ADS8592</t>
  </si>
  <si>
    <t>16h 27m 37,2s</t>
  </si>
  <si>
    <t>-24:30:34,8</t>
  </si>
  <si>
    <t>WDS17391+0231</t>
  </si>
  <si>
    <t>BAL1941, ADS8592</t>
  </si>
  <si>
    <t>17h 39m 06,0s</t>
  </si>
  <si>
    <t>+02:29:23,5</t>
  </si>
  <si>
    <t>WDS18268+0659</t>
  </si>
  <si>
    <t>SLE342, ADS8592</t>
  </si>
  <si>
    <t>18h 26m 46,8s</t>
  </si>
  <si>
    <t>+06:58:32,1</t>
  </si>
  <si>
    <t>WDS17284-1644</t>
  </si>
  <si>
    <t>ARA92, ADS8592</t>
  </si>
  <si>
    <t>17h 28m 19,9s</t>
  </si>
  <si>
    <t>-16:43:47,4</t>
  </si>
  <si>
    <t>WDS17065+0339</t>
  </si>
  <si>
    <t>BAL2433, ADS8592</t>
  </si>
  <si>
    <t>17h 06m 25,8s</t>
  </si>
  <si>
    <t>+03:38:32,4</t>
  </si>
  <si>
    <t>WDS17293+0353</t>
  </si>
  <si>
    <t>BAL2442, ADS8592</t>
  </si>
  <si>
    <t>17h 29m 14,4s</t>
  </si>
  <si>
    <t>+03:53:39,3</t>
  </si>
  <si>
    <t>WDS17404+0544</t>
  </si>
  <si>
    <t>VVO16, ADS8592</t>
  </si>
  <si>
    <t>17h 40m 21,4s</t>
  </si>
  <si>
    <t>+05:43:37,4</t>
  </si>
  <si>
    <t>WDS18083+0230</t>
  </si>
  <si>
    <t>BAL1953, ADS8592</t>
  </si>
  <si>
    <t>18h 08m 17,4s</t>
  </si>
  <si>
    <t>+02:22:08,7</t>
  </si>
  <si>
    <t>WDS17306-2712</t>
  </si>
  <si>
    <t>SEE332, ADS8592</t>
  </si>
  <si>
    <t>17h 30m 33,7s</t>
  </si>
  <si>
    <t>-27:12:11,8</t>
  </si>
  <si>
    <t>WDS18131+1102</t>
  </si>
  <si>
    <t>TOB274, ADS8592</t>
  </si>
  <si>
    <t>18h 13m 04,3s</t>
  </si>
  <si>
    <t>+11:01:35,1</t>
  </si>
  <si>
    <t>WDS18144+0347</t>
  </si>
  <si>
    <t>SLE144, ADS8592</t>
  </si>
  <si>
    <t>18h 14m 26,1s</t>
  </si>
  <si>
    <t>+03:46:15,3</t>
  </si>
  <si>
    <t>WDS16270-2436</t>
  </si>
  <si>
    <t>YLW4, ADS8592</t>
  </si>
  <si>
    <t>16h 26m 59,0s</t>
  </si>
  <si>
    <t>-24:35:56,9</t>
  </si>
  <si>
    <t>WDS16311-1637</t>
  </si>
  <si>
    <t>BU626, ADS8592, BD-16 04298</t>
  </si>
  <si>
    <t>16h 31m 08,4s</t>
  </si>
  <si>
    <t>-16:36:45,5</t>
  </si>
  <si>
    <t>WDS16519-2120</t>
  </si>
  <si>
    <t>RSS419, ADS8592, BD-21 06225</t>
  </si>
  <si>
    <t>16h 51m 56,4s</t>
  </si>
  <si>
    <t>-21:19:50,1</t>
  </si>
  <si>
    <t>WDS17165+0113</t>
  </si>
  <si>
    <t>HJ854, ADS8592, BD+01 03408</t>
  </si>
  <si>
    <t>17h 16m 31,7s</t>
  </si>
  <si>
    <t>+01:12:38,1</t>
  </si>
  <si>
    <t>WDS17165+0504</t>
  </si>
  <si>
    <t>SLE17, ADS8592</t>
  </si>
  <si>
    <t>17h 16m 28,5s</t>
  </si>
  <si>
    <t>+05:03:47,0</t>
  </si>
  <si>
    <t>WDS17190-2034</t>
  </si>
  <si>
    <t>RSS435, ADS8592, BD-20 06531</t>
  </si>
  <si>
    <t>17h 19m 02,7s</t>
  </si>
  <si>
    <t>-20:34:06,5</t>
  </si>
  <si>
    <t>WDS17575+1058</t>
  </si>
  <si>
    <t>BU1299, ADS8592</t>
  </si>
  <si>
    <t>17h 57m 28,5s</t>
  </si>
  <si>
    <t>+10:57:46,8</t>
  </si>
  <si>
    <t>WDS17165+0413</t>
  </si>
  <si>
    <t>LDS989, ADS8592</t>
  </si>
  <si>
    <t>17h 16m 15,7s</t>
  </si>
  <si>
    <t>+04:13:50,3</t>
  </si>
  <si>
    <t>WDS16599-2412</t>
  </si>
  <si>
    <t>HJ4907, ADS8592</t>
  </si>
  <si>
    <t>16h 59m 56,5s</t>
  </si>
  <si>
    <t>-24:12:10,7</t>
  </si>
  <si>
    <t>WDS17439+0551</t>
  </si>
  <si>
    <t>STF2200, ADS8592</t>
  </si>
  <si>
    <t>17h 43m 51,7s</t>
  </si>
  <si>
    <t>+05:50:41,7</t>
  </si>
  <si>
    <t>WDS18299+0711</t>
  </si>
  <si>
    <t>SLE347, ADS8592</t>
  </si>
  <si>
    <t>18h 29m 53,3s</t>
  </si>
  <si>
    <t>+07:11:06,8</t>
  </si>
  <si>
    <t>WDS18345+0813</t>
  </si>
  <si>
    <t>GRV233, ADS8592</t>
  </si>
  <si>
    <t>18h 34m 33,4s</t>
  </si>
  <si>
    <t>+08:13:58,2</t>
  </si>
  <si>
    <t>WDS18106+1155</t>
  </si>
  <si>
    <t>BPM737, ADS8592</t>
  </si>
  <si>
    <t>18h 10m 34,0s</t>
  </si>
  <si>
    <t>+11:54:40,4</t>
  </si>
  <si>
    <t>WDS18299+0708</t>
  </si>
  <si>
    <t>SLE348, ADS8592</t>
  </si>
  <si>
    <t>18h 29m 52,0s</t>
  </si>
  <si>
    <t>+07:08:14,9</t>
  </si>
  <si>
    <t>WDS18316+1204</t>
  </si>
  <si>
    <t>BPM787, ADS8592</t>
  </si>
  <si>
    <t>18h 31m 36,5s</t>
  </si>
  <si>
    <t>+12:03:51,3</t>
  </si>
  <si>
    <t>WDS17482+0616</t>
  </si>
  <si>
    <t>J2116, ADS8592, BD+06 03533</t>
  </si>
  <si>
    <t>17h 48m 10,2s</t>
  </si>
  <si>
    <t>+06:16:17,5</t>
  </si>
  <si>
    <t>WDS17017-2542</t>
  </si>
  <si>
    <t>HJ1297, ADS8592</t>
  </si>
  <si>
    <t>17h 01m 39,0s</t>
  </si>
  <si>
    <t>-25:41:33,1</t>
  </si>
  <si>
    <t>WDS17199+1155</t>
  </si>
  <si>
    <t>UC227, ADS8592</t>
  </si>
  <si>
    <t>17h 19m 52,1s</t>
  </si>
  <si>
    <t>+11:55:08,3</t>
  </si>
  <si>
    <t>WDS18456+1041</t>
  </si>
  <si>
    <t>BPM819, ADS8592</t>
  </si>
  <si>
    <t>18h 45m 33,5s</t>
  </si>
  <si>
    <t>+10:40:33,5</t>
  </si>
  <si>
    <t>WDS17308+0844</t>
  </si>
  <si>
    <t>J2113, ADS8592</t>
  </si>
  <si>
    <t>17h 30m 47,0s</t>
  </si>
  <si>
    <t>+08:43:51,5</t>
  </si>
  <si>
    <t>STF2088, ADS8592</t>
  </si>
  <si>
    <t>WDS16407-0009</t>
  </si>
  <si>
    <t>STF2076, ADS8592</t>
  </si>
  <si>
    <t>16h 40m 42,4s</t>
  </si>
  <si>
    <t>-00:09:15,2</t>
  </si>
  <si>
    <t>BU1457, ADS8592</t>
  </si>
  <si>
    <t>WDS18251+1152</t>
  </si>
  <si>
    <t>BPM767, ADS8592</t>
  </si>
  <si>
    <t>18h 25m 07,9s</t>
  </si>
  <si>
    <t>+11:51:58,8</t>
  </si>
  <si>
    <t>WDS18346+1134</t>
  </si>
  <si>
    <t>BPM790, ADS8592</t>
  </si>
  <si>
    <t>18h 34m 37,6s</t>
  </si>
  <si>
    <t>+11:33:52,6</t>
  </si>
  <si>
    <t>WDS16419-1955</t>
  </si>
  <si>
    <t>KUI73, ADS8592, BD-19 04406</t>
  </si>
  <si>
    <t>16h 41m 53,7s</t>
  </si>
  <si>
    <t>-19:55:28,1</t>
  </si>
  <si>
    <t>WDS17361-2030</t>
  </si>
  <si>
    <t>ARA1126, ADS8592</t>
  </si>
  <si>
    <t>17h 36m 05,9s</t>
  </si>
  <si>
    <t>-20:29:29,1</t>
  </si>
  <si>
    <t>WDS16354+0317</t>
  </si>
  <si>
    <t>BAL2419, ADS8592</t>
  </si>
  <si>
    <t>16h 35m 21,9s</t>
  </si>
  <si>
    <t>+03:16:25,3</t>
  </si>
  <si>
    <t>WDS17465-0429</t>
  </si>
  <si>
    <t>STF2208, ADS8592</t>
  </si>
  <si>
    <t>17h 46m 32,6s</t>
  </si>
  <si>
    <t>-04:28:48,3</t>
  </si>
  <si>
    <t>WDS17395+0324</t>
  </si>
  <si>
    <t>BU961, ADS8592</t>
  </si>
  <si>
    <t>17h 39m 31,2s</t>
  </si>
  <si>
    <t>+03:23:33,5</t>
  </si>
  <si>
    <t>WDS17148+1051</t>
  </si>
  <si>
    <t>GRV948, ADS8592, BD+11 03142</t>
  </si>
  <si>
    <t>17h 14m 51,1s</t>
  </si>
  <si>
    <t>+10:51:35,6</t>
  </si>
  <si>
    <t>WDS17186-1622</t>
  </si>
  <si>
    <t>ARA87, ADS8592, BD-16 04472</t>
  </si>
  <si>
    <t>17h 18m 33,3s</t>
  </si>
  <si>
    <t>-16:22:20,2</t>
  </si>
  <si>
    <t>WDS16560-1648</t>
  </si>
  <si>
    <t>KUI76, ADS8592, BD-16 04371</t>
  </si>
  <si>
    <t>16h 56m 01,8s</t>
  </si>
  <si>
    <t>-16:48:22,8</t>
  </si>
  <si>
    <t>WDS18015+0331</t>
  </si>
  <si>
    <t>BU1202, ADS8592</t>
  </si>
  <si>
    <t>18h 01m 35,6s</t>
  </si>
  <si>
    <t>+03:33:00,7</t>
  </si>
  <si>
    <t>WDS17286+1132</t>
  </si>
  <si>
    <t>BPM682, ADS8592</t>
  </si>
  <si>
    <t>17h 28m 35,6s</t>
  </si>
  <si>
    <t>+11:31:57,2</t>
  </si>
  <si>
    <t>WDS17299-1728</t>
  </si>
  <si>
    <t>ARA256, ADS8592</t>
  </si>
  <si>
    <t>17h 29m 54,9s</t>
  </si>
  <si>
    <t>-17:27:50,9</t>
  </si>
  <si>
    <t>WDS18081+1232</t>
  </si>
  <si>
    <t>BPM727, ADS8592</t>
  </si>
  <si>
    <t>18h 08m 05,3s</t>
  </si>
  <si>
    <t>+12:32:27,3</t>
  </si>
  <si>
    <t>WDS17495+1223</t>
  </si>
  <si>
    <t>LDS4762, ADS8592</t>
  </si>
  <si>
    <t>17h 49m 29,2s</t>
  </si>
  <si>
    <t>+12:22:43,8</t>
  </si>
  <si>
    <t>WDS18073+0934</t>
  </si>
  <si>
    <t>STT342, ADS8592, BD+09 03564</t>
  </si>
  <si>
    <t>18h 07m 21,0s</t>
  </si>
  <si>
    <t>+09:33:49,2</t>
  </si>
  <si>
    <t>WDS17519+0254</t>
  </si>
  <si>
    <t>STF2233, ADS8592</t>
  </si>
  <si>
    <t>17h 51m 52,6s</t>
  </si>
  <si>
    <t>+02:53:59,4</t>
  </si>
  <si>
    <t>WDS16542-0137</t>
  </si>
  <si>
    <t>KUI74, ADS8592</t>
  </si>
  <si>
    <t>16h 54m 10,6s</t>
  </si>
  <si>
    <t>-01:36:43,6</t>
  </si>
  <si>
    <t>WDS17542+1240</t>
  </si>
  <si>
    <t>BPM708, ADS8592</t>
  </si>
  <si>
    <t>17h 54m 13,0s</t>
  </si>
  <si>
    <t>+12:39:32,9</t>
  </si>
  <si>
    <t>WDS17058+0458</t>
  </si>
  <si>
    <t>LDS4719, ADS8592</t>
  </si>
  <si>
    <t>17h 05m 50,0s</t>
  </si>
  <si>
    <t>+04:57:48,3</t>
  </si>
  <si>
    <t>WDS17125+1035</t>
  </si>
  <si>
    <t>B2826, ADS8592, BD+10 03165</t>
  </si>
  <si>
    <t>17h 12m 27,8s</t>
  </si>
  <si>
    <t>+10:35:06,8</t>
  </si>
  <si>
    <t>WDS17222+1358</t>
  </si>
  <si>
    <t>BPM679, ADS8592</t>
  </si>
  <si>
    <t>17h 22m 14,4s</t>
  </si>
  <si>
    <t>+13:58:19,1</t>
  </si>
  <si>
    <t>WDS18088+1015</t>
  </si>
  <si>
    <t>ROE98, ADS8592</t>
  </si>
  <si>
    <t>18h 08m 47,5s</t>
  </si>
  <si>
    <t>+10:15:08,3</t>
  </si>
  <si>
    <t>WDS18367+0640</t>
  </si>
  <si>
    <t>J99, ADS8592</t>
  </si>
  <si>
    <t>18h 36m 39,1s</t>
  </si>
  <si>
    <t>+06:40:19,8</t>
  </si>
  <si>
    <t>WDS16348-0412</t>
  </si>
  <si>
    <t>LMP14, ADS8592</t>
  </si>
  <si>
    <t>16h 35m 29,0s</t>
  </si>
  <si>
    <t>-03:57:57,9</t>
  </si>
  <si>
    <t>WDS17313-2803</t>
  </si>
  <si>
    <t>B344, ADS8592</t>
  </si>
  <si>
    <t>17h 31m 17,6s</t>
  </si>
  <si>
    <t>-28:03:08,1</t>
  </si>
  <si>
    <t>WDS17456-0330</t>
  </si>
  <si>
    <t>HJ4977, ADS8592</t>
  </si>
  <si>
    <t>17h 45m 34,2s</t>
  </si>
  <si>
    <t>-03:30:16,2</t>
  </si>
  <si>
    <t>FOX9029, ADS8592</t>
  </si>
  <si>
    <t>WDS16278-0104</t>
  </si>
  <si>
    <t>GIC142, ADS8592, BD-00 03119</t>
  </si>
  <si>
    <t>16h 27m 48,2s</t>
  </si>
  <si>
    <t>-01:04:08,7</t>
  </si>
  <si>
    <t>WDS18184+0358</t>
  </si>
  <si>
    <t>BAR45, ADS8592</t>
  </si>
  <si>
    <t>18h 18m 25,9s</t>
  </si>
  <si>
    <t>+03:58:05,5</t>
  </si>
  <si>
    <t>WDS17156-1558</t>
  </si>
  <si>
    <t>FOX19, ADS8592</t>
  </si>
  <si>
    <t>17h 15m 36,9s</t>
  </si>
  <si>
    <t>-15:57:46,6</t>
  </si>
  <si>
    <t>DAL36, ADS8592</t>
  </si>
  <si>
    <t>WDS18159+0430</t>
  </si>
  <si>
    <t>J2670, ADS8592</t>
  </si>
  <si>
    <t>18h 15m 52,3s</t>
  </si>
  <si>
    <t>+04:30:10,6</t>
  </si>
  <si>
    <t>WDS16360-0025</t>
  </si>
  <si>
    <t>TOK175, ADS8592, BD-00 03143</t>
  </si>
  <si>
    <t>16h 35m 57,5s</t>
  </si>
  <si>
    <t>-00:24:41,4</t>
  </si>
  <si>
    <t>WDS17304+0533</t>
  </si>
  <si>
    <t>WOR25, ADS8592, BD+05 03409</t>
  </si>
  <si>
    <t>17h 30m 22,7s</t>
  </si>
  <si>
    <t>+05:32:56,8</t>
  </si>
  <si>
    <t>PWS14, ADS8592</t>
  </si>
  <si>
    <t>18h 05m 17,8s</t>
  </si>
  <si>
    <t>+02:30:00,1</t>
  </si>
  <si>
    <t>M1'''</t>
  </si>
  <si>
    <r>
      <rPr>
        <b/>
        <sz val="11"/>
        <rFont val="Calibri"/>
        <family val="2"/>
        <scheme val="minor"/>
      </rPr>
      <t>WRAKs Rule of Thumb Model for estimating the required aperture for splitting unequal and faint doubles for small telescopes V3.2 Beta 2013-07-20</t>
    </r>
    <r>
      <rPr>
        <sz val="11"/>
        <rFont val="Calibri"/>
        <family val="2"/>
        <scheme val="minor"/>
      </rPr>
      <t xml:space="preserve">
pA = proposed Aperture in mm = pA1+pA2+pA3+pA4+pA5 with a split probability of 50% (reasonable good seeing and altitude &gt;35° assumed) and standard deviation of 14%. 
pA1 = Dawes criterion modified depending on size of central obstruction = 116/1,2213*(0,0950502775050452+(1,12627632206642)/((1+(CO/0,302756091410027)^2,26536793426585)^0,152776210790626))/Sep with Sep = separation in arcseconds and CO = Central Obstruction between zero and 0.99
pA2 = f(dM) = function of delta magnitudes including CO = 5,91232283796472*dM'*(M2-M1)/Sep^0,600317738509086*(1+CO)^0,808139120750434
with dM' = switch for delta-M &lt; 1, M1 = magnitude primary and M2 = magnitude secondary
pA3 = f(M1) = function of M1 = 1,04237828050238*M1'*(M1+2,34973310685883)/(M1''*Sep^-0,304107132838227+(1-M1'')*(M1''')^-0,304107132838227)
with M1' = switch for M1 </t>
    </r>
    <r>
      <rPr>
        <sz val="11"/>
        <rFont val="Calibri"/>
        <family val="2"/>
      </rPr>
      <t>≤</t>
    </r>
    <r>
      <rPr>
        <sz val="11"/>
        <rFont val="Calibri"/>
        <family val="2"/>
        <scheme val="minor"/>
      </rPr>
      <t xml:space="preserve"> 6, M1'' = switch for sep </t>
    </r>
    <r>
      <rPr>
        <sz val="11"/>
        <rFont val="Calibri"/>
        <family val="2"/>
      </rPr>
      <t>≤</t>
    </r>
    <r>
      <rPr>
        <sz val="11"/>
        <rFont val="Calibri"/>
        <family val="2"/>
        <scheme val="minor"/>
      </rPr>
      <t xml:space="preserve"> 14-M1 and M1''' = switch for M1</t>
    </r>
    <r>
      <rPr>
        <sz val="11"/>
        <rFont val="Calibri"/>
        <family val="2"/>
      </rPr>
      <t>≥12.5</t>
    </r>
    <r>
      <rPr>
        <sz val="11"/>
        <rFont val="Calibri"/>
        <family val="2"/>
        <scheme val="minor"/>
      </rPr>
      <t xml:space="preserve">
pA4 = f(M2) = function of M2 = 13,6914255489806*M2'*(M2-9) with M2' = switch for M2 </t>
    </r>
    <r>
      <rPr>
        <sz val="11"/>
        <rFont val="Calibri"/>
        <family val="2"/>
      </rPr>
      <t>≤</t>
    </r>
    <r>
      <rPr>
        <sz val="11"/>
        <rFont val="Calibri"/>
        <family val="2"/>
        <scheme val="minor"/>
      </rPr>
      <t xml:space="preserve"> 9
pA5 = f(NEML) = function of Naked Eye Magnitude Limit for a given location = 2,4817076129942*m2'*(6.5-NEML).
pA' = proposed aperture after check against the for light pollution adapted telescope magnitude limit. This is done for all doubles  in an approximation process but is usually only relevant  for doubles with companions fainter than +10mag. In the first step dNEML is calculated as fictive brightness loss of the secondary depending on NEML and M2 as  0,0693559616693627+4,32571272410334*LOG(((6,5/NEML)^2);2,512)^1,81526832546765*(M2/18)^8,00090419543305. Next step is the calculation of the required minimum TML_M2 as M2+dNEML and the calculation of the including size of CO corresponding aperture with SQRT(10^((TML_M2-2,7)/5)^2/(1-CO^2)).  This is then the final value for the proposed aperture pA' if larger than pA of the first step.
</t>
    </r>
    <r>
      <rPr>
        <b/>
        <sz val="11"/>
        <rFont val="Calibri"/>
        <family val="2"/>
        <scheme val="minor"/>
      </rPr>
      <t xml:space="preserve">Required input: </t>
    </r>
    <r>
      <rPr>
        <sz val="11"/>
        <rFont val="Calibri"/>
        <family val="2"/>
        <scheme val="minor"/>
      </rPr>
      <t xml:space="preserve">Global input central obstruction for specific scope and naked eye magnitude limit for specific location.
Per double star sep, m1, m2 and WDS ID. Name, RA, Dec for convinience only (yellow marked columns below)
</t>
    </r>
    <r>
      <rPr>
        <b/>
        <sz val="11"/>
        <rFont val="Calibri"/>
        <family val="2"/>
        <scheme val="minor"/>
      </rPr>
      <t>Error conditions</t>
    </r>
    <r>
      <rPr>
        <sz val="11"/>
        <rFont val="Calibri"/>
        <family val="2"/>
        <scheme val="minor"/>
      </rPr>
      <t xml:space="preserve"> (not checked): separation&gt;0,  M2</t>
    </r>
    <r>
      <rPr>
        <sz val="11"/>
        <rFont val="Calibri"/>
        <family val="2"/>
      </rPr>
      <t>≥</t>
    </r>
    <r>
      <rPr>
        <sz val="11"/>
        <rFont val="Calibri"/>
        <family val="2"/>
        <scheme val="minor"/>
      </rPr>
      <t>M1, 0</t>
    </r>
    <r>
      <rPr>
        <sz val="11"/>
        <rFont val="Calibri"/>
        <family val="2"/>
      </rPr>
      <t>≤CO&lt;1</t>
    </r>
    <r>
      <rPr>
        <sz val="11"/>
        <rFont val="Calibri"/>
        <family val="2"/>
        <scheme val="minor"/>
      </rPr>
      <t xml:space="preserve">, 6.5&lt;NEML&lt;1, magnitudes not visual band
Limitations (not checked): 0&lt;M1&lt;14, M2&lt;18 
</t>
    </r>
    <r>
      <rPr>
        <b/>
        <sz val="11"/>
        <rFont val="Calibri"/>
        <family val="2"/>
        <scheme val="minor"/>
      </rPr>
      <t>Planned enhancements:</t>
    </r>
    <r>
      <rPr>
        <sz val="11"/>
        <rFont val="Calibri"/>
        <family val="2"/>
        <scheme val="minor"/>
      </rPr>
      <t xml:space="preserve"> Enlarge the data set of limit observations for better statistical significance especially for larger apertures, smoother transition of the different components of the model when crossing the defined thresholds</t>
    </r>
  </si>
</sst>
</file>

<file path=xl/styles.xml><?xml version="1.0" encoding="utf-8"?>
<styleSheet xmlns="http://schemas.openxmlformats.org/spreadsheetml/2006/main">
  <numFmts count="5">
    <numFmt numFmtId="43" formatCode="_-* #,##0.00_-;\-* #,##0.00_-;_-* &quot;-&quot;??_-;_-@_-"/>
    <numFmt numFmtId="164" formatCode="_-* #,##0_-;\-* #,##0_-;_-* &quot;-&quot;??_-;_-@_-"/>
    <numFmt numFmtId="165" formatCode="_-* #,##0.0_-;\-* #,##0.0_-;_-* &quot;-&quot;??_-;_-@_-"/>
    <numFmt numFmtId="166" formatCode="#,##0.00_ ;\-#,##0.00\ "/>
    <numFmt numFmtId="167" formatCode="#,##0.0_ ;\-#,##0.0\ "/>
  </numFmts>
  <fonts count="8">
    <font>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6"/>
      <name val="Calibri"/>
      <family val="2"/>
      <scheme val="minor"/>
    </font>
    <font>
      <b/>
      <sz val="14"/>
      <color rgb="FFFF0000"/>
      <name val="Calibri"/>
      <family val="2"/>
      <scheme val="minor"/>
    </font>
    <font>
      <b/>
      <sz val="12"/>
      <color rgb="FFFF0000"/>
      <name val="Calibri"/>
      <family val="2"/>
      <scheme val="minor"/>
    </font>
    <font>
      <sz val="1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2" fillId="0" borderId="0" xfId="0" applyFont="1"/>
    <xf numFmtId="0" fontId="2" fillId="2" borderId="0" xfId="0" applyFont="1" applyFill="1"/>
    <xf numFmtId="0" fontId="2" fillId="0" borderId="0" xfId="0" applyFont="1" applyAlignment="1">
      <alignment wrapText="1"/>
    </xf>
    <xf numFmtId="0" fontId="2" fillId="0" borderId="0" xfId="0" applyFont="1" applyAlignment="1">
      <alignment horizontal="center"/>
    </xf>
    <xf numFmtId="43" fontId="2" fillId="0" borderId="0" xfId="1" applyFont="1" applyAlignment="1">
      <alignment horizontal="center" wrapText="1"/>
    </xf>
    <xf numFmtId="43" fontId="2" fillId="0" borderId="0" xfId="1" applyNumberFormat="1" applyFont="1" applyAlignment="1">
      <alignment horizontal="center"/>
    </xf>
    <xf numFmtId="164" fontId="2" fillId="0" borderId="0" xfId="1" applyNumberFormat="1" applyFont="1" applyAlignment="1">
      <alignment horizontal="center" wrapText="1"/>
    </xf>
    <xf numFmtId="0" fontId="2" fillId="0" borderId="1" xfId="0" applyFont="1" applyBorder="1"/>
    <xf numFmtId="164" fontId="2" fillId="0" borderId="0" xfId="1" applyNumberFormat="1" applyFont="1" applyBorder="1" applyAlignment="1"/>
    <xf numFmtId="164" fontId="2" fillId="0" borderId="0" xfId="1" applyNumberFormat="1" applyFont="1"/>
    <xf numFmtId="43" fontId="2" fillId="0" borderId="0" xfId="1" applyFont="1"/>
    <xf numFmtId="43" fontId="2" fillId="0" borderId="0" xfId="1" applyNumberFormat="1" applyFont="1"/>
    <xf numFmtId="0" fontId="2" fillId="2" borderId="0" xfId="0" applyFont="1" applyFill="1" applyAlignment="1">
      <alignment horizontal="center"/>
    </xf>
    <xf numFmtId="165" fontId="2" fillId="0" borderId="0" xfId="1" applyNumberFormat="1" applyFont="1"/>
    <xf numFmtId="43" fontId="2" fillId="0" borderId="0" xfId="1" applyFont="1" applyAlignment="1">
      <alignment horizontal="center"/>
    </xf>
    <xf numFmtId="43" fontId="2" fillId="2" borderId="0" xfId="1" applyFont="1" applyFill="1"/>
    <xf numFmtId="0" fontId="2" fillId="0" borderId="0" xfId="0" applyFont="1" applyBorder="1" applyAlignment="1">
      <alignment horizontal="left"/>
    </xf>
    <xf numFmtId="0" fontId="2" fillId="0" borderId="0" xfId="0" applyFont="1" applyBorder="1"/>
    <xf numFmtId="0" fontId="5" fillId="0" borderId="0" xfId="0" applyFont="1" applyBorder="1" applyAlignment="1">
      <alignment horizontal="left" wrapText="1"/>
    </xf>
    <xf numFmtId="166" fontId="4" fillId="3" borderId="0" xfId="1" applyNumberFormat="1" applyFont="1" applyFill="1" applyBorder="1" applyAlignment="1">
      <alignment horizontal="center" vertical="center"/>
    </xf>
    <xf numFmtId="167" fontId="4" fillId="3" borderId="0" xfId="1" applyNumberFormat="1" applyFont="1" applyFill="1" applyBorder="1" applyAlignment="1">
      <alignment horizontal="center" vertical="center"/>
    </xf>
    <xf numFmtId="43" fontId="2" fillId="0" borderId="0" xfId="1" applyFont="1" applyBorder="1" applyAlignment="1">
      <alignment horizontal="left"/>
    </xf>
    <xf numFmtId="0" fontId="2" fillId="2" borderId="0" xfId="0" applyFont="1" applyFill="1" applyAlignment="1">
      <alignment horizontal="left"/>
    </xf>
    <xf numFmtId="0" fontId="6" fillId="0" borderId="0" xfId="0" applyFont="1" applyBorder="1" applyAlignment="1">
      <alignment horizontal="left"/>
    </xf>
    <xf numFmtId="43" fontId="6" fillId="0" borderId="0" xfId="1" applyFont="1" applyAlignment="1">
      <alignment horizontal="center" wrapText="1"/>
    </xf>
    <xf numFmtId="164" fontId="6" fillId="0" borderId="0" xfId="1" applyNumberFormat="1" applyFont="1" applyBorder="1" applyAlignment="1"/>
    <xf numFmtId="43" fontId="6" fillId="0" borderId="0" xfId="1" applyNumberFormat="1" applyFont="1"/>
    <xf numFmtId="43" fontId="2" fillId="0" borderId="0" xfId="1" applyNumberFormat="1" applyFont="1" applyBorder="1" applyAlignment="1">
      <alignment horizontal="left"/>
    </xf>
    <xf numFmtId="43" fontId="2" fillId="4" borderId="0" xfId="1" applyFont="1" applyFill="1" applyAlignment="1">
      <alignment horizontal="center"/>
    </xf>
    <xf numFmtId="164" fontId="6" fillId="4" borderId="0" xfId="1" applyNumberFormat="1" applyFont="1" applyFill="1" applyAlignment="1">
      <alignment horizontal="center" wrapText="1"/>
    </xf>
    <xf numFmtId="43" fontId="2" fillId="4" borderId="0" xfId="1" applyNumberFormat="1" applyFont="1" applyFill="1"/>
    <xf numFmtId="43" fontId="2" fillId="4" borderId="0" xfId="1" applyFont="1" applyFill="1"/>
    <xf numFmtId="164" fontId="6" fillId="4" borderId="0" xfId="1" applyNumberFormat="1" applyFont="1" applyFill="1"/>
    <xf numFmtId="0" fontId="2" fillId="2" borderId="0" xfId="0" applyFont="1" applyFill="1" applyBorder="1" applyAlignment="1">
      <alignment horizontal="center"/>
    </xf>
    <xf numFmtId="43" fontId="2" fillId="2" borderId="0" xfId="1" applyFont="1" applyFill="1" applyBorder="1"/>
    <xf numFmtId="43" fontId="2" fillId="0" borderId="0" xfId="0" applyNumberFormat="1" applyFont="1"/>
    <xf numFmtId="164" fontId="2" fillId="0" borderId="1" xfId="1" applyNumberFormat="1" applyFont="1" applyBorder="1"/>
    <xf numFmtId="164" fontId="2" fillId="0" borderId="0" xfId="1" applyNumberFormat="1" applyFont="1" applyBorder="1"/>
    <xf numFmtId="164" fontId="2" fillId="4" borderId="0" xfId="1" applyNumberFormat="1" applyFont="1" applyFill="1" applyAlignment="1">
      <alignment horizontal="center" wrapText="1"/>
    </xf>
    <xf numFmtId="164" fontId="2" fillId="4" borderId="0" xfId="1" applyNumberFormat="1" applyFont="1" applyFill="1"/>
    <xf numFmtId="0" fontId="2" fillId="0" borderId="1" xfId="0" applyFont="1" applyBorder="1" applyAlignment="1">
      <alignment horizontal="left" wrapText="1"/>
    </xf>
    <xf numFmtId="0" fontId="2" fillId="0" borderId="1" xfId="0" applyFont="1" applyBorder="1" applyAlignment="1">
      <alignment horizontal="left"/>
    </xf>
  </cellXfs>
  <cellStyles count="2">
    <cellStyle name="Dezimal"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V265"/>
  <sheetViews>
    <sheetView tabSelected="1" zoomScaleNormal="100" workbookViewId="0">
      <selection sqref="A1:U1"/>
    </sheetView>
  </sheetViews>
  <sheetFormatPr baseColWidth="10" defaultColWidth="11.5546875" defaultRowHeight="15.6"/>
  <cols>
    <col min="1" max="1" width="16.33203125" style="1" customWidth="1"/>
    <col min="2" max="2" width="21.33203125" style="1" customWidth="1"/>
    <col min="3" max="3" width="12.44140625" style="1" customWidth="1"/>
    <col min="4" max="4" width="10.33203125" style="1" customWidth="1"/>
    <col min="5" max="5" width="7.33203125" style="11" customWidth="1"/>
    <col min="6" max="6" width="7.44140625" style="11" customWidth="1"/>
    <col min="7" max="7" width="7.33203125" style="11" customWidth="1"/>
    <col min="8" max="11" width="7.33203125" style="32" customWidth="1"/>
    <col min="12" max="12" width="7.88671875" style="32" customWidth="1"/>
    <col min="13" max="13" width="6.109375" style="33" customWidth="1"/>
    <col min="14" max="14" width="5.6640625" style="27" customWidth="1"/>
    <col min="15" max="15" width="6.6640625" style="11" customWidth="1"/>
    <col min="16" max="16" width="7.6640625" style="11" customWidth="1"/>
    <col min="17" max="19" width="6.6640625" style="11" customWidth="1"/>
    <col min="20" max="20" width="9" style="10" customWidth="1"/>
    <col min="21" max="21" width="7.44140625" style="12" customWidth="1"/>
    <col min="22" max="22" width="8.44140625" style="10" customWidth="1"/>
    <col min="23" max="16384" width="11.5546875" style="1"/>
  </cols>
  <sheetData>
    <row r="1" spans="1:22" s="8" customFormat="1" ht="301.5" customHeight="1" thickBot="1">
      <c r="A1" s="41" t="s">
        <v>986</v>
      </c>
      <c r="B1" s="42"/>
      <c r="C1" s="42"/>
      <c r="D1" s="42"/>
      <c r="E1" s="42"/>
      <c r="F1" s="42"/>
      <c r="G1" s="42"/>
      <c r="H1" s="42"/>
      <c r="I1" s="42"/>
      <c r="J1" s="42"/>
      <c r="K1" s="42"/>
      <c r="L1" s="42"/>
      <c r="M1" s="42"/>
      <c r="N1" s="42"/>
      <c r="O1" s="42"/>
      <c r="P1" s="42"/>
      <c r="Q1" s="42"/>
      <c r="R1" s="42"/>
      <c r="S1" s="42"/>
      <c r="T1" s="42"/>
      <c r="U1" s="42"/>
      <c r="V1" s="37"/>
    </row>
    <row r="2" spans="1:22" s="18" customFormat="1" ht="24.75" customHeight="1">
      <c r="A2" s="19" t="s">
        <v>8</v>
      </c>
      <c r="B2" s="20">
        <v>0</v>
      </c>
      <c r="C2" s="17"/>
      <c r="D2" s="17"/>
      <c r="E2" s="22"/>
      <c r="F2" s="17"/>
      <c r="G2" s="17"/>
      <c r="H2" s="22"/>
      <c r="I2" s="22"/>
      <c r="J2" s="22"/>
      <c r="K2" s="22"/>
      <c r="L2" s="22"/>
      <c r="M2" s="22"/>
      <c r="N2" s="24"/>
      <c r="O2" s="17"/>
      <c r="P2" s="17"/>
      <c r="Q2" s="17"/>
      <c r="R2" s="17"/>
      <c r="S2" s="17"/>
      <c r="T2" s="17"/>
      <c r="U2" s="28"/>
      <c r="V2" s="38"/>
    </row>
    <row r="3" spans="1:22" s="18" customFormat="1" ht="27" customHeight="1">
      <c r="A3" s="19" t="s">
        <v>7</v>
      </c>
      <c r="B3" s="21">
        <v>6.5</v>
      </c>
      <c r="C3" s="17"/>
      <c r="D3" s="17"/>
      <c r="E3" s="22"/>
      <c r="F3" s="17"/>
      <c r="G3" s="17"/>
      <c r="H3" s="22"/>
      <c r="I3" s="22"/>
      <c r="J3" s="22"/>
      <c r="K3" s="22"/>
      <c r="L3" s="22"/>
      <c r="M3" s="22"/>
      <c r="N3" s="24"/>
      <c r="O3" s="17"/>
      <c r="P3" s="17"/>
      <c r="Q3" s="17"/>
      <c r="R3" s="17"/>
      <c r="S3" s="17"/>
      <c r="T3" s="17"/>
      <c r="U3" s="28"/>
      <c r="V3" s="38"/>
    </row>
    <row r="4" spans="1:22" ht="31.95" customHeight="1">
      <c r="A4" s="3" t="s">
        <v>6</v>
      </c>
      <c r="B4" s="3" t="s">
        <v>0</v>
      </c>
      <c r="C4" s="3" t="s">
        <v>1</v>
      </c>
      <c r="D4" s="3" t="s">
        <v>2</v>
      </c>
      <c r="E4" s="15" t="s">
        <v>3</v>
      </c>
      <c r="F4" s="15" t="s">
        <v>4</v>
      </c>
      <c r="G4" s="15" t="s">
        <v>5</v>
      </c>
      <c r="H4" s="30" t="s">
        <v>16</v>
      </c>
      <c r="I4" s="25" t="s">
        <v>17</v>
      </c>
      <c r="J4" s="5" t="s">
        <v>18</v>
      </c>
      <c r="K4" s="5" t="s">
        <v>19</v>
      </c>
      <c r="L4" s="5" t="s">
        <v>20</v>
      </c>
      <c r="M4" s="5" t="s">
        <v>21</v>
      </c>
      <c r="N4" s="7" t="s">
        <v>22</v>
      </c>
      <c r="O4" s="6" t="s">
        <v>11</v>
      </c>
      <c r="P4" s="4" t="s">
        <v>12</v>
      </c>
      <c r="Q4" s="6" t="s">
        <v>13</v>
      </c>
      <c r="R4" s="4" t="s">
        <v>14</v>
      </c>
      <c r="S4" s="4" t="s">
        <v>985</v>
      </c>
      <c r="T4" s="1" t="s">
        <v>9</v>
      </c>
      <c r="U4" s="29" t="s">
        <v>10</v>
      </c>
      <c r="V4" s="39" t="s">
        <v>15</v>
      </c>
    </row>
    <row r="5" spans="1:22">
      <c r="A5" s="2" t="s">
        <v>23</v>
      </c>
      <c r="B5" s="23" t="s">
        <v>24</v>
      </c>
      <c r="C5" s="2" t="s">
        <v>25</v>
      </c>
      <c r="D5" s="13" t="s">
        <v>26</v>
      </c>
      <c r="E5" s="16">
        <v>29.8</v>
      </c>
      <c r="F5" s="16">
        <v>7.93</v>
      </c>
      <c r="G5" s="16">
        <v>10</v>
      </c>
      <c r="H5" s="33">
        <f t="shared" ref="H5:H68" si="0">IF(I5&lt;V5,V5,I5)</f>
        <v>46.914507430846648</v>
      </c>
      <c r="I5" s="26">
        <f t="shared" ref="I5:I36" si="1">J5+K5+L5+M5+N5</f>
        <v>46.914507430846648</v>
      </c>
      <c r="J5" s="9">
        <f t="shared" ref="J5:J36" si="2">116/1.2213*(0.0950502775050452+(1.12627632206642)/((1+($B$2/0.302756091410027)^2.26536793426585)^0.152776210790626))/E5</f>
        <v>3.8927022297807308</v>
      </c>
      <c r="K5" s="9">
        <f>5.91232283796472*O5*ABS(G5-F5)/E5^0.600317738509086*(1+$B$2)^0.808139120750434</f>
        <v>3.3014190850158434</v>
      </c>
      <c r="L5" s="9">
        <f>1.04237828050238*P5*(F5+2.34973310685883)/(R5*E5^-0.304107132838227+(1-R5)*(S5)^-0.304107132838227)</f>
        <v>24.507691061627185</v>
      </c>
      <c r="M5" s="9">
        <f t="shared" ref="M5:M36" si="3">13.6914255489806*Q5*(G5-9)</f>
        <v>15.212695054422889</v>
      </c>
      <c r="N5" s="9">
        <f t="shared" ref="N5:N36" si="4">2.4817076129942*Q5*(6.5-$B$3)</f>
        <v>0</v>
      </c>
      <c r="O5" s="12">
        <f>IF(ABS(G5-F5)&lt;=1,IF(F5&lt;=6,0,ABS(G5-F5)), ABS(G5-F5))</f>
        <v>2.0700000000000003</v>
      </c>
      <c r="P5" s="11">
        <f t="shared" ref="P5:P36" si="5">IF(F5-6&gt;0,F5/6,0)</f>
        <v>1.3216666666666665</v>
      </c>
      <c r="Q5" s="12">
        <f t="shared" ref="Q5:Q36" si="6">IF(G5-9&gt;0,G5/9,0)</f>
        <v>1.1111111111111112</v>
      </c>
      <c r="R5" s="1">
        <f t="shared" ref="R5:R68" si="7">IF(E5&lt;=14-F5,1,0)</f>
        <v>0</v>
      </c>
      <c r="S5" s="1">
        <f>IF(F5&lt;12.5,14-F5,1.5)</f>
        <v>6.07</v>
      </c>
      <c r="T5" s="36">
        <f>0.0693559616693627+4.32571272410334*LOG(((6.5/$B$3)^2),2.512)^1.81526832546765*(G5/18)^8.00090419543305</f>
        <v>6.9355961669362698E-2</v>
      </c>
      <c r="U5" s="31">
        <f t="shared" ref="U5:U68" si="8">G5+T5</f>
        <v>10.069355961669363</v>
      </c>
      <c r="V5" s="40">
        <f>SQRT(10^((U5-2.7)/5)^2/(1-$B$2^2))</f>
        <v>29.776331604099909</v>
      </c>
    </row>
    <row r="6" spans="1:22">
      <c r="A6" s="2" t="s">
        <v>27</v>
      </c>
      <c r="B6" s="23" t="s">
        <v>28</v>
      </c>
      <c r="C6" s="2" t="s">
        <v>29</v>
      </c>
      <c r="D6" s="13" t="s">
        <v>30</v>
      </c>
      <c r="E6" s="16">
        <v>35.1</v>
      </c>
      <c r="F6" s="16">
        <v>9.5</v>
      </c>
      <c r="G6" s="16">
        <v>10</v>
      </c>
      <c r="H6" s="33">
        <f t="shared" si="0"/>
        <v>49.591802073709637</v>
      </c>
      <c r="I6" s="26">
        <f t="shared" si="1"/>
        <v>49.591802073709637</v>
      </c>
      <c r="J6" s="9">
        <f t="shared" si="2"/>
        <v>3.3049152834035835</v>
      </c>
      <c r="K6" s="9">
        <f t="shared" ref="K6:K69" si="9">5.91232283796472*O6*ABS(G6-F6)/E6^0.600317738509086*(1+$B$2)^0.808139120750434</f>
        <v>0.17459141129502526</v>
      </c>
      <c r="L6" s="9">
        <f t="shared" ref="L6:L69" si="10">1.04237828050238*P6*(F6+2.34973310685883)/(R6*E6^-0.304107132838227+(1-R6)*(S6)^-0.304107132838227)</f>
        <v>30.899600324588143</v>
      </c>
      <c r="M6" s="9">
        <f t="shared" si="3"/>
        <v>15.212695054422889</v>
      </c>
      <c r="N6" s="9">
        <f t="shared" si="4"/>
        <v>0</v>
      </c>
      <c r="O6" s="12">
        <f t="shared" ref="O6:O69" si="11">IF(ABS(G6-F6)&lt;=1,IF(F6&lt;=6,0,ABS(G6-F6)), ABS(G6-F6))</f>
        <v>0.5</v>
      </c>
      <c r="P6" s="11">
        <f t="shared" si="5"/>
        <v>1.5833333333333333</v>
      </c>
      <c r="Q6" s="12">
        <f t="shared" si="6"/>
        <v>1.1111111111111112</v>
      </c>
      <c r="R6" s="1">
        <f t="shared" si="7"/>
        <v>0</v>
      </c>
      <c r="S6" s="1">
        <f t="shared" ref="S6:S69" si="12">IF(F6&lt;12.5,14-F6,1.5)</f>
        <v>4.5</v>
      </c>
      <c r="T6" s="36">
        <f t="shared" ref="T6:T69" si="13">0.0693559616693627+4.32571272410334*LOG(((6.5/$B$3)^2),2.512)^1.81526832546765*(G6/18)^8.00090419543305</f>
        <v>6.9355961669362698E-2</v>
      </c>
      <c r="U6" s="31">
        <f t="shared" si="8"/>
        <v>10.069355961669363</v>
      </c>
      <c r="V6" s="40">
        <f t="shared" ref="V6:V69" si="14">SQRT(10^((U6-2.7)/5)^2/(1-$B$2^2))</f>
        <v>29.776331604099909</v>
      </c>
    </row>
    <row r="7" spans="1:22">
      <c r="A7" s="2" t="s">
        <v>31</v>
      </c>
      <c r="B7" s="23" t="s">
        <v>32</v>
      </c>
      <c r="C7" s="2" t="s">
        <v>33</v>
      </c>
      <c r="D7" s="13" t="s">
        <v>34</v>
      </c>
      <c r="E7" s="16">
        <v>36.5</v>
      </c>
      <c r="F7" s="16">
        <v>8.2100000000000009</v>
      </c>
      <c r="G7" s="16">
        <v>10.01</v>
      </c>
      <c r="H7" s="33">
        <f t="shared" si="0"/>
        <v>46.461025306293195</v>
      </c>
      <c r="I7" s="26">
        <f t="shared" si="1"/>
        <v>46.461025306293195</v>
      </c>
      <c r="J7" s="9">
        <f t="shared" si="2"/>
        <v>3.1781514095196104</v>
      </c>
      <c r="K7" s="9">
        <f t="shared" si="9"/>
        <v>2.2101972351139216</v>
      </c>
      <c r="L7" s="9">
        <f t="shared" si="10"/>
        <v>25.692489834687585</v>
      </c>
      <c r="M7" s="9">
        <f t="shared" si="3"/>
        <v>15.380186826972082</v>
      </c>
      <c r="N7" s="9">
        <f t="shared" si="4"/>
        <v>0</v>
      </c>
      <c r="O7" s="12">
        <f t="shared" si="11"/>
        <v>1.7999999999999989</v>
      </c>
      <c r="P7" s="11">
        <f t="shared" si="5"/>
        <v>1.3683333333333334</v>
      </c>
      <c r="Q7" s="12">
        <f t="shared" si="6"/>
        <v>1.1122222222222222</v>
      </c>
      <c r="R7" s="1">
        <f t="shared" si="7"/>
        <v>0</v>
      </c>
      <c r="S7" s="1">
        <f t="shared" si="12"/>
        <v>5.7899999999999991</v>
      </c>
      <c r="T7" s="36">
        <f t="shared" si="13"/>
        <v>6.9355961669362698E-2</v>
      </c>
      <c r="U7" s="31">
        <f t="shared" si="8"/>
        <v>10.079355961669362</v>
      </c>
      <c r="V7" s="40">
        <f t="shared" si="14"/>
        <v>29.913772906044386</v>
      </c>
    </row>
    <row r="8" spans="1:22">
      <c r="A8" s="2" t="s">
        <v>35</v>
      </c>
      <c r="B8" s="23" t="s">
        <v>36</v>
      </c>
      <c r="C8" s="2" t="s">
        <v>37</v>
      </c>
      <c r="D8" s="13" t="s">
        <v>38</v>
      </c>
      <c r="E8" s="16">
        <v>31.6</v>
      </c>
      <c r="F8" s="16">
        <v>10.050000000000001</v>
      </c>
      <c r="G8" s="16">
        <v>10.050000000000001</v>
      </c>
      <c r="H8" s="33">
        <f t="shared" si="0"/>
        <v>52.600386774699231</v>
      </c>
      <c r="I8" s="26">
        <f t="shared" si="1"/>
        <v>52.600386774699231</v>
      </c>
      <c r="J8" s="9">
        <f t="shared" si="2"/>
        <v>3.6709660268185371</v>
      </c>
      <c r="K8" s="9">
        <f t="shared" si="9"/>
        <v>0</v>
      </c>
      <c r="L8" s="9">
        <f t="shared" si="10"/>
        <v>32.876224291700929</v>
      </c>
      <c r="M8" s="9">
        <f t="shared" si="3"/>
        <v>16.053196456179766</v>
      </c>
      <c r="N8" s="9">
        <f t="shared" si="4"/>
        <v>0</v>
      </c>
      <c r="O8" s="12">
        <f t="shared" si="11"/>
        <v>0</v>
      </c>
      <c r="P8" s="11">
        <f t="shared" si="5"/>
        <v>1.675</v>
      </c>
      <c r="Q8" s="12">
        <f t="shared" si="6"/>
        <v>1.1166666666666667</v>
      </c>
      <c r="R8" s="1">
        <f t="shared" si="7"/>
        <v>0</v>
      </c>
      <c r="S8" s="1">
        <f t="shared" si="12"/>
        <v>3.9499999999999993</v>
      </c>
      <c r="T8" s="36">
        <f t="shared" si="13"/>
        <v>6.9355961669362698E-2</v>
      </c>
      <c r="U8" s="31">
        <f t="shared" si="8"/>
        <v>10.119355961669363</v>
      </c>
      <c r="V8" s="40">
        <f t="shared" si="14"/>
        <v>30.46991146630338</v>
      </c>
    </row>
    <row r="9" spans="1:22">
      <c r="A9" s="2" t="s">
        <v>39</v>
      </c>
      <c r="B9" s="23" t="s">
        <v>40</v>
      </c>
      <c r="C9" s="2" t="s">
        <v>41</v>
      </c>
      <c r="D9" s="13" t="s">
        <v>42</v>
      </c>
      <c r="E9" s="16">
        <v>26.8</v>
      </c>
      <c r="F9" s="16">
        <v>8.01</v>
      </c>
      <c r="G9" s="16">
        <v>10.09</v>
      </c>
      <c r="H9" s="33">
        <f t="shared" si="0"/>
        <v>49.459287888336831</v>
      </c>
      <c r="I9" s="26">
        <f t="shared" si="1"/>
        <v>49.459287888336831</v>
      </c>
      <c r="J9" s="9">
        <f t="shared" si="2"/>
        <v>4.3284524793830519</v>
      </c>
      <c r="K9" s="9">
        <f t="shared" si="9"/>
        <v>3.5526314854415135</v>
      </c>
      <c r="L9" s="9">
        <f t="shared" si="10"/>
        <v>24.847129775707433</v>
      </c>
      <c r="M9" s="9">
        <f t="shared" si="3"/>
        <v>16.731074147804836</v>
      </c>
      <c r="N9" s="9">
        <f t="shared" si="4"/>
        <v>0</v>
      </c>
      <c r="O9" s="12">
        <f t="shared" si="11"/>
        <v>2.08</v>
      </c>
      <c r="P9" s="11">
        <f t="shared" si="5"/>
        <v>1.335</v>
      </c>
      <c r="Q9" s="12">
        <f t="shared" si="6"/>
        <v>1.1211111111111112</v>
      </c>
      <c r="R9" s="1">
        <f t="shared" si="7"/>
        <v>0</v>
      </c>
      <c r="S9" s="1">
        <f t="shared" si="12"/>
        <v>5.99</v>
      </c>
      <c r="T9" s="36">
        <f t="shared" si="13"/>
        <v>6.9355961669362698E-2</v>
      </c>
      <c r="U9" s="31">
        <f t="shared" si="8"/>
        <v>10.159355961669363</v>
      </c>
      <c r="V9" s="40">
        <f t="shared" si="14"/>
        <v>31.036389414348022</v>
      </c>
    </row>
    <row r="10" spans="1:22">
      <c r="A10" s="2" t="s">
        <v>43</v>
      </c>
      <c r="B10" s="23" t="s">
        <v>44</v>
      </c>
      <c r="C10" s="2" t="s">
        <v>45</v>
      </c>
      <c r="D10" s="13" t="s">
        <v>46</v>
      </c>
      <c r="E10" s="16">
        <v>29.8</v>
      </c>
      <c r="F10" s="16">
        <v>9.57</v>
      </c>
      <c r="G10" s="16">
        <v>10.130000000000001</v>
      </c>
      <c r="H10" s="33">
        <f t="shared" si="0"/>
        <v>52.710375851336408</v>
      </c>
      <c r="I10" s="26">
        <f t="shared" si="1"/>
        <v>52.710375851336408</v>
      </c>
      <c r="J10" s="9">
        <f t="shared" si="2"/>
        <v>3.8927022297807308</v>
      </c>
      <c r="K10" s="9">
        <f t="shared" si="9"/>
        <v>0.24162174731288241</v>
      </c>
      <c r="L10" s="9">
        <f t="shared" si="10"/>
        <v>31.16223197239545</v>
      </c>
      <c r="M10" s="9">
        <f t="shared" si="3"/>
        <v>17.413819901847351</v>
      </c>
      <c r="N10" s="9">
        <f t="shared" si="4"/>
        <v>0</v>
      </c>
      <c r="O10" s="12">
        <f t="shared" si="11"/>
        <v>0.5600000000000005</v>
      </c>
      <c r="P10" s="11">
        <f t="shared" si="5"/>
        <v>1.595</v>
      </c>
      <c r="Q10" s="12">
        <f t="shared" si="6"/>
        <v>1.1255555555555556</v>
      </c>
      <c r="R10" s="1">
        <f t="shared" si="7"/>
        <v>0</v>
      </c>
      <c r="S10" s="1">
        <f t="shared" si="12"/>
        <v>4.43</v>
      </c>
      <c r="T10" s="36">
        <f t="shared" si="13"/>
        <v>6.9355961669362698E-2</v>
      </c>
      <c r="U10" s="31">
        <f t="shared" si="8"/>
        <v>10.199355961669363</v>
      </c>
      <c r="V10" s="40">
        <f t="shared" si="14"/>
        <v>31.613398973748847</v>
      </c>
    </row>
    <row r="11" spans="1:22">
      <c r="A11" s="2" t="s">
        <v>47</v>
      </c>
      <c r="B11" s="23" t="s">
        <v>48</v>
      </c>
      <c r="C11" s="2" t="s">
        <v>49</v>
      </c>
      <c r="D11" s="13" t="s">
        <v>50</v>
      </c>
      <c r="E11" s="16">
        <v>50</v>
      </c>
      <c r="F11" s="16">
        <v>9.4600000000000009</v>
      </c>
      <c r="G11" s="16">
        <v>10.16</v>
      </c>
      <c r="H11" s="33">
        <f t="shared" si="0"/>
        <v>51.274109790307051</v>
      </c>
      <c r="I11" s="26">
        <f t="shared" si="1"/>
        <v>51.274109790307051</v>
      </c>
      <c r="J11" s="9">
        <f t="shared" si="2"/>
        <v>2.3200505289493156</v>
      </c>
      <c r="K11" s="9">
        <f t="shared" si="9"/>
        <v>0.27671480110269669</v>
      </c>
      <c r="L11" s="9">
        <f t="shared" si="10"/>
        <v>30.748270576914397</v>
      </c>
      <c r="M11" s="9">
        <f t="shared" si="3"/>
        <v>17.929073883340642</v>
      </c>
      <c r="N11" s="9">
        <f t="shared" si="4"/>
        <v>0</v>
      </c>
      <c r="O11" s="12">
        <f t="shared" si="11"/>
        <v>0.69999999999999929</v>
      </c>
      <c r="P11" s="11">
        <f t="shared" si="5"/>
        <v>1.5766666666666669</v>
      </c>
      <c r="Q11" s="12">
        <f t="shared" si="6"/>
        <v>1.1288888888888888</v>
      </c>
      <c r="R11" s="1">
        <f t="shared" si="7"/>
        <v>0</v>
      </c>
      <c r="S11" s="1">
        <f t="shared" si="12"/>
        <v>4.5399999999999991</v>
      </c>
      <c r="T11" s="36">
        <f t="shared" si="13"/>
        <v>6.9355961669362698E-2</v>
      </c>
      <c r="U11" s="31">
        <f t="shared" si="8"/>
        <v>10.229355961669363</v>
      </c>
      <c r="V11" s="40">
        <f t="shared" si="14"/>
        <v>32.053185161320208</v>
      </c>
    </row>
    <row r="12" spans="1:22">
      <c r="A12" s="2" t="s">
        <v>51</v>
      </c>
      <c r="B12" s="23" t="s">
        <v>52</v>
      </c>
      <c r="C12" s="2" t="s">
        <v>53</v>
      </c>
      <c r="D12" s="13" t="s">
        <v>54</v>
      </c>
      <c r="E12" s="16">
        <v>24</v>
      </c>
      <c r="F12" s="16">
        <v>9.84</v>
      </c>
      <c r="G12" s="16">
        <v>10.17</v>
      </c>
      <c r="H12" s="33">
        <f t="shared" si="0"/>
        <v>55.176949806501312</v>
      </c>
      <c r="I12" s="26">
        <f t="shared" si="1"/>
        <v>55.176949806501312</v>
      </c>
      <c r="J12" s="9">
        <f t="shared" si="2"/>
        <v>4.8334386019777407</v>
      </c>
      <c r="K12" s="9">
        <f t="shared" si="9"/>
        <v>9.5547808141252369E-2</v>
      </c>
      <c r="L12" s="9">
        <f t="shared" si="10"/>
        <v>32.146529678075069</v>
      </c>
      <c r="M12" s="9">
        <f t="shared" si="3"/>
        <v>18.101433718307248</v>
      </c>
      <c r="N12" s="9">
        <f t="shared" si="4"/>
        <v>0</v>
      </c>
      <c r="O12" s="12">
        <f t="shared" si="11"/>
        <v>0.33000000000000007</v>
      </c>
      <c r="P12" s="11">
        <f t="shared" si="5"/>
        <v>1.64</v>
      </c>
      <c r="Q12" s="12">
        <f t="shared" si="6"/>
        <v>1.1299999999999999</v>
      </c>
      <c r="R12" s="1">
        <f t="shared" si="7"/>
        <v>0</v>
      </c>
      <c r="S12" s="1">
        <f t="shared" si="12"/>
        <v>4.16</v>
      </c>
      <c r="T12" s="36">
        <f t="shared" si="13"/>
        <v>6.9355961669362698E-2</v>
      </c>
      <c r="U12" s="31">
        <f t="shared" si="8"/>
        <v>10.239355961669363</v>
      </c>
      <c r="V12" s="40">
        <f t="shared" si="14"/>
        <v>32.201135941779427</v>
      </c>
    </row>
    <row r="13" spans="1:22">
      <c r="A13" s="2" t="s">
        <v>55</v>
      </c>
      <c r="B13" s="23" t="s">
        <v>56</v>
      </c>
      <c r="C13" s="2" t="s">
        <v>57</v>
      </c>
      <c r="D13" s="13" t="s">
        <v>58</v>
      </c>
      <c r="E13" s="16">
        <v>30.6</v>
      </c>
      <c r="F13" s="16">
        <v>9.8000000000000007</v>
      </c>
      <c r="G13" s="16">
        <v>10.18</v>
      </c>
      <c r="H13" s="33">
        <f t="shared" si="0"/>
        <v>54.178326017773713</v>
      </c>
      <c r="I13" s="26">
        <f t="shared" si="1"/>
        <v>54.178326017773713</v>
      </c>
      <c r="J13" s="9">
        <f t="shared" si="2"/>
        <v>3.7909322368452867</v>
      </c>
      <c r="K13" s="9">
        <f t="shared" si="9"/>
        <v>0.10950158532764792</v>
      </c>
      <c r="L13" s="9">
        <f t="shared" si="10"/>
        <v>32.003794388425831</v>
      </c>
      <c r="M13" s="9">
        <f t="shared" si="3"/>
        <v>18.274097807174947</v>
      </c>
      <c r="N13" s="9">
        <f t="shared" si="4"/>
        <v>0</v>
      </c>
      <c r="O13" s="12">
        <f t="shared" si="11"/>
        <v>0.37999999999999901</v>
      </c>
      <c r="P13" s="11">
        <f t="shared" si="5"/>
        <v>1.6333333333333335</v>
      </c>
      <c r="Q13" s="12">
        <f t="shared" si="6"/>
        <v>1.1311111111111112</v>
      </c>
      <c r="R13" s="1">
        <f t="shared" si="7"/>
        <v>0</v>
      </c>
      <c r="S13" s="1">
        <f t="shared" si="12"/>
        <v>4.1999999999999993</v>
      </c>
      <c r="T13" s="36">
        <f t="shared" si="13"/>
        <v>6.9355961669362698E-2</v>
      </c>
      <c r="U13" s="31">
        <f t="shared" si="8"/>
        <v>10.249355961669362</v>
      </c>
      <c r="V13" s="40">
        <f t="shared" si="14"/>
        <v>32.349769632012766</v>
      </c>
    </row>
    <row r="14" spans="1:22">
      <c r="A14" s="2" t="s">
        <v>59</v>
      </c>
      <c r="B14" s="23" t="s">
        <v>60</v>
      </c>
      <c r="C14" s="2" t="s">
        <v>61</v>
      </c>
      <c r="D14" s="13" t="s">
        <v>62</v>
      </c>
      <c r="E14" s="16">
        <v>16.899999999999999</v>
      </c>
      <c r="F14" s="16">
        <v>10</v>
      </c>
      <c r="G14" s="16">
        <v>10.199999999999999</v>
      </c>
      <c r="H14" s="33">
        <f t="shared" si="0"/>
        <v>58.23333631835704</v>
      </c>
      <c r="I14" s="26">
        <f t="shared" si="1"/>
        <v>58.23333631835704</v>
      </c>
      <c r="J14" s="9">
        <f t="shared" si="2"/>
        <v>6.8640548193766744</v>
      </c>
      <c r="K14" s="9">
        <f t="shared" si="9"/>
        <v>4.3320749520342948E-2</v>
      </c>
      <c r="L14" s="9">
        <f t="shared" si="10"/>
        <v>32.705622002846418</v>
      </c>
      <c r="M14" s="9">
        <f t="shared" si="3"/>
        <v>18.620338746613605</v>
      </c>
      <c r="N14" s="9">
        <f t="shared" si="4"/>
        <v>0</v>
      </c>
      <c r="O14" s="12">
        <f t="shared" si="11"/>
        <v>0.19999999999999929</v>
      </c>
      <c r="P14" s="11">
        <f t="shared" si="5"/>
        <v>1.6666666666666667</v>
      </c>
      <c r="Q14" s="12">
        <f t="shared" si="6"/>
        <v>1.1333333333333333</v>
      </c>
      <c r="R14" s="1">
        <f t="shared" si="7"/>
        <v>0</v>
      </c>
      <c r="S14" s="1">
        <f t="shared" si="12"/>
        <v>4</v>
      </c>
      <c r="T14" s="36">
        <f t="shared" si="13"/>
        <v>6.9355961669362698E-2</v>
      </c>
      <c r="U14" s="31">
        <f t="shared" si="8"/>
        <v>10.269355961669362</v>
      </c>
      <c r="V14" s="40">
        <f t="shared" si="14"/>
        <v>32.649098365024763</v>
      </c>
    </row>
    <row r="15" spans="1:22">
      <c r="A15" s="2" t="s">
        <v>63</v>
      </c>
      <c r="B15" s="23" t="s">
        <v>64</v>
      </c>
      <c r="C15" s="2" t="s">
        <v>65</v>
      </c>
      <c r="D15" s="13" t="s">
        <v>66</v>
      </c>
      <c r="E15" s="16">
        <v>37.5</v>
      </c>
      <c r="F15" s="16">
        <v>6.41</v>
      </c>
      <c r="G15" s="16">
        <v>10.31</v>
      </c>
      <c r="H15" s="33">
        <f t="shared" si="0"/>
        <v>51.916502551782294</v>
      </c>
      <c r="I15" s="26">
        <f t="shared" si="1"/>
        <v>51.916502551782294</v>
      </c>
      <c r="J15" s="9">
        <f t="shared" si="2"/>
        <v>3.0934007052657542</v>
      </c>
      <c r="K15" s="9">
        <f t="shared" si="9"/>
        <v>10.208653502237473</v>
      </c>
      <c r="L15" s="9">
        <f t="shared" si="10"/>
        <v>18.068030276824963</v>
      </c>
      <c r="M15" s="9">
        <f t="shared" si="3"/>
        <v>20.546418067454105</v>
      </c>
      <c r="N15" s="9">
        <f t="shared" si="4"/>
        <v>0</v>
      </c>
      <c r="O15" s="12">
        <f t="shared" si="11"/>
        <v>3.9000000000000004</v>
      </c>
      <c r="P15" s="11">
        <f t="shared" si="5"/>
        <v>1.0683333333333334</v>
      </c>
      <c r="Q15" s="12">
        <f t="shared" si="6"/>
        <v>1.1455555555555557</v>
      </c>
      <c r="R15" s="1">
        <f t="shared" si="7"/>
        <v>0</v>
      </c>
      <c r="S15" s="1">
        <f t="shared" si="12"/>
        <v>7.59</v>
      </c>
      <c r="T15" s="36">
        <f t="shared" si="13"/>
        <v>6.9355961669362698E-2</v>
      </c>
      <c r="U15" s="31">
        <f t="shared" si="8"/>
        <v>10.379355961669363</v>
      </c>
      <c r="V15" s="40">
        <f t="shared" si="14"/>
        <v>34.345606694710185</v>
      </c>
    </row>
    <row r="16" spans="1:22">
      <c r="A16" s="2" t="s">
        <v>67</v>
      </c>
      <c r="B16" s="23" t="s">
        <v>68</v>
      </c>
      <c r="C16" s="2" t="s">
        <v>69</v>
      </c>
      <c r="D16" s="13" t="s">
        <v>70</v>
      </c>
      <c r="E16" s="16">
        <v>15.8</v>
      </c>
      <c r="F16" s="16">
        <v>9.15</v>
      </c>
      <c r="G16" s="16">
        <v>10.31</v>
      </c>
      <c r="H16" s="33">
        <f t="shared" si="0"/>
        <v>58.953326048211743</v>
      </c>
      <c r="I16" s="26">
        <f t="shared" si="1"/>
        <v>58.953326048211743</v>
      </c>
      <c r="J16" s="9">
        <f t="shared" si="2"/>
        <v>7.3419320536370742</v>
      </c>
      <c r="K16" s="9">
        <f t="shared" si="9"/>
        <v>1.5173962523909152</v>
      </c>
      <c r="L16" s="9">
        <f t="shared" si="10"/>
        <v>29.547579674729644</v>
      </c>
      <c r="M16" s="9">
        <f t="shared" si="3"/>
        <v>20.546418067454105</v>
      </c>
      <c r="N16" s="9">
        <f t="shared" si="4"/>
        <v>0</v>
      </c>
      <c r="O16" s="12">
        <f t="shared" si="11"/>
        <v>1.1600000000000001</v>
      </c>
      <c r="P16" s="11">
        <f t="shared" si="5"/>
        <v>1.5250000000000001</v>
      </c>
      <c r="Q16" s="12">
        <f t="shared" si="6"/>
        <v>1.1455555555555557</v>
      </c>
      <c r="R16" s="1">
        <f t="shared" si="7"/>
        <v>0</v>
      </c>
      <c r="S16" s="1">
        <f t="shared" si="12"/>
        <v>4.8499999999999996</v>
      </c>
      <c r="T16" s="36">
        <f t="shared" si="13"/>
        <v>6.9355961669362698E-2</v>
      </c>
      <c r="U16" s="31">
        <f t="shared" si="8"/>
        <v>10.379355961669363</v>
      </c>
      <c r="V16" s="40">
        <f t="shared" si="14"/>
        <v>34.345606694710185</v>
      </c>
    </row>
    <row r="17" spans="1:22">
      <c r="A17" s="2" t="s">
        <v>71</v>
      </c>
      <c r="B17" s="23" t="s">
        <v>72</v>
      </c>
      <c r="C17" s="2" t="s">
        <v>73</v>
      </c>
      <c r="D17" s="13" t="s">
        <v>74</v>
      </c>
      <c r="E17" s="16">
        <v>16.8</v>
      </c>
      <c r="F17" s="16">
        <v>9.5299999999999994</v>
      </c>
      <c r="G17" s="16">
        <v>10.32</v>
      </c>
      <c r="H17" s="33">
        <f t="shared" si="0"/>
        <v>59.319083142217771</v>
      </c>
      <c r="I17" s="26">
        <f t="shared" si="1"/>
        <v>59.319083142217771</v>
      </c>
      <c r="J17" s="9">
        <f t="shared" si="2"/>
        <v>6.9049122885396299</v>
      </c>
      <c r="K17" s="9">
        <f t="shared" si="9"/>
        <v>0.67832437908954213</v>
      </c>
      <c r="L17" s="9">
        <f t="shared" si="10"/>
        <v>31.012504763651556</v>
      </c>
      <c r="M17" s="9">
        <f t="shared" si="3"/>
        <v>20.723341710937042</v>
      </c>
      <c r="N17" s="9">
        <f t="shared" si="4"/>
        <v>0</v>
      </c>
      <c r="O17" s="12">
        <f t="shared" si="11"/>
        <v>0.79000000000000092</v>
      </c>
      <c r="P17" s="11">
        <f t="shared" si="5"/>
        <v>1.5883333333333332</v>
      </c>
      <c r="Q17" s="12">
        <f t="shared" si="6"/>
        <v>1.1466666666666667</v>
      </c>
      <c r="R17" s="1">
        <f t="shared" si="7"/>
        <v>0</v>
      </c>
      <c r="S17" s="1">
        <f t="shared" si="12"/>
        <v>4.4700000000000006</v>
      </c>
      <c r="T17" s="36">
        <f t="shared" si="13"/>
        <v>6.9355961669362698E-2</v>
      </c>
      <c r="U17" s="31">
        <f t="shared" si="8"/>
        <v>10.389355961669363</v>
      </c>
      <c r="V17" s="40">
        <f t="shared" si="14"/>
        <v>34.504138812197219</v>
      </c>
    </row>
    <row r="18" spans="1:22">
      <c r="A18" s="2" t="s">
        <v>75</v>
      </c>
      <c r="B18" s="23" t="s">
        <v>76</v>
      </c>
      <c r="C18" s="2" t="s">
        <v>77</v>
      </c>
      <c r="D18" s="13" t="s">
        <v>78</v>
      </c>
      <c r="E18" s="16">
        <v>27.4</v>
      </c>
      <c r="F18" s="16">
        <v>7.46</v>
      </c>
      <c r="G18" s="16">
        <v>10.32</v>
      </c>
      <c r="H18" s="33">
        <f t="shared" si="0"/>
        <v>54.090750295474116</v>
      </c>
      <c r="I18" s="26">
        <f t="shared" si="1"/>
        <v>54.090750295474116</v>
      </c>
      <c r="J18" s="9">
        <f t="shared" si="2"/>
        <v>4.2336688484476568</v>
      </c>
      <c r="K18" s="9">
        <f t="shared" si="9"/>
        <v>6.6280082482195732</v>
      </c>
      <c r="L18" s="9">
        <f t="shared" si="10"/>
        <v>22.505731487869848</v>
      </c>
      <c r="M18" s="9">
        <f t="shared" si="3"/>
        <v>20.723341710937042</v>
      </c>
      <c r="N18" s="9">
        <f t="shared" si="4"/>
        <v>0</v>
      </c>
      <c r="O18" s="12">
        <f t="shared" si="11"/>
        <v>2.8600000000000003</v>
      </c>
      <c r="P18" s="11">
        <f t="shared" si="5"/>
        <v>1.2433333333333334</v>
      </c>
      <c r="Q18" s="12">
        <f t="shared" si="6"/>
        <v>1.1466666666666667</v>
      </c>
      <c r="R18" s="1">
        <f t="shared" si="7"/>
        <v>0</v>
      </c>
      <c r="S18" s="1">
        <f t="shared" si="12"/>
        <v>6.54</v>
      </c>
      <c r="T18" s="36">
        <f t="shared" si="13"/>
        <v>6.9355961669362698E-2</v>
      </c>
      <c r="U18" s="31">
        <f t="shared" si="8"/>
        <v>10.389355961669363</v>
      </c>
      <c r="V18" s="40">
        <f t="shared" si="14"/>
        <v>34.504138812197219</v>
      </c>
    </row>
    <row r="19" spans="1:22">
      <c r="A19" s="2" t="s">
        <v>79</v>
      </c>
      <c r="B19" s="23" t="s">
        <v>80</v>
      </c>
      <c r="C19" s="2" t="s">
        <v>81</v>
      </c>
      <c r="D19" s="13" t="s">
        <v>82</v>
      </c>
      <c r="E19" s="16">
        <v>23.7</v>
      </c>
      <c r="F19" s="16">
        <v>9.93</v>
      </c>
      <c r="G19" s="16">
        <v>10.32</v>
      </c>
      <c r="H19" s="33">
        <f t="shared" si="0"/>
        <v>58.215846956483524</v>
      </c>
      <c r="I19" s="26">
        <f t="shared" si="1"/>
        <v>58.215846956483524</v>
      </c>
      <c r="J19" s="9">
        <f t="shared" si="2"/>
        <v>4.8946213690913831</v>
      </c>
      <c r="K19" s="9">
        <f t="shared" si="9"/>
        <v>0.13446260981404312</v>
      </c>
      <c r="L19" s="9">
        <f t="shared" si="10"/>
        <v>32.463421266641056</v>
      </c>
      <c r="M19" s="9">
        <f t="shared" si="3"/>
        <v>20.723341710937042</v>
      </c>
      <c r="N19" s="9">
        <f t="shared" si="4"/>
        <v>0</v>
      </c>
      <c r="O19" s="12">
        <f t="shared" si="11"/>
        <v>0.39000000000000057</v>
      </c>
      <c r="P19" s="11">
        <f t="shared" si="5"/>
        <v>1.655</v>
      </c>
      <c r="Q19" s="12">
        <f t="shared" si="6"/>
        <v>1.1466666666666667</v>
      </c>
      <c r="R19" s="1">
        <f t="shared" si="7"/>
        <v>0</v>
      </c>
      <c r="S19" s="1">
        <f t="shared" si="12"/>
        <v>4.07</v>
      </c>
      <c r="T19" s="36">
        <f t="shared" si="13"/>
        <v>6.9355961669362698E-2</v>
      </c>
      <c r="U19" s="31">
        <f t="shared" si="8"/>
        <v>10.389355961669363</v>
      </c>
      <c r="V19" s="40">
        <f t="shared" si="14"/>
        <v>34.504138812197219</v>
      </c>
    </row>
    <row r="20" spans="1:22">
      <c r="A20" s="2" t="s">
        <v>83</v>
      </c>
      <c r="B20" s="23" t="s">
        <v>84</v>
      </c>
      <c r="C20" s="2" t="s">
        <v>85</v>
      </c>
      <c r="D20" s="13" t="s">
        <v>86</v>
      </c>
      <c r="E20" s="16">
        <v>15.8</v>
      </c>
      <c r="F20" s="16">
        <v>8.93</v>
      </c>
      <c r="G20" s="16">
        <v>10.38</v>
      </c>
      <c r="H20" s="33">
        <f t="shared" si="0"/>
        <v>60.173782903248977</v>
      </c>
      <c r="I20" s="26">
        <f t="shared" si="1"/>
        <v>60.173782903248977</v>
      </c>
      <c r="J20" s="9">
        <f t="shared" si="2"/>
        <v>7.3419320536370742</v>
      </c>
      <c r="K20" s="9">
        <f t="shared" si="9"/>
        <v>2.3709316443608084</v>
      </c>
      <c r="L20" s="9">
        <f t="shared" si="10"/>
        <v>28.669646301493557</v>
      </c>
      <c r="M20" s="9">
        <f t="shared" si="3"/>
        <v>21.791272903757534</v>
      </c>
      <c r="N20" s="9">
        <f t="shared" si="4"/>
        <v>0</v>
      </c>
      <c r="O20" s="12">
        <f t="shared" si="11"/>
        <v>1.4500000000000011</v>
      </c>
      <c r="P20" s="11">
        <f t="shared" si="5"/>
        <v>1.4883333333333333</v>
      </c>
      <c r="Q20" s="12">
        <f t="shared" si="6"/>
        <v>1.1533333333333333</v>
      </c>
      <c r="R20" s="1">
        <f t="shared" si="7"/>
        <v>0</v>
      </c>
      <c r="S20" s="1">
        <f t="shared" si="12"/>
        <v>5.07</v>
      </c>
      <c r="T20" s="36">
        <f t="shared" si="13"/>
        <v>6.9355961669362698E-2</v>
      </c>
      <c r="U20" s="31">
        <f t="shared" si="8"/>
        <v>10.449355961669363</v>
      </c>
      <c r="V20" s="40">
        <f t="shared" si="14"/>
        <v>35.47081705175696</v>
      </c>
    </row>
    <row r="21" spans="1:22">
      <c r="A21" s="2" t="s">
        <v>87</v>
      </c>
      <c r="B21" s="23" t="s">
        <v>88</v>
      </c>
      <c r="C21" s="2" t="s">
        <v>89</v>
      </c>
      <c r="D21" s="13" t="s">
        <v>90</v>
      </c>
      <c r="E21" s="16">
        <v>41.7</v>
      </c>
      <c r="F21" s="16">
        <v>6.6</v>
      </c>
      <c r="G21" s="16">
        <v>10.39</v>
      </c>
      <c r="H21" s="33">
        <f t="shared" si="0"/>
        <v>52.658948315204924</v>
      </c>
      <c r="I21" s="26">
        <f t="shared" si="1"/>
        <v>52.658948315204924</v>
      </c>
      <c r="J21" s="9">
        <f t="shared" si="2"/>
        <v>2.781835166605894</v>
      </c>
      <c r="K21" s="9">
        <f t="shared" si="9"/>
        <v>9.0456576639718627</v>
      </c>
      <c r="L21" s="9">
        <f t="shared" si="10"/>
        <v>18.861129160079074</v>
      </c>
      <c r="M21" s="9">
        <f t="shared" si="3"/>
        <v>21.970326324548093</v>
      </c>
      <c r="N21" s="9">
        <f t="shared" si="4"/>
        <v>0</v>
      </c>
      <c r="O21" s="12">
        <f t="shared" si="11"/>
        <v>3.7900000000000009</v>
      </c>
      <c r="P21" s="11">
        <f t="shared" si="5"/>
        <v>1.0999999999999999</v>
      </c>
      <c r="Q21" s="12">
        <f t="shared" si="6"/>
        <v>1.1544444444444446</v>
      </c>
      <c r="R21" s="1">
        <f t="shared" si="7"/>
        <v>0</v>
      </c>
      <c r="S21" s="1">
        <f t="shared" si="12"/>
        <v>7.4</v>
      </c>
      <c r="T21" s="36">
        <f t="shared" si="13"/>
        <v>6.9355961669362698E-2</v>
      </c>
      <c r="U21" s="31">
        <f t="shared" si="8"/>
        <v>10.459355961669363</v>
      </c>
      <c r="V21" s="40">
        <f t="shared" si="14"/>
        <v>35.634542904271193</v>
      </c>
    </row>
    <row r="22" spans="1:22">
      <c r="A22" s="2" t="s">
        <v>91</v>
      </c>
      <c r="B22" s="23" t="s">
        <v>92</v>
      </c>
      <c r="C22" s="2" t="s">
        <v>93</v>
      </c>
      <c r="D22" s="13" t="s">
        <v>94</v>
      </c>
      <c r="E22" s="16">
        <v>18.3</v>
      </c>
      <c r="F22" s="16">
        <v>9.36</v>
      </c>
      <c r="G22" s="16">
        <v>10.43</v>
      </c>
      <c r="H22" s="33">
        <f t="shared" si="0"/>
        <v>60.576773714495793</v>
      </c>
      <c r="I22" s="26">
        <f t="shared" si="1"/>
        <v>60.576773714495793</v>
      </c>
      <c r="J22" s="9">
        <f t="shared" si="2"/>
        <v>6.3389358714462176</v>
      </c>
      <c r="K22" s="9">
        <f t="shared" si="9"/>
        <v>1.182099170455374</v>
      </c>
      <c r="L22" s="9">
        <f t="shared" si="10"/>
        <v>30.366156125873012</v>
      </c>
      <c r="M22" s="9">
        <f t="shared" si="3"/>
        <v>22.689582546721191</v>
      </c>
      <c r="N22" s="9">
        <f t="shared" si="4"/>
        <v>0</v>
      </c>
      <c r="O22" s="12">
        <f t="shared" si="11"/>
        <v>1.0700000000000003</v>
      </c>
      <c r="P22" s="14">
        <f t="shared" si="5"/>
        <v>1.5599999999999998</v>
      </c>
      <c r="Q22" s="11">
        <f t="shared" si="6"/>
        <v>1.1588888888888889</v>
      </c>
      <c r="R22" s="1">
        <f t="shared" si="7"/>
        <v>0</v>
      </c>
      <c r="S22" s="1">
        <f t="shared" si="12"/>
        <v>4.6400000000000006</v>
      </c>
      <c r="T22" s="36">
        <f t="shared" si="13"/>
        <v>6.9355961669362698E-2</v>
      </c>
      <c r="U22" s="31">
        <f t="shared" si="8"/>
        <v>10.499355961669362</v>
      </c>
      <c r="V22" s="40">
        <f t="shared" si="14"/>
        <v>36.297038519535555</v>
      </c>
    </row>
    <row r="23" spans="1:22">
      <c r="A23" s="2" t="s">
        <v>95</v>
      </c>
      <c r="B23" s="23" t="s">
        <v>96</v>
      </c>
      <c r="C23" s="2" t="s">
        <v>97</v>
      </c>
      <c r="D23" s="13" t="s">
        <v>98</v>
      </c>
      <c r="E23" s="16">
        <v>28.6</v>
      </c>
      <c r="F23" s="16">
        <v>9.16</v>
      </c>
      <c r="G23" s="16">
        <v>10.45</v>
      </c>
      <c r="H23" s="33">
        <f t="shared" si="0"/>
        <v>58.00826717022872</v>
      </c>
      <c r="I23" s="26">
        <f t="shared" si="1"/>
        <v>58.00826717022872</v>
      </c>
      <c r="J23" s="9">
        <f t="shared" si="2"/>
        <v>4.0560323932680342</v>
      </c>
      <c r="K23" s="9">
        <f t="shared" si="9"/>
        <v>1.3141810408405634</v>
      </c>
      <c r="L23" s="9">
        <f t="shared" si="10"/>
        <v>29.587017554905859</v>
      </c>
      <c r="M23" s="9">
        <f t="shared" si="3"/>
        <v>23.051036181214268</v>
      </c>
      <c r="N23" s="9">
        <f t="shared" si="4"/>
        <v>0</v>
      </c>
      <c r="O23" s="12">
        <f t="shared" si="11"/>
        <v>1.2899999999999991</v>
      </c>
      <c r="P23" s="11">
        <f t="shared" si="5"/>
        <v>1.5266666666666666</v>
      </c>
      <c r="Q23" s="12">
        <f t="shared" si="6"/>
        <v>1.161111111111111</v>
      </c>
      <c r="R23" s="1">
        <f t="shared" si="7"/>
        <v>0</v>
      </c>
      <c r="S23" s="1">
        <f t="shared" si="12"/>
        <v>4.84</v>
      </c>
      <c r="T23" s="36">
        <f t="shared" si="13"/>
        <v>6.9355961669362698E-2</v>
      </c>
      <c r="U23" s="31">
        <f t="shared" si="8"/>
        <v>10.519355961669362</v>
      </c>
      <c r="V23" s="40">
        <f t="shared" si="14"/>
        <v>36.632890881877849</v>
      </c>
    </row>
    <row r="24" spans="1:22">
      <c r="A24" s="2" t="s">
        <v>99</v>
      </c>
      <c r="B24" s="23" t="s">
        <v>100</v>
      </c>
      <c r="C24" s="2" t="s">
        <v>101</v>
      </c>
      <c r="D24" s="13" t="s">
        <v>102</v>
      </c>
      <c r="E24" s="16">
        <v>22.7</v>
      </c>
      <c r="F24" s="16">
        <v>9.0399999999999991</v>
      </c>
      <c r="G24" s="16">
        <v>10.49</v>
      </c>
      <c r="H24" s="33">
        <f t="shared" si="0"/>
        <v>59.906257259019654</v>
      </c>
      <c r="I24" s="26">
        <f t="shared" si="1"/>
        <v>59.906257259019654</v>
      </c>
      <c r="J24" s="9">
        <f t="shared" si="2"/>
        <v>5.110243455835497</v>
      </c>
      <c r="K24" s="9">
        <f t="shared" si="9"/>
        <v>1.9074263105184488</v>
      </c>
      <c r="L24" s="9">
        <f t="shared" si="10"/>
        <v>29.110992995652186</v>
      </c>
      <c r="M24" s="9">
        <f t="shared" si="3"/>
        <v>23.777594497013524</v>
      </c>
      <c r="N24" s="9">
        <f t="shared" si="4"/>
        <v>0</v>
      </c>
      <c r="O24" s="12">
        <f t="shared" si="11"/>
        <v>1.4500000000000011</v>
      </c>
      <c r="P24" s="11">
        <f t="shared" si="5"/>
        <v>1.5066666666666666</v>
      </c>
      <c r="Q24" s="12">
        <f t="shared" si="6"/>
        <v>1.1655555555555557</v>
      </c>
      <c r="R24" s="1">
        <f t="shared" si="7"/>
        <v>0</v>
      </c>
      <c r="S24" s="1">
        <f t="shared" si="12"/>
        <v>4.9600000000000009</v>
      </c>
      <c r="T24" s="36">
        <f t="shared" si="13"/>
        <v>6.9355961669362698E-2</v>
      </c>
      <c r="U24" s="31">
        <f t="shared" si="8"/>
        <v>10.559355961669363</v>
      </c>
      <c r="V24" s="40">
        <f t="shared" si="14"/>
        <v>37.313947171806987</v>
      </c>
    </row>
    <row r="25" spans="1:22">
      <c r="A25" s="2" t="s">
        <v>103</v>
      </c>
      <c r="B25" s="23" t="s">
        <v>104</v>
      </c>
      <c r="C25" s="2" t="s">
        <v>105</v>
      </c>
      <c r="D25" s="13" t="s">
        <v>106</v>
      </c>
      <c r="E25" s="16">
        <v>37.5</v>
      </c>
      <c r="F25" s="16">
        <v>9.0399999999999991</v>
      </c>
      <c r="G25" s="16">
        <v>10.49</v>
      </c>
      <c r="H25" s="33">
        <f t="shared" si="0"/>
        <v>57.393144936159885</v>
      </c>
      <c r="I25" s="26">
        <f t="shared" si="1"/>
        <v>57.393144936159885</v>
      </c>
      <c r="J25" s="9">
        <f t="shared" si="2"/>
        <v>3.0934007052657542</v>
      </c>
      <c r="K25" s="9">
        <f t="shared" si="9"/>
        <v>1.4111567382284227</v>
      </c>
      <c r="L25" s="9">
        <f t="shared" si="10"/>
        <v>29.110992995652186</v>
      </c>
      <c r="M25" s="9">
        <f t="shared" si="3"/>
        <v>23.777594497013524</v>
      </c>
      <c r="N25" s="9">
        <f t="shared" si="4"/>
        <v>0</v>
      </c>
      <c r="O25" s="12">
        <f t="shared" si="11"/>
        <v>1.4500000000000011</v>
      </c>
      <c r="P25" s="11">
        <f t="shared" si="5"/>
        <v>1.5066666666666666</v>
      </c>
      <c r="Q25" s="12">
        <f t="shared" si="6"/>
        <v>1.1655555555555557</v>
      </c>
      <c r="R25" s="1">
        <f t="shared" si="7"/>
        <v>0</v>
      </c>
      <c r="S25" s="1">
        <f t="shared" si="12"/>
        <v>4.9600000000000009</v>
      </c>
      <c r="T25" s="36">
        <f t="shared" si="13"/>
        <v>6.9355961669362698E-2</v>
      </c>
      <c r="U25" s="31">
        <f t="shared" si="8"/>
        <v>10.559355961669363</v>
      </c>
      <c r="V25" s="40">
        <f t="shared" si="14"/>
        <v>37.313947171806987</v>
      </c>
    </row>
    <row r="26" spans="1:22">
      <c r="A26" s="2" t="s">
        <v>107</v>
      </c>
      <c r="B26" s="23" t="s">
        <v>108</v>
      </c>
      <c r="C26" s="2" t="s">
        <v>109</v>
      </c>
      <c r="D26" s="13" t="s">
        <v>110</v>
      </c>
      <c r="E26" s="16">
        <v>20.399999999999999</v>
      </c>
      <c r="F26" s="16">
        <v>7.8</v>
      </c>
      <c r="G26" s="16">
        <v>10.5</v>
      </c>
      <c r="H26" s="33">
        <f t="shared" si="0"/>
        <v>60.65300577303001</v>
      </c>
      <c r="I26" s="26">
        <f t="shared" si="1"/>
        <v>60.65300577303001</v>
      </c>
      <c r="J26" s="9">
        <f t="shared" si="2"/>
        <v>5.6863983552679311</v>
      </c>
      <c r="K26" s="9">
        <f t="shared" si="9"/>
        <v>7.0516613626276579</v>
      </c>
      <c r="L26" s="9">
        <f t="shared" si="10"/>
        <v>23.954951344418369</v>
      </c>
      <c r="M26" s="9">
        <f t="shared" si="3"/>
        <v>23.959994710716053</v>
      </c>
      <c r="N26" s="9">
        <f t="shared" si="4"/>
        <v>0</v>
      </c>
      <c r="O26" s="12">
        <f t="shared" si="11"/>
        <v>2.7</v>
      </c>
      <c r="P26" s="11">
        <f t="shared" si="5"/>
        <v>1.3</v>
      </c>
      <c r="Q26" s="12">
        <f t="shared" si="6"/>
        <v>1.1666666666666667</v>
      </c>
      <c r="R26" s="1">
        <f t="shared" si="7"/>
        <v>0</v>
      </c>
      <c r="S26" s="1">
        <f t="shared" si="12"/>
        <v>6.2</v>
      </c>
      <c r="T26" s="36">
        <f t="shared" si="13"/>
        <v>6.9355961669362698E-2</v>
      </c>
      <c r="U26" s="31">
        <f t="shared" si="8"/>
        <v>10.569355961669363</v>
      </c>
      <c r="V26" s="40">
        <f t="shared" si="14"/>
        <v>37.486180526411133</v>
      </c>
    </row>
    <row r="27" spans="1:22">
      <c r="A27" s="2" t="s">
        <v>111</v>
      </c>
      <c r="B27" s="23" t="s">
        <v>112</v>
      </c>
      <c r="C27" s="2" t="s">
        <v>113</v>
      </c>
      <c r="D27" s="13" t="s">
        <v>114</v>
      </c>
      <c r="E27" s="16">
        <v>24.7</v>
      </c>
      <c r="F27" s="16">
        <v>8.6</v>
      </c>
      <c r="G27" s="16">
        <v>10.5</v>
      </c>
      <c r="H27" s="33">
        <f t="shared" si="0"/>
        <v>59.090992589405538</v>
      </c>
      <c r="I27" s="26">
        <f t="shared" si="1"/>
        <v>59.090992589405538</v>
      </c>
      <c r="J27" s="9">
        <f t="shared" si="2"/>
        <v>4.6964585606261453</v>
      </c>
      <c r="K27" s="9">
        <f t="shared" si="9"/>
        <v>3.1131830473281759</v>
      </c>
      <c r="L27" s="9">
        <f t="shared" si="10"/>
        <v>27.321356270735166</v>
      </c>
      <c r="M27" s="9">
        <f t="shared" si="3"/>
        <v>23.959994710716053</v>
      </c>
      <c r="N27" s="9">
        <f t="shared" si="4"/>
        <v>0</v>
      </c>
      <c r="O27" s="12">
        <f t="shared" si="11"/>
        <v>1.9000000000000004</v>
      </c>
      <c r="P27" s="11">
        <f t="shared" si="5"/>
        <v>1.4333333333333333</v>
      </c>
      <c r="Q27" s="12">
        <f t="shared" si="6"/>
        <v>1.1666666666666667</v>
      </c>
      <c r="R27" s="1">
        <f t="shared" si="7"/>
        <v>0</v>
      </c>
      <c r="S27" s="1">
        <f t="shared" si="12"/>
        <v>5.4</v>
      </c>
      <c r="T27" s="36">
        <f t="shared" si="13"/>
        <v>6.9355961669362698E-2</v>
      </c>
      <c r="U27" s="31">
        <f t="shared" si="8"/>
        <v>10.569355961669363</v>
      </c>
      <c r="V27" s="40">
        <f t="shared" si="14"/>
        <v>37.486180526411133</v>
      </c>
    </row>
    <row r="28" spans="1:22">
      <c r="A28" s="2" t="s">
        <v>115</v>
      </c>
      <c r="B28" s="23" t="s">
        <v>116</v>
      </c>
      <c r="C28" s="2" t="s">
        <v>117</v>
      </c>
      <c r="D28" s="13" t="s">
        <v>118</v>
      </c>
      <c r="E28" s="16">
        <v>25.7</v>
      </c>
      <c r="F28" s="16">
        <v>8.43</v>
      </c>
      <c r="G28" s="16">
        <v>10.53</v>
      </c>
      <c r="H28" s="33">
        <f t="shared" si="0"/>
        <v>59.351474371457286</v>
      </c>
      <c r="I28" s="26">
        <f t="shared" si="1"/>
        <v>59.351474371457286</v>
      </c>
      <c r="J28" s="9">
        <f t="shared" si="2"/>
        <v>4.5137169823916645</v>
      </c>
      <c r="K28" s="9">
        <f t="shared" si="9"/>
        <v>3.7135464946918679</v>
      </c>
      <c r="L28" s="9">
        <f t="shared" si="10"/>
        <v>26.615190019143597</v>
      </c>
      <c r="M28" s="9">
        <f t="shared" si="3"/>
        <v>24.50902087523016</v>
      </c>
      <c r="N28" s="9">
        <f t="shared" si="4"/>
        <v>0</v>
      </c>
      <c r="O28" s="12">
        <f t="shared" si="11"/>
        <v>2.0999999999999996</v>
      </c>
      <c r="P28" s="11">
        <f t="shared" si="5"/>
        <v>1.405</v>
      </c>
      <c r="Q28" s="12">
        <f t="shared" si="6"/>
        <v>1.17</v>
      </c>
      <c r="R28" s="1">
        <f t="shared" si="7"/>
        <v>0</v>
      </c>
      <c r="S28" s="1">
        <f t="shared" si="12"/>
        <v>5.57</v>
      </c>
      <c r="T28" s="36">
        <f t="shared" si="13"/>
        <v>6.9355961669362698E-2</v>
      </c>
      <c r="U28" s="31">
        <f t="shared" si="8"/>
        <v>10.599355961669362</v>
      </c>
      <c r="V28" s="40">
        <f t="shared" si="14"/>
        <v>38.007665243508846</v>
      </c>
    </row>
    <row r="29" spans="1:22">
      <c r="A29" s="2" t="s">
        <v>119</v>
      </c>
      <c r="B29" s="23" t="s">
        <v>120</v>
      </c>
      <c r="C29" s="2" t="s">
        <v>121</v>
      </c>
      <c r="D29" s="13" t="s">
        <v>122</v>
      </c>
      <c r="E29" s="16">
        <v>17.2</v>
      </c>
      <c r="F29" s="16">
        <v>9.57</v>
      </c>
      <c r="G29" s="16">
        <v>10.58</v>
      </c>
      <c r="H29" s="33">
        <f t="shared" si="0"/>
        <v>64.429893376860861</v>
      </c>
      <c r="I29" s="26">
        <f t="shared" si="1"/>
        <v>64.429893376860861</v>
      </c>
      <c r="J29" s="9">
        <f t="shared" si="2"/>
        <v>6.7443329329921973</v>
      </c>
      <c r="K29" s="9">
        <f t="shared" si="9"/>
        <v>1.0931789106977343</v>
      </c>
      <c r="L29" s="9">
        <f t="shared" si="10"/>
        <v>31.16223197239545</v>
      </c>
      <c r="M29" s="9">
        <f t="shared" si="3"/>
        <v>25.43014956077548</v>
      </c>
      <c r="N29" s="9">
        <f t="shared" si="4"/>
        <v>0</v>
      </c>
      <c r="O29" s="12">
        <f t="shared" si="11"/>
        <v>1.0099999999999998</v>
      </c>
      <c r="P29" s="11">
        <f t="shared" si="5"/>
        <v>1.595</v>
      </c>
      <c r="Q29" s="12">
        <f t="shared" si="6"/>
        <v>1.1755555555555555</v>
      </c>
      <c r="R29" s="1">
        <f t="shared" si="7"/>
        <v>0</v>
      </c>
      <c r="S29" s="1">
        <f t="shared" si="12"/>
        <v>4.43</v>
      </c>
      <c r="T29" s="36">
        <f t="shared" si="13"/>
        <v>6.9355961669362698E-2</v>
      </c>
      <c r="U29" s="31">
        <f t="shared" si="8"/>
        <v>10.649355961669363</v>
      </c>
      <c r="V29" s="40">
        <f t="shared" si="14"/>
        <v>38.892977496635382</v>
      </c>
    </row>
    <row r="30" spans="1:22">
      <c r="A30" s="2" t="s">
        <v>123</v>
      </c>
      <c r="B30" s="23" t="s">
        <v>124</v>
      </c>
      <c r="C30" s="2" t="s">
        <v>125</v>
      </c>
      <c r="D30" s="13" t="s">
        <v>126</v>
      </c>
      <c r="E30" s="16">
        <v>23.5</v>
      </c>
      <c r="F30" s="16">
        <v>9.91</v>
      </c>
      <c r="G30" s="16">
        <v>10.59</v>
      </c>
      <c r="H30" s="33">
        <f t="shared" si="0"/>
        <v>63.35595510496168</v>
      </c>
      <c r="I30" s="26">
        <f t="shared" si="1"/>
        <v>63.35595510496168</v>
      </c>
      <c r="J30" s="9">
        <f t="shared" si="2"/>
        <v>4.9362777211687563</v>
      </c>
      <c r="K30" s="9">
        <f t="shared" si="9"/>
        <v>0.41086543554335436</v>
      </c>
      <c r="L30" s="9">
        <f t="shared" si="10"/>
        <v>32.393523888661768</v>
      </c>
      <c r="M30" s="9">
        <f t="shared" si="3"/>
        <v>25.615288059587801</v>
      </c>
      <c r="N30" s="9">
        <f t="shared" si="4"/>
        <v>0</v>
      </c>
      <c r="O30" s="12">
        <f t="shared" si="11"/>
        <v>0.67999999999999972</v>
      </c>
      <c r="P30" s="11">
        <f t="shared" si="5"/>
        <v>1.6516666666666666</v>
      </c>
      <c r="Q30" s="12">
        <f t="shared" si="6"/>
        <v>1.1766666666666667</v>
      </c>
      <c r="R30" s="1">
        <f t="shared" si="7"/>
        <v>0</v>
      </c>
      <c r="S30" s="1">
        <f t="shared" si="12"/>
        <v>4.09</v>
      </c>
      <c r="T30" s="36">
        <f t="shared" si="13"/>
        <v>6.9355961669362698E-2</v>
      </c>
      <c r="U30" s="31">
        <f t="shared" si="8"/>
        <v>10.659355961669363</v>
      </c>
      <c r="V30" s="40">
        <f t="shared" si="14"/>
        <v>39.072499324062193</v>
      </c>
    </row>
    <row r="31" spans="1:22">
      <c r="A31" s="2" t="s">
        <v>127</v>
      </c>
      <c r="B31" s="23" t="s">
        <v>128</v>
      </c>
      <c r="C31" s="2" t="s">
        <v>129</v>
      </c>
      <c r="D31" s="13" t="s">
        <v>130</v>
      </c>
      <c r="E31" s="16">
        <v>35.4</v>
      </c>
      <c r="F31" s="16">
        <v>7.9</v>
      </c>
      <c r="G31" s="16">
        <v>10.6</v>
      </c>
      <c r="H31" s="33">
        <f t="shared" si="0"/>
        <v>58.523029340827136</v>
      </c>
      <c r="I31" s="26">
        <f t="shared" si="1"/>
        <v>58.523029340827136</v>
      </c>
      <c r="J31" s="9">
        <f t="shared" si="2"/>
        <v>3.2769075267645702</v>
      </c>
      <c r="K31" s="9">
        <f t="shared" si="9"/>
        <v>5.0651409301586474</v>
      </c>
      <c r="L31" s="9">
        <f t="shared" si="10"/>
        <v>24.380250071602703</v>
      </c>
      <c r="M31" s="9">
        <f t="shared" si="3"/>
        <v>25.800730812301214</v>
      </c>
      <c r="N31" s="9">
        <f t="shared" si="4"/>
        <v>0</v>
      </c>
      <c r="O31" s="12">
        <f t="shared" si="11"/>
        <v>2.6999999999999993</v>
      </c>
      <c r="P31" s="11">
        <f t="shared" si="5"/>
        <v>1.3166666666666667</v>
      </c>
      <c r="Q31" s="12">
        <f t="shared" si="6"/>
        <v>1.1777777777777778</v>
      </c>
      <c r="R31" s="1">
        <f t="shared" si="7"/>
        <v>0</v>
      </c>
      <c r="S31" s="1">
        <f t="shared" si="12"/>
        <v>6.1</v>
      </c>
      <c r="T31" s="36">
        <f t="shared" si="13"/>
        <v>6.9355961669362698E-2</v>
      </c>
      <c r="U31" s="31">
        <f t="shared" si="8"/>
        <v>10.669355961669362</v>
      </c>
      <c r="V31" s="40">
        <f t="shared" si="14"/>
        <v>39.252849786594808</v>
      </c>
    </row>
    <row r="32" spans="1:22">
      <c r="A32" s="2" t="s">
        <v>131</v>
      </c>
      <c r="B32" s="23" t="s">
        <v>132</v>
      </c>
      <c r="C32" s="2" t="s">
        <v>133</v>
      </c>
      <c r="D32" s="13" t="s">
        <v>134</v>
      </c>
      <c r="E32" s="16">
        <v>28.6</v>
      </c>
      <c r="F32" s="16">
        <v>7.8</v>
      </c>
      <c r="G32" s="16">
        <v>10.6</v>
      </c>
      <c r="H32" s="33">
        <f t="shared" si="0"/>
        <v>60.003156987455341</v>
      </c>
      <c r="I32" s="26">
        <f t="shared" si="1"/>
        <v>60.003156987455341</v>
      </c>
      <c r="J32" s="9">
        <f t="shared" si="2"/>
        <v>4.0560323932680342</v>
      </c>
      <c r="K32" s="9">
        <f t="shared" si="9"/>
        <v>6.1914424374677193</v>
      </c>
      <c r="L32" s="9">
        <f t="shared" si="10"/>
        <v>23.954951344418369</v>
      </c>
      <c r="M32" s="9">
        <f t="shared" si="3"/>
        <v>25.800730812301214</v>
      </c>
      <c r="N32" s="9">
        <f t="shared" si="4"/>
        <v>0</v>
      </c>
      <c r="O32" s="12">
        <f t="shared" si="11"/>
        <v>2.8</v>
      </c>
      <c r="P32" s="11">
        <f t="shared" si="5"/>
        <v>1.3</v>
      </c>
      <c r="Q32" s="12">
        <f t="shared" si="6"/>
        <v>1.1777777777777778</v>
      </c>
      <c r="R32" s="1">
        <f t="shared" si="7"/>
        <v>0</v>
      </c>
      <c r="S32" s="1">
        <f t="shared" si="12"/>
        <v>6.2</v>
      </c>
      <c r="T32" s="36">
        <f t="shared" si="13"/>
        <v>6.9355961669362698E-2</v>
      </c>
      <c r="U32" s="31">
        <f t="shared" si="8"/>
        <v>10.669355961669362</v>
      </c>
      <c r="V32" s="40">
        <f t="shared" si="14"/>
        <v>39.252849786594808</v>
      </c>
    </row>
    <row r="33" spans="1:22">
      <c r="A33" s="2" t="s">
        <v>135</v>
      </c>
      <c r="B33" s="23" t="s">
        <v>136</v>
      </c>
      <c r="C33" s="2" t="s">
        <v>137</v>
      </c>
      <c r="D33" s="13" t="s">
        <v>138</v>
      </c>
      <c r="E33" s="16">
        <v>38</v>
      </c>
      <c r="F33" s="16">
        <v>10.5</v>
      </c>
      <c r="G33" s="16">
        <v>10.6</v>
      </c>
      <c r="H33" s="33">
        <f t="shared" si="0"/>
        <v>63.169436921291393</v>
      </c>
      <c r="I33" s="26">
        <f t="shared" si="1"/>
        <v>63.169436921291393</v>
      </c>
      <c r="J33" s="9">
        <f t="shared" si="2"/>
        <v>3.0526980644069943</v>
      </c>
      <c r="K33" s="9">
        <f t="shared" si="9"/>
        <v>6.6586474966213675E-3</v>
      </c>
      <c r="L33" s="9">
        <f t="shared" si="10"/>
        <v>34.309349397086557</v>
      </c>
      <c r="M33" s="9">
        <f t="shared" si="3"/>
        <v>25.800730812301214</v>
      </c>
      <c r="N33" s="9">
        <f t="shared" si="4"/>
        <v>0</v>
      </c>
      <c r="O33" s="12">
        <f t="shared" si="11"/>
        <v>9.9999999999999645E-2</v>
      </c>
      <c r="P33" s="11">
        <f t="shared" si="5"/>
        <v>1.75</v>
      </c>
      <c r="Q33" s="12">
        <f t="shared" si="6"/>
        <v>1.1777777777777778</v>
      </c>
      <c r="R33" s="1">
        <f t="shared" si="7"/>
        <v>0</v>
      </c>
      <c r="S33" s="1">
        <f t="shared" si="12"/>
        <v>3.5</v>
      </c>
      <c r="T33" s="36">
        <f t="shared" si="13"/>
        <v>6.9355961669362698E-2</v>
      </c>
      <c r="U33" s="31">
        <f t="shared" si="8"/>
        <v>10.669355961669362</v>
      </c>
      <c r="V33" s="40">
        <f t="shared" si="14"/>
        <v>39.252849786594808</v>
      </c>
    </row>
    <row r="34" spans="1:22">
      <c r="A34" s="2" t="s">
        <v>139</v>
      </c>
      <c r="B34" s="23" t="s">
        <v>140</v>
      </c>
      <c r="C34" s="2" t="s">
        <v>141</v>
      </c>
      <c r="D34" s="13" t="s">
        <v>142</v>
      </c>
      <c r="E34" s="16">
        <v>21.9</v>
      </c>
      <c r="F34" s="16">
        <v>10.47</v>
      </c>
      <c r="G34" s="16">
        <v>10.65</v>
      </c>
      <c r="H34" s="33">
        <f t="shared" si="0"/>
        <v>66.279615556823373</v>
      </c>
      <c r="I34" s="26">
        <f t="shared" si="1"/>
        <v>66.279615556823373</v>
      </c>
      <c r="J34" s="9">
        <f t="shared" si="2"/>
        <v>5.2969190158660178</v>
      </c>
      <c r="K34" s="9">
        <f t="shared" si="9"/>
        <v>3.0033833647328961E-2</v>
      </c>
      <c r="L34" s="9">
        <f t="shared" si="10"/>
        <v>34.220154322925403</v>
      </c>
      <c r="M34" s="9">
        <f t="shared" si="3"/>
        <v>26.732508384384627</v>
      </c>
      <c r="N34" s="9">
        <f t="shared" si="4"/>
        <v>0</v>
      </c>
      <c r="O34" s="12">
        <f t="shared" si="11"/>
        <v>0.17999999999999972</v>
      </c>
      <c r="P34" s="11">
        <f t="shared" si="5"/>
        <v>1.7450000000000001</v>
      </c>
      <c r="Q34" s="12">
        <f t="shared" si="6"/>
        <v>1.1833333333333333</v>
      </c>
      <c r="R34" s="1">
        <f t="shared" si="7"/>
        <v>0</v>
      </c>
      <c r="S34" s="1">
        <f t="shared" si="12"/>
        <v>3.5299999999999994</v>
      </c>
      <c r="T34" s="36">
        <f t="shared" si="13"/>
        <v>6.9355961669362698E-2</v>
      </c>
      <c r="U34" s="31">
        <f t="shared" si="8"/>
        <v>10.719355961669363</v>
      </c>
      <c r="V34" s="40">
        <f t="shared" si="14"/>
        <v>40.167166113671556</v>
      </c>
    </row>
    <row r="35" spans="1:22">
      <c r="A35" s="2" t="s">
        <v>143</v>
      </c>
      <c r="B35" s="23" t="s">
        <v>144</v>
      </c>
      <c r="C35" s="2" t="s">
        <v>145</v>
      </c>
      <c r="D35" s="13" t="s">
        <v>146</v>
      </c>
      <c r="E35" s="16">
        <v>17.399999999999999</v>
      </c>
      <c r="F35" s="16">
        <v>10.61</v>
      </c>
      <c r="G35" s="16">
        <v>10.65</v>
      </c>
      <c r="H35" s="33">
        <f t="shared" si="0"/>
        <v>68.028675861725333</v>
      </c>
      <c r="I35" s="26">
        <f t="shared" si="1"/>
        <v>68.028675861725333</v>
      </c>
      <c r="J35" s="9">
        <f t="shared" si="2"/>
        <v>6.6668118647968848</v>
      </c>
      <c r="K35" s="9">
        <f t="shared" si="9"/>
        <v>1.7027637807148655E-3</v>
      </c>
      <c r="L35" s="9">
        <f t="shared" si="10"/>
        <v>34.627652848763113</v>
      </c>
      <c r="M35" s="9">
        <f t="shared" si="3"/>
        <v>26.732508384384627</v>
      </c>
      <c r="N35" s="9">
        <f t="shared" si="4"/>
        <v>0</v>
      </c>
      <c r="O35" s="12">
        <f t="shared" si="11"/>
        <v>4.0000000000000924E-2</v>
      </c>
      <c r="P35" s="11">
        <f t="shared" si="5"/>
        <v>1.7683333333333333</v>
      </c>
      <c r="Q35" s="12">
        <f t="shared" si="6"/>
        <v>1.1833333333333333</v>
      </c>
      <c r="R35" s="1">
        <f t="shared" si="7"/>
        <v>0</v>
      </c>
      <c r="S35" s="1">
        <f t="shared" si="12"/>
        <v>3.3900000000000006</v>
      </c>
      <c r="T35" s="36">
        <f t="shared" si="13"/>
        <v>6.9355961669362698E-2</v>
      </c>
      <c r="U35" s="31">
        <f t="shared" si="8"/>
        <v>10.719355961669363</v>
      </c>
      <c r="V35" s="40">
        <f t="shared" si="14"/>
        <v>40.167166113671556</v>
      </c>
    </row>
    <row r="36" spans="1:22">
      <c r="A36" s="2" t="s">
        <v>147</v>
      </c>
      <c r="B36" s="23" t="s">
        <v>148</v>
      </c>
      <c r="C36" s="2" t="s">
        <v>149</v>
      </c>
      <c r="D36" s="13" t="s">
        <v>150</v>
      </c>
      <c r="E36" s="16">
        <v>34.9</v>
      </c>
      <c r="F36" s="16">
        <v>10.7</v>
      </c>
      <c r="G36" s="16">
        <v>10.65</v>
      </c>
      <c r="H36" s="33">
        <f t="shared" si="0"/>
        <v>64.935450349220105</v>
      </c>
      <c r="I36" s="26">
        <f t="shared" si="1"/>
        <v>64.935450349220105</v>
      </c>
      <c r="J36" s="9">
        <f t="shared" si="2"/>
        <v>3.3238546260018849</v>
      </c>
      <c r="K36" s="9">
        <f t="shared" si="9"/>
        <v>1.751913574841242E-3</v>
      </c>
      <c r="L36" s="9">
        <f t="shared" si="10"/>
        <v>34.87733542525875</v>
      </c>
      <c r="M36" s="9">
        <f t="shared" si="3"/>
        <v>26.732508384384627</v>
      </c>
      <c r="N36" s="9">
        <f t="shared" si="4"/>
        <v>0</v>
      </c>
      <c r="O36" s="12">
        <f t="shared" si="11"/>
        <v>4.9999999999998934E-2</v>
      </c>
      <c r="P36" s="11">
        <f t="shared" si="5"/>
        <v>1.7833333333333332</v>
      </c>
      <c r="Q36" s="12">
        <f t="shared" si="6"/>
        <v>1.1833333333333333</v>
      </c>
      <c r="R36" s="1">
        <f t="shared" si="7"/>
        <v>0</v>
      </c>
      <c r="S36" s="1">
        <f t="shared" si="12"/>
        <v>3.3000000000000007</v>
      </c>
      <c r="T36" s="36">
        <f t="shared" si="13"/>
        <v>6.9355961669362698E-2</v>
      </c>
      <c r="U36" s="31">
        <f t="shared" si="8"/>
        <v>10.719355961669363</v>
      </c>
      <c r="V36" s="40">
        <f t="shared" si="14"/>
        <v>40.167166113671556</v>
      </c>
    </row>
    <row r="37" spans="1:22">
      <c r="A37" s="2" t="s">
        <v>151</v>
      </c>
      <c r="B37" s="23" t="s">
        <v>152</v>
      </c>
      <c r="C37" s="2" t="s">
        <v>153</v>
      </c>
      <c r="D37" s="13" t="s">
        <v>154</v>
      </c>
      <c r="E37" s="16">
        <v>15.8</v>
      </c>
      <c r="F37" s="16">
        <v>8.5299999999999994</v>
      </c>
      <c r="G37" s="16">
        <v>10.67</v>
      </c>
      <c r="H37" s="33">
        <f t="shared" si="0"/>
        <v>66.644973609622767</v>
      </c>
      <c r="I37" s="26">
        <f t="shared" ref="I37:I68" si="15">J37+K37+L37+M37+N37</f>
        <v>66.644973609622767</v>
      </c>
      <c r="J37" s="9">
        <f t="shared" ref="J37:J68" si="16">116/1.2213*(0.0950502775050452+(1.12627632206642)/((1+($B$2/0.302756091410027)^2.26536793426585)^0.152776210790626))/E37</f>
        <v>7.3419320536370742</v>
      </c>
      <c r="K37" s="9">
        <f t="shared" si="9"/>
        <v>5.1642894451913186</v>
      </c>
      <c r="L37" s="9">
        <f t="shared" si="10"/>
        <v>27.031402920268778</v>
      </c>
      <c r="M37" s="9">
        <f t="shared" ref="M37:M68" si="17">13.6914255489806*Q37*(G37-9)</f>
        <v>27.1073491905256</v>
      </c>
      <c r="N37" s="9">
        <f t="shared" ref="N37:N68" si="18">2.4817076129942*Q37*(6.5-$B$3)</f>
        <v>0</v>
      </c>
      <c r="O37" s="12">
        <f t="shared" si="11"/>
        <v>2.1400000000000006</v>
      </c>
      <c r="P37" s="11">
        <f t="shared" ref="P37:P68" si="19">IF(F37-6&gt;0,F37/6,0)</f>
        <v>1.4216666666666666</v>
      </c>
      <c r="Q37" s="12">
        <f t="shared" ref="Q37:Q68" si="20">IF(G37-9&gt;0,G37/9,0)</f>
        <v>1.1855555555555555</v>
      </c>
      <c r="R37" s="1">
        <f t="shared" si="7"/>
        <v>0</v>
      </c>
      <c r="S37" s="1">
        <f t="shared" si="12"/>
        <v>5.4700000000000006</v>
      </c>
      <c r="T37" s="36">
        <f t="shared" si="13"/>
        <v>6.9355961669362698E-2</v>
      </c>
      <c r="U37" s="31">
        <f t="shared" si="8"/>
        <v>10.739355961669363</v>
      </c>
      <c r="V37" s="40">
        <f t="shared" si="14"/>
        <v>40.538828325744603</v>
      </c>
    </row>
    <row r="38" spans="1:22">
      <c r="A38" s="13" t="s">
        <v>155</v>
      </c>
      <c r="B38" s="23" t="s">
        <v>156</v>
      </c>
      <c r="C38" s="13" t="s">
        <v>157</v>
      </c>
      <c r="D38" s="13" t="s">
        <v>158</v>
      </c>
      <c r="E38" s="16">
        <v>16.8</v>
      </c>
      <c r="F38" s="16">
        <v>9.85</v>
      </c>
      <c r="G38" s="16">
        <v>10.68</v>
      </c>
      <c r="H38" s="33">
        <f t="shared" si="0"/>
        <v>67.130927384662215</v>
      </c>
      <c r="I38" s="26">
        <f t="shared" si="15"/>
        <v>67.130927384662215</v>
      </c>
      <c r="J38" s="9">
        <f t="shared" si="16"/>
        <v>6.9049122885396299</v>
      </c>
      <c r="K38" s="9">
        <f t="shared" si="9"/>
        <v>0.74875447004451934</v>
      </c>
      <c r="L38" s="9">
        <f t="shared" si="10"/>
        <v>32.182034651630339</v>
      </c>
      <c r="M38" s="9">
        <f t="shared" si="17"/>
        <v>27.295225974447721</v>
      </c>
      <c r="N38" s="9">
        <f t="shared" si="18"/>
        <v>0</v>
      </c>
      <c r="O38" s="12">
        <f t="shared" si="11"/>
        <v>0.83000000000000007</v>
      </c>
      <c r="P38" s="11">
        <f t="shared" si="19"/>
        <v>1.6416666666666666</v>
      </c>
      <c r="Q38" s="12">
        <f t="shared" si="20"/>
        <v>1.1866666666666665</v>
      </c>
      <c r="R38" s="1">
        <f t="shared" si="7"/>
        <v>0</v>
      </c>
      <c r="S38" s="1">
        <f t="shared" si="12"/>
        <v>4.1500000000000004</v>
      </c>
      <c r="T38" s="36">
        <f t="shared" si="13"/>
        <v>6.9355961669362698E-2</v>
      </c>
      <c r="U38" s="31">
        <f t="shared" si="8"/>
        <v>10.749355961669362</v>
      </c>
      <c r="V38" s="40">
        <f t="shared" si="14"/>
        <v>40.725947055428144</v>
      </c>
    </row>
    <row r="39" spans="1:22">
      <c r="A39" s="2" t="s">
        <v>159</v>
      </c>
      <c r="B39" s="23" t="s">
        <v>160</v>
      </c>
      <c r="C39" s="2" t="s">
        <v>161</v>
      </c>
      <c r="D39" s="13" t="s">
        <v>162</v>
      </c>
      <c r="E39" s="16">
        <v>46.4</v>
      </c>
      <c r="F39" s="16">
        <v>9.2899999999999991</v>
      </c>
      <c r="G39" s="16">
        <v>10.69</v>
      </c>
      <c r="H39" s="33">
        <f t="shared" si="0"/>
        <v>61.236722705934142</v>
      </c>
      <c r="I39" s="26">
        <f t="shared" si="15"/>
        <v>61.236722705934142</v>
      </c>
      <c r="J39" s="9">
        <f t="shared" si="16"/>
        <v>2.5000544492988315</v>
      </c>
      <c r="K39" s="9">
        <f t="shared" si="9"/>
        <v>1.1576410179065941</v>
      </c>
      <c r="L39" s="9">
        <f t="shared" si="10"/>
        <v>30.095620226457783</v>
      </c>
      <c r="M39" s="9">
        <f t="shared" si="17"/>
        <v>27.483407012270927</v>
      </c>
      <c r="N39" s="9">
        <f t="shared" si="18"/>
        <v>0</v>
      </c>
      <c r="O39" s="12">
        <f t="shared" si="11"/>
        <v>1.4000000000000004</v>
      </c>
      <c r="P39" s="11">
        <f t="shared" si="19"/>
        <v>1.5483333333333331</v>
      </c>
      <c r="Q39" s="12">
        <f t="shared" si="20"/>
        <v>1.1877777777777778</v>
      </c>
      <c r="R39" s="1">
        <f t="shared" si="7"/>
        <v>0</v>
      </c>
      <c r="S39" s="1">
        <f t="shared" si="12"/>
        <v>4.7100000000000009</v>
      </c>
      <c r="T39" s="36">
        <f t="shared" si="13"/>
        <v>6.9355961669362698E-2</v>
      </c>
      <c r="U39" s="31">
        <f t="shared" si="8"/>
        <v>10.759355961669362</v>
      </c>
      <c r="V39" s="40">
        <f t="shared" si="14"/>
        <v>40.913929485924974</v>
      </c>
    </row>
    <row r="40" spans="1:22">
      <c r="A40" s="2" t="s">
        <v>163</v>
      </c>
      <c r="B40" s="23" t="s">
        <v>164</v>
      </c>
      <c r="C40" s="2" t="s">
        <v>165</v>
      </c>
      <c r="D40" s="13" t="s">
        <v>166</v>
      </c>
      <c r="E40" s="16">
        <v>22.9</v>
      </c>
      <c r="F40" s="16">
        <v>7.5</v>
      </c>
      <c r="G40" s="16">
        <v>10.7</v>
      </c>
      <c r="H40" s="33">
        <f t="shared" si="0"/>
        <v>64.65494762366734</v>
      </c>
      <c r="I40" s="26">
        <f t="shared" si="15"/>
        <v>64.65494762366734</v>
      </c>
      <c r="J40" s="9">
        <f t="shared" si="16"/>
        <v>5.0656125086229604</v>
      </c>
      <c r="K40" s="9">
        <f t="shared" si="9"/>
        <v>9.2411226749428863</v>
      </c>
      <c r="L40" s="9">
        <f t="shared" si="10"/>
        <v>22.67632013610627</v>
      </c>
      <c r="M40" s="9">
        <f t="shared" si="17"/>
        <v>27.671892303995225</v>
      </c>
      <c r="N40" s="9">
        <f t="shared" si="18"/>
        <v>0</v>
      </c>
      <c r="O40" s="12">
        <f t="shared" si="11"/>
        <v>3.1999999999999993</v>
      </c>
      <c r="P40" s="11">
        <f t="shared" si="19"/>
        <v>1.25</v>
      </c>
      <c r="Q40" s="12">
        <f t="shared" si="20"/>
        <v>1.1888888888888889</v>
      </c>
      <c r="R40" s="1">
        <f t="shared" si="7"/>
        <v>0</v>
      </c>
      <c r="S40" s="1">
        <f t="shared" si="12"/>
        <v>6.5</v>
      </c>
      <c r="T40" s="36">
        <f t="shared" si="13"/>
        <v>6.9355961669362698E-2</v>
      </c>
      <c r="U40" s="31">
        <f t="shared" si="8"/>
        <v>10.769355961669362</v>
      </c>
      <c r="V40" s="40">
        <f t="shared" si="14"/>
        <v>41.102779603897069</v>
      </c>
    </row>
    <row r="41" spans="1:22">
      <c r="A41" s="2" t="s">
        <v>167</v>
      </c>
      <c r="B41" s="23" t="s">
        <v>168</v>
      </c>
      <c r="C41" s="2" t="s">
        <v>169</v>
      </c>
      <c r="D41" s="13" t="s">
        <v>170</v>
      </c>
      <c r="E41" s="16">
        <v>39</v>
      </c>
      <c r="F41" s="16">
        <v>10.199999999999999</v>
      </c>
      <c r="G41" s="16">
        <v>10.71</v>
      </c>
      <c r="H41" s="33">
        <f t="shared" si="0"/>
        <v>64.380910693172197</v>
      </c>
      <c r="I41" s="26">
        <f t="shared" si="15"/>
        <v>64.380910693172197</v>
      </c>
      <c r="J41" s="9">
        <f t="shared" si="16"/>
        <v>2.9744237550632251</v>
      </c>
      <c r="K41" s="9">
        <f t="shared" si="9"/>
        <v>0.17051170059335918</v>
      </c>
      <c r="L41" s="9">
        <f t="shared" si="10"/>
        <v>33.37529338789497</v>
      </c>
      <c r="M41" s="9">
        <f t="shared" si="17"/>
        <v>27.860681849620644</v>
      </c>
      <c r="N41" s="9">
        <f t="shared" si="18"/>
        <v>0</v>
      </c>
      <c r="O41" s="12">
        <f t="shared" si="11"/>
        <v>0.51000000000000156</v>
      </c>
      <c r="P41" s="14">
        <f t="shared" si="19"/>
        <v>1.7</v>
      </c>
      <c r="Q41" s="11">
        <f t="shared" si="20"/>
        <v>1.1900000000000002</v>
      </c>
      <c r="R41" s="1">
        <f t="shared" si="7"/>
        <v>0</v>
      </c>
      <c r="S41" s="1">
        <f t="shared" si="12"/>
        <v>3.8000000000000007</v>
      </c>
      <c r="T41" s="36">
        <f t="shared" si="13"/>
        <v>6.9355961669362698E-2</v>
      </c>
      <c r="U41" s="31">
        <f t="shared" si="8"/>
        <v>10.779355961669363</v>
      </c>
      <c r="V41" s="40">
        <f t="shared" si="14"/>
        <v>41.292501414407816</v>
      </c>
    </row>
    <row r="42" spans="1:22">
      <c r="A42" s="2" t="s">
        <v>171</v>
      </c>
      <c r="B42" s="23" t="s">
        <v>172</v>
      </c>
      <c r="C42" s="2" t="s">
        <v>173</v>
      </c>
      <c r="D42" s="13" t="s">
        <v>174</v>
      </c>
      <c r="E42" s="16">
        <v>19.8</v>
      </c>
      <c r="F42" s="16">
        <v>10.220000000000001</v>
      </c>
      <c r="G42" s="16">
        <v>10.72</v>
      </c>
      <c r="H42" s="33">
        <f t="shared" si="0"/>
        <v>67.595009013495599</v>
      </c>
      <c r="I42" s="26">
        <f t="shared" si="15"/>
        <v>67.595009013495599</v>
      </c>
      <c r="J42" s="9">
        <f t="shared" si="16"/>
        <v>5.8587134569427164</v>
      </c>
      <c r="K42" s="9">
        <f t="shared" si="9"/>
        <v>0.24619942506277001</v>
      </c>
      <c r="L42" s="9">
        <f t="shared" si="10"/>
        <v>33.440320482343004</v>
      </c>
      <c r="M42" s="9">
        <f t="shared" si="17"/>
        <v>28.049775649147115</v>
      </c>
      <c r="N42" s="9">
        <f t="shared" si="18"/>
        <v>0</v>
      </c>
      <c r="O42" s="12">
        <f t="shared" si="11"/>
        <v>0.5</v>
      </c>
      <c r="P42" s="11">
        <f t="shared" si="19"/>
        <v>1.7033333333333334</v>
      </c>
      <c r="Q42" s="12">
        <f t="shared" si="20"/>
        <v>1.1911111111111112</v>
      </c>
      <c r="R42" s="1">
        <f t="shared" si="7"/>
        <v>0</v>
      </c>
      <c r="S42" s="1">
        <f t="shared" si="12"/>
        <v>3.7799999999999994</v>
      </c>
      <c r="T42" s="36">
        <f t="shared" si="13"/>
        <v>6.9355961669362698E-2</v>
      </c>
      <c r="U42" s="31">
        <f t="shared" si="8"/>
        <v>10.789355961669363</v>
      </c>
      <c r="V42" s="40">
        <f t="shared" si="14"/>
        <v>41.483098941007007</v>
      </c>
    </row>
    <row r="43" spans="1:22">
      <c r="A43" s="2" t="s">
        <v>175</v>
      </c>
      <c r="B43" s="23" t="s">
        <v>176</v>
      </c>
      <c r="C43" s="2" t="s">
        <v>177</v>
      </c>
      <c r="D43" s="13" t="s">
        <v>178</v>
      </c>
      <c r="E43" s="16">
        <v>39.6</v>
      </c>
      <c r="F43" s="16">
        <v>8.32</v>
      </c>
      <c r="G43" s="16">
        <v>10.72</v>
      </c>
      <c r="H43" s="33">
        <f t="shared" si="0"/>
        <v>60.875657524518736</v>
      </c>
      <c r="I43" s="26">
        <f t="shared" si="15"/>
        <v>60.875657524518736</v>
      </c>
      <c r="J43" s="9">
        <f t="shared" si="16"/>
        <v>2.9293567284713582</v>
      </c>
      <c r="K43" s="9">
        <f t="shared" si="9"/>
        <v>3.741587129035278</v>
      </c>
      <c r="L43" s="9">
        <f t="shared" si="10"/>
        <v>26.154938017864986</v>
      </c>
      <c r="M43" s="9">
        <f t="shared" si="17"/>
        <v>28.049775649147115</v>
      </c>
      <c r="N43" s="9">
        <f t="shared" si="18"/>
        <v>0</v>
      </c>
      <c r="O43" s="12">
        <f t="shared" si="11"/>
        <v>2.4000000000000004</v>
      </c>
      <c r="P43" s="11">
        <f t="shared" si="19"/>
        <v>1.3866666666666667</v>
      </c>
      <c r="Q43" s="12">
        <f t="shared" si="20"/>
        <v>1.1911111111111112</v>
      </c>
      <c r="R43" s="1">
        <f t="shared" si="7"/>
        <v>0</v>
      </c>
      <c r="S43" s="1">
        <f t="shared" si="12"/>
        <v>5.68</v>
      </c>
      <c r="T43" s="36">
        <f t="shared" si="13"/>
        <v>6.9355961669362698E-2</v>
      </c>
      <c r="U43" s="31">
        <f t="shared" si="8"/>
        <v>10.789355961669363</v>
      </c>
      <c r="V43" s="40">
        <f t="shared" si="14"/>
        <v>41.483098941007007</v>
      </c>
    </row>
    <row r="44" spans="1:22">
      <c r="A44" s="2" t="s">
        <v>179</v>
      </c>
      <c r="B44" s="23" t="s">
        <v>180</v>
      </c>
      <c r="C44" s="2" t="s">
        <v>181</v>
      </c>
      <c r="D44" s="13" t="s">
        <v>182</v>
      </c>
      <c r="E44" s="16">
        <v>24.5</v>
      </c>
      <c r="F44" s="16">
        <v>9.14</v>
      </c>
      <c r="G44" s="16">
        <v>10.78</v>
      </c>
      <c r="H44" s="33">
        <f t="shared" si="0"/>
        <v>65.764422276647821</v>
      </c>
      <c r="I44" s="26">
        <f t="shared" si="15"/>
        <v>65.764422276647821</v>
      </c>
      <c r="J44" s="9">
        <f t="shared" si="16"/>
        <v>4.7347969978557458</v>
      </c>
      <c r="K44" s="9">
        <f t="shared" si="9"/>
        <v>2.3307988453595456</v>
      </c>
      <c r="L44" s="9">
        <f t="shared" si="10"/>
        <v>29.508098655203728</v>
      </c>
      <c r="M44" s="9">
        <f t="shared" si="17"/>
        <v>29.190727778228801</v>
      </c>
      <c r="N44" s="9">
        <f t="shared" si="18"/>
        <v>0</v>
      </c>
      <c r="O44" s="12">
        <f t="shared" si="11"/>
        <v>1.6399999999999988</v>
      </c>
      <c r="P44" s="11">
        <f t="shared" si="19"/>
        <v>1.5233333333333334</v>
      </c>
      <c r="Q44" s="12">
        <f t="shared" si="20"/>
        <v>1.1977777777777776</v>
      </c>
      <c r="R44" s="1">
        <f t="shared" si="7"/>
        <v>0</v>
      </c>
      <c r="S44" s="1">
        <f t="shared" si="12"/>
        <v>4.8599999999999994</v>
      </c>
      <c r="T44" s="36">
        <f t="shared" si="13"/>
        <v>6.9355961669362698E-2</v>
      </c>
      <c r="U44" s="31">
        <f t="shared" si="8"/>
        <v>10.849355961669362</v>
      </c>
      <c r="V44" s="40">
        <f t="shared" si="14"/>
        <v>42.645301808148233</v>
      </c>
    </row>
    <row r="45" spans="1:22">
      <c r="A45" s="2" t="s">
        <v>183</v>
      </c>
      <c r="B45" s="23" t="s">
        <v>184</v>
      </c>
      <c r="C45" s="2" t="s">
        <v>185</v>
      </c>
      <c r="D45" s="13" t="s">
        <v>186</v>
      </c>
      <c r="E45" s="16">
        <v>22.7</v>
      </c>
      <c r="F45" s="16">
        <v>10.51</v>
      </c>
      <c r="G45" s="16">
        <v>10.78</v>
      </c>
      <c r="H45" s="33">
        <f t="shared" si="0"/>
        <v>68.705966306561436</v>
      </c>
      <c r="I45" s="26">
        <f t="shared" si="15"/>
        <v>68.705966306561436</v>
      </c>
      <c r="J45" s="9">
        <f t="shared" si="16"/>
        <v>5.110243455835497</v>
      </c>
      <c r="K45" s="9">
        <f t="shared" si="9"/>
        <v>6.6136208340924749E-2</v>
      </c>
      <c r="L45" s="9">
        <f t="shared" si="10"/>
        <v>34.338858864156208</v>
      </c>
      <c r="M45" s="9">
        <f t="shared" si="17"/>
        <v>29.190727778228801</v>
      </c>
      <c r="N45" s="9">
        <f t="shared" si="18"/>
        <v>0</v>
      </c>
      <c r="O45" s="12">
        <f t="shared" si="11"/>
        <v>0.26999999999999957</v>
      </c>
      <c r="P45" s="11">
        <f t="shared" si="19"/>
        <v>1.7516666666666667</v>
      </c>
      <c r="Q45" s="12">
        <f t="shared" si="20"/>
        <v>1.1977777777777776</v>
      </c>
      <c r="R45" s="1">
        <f t="shared" si="7"/>
        <v>0</v>
      </c>
      <c r="S45" s="1">
        <f t="shared" si="12"/>
        <v>3.49</v>
      </c>
      <c r="T45" s="36">
        <f t="shared" si="13"/>
        <v>6.9355961669362698E-2</v>
      </c>
      <c r="U45" s="31">
        <f t="shared" si="8"/>
        <v>10.849355961669362</v>
      </c>
      <c r="V45" s="40">
        <f t="shared" si="14"/>
        <v>42.645301808148233</v>
      </c>
    </row>
    <row r="46" spans="1:22">
      <c r="A46" s="2" t="s">
        <v>187</v>
      </c>
      <c r="B46" s="23" t="s">
        <v>188</v>
      </c>
      <c r="C46" s="2" t="s">
        <v>189</v>
      </c>
      <c r="D46" s="13" t="s">
        <v>190</v>
      </c>
      <c r="E46" s="16">
        <v>23.1</v>
      </c>
      <c r="F46" s="16">
        <v>8.44</v>
      </c>
      <c r="G46" s="16">
        <v>10.8</v>
      </c>
      <c r="H46" s="33">
        <f t="shared" si="0"/>
        <v>66.252278377706148</v>
      </c>
      <c r="I46" s="26">
        <f t="shared" si="15"/>
        <v>66.252278377706148</v>
      </c>
      <c r="J46" s="9">
        <f t="shared" si="16"/>
        <v>5.0217543916651852</v>
      </c>
      <c r="K46" s="9">
        <f t="shared" si="9"/>
        <v>5.0001344956995855</v>
      </c>
      <c r="L46" s="9">
        <f t="shared" si="10"/>
        <v>26.656910304543263</v>
      </c>
      <c r="M46" s="9">
        <f t="shared" si="17"/>
        <v>29.573479185798114</v>
      </c>
      <c r="N46" s="9">
        <f t="shared" si="18"/>
        <v>0</v>
      </c>
      <c r="O46" s="12">
        <f t="shared" si="11"/>
        <v>2.3600000000000012</v>
      </c>
      <c r="P46" s="11">
        <f t="shared" si="19"/>
        <v>1.4066666666666665</v>
      </c>
      <c r="Q46" s="12">
        <f t="shared" si="20"/>
        <v>1.2000000000000002</v>
      </c>
      <c r="R46" s="1">
        <f t="shared" si="7"/>
        <v>0</v>
      </c>
      <c r="S46" s="1">
        <f t="shared" si="12"/>
        <v>5.5600000000000005</v>
      </c>
      <c r="T46" s="36">
        <f t="shared" si="13"/>
        <v>6.9355961669362698E-2</v>
      </c>
      <c r="U46" s="31">
        <f t="shared" si="8"/>
        <v>10.869355961669363</v>
      </c>
      <c r="V46" s="40">
        <f t="shared" si="14"/>
        <v>43.039893927484918</v>
      </c>
    </row>
    <row r="47" spans="1:22">
      <c r="A47" s="2" t="s">
        <v>191</v>
      </c>
      <c r="B47" s="23" t="s">
        <v>192</v>
      </c>
      <c r="C47" s="2" t="s">
        <v>141</v>
      </c>
      <c r="D47" s="13" t="s">
        <v>193</v>
      </c>
      <c r="E47" s="16">
        <v>21.9</v>
      </c>
      <c r="F47" s="16">
        <v>10.5</v>
      </c>
      <c r="G47" s="16">
        <v>10.8</v>
      </c>
      <c r="H47" s="33">
        <f t="shared" si="0"/>
        <v>69.263174914437712</v>
      </c>
      <c r="I47" s="26">
        <f t="shared" si="15"/>
        <v>69.263174914437712</v>
      </c>
      <c r="J47" s="9">
        <f t="shared" si="16"/>
        <v>5.2969190158660178</v>
      </c>
      <c r="K47" s="9">
        <f t="shared" si="9"/>
        <v>8.3427315687025536E-2</v>
      </c>
      <c r="L47" s="9">
        <f t="shared" si="10"/>
        <v>34.309349397086557</v>
      </c>
      <c r="M47" s="9">
        <f t="shared" si="17"/>
        <v>29.573479185798114</v>
      </c>
      <c r="N47" s="9">
        <f t="shared" si="18"/>
        <v>0</v>
      </c>
      <c r="O47" s="12">
        <f t="shared" si="11"/>
        <v>0.30000000000000071</v>
      </c>
      <c r="P47" s="11">
        <f t="shared" si="19"/>
        <v>1.75</v>
      </c>
      <c r="Q47" s="12">
        <f t="shared" si="20"/>
        <v>1.2000000000000002</v>
      </c>
      <c r="R47" s="1">
        <f t="shared" si="7"/>
        <v>0</v>
      </c>
      <c r="S47" s="1">
        <f t="shared" si="12"/>
        <v>3.5</v>
      </c>
      <c r="T47" s="36">
        <f t="shared" si="13"/>
        <v>6.9355961669362698E-2</v>
      </c>
      <c r="U47" s="31">
        <f t="shared" si="8"/>
        <v>10.869355961669363</v>
      </c>
      <c r="V47" s="40">
        <f t="shared" si="14"/>
        <v>43.039893927484918</v>
      </c>
    </row>
    <row r="48" spans="1:22">
      <c r="A48" s="2" t="s">
        <v>194</v>
      </c>
      <c r="B48" s="23" t="s">
        <v>195</v>
      </c>
      <c r="C48" s="2" t="s">
        <v>196</v>
      </c>
      <c r="D48" s="13" t="s">
        <v>197</v>
      </c>
      <c r="E48" s="16">
        <v>37.5</v>
      </c>
      <c r="F48" s="16">
        <v>10.43</v>
      </c>
      <c r="G48" s="16">
        <v>10.83</v>
      </c>
      <c r="H48" s="33">
        <f t="shared" si="0"/>
        <v>67.450376522320838</v>
      </c>
      <c r="I48" s="26">
        <f t="shared" si="15"/>
        <v>67.450376522320838</v>
      </c>
      <c r="J48" s="9">
        <f t="shared" si="16"/>
        <v>3.0934007052657542</v>
      </c>
      <c r="K48" s="9">
        <f t="shared" si="9"/>
        <v>0.10738885998408927</v>
      </c>
      <c r="L48" s="9">
        <f t="shared" si="10"/>
        <v>34.099698755660818</v>
      </c>
      <c r="M48" s="9">
        <f t="shared" si="17"/>
        <v>30.149888201410182</v>
      </c>
      <c r="N48" s="9">
        <f t="shared" si="18"/>
        <v>0</v>
      </c>
      <c r="O48" s="12">
        <f t="shared" si="11"/>
        <v>0.40000000000000036</v>
      </c>
      <c r="P48" s="11">
        <f t="shared" si="19"/>
        <v>1.7383333333333333</v>
      </c>
      <c r="Q48" s="12">
        <f t="shared" si="20"/>
        <v>1.2033333333333334</v>
      </c>
      <c r="R48" s="1">
        <f t="shared" si="7"/>
        <v>0</v>
      </c>
      <c r="S48" s="1">
        <f t="shared" si="12"/>
        <v>3.5700000000000003</v>
      </c>
      <c r="T48" s="36">
        <f t="shared" si="13"/>
        <v>6.9355961669362698E-2</v>
      </c>
      <c r="U48" s="31">
        <f t="shared" si="8"/>
        <v>10.899355961669363</v>
      </c>
      <c r="V48" s="40">
        <f t="shared" si="14"/>
        <v>43.638638493975861</v>
      </c>
    </row>
    <row r="49" spans="1:22">
      <c r="A49" s="2" t="s">
        <v>198</v>
      </c>
      <c r="B49" s="23" t="s">
        <v>199</v>
      </c>
      <c r="C49" s="2" t="s">
        <v>200</v>
      </c>
      <c r="D49" s="13" t="s">
        <v>201</v>
      </c>
      <c r="E49" s="16">
        <v>22.5</v>
      </c>
      <c r="F49" s="16">
        <v>9.4499999999999993</v>
      </c>
      <c r="G49" s="16">
        <v>10.85</v>
      </c>
      <c r="H49" s="33">
        <f t="shared" si="0"/>
        <v>68.189269133649645</v>
      </c>
      <c r="I49" s="26">
        <f t="shared" si="15"/>
        <v>68.189269133649645</v>
      </c>
      <c r="J49" s="9">
        <f t="shared" si="16"/>
        <v>5.1556678421095903</v>
      </c>
      <c r="K49" s="9">
        <f t="shared" si="9"/>
        <v>1.7876194050667804</v>
      </c>
      <c r="L49" s="9">
        <f t="shared" si="10"/>
        <v>30.710299738482931</v>
      </c>
      <c r="M49" s="9">
        <f t="shared" si="17"/>
        <v>30.53568214799034</v>
      </c>
      <c r="N49" s="9">
        <f t="shared" si="18"/>
        <v>0</v>
      </c>
      <c r="O49" s="12">
        <f t="shared" si="11"/>
        <v>1.4000000000000004</v>
      </c>
      <c r="P49" s="11">
        <f t="shared" si="19"/>
        <v>1.575</v>
      </c>
      <c r="Q49" s="12">
        <f t="shared" si="20"/>
        <v>1.2055555555555555</v>
      </c>
      <c r="R49" s="1">
        <f t="shared" si="7"/>
        <v>0</v>
      </c>
      <c r="S49" s="1">
        <f t="shared" si="12"/>
        <v>4.5500000000000007</v>
      </c>
      <c r="T49" s="36">
        <f t="shared" si="13"/>
        <v>6.9355961669362698E-2</v>
      </c>
      <c r="U49" s="31">
        <f t="shared" si="8"/>
        <v>10.919355961669362</v>
      </c>
      <c r="V49" s="40">
        <f t="shared" si="14"/>
        <v>44.042421844502236</v>
      </c>
    </row>
    <row r="50" spans="1:22">
      <c r="A50" s="2" t="s">
        <v>202</v>
      </c>
      <c r="B50" s="23" t="s">
        <v>203</v>
      </c>
      <c r="C50" s="2" t="s">
        <v>204</v>
      </c>
      <c r="D50" s="13" t="s">
        <v>205</v>
      </c>
      <c r="E50" s="16">
        <v>19.100000000000001</v>
      </c>
      <c r="F50" s="16">
        <v>10.55</v>
      </c>
      <c r="G50" s="16">
        <v>10.87</v>
      </c>
      <c r="H50" s="33">
        <f t="shared" si="0"/>
        <v>71.554935906864742</v>
      </c>
      <c r="I50" s="26">
        <f t="shared" si="15"/>
        <v>71.554935906864742</v>
      </c>
      <c r="J50" s="9">
        <f t="shared" si="16"/>
        <v>6.0734307040557995</v>
      </c>
      <c r="K50" s="9">
        <f t="shared" si="9"/>
        <v>0.10304597742407749</v>
      </c>
      <c r="L50" s="9">
        <f t="shared" si="10"/>
        <v>34.455766115210018</v>
      </c>
      <c r="M50" s="9">
        <f t="shared" si="17"/>
        <v>30.922693110174844</v>
      </c>
      <c r="N50" s="9">
        <f t="shared" si="18"/>
        <v>0</v>
      </c>
      <c r="O50" s="12">
        <f t="shared" si="11"/>
        <v>0.31999999999999851</v>
      </c>
      <c r="P50" s="11">
        <f t="shared" si="19"/>
        <v>1.7583333333333335</v>
      </c>
      <c r="Q50" s="12">
        <f t="shared" si="20"/>
        <v>1.2077777777777776</v>
      </c>
      <c r="R50" s="1">
        <f t="shared" si="7"/>
        <v>0</v>
      </c>
      <c r="S50" s="1">
        <f t="shared" si="12"/>
        <v>3.4499999999999993</v>
      </c>
      <c r="T50" s="36">
        <f t="shared" si="13"/>
        <v>6.9355961669362698E-2</v>
      </c>
      <c r="U50" s="31">
        <f t="shared" si="8"/>
        <v>10.939355961669362</v>
      </c>
      <c r="V50" s="40">
        <f t="shared" si="14"/>
        <v>44.449941356370701</v>
      </c>
    </row>
    <row r="51" spans="1:22">
      <c r="A51" s="2" t="s">
        <v>206</v>
      </c>
      <c r="B51" s="23" t="s">
        <v>207</v>
      </c>
      <c r="C51" s="2" t="s">
        <v>208</v>
      </c>
      <c r="D51" s="13" t="s">
        <v>209</v>
      </c>
      <c r="E51" s="16">
        <v>28.5</v>
      </c>
      <c r="F51" s="16">
        <v>9.11</v>
      </c>
      <c r="G51" s="16">
        <v>10.89</v>
      </c>
      <c r="H51" s="33">
        <f t="shared" si="0"/>
        <v>67.278016342323184</v>
      </c>
      <c r="I51" s="26">
        <f t="shared" si="15"/>
        <v>67.278016342323184</v>
      </c>
      <c r="J51" s="9">
        <f t="shared" si="16"/>
        <v>4.0702640858759924</v>
      </c>
      <c r="K51" s="9">
        <f t="shared" si="9"/>
        <v>2.5074308723060583</v>
      </c>
      <c r="L51" s="9">
        <f t="shared" si="10"/>
        <v>29.389400296177392</v>
      </c>
      <c r="M51" s="9">
        <f t="shared" si="17"/>
        <v>31.310921087963745</v>
      </c>
      <c r="N51" s="9">
        <f t="shared" si="18"/>
        <v>0</v>
      </c>
      <c r="O51" s="12">
        <f t="shared" si="11"/>
        <v>1.7800000000000011</v>
      </c>
      <c r="P51" s="11">
        <f t="shared" si="19"/>
        <v>1.5183333333333333</v>
      </c>
      <c r="Q51" s="12">
        <f t="shared" si="20"/>
        <v>1.21</v>
      </c>
      <c r="R51" s="1">
        <f t="shared" si="7"/>
        <v>0</v>
      </c>
      <c r="S51" s="1">
        <f t="shared" si="12"/>
        <v>4.8900000000000006</v>
      </c>
      <c r="T51" s="36">
        <f t="shared" si="13"/>
        <v>6.9355961669362698E-2</v>
      </c>
      <c r="U51" s="31">
        <f t="shared" si="8"/>
        <v>10.959355961669363</v>
      </c>
      <c r="V51" s="40">
        <f t="shared" si="14"/>
        <v>44.861231599856545</v>
      </c>
    </row>
    <row r="52" spans="1:22">
      <c r="A52" s="2" t="s">
        <v>210</v>
      </c>
      <c r="B52" s="23" t="s">
        <v>211</v>
      </c>
      <c r="C52" s="2" t="s">
        <v>212</v>
      </c>
      <c r="D52" s="13" t="s">
        <v>213</v>
      </c>
      <c r="E52" s="16">
        <v>15.9</v>
      </c>
      <c r="F52" s="16">
        <v>8.73</v>
      </c>
      <c r="G52" s="16">
        <v>10.9</v>
      </c>
      <c r="H52" s="33">
        <f t="shared" si="0"/>
        <v>71.947697830281172</v>
      </c>
      <c r="I52" s="26">
        <f t="shared" si="15"/>
        <v>71.947697830281172</v>
      </c>
      <c r="J52" s="9">
        <f t="shared" si="16"/>
        <v>7.29575638034376</v>
      </c>
      <c r="K52" s="9">
        <f t="shared" si="9"/>
        <v>5.2900235245655054</v>
      </c>
      <c r="L52" s="9">
        <f t="shared" si="10"/>
        <v>27.856426467662093</v>
      </c>
      <c r="M52" s="9">
        <f t="shared" si="17"/>
        <v>31.505491457709809</v>
      </c>
      <c r="N52" s="9">
        <f t="shared" si="18"/>
        <v>0</v>
      </c>
      <c r="O52" s="12">
        <f t="shared" si="11"/>
        <v>2.17</v>
      </c>
      <c r="P52" s="11">
        <f t="shared" si="19"/>
        <v>1.4550000000000001</v>
      </c>
      <c r="Q52" s="12">
        <f t="shared" si="20"/>
        <v>1.2111111111111112</v>
      </c>
      <c r="R52" s="1">
        <f t="shared" si="7"/>
        <v>0</v>
      </c>
      <c r="S52" s="1">
        <f t="shared" si="12"/>
        <v>5.27</v>
      </c>
      <c r="T52" s="36">
        <f t="shared" si="13"/>
        <v>6.9355961669362698E-2</v>
      </c>
      <c r="U52" s="31">
        <f t="shared" si="8"/>
        <v>10.969355961669363</v>
      </c>
      <c r="V52" s="40">
        <f t="shared" si="14"/>
        <v>45.068301636551965</v>
      </c>
    </row>
    <row r="53" spans="1:22">
      <c r="A53" s="2" t="s">
        <v>214</v>
      </c>
      <c r="B53" s="23" t="s">
        <v>215</v>
      </c>
      <c r="C53" s="2" t="s">
        <v>216</v>
      </c>
      <c r="D53" s="13" t="s">
        <v>217</v>
      </c>
      <c r="E53" s="16">
        <v>17.8</v>
      </c>
      <c r="F53" s="16">
        <v>9.4499999999999993</v>
      </c>
      <c r="G53" s="16">
        <v>10.9</v>
      </c>
      <c r="H53" s="33">
        <f t="shared" si="0"/>
        <v>70.94000307010117</v>
      </c>
      <c r="I53" s="26">
        <f t="shared" si="15"/>
        <v>70.94000307010117</v>
      </c>
      <c r="J53" s="9">
        <f t="shared" si="16"/>
        <v>6.5169958678351563</v>
      </c>
      <c r="K53" s="9">
        <f t="shared" si="9"/>
        <v>2.2072160060732813</v>
      </c>
      <c r="L53" s="9">
        <f t="shared" si="10"/>
        <v>30.710299738482931</v>
      </c>
      <c r="M53" s="9">
        <f t="shared" si="17"/>
        <v>31.505491457709809</v>
      </c>
      <c r="N53" s="9">
        <f t="shared" si="18"/>
        <v>0</v>
      </c>
      <c r="O53" s="12">
        <f t="shared" si="11"/>
        <v>1.4500000000000011</v>
      </c>
      <c r="P53" s="11">
        <f t="shared" si="19"/>
        <v>1.575</v>
      </c>
      <c r="Q53" s="12">
        <f t="shared" si="20"/>
        <v>1.2111111111111112</v>
      </c>
      <c r="R53" s="1">
        <f t="shared" si="7"/>
        <v>0</v>
      </c>
      <c r="S53" s="1">
        <f t="shared" si="12"/>
        <v>4.5500000000000007</v>
      </c>
      <c r="T53" s="36">
        <f t="shared" si="13"/>
        <v>6.9355961669362698E-2</v>
      </c>
      <c r="U53" s="31">
        <f t="shared" si="8"/>
        <v>10.969355961669363</v>
      </c>
      <c r="V53" s="40">
        <f t="shared" si="14"/>
        <v>45.068301636551965</v>
      </c>
    </row>
    <row r="54" spans="1:22">
      <c r="A54" s="2" t="s">
        <v>218</v>
      </c>
      <c r="B54" s="23" t="s">
        <v>219</v>
      </c>
      <c r="C54" s="2" t="s">
        <v>220</v>
      </c>
      <c r="D54" s="13" t="s">
        <v>221</v>
      </c>
      <c r="E54" s="16">
        <v>22.3</v>
      </c>
      <c r="F54" s="16">
        <v>8.67</v>
      </c>
      <c r="G54" s="16">
        <v>10.9</v>
      </c>
      <c r="H54" s="33">
        <f t="shared" si="0"/>
        <v>68.877362045309894</v>
      </c>
      <c r="I54" s="26">
        <f t="shared" si="15"/>
        <v>68.877362045309894</v>
      </c>
      <c r="J54" s="9">
        <f t="shared" si="16"/>
        <v>5.2019070155814253</v>
      </c>
      <c r="K54" s="9">
        <f t="shared" si="9"/>
        <v>4.5599128272407308</v>
      </c>
      <c r="L54" s="9">
        <f t="shared" si="10"/>
        <v>27.610050744777933</v>
      </c>
      <c r="M54" s="9">
        <f t="shared" si="17"/>
        <v>31.505491457709809</v>
      </c>
      <c r="N54" s="9">
        <f t="shared" si="18"/>
        <v>0</v>
      </c>
      <c r="O54" s="12">
        <f t="shared" si="11"/>
        <v>2.2300000000000004</v>
      </c>
      <c r="P54" s="11">
        <f t="shared" si="19"/>
        <v>1.4450000000000001</v>
      </c>
      <c r="Q54" s="12">
        <f t="shared" si="20"/>
        <v>1.2111111111111112</v>
      </c>
      <c r="R54" s="1">
        <f t="shared" si="7"/>
        <v>0</v>
      </c>
      <c r="S54" s="1">
        <f t="shared" si="12"/>
        <v>5.33</v>
      </c>
      <c r="T54" s="36">
        <f t="shared" si="13"/>
        <v>6.9355961669362698E-2</v>
      </c>
      <c r="U54" s="31">
        <f t="shared" si="8"/>
        <v>10.969355961669363</v>
      </c>
      <c r="V54" s="40">
        <f t="shared" si="14"/>
        <v>45.068301636551965</v>
      </c>
    </row>
    <row r="55" spans="1:22">
      <c r="A55" s="2" t="s">
        <v>222</v>
      </c>
      <c r="B55" s="23" t="s">
        <v>223</v>
      </c>
      <c r="C55" s="2" t="s">
        <v>224</v>
      </c>
      <c r="D55" s="13" t="s">
        <v>225</v>
      </c>
      <c r="E55" s="16">
        <v>22.9</v>
      </c>
      <c r="F55" s="16">
        <v>9.56</v>
      </c>
      <c r="G55" s="16">
        <v>10.92</v>
      </c>
      <c r="H55" s="33">
        <f t="shared" si="0"/>
        <v>69.755223700076897</v>
      </c>
      <c r="I55" s="26">
        <f t="shared" si="15"/>
        <v>69.755223700076897</v>
      </c>
      <c r="J55" s="9">
        <f t="shared" si="16"/>
        <v>5.0656125086229604</v>
      </c>
      <c r="K55" s="9">
        <f t="shared" si="9"/>
        <v>1.6691777831615582</v>
      </c>
      <c r="L55" s="9">
        <f t="shared" si="10"/>
        <v>31.124888449387182</v>
      </c>
      <c r="M55" s="9">
        <f t="shared" si="17"/>
        <v>31.895544958905205</v>
      </c>
      <c r="N55" s="9">
        <f t="shared" si="18"/>
        <v>0</v>
      </c>
      <c r="O55" s="12">
        <f t="shared" si="11"/>
        <v>1.3599999999999994</v>
      </c>
      <c r="P55" s="11">
        <f t="shared" si="19"/>
        <v>1.5933333333333335</v>
      </c>
      <c r="Q55" s="12">
        <f t="shared" si="20"/>
        <v>1.2133333333333334</v>
      </c>
      <c r="R55" s="1">
        <f t="shared" si="7"/>
        <v>0</v>
      </c>
      <c r="S55" s="1">
        <f t="shared" si="12"/>
        <v>4.4399999999999995</v>
      </c>
      <c r="T55" s="36">
        <f t="shared" si="13"/>
        <v>6.9355961669362698E-2</v>
      </c>
      <c r="U55" s="31">
        <f t="shared" si="8"/>
        <v>10.989355961669363</v>
      </c>
      <c r="V55" s="40">
        <f t="shared" si="14"/>
        <v>45.485313497264613</v>
      </c>
    </row>
    <row r="56" spans="1:22">
      <c r="A56" s="2" t="s">
        <v>226</v>
      </c>
      <c r="B56" s="23" t="s">
        <v>227</v>
      </c>
      <c r="C56" s="2" t="s">
        <v>228</v>
      </c>
      <c r="D56" s="13" t="s">
        <v>229</v>
      </c>
      <c r="E56" s="16">
        <v>15.7</v>
      </c>
      <c r="F56" s="16">
        <v>9.5299999999999994</v>
      </c>
      <c r="G56" s="16">
        <v>10.94</v>
      </c>
      <c r="H56" s="33">
        <f t="shared" si="0"/>
        <v>72.938503617816991</v>
      </c>
      <c r="I56" s="26">
        <f t="shared" si="15"/>
        <v>72.938503617816991</v>
      </c>
      <c r="J56" s="9">
        <f t="shared" si="16"/>
        <v>7.3886959520678843</v>
      </c>
      <c r="K56" s="9">
        <f t="shared" si="9"/>
        <v>2.2504874263926014</v>
      </c>
      <c r="L56" s="9">
        <f t="shared" si="10"/>
        <v>31.012504763651556</v>
      </c>
      <c r="M56" s="9">
        <f t="shared" si="17"/>
        <v>32.286815475704955</v>
      </c>
      <c r="N56" s="9">
        <f t="shared" si="18"/>
        <v>0</v>
      </c>
      <c r="O56" s="12">
        <f t="shared" si="11"/>
        <v>1.4100000000000001</v>
      </c>
      <c r="P56" s="11">
        <f t="shared" si="19"/>
        <v>1.5883333333333332</v>
      </c>
      <c r="Q56" s="12">
        <f t="shared" si="20"/>
        <v>1.2155555555555555</v>
      </c>
      <c r="R56" s="1">
        <f t="shared" si="7"/>
        <v>0</v>
      </c>
      <c r="S56" s="1">
        <f t="shared" si="12"/>
        <v>4.4700000000000006</v>
      </c>
      <c r="T56" s="36">
        <f t="shared" si="13"/>
        <v>6.9355961669362698E-2</v>
      </c>
      <c r="U56" s="31">
        <f t="shared" si="8"/>
        <v>11.009355961669362</v>
      </c>
      <c r="V56" s="40">
        <f t="shared" si="14"/>
        <v>45.906183921217085</v>
      </c>
    </row>
    <row r="57" spans="1:22">
      <c r="A57" s="2" t="s">
        <v>147</v>
      </c>
      <c r="B57" s="23" t="s">
        <v>230</v>
      </c>
      <c r="C57" s="2" t="s">
        <v>149</v>
      </c>
      <c r="D57" s="13" t="s">
        <v>150</v>
      </c>
      <c r="E57" s="16">
        <v>19.899999999999999</v>
      </c>
      <c r="F57" s="16">
        <v>10.7</v>
      </c>
      <c r="G57" s="16">
        <v>10.99</v>
      </c>
      <c r="H57" s="33">
        <f t="shared" si="0"/>
        <v>74.059495711870269</v>
      </c>
      <c r="I57" s="26">
        <f t="shared" si="15"/>
        <v>74.059495711870269</v>
      </c>
      <c r="J57" s="9">
        <f t="shared" si="16"/>
        <v>5.8292726858023007</v>
      </c>
      <c r="K57" s="9">
        <f t="shared" si="9"/>
        <v>8.2571389835813774E-2</v>
      </c>
      <c r="L57" s="9">
        <f t="shared" si="10"/>
        <v>34.87733542525875</v>
      </c>
      <c r="M57" s="9">
        <f t="shared" si="17"/>
        <v>33.270316210973405</v>
      </c>
      <c r="N57" s="9">
        <f t="shared" si="18"/>
        <v>0</v>
      </c>
      <c r="O57" s="12">
        <f t="shared" si="11"/>
        <v>0.29000000000000092</v>
      </c>
      <c r="P57" s="11">
        <f t="shared" si="19"/>
        <v>1.7833333333333332</v>
      </c>
      <c r="Q57" s="12">
        <f t="shared" si="20"/>
        <v>1.221111111111111</v>
      </c>
      <c r="R57" s="1">
        <f t="shared" si="7"/>
        <v>0</v>
      </c>
      <c r="S57" s="1">
        <f t="shared" si="12"/>
        <v>3.3000000000000007</v>
      </c>
      <c r="T57" s="36">
        <f t="shared" si="13"/>
        <v>6.9355961669362698E-2</v>
      </c>
      <c r="U57" s="31">
        <f t="shared" si="8"/>
        <v>11.059355961669363</v>
      </c>
      <c r="V57" s="40">
        <f t="shared" si="14"/>
        <v>46.975476308932869</v>
      </c>
    </row>
    <row r="58" spans="1:22">
      <c r="A58" s="2" t="s">
        <v>231</v>
      </c>
      <c r="B58" s="23" t="s">
        <v>232</v>
      </c>
      <c r="C58" s="2" t="s">
        <v>233</v>
      </c>
      <c r="D58" s="13" t="s">
        <v>234</v>
      </c>
      <c r="E58" s="16">
        <v>19.600000000000001</v>
      </c>
      <c r="F58" s="16">
        <v>9.2899999999999991</v>
      </c>
      <c r="G58" s="16">
        <v>11</v>
      </c>
      <c r="H58" s="33">
        <f t="shared" si="0"/>
        <v>72.379296576009793</v>
      </c>
      <c r="I58" s="26">
        <f t="shared" si="15"/>
        <v>72.379296576009793</v>
      </c>
      <c r="J58" s="9">
        <f t="shared" si="16"/>
        <v>5.9184962473196823</v>
      </c>
      <c r="K58" s="9">
        <f t="shared" si="9"/>
        <v>2.8972509825019683</v>
      </c>
      <c r="L58" s="9">
        <f t="shared" si="10"/>
        <v>30.095620226457783</v>
      </c>
      <c r="M58" s="9">
        <f t="shared" si="17"/>
        <v>33.467929119730357</v>
      </c>
      <c r="N58" s="9">
        <f t="shared" si="18"/>
        <v>0</v>
      </c>
      <c r="O58" s="12">
        <f t="shared" si="11"/>
        <v>1.7100000000000009</v>
      </c>
      <c r="P58" s="11">
        <f t="shared" si="19"/>
        <v>1.5483333333333331</v>
      </c>
      <c r="Q58" s="12">
        <f t="shared" si="20"/>
        <v>1.2222222222222223</v>
      </c>
      <c r="R58" s="1">
        <f t="shared" si="7"/>
        <v>0</v>
      </c>
      <c r="S58" s="1">
        <f t="shared" si="12"/>
        <v>4.7100000000000009</v>
      </c>
      <c r="T58" s="36">
        <f t="shared" si="13"/>
        <v>6.9355961669362698E-2</v>
      </c>
      <c r="U58" s="31">
        <f t="shared" si="8"/>
        <v>11.069355961669363</v>
      </c>
      <c r="V58" s="40">
        <f t="shared" si="14"/>
        <v>47.192305255802665</v>
      </c>
    </row>
    <row r="59" spans="1:22">
      <c r="A59" s="2" t="s">
        <v>235</v>
      </c>
      <c r="B59" s="23" t="s">
        <v>236</v>
      </c>
      <c r="C59" s="2" t="s">
        <v>237</v>
      </c>
      <c r="D59" s="13" t="s">
        <v>238</v>
      </c>
      <c r="E59" s="16">
        <v>33.200000000000003</v>
      </c>
      <c r="F59" s="16">
        <v>8.06</v>
      </c>
      <c r="G59" s="16">
        <v>11</v>
      </c>
      <c r="H59" s="33">
        <f t="shared" si="0"/>
        <v>68.26238857944891</v>
      </c>
      <c r="I59" s="26">
        <f t="shared" si="15"/>
        <v>68.26238857944891</v>
      </c>
      <c r="J59" s="9">
        <f t="shared" si="16"/>
        <v>3.4940520014296919</v>
      </c>
      <c r="K59" s="9">
        <f t="shared" si="9"/>
        <v>6.2414662551199838</v>
      </c>
      <c r="L59" s="9">
        <f t="shared" si="10"/>
        <v>25.058941203168878</v>
      </c>
      <c r="M59" s="9">
        <f t="shared" si="17"/>
        <v>33.467929119730357</v>
      </c>
      <c r="N59" s="9">
        <f t="shared" si="18"/>
        <v>0</v>
      </c>
      <c r="O59" s="12">
        <f t="shared" si="11"/>
        <v>2.9399999999999995</v>
      </c>
      <c r="P59" s="14">
        <f t="shared" si="19"/>
        <v>1.3433333333333335</v>
      </c>
      <c r="Q59" s="11">
        <f t="shared" si="20"/>
        <v>1.2222222222222223</v>
      </c>
      <c r="R59" s="1">
        <f t="shared" si="7"/>
        <v>0</v>
      </c>
      <c r="S59" s="1">
        <f t="shared" si="12"/>
        <v>5.9399999999999995</v>
      </c>
      <c r="T59" s="36">
        <f t="shared" si="13"/>
        <v>6.9355961669362698E-2</v>
      </c>
      <c r="U59" s="31">
        <f t="shared" si="8"/>
        <v>11.069355961669363</v>
      </c>
      <c r="V59" s="40">
        <f t="shared" si="14"/>
        <v>47.192305255802665</v>
      </c>
    </row>
    <row r="60" spans="1:22">
      <c r="A60" s="2" t="s">
        <v>235</v>
      </c>
      <c r="B60" s="23" t="s">
        <v>236</v>
      </c>
      <c r="C60" s="2" t="s">
        <v>239</v>
      </c>
      <c r="D60" s="13" t="s">
        <v>240</v>
      </c>
      <c r="E60" s="16">
        <v>45.7</v>
      </c>
      <c r="F60" s="16">
        <v>3.96</v>
      </c>
      <c r="G60" s="16">
        <v>11</v>
      </c>
      <c r="H60" s="33">
        <f t="shared" si="0"/>
        <v>65.547354256212316</v>
      </c>
      <c r="I60" s="26">
        <f t="shared" si="15"/>
        <v>65.547354256212316</v>
      </c>
      <c r="J60" s="9">
        <f t="shared" si="16"/>
        <v>2.5383484999445467</v>
      </c>
      <c r="K60" s="9">
        <f t="shared" si="9"/>
        <v>29.541076636537412</v>
      </c>
      <c r="L60" s="9">
        <f t="shared" si="10"/>
        <v>0</v>
      </c>
      <c r="M60" s="9">
        <f t="shared" si="17"/>
        <v>33.467929119730357</v>
      </c>
      <c r="N60" s="9">
        <f t="shared" si="18"/>
        <v>0</v>
      </c>
      <c r="O60" s="12">
        <f t="shared" si="11"/>
        <v>7.04</v>
      </c>
      <c r="P60" s="11">
        <f t="shared" si="19"/>
        <v>0</v>
      </c>
      <c r="Q60" s="12">
        <f t="shared" si="20"/>
        <v>1.2222222222222223</v>
      </c>
      <c r="R60" s="1">
        <f t="shared" si="7"/>
        <v>0</v>
      </c>
      <c r="S60" s="1">
        <f t="shared" si="12"/>
        <v>10.039999999999999</v>
      </c>
      <c r="T60" s="36">
        <f t="shared" si="13"/>
        <v>6.9355961669362698E-2</v>
      </c>
      <c r="U60" s="31">
        <f t="shared" si="8"/>
        <v>11.069355961669363</v>
      </c>
      <c r="V60" s="40">
        <f t="shared" si="14"/>
        <v>47.192305255802665</v>
      </c>
    </row>
    <row r="61" spans="1:22">
      <c r="A61" s="2" t="s">
        <v>241</v>
      </c>
      <c r="B61" s="23" t="s">
        <v>242</v>
      </c>
      <c r="C61" s="2" t="s">
        <v>243</v>
      </c>
      <c r="D61" s="13" t="s">
        <v>244</v>
      </c>
      <c r="E61" s="16">
        <v>26</v>
      </c>
      <c r="F61" s="16">
        <v>8.9700000000000006</v>
      </c>
      <c r="G61" s="16">
        <v>11</v>
      </c>
      <c r="H61" s="33">
        <f t="shared" si="0"/>
        <v>70.206233915096092</v>
      </c>
      <c r="I61" s="26">
        <f t="shared" si="15"/>
        <v>70.206233915096092</v>
      </c>
      <c r="J61" s="9">
        <f t="shared" si="16"/>
        <v>4.4616356325948381</v>
      </c>
      <c r="K61" s="9">
        <f t="shared" si="9"/>
        <v>3.4460106545000069</v>
      </c>
      <c r="L61" s="9">
        <f t="shared" si="10"/>
        <v>28.830658508270886</v>
      </c>
      <c r="M61" s="9">
        <f t="shared" si="17"/>
        <v>33.467929119730357</v>
      </c>
      <c r="N61" s="9">
        <f t="shared" si="18"/>
        <v>0</v>
      </c>
      <c r="O61" s="12">
        <f t="shared" si="11"/>
        <v>2.0299999999999994</v>
      </c>
      <c r="P61" s="11">
        <f t="shared" si="19"/>
        <v>1.4950000000000001</v>
      </c>
      <c r="Q61" s="12">
        <f t="shared" si="20"/>
        <v>1.2222222222222223</v>
      </c>
      <c r="R61" s="1">
        <f t="shared" si="7"/>
        <v>0</v>
      </c>
      <c r="S61" s="1">
        <f t="shared" si="12"/>
        <v>5.0299999999999994</v>
      </c>
      <c r="T61" s="36">
        <f t="shared" si="13"/>
        <v>6.9355961669362698E-2</v>
      </c>
      <c r="U61" s="31">
        <f t="shared" si="8"/>
        <v>11.069355961669363</v>
      </c>
      <c r="V61" s="40">
        <f t="shared" si="14"/>
        <v>47.192305255802665</v>
      </c>
    </row>
    <row r="62" spans="1:22">
      <c r="A62" s="2" t="s">
        <v>245</v>
      </c>
      <c r="B62" s="23" t="s">
        <v>246</v>
      </c>
      <c r="C62" s="2" t="s">
        <v>247</v>
      </c>
      <c r="D62" s="13" t="s">
        <v>248</v>
      </c>
      <c r="E62" s="16">
        <v>49.4</v>
      </c>
      <c r="F62" s="16">
        <v>10.64</v>
      </c>
      <c r="G62" s="16">
        <v>11</v>
      </c>
      <c r="H62" s="33">
        <f t="shared" si="0"/>
        <v>70.60186704844098</v>
      </c>
      <c r="I62" s="26">
        <f t="shared" si="15"/>
        <v>70.60186704844098</v>
      </c>
      <c r="J62" s="9">
        <f t="shared" si="16"/>
        <v>2.3482292803130727</v>
      </c>
      <c r="K62" s="9">
        <f t="shared" si="9"/>
        <v>7.3720591351439935E-2</v>
      </c>
      <c r="L62" s="9">
        <f t="shared" si="10"/>
        <v>34.711988057046106</v>
      </c>
      <c r="M62" s="9">
        <f t="shared" si="17"/>
        <v>33.467929119730357</v>
      </c>
      <c r="N62" s="9">
        <f t="shared" si="18"/>
        <v>0</v>
      </c>
      <c r="O62" s="12">
        <f t="shared" si="11"/>
        <v>0.35999999999999943</v>
      </c>
      <c r="P62" s="11">
        <f t="shared" si="19"/>
        <v>1.7733333333333334</v>
      </c>
      <c r="Q62" s="12">
        <f t="shared" si="20"/>
        <v>1.2222222222222223</v>
      </c>
      <c r="R62" s="1">
        <f t="shared" si="7"/>
        <v>0</v>
      </c>
      <c r="S62" s="1">
        <f t="shared" si="12"/>
        <v>3.3599999999999994</v>
      </c>
      <c r="T62" s="36">
        <f t="shared" si="13"/>
        <v>6.9355961669362698E-2</v>
      </c>
      <c r="U62" s="31">
        <f t="shared" si="8"/>
        <v>11.069355961669363</v>
      </c>
      <c r="V62" s="40">
        <f t="shared" si="14"/>
        <v>47.192305255802665</v>
      </c>
    </row>
    <row r="63" spans="1:22">
      <c r="A63" s="2" t="s">
        <v>249</v>
      </c>
      <c r="B63" s="23" t="s">
        <v>250</v>
      </c>
      <c r="C63" s="2" t="s">
        <v>251</v>
      </c>
      <c r="D63" s="13" t="s">
        <v>252</v>
      </c>
      <c r="E63" s="16">
        <v>23.9</v>
      </c>
      <c r="F63" s="16">
        <v>9.1999999999999993</v>
      </c>
      <c r="G63" s="16">
        <v>11</v>
      </c>
      <c r="H63" s="33">
        <f t="shared" si="0"/>
        <v>70.915800978233591</v>
      </c>
      <c r="I63" s="26">
        <f t="shared" si="15"/>
        <v>70.915800978233591</v>
      </c>
      <c r="J63" s="9">
        <f t="shared" si="16"/>
        <v>4.8536621944546354</v>
      </c>
      <c r="K63" s="9">
        <f t="shared" si="9"/>
        <v>2.8498791230629115</v>
      </c>
      <c r="L63" s="9">
        <f t="shared" si="10"/>
        <v>29.744330540985686</v>
      </c>
      <c r="M63" s="9">
        <f t="shared" si="17"/>
        <v>33.467929119730357</v>
      </c>
      <c r="N63" s="9">
        <f t="shared" si="18"/>
        <v>0</v>
      </c>
      <c r="O63" s="12">
        <f t="shared" si="11"/>
        <v>1.8000000000000007</v>
      </c>
      <c r="P63" s="11">
        <f t="shared" si="19"/>
        <v>1.5333333333333332</v>
      </c>
      <c r="Q63" s="12">
        <f t="shared" si="20"/>
        <v>1.2222222222222223</v>
      </c>
      <c r="R63" s="1">
        <f t="shared" si="7"/>
        <v>0</v>
      </c>
      <c r="S63" s="1">
        <f t="shared" si="12"/>
        <v>4.8000000000000007</v>
      </c>
      <c r="T63" s="36">
        <f t="shared" si="13"/>
        <v>6.9355961669362698E-2</v>
      </c>
      <c r="U63" s="31">
        <f t="shared" si="8"/>
        <v>11.069355961669363</v>
      </c>
      <c r="V63" s="40">
        <f t="shared" si="14"/>
        <v>47.192305255802665</v>
      </c>
    </row>
    <row r="64" spans="1:22">
      <c r="A64" s="2" t="s">
        <v>253</v>
      </c>
      <c r="B64" s="23" t="s">
        <v>254</v>
      </c>
      <c r="C64" s="2" t="s">
        <v>255</v>
      </c>
      <c r="D64" s="13" t="s">
        <v>256</v>
      </c>
      <c r="E64" s="16">
        <v>16</v>
      </c>
      <c r="F64" s="16">
        <v>10</v>
      </c>
      <c r="G64" s="16">
        <v>11</v>
      </c>
      <c r="H64" s="33">
        <f t="shared" si="0"/>
        <v>74.542898341116455</v>
      </c>
      <c r="I64" s="26">
        <f t="shared" si="15"/>
        <v>74.542898341116455</v>
      </c>
      <c r="J64" s="9">
        <f t="shared" si="16"/>
        <v>7.2501579029666114</v>
      </c>
      <c r="K64" s="9">
        <f t="shared" si="9"/>
        <v>1.119189315573067</v>
      </c>
      <c r="L64" s="9">
        <f t="shared" si="10"/>
        <v>32.705622002846418</v>
      </c>
      <c r="M64" s="9">
        <f t="shared" si="17"/>
        <v>33.467929119730357</v>
      </c>
      <c r="N64" s="9">
        <f t="shared" si="18"/>
        <v>0</v>
      </c>
      <c r="O64" s="12">
        <f t="shared" si="11"/>
        <v>1</v>
      </c>
      <c r="P64" s="14">
        <f t="shared" si="19"/>
        <v>1.6666666666666667</v>
      </c>
      <c r="Q64" s="11">
        <f t="shared" si="20"/>
        <v>1.2222222222222223</v>
      </c>
      <c r="R64" s="1">
        <f t="shared" si="7"/>
        <v>0</v>
      </c>
      <c r="S64" s="1">
        <f t="shared" si="12"/>
        <v>4</v>
      </c>
      <c r="T64" s="36">
        <f t="shared" si="13"/>
        <v>6.9355961669362698E-2</v>
      </c>
      <c r="U64" s="31">
        <f t="shared" si="8"/>
        <v>11.069355961669363</v>
      </c>
      <c r="V64" s="40">
        <f t="shared" si="14"/>
        <v>47.192305255802665</v>
      </c>
    </row>
    <row r="65" spans="1:22">
      <c r="A65" s="2" t="s">
        <v>257</v>
      </c>
      <c r="B65" s="23" t="s">
        <v>258</v>
      </c>
      <c r="C65" s="2" t="s">
        <v>259</v>
      </c>
      <c r="D65" s="13" t="s">
        <v>260</v>
      </c>
      <c r="E65" s="16">
        <v>21.3</v>
      </c>
      <c r="F65" s="16">
        <v>10.77</v>
      </c>
      <c r="G65" s="16">
        <v>11.02</v>
      </c>
      <c r="H65" s="33">
        <f t="shared" si="0"/>
        <v>74.433547109339003</v>
      </c>
      <c r="I65" s="26">
        <f t="shared" si="15"/>
        <v>74.433547109339003</v>
      </c>
      <c r="J65" s="9">
        <f t="shared" si="16"/>
        <v>5.4461280022284404</v>
      </c>
      <c r="K65" s="9">
        <f t="shared" si="9"/>
        <v>5.8909904444702114E-2</v>
      </c>
      <c r="L65" s="9">
        <f t="shared" si="10"/>
        <v>35.064441503718342</v>
      </c>
      <c r="M65" s="9">
        <f t="shared" si="17"/>
        <v>33.864067698947522</v>
      </c>
      <c r="N65" s="9">
        <f t="shared" si="18"/>
        <v>0</v>
      </c>
      <c r="O65" s="12">
        <f t="shared" si="11"/>
        <v>0.25</v>
      </c>
      <c r="P65" s="11">
        <f t="shared" si="19"/>
        <v>1.7949999999999999</v>
      </c>
      <c r="Q65" s="12">
        <f t="shared" si="20"/>
        <v>1.2244444444444444</v>
      </c>
      <c r="R65" s="1">
        <f t="shared" si="7"/>
        <v>0</v>
      </c>
      <c r="S65" s="1">
        <f t="shared" si="12"/>
        <v>3.2300000000000004</v>
      </c>
      <c r="T65" s="36">
        <f t="shared" si="13"/>
        <v>6.9355961669362698E-2</v>
      </c>
      <c r="U65" s="31">
        <f t="shared" si="8"/>
        <v>11.089355961669362</v>
      </c>
      <c r="V65" s="40">
        <f t="shared" si="14"/>
        <v>47.628970280030707</v>
      </c>
    </row>
    <row r="66" spans="1:22">
      <c r="A66" s="2" t="s">
        <v>261</v>
      </c>
      <c r="B66" s="23" t="s">
        <v>262</v>
      </c>
      <c r="C66" s="2" t="s">
        <v>263</v>
      </c>
      <c r="D66" s="13" t="s">
        <v>264</v>
      </c>
      <c r="E66" s="16">
        <v>22</v>
      </c>
      <c r="F66" s="16">
        <v>9.18</v>
      </c>
      <c r="G66" s="16">
        <v>11.06</v>
      </c>
      <c r="H66" s="33">
        <f t="shared" si="0"/>
        <v>72.865935683331415</v>
      </c>
      <c r="I66" s="26">
        <f t="shared" si="15"/>
        <v>72.865935683331415</v>
      </c>
      <c r="J66" s="9">
        <f t="shared" si="16"/>
        <v>5.2728421112484449</v>
      </c>
      <c r="K66" s="9">
        <f t="shared" si="9"/>
        <v>3.2673351957705674</v>
      </c>
      <c r="L66" s="9">
        <f t="shared" si="10"/>
        <v>29.665762472117457</v>
      </c>
      <c r="M66" s="9">
        <f t="shared" si="17"/>
        <v>34.659995904194943</v>
      </c>
      <c r="N66" s="9">
        <f t="shared" si="18"/>
        <v>0</v>
      </c>
      <c r="O66" s="12">
        <f t="shared" si="11"/>
        <v>1.8800000000000008</v>
      </c>
      <c r="P66" s="11">
        <f t="shared" si="19"/>
        <v>1.53</v>
      </c>
      <c r="Q66" s="12">
        <f t="shared" si="20"/>
        <v>1.2288888888888889</v>
      </c>
      <c r="R66" s="1">
        <f t="shared" si="7"/>
        <v>0</v>
      </c>
      <c r="S66" s="1">
        <f t="shared" si="12"/>
        <v>4.82</v>
      </c>
      <c r="T66" s="36">
        <f t="shared" si="13"/>
        <v>6.9355961669362698E-2</v>
      </c>
      <c r="U66" s="31">
        <f t="shared" si="8"/>
        <v>11.129355961669363</v>
      </c>
      <c r="V66" s="40">
        <f t="shared" si="14"/>
        <v>48.514458949124759</v>
      </c>
    </row>
    <row r="67" spans="1:22">
      <c r="A67" s="2" t="s">
        <v>265</v>
      </c>
      <c r="B67" s="23" t="s">
        <v>266</v>
      </c>
      <c r="C67" s="2" t="s">
        <v>267</v>
      </c>
      <c r="D67" s="13" t="s">
        <v>268</v>
      </c>
      <c r="E67" s="16">
        <v>49.2</v>
      </c>
      <c r="F67" s="16">
        <v>10.16</v>
      </c>
      <c r="G67" s="16">
        <v>11.08</v>
      </c>
      <c r="H67" s="33">
        <f t="shared" si="0"/>
        <v>71.144337115891858</v>
      </c>
      <c r="I67" s="26">
        <f t="shared" si="15"/>
        <v>71.144337115891858</v>
      </c>
      <c r="J67" s="9">
        <f t="shared" si="16"/>
        <v>2.3577749277940199</v>
      </c>
      <c r="K67" s="9">
        <f t="shared" si="9"/>
        <v>0.48263313055152934</v>
      </c>
      <c r="L67" s="9">
        <f t="shared" si="10"/>
        <v>33.244143527321143</v>
      </c>
      <c r="M67" s="9">
        <f t="shared" si="17"/>
        <v>35.05978553022517</v>
      </c>
      <c r="N67" s="9">
        <f t="shared" si="18"/>
        <v>0</v>
      </c>
      <c r="O67" s="12">
        <f t="shared" si="11"/>
        <v>0.91999999999999993</v>
      </c>
      <c r="P67" s="11">
        <f t="shared" si="19"/>
        <v>1.6933333333333334</v>
      </c>
      <c r="Q67" s="12">
        <f t="shared" si="20"/>
        <v>1.231111111111111</v>
      </c>
      <c r="R67" s="1">
        <f t="shared" si="7"/>
        <v>0</v>
      </c>
      <c r="S67" s="1">
        <f t="shared" si="12"/>
        <v>3.84</v>
      </c>
      <c r="T67" s="36">
        <f t="shared" si="13"/>
        <v>6.9355961669362698E-2</v>
      </c>
      <c r="U67" s="31">
        <f t="shared" si="8"/>
        <v>11.149355961669363</v>
      </c>
      <c r="V67" s="40">
        <f t="shared" si="14"/>
        <v>48.963357710852975</v>
      </c>
    </row>
    <row r="68" spans="1:22">
      <c r="A68" s="2" t="s">
        <v>269</v>
      </c>
      <c r="B68" s="23" t="s">
        <v>270</v>
      </c>
      <c r="C68" s="2" t="s">
        <v>271</v>
      </c>
      <c r="D68" s="13" t="s">
        <v>272</v>
      </c>
      <c r="E68" s="16">
        <v>40.799999999999997</v>
      </c>
      <c r="F68" s="16">
        <v>6.64</v>
      </c>
      <c r="G68" s="16">
        <v>11.12</v>
      </c>
      <c r="H68" s="33">
        <f t="shared" si="0"/>
        <v>70.540860051993036</v>
      </c>
      <c r="I68" s="26">
        <f t="shared" si="15"/>
        <v>70.540860051993036</v>
      </c>
      <c r="J68" s="9">
        <f t="shared" si="16"/>
        <v>2.8431991776339656</v>
      </c>
      <c r="K68" s="9">
        <f t="shared" si="9"/>
        <v>12.805787821505351</v>
      </c>
      <c r="L68" s="9">
        <f t="shared" si="10"/>
        <v>19.028857223755026</v>
      </c>
      <c r="M68" s="9">
        <f t="shared" si="17"/>
        <v>35.863015829098686</v>
      </c>
      <c r="N68" s="9">
        <f t="shared" si="18"/>
        <v>0</v>
      </c>
      <c r="O68" s="12">
        <f t="shared" si="11"/>
        <v>4.4799999999999995</v>
      </c>
      <c r="P68" s="11">
        <f t="shared" si="19"/>
        <v>1.1066666666666667</v>
      </c>
      <c r="Q68" s="12">
        <f t="shared" si="20"/>
        <v>1.2355555555555555</v>
      </c>
      <c r="R68" s="1">
        <f t="shared" si="7"/>
        <v>0</v>
      </c>
      <c r="S68" s="1">
        <f t="shared" si="12"/>
        <v>7.36</v>
      </c>
      <c r="T68" s="36">
        <f t="shared" si="13"/>
        <v>6.9355961669362698E-2</v>
      </c>
      <c r="U68" s="31">
        <f t="shared" si="8"/>
        <v>11.189355961669362</v>
      </c>
      <c r="V68" s="40">
        <f t="shared" si="14"/>
        <v>49.873654494487951</v>
      </c>
    </row>
    <row r="69" spans="1:22">
      <c r="A69" s="2" t="s">
        <v>273</v>
      </c>
      <c r="B69" s="23" t="s">
        <v>274</v>
      </c>
      <c r="C69" s="2" t="s">
        <v>275</v>
      </c>
      <c r="D69" s="13" t="s">
        <v>276</v>
      </c>
      <c r="E69" s="16">
        <v>20.399999999999999</v>
      </c>
      <c r="F69" s="16">
        <v>9.85</v>
      </c>
      <c r="G69" s="16">
        <v>11.12</v>
      </c>
      <c r="H69" s="33">
        <f t="shared" ref="H69:H132" si="21">IF(I69&lt;V69,V69,I69)</f>
        <v>75.291616821152246</v>
      </c>
      <c r="I69" s="26">
        <f t="shared" ref="I69:I100" si="22">J69+K69+L69+M69+N69</f>
        <v>75.291616821152246</v>
      </c>
      <c r="J69" s="9">
        <f t="shared" ref="J69:J100" si="23">116/1.2213*(0.0950502775050452+(1.12627632206642)/((1+($B$2/0.302756091410027)^2.26536793426585)^0.152776210790626))/E69</f>
        <v>5.6863983552679311</v>
      </c>
      <c r="K69" s="9">
        <f t="shared" si="9"/>
        <v>1.5601679851553003</v>
      </c>
      <c r="L69" s="9">
        <f t="shared" si="10"/>
        <v>32.182034651630339</v>
      </c>
      <c r="M69" s="9">
        <f t="shared" ref="M69:M100" si="24">13.6914255489806*Q69*(G69-9)</f>
        <v>35.863015829098686</v>
      </c>
      <c r="N69" s="9">
        <f t="shared" ref="N69:N100" si="25">2.4817076129942*Q69*(6.5-$B$3)</f>
        <v>0</v>
      </c>
      <c r="O69" s="12">
        <f t="shared" si="11"/>
        <v>1.2699999999999996</v>
      </c>
      <c r="P69" s="11">
        <f t="shared" ref="P69:P100" si="26">IF(F69-6&gt;0,F69/6,0)</f>
        <v>1.6416666666666666</v>
      </c>
      <c r="Q69" s="12">
        <f t="shared" ref="Q69:Q100" si="27">IF(G69-9&gt;0,G69/9,0)</f>
        <v>1.2355555555555555</v>
      </c>
      <c r="R69" s="1">
        <f t="shared" ref="R69:R132" si="28">IF(E69&lt;=14-F69,1,0)</f>
        <v>0</v>
      </c>
      <c r="S69" s="1">
        <f t="shared" si="12"/>
        <v>4.1500000000000004</v>
      </c>
      <c r="T69" s="36">
        <f t="shared" si="13"/>
        <v>6.9355961669362698E-2</v>
      </c>
      <c r="U69" s="31">
        <f t="shared" ref="U69:U132" si="29">G69+T69</f>
        <v>11.189355961669362</v>
      </c>
      <c r="V69" s="40">
        <f t="shared" si="14"/>
        <v>49.873654494487951</v>
      </c>
    </row>
    <row r="70" spans="1:22">
      <c r="A70" s="2" t="s">
        <v>273</v>
      </c>
      <c r="B70" s="23" t="s">
        <v>277</v>
      </c>
      <c r="C70" s="2" t="s">
        <v>278</v>
      </c>
      <c r="D70" s="13" t="s">
        <v>279</v>
      </c>
      <c r="E70" s="16">
        <v>40.200000000000003</v>
      </c>
      <c r="F70" s="16">
        <v>9.2100000000000009</v>
      </c>
      <c r="G70" s="16">
        <v>11.12</v>
      </c>
      <c r="H70" s="33">
        <f t="shared" si="21"/>
        <v>70.880638438820114</v>
      </c>
      <c r="I70" s="26">
        <f t="shared" si="22"/>
        <v>70.880638438820114</v>
      </c>
      <c r="J70" s="9">
        <f t="shared" si="23"/>
        <v>2.8856349862553676</v>
      </c>
      <c r="K70" s="9">
        <f t="shared" ref="K70:K110" si="30">5.91232283796472*O70*ABS(G70-F70)/E70^0.600317738509086*(1+$B$2)^0.808139120750434</f>
        <v>2.3484402686671442</v>
      </c>
      <c r="L70" s="9">
        <f t="shared" ref="L70:L133" si="31">1.04237828050238*P70*(F70+2.34973310685883)/(R70*E70^-0.304107132838227+(1-R70)*(S70)^-0.304107132838227)</f>
        <v>29.783547354798909</v>
      </c>
      <c r="M70" s="9">
        <f t="shared" si="24"/>
        <v>35.863015829098686</v>
      </c>
      <c r="N70" s="9">
        <f t="shared" si="25"/>
        <v>0</v>
      </c>
      <c r="O70" s="12">
        <f t="shared" ref="O70:O110" si="32">IF(ABS(G70-F70)&lt;=1,IF(F70&lt;=6,0,ABS(G70-F70)), ABS(G70-F70))</f>
        <v>1.9099999999999984</v>
      </c>
      <c r="P70" s="11">
        <f t="shared" si="26"/>
        <v>1.5350000000000001</v>
      </c>
      <c r="Q70" s="12">
        <f t="shared" si="27"/>
        <v>1.2355555555555555</v>
      </c>
      <c r="R70" s="1">
        <f t="shared" si="28"/>
        <v>0</v>
      </c>
      <c r="S70" s="1">
        <f t="shared" ref="S70:S133" si="33">IF(F70&lt;12.5,14-F70,1.5)</f>
        <v>4.7899999999999991</v>
      </c>
      <c r="T70" s="36">
        <f t="shared" ref="T70:T110" si="34">0.0693559616693627+4.32571272410334*LOG(((6.5/$B$3)^2),2.512)^1.81526832546765*(G70/18)^8.00090419543305</f>
        <v>6.9355961669362698E-2</v>
      </c>
      <c r="U70" s="31">
        <f t="shared" si="29"/>
        <v>11.189355961669362</v>
      </c>
      <c r="V70" s="40">
        <f t="shared" ref="V70:V133" si="35">SQRT(10^((U70-2.7)/5)^2/(1-$B$2^2))</f>
        <v>49.873654494487951</v>
      </c>
    </row>
    <row r="71" spans="1:22">
      <c r="A71" s="2" t="s">
        <v>280</v>
      </c>
      <c r="B71" s="23" t="s">
        <v>281</v>
      </c>
      <c r="C71" s="2" t="s">
        <v>282</v>
      </c>
      <c r="D71" s="13" t="s">
        <v>283</v>
      </c>
      <c r="E71" s="16">
        <v>27.1</v>
      </c>
      <c r="F71" s="16">
        <v>9.2899999999999991</v>
      </c>
      <c r="G71" s="16">
        <v>11.13</v>
      </c>
      <c r="H71" s="33">
        <f t="shared" si="21"/>
        <v>73.202315676923462</v>
      </c>
      <c r="I71" s="26">
        <f t="shared" si="22"/>
        <v>73.202315676923462</v>
      </c>
      <c r="J71" s="9">
        <f t="shared" si="23"/>
        <v>4.2805360312717999</v>
      </c>
      <c r="K71" s="9">
        <f t="shared" si="30"/>
        <v>2.7615753806240666</v>
      </c>
      <c r="L71" s="9">
        <f t="shared" si="31"/>
        <v>30.095620226457783</v>
      </c>
      <c r="M71" s="9">
        <f t="shared" si="24"/>
        <v>36.064584038569812</v>
      </c>
      <c r="N71" s="9">
        <f t="shared" si="25"/>
        <v>0</v>
      </c>
      <c r="O71" s="12">
        <f t="shared" si="32"/>
        <v>1.8400000000000016</v>
      </c>
      <c r="P71" s="11">
        <f t="shared" si="26"/>
        <v>1.5483333333333331</v>
      </c>
      <c r="Q71" s="12">
        <f t="shared" si="27"/>
        <v>1.2366666666666668</v>
      </c>
      <c r="R71" s="1">
        <f t="shared" si="28"/>
        <v>0</v>
      </c>
      <c r="S71" s="1">
        <f t="shared" si="33"/>
        <v>4.7100000000000009</v>
      </c>
      <c r="T71" s="36">
        <f t="shared" si="34"/>
        <v>6.9355961669362698E-2</v>
      </c>
      <c r="U71" s="31">
        <f t="shared" si="29"/>
        <v>11.199355961669363</v>
      </c>
      <c r="V71" s="40">
        <f t="shared" si="35"/>
        <v>50.103860824051694</v>
      </c>
    </row>
    <row r="72" spans="1:22">
      <c r="A72" s="2" t="s">
        <v>284</v>
      </c>
      <c r="B72" s="23" t="s">
        <v>285</v>
      </c>
      <c r="C72" s="2" t="s">
        <v>286</v>
      </c>
      <c r="D72" s="13" t="s">
        <v>287</v>
      </c>
      <c r="E72" s="16">
        <v>19.3</v>
      </c>
      <c r="F72" s="16">
        <v>8.9499999999999993</v>
      </c>
      <c r="G72" s="16">
        <v>11.14</v>
      </c>
      <c r="H72" s="33">
        <f t="shared" si="21"/>
        <v>75.823443962147934</v>
      </c>
      <c r="I72" s="26">
        <f t="shared" si="22"/>
        <v>75.823443962147934</v>
      </c>
      <c r="J72" s="9">
        <f t="shared" si="23"/>
        <v>6.0104935983142891</v>
      </c>
      <c r="K72" s="9">
        <f t="shared" si="30"/>
        <v>4.7962687895375682</v>
      </c>
      <c r="L72" s="9">
        <f t="shared" si="31"/>
        <v>28.75022507235408</v>
      </c>
      <c r="M72" s="9">
        <f t="shared" si="24"/>
        <v>36.266456501942002</v>
      </c>
      <c r="N72" s="9">
        <f t="shared" si="25"/>
        <v>0</v>
      </c>
      <c r="O72" s="12">
        <f t="shared" si="32"/>
        <v>2.1900000000000013</v>
      </c>
      <c r="P72" s="11">
        <f t="shared" si="26"/>
        <v>1.4916666666666665</v>
      </c>
      <c r="Q72" s="12">
        <f t="shared" si="27"/>
        <v>1.2377777777777779</v>
      </c>
      <c r="R72" s="1">
        <f t="shared" si="28"/>
        <v>0</v>
      </c>
      <c r="S72" s="1">
        <f t="shared" si="33"/>
        <v>5.0500000000000007</v>
      </c>
      <c r="T72" s="36">
        <f t="shared" si="34"/>
        <v>6.9355961669362698E-2</v>
      </c>
      <c r="U72" s="31">
        <f t="shared" si="29"/>
        <v>11.209355961669363</v>
      </c>
      <c r="V72" s="40">
        <f t="shared" si="35"/>
        <v>50.335129737753441</v>
      </c>
    </row>
    <row r="73" spans="1:22">
      <c r="A73" s="2" t="s">
        <v>288</v>
      </c>
      <c r="B73" s="23" t="s">
        <v>289</v>
      </c>
      <c r="C73" s="2" t="s">
        <v>290</v>
      </c>
      <c r="D73" s="13" t="s">
        <v>291</v>
      </c>
      <c r="E73" s="16">
        <v>25.2</v>
      </c>
      <c r="F73" s="16">
        <v>10.39</v>
      </c>
      <c r="G73" s="16">
        <v>11.18</v>
      </c>
      <c r="H73" s="33">
        <f t="shared" si="21"/>
        <v>76.189574539275952</v>
      </c>
      <c r="I73" s="26">
        <f t="shared" si="22"/>
        <v>76.189574539275952</v>
      </c>
      <c r="J73" s="9">
        <f t="shared" si="23"/>
        <v>4.6032748590264205</v>
      </c>
      <c r="K73" s="9">
        <f t="shared" si="30"/>
        <v>0.53177353467926014</v>
      </c>
      <c r="L73" s="9">
        <f t="shared" si="31"/>
        <v>33.977537251128631</v>
      </c>
      <c r="M73" s="9">
        <f t="shared" si="24"/>
        <v>37.076988894441634</v>
      </c>
      <c r="N73" s="9">
        <f t="shared" si="25"/>
        <v>0</v>
      </c>
      <c r="O73" s="12">
        <f t="shared" si="32"/>
        <v>0.78999999999999915</v>
      </c>
      <c r="P73" s="14">
        <f t="shared" si="26"/>
        <v>1.7316666666666667</v>
      </c>
      <c r="Q73" s="11">
        <f t="shared" si="27"/>
        <v>1.2422222222222221</v>
      </c>
      <c r="R73" s="1">
        <f t="shared" si="28"/>
        <v>0</v>
      </c>
      <c r="S73" s="1">
        <f t="shared" si="33"/>
        <v>3.6099999999999994</v>
      </c>
      <c r="T73" s="36">
        <f t="shared" si="34"/>
        <v>6.9355961669362698E-2</v>
      </c>
      <c r="U73" s="31">
        <f t="shared" si="29"/>
        <v>11.249355961669362</v>
      </c>
      <c r="V73" s="40">
        <f t="shared" si="35"/>
        <v>51.270929667462305</v>
      </c>
    </row>
    <row r="74" spans="1:22">
      <c r="A74" s="2" t="s">
        <v>292</v>
      </c>
      <c r="B74" s="23" t="s">
        <v>293</v>
      </c>
      <c r="C74" s="2" t="s">
        <v>294</v>
      </c>
      <c r="D74" s="13" t="s">
        <v>295</v>
      </c>
      <c r="E74" s="16">
        <v>23.4</v>
      </c>
      <c r="F74" s="16">
        <v>11.84</v>
      </c>
      <c r="G74" s="16">
        <v>11.19</v>
      </c>
      <c r="H74" s="33">
        <f t="shared" si="21"/>
        <v>79.504227705799906</v>
      </c>
      <c r="I74" s="26">
        <f t="shared" si="22"/>
        <v>79.504227705799906</v>
      </c>
      <c r="J74" s="9">
        <f t="shared" si="23"/>
        <v>4.9573729251053757</v>
      </c>
      <c r="K74" s="9">
        <f t="shared" si="30"/>
        <v>0.37637458234531601</v>
      </c>
      <c r="L74" s="9">
        <f t="shared" si="31"/>
        <v>36.890097571029941</v>
      </c>
      <c r="M74" s="9">
        <f t="shared" si="24"/>
        <v>37.280382627319263</v>
      </c>
      <c r="N74" s="9">
        <f t="shared" si="25"/>
        <v>0</v>
      </c>
      <c r="O74" s="12">
        <f t="shared" si="32"/>
        <v>0.65000000000000036</v>
      </c>
      <c r="P74" s="11">
        <f t="shared" si="26"/>
        <v>1.9733333333333334</v>
      </c>
      <c r="Q74" s="12">
        <f t="shared" si="27"/>
        <v>1.2433333333333332</v>
      </c>
      <c r="R74" s="1">
        <f t="shared" si="28"/>
        <v>0</v>
      </c>
      <c r="S74" s="1">
        <f t="shared" si="33"/>
        <v>2.16</v>
      </c>
      <c r="T74" s="36">
        <f t="shared" si="34"/>
        <v>6.9355961669362698E-2</v>
      </c>
      <c r="U74" s="31">
        <f t="shared" si="29"/>
        <v>11.259355961669362</v>
      </c>
      <c r="V74" s="40">
        <f t="shared" si="35"/>
        <v>51.507585526185636</v>
      </c>
    </row>
    <row r="75" spans="1:22">
      <c r="A75" s="2" t="s">
        <v>296</v>
      </c>
      <c r="B75" s="23" t="s">
        <v>297</v>
      </c>
      <c r="C75" s="2" t="s">
        <v>298</v>
      </c>
      <c r="D75" s="13" t="s">
        <v>299</v>
      </c>
      <c r="E75" s="16">
        <v>25.7</v>
      </c>
      <c r="F75" s="16">
        <v>11.5</v>
      </c>
      <c r="G75" s="16">
        <v>11.2</v>
      </c>
      <c r="H75" s="33">
        <f t="shared" si="21"/>
        <v>78.635567313887748</v>
      </c>
      <c r="I75" s="26">
        <f t="shared" si="22"/>
        <v>78.635567313887748</v>
      </c>
      <c r="J75" s="9">
        <f t="shared" si="23"/>
        <v>4.5137169823916645</v>
      </c>
      <c r="K75" s="9">
        <f t="shared" si="30"/>
        <v>7.5786663156977269E-2</v>
      </c>
      <c r="L75" s="9">
        <f t="shared" si="31"/>
        <v>36.561983054241125</v>
      </c>
      <c r="M75" s="9">
        <f t="shared" si="24"/>
        <v>37.484080614097991</v>
      </c>
      <c r="N75" s="9">
        <f t="shared" si="25"/>
        <v>0</v>
      </c>
      <c r="O75" s="12">
        <f t="shared" si="32"/>
        <v>0.30000000000000071</v>
      </c>
      <c r="P75" s="11">
        <f t="shared" si="26"/>
        <v>1.9166666666666667</v>
      </c>
      <c r="Q75" s="12">
        <f t="shared" si="27"/>
        <v>1.2444444444444445</v>
      </c>
      <c r="R75" s="1">
        <f t="shared" si="28"/>
        <v>0</v>
      </c>
      <c r="S75" s="1">
        <f t="shared" si="33"/>
        <v>2.5</v>
      </c>
      <c r="T75" s="36">
        <f t="shared" si="34"/>
        <v>6.9355961669362698E-2</v>
      </c>
      <c r="U75" s="31">
        <f t="shared" si="29"/>
        <v>11.269355961669362</v>
      </c>
      <c r="V75" s="40">
        <f t="shared" si="35"/>
        <v>51.745333738721037</v>
      </c>
    </row>
    <row r="76" spans="1:22">
      <c r="A76" s="2" t="s">
        <v>300</v>
      </c>
      <c r="B76" s="23" t="s">
        <v>301</v>
      </c>
      <c r="C76" s="2" t="s">
        <v>302</v>
      </c>
      <c r="D76" s="13" t="s">
        <v>303</v>
      </c>
      <c r="E76" s="16">
        <v>15.5</v>
      </c>
      <c r="F76" s="16">
        <v>11.03</v>
      </c>
      <c r="G76" s="16">
        <v>11.2</v>
      </c>
      <c r="H76" s="33">
        <f t="shared" si="21"/>
        <v>80.700872594477033</v>
      </c>
      <c r="I76" s="26">
        <f t="shared" si="22"/>
        <v>80.700872594477033</v>
      </c>
      <c r="J76" s="9">
        <f t="shared" si="23"/>
        <v>7.4840339643526308</v>
      </c>
      <c r="K76" s="9">
        <f t="shared" si="30"/>
        <v>3.2966948525236121E-2</v>
      </c>
      <c r="L76" s="9">
        <f t="shared" si="31"/>
        <v>35.699791067501167</v>
      </c>
      <c r="M76" s="9">
        <f t="shared" si="24"/>
        <v>37.484080614097991</v>
      </c>
      <c r="N76" s="9">
        <f t="shared" si="25"/>
        <v>0</v>
      </c>
      <c r="O76" s="12">
        <f t="shared" si="32"/>
        <v>0.16999999999999993</v>
      </c>
      <c r="P76" s="11">
        <f t="shared" si="26"/>
        <v>1.8383333333333332</v>
      </c>
      <c r="Q76" s="12">
        <f t="shared" si="27"/>
        <v>1.2444444444444445</v>
      </c>
      <c r="R76" s="1">
        <f t="shared" si="28"/>
        <v>0</v>
      </c>
      <c r="S76" s="1">
        <f t="shared" si="33"/>
        <v>2.9700000000000006</v>
      </c>
      <c r="T76" s="36">
        <f t="shared" si="34"/>
        <v>6.9355961669362698E-2</v>
      </c>
      <c r="U76" s="31">
        <f t="shared" si="29"/>
        <v>11.269355961669362</v>
      </c>
      <c r="V76" s="40">
        <f t="shared" si="35"/>
        <v>51.745333738721037</v>
      </c>
    </row>
    <row r="77" spans="1:22">
      <c r="A77" s="2" t="s">
        <v>304</v>
      </c>
      <c r="B77" s="23" t="s">
        <v>305</v>
      </c>
      <c r="C77" s="2" t="s">
        <v>306</v>
      </c>
      <c r="D77" s="13" t="s">
        <v>307</v>
      </c>
      <c r="E77" s="16">
        <v>19.100000000000001</v>
      </c>
      <c r="F77" s="16">
        <v>10.9</v>
      </c>
      <c r="G77" s="16">
        <v>11.2</v>
      </c>
      <c r="H77" s="33">
        <f t="shared" si="21"/>
        <v>79.042460546223936</v>
      </c>
      <c r="I77" s="26">
        <f t="shared" si="22"/>
        <v>79.042460546223936</v>
      </c>
      <c r="J77" s="9">
        <f t="shared" si="23"/>
        <v>6.0734307040557995</v>
      </c>
      <c r="K77" s="9">
        <f t="shared" si="30"/>
        <v>9.0567753595380815E-2</v>
      </c>
      <c r="L77" s="9">
        <f t="shared" si="31"/>
        <v>35.394381474474756</v>
      </c>
      <c r="M77" s="9">
        <f t="shared" si="24"/>
        <v>37.484080614097991</v>
      </c>
      <c r="N77" s="9">
        <f t="shared" si="25"/>
        <v>0</v>
      </c>
      <c r="O77" s="12">
        <f t="shared" si="32"/>
        <v>0.29999999999999893</v>
      </c>
      <c r="P77" s="11">
        <f t="shared" si="26"/>
        <v>1.8166666666666667</v>
      </c>
      <c r="Q77" s="12">
        <f t="shared" si="27"/>
        <v>1.2444444444444445</v>
      </c>
      <c r="R77" s="1">
        <f t="shared" si="28"/>
        <v>0</v>
      </c>
      <c r="S77" s="1">
        <f t="shared" si="33"/>
        <v>3.0999999999999996</v>
      </c>
      <c r="T77" s="36">
        <f t="shared" si="34"/>
        <v>6.9355961669362698E-2</v>
      </c>
      <c r="U77" s="31">
        <f t="shared" si="29"/>
        <v>11.269355961669362</v>
      </c>
      <c r="V77" s="40">
        <f t="shared" si="35"/>
        <v>51.745333738721037</v>
      </c>
    </row>
    <row r="78" spans="1:22">
      <c r="A78" s="2" t="s">
        <v>308</v>
      </c>
      <c r="B78" s="23" t="s">
        <v>309</v>
      </c>
      <c r="C78" s="2" t="s">
        <v>310</v>
      </c>
      <c r="D78" s="13" t="s">
        <v>311</v>
      </c>
      <c r="E78" s="16">
        <v>18.5</v>
      </c>
      <c r="F78" s="16">
        <v>7.86</v>
      </c>
      <c r="G78" s="16">
        <v>11.2</v>
      </c>
      <c r="H78" s="33">
        <f t="shared" si="21"/>
        <v>79.407848510676487</v>
      </c>
      <c r="I78" s="26">
        <f t="shared" si="22"/>
        <v>79.407848510676487</v>
      </c>
      <c r="J78" s="9">
        <f t="shared" si="23"/>
        <v>6.2704068349981501</v>
      </c>
      <c r="K78" s="9">
        <f t="shared" si="30"/>
        <v>11.443145174340721</v>
      </c>
      <c r="L78" s="9">
        <f t="shared" si="31"/>
        <v>24.210215887239624</v>
      </c>
      <c r="M78" s="9">
        <f t="shared" si="24"/>
        <v>37.484080614097991</v>
      </c>
      <c r="N78" s="9">
        <f t="shared" si="25"/>
        <v>0</v>
      </c>
      <c r="O78" s="12">
        <f t="shared" si="32"/>
        <v>3.339999999999999</v>
      </c>
      <c r="P78" s="11">
        <f t="shared" si="26"/>
        <v>1.31</v>
      </c>
      <c r="Q78" s="12">
        <f t="shared" si="27"/>
        <v>1.2444444444444445</v>
      </c>
      <c r="R78" s="1">
        <f t="shared" si="28"/>
        <v>0</v>
      </c>
      <c r="S78" s="1">
        <f t="shared" si="33"/>
        <v>6.14</v>
      </c>
      <c r="T78" s="36">
        <f t="shared" si="34"/>
        <v>6.9355961669362698E-2</v>
      </c>
      <c r="U78" s="31">
        <f t="shared" si="29"/>
        <v>11.269355961669362</v>
      </c>
      <c r="V78" s="40">
        <f t="shared" si="35"/>
        <v>51.745333738721037</v>
      </c>
    </row>
    <row r="79" spans="1:22">
      <c r="A79" s="2" t="s">
        <v>245</v>
      </c>
      <c r="B79" s="23" t="s">
        <v>246</v>
      </c>
      <c r="C79" s="2" t="s">
        <v>247</v>
      </c>
      <c r="D79" s="13" t="s">
        <v>248</v>
      </c>
      <c r="E79" s="16">
        <v>18.3</v>
      </c>
      <c r="F79" s="16">
        <v>10.64</v>
      </c>
      <c r="G79" s="16">
        <v>11.24</v>
      </c>
      <c r="H79" s="33">
        <f t="shared" si="21"/>
        <v>79.724535859324831</v>
      </c>
      <c r="I79" s="26">
        <f t="shared" si="22"/>
        <v>79.724535859324831</v>
      </c>
      <c r="J79" s="9">
        <f t="shared" si="23"/>
        <v>6.3389358714462176</v>
      </c>
      <c r="K79" s="9">
        <f t="shared" si="30"/>
        <v>0.3716968306087291</v>
      </c>
      <c r="L79" s="9">
        <f t="shared" si="31"/>
        <v>34.711988057046106</v>
      </c>
      <c r="M79" s="9">
        <f t="shared" si="24"/>
        <v>38.301915100223781</v>
      </c>
      <c r="N79" s="9">
        <f t="shared" si="25"/>
        <v>0</v>
      </c>
      <c r="O79" s="12">
        <f t="shared" si="32"/>
        <v>0.59999999999999964</v>
      </c>
      <c r="P79" s="11">
        <f t="shared" si="26"/>
        <v>1.7733333333333334</v>
      </c>
      <c r="Q79" s="12">
        <f t="shared" si="27"/>
        <v>1.2488888888888889</v>
      </c>
      <c r="R79" s="1">
        <f t="shared" si="28"/>
        <v>0</v>
      </c>
      <c r="S79" s="1">
        <f t="shared" si="33"/>
        <v>3.3599999999999994</v>
      </c>
      <c r="T79" s="36">
        <f t="shared" si="34"/>
        <v>6.9355961669362698E-2</v>
      </c>
      <c r="U79" s="31">
        <f t="shared" si="29"/>
        <v>11.309355961669363</v>
      </c>
      <c r="V79" s="40">
        <f t="shared" si="35"/>
        <v>52.707351318247362</v>
      </c>
    </row>
    <row r="80" spans="1:22">
      <c r="A80" s="2" t="s">
        <v>312</v>
      </c>
      <c r="B80" s="23" t="s">
        <v>313</v>
      </c>
      <c r="C80" s="2" t="s">
        <v>314</v>
      </c>
      <c r="D80" s="13" t="s">
        <v>315</v>
      </c>
      <c r="E80" s="16">
        <v>30.8</v>
      </c>
      <c r="F80" s="16">
        <v>10.7</v>
      </c>
      <c r="G80" s="16">
        <v>11.28</v>
      </c>
      <c r="H80" s="33">
        <f t="shared" si="21"/>
        <v>78.022372414975877</v>
      </c>
      <c r="I80" s="26">
        <f t="shared" si="22"/>
        <v>78.022372414975877</v>
      </c>
      <c r="J80" s="9">
        <f t="shared" si="23"/>
        <v>3.7663157937488889</v>
      </c>
      <c r="K80" s="9">
        <f t="shared" si="30"/>
        <v>0.25410354720130424</v>
      </c>
      <c r="L80" s="9">
        <f t="shared" si="31"/>
        <v>34.87733542525875</v>
      </c>
      <c r="M80" s="9">
        <f t="shared" si="24"/>
        <v>39.124617648766943</v>
      </c>
      <c r="N80" s="9">
        <f t="shared" si="25"/>
        <v>0</v>
      </c>
      <c r="O80" s="12">
        <f t="shared" si="32"/>
        <v>0.58000000000000007</v>
      </c>
      <c r="P80" s="11">
        <f t="shared" si="26"/>
        <v>1.7833333333333332</v>
      </c>
      <c r="Q80" s="12">
        <f t="shared" si="27"/>
        <v>1.2533333333333332</v>
      </c>
      <c r="R80" s="1">
        <f t="shared" si="28"/>
        <v>0</v>
      </c>
      <c r="S80" s="1">
        <f t="shared" si="33"/>
        <v>3.3000000000000007</v>
      </c>
      <c r="T80" s="36">
        <f t="shared" si="34"/>
        <v>6.9355961669362698E-2</v>
      </c>
      <c r="U80" s="31">
        <f t="shared" si="29"/>
        <v>11.349355961669362</v>
      </c>
      <c r="V80" s="40">
        <f t="shared" si="35"/>
        <v>53.687254139909555</v>
      </c>
    </row>
    <row r="81" spans="1:22">
      <c r="A81" s="2" t="s">
        <v>316</v>
      </c>
      <c r="B81" s="23" t="s">
        <v>317</v>
      </c>
      <c r="C81" s="2" t="s">
        <v>318</v>
      </c>
      <c r="D81" s="13" t="s">
        <v>319</v>
      </c>
      <c r="E81" s="16">
        <v>19.8</v>
      </c>
      <c r="F81" s="16">
        <v>6.67</v>
      </c>
      <c r="G81" s="16">
        <v>11.28</v>
      </c>
      <c r="H81" s="33">
        <f t="shared" si="21"/>
        <v>85.067163177926886</v>
      </c>
      <c r="I81" s="26">
        <f t="shared" si="22"/>
        <v>85.067163177926886</v>
      </c>
      <c r="J81" s="9">
        <f t="shared" si="23"/>
        <v>5.8587134569427164</v>
      </c>
      <c r="K81" s="9">
        <f t="shared" si="30"/>
        <v>20.929019205505973</v>
      </c>
      <c r="L81" s="9">
        <f t="shared" si="31"/>
        <v>19.154812866711257</v>
      </c>
      <c r="M81" s="9">
        <f t="shared" si="24"/>
        <v>39.124617648766943</v>
      </c>
      <c r="N81" s="9">
        <f t="shared" si="25"/>
        <v>0</v>
      </c>
      <c r="O81" s="12">
        <f t="shared" si="32"/>
        <v>4.6099999999999994</v>
      </c>
      <c r="P81" s="11">
        <f t="shared" si="26"/>
        <v>1.1116666666666666</v>
      </c>
      <c r="Q81" s="12">
        <f t="shared" si="27"/>
        <v>1.2533333333333332</v>
      </c>
      <c r="R81" s="1">
        <f t="shared" si="28"/>
        <v>0</v>
      </c>
      <c r="S81" s="1">
        <f t="shared" si="33"/>
        <v>7.33</v>
      </c>
      <c r="T81" s="36">
        <f t="shared" si="34"/>
        <v>6.9355961669362698E-2</v>
      </c>
      <c r="U81" s="31">
        <f t="shared" si="29"/>
        <v>11.349355961669362</v>
      </c>
      <c r="V81" s="40">
        <f t="shared" si="35"/>
        <v>53.687254139909555</v>
      </c>
    </row>
    <row r="82" spans="1:22">
      <c r="A82" s="2" t="s">
        <v>320</v>
      </c>
      <c r="B82" s="23" t="s">
        <v>321</v>
      </c>
      <c r="C82" s="2" t="s">
        <v>322</v>
      </c>
      <c r="D82" s="13" t="s">
        <v>323</v>
      </c>
      <c r="E82" s="16">
        <v>19.100000000000001</v>
      </c>
      <c r="F82" s="16">
        <v>9.6199999999999992</v>
      </c>
      <c r="G82" s="16">
        <v>11.3</v>
      </c>
      <c r="H82" s="33">
        <f t="shared" si="21"/>
        <v>79.799477299628364</v>
      </c>
      <c r="I82" s="26">
        <f t="shared" si="22"/>
        <v>79.799477299628364</v>
      </c>
      <c r="J82" s="9">
        <f t="shared" si="23"/>
        <v>6.0734307040557995</v>
      </c>
      <c r="K82" s="9">
        <f t="shared" si="30"/>
        <v>2.8402047527511676</v>
      </c>
      <c r="L82" s="9">
        <f t="shared" si="31"/>
        <v>31.348047396376291</v>
      </c>
      <c r="M82" s="9">
        <f t="shared" si="24"/>
        <v>39.537794446445105</v>
      </c>
      <c r="N82" s="9">
        <f t="shared" si="25"/>
        <v>0</v>
      </c>
      <c r="O82" s="12">
        <f t="shared" si="32"/>
        <v>1.6800000000000015</v>
      </c>
      <c r="P82" s="11">
        <f t="shared" si="26"/>
        <v>1.6033333333333333</v>
      </c>
      <c r="Q82" s="12">
        <f t="shared" si="27"/>
        <v>1.2555555555555555</v>
      </c>
      <c r="R82" s="1">
        <f t="shared" si="28"/>
        <v>0</v>
      </c>
      <c r="S82" s="1">
        <f t="shared" si="33"/>
        <v>4.3800000000000008</v>
      </c>
      <c r="T82" s="36">
        <f t="shared" si="34"/>
        <v>6.9355961669362698E-2</v>
      </c>
      <c r="U82" s="31">
        <f t="shared" si="29"/>
        <v>11.369355961669363</v>
      </c>
      <c r="V82" s="40">
        <f t="shared" si="35"/>
        <v>54.184016186236221</v>
      </c>
    </row>
    <row r="83" spans="1:22">
      <c r="A83" s="2" t="s">
        <v>324</v>
      </c>
      <c r="B83" s="23" t="s">
        <v>325</v>
      </c>
      <c r="C83" s="2" t="s">
        <v>326</v>
      </c>
      <c r="D83" s="13" t="s">
        <v>327</v>
      </c>
      <c r="E83" s="16">
        <v>21</v>
      </c>
      <c r="F83" s="16">
        <v>9.51</v>
      </c>
      <c r="G83" s="16">
        <v>11.3</v>
      </c>
      <c r="H83" s="33">
        <f t="shared" si="21"/>
        <v>79.044894583455346</v>
      </c>
      <c r="I83" s="26">
        <f t="shared" si="22"/>
        <v>79.044894583455346</v>
      </c>
      <c r="J83" s="9">
        <f t="shared" si="23"/>
        <v>5.5239298308317037</v>
      </c>
      <c r="K83" s="9">
        <f t="shared" si="30"/>
        <v>3.0458780100410965</v>
      </c>
      <c r="L83" s="9">
        <f t="shared" si="31"/>
        <v>30.93729229613745</v>
      </c>
      <c r="M83" s="9">
        <f t="shared" si="24"/>
        <v>39.537794446445105</v>
      </c>
      <c r="N83" s="9">
        <f t="shared" si="25"/>
        <v>0</v>
      </c>
      <c r="O83" s="12">
        <f t="shared" si="32"/>
        <v>1.7900000000000009</v>
      </c>
      <c r="P83" s="11">
        <f t="shared" si="26"/>
        <v>1.585</v>
      </c>
      <c r="Q83" s="12">
        <f t="shared" si="27"/>
        <v>1.2555555555555555</v>
      </c>
      <c r="R83" s="1">
        <f t="shared" si="28"/>
        <v>0</v>
      </c>
      <c r="S83" s="1">
        <f t="shared" si="33"/>
        <v>4.49</v>
      </c>
      <c r="T83" s="36">
        <f t="shared" si="34"/>
        <v>6.9355961669362698E-2</v>
      </c>
      <c r="U83" s="31">
        <f t="shared" si="29"/>
        <v>11.369355961669363</v>
      </c>
      <c r="V83" s="40">
        <f t="shared" si="35"/>
        <v>54.184016186236221</v>
      </c>
    </row>
    <row r="84" spans="1:22">
      <c r="A84" s="2" t="s">
        <v>328</v>
      </c>
      <c r="B84" s="23" t="s">
        <v>329</v>
      </c>
      <c r="C84" s="2" t="s">
        <v>330</v>
      </c>
      <c r="D84" s="13" t="s">
        <v>331</v>
      </c>
      <c r="E84" s="16">
        <v>17.899999999999999</v>
      </c>
      <c r="F84" s="16">
        <v>10.8</v>
      </c>
      <c r="G84" s="16">
        <v>11.3</v>
      </c>
      <c r="H84" s="33">
        <f t="shared" si="21"/>
        <v>81.422602816976109</v>
      </c>
      <c r="I84" s="26">
        <f t="shared" si="22"/>
        <v>81.422602816976109</v>
      </c>
      <c r="J84" s="9">
        <f t="shared" si="23"/>
        <v>6.4805880696908265</v>
      </c>
      <c r="K84" s="9">
        <f t="shared" si="30"/>
        <v>0.26157019177205215</v>
      </c>
      <c r="L84" s="9">
        <f t="shared" si="31"/>
        <v>35.142650109068128</v>
      </c>
      <c r="M84" s="9">
        <f t="shared" si="24"/>
        <v>39.537794446445105</v>
      </c>
      <c r="N84" s="9">
        <f t="shared" si="25"/>
        <v>0</v>
      </c>
      <c r="O84" s="12">
        <f t="shared" si="32"/>
        <v>0.5</v>
      </c>
      <c r="P84" s="11">
        <f t="shared" si="26"/>
        <v>1.8</v>
      </c>
      <c r="Q84" s="12">
        <f t="shared" si="27"/>
        <v>1.2555555555555555</v>
      </c>
      <c r="R84" s="1">
        <f t="shared" si="28"/>
        <v>0</v>
      </c>
      <c r="S84" s="1">
        <f t="shared" si="33"/>
        <v>3.1999999999999993</v>
      </c>
      <c r="T84" s="36">
        <f t="shared" si="34"/>
        <v>6.9355961669362698E-2</v>
      </c>
      <c r="U84" s="31">
        <f t="shared" si="29"/>
        <v>11.369355961669363</v>
      </c>
      <c r="V84" s="40">
        <f t="shared" si="35"/>
        <v>54.184016186236221</v>
      </c>
    </row>
    <row r="85" spans="1:22">
      <c r="A85" s="2" t="s">
        <v>332</v>
      </c>
      <c r="B85" s="23" t="s">
        <v>333</v>
      </c>
      <c r="C85" s="2" t="s">
        <v>334</v>
      </c>
      <c r="D85" s="13" t="s">
        <v>335</v>
      </c>
      <c r="E85" s="16">
        <v>17.5</v>
      </c>
      <c r="F85" s="16">
        <v>10.7</v>
      </c>
      <c r="G85" s="16">
        <v>11.3</v>
      </c>
      <c r="H85" s="33">
        <f t="shared" si="21"/>
        <v>81.425651758288183</v>
      </c>
      <c r="I85" s="26">
        <f t="shared" si="22"/>
        <v>81.425651758288183</v>
      </c>
      <c r="J85" s="9">
        <f t="shared" si="23"/>
        <v>6.628715796998045</v>
      </c>
      <c r="K85" s="9">
        <f t="shared" si="30"/>
        <v>0.38180608958627421</v>
      </c>
      <c r="L85" s="9">
        <f t="shared" si="31"/>
        <v>34.87733542525875</v>
      </c>
      <c r="M85" s="9">
        <f t="shared" si="24"/>
        <v>39.537794446445105</v>
      </c>
      <c r="N85" s="9">
        <f t="shared" si="25"/>
        <v>0</v>
      </c>
      <c r="O85" s="12">
        <f t="shared" si="32"/>
        <v>0.60000000000000142</v>
      </c>
      <c r="P85" s="11">
        <f t="shared" si="26"/>
        <v>1.7833333333333332</v>
      </c>
      <c r="Q85" s="12">
        <f t="shared" si="27"/>
        <v>1.2555555555555555</v>
      </c>
      <c r="R85" s="1">
        <f t="shared" si="28"/>
        <v>0</v>
      </c>
      <c r="S85" s="1">
        <f t="shared" si="33"/>
        <v>3.3000000000000007</v>
      </c>
      <c r="T85" s="36">
        <f t="shared" si="34"/>
        <v>6.9355961669362698E-2</v>
      </c>
      <c r="U85" s="31">
        <f t="shared" si="29"/>
        <v>11.369355961669363</v>
      </c>
      <c r="V85" s="40">
        <f t="shared" si="35"/>
        <v>54.184016186236221</v>
      </c>
    </row>
    <row r="86" spans="1:22" s="4" customFormat="1">
      <c r="A86" s="2" t="s">
        <v>336</v>
      </c>
      <c r="B86" s="23" t="s">
        <v>337</v>
      </c>
      <c r="C86" s="2" t="s">
        <v>338</v>
      </c>
      <c r="D86" s="13" t="s">
        <v>339</v>
      </c>
      <c r="E86" s="16">
        <v>24.1</v>
      </c>
      <c r="F86" s="16">
        <v>9</v>
      </c>
      <c r="G86" s="16">
        <v>11.3</v>
      </c>
      <c r="H86" s="33">
        <f t="shared" si="21"/>
        <v>77.932031547707822</v>
      </c>
      <c r="I86" s="26">
        <f t="shared" si="22"/>
        <v>77.932031547707822</v>
      </c>
      <c r="J86" s="9">
        <f t="shared" si="23"/>
        <v>4.8133828401438086</v>
      </c>
      <c r="K86" s="9">
        <f t="shared" si="30"/>
        <v>4.629823839337261</v>
      </c>
      <c r="L86" s="9">
        <f t="shared" si="31"/>
        <v>28.951030421781653</v>
      </c>
      <c r="M86" s="9">
        <f t="shared" si="24"/>
        <v>39.537794446445105</v>
      </c>
      <c r="N86" s="9">
        <f t="shared" si="25"/>
        <v>0</v>
      </c>
      <c r="O86" s="12">
        <f t="shared" si="32"/>
        <v>2.3000000000000007</v>
      </c>
      <c r="P86" s="11">
        <f t="shared" si="26"/>
        <v>1.5</v>
      </c>
      <c r="Q86" s="12">
        <f t="shared" si="27"/>
        <v>1.2555555555555555</v>
      </c>
      <c r="R86" s="1">
        <f t="shared" si="28"/>
        <v>0</v>
      </c>
      <c r="S86" s="1">
        <f t="shared" si="33"/>
        <v>5</v>
      </c>
      <c r="T86" s="36">
        <f t="shared" si="34"/>
        <v>6.9355961669362698E-2</v>
      </c>
      <c r="U86" s="31">
        <f t="shared" si="29"/>
        <v>11.369355961669363</v>
      </c>
      <c r="V86" s="40">
        <f t="shared" si="35"/>
        <v>54.184016186236221</v>
      </c>
    </row>
    <row r="87" spans="1:22">
      <c r="A87" s="2" t="s">
        <v>131</v>
      </c>
      <c r="B87" s="23" t="s">
        <v>340</v>
      </c>
      <c r="C87" s="2" t="s">
        <v>133</v>
      </c>
      <c r="D87" s="13" t="s">
        <v>134</v>
      </c>
      <c r="E87" s="16">
        <v>29.6</v>
      </c>
      <c r="F87" s="16">
        <v>7.8</v>
      </c>
      <c r="G87" s="16">
        <v>11.3</v>
      </c>
      <c r="H87" s="33">
        <f t="shared" si="21"/>
        <v>76.888331877717349</v>
      </c>
      <c r="I87" s="26">
        <f t="shared" si="22"/>
        <v>76.888331877717349</v>
      </c>
      <c r="J87" s="9">
        <f t="shared" si="23"/>
        <v>3.919004271873844</v>
      </c>
      <c r="K87" s="9">
        <f t="shared" si="30"/>
        <v>9.4765818149800385</v>
      </c>
      <c r="L87" s="9">
        <f t="shared" si="31"/>
        <v>23.954951344418369</v>
      </c>
      <c r="M87" s="9">
        <f t="shared" si="24"/>
        <v>39.537794446445105</v>
      </c>
      <c r="N87" s="9">
        <f t="shared" si="25"/>
        <v>0</v>
      </c>
      <c r="O87" s="12">
        <f t="shared" si="32"/>
        <v>3.5000000000000009</v>
      </c>
      <c r="P87" s="11">
        <f t="shared" si="26"/>
        <v>1.3</v>
      </c>
      <c r="Q87" s="12">
        <f t="shared" si="27"/>
        <v>1.2555555555555555</v>
      </c>
      <c r="R87" s="1">
        <f t="shared" si="28"/>
        <v>0</v>
      </c>
      <c r="S87" s="1">
        <f t="shared" si="33"/>
        <v>6.2</v>
      </c>
      <c r="T87" s="36">
        <f t="shared" si="34"/>
        <v>6.9355961669362698E-2</v>
      </c>
      <c r="U87" s="31">
        <f t="shared" si="29"/>
        <v>11.369355961669363</v>
      </c>
      <c r="V87" s="40">
        <f t="shared" si="35"/>
        <v>54.184016186236221</v>
      </c>
    </row>
    <row r="88" spans="1:22">
      <c r="A88" s="2" t="s">
        <v>341</v>
      </c>
      <c r="B88" s="23" t="s">
        <v>342</v>
      </c>
      <c r="C88" s="2" t="s">
        <v>343</v>
      </c>
      <c r="D88" s="13" t="s">
        <v>344</v>
      </c>
      <c r="E88" s="16">
        <v>39.700000000000003</v>
      </c>
      <c r="F88" s="16">
        <v>9.6</v>
      </c>
      <c r="G88" s="16">
        <v>11.3</v>
      </c>
      <c r="H88" s="33">
        <f t="shared" si="21"/>
        <v>75.60812507601679</v>
      </c>
      <c r="I88" s="26">
        <f t="shared" si="22"/>
        <v>75.60812507601679</v>
      </c>
      <c r="J88" s="9">
        <f t="shared" si="23"/>
        <v>2.9219779961578283</v>
      </c>
      <c r="K88" s="9">
        <f t="shared" si="30"/>
        <v>1.8744492292277761</v>
      </c>
      <c r="L88" s="9">
        <f t="shared" si="31"/>
        <v>31.27390340418609</v>
      </c>
      <c r="M88" s="9">
        <f t="shared" si="24"/>
        <v>39.537794446445105</v>
      </c>
      <c r="N88" s="9">
        <f t="shared" si="25"/>
        <v>0</v>
      </c>
      <c r="O88" s="12">
        <f t="shared" si="32"/>
        <v>1.7000000000000011</v>
      </c>
      <c r="P88" s="11">
        <f t="shared" si="26"/>
        <v>1.5999999999999999</v>
      </c>
      <c r="Q88" s="12">
        <f t="shared" si="27"/>
        <v>1.2555555555555555</v>
      </c>
      <c r="R88" s="1">
        <f t="shared" si="28"/>
        <v>0</v>
      </c>
      <c r="S88" s="1">
        <f t="shared" si="33"/>
        <v>4.4000000000000004</v>
      </c>
      <c r="T88" s="36">
        <f t="shared" si="34"/>
        <v>6.9355961669362698E-2</v>
      </c>
      <c r="U88" s="31">
        <f t="shared" si="29"/>
        <v>11.369355961669363</v>
      </c>
      <c r="V88" s="40">
        <f t="shared" si="35"/>
        <v>54.184016186236221</v>
      </c>
    </row>
    <row r="89" spans="1:22">
      <c r="A89" s="2" t="s">
        <v>345</v>
      </c>
      <c r="B89" s="23" t="s">
        <v>346</v>
      </c>
      <c r="C89" s="2" t="s">
        <v>347</v>
      </c>
      <c r="D89" s="13" t="s">
        <v>348</v>
      </c>
      <c r="E89" s="16">
        <v>17.7</v>
      </c>
      <c r="F89" s="16">
        <v>9.1</v>
      </c>
      <c r="G89" s="16">
        <v>11.3</v>
      </c>
      <c r="H89" s="33">
        <f t="shared" si="21"/>
        <v>80.539631876912921</v>
      </c>
      <c r="I89" s="26">
        <f t="shared" si="22"/>
        <v>80.539631876912921</v>
      </c>
      <c r="J89" s="9">
        <f t="shared" si="23"/>
        <v>6.5538150535291404</v>
      </c>
      <c r="K89" s="9">
        <f t="shared" si="30"/>
        <v>5.0982721296880458</v>
      </c>
      <c r="L89" s="9">
        <f t="shared" si="31"/>
        <v>29.349750247250629</v>
      </c>
      <c r="M89" s="9">
        <f t="shared" si="24"/>
        <v>39.537794446445105</v>
      </c>
      <c r="N89" s="9">
        <f t="shared" si="25"/>
        <v>0</v>
      </c>
      <c r="O89" s="12">
        <f t="shared" si="32"/>
        <v>2.2000000000000011</v>
      </c>
      <c r="P89" s="11">
        <f t="shared" si="26"/>
        <v>1.5166666666666666</v>
      </c>
      <c r="Q89" s="12">
        <f t="shared" si="27"/>
        <v>1.2555555555555555</v>
      </c>
      <c r="R89" s="1">
        <f t="shared" si="28"/>
        <v>0</v>
      </c>
      <c r="S89" s="1">
        <f t="shared" si="33"/>
        <v>4.9000000000000004</v>
      </c>
      <c r="T89" s="36">
        <f t="shared" si="34"/>
        <v>6.9355961669362698E-2</v>
      </c>
      <c r="U89" s="31">
        <f t="shared" si="29"/>
        <v>11.369355961669363</v>
      </c>
      <c r="V89" s="40">
        <f t="shared" si="35"/>
        <v>54.184016186236221</v>
      </c>
    </row>
    <row r="90" spans="1:22">
      <c r="A90" s="2" t="s">
        <v>349</v>
      </c>
      <c r="B90" s="23" t="s">
        <v>350</v>
      </c>
      <c r="C90" s="2" t="s">
        <v>351</v>
      </c>
      <c r="D90" s="13" t="s">
        <v>352</v>
      </c>
      <c r="E90" s="16">
        <v>28.8</v>
      </c>
      <c r="F90" s="16">
        <v>6.46</v>
      </c>
      <c r="G90" s="16">
        <v>11.31</v>
      </c>
      <c r="H90" s="33">
        <f t="shared" si="21"/>
        <v>80.547587067954169</v>
      </c>
      <c r="I90" s="26">
        <f t="shared" si="22"/>
        <v>80.547587067954169</v>
      </c>
      <c r="J90" s="9">
        <f t="shared" si="23"/>
        <v>4.0278655016481171</v>
      </c>
      <c r="K90" s="9">
        <f t="shared" si="30"/>
        <v>18.498751555796161</v>
      </c>
      <c r="L90" s="9">
        <f t="shared" si="31"/>
        <v>18.276130784374089</v>
      </c>
      <c r="M90" s="9">
        <f t="shared" si="24"/>
        <v>39.744839226135795</v>
      </c>
      <c r="N90" s="9">
        <f t="shared" si="25"/>
        <v>0</v>
      </c>
      <c r="O90" s="12">
        <f t="shared" si="32"/>
        <v>4.8500000000000005</v>
      </c>
      <c r="P90" s="11">
        <f t="shared" si="26"/>
        <v>1.0766666666666667</v>
      </c>
      <c r="Q90" s="12">
        <f t="shared" si="27"/>
        <v>1.2566666666666668</v>
      </c>
      <c r="R90" s="1">
        <f t="shared" si="28"/>
        <v>0</v>
      </c>
      <c r="S90" s="1">
        <f t="shared" si="33"/>
        <v>7.54</v>
      </c>
      <c r="T90" s="36">
        <f t="shared" si="34"/>
        <v>6.9355961669362698E-2</v>
      </c>
      <c r="U90" s="31">
        <f t="shared" si="29"/>
        <v>11.379355961669363</v>
      </c>
      <c r="V90" s="40">
        <f t="shared" si="35"/>
        <v>54.434118241392987</v>
      </c>
    </row>
    <row r="91" spans="1:22">
      <c r="A91" s="2" t="s">
        <v>353</v>
      </c>
      <c r="B91" s="23" t="s">
        <v>354</v>
      </c>
      <c r="C91" s="2" t="s">
        <v>355</v>
      </c>
      <c r="D91" s="13" t="s">
        <v>356</v>
      </c>
      <c r="E91" s="16">
        <v>19.399999999999999</v>
      </c>
      <c r="F91" s="16">
        <v>10.59</v>
      </c>
      <c r="G91" s="16">
        <v>11.32</v>
      </c>
      <c r="H91" s="33">
        <f t="shared" si="21"/>
        <v>81.033796497951926</v>
      </c>
      <c r="I91" s="26">
        <f t="shared" si="22"/>
        <v>81.033796497951926</v>
      </c>
      <c r="J91" s="9">
        <f t="shared" si="23"/>
        <v>5.9795116725497834</v>
      </c>
      <c r="K91" s="9">
        <f t="shared" si="30"/>
        <v>0.53126797640589685</v>
      </c>
      <c r="L91" s="9">
        <f t="shared" si="31"/>
        <v>34.570828589268672</v>
      </c>
      <c r="M91" s="9">
        <f t="shared" si="24"/>
        <v>39.952188259727578</v>
      </c>
      <c r="N91" s="9">
        <f t="shared" si="25"/>
        <v>0</v>
      </c>
      <c r="O91" s="12">
        <f t="shared" si="32"/>
        <v>0.73000000000000043</v>
      </c>
      <c r="P91" s="11">
        <f t="shared" si="26"/>
        <v>1.7649999999999999</v>
      </c>
      <c r="Q91" s="12">
        <f t="shared" si="27"/>
        <v>1.2577777777777779</v>
      </c>
      <c r="R91" s="1">
        <f t="shared" si="28"/>
        <v>0</v>
      </c>
      <c r="S91" s="1">
        <f t="shared" si="33"/>
        <v>3.41</v>
      </c>
      <c r="T91" s="36">
        <f t="shared" si="34"/>
        <v>6.9355961669362698E-2</v>
      </c>
      <c r="U91" s="31">
        <f t="shared" si="29"/>
        <v>11.389355961669363</v>
      </c>
      <c r="V91" s="40">
        <f t="shared" si="35"/>
        <v>54.6853747151847</v>
      </c>
    </row>
    <row r="92" spans="1:22">
      <c r="A92" s="2" t="s">
        <v>357</v>
      </c>
      <c r="B92" s="23" t="s">
        <v>358</v>
      </c>
      <c r="C92" s="2" t="s">
        <v>359</v>
      </c>
      <c r="D92" s="34" t="s">
        <v>360</v>
      </c>
      <c r="E92" s="35">
        <v>20.3</v>
      </c>
      <c r="F92" s="16">
        <v>10.67</v>
      </c>
      <c r="G92" s="16">
        <v>11.35</v>
      </c>
      <c r="H92" s="33">
        <f t="shared" si="21"/>
        <v>81.534297649469408</v>
      </c>
      <c r="I92" s="26">
        <f t="shared" si="22"/>
        <v>81.534297649469408</v>
      </c>
      <c r="J92" s="9">
        <f t="shared" si="23"/>
        <v>5.7144101698259009</v>
      </c>
      <c r="K92" s="9">
        <f t="shared" si="30"/>
        <v>0.44860375158579313</v>
      </c>
      <c r="L92" s="9">
        <f t="shared" si="31"/>
        <v>34.795222844148263</v>
      </c>
      <c r="M92" s="9">
        <f t="shared" si="24"/>
        <v>40.576060883909449</v>
      </c>
      <c r="N92" s="9">
        <f t="shared" si="25"/>
        <v>0</v>
      </c>
      <c r="O92" s="12">
        <f t="shared" si="32"/>
        <v>0.67999999999999972</v>
      </c>
      <c r="P92" s="11">
        <f t="shared" si="26"/>
        <v>1.7783333333333333</v>
      </c>
      <c r="Q92" s="12">
        <f t="shared" si="27"/>
        <v>1.2611111111111111</v>
      </c>
      <c r="R92" s="1">
        <f t="shared" si="28"/>
        <v>0</v>
      </c>
      <c r="S92" s="1">
        <f t="shared" si="33"/>
        <v>3.33</v>
      </c>
      <c r="T92" s="36">
        <f t="shared" si="34"/>
        <v>6.9355961669362698E-2</v>
      </c>
      <c r="U92" s="31">
        <f t="shared" si="29"/>
        <v>11.419355961669362</v>
      </c>
      <c r="V92" s="40">
        <f t="shared" si="35"/>
        <v>55.446124057002429</v>
      </c>
    </row>
    <row r="93" spans="1:22">
      <c r="A93" s="13" t="s">
        <v>361</v>
      </c>
      <c r="B93" s="23" t="s">
        <v>362</v>
      </c>
      <c r="C93" s="13" t="s">
        <v>363</v>
      </c>
      <c r="D93" s="13" t="s">
        <v>364</v>
      </c>
      <c r="E93" s="16">
        <v>39.6</v>
      </c>
      <c r="F93" s="16">
        <v>10.75</v>
      </c>
      <c r="G93" s="16">
        <v>11.35</v>
      </c>
      <c r="H93" s="33">
        <f t="shared" si="21"/>
        <v>78.750902126882011</v>
      </c>
      <c r="I93" s="26">
        <f t="shared" si="22"/>
        <v>78.750902126882011</v>
      </c>
      <c r="J93" s="9">
        <f t="shared" si="23"/>
        <v>2.9293567284713582</v>
      </c>
      <c r="K93" s="9">
        <f t="shared" si="30"/>
        <v>0.23384919556470449</v>
      </c>
      <c r="L93" s="9">
        <f t="shared" si="31"/>
        <v>35.011635318936499</v>
      </c>
      <c r="M93" s="9">
        <f t="shared" si="24"/>
        <v>40.576060883909449</v>
      </c>
      <c r="N93" s="9">
        <f t="shared" si="25"/>
        <v>0</v>
      </c>
      <c r="O93" s="12">
        <f t="shared" si="32"/>
        <v>0.59999999999999964</v>
      </c>
      <c r="P93" s="11">
        <f t="shared" si="26"/>
        <v>1.7916666666666667</v>
      </c>
      <c r="Q93" s="12">
        <f t="shared" si="27"/>
        <v>1.2611111111111111</v>
      </c>
      <c r="R93" s="1">
        <f t="shared" si="28"/>
        <v>0</v>
      </c>
      <c r="S93" s="1">
        <f t="shared" si="33"/>
        <v>3.25</v>
      </c>
      <c r="T93" s="36">
        <f t="shared" si="34"/>
        <v>6.9355961669362698E-2</v>
      </c>
      <c r="U93" s="31">
        <f t="shared" si="29"/>
        <v>11.419355961669362</v>
      </c>
      <c r="V93" s="40">
        <f t="shared" si="35"/>
        <v>55.446124057002429</v>
      </c>
    </row>
    <row r="94" spans="1:22">
      <c r="A94" s="2" t="s">
        <v>365</v>
      </c>
      <c r="B94" s="23" t="s">
        <v>366</v>
      </c>
      <c r="C94" s="2" t="s">
        <v>367</v>
      </c>
      <c r="D94" s="34" t="s">
        <v>368</v>
      </c>
      <c r="E94" s="35">
        <v>16.399999999999999</v>
      </c>
      <c r="F94" s="16">
        <v>9.66</v>
      </c>
      <c r="G94" s="16">
        <v>11.38</v>
      </c>
      <c r="H94" s="33">
        <f t="shared" si="21"/>
        <v>83.033878586205191</v>
      </c>
      <c r="I94" s="26">
        <f t="shared" si="22"/>
        <v>83.033878586205191</v>
      </c>
      <c r="J94" s="9">
        <f t="shared" si="23"/>
        <v>7.0733247833820609</v>
      </c>
      <c r="K94" s="9">
        <f t="shared" si="30"/>
        <v>3.2622911854489103</v>
      </c>
      <c r="L94" s="9">
        <f t="shared" si="31"/>
        <v>31.495590824173075</v>
      </c>
      <c r="M94" s="9">
        <f t="shared" si="24"/>
        <v>41.202671793201148</v>
      </c>
      <c r="N94" s="9">
        <f t="shared" si="25"/>
        <v>0</v>
      </c>
      <c r="O94" s="12">
        <f t="shared" si="32"/>
        <v>1.7200000000000006</v>
      </c>
      <c r="P94" s="11">
        <f t="shared" si="26"/>
        <v>1.61</v>
      </c>
      <c r="Q94" s="12">
        <f t="shared" si="27"/>
        <v>1.2644444444444445</v>
      </c>
      <c r="R94" s="1">
        <f t="shared" si="28"/>
        <v>0</v>
      </c>
      <c r="S94" s="1">
        <f t="shared" si="33"/>
        <v>4.34</v>
      </c>
      <c r="T94" s="36">
        <f t="shared" si="34"/>
        <v>6.9355961669362698E-2</v>
      </c>
      <c r="U94" s="31">
        <f t="shared" si="29"/>
        <v>11.449355961669363</v>
      </c>
      <c r="V94" s="40">
        <f t="shared" si="35"/>
        <v>56.217456476363203</v>
      </c>
    </row>
    <row r="95" spans="1:22">
      <c r="A95" s="2" t="s">
        <v>369</v>
      </c>
      <c r="B95" s="23" t="s">
        <v>370</v>
      </c>
      <c r="C95" s="2" t="s">
        <v>371</v>
      </c>
      <c r="D95" s="13" t="s">
        <v>372</v>
      </c>
      <c r="E95" s="16">
        <v>33.4</v>
      </c>
      <c r="F95" s="16">
        <v>10.39</v>
      </c>
      <c r="G95" s="16">
        <v>11.4</v>
      </c>
      <c r="H95" s="33">
        <f t="shared" si="21"/>
        <v>79.806554476708698</v>
      </c>
      <c r="I95" s="26">
        <f t="shared" si="22"/>
        <v>79.806554476708698</v>
      </c>
      <c r="J95" s="9">
        <f t="shared" si="23"/>
        <v>3.4731295343552633</v>
      </c>
      <c r="K95" s="9">
        <f t="shared" si="30"/>
        <v>0.73395402232378193</v>
      </c>
      <c r="L95" s="9">
        <f t="shared" si="31"/>
        <v>33.977537251128631</v>
      </c>
      <c r="M95" s="9">
        <f t="shared" si="24"/>
        <v>41.621933668901022</v>
      </c>
      <c r="N95" s="9">
        <f t="shared" si="25"/>
        <v>0</v>
      </c>
      <c r="O95" s="12">
        <f t="shared" si="32"/>
        <v>1.0099999999999998</v>
      </c>
      <c r="P95" s="11">
        <f t="shared" si="26"/>
        <v>1.7316666666666667</v>
      </c>
      <c r="Q95" s="12">
        <f t="shared" si="27"/>
        <v>1.2666666666666666</v>
      </c>
      <c r="R95" s="1">
        <f t="shared" si="28"/>
        <v>0</v>
      </c>
      <c r="S95" s="1">
        <f t="shared" si="33"/>
        <v>3.6099999999999994</v>
      </c>
      <c r="T95" s="36">
        <f t="shared" si="34"/>
        <v>6.9355961669362698E-2</v>
      </c>
      <c r="U95" s="31">
        <f t="shared" si="29"/>
        <v>11.469355961669363</v>
      </c>
      <c r="V95" s="40">
        <f t="shared" si="35"/>
        <v>56.737630196659914</v>
      </c>
    </row>
    <row r="96" spans="1:22">
      <c r="A96" s="2" t="s">
        <v>373</v>
      </c>
      <c r="B96" s="23" t="s">
        <v>374</v>
      </c>
      <c r="C96" s="2" t="s">
        <v>375</v>
      </c>
      <c r="D96" s="34" t="s">
        <v>376</v>
      </c>
      <c r="E96" s="35">
        <v>19.600000000000001</v>
      </c>
      <c r="F96" s="16">
        <v>11.4</v>
      </c>
      <c r="G96" s="16">
        <v>11.4</v>
      </c>
      <c r="H96" s="33">
        <f t="shared" si="21"/>
        <v>83.954529694658987</v>
      </c>
      <c r="I96" s="26">
        <f t="shared" si="22"/>
        <v>83.954529694658987</v>
      </c>
      <c r="J96" s="9">
        <f t="shared" si="23"/>
        <v>5.9184962473196823</v>
      </c>
      <c r="K96" s="9">
        <f t="shared" si="30"/>
        <v>0</v>
      </c>
      <c r="L96" s="9">
        <f t="shared" si="31"/>
        <v>36.414099778438292</v>
      </c>
      <c r="M96" s="9">
        <f t="shared" si="24"/>
        <v>41.621933668901022</v>
      </c>
      <c r="N96" s="9">
        <f t="shared" si="25"/>
        <v>0</v>
      </c>
      <c r="O96" s="12">
        <f t="shared" si="32"/>
        <v>0</v>
      </c>
      <c r="P96" s="11">
        <f t="shared" si="26"/>
        <v>1.9000000000000001</v>
      </c>
      <c r="Q96" s="12">
        <f t="shared" si="27"/>
        <v>1.2666666666666666</v>
      </c>
      <c r="R96" s="1">
        <f t="shared" si="28"/>
        <v>0</v>
      </c>
      <c r="S96" s="1">
        <f t="shared" si="33"/>
        <v>2.5999999999999996</v>
      </c>
      <c r="T96" s="36">
        <f t="shared" si="34"/>
        <v>6.9355961669362698E-2</v>
      </c>
      <c r="U96" s="31">
        <f t="shared" si="29"/>
        <v>11.469355961669363</v>
      </c>
      <c r="V96" s="40">
        <f t="shared" si="35"/>
        <v>56.737630196659914</v>
      </c>
    </row>
    <row r="97" spans="1:22">
      <c r="A97" s="2" t="s">
        <v>377</v>
      </c>
      <c r="B97" s="23" t="s">
        <v>378</v>
      </c>
      <c r="C97" s="2" t="s">
        <v>379</v>
      </c>
      <c r="D97" s="13" t="s">
        <v>380</v>
      </c>
      <c r="E97" s="16">
        <v>38.1</v>
      </c>
      <c r="F97" s="16">
        <v>11.28</v>
      </c>
      <c r="G97" s="16">
        <v>11.4</v>
      </c>
      <c r="H97" s="33">
        <f t="shared" si="21"/>
        <v>80.88598706634329</v>
      </c>
      <c r="I97" s="26">
        <f t="shared" si="22"/>
        <v>80.88598706634329</v>
      </c>
      <c r="J97" s="9">
        <f t="shared" si="23"/>
        <v>3.0446857335292856</v>
      </c>
      <c r="K97" s="9">
        <f t="shared" si="30"/>
        <v>9.5733365396368855E-3</v>
      </c>
      <c r="L97" s="9">
        <f t="shared" si="31"/>
        <v>36.209794327373338</v>
      </c>
      <c r="M97" s="9">
        <f t="shared" si="24"/>
        <v>41.621933668901022</v>
      </c>
      <c r="N97" s="9">
        <f t="shared" si="25"/>
        <v>0</v>
      </c>
      <c r="O97" s="12">
        <f t="shared" si="32"/>
        <v>0.12000000000000099</v>
      </c>
      <c r="P97" s="11">
        <f t="shared" si="26"/>
        <v>1.88</v>
      </c>
      <c r="Q97" s="12">
        <f t="shared" si="27"/>
        <v>1.2666666666666666</v>
      </c>
      <c r="R97" s="1">
        <f t="shared" si="28"/>
        <v>0</v>
      </c>
      <c r="S97" s="1">
        <f t="shared" si="33"/>
        <v>2.7200000000000006</v>
      </c>
      <c r="T97" s="36">
        <f t="shared" si="34"/>
        <v>6.9355961669362698E-2</v>
      </c>
      <c r="U97" s="31">
        <f t="shared" si="29"/>
        <v>11.469355961669363</v>
      </c>
      <c r="V97" s="40">
        <f t="shared" si="35"/>
        <v>56.737630196659914</v>
      </c>
    </row>
    <row r="98" spans="1:22">
      <c r="A98" s="2" t="s">
        <v>381</v>
      </c>
      <c r="B98" s="23" t="s">
        <v>382</v>
      </c>
      <c r="C98" s="2" t="s">
        <v>383</v>
      </c>
      <c r="D98" s="34" t="s">
        <v>384</v>
      </c>
      <c r="E98" s="35">
        <v>26</v>
      </c>
      <c r="F98" s="16">
        <v>8.74</v>
      </c>
      <c r="G98" s="16">
        <v>11.43</v>
      </c>
      <c r="H98" s="33">
        <f t="shared" si="21"/>
        <v>80.663158821444</v>
      </c>
      <c r="I98" s="26">
        <f t="shared" si="22"/>
        <v>80.663158821444</v>
      </c>
      <c r="J98" s="9">
        <f t="shared" si="23"/>
        <v>4.4616356325948381</v>
      </c>
      <c r="K98" s="9">
        <f t="shared" si="30"/>
        <v>6.0510271292745523</v>
      </c>
      <c r="L98" s="9">
        <f t="shared" si="31"/>
        <v>27.89738767286558</v>
      </c>
      <c r="M98" s="9">
        <f t="shared" si="24"/>
        <v>42.25310838670903</v>
      </c>
      <c r="N98" s="9">
        <f t="shared" si="25"/>
        <v>0</v>
      </c>
      <c r="O98" s="12">
        <f t="shared" si="32"/>
        <v>2.6899999999999995</v>
      </c>
      <c r="P98" s="11">
        <f t="shared" si="26"/>
        <v>1.4566666666666668</v>
      </c>
      <c r="Q98" s="12">
        <f t="shared" si="27"/>
        <v>1.27</v>
      </c>
      <c r="R98" s="1">
        <f t="shared" si="28"/>
        <v>0</v>
      </c>
      <c r="S98" s="1">
        <f t="shared" si="33"/>
        <v>5.26</v>
      </c>
      <c r="T98" s="36">
        <f t="shared" si="34"/>
        <v>6.9355961669362698E-2</v>
      </c>
      <c r="U98" s="31">
        <f t="shared" si="29"/>
        <v>11.499355961669362</v>
      </c>
      <c r="V98" s="40">
        <f t="shared" si="35"/>
        <v>57.526929256110755</v>
      </c>
    </row>
    <row r="99" spans="1:22">
      <c r="A99" s="2" t="s">
        <v>385</v>
      </c>
      <c r="B99" s="23" t="s">
        <v>386</v>
      </c>
      <c r="C99" s="2" t="s">
        <v>387</v>
      </c>
      <c r="D99" s="34" t="s">
        <v>388</v>
      </c>
      <c r="E99" s="35">
        <v>21.2</v>
      </c>
      <c r="F99" s="16">
        <v>10.75</v>
      </c>
      <c r="G99" s="16">
        <v>11.46</v>
      </c>
      <c r="H99" s="33">
        <f t="shared" si="21"/>
        <v>83.846961912123305</v>
      </c>
      <c r="I99" s="26">
        <f t="shared" si="22"/>
        <v>83.846961912123305</v>
      </c>
      <c r="J99" s="9">
        <f t="shared" si="23"/>
        <v>5.4718172852578197</v>
      </c>
      <c r="K99" s="9">
        <f t="shared" si="30"/>
        <v>0.47648791830214443</v>
      </c>
      <c r="L99" s="9">
        <f t="shared" si="31"/>
        <v>35.011635318936499</v>
      </c>
      <c r="M99" s="9">
        <f t="shared" si="24"/>
        <v>42.887021389626852</v>
      </c>
      <c r="N99" s="9">
        <f t="shared" si="25"/>
        <v>0</v>
      </c>
      <c r="O99" s="12">
        <f t="shared" si="32"/>
        <v>0.71000000000000085</v>
      </c>
      <c r="P99" s="11">
        <f t="shared" si="26"/>
        <v>1.7916666666666667</v>
      </c>
      <c r="Q99" s="12">
        <f t="shared" si="27"/>
        <v>1.2733333333333334</v>
      </c>
      <c r="R99" s="1">
        <f t="shared" si="28"/>
        <v>0</v>
      </c>
      <c r="S99" s="1">
        <f t="shared" si="33"/>
        <v>3.25</v>
      </c>
      <c r="T99" s="36">
        <f t="shared" si="34"/>
        <v>6.9355961669362698E-2</v>
      </c>
      <c r="U99" s="31">
        <f t="shared" si="29"/>
        <v>11.529355961669363</v>
      </c>
      <c r="V99" s="40">
        <f t="shared" si="35"/>
        <v>58.327208559239217</v>
      </c>
    </row>
    <row r="100" spans="1:22">
      <c r="A100" s="2" t="s">
        <v>389</v>
      </c>
      <c r="B100" s="23" t="s">
        <v>390</v>
      </c>
      <c r="C100" s="2" t="s">
        <v>391</v>
      </c>
      <c r="D100" s="34" t="s">
        <v>392</v>
      </c>
      <c r="E100" s="35">
        <v>15.6</v>
      </c>
      <c r="F100" s="16">
        <v>10.8</v>
      </c>
      <c r="G100" s="16">
        <v>11.47</v>
      </c>
      <c r="H100" s="33">
        <f t="shared" si="21"/>
        <v>86.187742038976978</v>
      </c>
      <c r="I100" s="26">
        <f t="shared" si="22"/>
        <v>86.187742038976978</v>
      </c>
      <c r="J100" s="9">
        <f t="shared" si="23"/>
        <v>7.4360593876580632</v>
      </c>
      <c r="K100" s="9">
        <f t="shared" si="30"/>
        <v>0.51009831051583232</v>
      </c>
      <c r="L100" s="9">
        <f t="shared" si="31"/>
        <v>35.142650109068128</v>
      </c>
      <c r="M100" s="9">
        <f t="shared" si="24"/>
        <v>43.098934231734958</v>
      </c>
      <c r="N100" s="9">
        <f t="shared" si="25"/>
        <v>0</v>
      </c>
      <c r="O100" s="12">
        <f t="shared" si="32"/>
        <v>0.66999999999999993</v>
      </c>
      <c r="P100" s="11">
        <f t="shared" si="26"/>
        <v>1.8</v>
      </c>
      <c r="Q100" s="12">
        <f t="shared" si="27"/>
        <v>1.2744444444444445</v>
      </c>
      <c r="R100" s="1">
        <f t="shared" si="28"/>
        <v>0</v>
      </c>
      <c r="S100" s="1">
        <f t="shared" si="33"/>
        <v>3.1999999999999993</v>
      </c>
      <c r="T100" s="36">
        <f t="shared" si="34"/>
        <v>6.9355961669362698E-2</v>
      </c>
      <c r="U100" s="31">
        <f t="shared" si="29"/>
        <v>11.539355961669363</v>
      </c>
      <c r="V100" s="40">
        <f t="shared" si="35"/>
        <v>58.596434721472811</v>
      </c>
    </row>
    <row r="101" spans="1:22">
      <c r="A101" s="2" t="s">
        <v>393</v>
      </c>
      <c r="B101" s="23" t="s">
        <v>394</v>
      </c>
      <c r="C101" s="2" t="s">
        <v>395</v>
      </c>
      <c r="D101" s="34" t="s">
        <v>396</v>
      </c>
      <c r="E101" s="35">
        <v>21.8</v>
      </c>
      <c r="F101" s="16">
        <v>10.58</v>
      </c>
      <c r="G101" s="16">
        <v>11.47</v>
      </c>
      <c r="H101" s="33">
        <f t="shared" si="21"/>
        <v>83.698662779844852</v>
      </c>
      <c r="I101" s="26">
        <f t="shared" ref="I101:I110" si="36">J101+K101+L101+M101+N101</f>
        <v>83.698662779844852</v>
      </c>
      <c r="J101" s="9">
        <f t="shared" ref="J101:J110" si="37">116/1.2213*(0.0950502775050452+(1.12627632206642)/((1+($B$2/0.302756091410027)^2.26536793426585)^0.152776210790626))/E101</f>
        <v>5.3212168095167787</v>
      </c>
      <c r="K101" s="9">
        <f t="shared" si="30"/>
        <v>0.73627317570136996</v>
      </c>
      <c r="L101" s="9">
        <f t="shared" si="31"/>
        <v>34.542238562891747</v>
      </c>
      <c r="M101" s="9">
        <f t="shared" ref="M101:M110" si="38">13.6914255489806*Q101*(G101-9)</f>
        <v>43.098934231734958</v>
      </c>
      <c r="N101" s="9">
        <f t="shared" ref="N101:N110" si="39">2.4817076129942*Q101*(6.5-$B$3)</f>
        <v>0</v>
      </c>
      <c r="O101" s="12">
        <f t="shared" si="32"/>
        <v>0.89000000000000057</v>
      </c>
      <c r="P101" s="11">
        <f t="shared" ref="P101:P110" si="40">IF(F101-6&gt;0,F101/6,0)</f>
        <v>1.7633333333333334</v>
      </c>
      <c r="Q101" s="12">
        <f t="shared" ref="Q101:Q110" si="41">IF(G101-9&gt;0,G101/9,0)</f>
        <v>1.2744444444444445</v>
      </c>
      <c r="R101" s="1">
        <f t="shared" si="28"/>
        <v>0</v>
      </c>
      <c r="S101" s="1">
        <f t="shared" si="33"/>
        <v>3.42</v>
      </c>
      <c r="T101" s="36">
        <f t="shared" si="34"/>
        <v>6.9355961669362698E-2</v>
      </c>
      <c r="U101" s="31">
        <f t="shared" si="29"/>
        <v>11.539355961669363</v>
      </c>
      <c r="V101" s="40">
        <f t="shared" si="35"/>
        <v>58.596434721472811</v>
      </c>
    </row>
    <row r="102" spans="1:22">
      <c r="A102" s="2" t="s">
        <v>397</v>
      </c>
      <c r="B102" s="23" t="s">
        <v>398</v>
      </c>
      <c r="C102" s="2" t="s">
        <v>399</v>
      </c>
      <c r="D102" s="34" t="s">
        <v>400</v>
      </c>
      <c r="E102" s="35">
        <v>33.799999999999997</v>
      </c>
      <c r="F102" s="16">
        <v>11.09</v>
      </c>
      <c r="G102" s="16">
        <v>11.49</v>
      </c>
      <c r="H102" s="33">
        <f t="shared" si="21"/>
        <v>82.901867964376876</v>
      </c>
      <c r="I102" s="26">
        <f t="shared" si="36"/>
        <v>82.901867964376876</v>
      </c>
      <c r="J102" s="9">
        <f t="shared" si="37"/>
        <v>3.4320274096883372</v>
      </c>
      <c r="K102" s="9">
        <f t="shared" si="30"/>
        <v>0.11429896745978634</v>
      </c>
      <c r="L102" s="9">
        <f t="shared" si="31"/>
        <v>35.831868909574318</v>
      </c>
      <c r="M102" s="9">
        <f t="shared" si="38"/>
        <v>43.523672677654432</v>
      </c>
      <c r="N102" s="9">
        <f t="shared" si="39"/>
        <v>0</v>
      </c>
      <c r="O102" s="12">
        <f t="shared" si="32"/>
        <v>0.40000000000000036</v>
      </c>
      <c r="P102" s="11">
        <f t="shared" si="40"/>
        <v>1.8483333333333334</v>
      </c>
      <c r="Q102" s="12">
        <f t="shared" si="41"/>
        <v>1.2766666666666666</v>
      </c>
      <c r="R102" s="1">
        <f t="shared" si="28"/>
        <v>0</v>
      </c>
      <c r="S102" s="1">
        <f t="shared" si="33"/>
        <v>2.91</v>
      </c>
      <c r="T102" s="36">
        <f t="shared" si="34"/>
        <v>6.9355961669362698E-2</v>
      </c>
      <c r="U102" s="31">
        <f t="shared" si="29"/>
        <v>11.559355961669363</v>
      </c>
      <c r="V102" s="40">
        <f t="shared" si="35"/>
        <v>59.13862085645048</v>
      </c>
    </row>
    <row r="103" spans="1:22">
      <c r="A103" s="2" t="s">
        <v>401</v>
      </c>
      <c r="B103" s="23" t="s">
        <v>402</v>
      </c>
      <c r="C103" s="2" t="s">
        <v>403</v>
      </c>
      <c r="D103" s="13" t="s">
        <v>404</v>
      </c>
      <c r="E103" s="16">
        <v>49.8</v>
      </c>
      <c r="F103" s="16">
        <v>11.2</v>
      </c>
      <c r="G103" s="16">
        <v>11.5</v>
      </c>
      <c r="H103" s="33">
        <f t="shared" si="21"/>
        <v>82.175243903147759</v>
      </c>
      <c r="I103" s="26">
        <f t="shared" si="36"/>
        <v>82.175243903147759</v>
      </c>
      <c r="J103" s="9">
        <f t="shared" si="37"/>
        <v>2.3293680009531283</v>
      </c>
      <c r="K103" s="9">
        <f t="shared" si="30"/>
        <v>5.0947604528812217E-2</v>
      </c>
      <c r="L103" s="9">
        <f t="shared" si="31"/>
        <v>36.058430016200013</v>
      </c>
      <c r="M103" s="9">
        <f t="shared" si="38"/>
        <v>43.736498281465799</v>
      </c>
      <c r="N103" s="9">
        <f t="shared" si="39"/>
        <v>0</v>
      </c>
      <c r="O103" s="12">
        <f t="shared" si="32"/>
        <v>0.30000000000000071</v>
      </c>
      <c r="P103" s="11">
        <f t="shared" si="40"/>
        <v>1.8666666666666665</v>
      </c>
      <c r="Q103" s="12">
        <f t="shared" si="41"/>
        <v>1.2777777777777777</v>
      </c>
      <c r="R103" s="1">
        <f t="shared" si="28"/>
        <v>0</v>
      </c>
      <c r="S103" s="1">
        <f t="shared" si="33"/>
        <v>2.8000000000000007</v>
      </c>
      <c r="T103" s="36">
        <f t="shared" si="34"/>
        <v>6.9355961669362698E-2</v>
      </c>
      <c r="U103" s="31">
        <f t="shared" si="29"/>
        <v>11.569355961669363</v>
      </c>
      <c r="V103" s="40">
        <f t="shared" si="35"/>
        <v>59.411592327677411</v>
      </c>
    </row>
    <row r="104" spans="1:22">
      <c r="A104" s="2" t="s">
        <v>405</v>
      </c>
      <c r="B104" s="23" t="s">
        <v>406</v>
      </c>
      <c r="C104" s="2" t="s">
        <v>407</v>
      </c>
      <c r="D104" s="34" t="s">
        <v>408</v>
      </c>
      <c r="E104" s="35">
        <v>18.5</v>
      </c>
      <c r="F104" s="16">
        <v>11.1</v>
      </c>
      <c r="G104" s="16">
        <v>11.5</v>
      </c>
      <c r="H104" s="33">
        <f t="shared" si="21"/>
        <v>86.024341037390798</v>
      </c>
      <c r="I104" s="26">
        <f t="shared" si="36"/>
        <v>86.024341037390798</v>
      </c>
      <c r="J104" s="9">
        <f t="shared" si="37"/>
        <v>6.2704068349981501</v>
      </c>
      <c r="K104" s="9">
        <f t="shared" si="30"/>
        <v>0.16412413746410051</v>
      </c>
      <c r="L104" s="9">
        <f t="shared" si="31"/>
        <v>35.853311783462757</v>
      </c>
      <c r="M104" s="9">
        <f t="shared" si="38"/>
        <v>43.736498281465799</v>
      </c>
      <c r="N104" s="9">
        <f t="shared" si="39"/>
        <v>0</v>
      </c>
      <c r="O104" s="12">
        <f t="shared" si="32"/>
        <v>0.40000000000000036</v>
      </c>
      <c r="P104" s="11">
        <f t="shared" si="40"/>
        <v>1.8499999999999999</v>
      </c>
      <c r="Q104" s="12">
        <f t="shared" si="41"/>
        <v>1.2777777777777777</v>
      </c>
      <c r="R104" s="1">
        <f t="shared" si="28"/>
        <v>0</v>
      </c>
      <c r="S104" s="1">
        <f t="shared" si="33"/>
        <v>2.9000000000000004</v>
      </c>
      <c r="T104" s="36">
        <f t="shared" si="34"/>
        <v>6.9355961669362698E-2</v>
      </c>
      <c r="U104" s="31">
        <f t="shared" si="29"/>
        <v>11.569355961669363</v>
      </c>
      <c r="V104" s="40">
        <f t="shared" si="35"/>
        <v>59.411592327677411</v>
      </c>
    </row>
    <row r="105" spans="1:22">
      <c r="A105" s="2" t="s">
        <v>409</v>
      </c>
      <c r="B105" s="23" t="s">
        <v>410</v>
      </c>
      <c r="C105" s="2" t="s">
        <v>411</v>
      </c>
      <c r="D105" s="13" t="s">
        <v>412</v>
      </c>
      <c r="E105" s="16">
        <v>18.7</v>
      </c>
      <c r="F105" s="16">
        <v>11.3</v>
      </c>
      <c r="G105" s="16">
        <v>11.5</v>
      </c>
      <c r="H105" s="33">
        <f t="shared" si="21"/>
        <v>86.226393465499072</v>
      </c>
      <c r="I105" s="26">
        <f t="shared" si="36"/>
        <v>86.226393465499072</v>
      </c>
      <c r="J105" s="9">
        <f t="shared" si="37"/>
        <v>6.2033436602922878</v>
      </c>
      <c r="K105" s="9">
        <f t="shared" si="30"/>
        <v>4.0767028287471432E-2</v>
      </c>
      <c r="L105" s="9">
        <f t="shared" si="31"/>
        <v>36.245784495453513</v>
      </c>
      <c r="M105" s="9">
        <f t="shared" si="38"/>
        <v>43.736498281465799</v>
      </c>
      <c r="N105" s="9">
        <f t="shared" si="39"/>
        <v>0</v>
      </c>
      <c r="O105" s="12">
        <f t="shared" si="32"/>
        <v>0.19999999999999929</v>
      </c>
      <c r="P105" s="11">
        <f t="shared" si="40"/>
        <v>1.8833333333333335</v>
      </c>
      <c r="Q105" s="12">
        <f t="shared" si="41"/>
        <v>1.2777777777777777</v>
      </c>
      <c r="R105" s="1">
        <f t="shared" si="28"/>
        <v>0</v>
      </c>
      <c r="S105" s="1">
        <f t="shared" si="33"/>
        <v>2.6999999999999993</v>
      </c>
      <c r="T105" s="36">
        <f t="shared" si="34"/>
        <v>6.9355961669362698E-2</v>
      </c>
      <c r="U105" s="31">
        <f t="shared" si="29"/>
        <v>11.569355961669363</v>
      </c>
      <c r="V105" s="40">
        <f t="shared" si="35"/>
        <v>59.411592327677411</v>
      </c>
    </row>
    <row r="106" spans="1:22">
      <c r="A106" s="2" t="s">
        <v>409</v>
      </c>
      <c r="B106" s="23" t="s">
        <v>410</v>
      </c>
      <c r="C106" s="2" t="s">
        <v>413</v>
      </c>
      <c r="D106" s="34" t="s">
        <v>414</v>
      </c>
      <c r="E106" s="35">
        <v>21.1</v>
      </c>
      <c r="F106" s="16">
        <v>11.3</v>
      </c>
      <c r="G106" s="16">
        <v>11.5</v>
      </c>
      <c r="H106" s="33">
        <f t="shared" si="21"/>
        <v>85.517949314207954</v>
      </c>
      <c r="I106" s="26">
        <f t="shared" si="36"/>
        <v>85.517949314207954</v>
      </c>
      <c r="J106" s="9">
        <f t="shared" si="37"/>
        <v>5.4977500686002738</v>
      </c>
      <c r="K106" s="9">
        <f t="shared" si="30"/>
        <v>3.7916468688365117E-2</v>
      </c>
      <c r="L106" s="9">
        <f t="shared" si="31"/>
        <v>36.245784495453513</v>
      </c>
      <c r="M106" s="9">
        <f t="shared" si="38"/>
        <v>43.736498281465799</v>
      </c>
      <c r="N106" s="9">
        <f t="shared" si="39"/>
        <v>0</v>
      </c>
      <c r="O106" s="12">
        <f t="shared" si="32"/>
        <v>0.19999999999999929</v>
      </c>
      <c r="P106" s="11">
        <f t="shared" si="40"/>
        <v>1.8833333333333335</v>
      </c>
      <c r="Q106" s="12">
        <f t="shared" si="41"/>
        <v>1.2777777777777777</v>
      </c>
      <c r="R106" s="1">
        <f t="shared" si="28"/>
        <v>0</v>
      </c>
      <c r="S106" s="1">
        <f t="shared" si="33"/>
        <v>2.6999999999999993</v>
      </c>
      <c r="T106" s="36">
        <f t="shared" si="34"/>
        <v>6.9355961669362698E-2</v>
      </c>
      <c r="U106" s="31">
        <f t="shared" si="29"/>
        <v>11.569355961669363</v>
      </c>
      <c r="V106" s="40">
        <f t="shared" si="35"/>
        <v>59.411592327677411</v>
      </c>
    </row>
    <row r="107" spans="1:22">
      <c r="A107" s="2" t="s">
        <v>415</v>
      </c>
      <c r="B107" s="23" t="s">
        <v>416</v>
      </c>
      <c r="C107" s="2" t="s">
        <v>417</v>
      </c>
      <c r="D107" s="13" t="s">
        <v>418</v>
      </c>
      <c r="E107" s="16">
        <v>20.6</v>
      </c>
      <c r="F107" s="16">
        <v>11.33</v>
      </c>
      <c r="G107" s="16">
        <v>11.5</v>
      </c>
      <c r="H107" s="33">
        <f t="shared" si="21"/>
        <v>85.693819944342351</v>
      </c>
      <c r="I107" s="26">
        <f t="shared" si="36"/>
        <v>85.693819944342351</v>
      </c>
      <c r="J107" s="9">
        <f t="shared" si="37"/>
        <v>5.6311906042459112</v>
      </c>
      <c r="K107" s="9">
        <f t="shared" si="30"/>
        <v>2.7791896559893337E-2</v>
      </c>
      <c r="L107" s="9">
        <f t="shared" si="31"/>
        <v>36.298339162070747</v>
      </c>
      <c r="M107" s="9">
        <f t="shared" si="38"/>
        <v>43.736498281465799</v>
      </c>
      <c r="N107" s="9">
        <f t="shared" si="39"/>
        <v>0</v>
      </c>
      <c r="O107" s="12">
        <f t="shared" si="32"/>
        <v>0.16999999999999993</v>
      </c>
      <c r="P107" s="11">
        <f t="shared" si="40"/>
        <v>1.8883333333333334</v>
      </c>
      <c r="Q107" s="12">
        <f t="shared" si="41"/>
        <v>1.2777777777777777</v>
      </c>
      <c r="R107" s="1">
        <f t="shared" si="28"/>
        <v>0</v>
      </c>
      <c r="S107" s="1">
        <f t="shared" si="33"/>
        <v>2.67</v>
      </c>
      <c r="T107" s="36">
        <f t="shared" si="34"/>
        <v>6.9355961669362698E-2</v>
      </c>
      <c r="U107" s="31">
        <f t="shared" si="29"/>
        <v>11.569355961669363</v>
      </c>
      <c r="V107" s="40">
        <f t="shared" si="35"/>
        <v>59.411592327677411</v>
      </c>
    </row>
    <row r="108" spans="1:22">
      <c r="A108" s="2" t="s">
        <v>419</v>
      </c>
      <c r="B108" s="23" t="s">
        <v>420</v>
      </c>
      <c r="C108" s="2" t="s">
        <v>421</v>
      </c>
      <c r="D108" s="34" t="s">
        <v>422</v>
      </c>
      <c r="E108" s="35">
        <v>15.9</v>
      </c>
      <c r="F108" s="16">
        <v>10.7</v>
      </c>
      <c r="G108" s="16">
        <v>11.5</v>
      </c>
      <c r="H108" s="33">
        <f t="shared" si="21"/>
        <v>86.62857223910423</v>
      </c>
      <c r="I108" s="26">
        <f t="shared" si="36"/>
        <v>86.62857223910423</v>
      </c>
      <c r="J108" s="9">
        <f t="shared" si="37"/>
        <v>7.29575638034376</v>
      </c>
      <c r="K108" s="9">
        <f t="shared" si="30"/>
        <v>0.71898215203591698</v>
      </c>
      <c r="L108" s="9">
        <f t="shared" si="31"/>
        <v>34.87733542525875</v>
      </c>
      <c r="M108" s="9">
        <f t="shared" si="38"/>
        <v>43.736498281465799</v>
      </c>
      <c r="N108" s="9">
        <f t="shared" si="39"/>
        <v>0</v>
      </c>
      <c r="O108" s="12">
        <f t="shared" si="32"/>
        <v>0.80000000000000071</v>
      </c>
      <c r="P108" s="11">
        <f t="shared" si="40"/>
        <v>1.7833333333333332</v>
      </c>
      <c r="Q108" s="12">
        <f t="shared" si="41"/>
        <v>1.2777777777777777</v>
      </c>
      <c r="R108" s="1">
        <f t="shared" si="28"/>
        <v>0</v>
      </c>
      <c r="S108" s="1">
        <f t="shared" si="33"/>
        <v>3.3000000000000007</v>
      </c>
      <c r="T108" s="36">
        <f t="shared" si="34"/>
        <v>6.9355961669362698E-2</v>
      </c>
      <c r="U108" s="31">
        <f t="shared" si="29"/>
        <v>11.569355961669363</v>
      </c>
      <c r="V108" s="40">
        <f t="shared" si="35"/>
        <v>59.411592327677411</v>
      </c>
    </row>
    <row r="109" spans="1:22">
      <c r="A109" s="2" t="s">
        <v>423</v>
      </c>
      <c r="B109" s="23" t="s">
        <v>424</v>
      </c>
      <c r="C109" s="2" t="s">
        <v>425</v>
      </c>
      <c r="D109" s="34" t="s">
        <v>426</v>
      </c>
      <c r="E109" s="35">
        <v>17.7</v>
      </c>
      <c r="F109" s="16">
        <v>11</v>
      </c>
      <c r="G109" s="16">
        <v>11.5</v>
      </c>
      <c r="H109" s="33">
        <f t="shared" si="21"/>
        <v>86.185255811677521</v>
      </c>
      <c r="I109" s="26">
        <f t="shared" si="36"/>
        <v>86.185255811677521</v>
      </c>
      <c r="J109" s="9">
        <f t="shared" si="37"/>
        <v>6.5538150535291404</v>
      </c>
      <c r="K109" s="9">
        <f t="shared" si="30"/>
        <v>0.26334050256653108</v>
      </c>
      <c r="L109" s="9">
        <f t="shared" si="31"/>
        <v>35.631601974116052</v>
      </c>
      <c r="M109" s="9">
        <f t="shared" si="38"/>
        <v>43.736498281465799</v>
      </c>
      <c r="N109" s="9">
        <f t="shared" si="39"/>
        <v>0</v>
      </c>
      <c r="O109" s="12">
        <f t="shared" si="32"/>
        <v>0.5</v>
      </c>
      <c r="P109" s="11">
        <f t="shared" si="40"/>
        <v>1.8333333333333333</v>
      </c>
      <c r="Q109" s="12">
        <f t="shared" si="41"/>
        <v>1.2777777777777777</v>
      </c>
      <c r="R109" s="1">
        <f t="shared" si="28"/>
        <v>0</v>
      </c>
      <c r="S109" s="1">
        <f t="shared" si="33"/>
        <v>3</v>
      </c>
      <c r="T109" s="36">
        <f t="shared" si="34"/>
        <v>6.9355961669362698E-2</v>
      </c>
      <c r="U109" s="31">
        <f t="shared" si="29"/>
        <v>11.569355961669363</v>
      </c>
      <c r="V109" s="40">
        <f t="shared" si="35"/>
        <v>59.411592327677411</v>
      </c>
    </row>
    <row r="110" spans="1:22">
      <c r="A110" s="13" t="s">
        <v>427</v>
      </c>
      <c r="B110" s="23" t="s">
        <v>428</v>
      </c>
      <c r="C110" s="13" t="s">
        <v>429</v>
      </c>
      <c r="D110" s="34" t="s">
        <v>430</v>
      </c>
      <c r="E110" s="35">
        <v>15.2</v>
      </c>
      <c r="F110" s="16">
        <v>11.4</v>
      </c>
      <c r="G110" s="16">
        <v>11.5</v>
      </c>
      <c r="H110" s="33">
        <f t="shared" si="21"/>
        <v>87.793885098681244</v>
      </c>
      <c r="I110" s="26">
        <f t="shared" si="36"/>
        <v>87.793885098681244</v>
      </c>
      <c r="J110" s="9">
        <f t="shared" si="37"/>
        <v>7.631745161017486</v>
      </c>
      <c r="K110" s="9">
        <f t="shared" si="30"/>
        <v>1.154187775967646E-2</v>
      </c>
      <c r="L110" s="9">
        <f t="shared" si="31"/>
        <v>36.414099778438292</v>
      </c>
      <c r="M110" s="9">
        <f t="shared" si="38"/>
        <v>43.736498281465799</v>
      </c>
      <c r="N110" s="9">
        <f t="shared" si="39"/>
        <v>0</v>
      </c>
      <c r="O110" s="12">
        <f t="shared" si="32"/>
        <v>9.9999999999999645E-2</v>
      </c>
      <c r="P110" s="11">
        <f t="shared" si="40"/>
        <v>1.9000000000000001</v>
      </c>
      <c r="Q110" s="12">
        <f t="shared" si="41"/>
        <v>1.2777777777777777</v>
      </c>
      <c r="R110" s="1">
        <f t="shared" si="28"/>
        <v>0</v>
      </c>
      <c r="S110" s="1">
        <f t="shared" si="33"/>
        <v>2.5999999999999996</v>
      </c>
      <c r="T110" s="36">
        <f t="shared" si="34"/>
        <v>6.9355961669362698E-2</v>
      </c>
      <c r="U110" s="31">
        <f t="shared" si="29"/>
        <v>11.569355961669363</v>
      </c>
      <c r="V110" s="40">
        <f t="shared" si="35"/>
        <v>59.411592327677411</v>
      </c>
    </row>
    <row r="111" spans="1:22">
      <c r="A111" s="2" t="s">
        <v>427</v>
      </c>
      <c r="B111" s="2" t="s">
        <v>428</v>
      </c>
      <c r="C111" s="2" t="s">
        <v>429</v>
      </c>
      <c r="D111" s="2" t="s">
        <v>430</v>
      </c>
      <c r="E111" s="16">
        <v>22.4</v>
      </c>
      <c r="F111" s="16">
        <v>11.4</v>
      </c>
      <c r="G111" s="16">
        <v>11.5</v>
      </c>
      <c r="H111" s="33">
        <f t="shared" si="21"/>
        <v>85.338427204583297</v>
      </c>
      <c r="I111" s="26">
        <f t="shared" ref="I111:I174" si="42">J111+K111+L111+M111+N111</f>
        <v>85.338427204583297</v>
      </c>
      <c r="J111" s="9">
        <f t="shared" ref="J111:J174" si="43">116/1.2213*(0.0950502775050452+(1.12627632206642)/((1+($B$2/0.302756091410027)^2.26536793426585)^0.152776210790626))/E111</f>
        <v>5.1786842164047231</v>
      </c>
      <c r="K111" s="9">
        <f t="shared" ref="K111:K174" si="44">5.91232283796472*O111*ABS(G111-F111)/E111^0.600317738509086*(1+$B$2)^0.808139120750434</f>
        <v>9.1449282744862567E-3</v>
      </c>
      <c r="L111" s="9">
        <f t="shared" si="31"/>
        <v>36.414099778438292</v>
      </c>
      <c r="M111" s="9">
        <f t="shared" ref="M111:M174" si="45">13.6914255489806*Q111*(G111-9)</f>
        <v>43.736498281465799</v>
      </c>
      <c r="N111" s="9">
        <f t="shared" ref="N111:N174" si="46">2.4817076129942*Q111*(6.5-$B$3)</f>
        <v>0</v>
      </c>
      <c r="O111" s="12">
        <f t="shared" ref="O111:O174" si="47">IF(ABS(G111-F111)&lt;=1,IF(F111&lt;=6,0,ABS(G111-F111)), ABS(G111-F111))</f>
        <v>9.9999999999999645E-2</v>
      </c>
      <c r="P111" s="11">
        <f t="shared" ref="P111:P174" si="48">IF(F111-6&gt;0,F111/6,0)</f>
        <v>1.9000000000000001</v>
      </c>
      <c r="Q111" s="12">
        <f t="shared" ref="Q111:Q174" si="49">IF(G111-9&gt;0,G111/9,0)</f>
        <v>1.2777777777777777</v>
      </c>
      <c r="R111" s="1">
        <f t="shared" si="28"/>
        <v>0</v>
      </c>
      <c r="S111" s="1">
        <f t="shared" si="33"/>
        <v>2.5999999999999996</v>
      </c>
      <c r="T111" s="36">
        <f t="shared" ref="T111:T174" si="50">0.0693559616693627+4.32571272410334*LOG(((6.5/$B$3)^2),2.512)^1.81526832546765*(G111/18)^8.00090419543305</f>
        <v>6.9355961669362698E-2</v>
      </c>
      <c r="U111" s="31">
        <f t="shared" si="29"/>
        <v>11.569355961669363</v>
      </c>
      <c r="V111" s="40">
        <f t="shared" si="35"/>
        <v>59.411592327677411</v>
      </c>
    </row>
    <row r="112" spans="1:22">
      <c r="A112" s="2" t="s">
        <v>431</v>
      </c>
      <c r="B112" s="2" t="s">
        <v>432</v>
      </c>
      <c r="C112" s="2" t="s">
        <v>433</v>
      </c>
      <c r="D112" s="2" t="s">
        <v>434</v>
      </c>
      <c r="E112" s="16">
        <v>17.7</v>
      </c>
      <c r="F112" s="16">
        <v>11.3</v>
      </c>
      <c r="G112" s="16">
        <v>11.5</v>
      </c>
      <c r="H112" s="33">
        <f t="shared" si="21"/>
        <v>86.578232310859107</v>
      </c>
      <c r="I112" s="26">
        <f t="shared" si="42"/>
        <v>86.578232310859107</v>
      </c>
      <c r="J112" s="9">
        <f t="shared" si="43"/>
        <v>6.5538150535291404</v>
      </c>
      <c r="K112" s="9">
        <f t="shared" si="44"/>
        <v>4.2134480410644673E-2</v>
      </c>
      <c r="L112" s="9">
        <f t="shared" si="31"/>
        <v>36.245784495453513</v>
      </c>
      <c r="M112" s="9">
        <f t="shared" si="45"/>
        <v>43.736498281465799</v>
      </c>
      <c r="N112" s="9">
        <f t="shared" si="46"/>
        <v>0</v>
      </c>
      <c r="O112" s="12">
        <f t="shared" si="47"/>
        <v>0.19999999999999929</v>
      </c>
      <c r="P112" s="11">
        <f t="shared" si="48"/>
        <v>1.8833333333333335</v>
      </c>
      <c r="Q112" s="12">
        <f t="shared" si="49"/>
        <v>1.2777777777777777</v>
      </c>
      <c r="R112" s="1">
        <f t="shared" si="28"/>
        <v>0</v>
      </c>
      <c r="S112" s="1">
        <f t="shared" si="33"/>
        <v>2.6999999999999993</v>
      </c>
      <c r="T112" s="36">
        <f t="shared" si="50"/>
        <v>6.9355961669362698E-2</v>
      </c>
      <c r="U112" s="31">
        <f t="shared" si="29"/>
        <v>11.569355961669363</v>
      </c>
      <c r="V112" s="40">
        <f t="shared" si="35"/>
        <v>59.411592327677411</v>
      </c>
    </row>
    <row r="113" spans="1:22">
      <c r="A113" s="2" t="s">
        <v>435</v>
      </c>
      <c r="B113" s="2" t="s">
        <v>436</v>
      </c>
      <c r="C113" s="2" t="s">
        <v>437</v>
      </c>
      <c r="D113" s="2" t="s">
        <v>438</v>
      </c>
      <c r="E113" s="16">
        <v>17.899999999999999</v>
      </c>
      <c r="F113" s="16">
        <v>11.4</v>
      </c>
      <c r="G113" s="16">
        <v>11.5</v>
      </c>
      <c r="H113" s="33">
        <f t="shared" si="21"/>
        <v>86.641648937265799</v>
      </c>
      <c r="I113" s="26">
        <f t="shared" si="42"/>
        <v>86.641648937265799</v>
      </c>
      <c r="J113" s="9">
        <f t="shared" si="43"/>
        <v>6.4805880696908265</v>
      </c>
      <c r="K113" s="9">
        <f t="shared" si="44"/>
        <v>1.0462807670882012E-2</v>
      </c>
      <c r="L113" s="9">
        <f t="shared" si="31"/>
        <v>36.414099778438292</v>
      </c>
      <c r="M113" s="9">
        <f t="shared" si="45"/>
        <v>43.736498281465799</v>
      </c>
      <c r="N113" s="9">
        <f t="shared" si="46"/>
        <v>0</v>
      </c>
      <c r="O113" s="12">
        <f t="shared" si="47"/>
        <v>9.9999999999999645E-2</v>
      </c>
      <c r="P113" s="11">
        <f t="shared" si="48"/>
        <v>1.9000000000000001</v>
      </c>
      <c r="Q113" s="12">
        <f t="shared" si="49"/>
        <v>1.2777777777777777</v>
      </c>
      <c r="R113" s="1">
        <f t="shared" si="28"/>
        <v>0</v>
      </c>
      <c r="S113" s="1">
        <f t="shared" si="33"/>
        <v>2.5999999999999996</v>
      </c>
      <c r="T113" s="36">
        <f t="shared" si="50"/>
        <v>6.9355961669362698E-2</v>
      </c>
      <c r="U113" s="31">
        <f t="shared" si="29"/>
        <v>11.569355961669363</v>
      </c>
      <c r="V113" s="40">
        <f t="shared" si="35"/>
        <v>59.411592327677411</v>
      </c>
    </row>
    <row r="114" spans="1:22">
      <c r="A114" s="2" t="s">
        <v>439</v>
      </c>
      <c r="B114" s="2" t="s">
        <v>440</v>
      </c>
      <c r="C114" s="2" t="s">
        <v>441</v>
      </c>
      <c r="D114" s="2" t="s">
        <v>442</v>
      </c>
      <c r="E114" s="16">
        <v>15.3</v>
      </c>
      <c r="F114" s="16">
        <v>11.2</v>
      </c>
      <c r="G114" s="16">
        <v>11.5</v>
      </c>
      <c r="H114" s="33">
        <f t="shared" si="21"/>
        <v>87.480261561092689</v>
      </c>
      <c r="I114" s="26">
        <f t="shared" si="42"/>
        <v>87.480261561092689</v>
      </c>
      <c r="J114" s="9">
        <f t="shared" si="43"/>
        <v>7.5818644736905734</v>
      </c>
      <c r="K114" s="9">
        <f t="shared" si="44"/>
        <v>0.10346878973630573</v>
      </c>
      <c r="L114" s="9">
        <f t="shared" si="31"/>
        <v>36.058430016200013</v>
      </c>
      <c r="M114" s="9">
        <f t="shared" si="45"/>
        <v>43.736498281465799</v>
      </c>
      <c r="N114" s="9">
        <f t="shared" si="46"/>
        <v>0</v>
      </c>
      <c r="O114" s="12">
        <f t="shared" si="47"/>
        <v>0.30000000000000071</v>
      </c>
      <c r="P114" s="11">
        <f t="shared" si="48"/>
        <v>1.8666666666666665</v>
      </c>
      <c r="Q114" s="12">
        <f t="shared" si="49"/>
        <v>1.2777777777777777</v>
      </c>
      <c r="R114" s="1">
        <f t="shared" si="28"/>
        <v>0</v>
      </c>
      <c r="S114" s="1">
        <f t="shared" si="33"/>
        <v>2.8000000000000007</v>
      </c>
      <c r="T114" s="36">
        <f t="shared" si="50"/>
        <v>6.9355961669362698E-2</v>
      </c>
      <c r="U114" s="31">
        <f t="shared" si="29"/>
        <v>11.569355961669363</v>
      </c>
      <c r="V114" s="40">
        <f t="shared" si="35"/>
        <v>59.411592327677411</v>
      </c>
    </row>
    <row r="115" spans="1:22">
      <c r="A115" s="2" t="s">
        <v>443</v>
      </c>
      <c r="B115" s="2" t="s">
        <v>444</v>
      </c>
      <c r="C115" s="2" t="s">
        <v>445</v>
      </c>
      <c r="D115" s="2" t="s">
        <v>446</v>
      </c>
      <c r="E115" s="16">
        <v>18.100000000000001</v>
      </c>
      <c r="F115" s="16">
        <v>11.41</v>
      </c>
      <c r="G115" s="16">
        <v>11.5</v>
      </c>
      <c r="H115" s="33">
        <f t="shared" si="21"/>
        <v>86.583727805050401</v>
      </c>
      <c r="I115" s="26">
        <f t="shared" si="42"/>
        <v>86.583727805050401</v>
      </c>
      <c r="J115" s="9">
        <f t="shared" si="43"/>
        <v>6.4089793617384405</v>
      </c>
      <c r="K115" s="9">
        <f t="shared" si="44"/>
        <v>8.4185326659178532E-3</v>
      </c>
      <c r="L115" s="9">
        <f t="shared" si="31"/>
        <v>36.429831629180242</v>
      </c>
      <c r="M115" s="9">
        <f t="shared" si="45"/>
        <v>43.736498281465799</v>
      </c>
      <c r="N115" s="9">
        <f t="shared" si="46"/>
        <v>0</v>
      </c>
      <c r="O115" s="12">
        <f t="shared" si="47"/>
        <v>8.9999999999999858E-2</v>
      </c>
      <c r="P115" s="11">
        <f t="shared" si="48"/>
        <v>1.9016666666666666</v>
      </c>
      <c r="Q115" s="12">
        <f t="shared" si="49"/>
        <v>1.2777777777777777</v>
      </c>
      <c r="R115" s="1">
        <f t="shared" si="28"/>
        <v>0</v>
      </c>
      <c r="S115" s="1">
        <f t="shared" si="33"/>
        <v>2.59</v>
      </c>
      <c r="T115" s="36">
        <f t="shared" si="50"/>
        <v>6.9355961669362698E-2</v>
      </c>
      <c r="U115" s="31">
        <f t="shared" si="29"/>
        <v>11.569355961669363</v>
      </c>
      <c r="V115" s="40">
        <f t="shared" si="35"/>
        <v>59.411592327677411</v>
      </c>
    </row>
    <row r="116" spans="1:22">
      <c r="A116" s="2" t="s">
        <v>447</v>
      </c>
      <c r="B116" s="2" t="s">
        <v>448</v>
      </c>
      <c r="C116" s="2" t="s">
        <v>449</v>
      </c>
      <c r="D116" s="2" t="s">
        <v>450</v>
      </c>
      <c r="E116" s="16">
        <v>15.8</v>
      </c>
      <c r="F116" s="16">
        <v>11.4</v>
      </c>
      <c r="G116" s="16">
        <v>11.5</v>
      </c>
      <c r="H116" s="33">
        <f t="shared" si="21"/>
        <v>87.50380683955477</v>
      </c>
      <c r="I116" s="26">
        <f t="shared" si="42"/>
        <v>87.50380683955477</v>
      </c>
      <c r="J116" s="9">
        <f t="shared" si="43"/>
        <v>7.3419320536370742</v>
      </c>
      <c r="K116" s="9">
        <f t="shared" si="44"/>
        <v>1.1276726013606603E-2</v>
      </c>
      <c r="L116" s="9">
        <f t="shared" si="31"/>
        <v>36.414099778438292</v>
      </c>
      <c r="M116" s="9">
        <f t="shared" si="45"/>
        <v>43.736498281465799</v>
      </c>
      <c r="N116" s="9">
        <f t="shared" si="46"/>
        <v>0</v>
      </c>
      <c r="O116" s="12">
        <f t="shared" si="47"/>
        <v>9.9999999999999645E-2</v>
      </c>
      <c r="P116" s="11">
        <f t="shared" si="48"/>
        <v>1.9000000000000001</v>
      </c>
      <c r="Q116" s="12">
        <f t="shared" si="49"/>
        <v>1.2777777777777777</v>
      </c>
      <c r="R116" s="1">
        <f t="shared" si="28"/>
        <v>0</v>
      </c>
      <c r="S116" s="1">
        <f t="shared" si="33"/>
        <v>2.5999999999999996</v>
      </c>
      <c r="T116" s="36">
        <f t="shared" si="50"/>
        <v>6.9355961669362698E-2</v>
      </c>
      <c r="U116" s="31">
        <f t="shared" si="29"/>
        <v>11.569355961669363</v>
      </c>
      <c r="V116" s="40">
        <f t="shared" si="35"/>
        <v>59.411592327677411</v>
      </c>
    </row>
    <row r="117" spans="1:22">
      <c r="A117" s="2" t="s">
        <v>451</v>
      </c>
      <c r="B117" s="2" t="s">
        <v>452</v>
      </c>
      <c r="C117" s="2" t="s">
        <v>453</v>
      </c>
      <c r="D117" s="2" t="s">
        <v>454</v>
      </c>
      <c r="E117" s="16">
        <v>26.9</v>
      </c>
      <c r="F117" s="16">
        <v>10.75</v>
      </c>
      <c r="G117" s="16">
        <v>11.51</v>
      </c>
      <c r="H117" s="33">
        <f t="shared" si="21"/>
        <v>83.746863100690788</v>
      </c>
      <c r="I117" s="26">
        <f t="shared" si="42"/>
        <v>83.746863100690788</v>
      </c>
      <c r="J117" s="9">
        <f t="shared" si="43"/>
        <v>4.3123615779727063</v>
      </c>
      <c r="K117" s="9">
        <f t="shared" si="44"/>
        <v>0.47323806460330869</v>
      </c>
      <c r="L117" s="9">
        <f t="shared" si="31"/>
        <v>35.011635318936499</v>
      </c>
      <c r="M117" s="9">
        <f t="shared" si="45"/>
        <v>43.949628139178273</v>
      </c>
      <c r="N117" s="9">
        <f t="shared" si="46"/>
        <v>0</v>
      </c>
      <c r="O117" s="12">
        <f t="shared" si="47"/>
        <v>0.75999999999999979</v>
      </c>
      <c r="P117" s="11">
        <f t="shared" si="48"/>
        <v>1.7916666666666667</v>
      </c>
      <c r="Q117" s="12">
        <f t="shared" si="49"/>
        <v>1.278888888888889</v>
      </c>
      <c r="R117" s="1">
        <f t="shared" si="28"/>
        <v>0</v>
      </c>
      <c r="S117" s="1">
        <f t="shared" si="33"/>
        <v>3.25</v>
      </c>
      <c r="T117" s="36">
        <f t="shared" si="50"/>
        <v>6.9355961669362698E-2</v>
      </c>
      <c r="U117" s="31">
        <f t="shared" si="29"/>
        <v>11.579355961669362</v>
      </c>
      <c r="V117" s="40">
        <f t="shared" si="35"/>
        <v>59.685823777967457</v>
      </c>
    </row>
    <row r="118" spans="1:22">
      <c r="A118" s="2" t="s">
        <v>455</v>
      </c>
      <c r="B118" s="2" t="s">
        <v>456</v>
      </c>
      <c r="C118" s="2" t="s">
        <v>457</v>
      </c>
      <c r="D118" s="2" t="s">
        <v>458</v>
      </c>
      <c r="E118" s="16">
        <v>33.799999999999997</v>
      </c>
      <c r="F118" s="16">
        <v>12.06</v>
      </c>
      <c r="G118" s="16">
        <v>11.52</v>
      </c>
      <c r="H118" s="33">
        <f t="shared" si="21"/>
        <v>84.735151222277011</v>
      </c>
      <c r="I118" s="26">
        <f t="shared" si="42"/>
        <v>84.735151222277011</v>
      </c>
      <c r="J118" s="9">
        <f t="shared" si="43"/>
        <v>3.4320274096883372</v>
      </c>
      <c r="K118" s="9">
        <f t="shared" si="44"/>
        <v>0.20830986819546093</v>
      </c>
      <c r="L118" s="9">
        <f t="shared" si="31"/>
        <v>36.931751693601385</v>
      </c>
      <c r="M118" s="9">
        <f t="shared" si="45"/>
        <v>44.163062250791818</v>
      </c>
      <c r="N118" s="9">
        <f t="shared" si="46"/>
        <v>0</v>
      </c>
      <c r="O118" s="12">
        <f t="shared" si="47"/>
        <v>0.54000000000000092</v>
      </c>
      <c r="P118" s="11">
        <f t="shared" si="48"/>
        <v>2.0100000000000002</v>
      </c>
      <c r="Q118" s="12">
        <f t="shared" si="49"/>
        <v>1.28</v>
      </c>
      <c r="R118" s="1">
        <f t="shared" si="28"/>
        <v>0</v>
      </c>
      <c r="S118" s="1">
        <f t="shared" si="33"/>
        <v>1.9399999999999995</v>
      </c>
      <c r="T118" s="36">
        <f t="shared" si="50"/>
        <v>6.9355961669362698E-2</v>
      </c>
      <c r="U118" s="31">
        <f t="shared" si="29"/>
        <v>11.589355961669362</v>
      </c>
      <c r="V118" s="40">
        <f t="shared" si="35"/>
        <v>59.961321023119837</v>
      </c>
    </row>
    <row r="119" spans="1:22">
      <c r="A119" s="2" t="s">
        <v>459</v>
      </c>
      <c r="B119" s="2" t="s">
        <v>460</v>
      </c>
      <c r="C119" s="2" t="s">
        <v>461</v>
      </c>
      <c r="D119" s="2" t="s">
        <v>462</v>
      </c>
      <c r="E119" s="16">
        <v>17.100000000000001</v>
      </c>
      <c r="F119" s="16">
        <v>11.07</v>
      </c>
      <c r="G119" s="16">
        <v>11.53</v>
      </c>
      <c r="H119" s="33">
        <f t="shared" si="21"/>
        <v>87.176618144646199</v>
      </c>
      <c r="I119" s="26">
        <f t="shared" si="42"/>
        <v>87.176618144646199</v>
      </c>
      <c r="J119" s="9">
        <f t="shared" si="43"/>
        <v>6.7837734764599871</v>
      </c>
      <c r="K119" s="9">
        <f t="shared" si="44"/>
        <v>0.22755394398690934</v>
      </c>
      <c r="L119" s="9">
        <f t="shared" si="31"/>
        <v>35.788490107892841</v>
      </c>
      <c r="M119" s="9">
        <f t="shared" si="45"/>
        <v>44.376800616306461</v>
      </c>
      <c r="N119" s="9">
        <f t="shared" si="46"/>
        <v>0</v>
      </c>
      <c r="O119" s="12">
        <f t="shared" si="47"/>
        <v>0.45999999999999908</v>
      </c>
      <c r="P119" s="11">
        <f t="shared" si="48"/>
        <v>1.845</v>
      </c>
      <c r="Q119" s="12">
        <f t="shared" si="49"/>
        <v>1.2811111111111111</v>
      </c>
      <c r="R119" s="1">
        <f t="shared" si="28"/>
        <v>0</v>
      </c>
      <c r="S119" s="1">
        <f t="shared" si="33"/>
        <v>2.9299999999999997</v>
      </c>
      <c r="T119" s="36">
        <f t="shared" si="50"/>
        <v>6.9355961669362698E-2</v>
      </c>
      <c r="U119" s="31">
        <f t="shared" si="29"/>
        <v>11.599355961669362</v>
      </c>
      <c r="V119" s="40">
        <f t="shared" si="35"/>
        <v>60.238089905778004</v>
      </c>
    </row>
    <row r="120" spans="1:22">
      <c r="A120" s="2" t="s">
        <v>463</v>
      </c>
      <c r="B120" s="2" t="s">
        <v>464</v>
      </c>
      <c r="C120" s="2" t="s">
        <v>465</v>
      </c>
      <c r="D120" s="2" t="s">
        <v>466</v>
      </c>
      <c r="E120" s="16">
        <v>22.7</v>
      </c>
      <c r="F120" s="16">
        <v>11.39</v>
      </c>
      <c r="G120" s="16">
        <v>11.53</v>
      </c>
      <c r="H120" s="33">
        <f t="shared" si="21"/>
        <v>85.902989267170824</v>
      </c>
      <c r="I120" s="26">
        <f t="shared" si="42"/>
        <v>85.902989267170824</v>
      </c>
      <c r="J120" s="9">
        <f t="shared" si="43"/>
        <v>5.110243455835497</v>
      </c>
      <c r="K120" s="9">
        <f t="shared" si="44"/>
        <v>1.7781477139672246E-2</v>
      </c>
      <c r="L120" s="9">
        <f t="shared" si="31"/>
        <v>36.398163717889183</v>
      </c>
      <c r="M120" s="9">
        <f t="shared" si="45"/>
        <v>44.376800616306461</v>
      </c>
      <c r="N120" s="9">
        <f t="shared" si="46"/>
        <v>0</v>
      </c>
      <c r="O120" s="12">
        <f t="shared" si="47"/>
        <v>0.13999999999999879</v>
      </c>
      <c r="P120" s="11">
        <f t="shared" si="48"/>
        <v>1.8983333333333334</v>
      </c>
      <c r="Q120" s="12">
        <f t="shared" si="49"/>
        <v>1.2811111111111111</v>
      </c>
      <c r="R120" s="1">
        <f t="shared" si="28"/>
        <v>0</v>
      </c>
      <c r="S120" s="1">
        <f t="shared" si="33"/>
        <v>2.6099999999999994</v>
      </c>
      <c r="T120" s="36">
        <f t="shared" si="50"/>
        <v>6.9355961669362698E-2</v>
      </c>
      <c r="U120" s="31">
        <f t="shared" si="29"/>
        <v>11.599355961669362</v>
      </c>
      <c r="V120" s="40">
        <f t="shared" si="35"/>
        <v>60.238089905778004</v>
      </c>
    </row>
    <row r="121" spans="1:22">
      <c r="A121" s="2" t="s">
        <v>467</v>
      </c>
      <c r="B121" s="2" t="s">
        <v>468</v>
      </c>
      <c r="C121" s="2" t="s">
        <v>469</v>
      </c>
      <c r="D121" s="2" t="s">
        <v>470</v>
      </c>
      <c r="E121" s="16">
        <v>16.5</v>
      </c>
      <c r="F121" s="16">
        <v>11.7</v>
      </c>
      <c r="G121" s="16">
        <v>11.54</v>
      </c>
      <c r="H121" s="33">
        <f t="shared" si="21"/>
        <v>88.439618227101931</v>
      </c>
      <c r="I121" s="26">
        <f t="shared" si="42"/>
        <v>88.439618227101931</v>
      </c>
      <c r="J121" s="9">
        <f t="shared" si="43"/>
        <v>7.0304561483312593</v>
      </c>
      <c r="K121" s="9">
        <f t="shared" si="44"/>
        <v>2.8126837079742156E-2</v>
      </c>
      <c r="L121" s="9">
        <f t="shared" si="31"/>
        <v>36.790192005968748</v>
      </c>
      <c r="M121" s="9">
        <f t="shared" si="45"/>
        <v>44.590843235722176</v>
      </c>
      <c r="N121" s="9">
        <f t="shared" si="46"/>
        <v>0</v>
      </c>
      <c r="O121" s="12">
        <f t="shared" si="47"/>
        <v>0.16000000000000014</v>
      </c>
      <c r="P121" s="11">
        <f t="shared" si="48"/>
        <v>1.95</v>
      </c>
      <c r="Q121" s="12">
        <f t="shared" si="49"/>
        <v>1.2822222222222222</v>
      </c>
      <c r="R121" s="1">
        <f t="shared" si="28"/>
        <v>0</v>
      </c>
      <c r="S121" s="1">
        <f t="shared" si="33"/>
        <v>2.3000000000000007</v>
      </c>
      <c r="T121" s="36">
        <f t="shared" si="50"/>
        <v>6.9355961669362698E-2</v>
      </c>
      <c r="U121" s="31">
        <f t="shared" si="29"/>
        <v>11.609355961669362</v>
      </c>
      <c r="V121" s="40">
        <f t="shared" si="35"/>
        <v>60.516136295554276</v>
      </c>
    </row>
    <row r="122" spans="1:22">
      <c r="A122" s="2" t="s">
        <v>471</v>
      </c>
      <c r="B122" s="2" t="s">
        <v>472</v>
      </c>
      <c r="C122" s="2" t="s">
        <v>473</v>
      </c>
      <c r="D122" s="2" t="s">
        <v>474</v>
      </c>
      <c r="E122" s="16">
        <v>30.3</v>
      </c>
      <c r="F122" s="16">
        <v>10.01</v>
      </c>
      <c r="G122" s="16">
        <v>11.56</v>
      </c>
      <c r="H122" s="33">
        <f t="shared" si="21"/>
        <v>83.420886795083305</v>
      </c>
      <c r="I122" s="26">
        <f t="shared" si="42"/>
        <v>83.420886795083305</v>
      </c>
      <c r="J122" s="9">
        <f t="shared" si="43"/>
        <v>3.8284662193883094</v>
      </c>
      <c r="K122" s="9">
        <f t="shared" si="44"/>
        <v>1.8326741250455199</v>
      </c>
      <c r="L122" s="9">
        <f t="shared" si="31"/>
        <v>32.739905214392543</v>
      </c>
      <c r="M122" s="9">
        <f t="shared" si="45"/>
        <v>45.019841236256937</v>
      </c>
      <c r="N122" s="9">
        <f t="shared" si="46"/>
        <v>0</v>
      </c>
      <c r="O122" s="12">
        <f t="shared" si="47"/>
        <v>1.5500000000000007</v>
      </c>
      <c r="P122" s="11">
        <f t="shared" si="48"/>
        <v>1.6683333333333332</v>
      </c>
      <c r="Q122" s="12">
        <f t="shared" si="49"/>
        <v>1.2844444444444445</v>
      </c>
      <c r="R122" s="1">
        <f t="shared" si="28"/>
        <v>0</v>
      </c>
      <c r="S122" s="1">
        <f t="shared" si="33"/>
        <v>3.99</v>
      </c>
      <c r="T122" s="36">
        <f t="shared" si="50"/>
        <v>6.9355961669362698E-2</v>
      </c>
      <c r="U122" s="31">
        <f t="shared" si="29"/>
        <v>11.629355961669363</v>
      </c>
      <c r="V122" s="40">
        <f t="shared" si="35"/>
        <v>61.0760852104981</v>
      </c>
    </row>
    <row r="123" spans="1:22">
      <c r="A123" s="2" t="s">
        <v>43</v>
      </c>
      <c r="B123" s="2" t="s">
        <v>475</v>
      </c>
      <c r="C123" s="2" t="s">
        <v>45</v>
      </c>
      <c r="D123" s="2" t="s">
        <v>46</v>
      </c>
      <c r="E123" s="16">
        <v>23.5</v>
      </c>
      <c r="F123" s="16">
        <v>9.57</v>
      </c>
      <c r="G123" s="16">
        <v>11.59</v>
      </c>
      <c r="H123" s="33">
        <f t="shared" si="21"/>
        <v>85.389768509602618</v>
      </c>
      <c r="I123" s="26">
        <f t="shared" si="42"/>
        <v>85.389768509602618</v>
      </c>
      <c r="J123" s="9">
        <f t="shared" si="43"/>
        <v>4.9362777211687563</v>
      </c>
      <c r="K123" s="9">
        <f t="shared" si="44"/>
        <v>3.6256386747212455</v>
      </c>
      <c r="L123" s="9">
        <f t="shared" si="31"/>
        <v>31.16223197239545</v>
      </c>
      <c r="M123" s="9">
        <f t="shared" si="45"/>
        <v>45.665620141317163</v>
      </c>
      <c r="N123" s="9">
        <f t="shared" si="46"/>
        <v>0</v>
      </c>
      <c r="O123" s="12">
        <f t="shared" si="47"/>
        <v>2.0199999999999996</v>
      </c>
      <c r="P123" s="11">
        <f t="shared" si="48"/>
        <v>1.595</v>
      </c>
      <c r="Q123" s="12">
        <f t="shared" si="49"/>
        <v>1.2877777777777777</v>
      </c>
      <c r="R123" s="1">
        <f t="shared" si="28"/>
        <v>0</v>
      </c>
      <c r="S123" s="1">
        <f t="shared" si="33"/>
        <v>4.43</v>
      </c>
      <c r="T123" s="36">
        <f t="shared" si="50"/>
        <v>6.9355961669362698E-2</v>
      </c>
      <c r="U123" s="31">
        <f t="shared" si="29"/>
        <v>11.659355961669363</v>
      </c>
      <c r="V123" s="40">
        <f t="shared" si="35"/>
        <v>61.92573819114768</v>
      </c>
    </row>
    <row r="124" spans="1:22">
      <c r="A124" s="2" t="s">
        <v>476</v>
      </c>
      <c r="B124" s="2" t="s">
        <v>477</v>
      </c>
      <c r="C124" s="2" t="s">
        <v>478</v>
      </c>
      <c r="D124" s="2" t="s">
        <v>479</v>
      </c>
      <c r="E124" s="16">
        <v>16.8</v>
      </c>
      <c r="F124" s="16">
        <v>11.97</v>
      </c>
      <c r="G124" s="16">
        <v>11.59</v>
      </c>
      <c r="H124" s="33">
        <f t="shared" si="21"/>
        <v>89.660506533052512</v>
      </c>
      <c r="I124" s="26">
        <f t="shared" si="42"/>
        <v>89.660506533052512</v>
      </c>
      <c r="J124" s="9">
        <f t="shared" si="43"/>
        <v>6.9049122885396299</v>
      </c>
      <c r="K124" s="9">
        <f t="shared" si="44"/>
        <v>0.15694606688115695</v>
      </c>
      <c r="L124" s="9">
        <f t="shared" si="31"/>
        <v>36.93302803631456</v>
      </c>
      <c r="M124" s="9">
        <f t="shared" si="45"/>
        <v>45.665620141317163</v>
      </c>
      <c r="N124" s="9">
        <f t="shared" si="46"/>
        <v>0</v>
      </c>
      <c r="O124" s="12">
        <f t="shared" si="47"/>
        <v>0.38000000000000078</v>
      </c>
      <c r="P124" s="11">
        <f t="shared" si="48"/>
        <v>1.9950000000000001</v>
      </c>
      <c r="Q124" s="12">
        <f t="shared" si="49"/>
        <v>1.2877777777777777</v>
      </c>
      <c r="R124" s="1">
        <f t="shared" si="28"/>
        <v>0</v>
      </c>
      <c r="S124" s="1">
        <f t="shared" si="33"/>
        <v>2.0299999999999994</v>
      </c>
      <c r="T124" s="36">
        <f t="shared" si="50"/>
        <v>6.9355961669362698E-2</v>
      </c>
      <c r="U124" s="31">
        <f t="shared" si="29"/>
        <v>11.659355961669363</v>
      </c>
      <c r="V124" s="40">
        <f t="shared" si="35"/>
        <v>61.92573819114768</v>
      </c>
    </row>
    <row r="125" spans="1:22">
      <c r="A125" s="2" t="s">
        <v>480</v>
      </c>
      <c r="B125" s="2" t="s">
        <v>481</v>
      </c>
      <c r="C125" s="2" t="s">
        <v>482</v>
      </c>
      <c r="D125" s="2" t="s">
        <v>483</v>
      </c>
      <c r="E125" s="16">
        <v>21.1</v>
      </c>
      <c r="F125" s="16">
        <v>10.029999999999999</v>
      </c>
      <c r="G125" s="16">
        <v>11.6</v>
      </c>
      <c r="H125" s="33">
        <f t="shared" si="21"/>
        <v>86.523974543024693</v>
      </c>
      <c r="I125" s="26">
        <f t="shared" si="42"/>
        <v>86.523974543024693</v>
      </c>
      <c r="J125" s="9">
        <f t="shared" si="43"/>
        <v>5.4977500686002738</v>
      </c>
      <c r="K125" s="9">
        <f t="shared" si="44"/>
        <v>2.3365075917487967</v>
      </c>
      <c r="L125" s="9">
        <f t="shared" si="31"/>
        <v>32.808228598536196</v>
      </c>
      <c r="M125" s="9">
        <f t="shared" si="45"/>
        <v>45.881488284139422</v>
      </c>
      <c r="N125" s="9">
        <f t="shared" si="46"/>
        <v>0</v>
      </c>
      <c r="O125" s="12">
        <f t="shared" si="47"/>
        <v>1.5700000000000003</v>
      </c>
      <c r="P125" s="11">
        <f t="shared" si="48"/>
        <v>1.6716666666666666</v>
      </c>
      <c r="Q125" s="12">
        <f t="shared" si="49"/>
        <v>1.2888888888888888</v>
      </c>
      <c r="R125" s="1">
        <f t="shared" si="28"/>
        <v>0</v>
      </c>
      <c r="S125" s="1">
        <f t="shared" si="33"/>
        <v>3.9700000000000006</v>
      </c>
      <c r="T125" s="36">
        <f t="shared" si="50"/>
        <v>6.9355961669362698E-2</v>
      </c>
      <c r="U125" s="31">
        <f t="shared" si="29"/>
        <v>11.669355961669362</v>
      </c>
      <c r="V125" s="40">
        <f t="shared" si="35"/>
        <v>62.211574411472746</v>
      </c>
    </row>
    <row r="126" spans="1:22">
      <c r="A126" s="2" t="s">
        <v>484</v>
      </c>
      <c r="B126" s="2" t="s">
        <v>485</v>
      </c>
      <c r="C126" s="2" t="s">
        <v>486</v>
      </c>
      <c r="D126" s="2" t="s">
        <v>487</v>
      </c>
      <c r="E126" s="16">
        <v>19.399999999999999</v>
      </c>
      <c r="F126" s="16">
        <v>11.39</v>
      </c>
      <c r="G126" s="16">
        <v>11.6</v>
      </c>
      <c r="H126" s="33">
        <f t="shared" si="21"/>
        <v>88.303128616893076</v>
      </c>
      <c r="I126" s="26">
        <f t="shared" si="42"/>
        <v>88.303128616893076</v>
      </c>
      <c r="J126" s="9">
        <f t="shared" si="43"/>
        <v>5.9795116725497834</v>
      </c>
      <c r="K126" s="9">
        <f t="shared" si="44"/>
        <v>4.3964942314692834E-2</v>
      </c>
      <c r="L126" s="9">
        <f t="shared" si="31"/>
        <v>36.398163717889183</v>
      </c>
      <c r="M126" s="9">
        <f t="shared" si="45"/>
        <v>45.881488284139422</v>
      </c>
      <c r="N126" s="9">
        <f t="shared" si="46"/>
        <v>0</v>
      </c>
      <c r="O126" s="12">
        <f t="shared" si="47"/>
        <v>0.20999999999999908</v>
      </c>
      <c r="P126" s="11">
        <f t="shared" si="48"/>
        <v>1.8983333333333334</v>
      </c>
      <c r="Q126" s="12">
        <f t="shared" si="49"/>
        <v>1.2888888888888888</v>
      </c>
      <c r="R126" s="1">
        <f t="shared" si="28"/>
        <v>0</v>
      </c>
      <c r="S126" s="1">
        <f t="shared" si="33"/>
        <v>2.6099999999999994</v>
      </c>
      <c r="T126" s="36">
        <f t="shared" si="50"/>
        <v>6.9355961669362698E-2</v>
      </c>
      <c r="U126" s="31">
        <f t="shared" si="29"/>
        <v>11.669355961669362</v>
      </c>
      <c r="V126" s="40">
        <f t="shared" si="35"/>
        <v>62.211574411472746</v>
      </c>
    </row>
    <row r="127" spans="1:22">
      <c r="A127" s="2" t="s">
        <v>488</v>
      </c>
      <c r="B127" s="2" t="s">
        <v>489</v>
      </c>
      <c r="C127" s="2" t="s">
        <v>490</v>
      </c>
      <c r="D127" s="2" t="s">
        <v>491</v>
      </c>
      <c r="E127" s="16">
        <v>20.5</v>
      </c>
      <c r="F127" s="16">
        <v>9.9</v>
      </c>
      <c r="G127" s="16">
        <v>11.6</v>
      </c>
      <c r="H127" s="33">
        <f t="shared" si="21"/>
        <v>86.68592997858255</v>
      </c>
      <c r="I127" s="26">
        <f t="shared" si="42"/>
        <v>86.68592997858255</v>
      </c>
      <c r="J127" s="9">
        <f t="shared" si="43"/>
        <v>5.658659826705648</v>
      </c>
      <c r="K127" s="9">
        <f t="shared" si="44"/>
        <v>2.787320261494953</v>
      </c>
      <c r="L127" s="9">
        <f t="shared" si="31"/>
        <v>32.358461606242535</v>
      </c>
      <c r="M127" s="9">
        <f t="shared" si="45"/>
        <v>45.881488284139422</v>
      </c>
      <c r="N127" s="9">
        <f t="shared" si="46"/>
        <v>0</v>
      </c>
      <c r="O127" s="12">
        <f t="shared" si="47"/>
        <v>1.6999999999999993</v>
      </c>
      <c r="P127" s="11">
        <f t="shared" si="48"/>
        <v>1.6500000000000001</v>
      </c>
      <c r="Q127" s="12">
        <f t="shared" si="49"/>
        <v>1.2888888888888888</v>
      </c>
      <c r="R127" s="1">
        <f t="shared" si="28"/>
        <v>0</v>
      </c>
      <c r="S127" s="1">
        <f t="shared" si="33"/>
        <v>4.0999999999999996</v>
      </c>
      <c r="T127" s="36">
        <f t="shared" si="50"/>
        <v>6.9355961669362698E-2</v>
      </c>
      <c r="U127" s="31">
        <f t="shared" si="29"/>
        <v>11.669355961669362</v>
      </c>
      <c r="V127" s="40">
        <f t="shared" si="35"/>
        <v>62.211574411472746</v>
      </c>
    </row>
    <row r="128" spans="1:22">
      <c r="A128" s="2" t="s">
        <v>492</v>
      </c>
      <c r="B128" s="2" t="s">
        <v>493</v>
      </c>
      <c r="C128" s="2" t="s">
        <v>494</v>
      </c>
      <c r="D128" s="2" t="s">
        <v>495</v>
      </c>
      <c r="E128" s="16">
        <v>22.7</v>
      </c>
      <c r="F128" s="16">
        <v>6.7</v>
      </c>
      <c r="G128" s="16">
        <v>11.6</v>
      </c>
      <c r="H128" s="33">
        <f t="shared" si="21"/>
        <v>92.054941890127225</v>
      </c>
      <c r="I128" s="26">
        <f t="shared" si="42"/>
        <v>92.054941890127225</v>
      </c>
      <c r="J128" s="9">
        <f t="shared" si="43"/>
        <v>5.110243455835497</v>
      </c>
      <c r="K128" s="9">
        <f t="shared" si="44"/>
        <v>21.782309496098872</v>
      </c>
      <c r="L128" s="9">
        <f t="shared" si="31"/>
        <v>19.280900654053436</v>
      </c>
      <c r="M128" s="9">
        <f t="shared" si="45"/>
        <v>45.881488284139422</v>
      </c>
      <c r="N128" s="9">
        <f t="shared" si="46"/>
        <v>0</v>
      </c>
      <c r="O128" s="12">
        <f t="shared" si="47"/>
        <v>4.8999999999999995</v>
      </c>
      <c r="P128" s="11">
        <f t="shared" si="48"/>
        <v>1.1166666666666667</v>
      </c>
      <c r="Q128" s="12">
        <f t="shared" si="49"/>
        <v>1.2888888888888888</v>
      </c>
      <c r="R128" s="1">
        <f t="shared" si="28"/>
        <v>0</v>
      </c>
      <c r="S128" s="1">
        <f t="shared" si="33"/>
        <v>7.3</v>
      </c>
      <c r="T128" s="36">
        <f t="shared" si="50"/>
        <v>6.9355961669362698E-2</v>
      </c>
      <c r="U128" s="31">
        <f t="shared" si="29"/>
        <v>11.669355961669362</v>
      </c>
      <c r="V128" s="40">
        <f t="shared" si="35"/>
        <v>62.211574411472746</v>
      </c>
    </row>
    <row r="129" spans="1:22">
      <c r="A129" s="2" t="s">
        <v>496</v>
      </c>
      <c r="B129" s="2" t="s">
        <v>497</v>
      </c>
      <c r="C129" s="2" t="s">
        <v>498</v>
      </c>
      <c r="D129" s="2" t="s">
        <v>499</v>
      </c>
      <c r="E129" s="16">
        <v>24.4</v>
      </c>
      <c r="F129" s="16">
        <v>11.18</v>
      </c>
      <c r="G129" s="16">
        <v>11.67</v>
      </c>
      <c r="H129" s="33">
        <f t="shared" si="21"/>
        <v>88.382656251218663</v>
      </c>
      <c r="I129" s="26">
        <f t="shared" si="42"/>
        <v>88.382656251218663</v>
      </c>
      <c r="J129" s="9">
        <f t="shared" si="43"/>
        <v>4.7542019035846632</v>
      </c>
      <c r="K129" s="9">
        <f t="shared" si="44"/>
        <v>0.20858139967276951</v>
      </c>
      <c r="L129" s="9">
        <f t="shared" si="31"/>
        <v>36.01878855483551</v>
      </c>
      <c r="M129" s="9">
        <f t="shared" si="45"/>
        <v>47.401084393125728</v>
      </c>
      <c r="N129" s="9">
        <f t="shared" si="46"/>
        <v>0</v>
      </c>
      <c r="O129" s="12">
        <f t="shared" si="47"/>
        <v>0.49000000000000021</v>
      </c>
      <c r="P129" s="11">
        <f t="shared" si="48"/>
        <v>1.8633333333333333</v>
      </c>
      <c r="Q129" s="12">
        <f t="shared" si="49"/>
        <v>1.2966666666666666</v>
      </c>
      <c r="R129" s="1">
        <f t="shared" si="28"/>
        <v>0</v>
      </c>
      <c r="S129" s="1">
        <f t="shared" si="33"/>
        <v>2.8200000000000003</v>
      </c>
      <c r="T129" s="36">
        <f t="shared" si="50"/>
        <v>6.9355961669362698E-2</v>
      </c>
      <c r="U129" s="31">
        <f t="shared" si="29"/>
        <v>11.739355961669363</v>
      </c>
      <c r="V129" s="40">
        <f t="shared" si="35"/>
        <v>64.249713043822439</v>
      </c>
    </row>
    <row r="130" spans="1:22">
      <c r="A130" s="2" t="s">
        <v>500</v>
      </c>
      <c r="B130" s="2" t="s">
        <v>501</v>
      </c>
      <c r="C130" s="2" t="s">
        <v>502</v>
      </c>
      <c r="D130" s="2" t="s">
        <v>503</v>
      </c>
      <c r="E130" s="16">
        <v>21.7</v>
      </c>
      <c r="F130" s="16">
        <v>6.29</v>
      </c>
      <c r="G130" s="16">
        <v>11.68</v>
      </c>
      <c r="H130" s="33">
        <f t="shared" si="21"/>
        <v>97.614805934621529</v>
      </c>
      <c r="I130" s="26">
        <f t="shared" si="42"/>
        <v>97.614805934621529</v>
      </c>
      <c r="J130" s="9">
        <f t="shared" si="43"/>
        <v>5.3457385459661655</v>
      </c>
      <c r="K130" s="9">
        <f t="shared" si="44"/>
        <v>27.079159835689747</v>
      </c>
      <c r="L130" s="9">
        <f t="shared" si="31"/>
        <v>17.570520985808926</v>
      </c>
      <c r="M130" s="9">
        <f t="shared" si="45"/>
        <v>47.619386567156695</v>
      </c>
      <c r="N130" s="9">
        <f t="shared" si="46"/>
        <v>0</v>
      </c>
      <c r="O130" s="12">
        <f t="shared" si="47"/>
        <v>5.39</v>
      </c>
      <c r="P130" s="11">
        <f t="shared" si="48"/>
        <v>1.0483333333333333</v>
      </c>
      <c r="Q130" s="12">
        <f t="shared" si="49"/>
        <v>1.2977777777777777</v>
      </c>
      <c r="R130" s="1">
        <f t="shared" si="28"/>
        <v>0</v>
      </c>
      <c r="S130" s="1">
        <f t="shared" si="33"/>
        <v>7.71</v>
      </c>
      <c r="T130" s="36">
        <f t="shared" si="50"/>
        <v>6.9355961669362698E-2</v>
      </c>
      <c r="U130" s="31">
        <f t="shared" si="29"/>
        <v>11.749355961669362</v>
      </c>
      <c r="V130" s="40">
        <f t="shared" si="35"/>
        <v>64.546276244679817</v>
      </c>
    </row>
    <row r="131" spans="1:22">
      <c r="A131" s="2" t="s">
        <v>504</v>
      </c>
      <c r="B131" s="2" t="s">
        <v>505</v>
      </c>
      <c r="C131" s="2" t="s">
        <v>506</v>
      </c>
      <c r="D131" s="2" t="s">
        <v>507</v>
      </c>
      <c r="E131" s="16">
        <v>18.5</v>
      </c>
      <c r="F131" s="16">
        <v>10.02</v>
      </c>
      <c r="G131" s="16">
        <v>11.68</v>
      </c>
      <c r="H131" s="33">
        <f t="shared" si="21"/>
        <v>89.49052895377821</v>
      </c>
      <c r="I131" s="26">
        <f t="shared" si="42"/>
        <v>89.49052895377821</v>
      </c>
      <c r="J131" s="9">
        <f t="shared" si="43"/>
        <v>6.2704068349981501</v>
      </c>
      <c r="K131" s="9">
        <f t="shared" si="44"/>
        <v>2.8266279574754667</v>
      </c>
      <c r="L131" s="9">
        <f t="shared" si="31"/>
        <v>32.774107594147893</v>
      </c>
      <c r="M131" s="9">
        <f t="shared" si="45"/>
        <v>47.619386567156695</v>
      </c>
      <c r="N131" s="9">
        <f t="shared" si="46"/>
        <v>0</v>
      </c>
      <c r="O131" s="12">
        <f t="shared" si="47"/>
        <v>1.6600000000000001</v>
      </c>
      <c r="P131" s="11">
        <f t="shared" si="48"/>
        <v>1.67</v>
      </c>
      <c r="Q131" s="12">
        <f t="shared" si="49"/>
        <v>1.2977777777777777</v>
      </c>
      <c r="R131" s="1">
        <f t="shared" si="28"/>
        <v>0</v>
      </c>
      <c r="S131" s="1">
        <f t="shared" si="33"/>
        <v>3.9800000000000004</v>
      </c>
      <c r="T131" s="36">
        <f t="shared" si="50"/>
        <v>6.9355961669362698E-2</v>
      </c>
      <c r="U131" s="31">
        <f t="shared" si="29"/>
        <v>11.749355961669362</v>
      </c>
      <c r="V131" s="40">
        <f t="shared" si="35"/>
        <v>64.546276244679817</v>
      </c>
    </row>
    <row r="132" spans="1:22">
      <c r="A132" s="2" t="s">
        <v>508</v>
      </c>
      <c r="B132" s="2" t="s">
        <v>509</v>
      </c>
      <c r="C132" s="2" t="s">
        <v>510</v>
      </c>
      <c r="D132" s="2" t="s">
        <v>511</v>
      </c>
      <c r="E132" s="16">
        <v>15.5</v>
      </c>
      <c r="F132" s="16">
        <v>11.16</v>
      </c>
      <c r="G132" s="16">
        <v>11.7</v>
      </c>
      <c r="H132" s="33">
        <f t="shared" si="21"/>
        <v>91.852019567348819</v>
      </c>
      <c r="I132" s="26">
        <f t="shared" si="42"/>
        <v>91.852019567348819</v>
      </c>
      <c r="J132" s="9">
        <f t="shared" si="43"/>
        <v>7.4840339643526308</v>
      </c>
      <c r="K132" s="9">
        <f t="shared" si="44"/>
        <v>0.33263536989476922</v>
      </c>
      <c r="L132" s="9">
        <f t="shared" si="31"/>
        <v>35.978446556179527</v>
      </c>
      <c r="M132" s="9">
        <f t="shared" si="45"/>
        <v>48.056903676921891</v>
      </c>
      <c r="N132" s="9">
        <f t="shared" si="46"/>
        <v>0</v>
      </c>
      <c r="O132" s="12">
        <f t="shared" si="47"/>
        <v>0.53999999999999915</v>
      </c>
      <c r="P132" s="11">
        <f t="shared" si="48"/>
        <v>1.86</v>
      </c>
      <c r="Q132" s="12">
        <f t="shared" si="49"/>
        <v>1.2999999999999998</v>
      </c>
      <c r="R132" s="1">
        <f t="shared" si="28"/>
        <v>0</v>
      </c>
      <c r="S132" s="1">
        <f t="shared" si="33"/>
        <v>2.84</v>
      </c>
      <c r="T132" s="36">
        <f t="shared" si="50"/>
        <v>6.9355961669362698E-2</v>
      </c>
      <c r="U132" s="31">
        <f t="shared" si="29"/>
        <v>11.769355961669362</v>
      </c>
      <c r="V132" s="40">
        <f t="shared" si="35"/>
        <v>65.143515585445996</v>
      </c>
    </row>
    <row r="133" spans="1:22">
      <c r="A133" s="2" t="s">
        <v>512</v>
      </c>
      <c r="B133" s="2" t="s">
        <v>513</v>
      </c>
      <c r="C133" s="2" t="s">
        <v>514</v>
      </c>
      <c r="D133" s="2" t="s">
        <v>515</v>
      </c>
      <c r="E133" s="16">
        <v>16</v>
      </c>
      <c r="F133" s="16">
        <v>11.66</v>
      </c>
      <c r="G133" s="16">
        <v>11.7</v>
      </c>
      <c r="H133" s="33">
        <f t="shared" ref="H133:H196" si="51">IF(I133&lt;V133,V133,I133)</f>
        <v>92.06108190629925</v>
      </c>
      <c r="I133" s="26">
        <f t="shared" si="42"/>
        <v>92.06108190629925</v>
      </c>
      <c r="J133" s="9">
        <f t="shared" si="43"/>
        <v>7.2501579029666114</v>
      </c>
      <c r="K133" s="9">
        <f t="shared" si="44"/>
        <v>1.7907029049168311E-3</v>
      </c>
      <c r="L133" s="9">
        <f t="shared" si="31"/>
        <v>36.752229623505841</v>
      </c>
      <c r="M133" s="9">
        <f t="shared" si="45"/>
        <v>48.056903676921891</v>
      </c>
      <c r="N133" s="9">
        <f t="shared" si="46"/>
        <v>0</v>
      </c>
      <c r="O133" s="12">
        <f t="shared" si="47"/>
        <v>3.9999999999999147E-2</v>
      </c>
      <c r="P133" s="11">
        <f t="shared" si="48"/>
        <v>1.9433333333333334</v>
      </c>
      <c r="Q133" s="12">
        <f t="shared" si="49"/>
        <v>1.2999999999999998</v>
      </c>
      <c r="R133" s="1">
        <f t="shared" ref="R133:R196" si="52">IF(E133&lt;=14-F133,1,0)</f>
        <v>0</v>
      </c>
      <c r="S133" s="1">
        <f t="shared" si="33"/>
        <v>2.34</v>
      </c>
      <c r="T133" s="36">
        <f t="shared" si="50"/>
        <v>6.9355961669362698E-2</v>
      </c>
      <c r="U133" s="31">
        <f t="shared" ref="U133:U196" si="53">G133+T133</f>
        <v>11.769355961669362</v>
      </c>
      <c r="V133" s="40">
        <f t="shared" si="35"/>
        <v>65.143515585445996</v>
      </c>
    </row>
    <row r="134" spans="1:22">
      <c r="A134" s="2" t="s">
        <v>516</v>
      </c>
      <c r="B134" s="2" t="s">
        <v>517</v>
      </c>
      <c r="C134" s="2" t="s">
        <v>518</v>
      </c>
      <c r="D134" s="2" t="s">
        <v>519</v>
      </c>
      <c r="E134" s="16">
        <v>20.100000000000001</v>
      </c>
      <c r="F134" s="16">
        <v>11.6</v>
      </c>
      <c r="G134" s="16">
        <v>11.7</v>
      </c>
      <c r="H134" s="33">
        <f t="shared" si="51"/>
        <v>90.525840556362226</v>
      </c>
      <c r="I134" s="26">
        <f t="shared" si="42"/>
        <v>90.525840556362226</v>
      </c>
      <c r="J134" s="9">
        <f t="shared" si="43"/>
        <v>5.7712699725107353</v>
      </c>
      <c r="K134" s="9">
        <f t="shared" si="44"/>
        <v>9.759474425251987E-3</v>
      </c>
      <c r="L134" s="9">
        <f t="shared" ref="L134:L197" si="54">1.04237828050238*P134*(F134+2.34973310685883)/(R134*E134^-0.304107132838227+(1-R134)*(S134)^-0.304107132838227)</f>
        <v>36.687907432504339</v>
      </c>
      <c r="M134" s="9">
        <f t="shared" si="45"/>
        <v>48.056903676921891</v>
      </c>
      <c r="N134" s="9">
        <f t="shared" si="46"/>
        <v>0</v>
      </c>
      <c r="O134" s="12">
        <f t="shared" si="47"/>
        <v>9.9999999999999645E-2</v>
      </c>
      <c r="P134" s="11">
        <f t="shared" si="48"/>
        <v>1.9333333333333333</v>
      </c>
      <c r="Q134" s="12">
        <f t="shared" si="49"/>
        <v>1.2999999999999998</v>
      </c>
      <c r="R134" s="1">
        <f t="shared" si="52"/>
        <v>0</v>
      </c>
      <c r="S134" s="1">
        <f t="shared" ref="S134:S197" si="55">IF(F134&lt;12.5,14-F134,1.5)</f>
        <v>2.4000000000000004</v>
      </c>
      <c r="T134" s="36">
        <f t="shared" si="50"/>
        <v>6.9355961669362698E-2</v>
      </c>
      <c r="U134" s="31">
        <f t="shared" si="53"/>
        <v>11.769355961669362</v>
      </c>
      <c r="V134" s="40">
        <f t="shared" ref="V134:V197" si="56">SQRT(10^((U134-2.7)/5)^2/(1-$B$2^2))</f>
        <v>65.143515585445996</v>
      </c>
    </row>
    <row r="135" spans="1:22">
      <c r="A135" s="2" t="s">
        <v>520</v>
      </c>
      <c r="B135" s="2" t="s">
        <v>521</v>
      </c>
      <c r="C135" s="2" t="s">
        <v>522</v>
      </c>
      <c r="D135" s="2" t="s">
        <v>523</v>
      </c>
      <c r="E135" s="16">
        <v>18.600000000000001</v>
      </c>
      <c r="F135" s="16">
        <v>11.48</v>
      </c>
      <c r="G135" s="16">
        <v>11.7</v>
      </c>
      <c r="H135" s="33">
        <f t="shared" si="51"/>
        <v>90.877197957556447</v>
      </c>
      <c r="I135" s="26">
        <f t="shared" si="42"/>
        <v>90.877197957556447</v>
      </c>
      <c r="J135" s="9">
        <f t="shared" si="43"/>
        <v>6.2366949702938586</v>
      </c>
      <c r="K135" s="9">
        <f t="shared" si="44"/>
        <v>4.9487140783659907E-2</v>
      </c>
      <c r="L135" s="9">
        <f t="shared" si="54"/>
        <v>36.534112169557041</v>
      </c>
      <c r="M135" s="9">
        <f t="shared" si="45"/>
        <v>48.056903676921891</v>
      </c>
      <c r="N135" s="9">
        <f t="shared" si="46"/>
        <v>0</v>
      </c>
      <c r="O135" s="12">
        <f t="shared" si="47"/>
        <v>0.21999999999999886</v>
      </c>
      <c r="P135" s="11">
        <f t="shared" si="48"/>
        <v>1.9133333333333333</v>
      </c>
      <c r="Q135" s="12">
        <f t="shared" si="49"/>
        <v>1.2999999999999998</v>
      </c>
      <c r="R135" s="1">
        <f t="shared" si="52"/>
        <v>0</v>
      </c>
      <c r="S135" s="1">
        <f t="shared" si="55"/>
        <v>2.5199999999999996</v>
      </c>
      <c r="T135" s="36">
        <f t="shared" si="50"/>
        <v>6.9355961669362698E-2</v>
      </c>
      <c r="U135" s="31">
        <f t="shared" si="53"/>
        <v>11.769355961669362</v>
      </c>
      <c r="V135" s="40">
        <f t="shared" si="56"/>
        <v>65.143515585445996</v>
      </c>
    </row>
    <row r="136" spans="1:22">
      <c r="A136" s="2" t="s">
        <v>524</v>
      </c>
      <c r="B136" s="2" t="s">
        <v>525</v>
      </c>
      <c r="C136" s="2" t="s">
        <v>526</v>
      </c>
      <c r="D136" s="2" t="s">
        <v>527</v>
      </c>
      <c r="E136" s="16">
        <v>18.899999999999999</v>
      </c>
      <c r="F136" s="16">
        <v>10.9</v>
      </c>
      <c r="G136" s="16">
        <v>11.7</v>
      </c>
      <c r="H136" s="33">
        <f t="shared" si="51"/>
        <v>90.237105004382045</v>
      </c>
      <c r="I136" s="26">
        <f t="shared" si="42"/>
        <v>90.237105004382045</v>
      </c>
      <c r="J136" s="9">
        <f t="shared" si="43"/>
        <v>6.1376998120352271</v>
      </c>
      <c r="K136" s="9">
        <f t="shared" si="44"/>
        <v>0.64812004095016906</v>
      </c>
      <c r="L136" s="9">
        <f t="shared" si="54"/>
        <v>35.394381474474756</v>
      </c>
      <c r="M136" s="9">
        <f t="shared" si="45"/>
        <v>48.056903676921891</v>
      </c>
      <c r="N136" s="9">
        <f t="shared" si="46"/>
        <v>0</v>
      </c>
      <c r="O136" s="12">
        <f t="shared" si="47"/>
        <v>0.79999999999999893</v>
      </c>
      <c r="P136" s="11">
        <f t="shared" si="48"/>
        <v>1.8166666666666667</v>
      </c>
      <c r="Q136" s="12">
        <f t="shared" si="49"/>
        <v>1.2999999999999998</v>
      </c>
      <c r="R136" s="1">
        <f t="shared" si="52"/>
        <v>0</v>
      </c>
      <c r="S136" s="1">
        <f t="shared" si="55"/>
        <v>3.0999999999999996</v>
      </c>
      <c r="T136" s="36">
        <f t="shared" si="50"/>
        <v>6.9355961669362698E-2</v>
      </c>
      <c r="U136" s="31">
        <f t="shared" si="53"/>
        <v>11.769355961669362</v>
      </c>
      <c r="V136" s="40">
        <f t="shared" si="56"/>
        <v>65.143515585445996</v>
      </c>
    </row>
    <row r="137" spans="1:22">
      <c r="A137" s="2" t="s">
        <v>226</v>
      </c>
      <c r="B137" s="2" t="s">
        <v>528</v>
      </c>
      <c r="C137" s="2" t="s">
        <v>228</v>
      </c>
      <c r="D137" s="2" t="s">
        <v>229</v>
      </c>
      <c r="E137" s="16">
        <v>38.1</v>
      </c>
      <c r="F137" s="16">
        <v>9.5299999999999994</v>
      </c>
      <c r="G137" s="16">
        <v>11.73</v>
      </c>
      <c r="H137" s="33">
        <f t="shared" si="51"/>
        <v>85.990356524386641</v>
      </c>
      <c r="I137" s="26">
        <f t="shared" si="42"/>
        <v>85.990356524386641</v>
      </c>
      <c r="J137" s="9">
        <f t="shared" si="43"/>
        <v>3.0446857335292856</v>
      </c>
      <c r="K137" s="9">
        <f t="shared" si="44"/>
        <v>3.2177047813779032</v>
      </c>
      <c r="L137" s="9">
        <f t="shared" si="54"/>
        <v>31.012504763651556</v>
      </c>
      <c r="M137" s="9">
        <f t="shared" si="45"/>
        <v>48.715461245827889</v>
      </c>
      <c r="N137" s="9">
        <f t="shared" si="46"/>
        <v>0</v>
      </c>
      <c r="O137" s="12">
        <f t="shared" si="47"/>
        <v>2.2000000000000011</v>
      </c>
      <c r="P137" s="11">
        <f t="shared" si="48"/>
        <v>1.5883333333333332</v>
      </c>
      <c r="Q137" s="12">
        <f t="shared" si="49"/>
        <v>1.3033333333333335</v>
      </c>
      <c r="R137" s="1">
        <f t="shared" si="52"/>
        <v>0</v>
      </c>
      <c r="S137" s="1">
        <f t="shared" si="55"/>
        <v>4.4700000000000006</v>
      </c>
      <c r="T137" s="36">
        <f t="shared" si="50"/>
        <v>6.9355961669362698E-2</v>
      </c>
      <c r="U137" s="31">
        <f t="shared" si="53"/>
        <v>11.799355961669363</v>
      </c>
      <c r="V137" s="40">
        <f t="shared" si="56"/>
        <v>66.049752158998558</v>
      </c>
    </row>
    <row r="138" spans="1:22">
      <c r="A138" s="2" t="s">
        <v>226</v>
      </c>
      <c r="B138" s="2" t="s">
        <v>528</v>
      </c>
      <c r="C138" s="2" t="s">
        <v>529</v>
      </c>
      <c r="D138" s="2" t="s">
        <v>530</v>
      </c>
      <c r="E138" s="16">
        <v>22.5</v>
      </c>
      <c r="F138" s="16">
        <v>10.94</v>
      </c>
      <c r="G138" s="16">
        <v>11.73</v>
      </c>
      <c r="H138" s="33">
        <f t="shared" si="51"/>
        <v>89.931405201367028</v>
      </c>
      <c r="I138" s="26">
        <f t="shared" si="42"/>
        <v>89.931405201367028</v>
      </c>
      <c r="J138" s="9">
        <f t="shared" si="43"/>
        <v>5.1556678421095903</v>
      </c>
      <c r="K138" s="9">
        <f t="shared" si="44"/>
        <v>0.56921085239907143</v>
      </c>
      <c r="L138" s="9">
        <f t="shared" si="54"/>
        <v>35.491065261030471</v>
      </c>
      <c r="M138" s="9">
        <f t="shared" si="45"/>
        <v>48.715461245827889</v>
      </c>
      <c r="N138" s="9">
        <f t="shared" si="46"/>
        <v>0</v>
      </c>
      <c r="O138" s="12">
        <f t="shared" si="47"/>
        <v>0.79000000000000092</v>
      </c>
      <c r="P138" s="11">
        <f t="shared" si="48"/>
        <v>1.8233333333333333</v>
      </c>
      <c r="Q138" s="12">
        <f t="shared" si="49"/>
        <v>1.3033333333333335</v>
      </c>
      <c r="R138" s="1">
        <f t="shared" si="52"/>
        <v>0</v>
      </c>
      <c r="S138" s="1">
        <f t="shared" si="55"/>
        <v>3.0600000000000005</v>
      </c>
      <c r="T138" s="36">
        <f t="shared" si="50"/>
        <v>6.9355961669362698E-2</v>
      </c>
      <c r="U138" s="31">
        <f t="shared" si="53"/>
        <v>11.799355961669363</v>
      </c>
      <c r="V138" s="40">
        <f t="shared" si="56"/>
        <v>66.049752158998558</v>
      </c>
    </row>
    <row r="139" spans="1:22">
      <c r="A139" s="2" t="s">
        <v>531</v>
      </c>
      <c r="B139" s="2" t="s">
        <v>532</v>
      </c>
      <c r="C139" s="2" t="s">
        <v>533</v>
      </c>
      <c r="D139" s="2" t="s">
        <v>534</v>
      </c>
      <c r="E139" s="16">
        <v>23.3</v>
      </c>
      <c r="F139" s="16">
        <v>11.71</v>
      </c>
      <c r="G139" s="16">
        <v>11.78</v>
      </c>
      <c r="H139" s="33">
        <f t="shared" si="51"/>
        <v>91.601218161675348</v>
      </c>
      <c r="I139" s="26">
        <f t="shared" si="42"/>
        <v>91.601218161675348</v>
      </c>
      <c r="J139" s="9">
        <f t="shared" si="43"/>
        <v>4.9786492037538963</v>
      </c>
      <c r="K139" s="9">
        <f t="shared" si="44"/>
        <v>4.376291136937294E-3</v>
      </c>
      <c r="L139" s="9">
        <f t="shared" si="54"/>
        <v>36.799050394758268</v>
      </c>
      <c r="M139" s="9">
        <f t="shared" si="45"/>
        <v>49.819142272026241</v>
      </c>
      <c r="N139" s="9">
        <f t="shared" si="46"/>
        <v>0</v>
      </c>
      <c r="O139" s="12">
        <f t="shared" si="47"/>
        <v>6.9999999999998508E-2</v>
      </c>
      <c r="P139" s="11">
        <f t="shared" si="48"/>
        <v>1.9516666666666669</v>
      </c>
      <c r="Q139" s="12">
        <f t="shared" si="49"/>
        <v>1.3088888888888888</v>
      </c>
      <c r="R139" s="1">
        <f t="shared" si="52"/>
        <v>0</v>
      </c>
      <c r="S139" s="1">
        <f t="shared" si="55"/>
        <v>2.2899999999999991</v>
      </c>
      <c r="T139" s="36">
        <f t="shared" si="50"/>
        <v>6.9355961669362698E-2</v>
      </c>
      <c r="U139" s="31">
        <f t="shared" si="53"/>
        <v>11.849355961669362</v>
      </c>
      <c r="V139" s="40">
        <f t="shared" si="56"/>
        <v>67.588248526183776</v>
      </c>
    </row>
    <row r="140" spans="1:22">
      <c r="A140" s="2" t="s">
        <v>535</v>
      </c>
      <c r="B140" s="2" t="s">
        <v>536</v>
      </c>
      <c r="C140" s="2" t="s">
        <v>537</v>
      </c>
      <c r="D140" s="2" t="s">
        <v>538</v>
      </c>
      <c r="E140" s="16">
        <v>16.5</v>
      </c>
      <c r="F140" s="16">
        <v>11.54</v>
      </c>
      <c r="G140" s="16">
        <v>11.79</v>
      </c>
      <c r="H140" s="33">
        <f t="shared" si="51"/>
        <v>93.75499474040744</v>
      </c>
      <c r="I140" s="26">
        <f t="shared" si="42"/>
        <v>93.75499474040744</v>
      </c>
      <c r="J140" s="9">
        <f t="shared" si="43"/>
        <v>7.0304561483312593</v>
      </c>
      <c r="K140" s="9">
        <f t="shared" si="44"/>
        <v>6.8669035839214118E-2</v>
      </c>
      <c r="L140" s="9">
        <f t="shared" si="54"/>
        <v>36.615078317267788</v>
      </c>
      <c r="M140" s="9">
        <f t="shared" si="45"/>
        <v>50.040791238969177</v>
      </c>
      <c r="N140" s="9">
        <f t="shared" si="46"/>
        <v>0</v>
      </c>
      <c r="O140" s="12">
        <f t="shared" si="47"/>
        <v>0.25</v>
      </c>
      <c r="P140" s="11">
        <f t="shared" si="48"/>
        <v>1.9233333333333331</v>
      </c>
      <c r="Q140" s="12">
        <f t="shared" si="49"/>
        <v>1.3099999999999998</v>
      </c>
      <c r="R140" s="1">
        <f t="shared" si="52"/>
        <v>0</v>
      </c>
      <c r="S140" s="1">
        <f t="shared" si="55"/>
        <v>2.4600000000000009</v>
      </c>
      <c r="T140" s="36">
        <f t="shared" si="50"/>
        <v>6.9355961669362698E-2</v>
      </c>
      <c r="U140" s="31">
        <f t="shared" si="53"/>
        <v>11.859355961669362</v>
      </c>
      <c r="V140" s="40">
        <f t="shared" si="56"/>
        <v>67.900221706664723</v>
      </c>
    </row>
    <row r="141" spans="1:22">
      <c r="A141" s="2" t="s">
        <v>539</v>
      </c>
      <c r="B141" s="2" t="s">
        <v>540</v>
      </c>
      <c r="C141" s="2" t="s">
        <v>541</v>
      </c>
      <c r="D141" s="2" t="s">
        <v>542</v>
      </c>
      <c r="E141" s="16">
        <v>26.8</v>
      </c>
      <c r="F141" s="16">
        <v>11.57</v>
      </c>
      <c r="G141" s="16">
        <v>11.8</v>
      </c>
      <c r="H141" s="33">
        <f t="shared" si="51"/>
        <v>91.287168480350147</v>
      </c>
      <c r="I141" s="26">
        <f t="shared" si="42"/>
        <v>91.287168480350147</v>
      </c>
      <c r="J141" s="9">
        <f t="shared" si="43"/>
        <v>4.3284524793830519</v>
      </c>
      <c r="K141" s="9">
        <f t="shared" si="44"/>
        <v>4.343893435185299E-2</v>
      </c>
      <c r="L141" s="9">
        <f t="shared" si="54"/>
        <v>36.652532606802012</v>
      </c>
      <c r="M141" s="9">
        <f t="shared" si="45"/>
        <v>50.262744459813234</v>
      </c>
      <c r="N141" s="9">
        <f t="shared" si="46"/>
        <v>0</v>
      </c>
      <c r="O141" s="12">
        <f t="shared" si="47"/>
        <v>0.23000000000000043</v>
      </c>
      <c r="P141" s="11">
        <f t="shared" si="48"/>
        <v>1.9283333333333335</v>
      </c>
      <c r="Q141" s="12">
        <f t="shared" si="49"/>
        <v>1.3111111111111111</v>
      </c>
      <c r="R141" s="1">
        <f t="shared" si="52"/>
        <v>0</v>
      </c>
      <c r="S141" s="1">
        <f t="shared" si="55"/>
        <v>2.4299999999999997</v>
      </c>
      <c r="T141" s="36">
        <f t="shared" si="50"/>
        <v>6.9355961669362698E-2</v>
      </c>
      <c r="U141" s="31">
        <f t="shared" si="53"/>
        <v>11.869355961669363</v>
      </c>
      <c r="V141" s="40">
        <f t="shared" si="56"/>
        <v>68.213634889919248</v>
      </c>
    </row>
    <row r="142" spans="1:22">
      <c r="A142" s="2" t="s">
        <v>543</v>
      </c>
      <c r="B142" s="2" t="s">
        <v>544</v>
      </c>
      <c r="C142" s="2" t="s">
        <v>545</v>
      </c>
      <c r="D142" s="2" t="s">
        <v>546</v>
      </c>
      <c r="E142" s="16">
        <v>15.7</v>
      </c>
      <c r="F142" s="16">
        <v>11.96</v>
      </c>
      <c r="G142" s="16">
        <v>11.83</v>
      </c>
      <c r="H142" s="33">
        <f t="shared" si="51"/>
        <v>95.26980807696853</v>
      </c>
      <c r="I142" s="26">
        <f t="shared" si="42"/>
        <v>95.26980807696853</v>
      </c>
      <c r="J142" s="9">
        <f t="shared" si="43"/>
        <v>7.3886959520678843</v>
      </c>
      <c r="K142" s="9">
        <f t="shared" si="44"/>
        <v>1.9130444900173744E-2</v>
      </c>
      <c r="L142" s="9">
        <f t="shared" si="54"/>
        <v>36.931552034248625</v>
      </c>
      <c r="M142" s="9">
        <f t="shared" si="45"/>
        <v>50.93042964575185</v>
      </c>
      <c r="N142" s="9">
        <f t="shared" si="46"/>
        <v>0</v>
      </c>
      <c r="O142" s="12">
        <f t="shared" si="47"/>
        <v>0.13000000000000078</v>
      </c>
      <c r="P142" s="11">
        <f t="shared" si="48"/>
        <v>1.9933333333333334</v>
      </c>
      <c r="Q142" s="12">
        <f t="shared" si="49"/>
        <v>1.3144444444444445</v>
      </c>
      <c r="R142" s="1">
        <f t="shared" si="52"/>
        <v>0</v>
      </c>
      <c r="S142" s="1">
        <f t="shared" si="55"/>
        <v>2.0399999999999991</v>
      </c>
      <c r="T142" s="36">
        <f t="shared" si="50"/>
        <v>6.9355961669362698E-2</v>
      </c>
      <c r="U142" s="31">
        <f t="shared" si="53"/>
        <v>11.899355961669363</v>
      </c>
      <c r="V142" s="40">
        <f t="shared" si="56"/>
        <v>69.162581077373858</v>
      </c>
    </row>
    <row r="143" spans="1:22">
      <c r="A143" s="2" t="s">
        <v>349</v>
      </c>
      <c r="B143" s="2" t="s">
        <v>350</v>
      </c>
      <c r="C143" s="2" t="s">
        <v>547</v>
      </c>
      <c r="D143" s="2" t="s">
        <v>548</v>
      </c>
      <c r="E143" s="16">
        <v>34.200000000000003</v>
      </c>
      <c r="F143" s="16">
        <v>11.31</v>
      </c>
      <c r="G143" s="16">
        <v>11.87</v>
      </c>
      <c r="H143" s="33">
        <f t="shared" si="51"/>
        <v>91.702766986686655</v>
      </c>
      <c r="I143" s="26">
        <f t="shared" si="42"/>
        <v>91.702766986686655</v>
      </c>
      <c r="J143" s="9">
        <f t="shared" si="43"/>
        <v>3.3918867382299935</v>
      </c>
      <c r="K143" s="9">
        <f t="shared" si="44"/>
        <v>0.2224493348892162</v>
      </c>
      <c r="L143" s="9">
        <f t="shared" si="54"/>
        <v>36.263494798615547</v>
      </c>
      <c r="M143" s="9">
        <f t="shared" si="45"/>
        <v>51.824936114951896</v>
      </c>
      <c r="N143" s="9">
        <f t="shared" si="46"/>
        <v>0</v>
      </c>
      <c r="O143" s="12">
        <f t="shared" si="47"/>
        <v>0.55999999999999872</v>
      </c>
      <c r="P143" s="11">
        <f t="shared" si="48"/>
        <v>1.885</v>
      </c>
      <c r="Q143" s="12">
        <f t="shared" si="49"/>
        <v>1.3188888888888888</v>
      </c>
      <c r="R143" s="1">
        <f t="shared" si="52"/>
        <v>0</v>
      </c>
      <c r="S143" s="1">
        <f t="shared" si="55"/>
        <v>2.6899999999999995</v>
      </c>
      <c r="T143" s="36">
        <f t="shared" si="50"/>
        <v>6.9355961669362698E-2</v>
      </c>
      <c r="U143" s="31">
        <f t="shared" si="53"/>
        <v>11.939355961669362</v>
      </c>
      <c r="V143" s="40">
        <f t="shared" si="56"/>
        <v>70.4484094610076</v>
      </c>
    </row>
    <row r="144" spans="1:22">
      <c r="A144" s="2" t="s">
        <v>549</v>
      </c>
      <c r="B144" s="2" t="s">
        <v>550</v>
      </c>
      <c r="C144" s="2" t="s">
        <v>551</v>
      </c>
      <c r="D144" s="2" t="s">
        <v>552</v>
      </c>
      <c r="E144" s="16">
        <v>19.8</v>
      </c>
      <c r="F144" s="16">
        <v>11.58</v>
      </c>
      <c r="G144" s="16">
        <v>11.87</v>
      </c>
      <c r="H144" s="33">
        <f t="shared" si="51"/>
        <v>94.4310286130099</v>
      </c>
      <c r="I144" s="26">
        <f t="shared" si="42"/>
        <v>94.4310286130099</v>
      </c>
      <c r="J144" s="9">
        <f t="shared" si="43"/>
        <v>5.8587134569427164</v>
      </c>
      <c r="K144" s="9">
        <f t="shared" si="44"/>
        <v>8.2821486591115351E-2</v>
      </c>
      <c r="L144" s="9">
        <f t="shared" si="54"/>
        <v>36.664557554524173</v>
      </c>
      <c r="M144" s="9">
        <f t="shared" si="45"/>
        <v>51.824936114951896</v>
      </c>
      <c r="N144" s="9">
        <f t="shared" si="46"/>
        <v>0</v>
      </c>
      <c r="O144" s="12">
        <f t="shared" si="47"/>
        <v>0.28999999999999915</v>
      </c>
      <c r="P144" s="11">
        <f t="shared" si="48"/>
        <v>1.93</v>
      </c>
      <c r="Q144" s="12">
        <f t="shared" si="49"/>
        <v>1.3188888888888888</v>
      </c>
      <c r="R144" s="1">
        <f t="shared" si="52"/>
        <v>0</v>
      </c>
      <c r="S144" s="1">
        <f t="shared" si="55"/>
        <v>2.42</v>
      </c>
      <c r="T144" s="36">
        <f t="shared" si="50"/>
        <v>6.9355961669362698E-2</v>
      </c>
      <c r="U144" s="31">
        <f t="shared" si="53"/>
        <v>11.939355961669362</v>
      </c>
      <c r="V144" s="40">
        <f t="shared" si="56"/>
        <v>70.4484094610076</v>
      </c>
    </row>
    <row r="145" spans="1:22">
      <c r="A145" s="2" t="s">
        <v>553</v>
      </c>
      <c r="B145" s="2" t="s">
        <v>554</v>
      </c>
      <c r="C145" s="2" t="s">
        <v>555</v>
      </c>
      <c r="D145" s="2" t="s">
        <v>556</v>
      </c>
      <c r="E145" s="16">
        <v>15</v>
      </c>
      <c r="F145" s="16">
        <v>11.46</v>
      </c>
      <c r="G145" s="16">
        <v>11.88</v>
      </c>
      <c r="H145" s="33">
        <f t="shared" si="51"/>
        <v>96.493425277582418</v>
      </c>
      <c r="I145" s="26">
        <f t="shared" si="42"/>
        <v>96.493425277582418</v>
      </c>
      <c r="J145" s="9">
        <f t="shared" si="43"/>
        <v>7.7335017631643854</v>
      </c>
      <c r="K145" s="9">
        <f t="shared" si="44"/>
        <v>0.20522406052973957</v>
      </c>
      <c r="L145" s="9">
        <f t="shared" si="54"/>
        <v>36.505376086883615</v>
      </c>
      <c r="M145" s="9">
        <f t="shared" si="45"/>
        <v>52.049323367004668</v>
      </c>
      <c r="N145" s="9">
        <f t="shared" si="46"/>
        <v>0</v>
      </c>
      <c r="O145" s="12">
        <f t="shared" si="47"/>
        <v>0.41999999999999993</v>
      </c>
      <c r="P145" s="11">
        <f t="shared" si="48"/>
        <v>1.9100000000000001</v>
      </c>
      <c r="Q145" s="12">
        <f t="shared" si="49"/>
        <v>1.32</v>
      </c>
      <c r="R145" s="1">
        <f t="shared" si="52"/>
        <v>0</v>
      </c>
      <c r="S145" s="1">
        <f t="shared" si="55"/>
        <v>2.5399999999999991</v>
      </c>
      <c r="T145" s="36">
        <f t="shared" si="50"/>
        <v>6.9355961669362698E-2</v>
      </c>
      <c r="U145" s="31">
        <f t="shared" si="53"/>
        <v>11.949355961669363</v>
      </c>
      <c r="V145" s="40">
        <f t="shared" si="56"/>
        <v>70.773584544526145</v>
      </c>
    </row>
    <row r="146" spans="1:22">
      <c r="A146" s="2" t="s">
        <v>557</v>
      </c>
      <c r="B146" s="2" t="s">
        <v>558</v>
      </c>
      <c r="C146" s="2" t="s">
        <v>559</v>
      </c>
      <c r="D146" s="2" t="s">
        <v>560</v>
      </c>
      <c r="E146" s="16">
        <v>24.2</v>
      </c>
      <c r="F146" s="16">
        <v>9.9</v>
      </c>
      <c r="G146" s="16">
        <v>12</v>
      </c>
      <c r="H146" s="33">
        <f t="shared" si="51"/>
        <v>95.767719477387999</v>
      </c>
      <c r="I146" s="26">
        <f t="shared" si="42"/>
        <v>95.767719477387999</v>
      </c>
      <c r="J146" s="9">
        <f t="shared" si="43"/>
        <v>4.7934928284076772</v>
      </c>
      <c r="K146" s="9">
        <f t="shared" si="44"/>
        <v>3.8500628468153835</v>
      </c>
      <c r="L146" s="9">
        <f t="shared" si="54"/>
        <v>32.358461606242535</v>
      </c>
      <c r="M146" s="9">
        <f t="shared" si="45"/>
        <v>54.765702195922401</v>
      </c>
      <c r="N146" s="9">
        <f t="shared" si="46"/>
        <v>0</v>
      </c>
      <c r="O146" s="12">
        <f t="shared" si="47"/>
        <v>2.0999999999999996</v>
      </c>
      <c r="P146" s="11">
        <f t="shared" si="48"/>
        <v>1.6500000000000001</v>
      </c>
      <c r="Q146" s="12">
        <f t="shared" si="49"/>
        <v>1.3333333333333333</v>
      </c>
      <c r="R146" s="1">
        <f t="shared" si="52"/>
        <v>0</v>
      </c>
      <c r="S146" s="1">
        <f t="shared" si="55"/>
        <v>4.0999999999999996</v>
      </c>
      <c r="T146" s="36">
        <f t="shared" si="50"/>
        <v>6.9355961669362698E-2</v>
      </c>
      <c r="U146" s="31">
        <f t="shared" si="53"/>
        <v>12.069355961669363</v>
      </c>
      <c r="V146" s="40">
        <f t="shared" si="56"/>
        <v>74.794763336468463</v>
      </c>
    </row>
    <row r="147" spans="1:22">
      <c r="A147" s="2" t="s">
        <v>107</v>
      </c>
      <c r="B147" s="2" t="s">
        <v>561</v>
      </c>
      <c r="C147" s="2" t="s">
        <v>109</v>
      </c>
      <c r="D147" s="2" t="s">
        <v>110</v>
      </c>
      <c r="E147" s="16">
        <v>42.7</v>
      </c>
      <c r="F147" s="16">
        <v>7.8</v>
      </c>
      <c r="G147" s="16">
        <v>12</v>
      </c>
      <c r="H147" s="33">
        <f t="shared" si="51"/>
        <v>92.389050624998163</v>
      </c>
      <c r="I147" s="26">
        <f t="shared" si="42"/>
        <v>92.389050624998163</v>
      </c>
      <c r="J147" s="9">
        <f t="shared" si="43"/>
        <v>2.716686802048379</v>
      </c>
      <c r="K147" s="9">
        <f t="shared" si="44"/>
        <v>10.951710282609016</v>
      </c>
      <c r="L147" s="9">
        <f t="shared" si="54"/>
        <v>23.954951344418369</v>
      </c>
      <c r="M147" s="9">
        <f t="shared" si="45"/>
        <v>54.765702195922401</v>
      </c>
      <c r="N147" s="9">
        <f t="shared" si="46"/>
        <v>0</v>
      </c>
      <c r="O147" s="12">
        <f t="shared" si="47"/>
        <v>4.2</v>
      </c>
      <c r="P147" s="11">
        <f t="shared" si="48"/>
        <v>1.3</v>
      </c>
      <c r="Q147" s="12">
        <f t="shared" si="49"/>
        <v>1.3333333333333333</v>
      </c>
      <c r="R147" s="1">
        <f t="shared" si="52"/>
        <v>0</v>
      </c>
      <c r="S147" s="1">
        <f t="shared" si="55"/>
        <v>6.2</v>
      </c>
      <c r="T147" s="36">
        <f t="shared" si="50"/>
        <v>6.9355961669362698E-2</v>
      </c>
      <c r="U147" s="31">
        <f t="shared" si="53"/>
        <v>12.069355961669363</v>
      </c>
      <c r="V147" s="40">
        <f t="shared" si="56"/>
        <v>74.794763336468463</v>
      </c>
    </row>
    <row r="148" spans="1:22">
      <c r="A148" s="2" t="s">
        <v>562</v>
      </c>
      <c r="B148" s="2" t="s">
        <v>563</v>
      </c>
      <c r="C148" s="2" t="s">
        <v>564</v>
      </c>
      <c r="D148" s="2" t="s">
        <v>565</v>
      </c>
      <c r="E148" s="16">
        <v>21.4</v>
      </c>
      <c r="F148" s="16">
        <v>8</v>
      </c>
      <c r="G148" s="16">
        <v>12</v>
      </c>
      <c r="H148" s="33">
        <f t="shared" si="51"/>
        <v>100.02970626524201</v>
      </c>
      <c r="I148" s="26">
        <f t="shared" si="42"/>
        <v>100.02970626524201</v>
      </c>
      <c r="J148" s="9">
        <f t="shared" si="43"/>
        <v>5.4206788059563458</v>
      </c>
      <c r="K148" s="9">
        <f t="shared" si="44"/>
        <v>15.03859055673497</v>
      </c>
      <c r="L148" s="9">
        <f t="shared" si="54"/>
        <v>24.804734706628295</v>
      </c>
      <c r="M148" s="9">
        <f t="shared" si="45"/>
        <v>54.765702195922401</v>
      </c>
      <c r="N148" s="9">
        <f t="shared" si="46"/>
        <v>0</v>
      </c>
      <c r="O148" s="12">
        <f t="shared" si="47"/>
        <v>4</v>
      </c>
      <c r="P148" s="11">
        <f t="shared" si="48"/>
        <v>1.3333333333333333</v>
      </c>
      <c r="Q148" s="12">
        <f t="shared" si="49"/>
        <v>1.3333333333333333</v>
      </c>
      <c r="R148" s="1">
        <f t="shared" si="52"/>
        <v>0</v>
      </c>
      <c r="S148" s="1">
        <f t="shared" si="55"/>
        <v>6</v>
      </c>
      <c r="T148" s="36">
        <f t="shared" si="50"/>
        <v>6.9355961669362698E-2</v>
      </c>
      <c r="U148" s="31">
        <f t="shared" si="53"/>
        <v>12.069355961669363</v>
      </c>
      <c r="V148" s="40">
        <f t="shared" si="56"/>
        <v>74.794763336468463</v>
      </c>
    </row>
    <row r="149" spans="1:22">
      <c r="A149" s="2" t="s">
        <v>566</v>
      </c>
      <c r="B149" s="2" t="s">
        <v>567</v>
      </c>
      <c r="C149" s="2" t="s">
        <v>568</v>
      </c>
      <c r="D149" s="2" t="s">
        <v>569</v>
      </c>
      <c r="E149" s="16">
        <v>18.8</v>
      </c>
      <c r="F149" s="16">
        <v>10.29</v>
      </c>
      <c r="G149" s="16">
        <v>12</v>
      </c>
      <c r="H149" s="33">
        <f t="shared" si="51"/>
        <v>97.571650492886462</v>
      </c>
      <c r="I149" s="26">
        <f t="shared" si="42"/>
        <v>97.571650492886462</v>
      </c>
      <c r="J149" s="9">
        <f t="shared" si="43"/>
        <v>6.1703471514609456</v>
      </c>
      <c r="K149" s="9">
        <f t="shared" si="44"/>
        <v>2.9706453215872264</v>
      </c>
      <c r="L149" s="9">
        <f t="shared" si="54"/>
        <v>33.664955823915889</v>
      </c>
      <c r="M149" s="9">
        <f t="shared" si="45"/>
        <v>54.765702195922401</v>
      </c>
      <c r="N149" s="9">
        <f t="shared" si="46"/>
        <v>0</v>
      </c>
      <c r="O149" s="12">
        <f t="shared" si="47"/>
        <v>1.7100000000000009</v>
      </c>
      <c r="P149" s="11">
        <f t="shared" si="48"/>
        <v>1.7149999999999999</v>
      </c>
      <c r="Q149" s="12">
        <f t="shared" si="49"/>
        <v>1.3333333333333333</v>
      </c>
      <c r="R149" s="1">
        <f t="shared" si="52"/>
        <v>0</v>
      </c>
      <c r="S149" s="1">
        <f t="shared" si="55"/>
        <v>3.7100000000000009</v>
      </c>
      <c r="T149" s="36">
        <f t="shared" si="50"/>
        <v>6.9355961669362698E-2</v>
      </c>
      <c r="U149" s="31">
        <f t="shared" si="53"/>
        <v>12.069355961669363</v>
      </c>
      <c r="V149" s="40">
        <f t="shared" si="56"/>
        <v>74.794763336468463</v>
      </c>
    </row>
    <row r="150" spans="1:22">
      <c r="A150" s="2" t="s">
        <v>570</v>
      </c>
      <c r="B150" s="2" t="s">
        <v>571</v>
      </c>
      <c r="C150" s="2" t="s">
        <v>572</v>
      </c>
      <c r="D150" s="2" t="s">
        <v>573</v>
      </c>
      <c r="E150" s="16">
        <v>16.3</v>
      </c>
      <c r="F150" s="16">
        <v>11.34</v>
      </c>
      <c r="G150" s="16">
        <v>12</v>
      </c>
      <c r="H150" s="33">
        <f t="shared" si="51"/>
        <v>98.680004511254054</v>
      </c>
      <c r="I150" s="26">
        <f t="shared" si="42"/>
        <v>98.680004511254054</v>
      </c>
      <c r="J150" s="9">
        <f t="shared" si="43"/>
        <v>7.1167194139549554</v>
      </c>
      <c r="K150" s="9">
        <f t="shared" si="44"/>
        <v>0.4821123870958362</v>
      </c>
      <c r="L150" s="9">
        <f t="shared" si="54"/>
        <v>36.315470514280854</v>
      </c>
      <c r="M150" s="9">
        <f t="shared" si="45"/>
        <v>54.765702195922401</v>
      </c>
      <c r="N150" s="9">
        <f t="shared" si="46"/>
        <v>0</v>
      </c>
      <c r="O150" s="12">
        <f t="shared" si="47"/>
        <v>0.66000000000000014</v>
      </c>
      <c r="P150" s="11">
        <f t="shared" si="48"/>
        <v>1.89</v>
      </c>
      <c r="Q150" s="12">
        <f t="shared" si="49"/>
        <v>1.3333333333333333</v>
      </c>
      <c r="R150" s="1">
        <f t="shared" si="52"/>
        <v>0</v>
      </c>
      <c r="S150" s="1">
        <f t="shared" si="55"/>
        <v>2.66</v>
      </c>
      <c r="T150" s="36">
        <f t="shared" si="50"/>
        <v>6.9355961669362698E-2</v>
      </c>
      <c r="U150" s="31">
        <f t="shared" si="53"/>
        <v>12.069355961669363</v>
      </c>
      <c r="V150" s="40">
        <f t="shared" si="56"/>
        <v>74.794763336468463</v>
      </c>
    </row>
    <row r="151" spans="1:22">
      <c r="A151" s="2" t="s">
        <v>574</v>
      </c>
      <c r="B151" s="2" t="s">
        <v>575</v>
      </c>
      <c r="C151" s="2" t="s">
        <v>576</v>
      </c>
      <c r="D151" s="2" t="s">
        <v>577</v>
      </c>
      <c r="E151" s="16">
        <v>16.600000000000001</v>
      </c>
      <c r="F151" s="16">
        <v>10.87</v>
      </c>
      <c r="G151" s="16">
        <v>12</v>
      </c>
      <c r="H151" s="33">
        <f t="shared" si="51"/>
        <v>98.47200458218822</v>
      </c>
      <c r="I151" s="26">
        <f t="shared" si="42"/>
        <v>98.47200458218822</v>
      </c>
      <c r="J151" s="9">
        <f t="shared" si="43"/>
        <v>6.9881040028593837</v>
      </c>
      <c r="K151" s="9">
        <f t="shared" si="44"/>
        <v>1.397856206856442</v>
      </c>
      <c r="L151" s="9">
        <f t="shared" si="54"/>
        <v>35.32034217655</v>
      </c>
      <c r="M151" s="9">
        <f t="shared" si="45"/>
        <v>54.765702195922401</v>
      </c>
      <c r="N151" s="9">
        <f t="shared" si="46"/>
        <v>0</v>
      </c>
      <c r="O151" s="12">
        <f t="shared" si="47"/>
        <v>1.1300000000000008</v>
      </c>
      <c r="P151" s="11">
        <f t="shared" si="48"/>
        <v>1.8116666666666665</v>
      </c>
      <c r="Q151" s="12">
        <f t="shared" si="49"/>
        <v>1.3333333333333333</v>
      </c>
      <c r="R151" s="1">
        <f t="shared" si="52"/>
        <v>0</v>
      </c>
      <c r="S151" s="1">
        <f t="shared" si="55"/>
        <v>3.1300000000000008</v>
      </c>
      <c r="T151" s="36">
        <f t="shared" si="50"/>
        <v>6.9355961669362698E-2</v>
      </c>
      <c r="U151" s="31">
        <f t="shared" si="53"/>
        <v>12.069355961669363</v>
      </c>
      <c r="V151" s="40">
        <f t="shared" si="56"/>
        <v>74.794763336468463</v>
      </c>
    </row>
    <row r="152" spans="1:22">
      <c r="A152" s="2" t="s">
        <v>578</v>
      </c>
      <c r="B152" s="2" t="s">
        <v>579</v>
      </c>
      <c r="C152" s="2" t="s">
        <v>580</v>
      </c>
      <c r="D152" s="2" t="s">
        <v>581</v>
      </c>
      <c r="E152" s="16">
        <v>21.2</v>
      </c>
      <c r="F152" s="16">
        <v>11.74</v>
      </c>
      <c r="G152" s="16">
        <v>12</v>
      </c>
      <c r="H152" s="33">
        <f t="shared" si="51"/>
        <v>97.125493597983564</v>
      </c>
      <c r="I152" s="26">
        <f t="shared" si="42"/>
        <v>97.125493597983564</v>
      </c>
      <c r="J152" s="9">
        <f t="shared" si="43"/>
        <v>5.4718172852578197</v>
      </c>
      <c r="K152" s="9">
        <f t="shared" si="44"/>
        <v>6.3897209437065727E-2</v>
      </c>
      <c r="L152" s="9">
        <f t="shared" si="54"/>
        <v>36.824076907366269</v>
      </c>
      <c r="M152" s="9">
        <f t="shared" si="45"/>
        <v>54.765702195922401</v>
      </c>
      <c r="N152" s="9">
        <f t="shared" si="46"/>
        <v>0</v>
      </c>
      <c r="O152" s="12">
        <f t="shared" si="47"/>
        <v>0.25999999999999979</v>
      </c>
      <c r="P152" s="11">
        <f t="shared" si="48"/>
        <v>1.9566666666666668</v>
      </c>
      <c r="Q152" s="12">
        <f t="shared" si="49"/>
        <v>1.3333333333333333</v>
      </c>
      <c r="R152" s="1">
        <f t="shared" si="52"/>
        <v>0</v>
      </c>
      <c r="S152" s="1">
        <f t="shared" si="55"/>
        <v>2.2599999999999998</v>
      </c>
      <c r="T152" s="36">
        <f t="shared" si="50"/>
        <v>6.9355961669362698E-2</v>
      </c>
      <c r="U152" s="31">
        <f t="shared" si="53"/>
        <v>12.069355961669363</v>
      </c>
      <c r="V152" s="40">
        <f t="shared" si="56"/>
        <v>74.794763336468463</v>
      </c>
    </row>
    <row r="153" spans="1:22">
      <c r="A153" s="2" t="s">
        <v>504</v>
      </c>
      <c r="B153" s="2" t="s">
        <v>582</v>
      </c>
      <c r="C153" s="2" t="s">
        <v>583</v>
      </c>
      <c r="D153" s="2" t="s">
        <v>584</v>
      </c>
      <c r="E153" s="16">
        <v>32.700000000000003</v>
      </c>
      <c r="F153" s="16">
        <v>9.02</v>
      </c>
      <c r="G153" s="16">
        <v>12</v>
      </c>
      <c r="H153" s="33">
        <f t="shared" si="51"/>
        <v>93.815408945817282</v>
      </c>
      <c r="I153" s="26">
        <f t="shared" si="42"/>
        <v>93.815408945817282</v>
      </c>
      <c r="J153" s="9">
        <f t="shared" si="43"/>
        <v>3.5474778730111858</v>
      </c>
      <c r="K153" s="9">
        <f t="shared" si="44"/>
        <v>6.4711398673117957</v>
      </c>
      <c r="L153" s="9">
        <f t="shared" si="54"/>
        <v>29.031089009571897</v>
      </c>
      <c r="M153" s="9">
        <f t="shared" si="45"/>
        <v>54.765702195922401</v>
      </c>
      <c r="N153" s="9">
        <f t="shared" si="46"/>
        <v>0</v>
      </c>
      <c r="O153" s="12">
        <f t="shared" si="47"/>
        <v>2.9800000000000004</v>
      </c>
      <c r="P153" s="11">
        <f t="shared" si="48"/>
        <v>1.5033333333333332</v>
      </c>
      <c r="Q153" s="12">
        <f t="shared" si="49"/>
        <v>1.3333333333333333</v>
      </c>
      <c r="R153" s="1">
        <f t="shared" si="52"/>
        <v>0</v>
      </c>
      <c r="S153" s="1">
        <f t="shared" si="55"/>
        <v>4.9800000000000004</v>
      </c>
      <c r="T153" s="36">
        <f t="shared" si="50"/>
        <v>6.9355961669362698E-2</v>
      </c>
      <c r="U153" s="31">
        <f t="shared" si="53"/>
        <v>12.069355961669363</v>
      </c>
      <c r="V153" s="40">
        <f t="shared" si="56"/>
        <v>74.794763336468463</v>
      </c>
    </row>
    <row r="154" spans="1:22">
      <c r="A154" s="2" t="s">
        <v>585</v>
      </c>
      <c r="B154" s="2" t="s">
        <v>586</v>
      </c>
      <c r="C154" s="2" t="s">
        <v>587</v>
      </c>
      <c r="D154" s="2" t="s">
        <v>588</v>
      </c>
      <c r="E154" s="16">
        <v>32.4</v>
      </c>
      <c r="F154" s="16">
        <v>6.17</v>
      </c>
      <c r="G154" s="16">
        <v>12.05</v>
      </c>
      <c r="H154" s="33">
        <f t="shared" si="51"/>
        <v>101.90084125346864</v>
      </c>
      <c r="I154" s="26">
        <f t="shared" si="42"/>
        <v>101.90084125346864</v>
      </c>
      <c r="J154" s="9">
        <f t="shared" si="43"/>
        <v>3.5803248903538822</v>
      </c>
      <c r="K154" s="9">
        <f t="shared" si="44"/>
        <v>25.334120275922114</v>
      </c>
      <c r="L154" s="9">
        <f t="shared" si="54"/>
        <v>17.075938588424901</v>
      </c>
      <c r="M154" s="9">
        <f t="shared" si="45"/>
        <v>55.910457498767741</v>
      </c>
      <c r="N154" s="9">
        <f t="shared" si="46"/>
        <v>0</v>
      </c>
      <c r="O154" s="12">
        <f t="shared" si="47"/>
        <v>5.8800000000000008</v>
      </c>
      <c r="P154" s="11">
        <f t="shared" si="48"/>
        <v>1.0283333333333333</v>
      </c>
      <c r="Q154" s="12">
        <f t="shared" si="49"/>
        <v>1.338888888888889</v>
      </c>
      <c r="R154" s="1">
        <f t="shared" si="52"/>
        <v>0</v>
      </c>
      <c r="S154" s="1">
        <f t="shared" si="55"/>
        <v>7.83</v>
      </c>
      <c r="T154" s="36">
        <f t="shared" si="50"/>
        <v>6.9355961669362698E-2</v>
      </c>
      <c r="U154" s="31">
        <f t="shared" si="53"/>
        <v>12.119355961669363</v>
      </c>
      <c r="V154" s="40">
        <f t="shared" si="56"/>
        <v>76.536957181505713</v>
      </c>
    </row>
    <row r="155" spans="1:22">
      <c r="A155" s="2" t="s">
        <v>585</v>
      </c>
      <c r="B155" s="2" t="s">
        <v>586</v>
      </c>
      <c r="C155" s="2" t="s">
        <v>587</v>
      </c>
      <c r="D155" s="2" t="s">
        <v>589</v>
      </c>
      <c r="E155" s="16">
        <v>34.9</v>
      </c>
      <c r="F155" s="16">
        <v>4.22</v>
      </c>
      <c r="G155" s="16">
        <v>12.05</v>
      </c>
      <c r="H155" s="33">
        <f t="shared" si="51"/>
        <v>102.19746979220514</v>
      </c>
      <c r="I155" s="26">
        <f t="shared" si="42"/>
        <v>102.19746979220514</v>
      </c>
      <c r="J155" s="9">
        <f t="shared" si="43"/>
        <v>3.3238546260018849</v>
      </c>
      <c r="K155" s="9">
        <f t="shared" si="44"/>
        <v>42.963157667435524</v>
      </c>
      <c r="L155" s="9">
        <f t="shared" si="54"/>
        <v>0</v>
      </c>
      <c r="M155" s="9">
        <f t="shared" si="45"/>
        <v>55.910457498767741</v>
      </c>
      <c r="N155" s="9">
        <f t="shared" si="46"/>
        <v>0</v>
      </c>
      <c r="O155" s="12">
        <f t="shared" si="47"/>
        <v>7.830000000000001</v>
      </c>
      <c r="P155" s="11">
        <f t="shared" si="48"/>
        <v>0</v>
      </c>
      <c r="Q155" s="12">
        <f t="shared" si="49"/>
        <v>1.338888888888889</v>
      </c>
      <c r="R155" s="1">
        <f t="shared" si="52"/>
        <v>0</v>
      </c>
      <c r="S155" s="1">
        <f t="shared" si="55"/>
        <v>9.7800000000000011</v>
      </c>
      <c r="T155" s="36">
        <f t="shared" si="50"/>
        <v>6.9355961669362698E-2</v>
      </c>
      <c r="U155" s="31">
        <f t="shared" si="53"/>
        <v>12.119355961669363</v>
      </c>
      <c r="V155" s="40">
        <f t="shared" si="56"/>
        <v>76.536957181505713</v>
      </c>
    </row>
    <row r="156" spans="1:22">
      <c r="A156" s="2" t="s">
        <v>590</v>
      </c>
      <c r="B156" s="2" t="s">
        <v>591</v>
      </c>
      <c r="C156" s="2" t="s">
        <v>592</v>
      </c>
      <c r="D156" s="2" t="s">
        <v>593</v>
      </c>
      <c r="E156" s="16">
        <v>40.200000000000003</v>
      </c>
      <c r="F156" s="16">
        <v>11.08</v>
      </c>
      <c r="G156" s="16">
        <v>12.07</v>
      </c>
      <c r="H156" s="33">
        <f t="shared" si="51"/>
        <v>95.697318596349021</v>
      </c>
      <c r="I156" s="26">
        <f t="shared" si="42"/>
        <v>95.697318596349021</v>
      </c>
      <c r="J156" s="9">
        <f t="shared" si="43"/>
        <v>2.8856349862553676</v>
      </c>
      <c r="K156" s="9">
        <f t="shared" si="44"/>
        <v>0.63093289858300838</v>
      </c>
      <c r="L156" s="9">
        <f t="shared" si="54"/>
        <v>35.810261314297165</v>
      </c>
      <c r="M156" s="9">
        <f t="shared" si="45"/>
        <v>56.370489397213476</v>
      </c>
      <c r="N156" s="9">
        <f t="shared" si="46"/>
        <v>0</v>
      </c>
      <c r="O156" s="12">
        <f t="shared" si="47"/>
        <v>0.99000000000000021</v>
      </c>
      <c r="P156" s="11">
        <f t="shared" si="48"/>
        <v>1.8466666666666667</v>
      </c>
      <c r="Q156" s="12">
        <f t="shared" si="49"/>
        <v>1.3411111111111111</v>
      </c>
      <c r="R156" s="1">
        <f t="shared" si="52"/>
        <v>0</v>
      </c>
      <c r="S156" s="1">
        <f t="shared" si="55"/>
        <v>2.92</v>
      </c>
      <c r="T156" s="36">
        <f t="shared" si="50"/>
        <v>6.9355961669362698E-2</v>
      </c>
      <c r="U156" s="31">
        <f t="shared" si="53"/>
        <v>12.139355961669363</v>
      </c>
      <c r="V156" s="40">
        <f t="shared" si="56"/>
        <v>77.245144926962212</v>
      </c>
    </row>
    <row r="157" spans="1:22">
      <c r="A157" s="2" t="s">
        <v>594</v>
      </c>
      <c r="B157" s="2" t="s">
        <v>595</v>
      </c>
      <c r="C157" s="2" t="s">
        <v>596</v>
      </c>
      <c r="D157" s="2" t="s">
        <v>597</v>
      </c>
      <c r="E157" s="16">
        <v>27.1</v>
      </c>
      <c r="F157" s="16">
        <v>4.8499999999999996</v>
      </c>
      <c r="G157" s="16">
        <v>12.08</v>
      </c>
      <c r="H157" s="33">
        <f t="shared" si="51"/>
        <v>103.51959845380539</v>
      </c>
      <c r="I157" s="26">
        <f t="shared" si="42"/>
        <v>103.51959845380539</v>
      </c>
      <c r="J157" s="9">
        <f t="shared" si="43"/>
        <v>4.2805360312717999</v>
      </c>
      <c r="K157" s="9">
        <f t="shared" si="44"/>
        <v>42.638100695245612</v>
      </c>
      <c r="L157" s="9">
        <f t="shared" si="54"/>
        <v>0</v>
      </c>
      <c r="M157" s="9">
        <f t="shared" si="45"/>
        <v>56.600961727287974</v>
      </c>
      <c r="N157" s="9">
        <f t="shared" si="46"/>
        <v>0</v>
      </c>
      <c r="O157" s="12">
        <f t="shared" si="47"/>
        <v>7.23</v>
      </c>
      <c r="P157" s="11">
        <f t="shared" si="48"/>
        <v>0</v>
      </c>
      <c r="Q157" s="12">
        <f t="shared" si="49"/>
        <v>1.3422222222222222</v>
      </c>
      <c r="R157" s="1">
        <f t="shared" si="52"/>
        <v>0</v>
      </c>
      <c r="S157" s="1">
        <f t="shared" si="55"/>
        <v>9.15</v>
      </c>
      <c r="T157" s="36">
        <f t="shared" si="50"/>
        <v>6.9355961669362698E-2</v>
      </c>
      <c r="U157" s="31">
        <f t="shared" si="53"/>
        <v>12.149355961669363</v>
      </c>
      <c r="V157" s="40">
        <f t="shared" si="56"/>
        <v>77.601692315969203</v>
      </c>
    </row>
    <row r="158" spans="1:22">
      <c r="A158" s="2" t="s">
        <v>598</v>
      </c>
      <c r="B158" s="2" t="s">
        <v>599</v>
      </c>
      <c r="C158" s="2" t="s">
        <v>600</v>
      </c>
      <c r="D158" s="2" t="s">
        <v>601</v>
      </c>
      <c r="E158" s="16">
        <v>34.700000000000003</v>
      </c>
      <c r="F158" s="16">
        <v>6.85</v>
      </c>
      <c r="G158" s="16">
        <v>12.1</v>
      </c>
      <c r="H158" s="33">
        <f t="shared" si="51"/>
        <v>99.700604931439472</v>
      </c>
      <c r="I158" s="26">
        <f t="shared" si="42"/>
        <v>99.700604931439472</v>
      </c>
      <c r="J158" s="9">
        <f t="shared" si="43"/>
        <v>3.3430122895523278</v>
      </c>
      <c r="K158" s="9">
        <f t="shared" si="44"/>
        <v>19.381600625043873</v>
      </c>
      <c r="L158" s="9">
        <f t="shared" si="54"/>
        <v>19.913172867703036</v>
      </c>
      <c r="M158" s="9">
        <f t="shared" si="45"/>
        <v>57.062819149140246</v>
      </c>
      <c r="N158" s="9">
        <f t="shared" si="46"/>
        <v>0</v>
      </c>
      <c r="O158" s="12">
        <f t="shared" si="47"/>
        <v>5.25</v>
      </c>
      <c r="P158" s="11">
        <f t="shared" si="48"/>
        <v>1.1416666666666666</v>
      </c>
      <c r="Q158" s="12">
        <f t="shared" si="49"/>
        <v>1.3444444444444443</v>
      </c>
      <c r="R158" s="1">
        <f t="shared" si="52"/>
        <v>0</v>
      </c>
      <c r="S158" s="1">
        <f t="shared" si="55"/>
        <v>7.15</v>
      </c>
      <c r="T158" s="36">
        <f t="shared" si="50"/>
        <v>6.9355961669362698E-2</v>
      </c>
      <c r="U158" s="31">
        <f t="shared" si="53"/>
        <v>12.169355961669362</v>
      </c>
      <c r="V158" s="40">
        <f t="shared" si="56"/>
        <v>78.319731934326796</v>
      </c>
    </row>
    <row r="159" spans="1:22">
      <c r="A159" s="2" t="s">
        <v>602</v>
      </c>
      <c r="B159" s="2" t="s">
        <v>603</v>
      </c>
      <c r="C159" s="2" t="s">
        <v>604</v>
      </c>
      <c r="D159" s="2" t="s">
        <v>605</v>
      </c>
      <c r="E159" s="16">
        <v>42.6</v>
      </c>
      <c r="F159" s="16">
        <v>9.08</v>
      </c>
      <c r="G159" s="16">
        <v>12.1</v>
      </c>
      <c r="H159" s="33">
        <f t="shared" si="51"/>
        <v>94.726542188161829</v>
      </c>
      <c r="I159" s="26">
        <f t="shared" si="42"/>
        <v>94.726542188161829</v>
      </c>
      <c r="J159" s="9">
        <f t="shared" si="43"/>
        <v>2.7230640011142202</v>
      </c>
      <c r="K159" s="9">
        <f t="shared" si="44"/>
        <v>5.6703326906623648</v>
      </c>
      <c r="L159" s="9">
        <f t="shared" si="54"/>
        <v>29.270326347245003</v>
      </c>
      <c r="M159" s="9">
        <f t="shared" si="45"/>
        <v>57.062819149140246</v>
      </c>
      <c r="N159" s="9">
        <f t="shared" si="46"/>
        <v>0</v>
      </c>
      <c r="O159" s="12">
        <f t="shared" si="47"/>
        <v>3.0199999999999996</v>
      </c>
      <c r="P159" s="11">
        <f t="shared" si="48"/>
        <v>1.5133333333333334</v>
      </c>
      <c r="Q159" s="12">
        <f t="shared" si="49"/>
        <v>1.3444444444444443</v>
      </c>
      <c r="R159" s="1">
        <f t="shared" si="52"/>
        <v>0</v>
      </c>
      <c r="S159" s="1">
        <f t="shared" si="55"/>
        <v>4.92</v>
      </c>
      <c r="T159" s="36">
        <f t="shared" si="50"/>
        <v>6.9355961669362698E-2</v>
      </c>
      <c r="U159" s="31">
        <f t="shared" si="53"/>
        <v>12.169355961669362</v>
      </c>
      <c r="V159" s="40">
        <f t="shared" si="56"/>
        <v>78.319731934326796</v>
      </c>
    </row>
    <row r="160" spans="1:22">
      <c r="A160" s="2" t="s">
        <v>549</v>
      </c>
      <c r="B160" s="2" t="s">
        <v>550</v>
      </c>
      <c r="C160" s="2" t="s">
        <v>551</v>
      </c>
      <c r="D160" s="2" t="s">
        <v>552</v>
      </c>
      <c r="E160" s="16">
        <v>21.4</v>
      </c>
      <c r="F160" s="16">
        <v>11.58</v>
      </c>
      <c r="G160" s="16">
        <v>12.1</v>
      </c>
      <c r="H160" s="33">
        <f t="shared" si="51"/>
        <v>99.402207690029584</v>
      </c>
      <c r="I160" s="26">
        <f t="shared" si="42"/>
        <v>99.402207690029584</v>
      </c>
      <c r="J160" s="9">
        <f t="shared" si="43"/>
        <v>5.4206788059563458</v>
      </c>
      <c r="K160" s="9">
        <f t="shared" si="44"/>
        <v>0.25415218040882059</v>
      </c>
      <c r="L160" s="9">
        <f t="shared" si="54"/>
        <v>36.664557554524173</v>
      </c>
      <c r="M160" s="9">
        <f t="shared" si="45"/>
        <v>57.062819149140246</v>
      </c>
      <c r="N160" s="9">
        <f t="shared" si="46"/>
        <v>0</v>
      </c>
      <c r="O160" s="12">
        <f t="shared" si="47"/>
        <v>0.51999999999999957</v>
      </c>
      <c r="P160" s="11">
        <f t="shared" si="48"/>
        <v>1.93</v>
      </c>
      <c r="Q160" s="12">
        <f t="shared" si="49"/>
        <v>1.3444444444444443</v>
      </c>
      <c r="R160" s="1">
        <f t="shared" si="52"/>
        <v>0</v>
      </c>
      <c r="S160" s="1">
        <f t="shared" si="55"/>
        <v>2.42</v>
      </c>
      <c r="T160" s="36">
        <f t="shared" si="50"/>
        <v>6.9355961669362698E-2</v>
      </c>
      <c r="U160" s="31">
        <f t="shared" si="53"/>
        <v>12.169355961669362</v>
      </c>
      <c r="V160" s="40">
        <f t="shared" si="56"/>
        <v>78.319731934326796</v>
      </c>
    </row>
    <row r="161" spans="1:22">
      <c r="A161" s="2" t="s">
        <v>484</v>
      </c>
      <c r="B161" s="2" t="s">
        <v>485</v>
      </c>
      <c r="C161" s="2" t="s">
        <v>486</v>
      </c>
      <c r="D161" s="2" t="s">
        <v>487</v>
      </c>
      <c r="E161" s="16">
        <v>15.5</v>
      </c>
      <c r="F161" s="16">
        <v>11.39</v>
      </c>
      <c r="G161" s="16">
        <v>12.1</v>
      </c>
      <c r="H161" s="33">
        <f t="shared" si="51"/>
        <v>101.52005623455062</v>
      </c>
      <c r="I161" s="26">
        <f t="shared" si="42"/>
        <v>101.52005623455062</v>
      </c>
      <c r="J161" s="9">
        <f t="shared" si="43"/>
        <v>7.4840339643526308</v>
      </c>
      <c r="K161" s="9">
        <f t="shared" si="44"/>
        <v>0.57503940316856406</v>
      </c>
      <c r="L161" s="9">
        <f t="shared" si="54"/>
        <v>36.398163717889183</v>
      </c>
      <c r="M161" s="9">
        <f t="shared" si="45"/>
        <v>57.062819149140246</v>
      </c>
      <c r="N161" s="9">
        <f t="shared" si="46"/>
        <v>0</v>
      </c>
      <c r="O161" s="12">
        <f t="shared" si="47"/>
        <v>0.70999999999999908</v>
      </c>
      <c r="P161" s="11">
        <f t="shared" si="48"/>
        <v>1.8983333333333334</v>
      </c>
      <c r="Q161" s="12">
        <f t="shared" si="49"/>
        <v>1.3444444444444443</v>
      </c>
      <c r="R161" s="1">
        <f t="shared" si="52"/>
        <v>0</v>
      </c>
      <c r="S161" s="1">
        <f t="shared" si="55"/>
        <v>2.6099999999999994</v>
      </c>
      <c r="T161" s="36">
        <f t="shared" si="50"/>
        <v>6.9355961669362698E-2</v>
      </c>
      <c r="U161" s="31">
        <f t="shared" si="53"/>
        <v>12.169355961669362</v>
      </c>
      <c r="V161" s="40">
        <f t="shared" si="56"/>
        <v>78.319731934326796</v>
      </c>
    </row>
    <row r="162" spans="1:22">
      <c r="A162" s="2" t="s">
        <v>606</v>
      </c>
      <c r="B162" s="2" t="s">
        <v>607</v>
      </c>
      <c r="C162" s="2" t="s">
        <v>608</v>
      </c>
      <c r="D162" s="2" t="s">
        <v>609</v>
      </c>
      <c r="E162" s="16">
        <v>18.600000000000001</v>
      </c>
      <c r="F162" s="16">
        <v>10.199999999999999</v>
      </c>
      <c r="G162" s="16">
        <v>12.11</v>
      </c>
      <c r="H162" s="33">
        <f t="shared" si="51"/>
        <v>100.63623471259592</v>
      </c>
      <c r="I162" s="26">
        <f t="shared" si="42"/>
        <v>100.63623471259592</v>
      </c>
      <c r="J162" s="9">
        <f t="shared" si="43"/>
        <v>6.2366949702938586</v>
      </c>
      <c r="K162" s="9">
        <f t="shared" si="44"/>
        <v>3.7300421134890831</v>
      </c>
      <c r="L162" s="9">
        <f t="shared" si="54"/>
        <v>33.37529338789497</v>
      </c>
      <c r="M162" s="9">
        <f t="shared" si="45"/>
        <v>57.294204240918013</v>
      </c>
      <c r="N162" s="9">
        <f t="shared" si="46"/>
        <v>0</v>
      </c>
      <c r="O162" s="12">
        <f t="shared" si="47"/>
        <v>1.9100000000000001</v>
      </c>
      <c r="P162" s="11">
        <f t="shared" si="48"/>
        <v>1.7</v>
      </c>
      <c r="Q162" s="12">
        <f t="shared" si="49"/>
        <v>1.3455555555555554</v>
      </c>
      <c r="R162" s="1">
        <f t="shared" si="52"/>
        <v>0</v>
      </c>
      <c r="S162" s="1">
        <f t="shared" si="55"/>
        <v>3.8000000000000007</v>
      </c>
      <c r="T162" s="36">
        <f t="shared" si="50"/>
        <v>6.9355961669362698E-2</v>
      </c>
      <c r="U162" s="31">
        <f t="shared" si="53"/>
        <v>12.179355961669362</v>
      </c>
      <c r="V162" s="40">
        <f t="shared" si="56"/>
        <v>78.68123939159581</v>
      </c>
    </row>
    <row r="163" spans="1:22">
      <c r="A163" s="2" t="s">
        <v>610</v>
      </c>
      <c r="B163" s="2" t="s">
        <v>611</v>
      </c>
      <c r="C163" s="2" t="s">
        <v>612</v>
      </c>
      <c r="D163" s="2" t="s">
        <v>613</v>
      </c>
      <c r="E163" s="16">
        <v>17.399999999999999</v>
      </c>
      <c r="F163" s="16">
        <v>11.72</v>
      </c>
      <c r="G163" s="16">
        <v>12.15</v>
      </c>
      <c r="H163" s="33">
        <f t="shared" si="51"/>
        <v>101.89402665318039</v>
      </c>
      <c r="I163" s="26">
        <f t="shared" si="42"/>
        <v>101.89402665318039</v>
      </c>
      <c r="J163" s="9">
        <f t="shared" si="43"/>
        <v>6.6668118647968848</v>
      </c>
      <c r="K163" s="9">
        <f t="shared" si="44"/>
        <v>0.19677563940885232</v>
      </c>
      <c r="L163" s="9">
        <f t="shared" si="54"/>
        <v>36.807652001934642</v>
      </c>
      <c r="M163" s="9">
        <f t="shared" si="45"/>
        <v>58.222787147040016</v>
      </c>
      <c r="N163" s="9">
        <f t="shared" si="46"/>
        <v>0</v>
      </c>
      <c r="O163" s="12">
        <f t="shared" si="47"/>
        <v>0.42999999999999972</v>
      </c>
      <c r="P163" s="11">
        <f t="shared" si="48"/>
        <v>1.9533333333333334</v>
      </c>
      <c r="Q163" s="12">
        <f t="shared" si="49"/>
        <v>1.35</v>
      </c>
      <c r="R163" s="1">
        <f t="shared" si="52"/>
        <v>0</v>
      </c>
      <c r="S163" s="1">
        <f t="shared" si="55"/>
        <v>2.2799999999999994</v>
      </c>
      <c r="T163" s="36">
        <f t="shared" si="50"/>
        <v>6.9355961669362698E-2</v>
      </c>
      <c r="U163" s="31">
        <f t="shared" si="53"/>
        <v>12.219355961669363</v>
      </c>
      <c r="V163" s="40">
        <f t="shared" si="56"/>
        <v>80.144032845703862</v>
      </c>
    </row>
    <row r="164" spans="1:22">
      <c r="A164" s="2" t="s">
        <v>614</v>
      </c>
      <c r="B164" s="2" t="s">
        <v>615</v>
      </c>
      <c r="C164" s="2" t="s">
        <v>616</v>
      </c>
      <c r="D164" s="2" t="s">
        <v>617</v>
      </c>
      <c r="E164" s="16">
        <v>21.2</v>
      </c>
      <c r="F164" s="16">
        <v>11.3</v>
      </c>
      <c r="G164" s="16">
        <v>12.18</v>
      </c>
      <c r="H164" s="33">
        <f t="shared" si="51"/>
        <v>101.37200300685546</v>
      </c>
      <c r="I164" s="26">
        <f t="shared" si="42"/>
        <v>101.37200300685546</v>
      </c>
      <c r="J164" s="9">
        <f t="shared" si="43"/>
        <v>5.4718172852578197</v>
      </c>
      <c r="K164" s="9">
        <f t="shared" si="44"/>
        <v>0.7319822335512377</v>
      </c>
      <c r="L164" s="9">
        <f t="shared" si="54"/>
        <v>36.245784495453513</v>
      </c>
      <c r="M164" s="9">
        <f t="shared" si="45"/>
        <v>58.922418992592902</v>
      </c>
      <c r="N164" s="9">
        <f t="shared" si="46"/>
        <v>0</v>
      </c>
      <c r="O164" s="12">
        <f t="shared" si="47"/>
        <v>0.87999999999999901</v>
      </c>
      <c r="P164" s="11">
        <f t="shared" si="48"/>
        <v>1.8833333333333335</v>
      </c>
      <c r="Q164" s="12">
        <f t="shared" si="49"/>
        <v>1.3533333333333333</v>
      </c>
      <c r="R164" s="1">
        <f t="shared" si="52"/>
        <v>0</v>
      </c>
      <c r="S164" s="1">
        <f t="shared" si="55"/>
        <v>2.6999999999999993</v>
      </c>
      <c r="T164" s="36">
        <f t="shared" si="50"/>
        <v>6.9355961669362698E-2</v>
      </c>
      <c r="U164" s="31">
        <f t="shared" si="53"/>
        <v>12.249355961669362</v>
      </c>
      <c r="V164" s="40">
        <f t="shared" si="56"/>
        <v>81.258947401113602</v>
      </c>
    </row>
    <row r="165" spans="1:22">
      <c r="A165" s="2" t="s">
        <v>618</v>
      </c>
      <c r="B165" s="2" t="s">
        <v>619</v>
      </c>
      <c r="C165" s="2" t="s">
        <v>620</v>
      </c>
      <c r="D165" s="2" t="s">
        <v>621</v>
      </c>
      <c r="E165" s="16">
        <v>15.5</v>
      </c>
      <c r="F165" s="16">
        <v>8.89</v>
      </c>
      <c r="G165" s="16">
        <v>12.18</v>
      </c>
      <c r="H165" s="33">
        <f t="shared" si="51"/>
        <v>107.26183606797075</v>
      </c>
      <c r="I165" s="26">
        <f t="shared" si="42"/>
        <v>107.26183606797075</v>
      </c>
      <c r="J165" s="9">
        <f t="shared" si="43"/>
        <v>7.4840339643526308</v>
      </c>
      <c r="K165" s="9">
        <f t="shared" si="44"/>
        <v>12.34731998380652</v>
      </c>
      <c r="L165" s="9">
        <f t="shared" si="54"/>
        <v>28.508063127218694</v>
      </c>
      <c r="M165" s="9">
        <f t="shared" si="45"/>
        <v>58.922418992592902</v>
      </c>
      <c r="N165" s="9">
        <f t="shared" si="46"/>
        <v>0</v>
      </c>
      <c r="O165" s="12">
        <f t="shared" si="47"/>
        <v>3.2899999999999991</v>
      </c>
      <c r="P165" s="11">
        <f t="shared" si="48"/>
        <v>1.4816666666666667</v>
      </c>
      <c r="Q165" s="12">
        <f t="shared" si="49"/>
        <v>1.3533333333333333</v>
      </c>
      <c r="R165" s="1">
        <f t="shared" si="52"/>
        <v>0</v>
      </c>
      <c r="S165" s="1">
        <f t="shared" si="55"/>
        <v>5.1099999999999994</v>
      </c>
      <c r="T165" s="36">
        <f t="shared" si="50"/>
        <v>6.9355961669362698E-2</v>
      </c>
      <c r="U165" s="31">
        <f t="shared" si="53"/>
        <v>12.249355961669362</v>
      </c>
      <c r="V165" s="40">
        <f t="shared" si="56"/>
        <v>81.258947401113602</v>
      </c>
    </row>
    <row r="166" spans="1:22">
      <c r="A166" s="2" t="s">
        <v>622</v>
      </c>
      <c r="B166" s="2" t="s">
        <v>623</v>
      </c>
      <c r="C166" s="2" t="s">
        <v>624</v>
      </c>
      <c r="D166" s="2" t="s">
        <v>625</v>
      </c>
      <c r="E166" s="16">
        <v>24.8</v>
      </c>
      <c r="F166" s="16">
        <v>7.02</v>
      </c>
      <c r="G166" s="16">
        <v>12.2</v>
      </c>
      <c r="H166" s="33">
        <f t="shared" si="51"/>
        <v>107.78441410209798</v>
      </c>
      <c r="I166" s="26">
        <f t="shared" si="42"/>
        <v>107.78441410209798</v>
      </c>
      <c r="J166" s="9">
        <f t="shared" si="43"/>
        <v>4.6775212277203941</v>
      </c>
      <c r="K166" s="9">
        <f t="shared" si="44"/>
        <v>23.083602139256548</v>
      </c>
      <c r="L166" s="9">
        <f t="shared" si="54"/>
        <v>20.632929242654097</v>
      </c>
      <c r="M166" s="9">
        <f t="shared" si="45"/>
        <v>59.390361492466944</v>
      </c>
      <c r="N166" s="9">
        <f t="shared" si="46"/>
        <v>0</v>
      </c>
      <c r="O166" s="12">
        <f t="shared" si="47"/>
        <v>5.18</v>
      </c>
      <c r="P166" s="11">
        <f t="shared" si="48"/>
        <v>1.17</v>
      </c>
      <c r="Q166" s="12">
        <f t="shared" si="49"/>
        <v>1.3555555555555554</v>
      </c>
      <c r="R166" s="1">
        <f t="shared" si="52"/>
        <v>0</v>
      </c>
      <c r="S166" s="1">
        <f t="shared" si="55"/>
        <v>6.98</v>
      </c>
      <c r="T166" s="36">
        <f t="shared" si="50"/>
        <v>6.9355961669362698E-2</v>
      </c>
      <c r="U166" s="31">
        <f t="shared" si="53"/>
        <v>12.269355961669362</v>
      </c>
      <c r="V166" s="40">
        <f t="shared" si="56"/>
        <v>82.010827184127336</v>
      </c>
    </row>
    <row r="167" spans="1:22">
      <c r="A167" s="2" t="s">
        <v>626</v>
      </c>
      <c r="B167" s="2" t="s">
        <v>627</v>
      </c>
      <c r="C167" s="2" t="s">
        <v>628</v>
      </c>
      <c r="D167" s="2" t="s">
        <v>629</v>
      </c>
      <c r="E167" s="16">
        <v>48.6</v>
      </c>
      <c r="F167" s="16">
        <v>6.3</v>
      </c>
      <c r="G167" s="16">
        <v>12.2</v>
      </c>
      <c r="H167" s="33">
        <f t="shared" si="51"/>
        <v>99.385179272417787</v>
      </c>
      <c r="I167" s="26">
        <f t="shared" si="42"/>
        <v>99.385179272417787</v>
      </c>
      <c r="J167" s="9">
        <f t="shared" si="43"/>
        <v>2.3868832602359213</v>
      </c>
      <c r="K167" s="9">
        <f t="shared" si="44"/>
        <v>19.996062834851628</v>
      </c>
      <c r="L167" s="9">
        <f t="shared" si="54"/>
        <v>17.611871684863292</v>
      </c>
      <c r="M167" s="9">
        <f t="shared" si="45"/>
        <v>59.390361492466944</v>
      </c>
      <c r="N167" s="9">
        <f t="shared" si="46"/>
        <v>0</v>
      </c>
      <c r="O167" s="12">
        <f t="shared" si="47"/>
        <v>5.8999999999999995</v>
      </c>
      <c r="P167" s="11">
        <f t="shared" si="48"/>
        <v>1.05</v>
      </c>
      <c r="Q167" s="12">
        <f t="shared" si="49"/>
        <v>1.3555555555555554</v>
      </c>
      <c r="R167" s="1">
        <f t="shared" si="52"/>
        <v>0</v>
      </c>
      <c r="S167" s="1">
        <f t="shared" si="55"/>
        <v>7.7</v>
      </c>
      <c r="T167" s="36">
        <f t="shared" si="50"/>
        <v>6.9355961669362698E-2</v>
      </c>
      <c r="U167" s="31">
        <f t="shared" si="53"/>
        <v>12.269355961669362</v>
      </c>
      <c r="V167" s="40">
        <f t="shared" si="56"/>
        <v>82.010827184127336</v>
      </c>
    </row>
    <row r="168" spans="1:22">
      <c r="A168" s="2" t="s">
        <v>630</v>
      </c>
      <c r="B168" s="2" t="s">
        <v>631</v>
      </c>
      <c r="C168" s="2" t="s">
        <v>632</v>
      </c>
      <c r="D168" s="2" t="s">
        <v>633</v>
      </c>
      <c r="E168" s="16">
        <v>15.8</v>
      </c>
      <c r="F168" s="16">
        <v>9.35</v>
      </c>
      <c r="G168" s="16">
        <v>12.2</v>
      </c>
      <c r="H168" s="33">
        <f t="shared" si="51"/>
        <v>106.2194721615443</v>
      </c>
      <c r="I168" s="26">
        <f t="shared" si="42"/>
        <v>106.2194721615443</v>
      </c>
      <c r="J168" s="9">
        <f t="shared" si="43"/>
        <v>7.3419320536370742</v>
      </c>
      <c r="K168" s="9">
        <f t="shared" si="44"/>
        <v>9.1595207045520244</v>
      </c>
      <c r="L168" s="9">
        <f t="shared" si="54"/>
        <v>30.327657910888252</v>
      </c>
      <c r="M168" s="9">
        <f t="shared" si="45"/>
        <v>59.390361492466944</v>
      </c>
      <c r="N168" s="9">
        <f t="shared" si="46"/>
        <v>0</v>
      </c>
      <c r="O168" s="12">
        <f t="shared" si="47"/>
        <v>2.8499999999999996</v>
      </c>
      <c r="P168" s="11">
        <f t="shared" si="48"/>
        <v>1.5583333333333333</v>
      </c>
      <c r="Q168" s="12">
        <f t="shared" si="49"/>
        <v>1.3555555555555554</v>
      </c>
      <c r="R168" s="1">
        <f t="shared" si="52"/>
        <v>0</v>
      </c>
      <c r="S168" s="1">
        <f t="shared" si="55"/>
        <v>4.6500000000000004</v>
      </c>
      <c r="T168" s="36">
        <f t="shared" si="50"/>
        <v>6.9355961669362698E-2</v>
      </c>
      <c r="U168" s="31">
        <f t="shared" si="53"/>
        <v>12.269355961669362</v>
      </c>
      <c r="V168" s="40">
        <f t="shared" si="56"/>
        <v>82.010827184127336</v>
      </c>
    </row>
    <row r="169" spans="1:22">
      <c r="A169" s="2" t="s">
        <v>634</v>
      </c>
      <c r="B169" s="2" t="s">
        <v>635</v>
      </c>
      <c r="C169" s="2" t="s">
        <v>636</v>
      </c>
      <c r="D169" s="2" t="s">
        <v>637</v>
      </c>
      <c r="E169" s="16">
        <v>19</v>
      </c>
      <c r="F169" s="16">
        <v>11.81</v>
      </c>
      <c r="G169" s="16">
        <v>12.2</v>
      </c>
      <c r="H169" s="33">
        <f t="shared" si="51"/>
        <v>102.52247670362159</v>
      </c>
      <c r="I169" s="26">
        <f t="shared" si="42"/>
        <v>102.52247670362159</v>
      </c>
      <c r="J169" s="9">
        <f t="shared" si="43"/>
        <v>6.1053961288139886</v>
      </c>
      <c r="K169" s="9">
        <f t="shared" si="44"/>
        <v>0.15354259793456476</v>
      </c>
      <c r="L169" s="9">
        <f t="shared" si="54"/>
        <v>36.873176484406095</v>
      </c>
      <c r="M169" s="9">
        <f t="shared" si="45"/>
        <v>59.390361492466944</v>
      </c>
      <c r="N169" s="9">
        <f t="shared" si="46"/>
        <v>0</v>
      </c>
      <c r="O169" s="12">
        <f t="shared" si="47"/>
        <v>0.38999999999999879</v>
      </c>
      <c r="P169" s="11">
        <f t="shared" si="48"/>
        <v>1.9683333333333335</v>
      </c>
      <c r="Q169" s="12">
        <f t="shared" si="49"/>
        <v>1.3555555555555554</v>
      </c>
      <c r="R169" s="1">
        <f t="shared" si="52"/>
        <v>0</v>
      </c>
      <c r="S169" s="1">
        <f t="shared" si="55"/>
        <v>2.1899999999999995</v>
      </c>
      <c r="T169" s="36">
        <f t="shared" si="50"/>
        <v>6.9355961669362698E-2</v>
      </c>
      <c r="U169" s="31">
        <f t="shared" si="53"/>
        <v>12.269355961669362</v>
      </c>
      <c r="V169" s="40">
        <f t="shared" si="56"/>
        <v>82.010827184127336</v>
      </c>
    </row>
    <row r="170" spans="1:22">
      <c r="A170" s="2" t="s">
        <v>638</v>
      </c>
      <c r="B170" s="2" t="s">
        <v>639</v>
      </c>
      <c r="C170" s="2" t="s">
        <v>640</v>
      </c>
      <c r="D170" s="2" t="s">
        <v>641</v>
      </c>
      <c r="E170" s="16">
        <v>18.3</v>
      </c>
      <c r="F170" s="16">
        <v>12.06</v>
      </c>
      <c r="G170" s="16">
        <v>12.2</v>
      </c>
      <c r="H170" s="33">
        <f t="shared" si="51"/>
        <v>102.6812858849588</v>
      </c>
      <c r="I170" s="26">
        <f t="shared" si="42"/>
        <v>102.6812858849588</v>
      </c>
      <c r="J170" s="9">
        <f t="shared" si="43"/>
        <v>6.3389358714462176</v>
      </c>
      <c r="K170" s="9">
        <f t="shared" si="44"/>
        <v>2.0236827444252703E-2</v>
      </c>
      <c r="L170" s="9">
        <f t="shared" si="54"/>
        <v>36.931751693601385</v>
      </c>
      <c r="M170" s="9">
        <f t="shared" si="45"/>
        <v>59.390361492466944</v>
      </c>
      <c r="N170" s="9">
        <f t="shared" si="46"/>
        <v>0</v>
      </c>
      <c r="O170" s="12">
        <f t="shared" si="47"/>
        <v>0.13999999999999879</v>
      </c>
      <c r="P170" s="11">
        <f t="shared" si="48"/>
        <v>2.0100000000000002</v>
      </c>
      <c r="Q170" s="12">
        <f t="shared" si="49"/>
        <v>1.3555555555555554</v>
      </c>
      <c r="R170" s="1">
        <f t="shared" si="52"/>
        <v>0</v>
      </c>
      <c r="S170" s="1">
        <f t="shared" si="55"/>
        <v>1.9399999999999995</v>
      </c>
      <c r="T170" s="36">
        <f t="shared" si="50"/>
        <v>6.9355961669362698E-2</v>
      </c>
      <c r="U170" s="31">
        <f t="shared" si="53"/>
        <v>12.269355961669362</v>
      </c>
      <c r="V170" s="40">
        <f t="shared" si="56"/>
        <v>82.010827184127336</v>
      </c>
    </row>
    <row r="171" spans="1:22">
      <c r="A171" s="2" t="s">
        <v>642</v>
      </c>
      <c r="B171" s="2" t="s">
        <v>643</v>
      </c>
      <c r="C171" s="2" t="s">
        <v>644</v>
      </c>
      <c r="D171" s="2" t="s">
        <v>645</v>
      </c>
      <c r="E171" s="16">
        <v>25.5</v>
      </c>
      <c r="F171" s="16">
        <v>10.82</v>
      </c>
      <c r="G171" s="16">
        <v>12.2</v>
      </c>
      <c r="H171" s="33">
        <f t="shared" si="51"/>
        <v>100.74477649510612</v>
      </c>
      <c r="I171" s="26">
        <f t="shared" si="42"/>
        <v>100.74477649510612</v>
      </c>
      <c r="J171" s="9">
        <f t="shared" si="43"/>
        <v>4.5491186842143447</v>
      </c>
      <c r="K171" s="9">
        <f t="shared" si="44"/>
        <v>1.6111845657175163</v>
      </c>
      <c r="L171" s="9">
        <f t="shared" si="54"/>
        <v>35.194111752707329</v>
      </c>
      <c r="M171" s="9">
        <f t="shared" si="45"/>
        <v>59.390361492466944</v>
      </c>
      <c r="N171" s="9">
        <f t="shared" si="46"/>
        <v>0</v>
      </c>
      <c r="O171" s="12">
        <f t="shared" si="47"/>
        <v>1.379999999999999</v>
      </c>
      <c r="P171" s="11">
        <f t="shared" si="48"/>
        <v>1.8033333333333335</v>
      </c>
      <c r="Q171" s="12">
        <f t="shared" si="49"/>
        <v>1.3555555555555554</v>
      </c>
      <c r="R171" s="1">
        <f t="shared" si="52"/>
        <v>0</v>
      </c>
      <c r="S171" s="1">
        <f t="shared" si="55"/>
        <v>3.1799999999999997</v>
      </c>
      <c r="T171" s="36">
        <f t="shared" si="50"/>
        <v>6.9355961669362698E-2</v>
      </c>
      <c r="U171" s="31">
        <f t="shared" si="53"/>
        <v>12.269355961669362</v>
      </c>
      <c r="V171" s="40">
        <f t="shared" si="56"/>
        <v>82.010827184127336</v>
      </c>
    </row>
    <row r="172" spans="1:22">
      <c r="A172" s="2" t="s">
        <v>646</v>
      </c>
      <c r="B172" s="2" t="s">
        <v>647</v>
      </c>
      <c r="C172" s="2" t="s">
        <v>648</v>
      </c>
      <c r="D172" s="2" t="s">
        <v>649</v>
      </c>
      <c r="E172" s="16">
        <v>17.7</v>
      </c>
      <c r="F172" s="16">
        <v>11.64</v>
      </c>
      <c r="G172" s="16">
        <v>12.21</v>
      </c>
      <c r="H172" s="33">
        <f t="shared" si="51"/>
        <v>103.25259935747954</v>
      </c>
      <c r="I172" s="26">
        <f t="shared" si="42"/>
        <v>103.25259935747954</v>
      </c>
      <c r="J172" s="9">
        <f t="shared" si="43"/>
        <v>6.5538150535291404</v>
      </c>
      <c r="K172" s="9">
        <f t="shared" si="44"/>
        <v>0.34223731713546407</v>
      </c>
      <c r="L172" s="9">
        <f t="shared" si="54"/>
        <v>36.731757863559295</v>
      </c>
      <c r="M172" s="9">
        <f t="shared" si="45"/>
        <v>59.624789123255631</v>
      </c>
      <c r="N172" s="9">
        <f t="shared" si="46"/>
        <v>0</v>
      </c>
      <c r="O172" s="12">
        <f t="shared" si="47"/>
        <v>0.57000000000000028</v>
      </c>
      <c r="P172" s="11">
        <f t="shared" si="48"/>
        <v>1.9400000000000002</v>
      </c>
      <c r="Q172" s="12">
        <f t="shared" si="49"/>
        <v>1.3566666666666667</v>
      </c>
      <c r="R172" s="1">
        <f t="shared" si="52"/>
        <v>0</v>
      </c>
      <c r="S172" s="1">
        <f t="shared" si="55"/>
        <v>2.3599999999999994</v>
      </c>
      <c r="T172" s="36">
        <f t="shared" si="50"/>
        <v>6.9355961669362698E-2</v>
      </c>
      <c r="U172" s="31">
        <f t="shared" si="53"/>
        <v>12.279355961669363</v>
      </c>
      <c r="V172" s="40">
        <f t="shared" si="56"/>
        <v>82.38937196296709</v>
      </c>
    </row>
    <row r="173" spans="1:22">
      <c r="A173" s="2" t="s">
        <v>650</v>
      </c>
      <c r="B173" s="2" t="s">
        <v>651</v>
      </c>
      <c r="C173" s="2" t="s">
        <v>652</v>
      </c>
      <c r="D173" s="2" t="s">
        <v>653</v>
      </c>
      <c r="E173" s="16">
        <v>38.4</v>
      </c>
      <c r="F173" s="16">
        <v>5.12</v>
      </c>
      <c r="G173" s="16">
        <v>12.3</v>
      </c>
      <c r="H173" s="33">
        <f t="shared" si="51"/>
        <v>98.881048339186805</v>
      </c>
      <c r="I173" s="26">
        <f t="shared" si="42"/>
        <v>98.881048339186805</v>
      </c>
      <c r="J173" s="9">
        <f t="shared" si="43"/>
        <v>3.0208991262360883</v>
      </c>
      <c r="K173" s="9">
        <f t="shared" si="44"/>
        <v>34.1118199870482</v>
      </c>
      <c r="L173" s="9">
        <f t="shared" si="54"/>
        <v>0</v>
      </c>
      <c r="M173" s="9">
        <f t="shared" si="45"/>
        <v>61.748329225902516</v>
      </c>
      <c r="N173" s="9">
        <f t="shared" si="46"/>
        <v>0</v>
      </c>
      <c r="O173" s="12">
        <f t="shared" si="47"/>
        <v>7.1800000000000006</v>
      </c>
      <c r="P173" s="11">
        <f t="shared" si="48"/>
        <v>0</v>
      </c>
      <c r="Q173" s="12">
        <f t="shared" si="49"/>
        <v>1.3666666666666667</v>
      </c>
      <c r="R173" s="1">
        <f t="shared" si="52"/>
        <v>0</v>
      </c>
      <c r="S173" s="1">
        <f t="shared" si="55"/>
        <v>8.879999999999999</v>
      </c>
      <c r="T173" s="36">
        <f t="shared" si="50"/>
        <v>6.9355961669362698E-2</v>
      </c>
      <c r="U173" s="31">
        <f t="shared" si="53"/>
        <v>12.369355961669363</v>
      </c>
      <c r="V173" s="40">
        <f t="shared" si="56"/>
        <v>85.875878393768559</v>
      </c>
    </row>
    <row r="174" spans="1:22">
      <c r="A174" s="2" t="s">
        <v>654</v>
      </c>
      <c r="B174" s="2" t="s">
        <v>655</v>
      </c>
      <c r="C174" s="2" t="s">
        <v>656</v>
      </c>
      <c r="D174" s="2" t="s">
        <v>657</v>
      </c>
      <c r="E174" s="16">
        <v>17.899999999999999</v>
      </c>
      <c r="F174" s="16">
        <v>11.59</v>
      </c>
      <c r="G174" s="16">
        <v>12.3</v>
      </c>
      <c r="H174" s="33">
        <f t="shared" si="51"/>
        <v>105.43269717240511</v>
      </c>
      <c r="I174" s="26">
        <f t="shared" si="42"/>
        <v>105.43269717240511</v>
      </c>
      <c r="J174" s="9">
        <f t="shared" si="43"/>
        <v>6.4805880696908265</v>
      </c>
      <c r="K174" s="9">
        <f t="shared" si="44"/>
        <v>0.52743013468916722</v>
      </c>
      <c r="L174" s="9">
        <f t="shared" si="54"/>
        <v>36.676349742122603</v>
      </c>
      <c r="M174" s="9">
        <f t="shared" si="45"/>
        <v>61.748329225902516</v>
      </c>
      <c r="N174" s="9">
        <f t="shared" si="46"/>
        <v>0</v>
      </c>
      <c r="O174" s="12">
        <f t="shared" si="47"/>
        <v>0.71000000000000085</v>
      </c>
      <c r="P174" s="11">
        <f t="shared" si="48"/>
        <v>1.9316666666666666</v>
      </c>
      <c r="Q174" s="12">
        <f t="shared" si="49"/>
        <v>1.3666666666666667</v>
      </c>
      <c r="R174" s="1">
        <f t="shared" si="52"/>
        <v>0</v>
      </c>
      <c r="S174" s="1">
        <f t="shared" si="55"/>
        <v>2.41</v>
      </c>
      <c r="T174" s="36">
        <f t="shared" si="50"/>
        <v>6.9355961669362698E-2</v>
      </c>
      <c r="U174" s="31">
        <f t="shared" si="53"/>
        <v>12.369355961669363</v>
      </c>
      <c r="V174" s="40">
        <f t="shared" si="56"/>
        <v>85.875878393768559</v>
      </c>
    </row>
    <row r="175" spans="1:22">
      <c r="A175" s="2" t="s">
        <v>658</v>
      </c>
      <c r="B175" s="2" t="s">
        <v>659</v>
      </c>
      <c r="C175" s="2" t="s">
        <v>660</v>
      </c>
      <c r="D175" s="2" t="s">
        <v>661</v>
      </c>
      <c r="E175" s="16">
        <v>24.6</v>
      </c>
      <c r="F175" s="16">
        <v>11.82</v>
      </c>
      <c r="G175" s="16">
        <v>12.31</v>
      </c>
      <c r="H175" s="33">
        <f t="shared" si="51"/>
        <v>103.78800842467265</v>
      </c>
      <c r="I175" s="26">
        <f t="shared" ref="I175:I238" si="57">J175+K175+L175+M175+N175</f>
        <v>103.78800842467265</v>
      </c>
      <c r="J175" s="9">
        <f t="shared" ref="J175:J238" si="58">116/1.2213*(0.0950502775050452+(1.12627632206642)/((1+($B$2/0.302756091410027)^2.26536793426585)^0.152776210790626))/E175</f>
        <v>4.7155498555880397</v>
      </c>
      <c r="K175" s="9">
        <f t="shared" ref="K175:K238" si="59">5.91232283796472*O175*ABS(G175-F175)/E175^0.600317738509086*(1+$B$2)^0.808139120750434</f>
        <v>0.20756173032564065</v>
      </c>
      <c r="L175" s="9">
        <f t="shared" si="54"/>
        <v>36.879097443056928</v>
      </c>
      <c r="M175" s="9">
        <f t="shared" ref="M175:M238" si="60">13.6914255489806*Q175*(G175-9)</f>
        <v>61.985799395702053</v>
      </c>
      <c r="N175" s="9">
        <f t="shared" ref="N175:N238" si="61">2.4817076129942*Q175*(6.5-$B$3)</f>
        <v>0</v>
      </c>
      <c r="O175" s="12">
        <f t="shared" ref="O175:O238" si="62">IF(ABS(G175-F175)&lt;=1,IF(F175&lt;=6,0,ABS(G175-F175)), ABS(G175-F175))</f>
        <v>0.49000000000000021</v>
      </c>
      <c r="P175" s="11">
        <f t="shared" ref="P175:P238" si="63">IF(F175-6&gt;0,F175/6,0)</f>
        <v>1.97</v>
      </c>
      <c r="Q175" s="12">
        <f t="shared" ref="Q175:Q238" si="64">IF(G175-9&gt;0,G175/9,0)</f>
        <v>1.3677777777777778</v>
      </c>
      <c r="R175" s="1">
        <f t="shared" si="52"/>
        <v>0</v>
      </c>
      <c r="S175" s="1">
        <f t="shared" si="55"/>
        <v>2.1799999999999997</v>
      </c>
      <c r="T175" s="36">
        <f t="shared" ref="T175:T238" si="65">0.0693559616693627+4.32571272410334*LOG(((6.5/$B$3)^2),2.512)^1.81526832546765*(G175/18)^8.00090419543305</f>
        <v>6.9355961669362698E-2</v>
      </c>
      <c r="U175" s="31">
        <f t="shared" si="53"/>
        <v>12.379355961669363</v>
      </c>
      <c r="V175" s="40">
        <f t="shared" si="56"/>
        <v>86.272263438407137</v>
      </c>
    </row>
    <row r="176" spans="1:22">
      <c r="A176" s="2" t="s">
        <v>662</v>
      </c>
      <c r="B176" s="2" t="s">
        <v>663</v>
      </c>
      <c r="C176" s="2" t="s">
        <v>664</v>
      </c>
      <c r="D176" s="2" t="s">
        <v>665</v>
      </c>
      <c r="E176" s="16">
        <v>16.100000000000001</v>
      </c>
      <c r="F176" s="16">
        <v>11.41</v>
      </c>
      <c r="G176" s="16">
        <v>12.32</v>
      </c>
      <c r="H176" s="33">
        <f t="shared" si="51"/>
        <v>106.78187194057527</v>
      </c>
      <c r="I176" s="26">
        <f t="shared" si="57"/>
        <v>106.78187194057527</v>
      </c>
      <c r="J176" s="9">
        <f t="shared" si="58"/>
        <v>7.2051258663022217</v>
      </c>
      <c r="K176" s="9">
        <f t="shared" si="59"/>
        <v>0.92334062569012532</v>
      </c>
      <c r="L176" s="9">
        <f t="shared" si="54"/>
        <v>36.429831629180242</v>
      </c>
      <c r="M176" s="9">
        <f t="shared" si="60"/>
        <v>62.223573819402681</v>
      </c>
      <c r="N176" s="9">
        <f t="shared" si="61"/>
        <v>0</v>
      </c>
      <c r="O176" s="12">
        <f t="shared" si="62"/>
        <v>0.91000000000000014</v>
      </c>
      <c r="P176" s="11">
        <f t="shared" si="63"/>
        <v>1.9016666666666666</v>
      </c>
      <c r="Q176" s="12">
        <f t="shared" si="64"/>
        <v>1.3688888888888888</v>
      </c>
      <c r="R176" s="1">
        <f t="shared" si="52"/>
        <v>0</v>
      </c>
      <c r="S176" s="1">
        <f t="shared" si="55"/>
        <v>2.59</v>
      </c>
      <c r="T176" s="36">
        <f t="shared" si="65"/>
        <v>6.9355961669362698E-2</v>
      </c>
      <c r="U176" s="31">
        <f t="shared" si="53"/>
        <v>12.389355961669363</v>
      </c>
      <c r="V176" s="40">
        <f t="shared" si="56"/>
        <v>86.67047811328132</v>
      </c>
    </row>
    <row r="177" spans="1:22">
      <c r="A177" s="2" t="s">
        <v>666</v>
      </c>
      <c r="B177" s="2" t="s">
        <v>667</v>
      </c>
      <c r="C177" s="2" t="s">
        <v>668</v>
      </c>
      <c r="D177" s="2" t="s">
        <v>669</v>
      </c>
      <c r="E177" s="16">
        <v>16.899999999999999</v>
      </c>
      <c r="F177" s="16">
        <v>11.78</v>
      </c>
      <c r="G177" s="16">
        <v>12.33</v>
      </c>
      <c r="H177" s="33">
        <f t="shared" si="51"/>
        <v>106.50707701013673</v>
      </c>
      <c r="I177" s="26">
        <f t="shared" si="57"/>
        <v>106.50707701013673</v>
      </c>
      <c r="J177" s="9">
        <f t="shared" si="58"/>
        <v>6.8640548193766744</v>
      </c>
      <c r="K177" s="9">
        <f t="shared" si="59"/>
        <v>0.32761316824759673</v>
      </c>
      <c r="L177" s="9">
        <f t="shared" si="54"/>
        <v>36.853756525508054</v>
      </c>
      <c r="M177" s="9">
        <f t="shared" si="60"/>
        <v>62.461652497004408</v>
      </c>
      <c r="N177" s="9">
        <f t="shared" si="61"/>
        <v>0</v>
      </c>
      <c r="O177" s="12">
        <f t="shared" si="62"/>
        <v>0.55000000000000071</v>
      </c>
      <c r="P177" s="11">
        <f t="shared" si="63"/>
        <v>1.9633333333333332</v>
      </c>
      <c r="Q177" s="12">
        <f t="shared" si="64"/>
        <v>1.37</v>
      </c>
      <c r="R177" s="1">
        <f t="shared" si="52"/>
        <v>0</v>
      </c>
      <c r="S177" s="1">
        <f t="shared" si="55"/>
        <v>2.2200000000000006</v>
      </c>
      <c r="T177" s="36">
        <f t="shared" si="65"/>
        <v>6.9355961669362698E-2</v>
      </c>
      <c r="U177" s="31">
        <f t="shared" si="53"/>
        <v>12.399355961669363</v>
      </c>
      <c r="V177" s="40">
        <f t="shared" si="56"/>
        <v>87.070530863580359</v>
      </c>
    </row>
    <row r="178" spans="1:22">
      <c r="A178" s="2" t="s">
        <v>670</v>
      </c>
      <c r="B178" s="2" t="s">
        <v>671</v>
      </c>
      <c r="C178" s="2" t="s">
        <v>672</v>
      </c>
      <c r="D178" s="2" t="s">
        <v>673</v>
      </c>
      <c r="E178" s="16">
        <v>17.899999999999999</v>
      </c>
      <c r="F178" s="16">
        <v>8.1</v>
      </c>
      <c r="G178" s="16">
        <v>12.4</v>
      </c>
      <c r="H178" s="33">
        <f t="shared" si="51"/>
        <v>115.19122149326617</v>
      </c>
      <c r="I178" s="26">
        <f t="shared" si="57"/>
        <v>115.19122149326617</v>
      </c>
      <c r="J178" s="9">
        <f t="shared" si="58"/>
        <v>6.4805880696908265</v>
      </c>
      <c r="K178" s="9">
        <f t="shared" si="59"/>
        <v>19.345731383460983</v>
      </c>
      <c r="L178" s="9">
        <f t="shared" si="54"/>
        <v>25.228179690667453</v>
      </c>
      <c r="M178" s="9">
        <f t="shared" si="60"/>
        <v>64.136722349446913</v>
      </c>
      <c r="N178" s="9">
        <f t="shared" si="61"/>
        <v>0</v>
      </c>
      <c r="O178" s="12">
        <f t="shared" si="62"/>
        <v>4.3000000000000007</v>
      </c>
      <c r="P178" s="11">
        <f t="shared" si="63"/>
        <v>1.3499999999999999</v>
      </c>
      <c r="Q178" s="12">
        <f t="shared" si="64"/>
        <v>1.3777777777777778</v>
      </c>
      <c r="R178" s="1">
        <f t="shared" si="52"/>
        <v>0</v>
      </c>
      <c r="S178" s="1">
        <f t="shared" si="55"/>
        <v>5.9</v>
      </c>
      <c r="T178" s="36">
        <f t="shared" si="65"/>
        <v>6.9355961669362698E-2</v>
      </c>
      <c r="U178" s="31">
        <f t="shared" si="53"/>
        <v>12.469355961669363</v>
      </c>
      <c r="V178" s="40">
        <f t="shared" si="56"/>
        <v>89.923083855062387</v>
      </c>
    </row>
    <row r="179" spans="1:22">
      <c r="A179" s="2" t="s">
        <v>674</v>
      </c>
      <c r="B179" s="2" t="s">
        <v>675</v>
      </c>
      <c r="C179" s="2" t="s">
        <v>676</v>
      </c>
      <c r="D179" s="2" t="s">
        <v>677</v>
      </c>
      <c r="E179" s="16">
        <v>15.1</v>
      </c>
      <c r="F179" s="16">
        <v>11.32</v>
      </c>
      <c r="G179" s="16">
        <v>12.4</v>
      </c>
      <c r="H179" s="33">
        <f t="shared" si="51"/>
        <v>109.45161204887907</v>
      </c>
      <c r="I179" s="26">
        <f t="shared" si="57"/>
        <v>109.45161204887907</v>
      </c>
      <c r="J179" s="9">
        <f t="shared" si="58"/>
        <v>7.682286519699721</v>
      </c>
      <c r="K179" s="9">
        <f t="shared" si="59"/>
        <v>1.351589709564631</v>
      </c>
      <c r="L179" s="9">
        <f t="shared" si="54"/>
        <v>36.281013470167814</v>
      </c>
      <c r="M179" s="9">
        <f t="shared" si="60"/>
        <v>64.136722349446913</v>
      </c>
      <c r="N179" s="9">
        <f t="shared" si="61"/>
        <v>0</v>
      </c>
      <c r="O179" s="12">
        <f t="shared" si="62"/>
        <v>1.08</v>
      </c>
      <c r="P179" s="11">
        <f t="shared" si="63"/>
        <v>1.8866666666666667</v>
      </c>
      <c r="Q179" s="12">
        <f t="shared" si="64"/>
        <v>1.3777777777777778</v>
      </c>
      <c r="R179" s="1">
        <f t="shared" si="52"/>
        <v>0</v>
      </c>
      <c r="S179" s="1">
        <f t="shared" si="55"/>
        <v>2.6799999999999997</v>
      </c>
      <c r="T179" s="36">
        <f t="shared" si="65"/>
        <v>6.9355961669362698E-2</v>
      </c>
      <c r="U179" s="31">
        <f t="shared" si="53"/>
        <v>12.469355961669363</v>
      </c>
      <c r="V179" s="40">
        <f t="shared" si="56"/>
        <v>89.923083855062387</v>
      </c>
    </row>
    <row r="180" spans="1:22">
      <c r="A180" s="2" t="s">
        <v>678</v>
      </c>
      <c r="B180" s="2" t="s">
        <v>679</v>
      </c>
      <c r="C180" s="2" t="s">
        <v>680</v>
      </c>
      <c r="D180" s="2" t="s">
        <v>681</v>
      </c>
      <c r="E180" s="16">
        <v>16.399999999999999</v>
      </c>
      <c r="F180" s="16">
        <v>11.28</v>
      </c>
      <c r="G180" s="16">
        <v>12.4</v>
      </c>
      <c r="H180" s="33">
        <f t="shared" si="51"/>
        <v>108.80309526733694</v>
      </c>
      <c r="I180" s="26">
        <f t="shared" si="57"/>
        <v>108.80309526733694</v>
      </c>
      <c r="J180" s="9">
        <f t="shared" si="58"/>
        <v>7.0733247833820609</v>
      </c>
      <c r="K180" s="9">
        <f t="shared" si="59"/>
        <v>1.3832538071346392</v>
      </c>
      <c r="L180" s="9">
        <f t="shared" si="54"/>
        <v>36.209794327373338</v>
      </c>
      <c r="M180" s="9">
        <f t="shared" si="60"/>
        <v>64.136722349446913</v>
      </c>
      <c r="N180" s="9">
        <f t="shared" si="61"/>
        <v>0</v>
      </c>
      <c r="O180" s="12">
        <f t="shared" si="62"/>
        <v>1.120000000000001</v>
      </c>
      <c r="P180" s="11">
        <f t="shared" si="63"/>
        <v>1.88</v>
      </c>
      <c r="Q180" s="12">
        <f t="shared" si="64"/>
        <v>1.3777777777777778</v>
      </c>
      <c r="R180" s="1">
        <f t="shared" si="52"/>
        <v>0</v>
      </c>
      <c r="S180" s="1">
        <f t="shared" si="55"/>
        <v>2.7200000000000006</v>
      </c>
      <c r="T180" s="36">
        <f t="shared" si="65"/>
        <v>6.9355961669362698E-2</v>
      </c>
      <c r="U180" s="31">
        <f t="shared" si="53"/>
        <v>12.469355961669363</v>
      </c>
      <c r="V180" s="40">
        <f t="shared" si="56"/>
        <v>89.923083855062387</v>
      </c>
    </row>
    <row r="181" spans="1:22">
      <c r="A181" s="2" t="s">
        <v>682</v>
      </c>
      <c r="B181" s="2" t="s">
        <v>683</v>
      </c>
      <c r="C181" s="2" t="s">
        <v>684</v>
      </c>
      <c r="D181" s="2" t="s">
        <v>685</v>
      </c>
      <c r="E181" s="16">
        <v>44.5</v>
      </c>
      <c r="F181" s="16">
        <v>11.8</v>
      </c>
      <c r="G181" s="16">
        <v>12.4</v>
      </c>
      <c r="H181" s="33">
        <f t="shared" si="51"/>
        <v>103.82853091177591</v>
      </c>
      <c r="I181" s="26">
        <f t="shared" si="57"/>
        <v>103.82853091177591</v>
      </c>
      <c r="J181" s="9">
        <f t="shared" si="58"/>
        <v>2.6067983471340623</v>
      </c>
      <c r="K181" s="9">
        <f t="shared" si="59"/>
        <v>0.21803232557689306</v>
      </c>
      <c r="L181" s="9">
        <f t="shared" si="54"/>
        <v>36.866977889618042</v>
      </c>
      <c r="M181" s="9">
        <f t="shared" si="60"/>
        <v>64.136722349446913</v>
      </c>
      <c r="N181" s="9">
        <f t="shared" si="61"/>
        <v>0</v>
      </c>
      <c r="O181" s="12">
        <f t="shared" si="62"/>
        <v>0.59999999999999964</v>
      </c>
      <c r="P181" s="11">
        <f t="shared" si="63"/>
        <v>1.9666666666666668</v>
      </c>
      <c r="Q181" s="12">
        <f t="shared" si="64"/>
        <v>1.3777777777777778</v>
      </c>
      <c r="R181" s="1">
        <f t="shared" si="52"/>
        <v>0</v>
      </c>
      <c r="S181" s="1">
        <f t="shared" si="55"/>
        <v>2.1999999999999993</v>
      </c>
      <c r="T181" s="36">
        <f t="shared" si="65"/>
        <v>6.9355961669362698E-2</v>
      </c>
      <c r="U181" s="31">
        <f t="shared" si="53"/>
        <v>12.469355961669363</v>
      </c>
      <c r="V181" s="40">
        <f t="shared" si="56"/>
        <v>89.923083855062387</v>
      </c>
    </row>
    <row r="182" spans="1:22">
      <c r="A182" s="2" t="s">
        <v>686</v>
      </c>
      <c r="B182" s="2" t="s">
        <v>687</v>
      </c>
      <c r="C182" s="2" t="s">
        <v>688</v>
      </c>
      <c r="D182" s="2" t="s">
        <v>689</v>
      </c>
      <c r="E182" s="16">
        <v>20.100000000000001</v>
      </c>
      <c r="F182" s="16">
        <v>10.38</v>
      </c>
      <c r="G182" s="16">
        <v>12.4</v>
      </c>
      <c r="H182" s="33">
        <f t="shared" si="51"/>
        <v>107.83698376432071</v>
      </c>
      <c r="I182" s="26">
        <f t="shared" si="57"/>
        <v>107.83698376432071</v>
      </c>
      <c r="J182" s="9">
        <f t="shared" si="58"/>
        <v>5.7712699725107353</v>
      </c>
      <c r="K182" s="9">
        <f t="shared" si="59"/>
        <v>3.9822559444798475</v>
      </c>
      <c r="L182" s="9">
        <f t="shared" si="54"/>
        <v>33.946735497883218</v>
      </c>
      <c r="M182" s="9">
        <f t="shared" si="60"/>
        <v>64.136722349446913</v>
      </c>
      <c r="N182" s="9">
        <f t="shared" si="61"/>
        <v>0</v>
      </c>
      <c r="O182" s="12">
        <f t="shared" si="62"/>
        <v>2.0199999999999996</v>
      </c>
      <c r="P182" s="11">
        <f t="shared" si="63"/>
        <v>1.7300000000000002</v>
      </c>
      <c r="Q182" s="12">
        <f t="shared" si="64"/>
        <v>1.3777777777777778</v>
      </c>
      <c r="R182" s="1">
        <f t="shared" si="52"/>
        <v>0</v>
      </c>
      <c r="S182" s="1">
        <f t="shared" si="55"/>
        <v>3.6199999999999992</v>
      </c>
      <c r="T182" s="36">
        <f t="shared" si="65"/>
        <v>6.9355961669362698E-2</v>
      </c>
      <c r="U182" s="31">
        <f t="shared" si="53"/>
        <v>12.469355961669363</v>
      </c>
      <c r="V182" s="40">
        <f t="shared" si="56"/>
        <v>89.923083855062387</v>
      </c>
    </row>
    <row r="183" spans="1:22">
      <c r="A183" s="2" t="s">
        <v>690</v>
      </c>
      <c r="B183" s="2" t="s">
        <v>691</v>
      </c>
      <c r="C183" s="2" t="s">
        <v>692</v>
      </c>
      <c r="D183" s="2" t="s">
        <v>693</v>
      </c>
      <c r="E183" s="16">
        <v>15.9</v>
      </c>
      <c r="F183" s="16">
        <v>12.03</v>
      </c>
      <c r="G183" s="16">
        <v>12.48</v>
      </c>
      <c r="H183" s="33">
        <f t="shared" si="51"/>
        <v>110.5277372934124</v>
      </c>
      <c r="I183" s="26">
        <f t="shared" si="57"/>
        <v>110.5277372934124</v>
      </c>
      <c r="J183" s="9">
        <f t="shared" si="58"/>
        <v>7.29575638034376</v>
      </c>
      <c r="K183" s="9">
        <f t="shared" si="59"/>
        <v>0.22749044654261505</v>
      </c>
      <c r="L183" s="9">
        <f t="shared" si="54"/>
        <v>36.935147337365237</v>
      </c>
      <c r="M183" s="9">
        <f t="shared" si="60"/>
        <v>66.069343129160785</v>
      </c>
      <c r="N183" s="9">
        <f t="shared" si="61"/>
        <v>0</v>
      </c>
      <c r="O183" s="12">
        <f t="shared" si="62"/>
        <v>0.45000000000000107</v>
      </c>
      <c r="P183" s="11">
        <f t="shared" si="63"/>
        <v>2.0049999999999999</v>
      </c>
      <c r="Q183" s="12">
        <f t="shared" si="64"/>
        <v>1.3866666666666667</v>
      </c>
      <c r="R183" s="1">
        <f t="shared" si="52"/>
        <v>0</v>
      </c>
      <c r="S183" s="1">
        <f t="shared" si="55"/>
        <v>1.9700000000000006</v>
      </c>
      <c r="T183" s="36">
        <f t="shared" si="65"/>
        <v>6.9355961669362698E-2</v>
      </c>
      <c r="U183" s="31">
        <f t="shared" si="53"/>
        <v>12.549355961669363</v>
      </c>
      <c r="V183" s="40">
        <f t="shared" si="56"/>
        <v>93.297754737613332</v>
      </c>
    </row>
    <row r="184" spans="1:22">
      <c r="A184" s="2" t="s">
        <v>690</v>
      </c>
      <c r="B184" s="2" t="s">
        <v>691</v>
      </c>
      <c r="C184" s="2" t="s">
        <v>694</v>
      </c>
      <c r="D184" s="2" t="s">
        <v>695</v>
      </c>
      <c r="E184" s="16">
        <v>22.5</v>
      </c>
      <c r="F184" s="16">
        <v>9.27</v>
      </c>
      <c r="G184" s="16">
        <v>12.48</v>
      </c>
      <c r="H184" s="33">
        <f t="shared" si="51"/>
        <v>110.64075689035127</v>
      </c>
      <c r="I184" s="26">
        <f t="shared" si="57"/>
        <v>110.64075689035127</v>
      </c>
      <c r="J184" s="9">
        <f t="shared" si="58"/>
        <v>5.1556678421095903</v>
      </c>
      <c r="K184" s="9">
        <f t="shared" si="59"/>
        <v>9.3978617917084772</v>
      </c>
      <c r="L184" s="9">
        <f t="shared" si="54"/>
        <v>30.017884127372415</v>
      </c>
      <c r="M184" s="9">
        <f t="shared" si="60"/>
        <v>66.069343129160785</v>
      </c>
      <c r="N184" s="9">
        <f t="shared" si="61"/>
        <v>0</v>
      </c>
      <c r="O184" s="12">
        <f t="shared" si="62"/>
        <v>3.2100000000000009</v>
      </c>
      <c r="P184" s="11">
        <f t="shared" si="63"/>
        <v>1.5449999999999999</v>
      </c>
      <c r="Q184" s="12">
        <f t="shared" si="64"/>
        <v>1.3866666666666667</v>
      </c>
      <c r="R184" s="1">
        <f t="shared" si="52"/>
        <v>0</v>
      </c>
      <c r="S184" s="1">
        <f t="shared" si="55"/>
        <v>4.7300000000000004</v>
      </c>
      <c r="T184" s="36">
        <f t="shared" si="65"/>
        <v>6.9355961669362698E-2</v>
      </c>
      <c r="U184" s="31">
        <f t="shared" si="53"/>
        <v>12.549355961669363</v>
      </c>
      <c r="V184" s="40">
        <f t="shared" si="56"/>
        <v>93.297754737613332</v>
      </c>
    </row>
    <row r="185" spans="1:22">
      <c r="A185" s="2" t="s">
        <v>696</v>
      </c>
      <c r="B185" s="2" t="s">
        <v>697</v>
      </c>
      <c r="C185" s="2" t="s">
        <v>698</v>
      </c>
      <c r="D185" s="2" t="s">
        <v>699</v>
      </c>
      <c r="E185" s="16">
        <v>26.1</v>
      </c>
      <c r="F185" s="16">
        <v>9.52</v>
      </c>
      <c r="G185" s="16">
        <v>12.5</v>
      </c>
      <c r="H185" s="33">
        <f t="shared" si="51"/>
        <v>109.3839521723942</v>
      </c>
      <c r="I185" s="26">
        <f t="shared" si="57"/>
        <v>109.3839521723942</v>
      </c>
      <c r="J185" s="9">
        <f t="shared" si="58"/>
        <v>4.4445412431979223</v>
      </c>
      <c r="K185" s="9">
        <f t="shared" si="59"/>
        <v>7.4089428170247302</v>
      </c>
      <c r="L185" s="9">
        <f t="shared" si="54"/>
        <v>30.974927249071413</v>
      </c>
      <c r="M185" s="9">
        <f t="shared" si="60"/>
        <v>66.555540863100134</v>
      </c>
      <c r="N185" s="9">
        <f t="shared" si="61"/>
        <v>0</v>
      </c>
      <c r="O185" s="12">
        <f t="shared" si="62"/>
        <v>2.9800000000000004</v>
      </c>
      <c r="P185" s="11">
        <f t="shared" si="63"/>
        <v>1.5866666666666667</v>
      </c>
      <c r="Q185" s="12">
        <f t="shared" si="64"/>
        <v>1.3888888888888888</v>
      </c>
      <c r="R185" s="1">
        <f t="shared" si="52"/>
        <v>0</v>
      </c>
      <c r="S185" s="1">
        <f t="shared" si="55"/>
        <v>4.4800000000000004</v>
      </c>
      <c r="T185" s="36">
        <f t="shared" si="65"/>
        <v>6.9355961669362698E-2</v>
      </c>
      <c r="U185" s="31">
        <f t="shared" si="53"/>
        <v>12.569355961669363</v>
      </c>
      <c r="V185" s="40">
        <f t="shared" si="56"/>
        <v>94.161028233410832</v>
      </c>
    </row>
    <row r="186" spans="1:22">
      <c r="A186" s="2" t="s">
        <v>654</v>
      </c>
      <c r="B186" s="2" t="s">
        <v>655</v>
      </c>
      <c r="C186" s="2" t="s">
        <v>656</v>
      </c>
      <c r="D186" s="2" t="s">
        <v>657</v>
      </c>
      <c r="E186" s="16">
        <v>45.8</v>
      </c>
      <c r="F186" s="16">
        <v>11.59</v>
      </c>
      <c r="G186" s="16">
        <v>12.5</v>
      </c>
      <c r="H186" s="33">
        <f t="shared" si="51"/>
        <v>106.25763669669075</v>
      </c>
      <c r="I186" s="26">
        <f t="shared" si="57"/>
        <v>106.25763669669075</v>
      </c>
      <c r="J186" s="9">
        <f t="shared" si="58"/>
        <v>2.5328062543114802</v>
      </c>
      <c r="K186" s="9">
        <f t="shared" si="59"/>
        <v>0.49293983715653039</v>
      </c>
      <c r="L186" s="9">
        <f t="shared" si="54"/>
        <v>36.676349742122603</v>
      </c>
      <c r="M186" s="9">
        <f t="shared" si="60"/>
        <v>66.555540863100134</v>
      </c>
      <c r="N186" s="9">
        <f t="shared" si="61"/>
        <v>0</v>
      </c>
      <c r="O186" s="12">
        <f t="shared" si="62"/>
        <v>0.91000000000000014</v>
      </c>
      <c r="P186" s="11">
        <f t="shared" si="63"/>
        <v>1.9316666666666666</v>
      </c>
      <c r="Q186" s="12">
        <f t="shared" si="64"/>
        <v>1.3888888888888888</v>
      </c>
      <c r="R186" s="1">
        <f t="shared" si="52"/>
        <v>0</v>
      </c>
      <c r="S186" s="1">
        <f t="shared" si="55"/>
        <v>2.41</v>
      </c>
      <c r="T186" s="36">
        <f t="shared" si="65"/>
        <v>6.9355961669362698E-2</v>
      </c>
      <c r="U186" s="31">
        <f t="shared" si="53"/>
        <v>12.569355961669363</v>
      </c>
      <c r="V186" s="40">
        <f t="shared" si="56"/>
        <v>94.161028233410832</v>
      </c>
    </row>
    <row r="187" spans="1:22">
      <c r="A187" s="2" t="s">
        <v>700</v>
      </c>
      <c r="B187" s="2" t="s">
        <v>701</v>
      </c>
      <c r="C187" s="2" t="s">
        <v>702</v>
      </c>
      <c r="D187" s="2" t="s">
        <v>703</v>
      </c>
      <c r="E187" s="16">
        <v>27.2</v>
      </c>
      <c r="F187" s="16">
        <v>12.1</v>
      </c>
      <c r="G187" s="16">
        <v>12.5</v>
      </c>
      <c r="H187" s="33">
        <f t="shared" si="51"/>
        <v>107.87298905181089</v>
      </c>
      <c r="I187" s="26">
        <f t="shared" si="57"/>
        <v>107.87298905181089</v>
      </c>
      <c r="J187" s="9">
        <f t="shared" si="58"/>
        <v>4.2647987664509479</v>
      </c>
      <c r="K187" s="9">
        <f t="shared" si="59"/>
        <v>0.13022098102859023</v>
      </c>
      <c r="L187" s="9">
        <f t="shared" si="54"/>
        <v>36.922428441231219</v>
      </c>
      <c r="M187" s="9">
        <f t="shared" si="60"/>
        <v>66.555540863100134</v>
      </c>
      <c r="N187" s="9">
        <f t="shared" si="61"/>
        <v>0</v>
      </c>
      <c r="O187" s="12">
        <f t="shared" si="62"/>
        <v>0.40000000000000036</v>
      </c>
      <c r="P187" s="11">
        <f t="shared" si="63"/>
        <v>2.0166666666666666</v>
      </c>
      <c r="Q187" s="12">
        <f t="shared" si="64"/>
        <v>1.3888888888888888</v>
      </c>
      <c r="R187" s="1">
        <f t="shared" si="52"/>
        <v>0</v>
      </c>
      <c r="S187" s="1">
        <f t="shared" si="55"/>
        <v>1.9000000000000004</v>
      </c>
      <c r="T187" s="36">
        <f t="shared" si="65"/>
        <v>6.9355961669362698E-2</v>
      </c>
      <c r="U187" s="31">
        <f t="shared" si="53"/>
        <v>12.569355961669363</v>
      </c>
      <c r="V187" s="40">
        <f t="shared" si="56"/>
        <v>94.161028233410832</v>
      </c>
    </row>
    <row r="188" spans="1:22">
      <c r="A188" s="2" t="s">
        <v>500</v>
      </c>
      <c r="B188" s="2" t="s">
        <v>704</v>
      </c>
      <c r="C188" s="2" t="s">
        <v>502</v>
      </c>
      <c r="D188" s="2" t="s">
        <v>705</v>
      </c>
      <c r="E188" s="16">
        <v>46.6</v>
      </c>
      <c r="F188" s="16">
        <v>6.29</v>
      </c>
      <c r="G188" s="16">
        <v>12.5</v>
      </c>
      <c r="H188" s="33">
        <f t="shared" si="51"/>
        <v>109.3338878508181</v>
      </c>
      <c r="I188" s="26">
        <f t="shared" si="57"/>
        <v>109.3338878508181</v>
      </c>
      <c r="J188" s="9">
        <f t="shared" si="58"/>
        <v>2.4893246018769482</v>
      </c>
      <c r="K188" s="9">
        <f t="shared" si="59"/>
        <v>22.718501400032089</v>
      </c>
      <c r="L188" s="9">
        <f t="shared" si="54"/>
        <v>17.570520985808926</v>
      </c>
      <c r="M188" s="9">
        <f t="shared" si="60"/>
        <v>66.555540863100134</v>
      </c>
      <c r="N188" s="9">
        <f t="shared" si="61"/>
        <v>0</v>
      </c>
      <c r="O188" s="12">
        <f t="shared" si="62"/>
        <v>6.21</v>
      </c>
      <c r="P188" s="11">
        <f t="shared" si="63"/>
        <v>1.0483333333333333</v>
      </c>
      <c r="Q188" s="12">
        <f t="shared" si="64"/>
        <v>1.3888888888888888</v>
      </c>
      <c r="R188" s="1">
        <f t="shared" si="52"/>
        <v>0</v>
      </c>
      <c r="S188" s="1">
        <f t="shared" si="55"/>
        <v>7.71</v>
      </c>
      <c r="T188" s="36">
        <f t="shared" si="65"/>
        <v>6.9355961669362698E-2</v>
      </c>
      <c r="U188" s="31">
        <f t="shared" si="53"/>
        <v>12.569355961669363</v>
      </c>
      <c r="V188" s="40">
        <f t="shared" si="56"/>
        <v>94.161028233410832</v>
      </c>
    </row>
    <row r="189" spans="1:22">
      <c r="A189" s="2" t="s">
        <v>706</v>
      </c>
      <c r="B189" s="2" t="s">
        <v>707</v>
      </c>
      <c r="C189" s="2" t="s">
        <v>708</v>
      </c>
      <c r="D189" s="2" t="s">
        <v>709</v>
      </c>
      <c r="E189" s="16">
        <v>25.5</v>
      </c>
      <c r="F189" s="16">
        <v>7.1</v>
      </c>
      <c r="G189" s="16">
        <v>12.5</v>
      </c>
      <c r="H189" s="33">
        <f t="shared" si="51"/>
        <v>116.74755754873127</v>
      </c>
      <c r="I189" s="26">
        <f t="shared" si="57"/>
        <v>116.74755754873127</v>
      </c>
      <c r="J189" s="9">
        <f t="shared" si="58"/>
        <v>4.5491186842143447</v>
      </c>
      <c r="K189" s="9">
        <f t="shared" si="59"/>
        <v>24.670311875825902</v>
      </c>
      <c r="L189" s="9">
        <f t="shared" si="54"/>
        <v>20.97258612559089</v>
      </c>
      <c r="M189" s="9">
        <f t="shared" si="60"/>
        <v>66.555540863100134</v>
      </c>
      <c r="N189" s="9">
        <f t="shared" si="61"/>
        <v>0</v>
      </c>
      <c r="O189" s="12">
        <f t="shared" si="62"/>
        <v>5.4</v>
      </c>
      <c r="P189" s="11">
        <f t="shared" si="63"/>
        <v>1.1833333333333333</v>
      </c>
      <c r="Q189" s="12">
        <f t="shared" si="64"/>
        <v>1.3888888888888888</v>
      </c>
      <c r="R189" s="1">
        <f t="shared" si="52"/>
        <v>0</v>
      </c>
      <c r="S189" s="1">
        <f t="shared" si="55"/>
        <v>6.9</v>
      </c>
      <c r="T189" s="36">
        <f t="shared" si="65"/>
        <v>6.9355961669362698E-2</v>
      </c>
      <c r="U189" s="31">
        <f t="shared" si="53"/>
        <v>12.569355961669363</v>
      </c>
      <c r="V189" s="40">
        <f t="shared" si="56"/>
        <v>94.161028233410832</v>
      </c>
    </row>
    <row r="190" spans="1:22">
      <c r="A190" s="2" t="s">
        <v>710</v>
      </c>
      <c r="B190" s="2" t="s">
        <v>711</v>
      </c>
      <c r="C190" s="2" t="s">
        <v>712</v>
      </c>
      <c r="D190" s="2" t="s">
        <v>713</v>
      </c>
      <c r="E190" s="16">
        <v>40.5</v>
      </c>
      <c r="F190" s="16">
        <v>8.43</v>
      </c>
      <c r="G190" s="16">
        <v>12.5</v>
      </c>
      <c r="H190" s="33">
        <f t="shared" si="51"/>
        <v>106.6510466415133</v>
      </c>
      <c r="I190" s="26">
        <f t="shared" si="57"/>
        <v>106.6510466415133</v>
      </c>
      <c r="J190" s="9">
        <f t="shared" si="58"/>
        <v>2.8642599122831056</v>
      </c>
      <c r="K190" s="9">
        <f t="shared" si="59"/>
        <v>10.616055846986468</v>
      </c>
      <c r="L190" s="9">
        <f t="shared" si="54"/>
        <v>26.615190019143597</v>
      </c>
      <c r="M190" s="9">
        <f t="shared" si="60"/>
        <v>66.555540863100134</v>
      </c>
      <c r="N190" s="9">
        <f t="shared" si="61"/>
        <v>0</v>
      </c>
      <c r="O190" s="12">
        <f t="shared" si="62"/>
        <v>4.07</v>
      </c>
      <c r="P190" s="11">
        <f t="shared" si="63"/>
        <v>1.405</v>
      </c>
      <c r="Q190" s="12">
        <f t="shared" si="64"/>
        <v>1.3888888888888888</v>
      </c>
      <c r="R190" s="1">
        <f t="shared" si="52"/>
        <v>0</v>
      </c>
      <c r="S190" s="1">
        <f t="shared" si="55"/>
        <v>5.57</v>
      </c>
      <c r="T190" s="36">
        <f t="shared" si="65"/>
        <v>6.9355961669362698E-2</v>
      </c>
      <c r="U190" s="31">
        <f t="shared" si="53"/>
        <v>12.569355961669363</v>
      </c>
      <c r="V190" s="40">
        <f t="shared" si="56"/>
        <v>94.161028233410832</v>
      </c>
    </row>
    <row r="191" spans="1:22">
      <c r="A191" s="2" t="s">
        <v>714</v>
      </c>
      <c r="B191" s="2" t="s">
        <v>715</v>
      </c>
      <c r="C191" s="2" t="s">
        <v>716</v>
      </c>
      <c r="D191" s="2" t="s">
        <v>717</v>
      </c>
      <c r="E191" s="16">
        <v>43.3</v>
      </c>
      <c r="F191" s="16">
        <v>5.44</v>
      </c>
      <c r="G191" s="16">
        <v>12.54</v>
      </c>
      <c r="H191" s="33">
        <f t="shared" si="51"/>
        <v>101.24637097578797</v>
      </c>
      <c r="I191" s="26">
        <f t="shared" si="57"/>
        <v>101.24637097578797</v>
      </c>
      <c r="J191" s="9">
        <f t="shared" si="58"/>
        <v>2.6790421812347756</v>
      </c>
      <c r="K191" s="9">
        <f t="shared" si="59"/>
        <v>31.035741416761297</v>
      </c>
      <c r="L191" s="9">
        <f t="shared" si="54"/>
        <v>0</v>
      </c>
      <c r="M191" s="9">
        <f t="shared" si="60"/>
        <v>67.531587377791894</v>
      </c>
      <c r="N191" s="9">
        <f t="shared" si="61"/>
        <v>0</v>
      </c>
      <c r="O191" s="12">
        <f t="shared" si="62"/>
        <v>7.0999999999999988</v>
      </c>
      <c r="P191" s="11">
        <f t="shared" si="63"/>
        <v>0</v>
      </c>
      <c r="Q191" s="12">
        <f t="shared" si="64"/>
        <v>1.3933333333333333</v>
      </c>
      <c r="R191" s="1">
        <f t="shared" si="52"/>
        <v>0</v>
      </c>
      <c r="S191" s="1">
        <f t="shared" si="55"/>
        <v>8.5599999999999987</v>
      </c>
      <c r="T191" s="36">
        <f t="shared" si="65"/>
        <v>6.9355961669362698E-2</v>
      </c>
      <c r="U191" s="31">
        <f t="shared" si="53"/>
        <v>12.609355961669362</v>
      </c>
      <c r="V191" s="40">
        <f t="shared" si="56"/>
        <v>95.911612448872859</v>
      </c>
    </row>
    <row r="192" spans="1:22">
      <c r="A192" s="2" t="s">
        <v>718</v>
      </c>
      <c r="B192" s="2" t="s">
        <v>719</v>
      </c>
      <c r="C192" s="2" t="s">
        <v>720</v>
      </c>
      <c r="D192" s="2" t="s">
        <v>721</v>
      </c>
      <c r="E192" s="16">
        <v>15.1</v>
      </c>
      <c r="F192" s="16">
        <v>10.4</v>
      </c>
      <c r="G192" s="16">
        <v>12.54</v>
      </c>
      <c r="H192" s="33">
        <f t="shared" si="51"/>
        <v>114.52881362361666</v>
      </c>
      <c r="I192" s="26">
        <f t="shared" si="57"/>
        <v>114.52881362361666</v>
      </c>
      <c r="J192" s="9">
        <f t="shared" si="58"/>
        <v>7.682286519699721</v>
      </c>
      <c r="K192" s="9">
        <f t="shared" si="59"/>
        <v>5.3067045901253227</v>
      </c>
      <c r="L192" s="9">
        <f t="shared" si="54"/>
        <v>34.008235135999726</v>
      </c>
      <c r="M192" s="9">
        <f t="shared" si="60"/>
        <v>67.531587377791894</v>
      </c>
      <c r="N192" s="9">
        <f t="shared" si="61"/>
        <v>0</v>
      </c>
      <c r="O192" s="12">
        <f t="shared" si="62"/>
        <v>2.1399999999999988</v>
      </c>
      <c r="P192" s="11">
        <f t="shared" si="63"/>
        <v>1.7333333333333334</v>
      </c>
      <c r="Q192" s="12">
        <f t="shared" si="64"/>
        <v>1.3933333333333333</v>
      </c>
      <c r="R192" s="1">
        <f t="shared" si="52"/>
        <v>0</v>
      </c>
      <c r="S192" s="1">
        <f t="shared" si="55"/>
        <v>3.5999999999999996</v>
      </c>
      <c r="T192" s="36">
        <f t="shared" si="65"/>
        <v>6.9355961669362698E-2</v>
      </c>
      <c r="U192" s="31">
        <f t="shared" si="53"/>
        <v>12.609355961669362</v>
      </c>
      <c r="V192" s="40">
        <f t="shared" si="56"/>
        <v>95.911612448872859</v>
      </c>
    </row>
    <row r="193" spans="1:22">
      <c r="A193" s="2" t="s">
        <v>722</v>
      </c>
      <c r="B193" s="2" t="s">
        <v>723</v>
      </c>
      <c r="C193" s="2" t="s">
        <v>724</v>
      </c>
      <c r="D193" s="2" t="s">
        <v>725</v>
      </c>
      <c r="E193" s="16">
        <v>15.6</v>
      </c>
      <c r="F193" s="16">
        <v>11.82</v>
      </c>
      <c r="G193" s="16">
        <v>12.58</v>
      </c>
      <c r="H193" s="33">
        <f t="shared" si="51"/>
        <v>113.48400270219872</v>
      </c>
      <c r="I193" s="26">
        <f t="shared" si="57"/>
        <v>113.48400270219872</v>
      </c>
      <c r="J193" s="9">
        <f t="shared" si="58"/>
        <v>7.4360593876580632</v>
      </c>
      <c r="K193" s="9">
        <f t="shared" si="59"/>
        <v>0.65634391658263447</v>
      </c>
      <c r="L193" s="9">
        <f t="shared" si="54"/>
        <v>36.879097443056928</v>
      </c>
      <c r="M193" s="9">
        <f t="shared" si="60"/>
        <v>68.512501954901097</v>
      </c>
      <c r="N193" s="9">
        <f t="shared" si="61"/>
        <v>0</v>
      </c>
      <c r="O193" s="12">
        <f t="shared" si="62"/>
        <v>0.75999999999999979</v>
      </c>
      <c r="P193" s="11">
        <f t="shared" si="63"/>
        <v>1.97</v>
      </c>
      <c r="Q193" s="12">
        <f t="shared" si="64"/>
        <v>1.3977777777777778</v>
      </c>
      <c r="R193" s="1">
        <f t="shared" si="52"/>
        <v>0</v>
      </c>
      <c r="S193" s="1">
        <f t="shared" si="55"/>
        <v>2.1799999999999997</v>
      </c>
      <c r="T193" s="36">
        <f t="shared" si="65"/>
        <v>6.9355961669362698E-2</v>
      </c>
      <c r="U193" s="31">
        <f t="shared" si="53"/>
        <v>12.649355961669363</v>
      </c>
      <c r="V193" s="40">
        <f t="shared" si="56"/>
        <v>97.694742454805876</v>
      </c>
    </row>
    <row r="194" spans="1:22">
      <c r="A194" s="2" t="s">
        <v>726</v>
      </c>
      <c r="B194" s="2" t="s">
        <v>727</v>
      </c>
      <c r="C194" s="2" t="s">
        <v>728</v>
      </c>
      <c r="D194" s="2" t="s">
        <v>729</v>
      </c>
      <c r="E194" s="16">
        <v>26.1</v>
      </c>
      <c r="F194" s="16">
        <v>10.59</v>
      </c>
      <c r="G194" s="16">
        <v>12.6</v>
      </c>
      <c r="H194" s="33">
        <f t="shared" si="51"/>
        <v>111.39082144711287</v>
      </c>
      <c r="I194" s="26">
        <f t="shared" si="57"/>
        <v>111.39082144711287</v>
      </c>
      <c r="J194" s="9">
        <f t="shared" si="58"/>
        <v>4.4445412431979223</v>
      </c>
      <c r="K194" s="9">
        <f t="shared" si="59"/>
        <v>3.3706668477840638</v>
      </c>
      <c r="L194" s="9">
        <f t="shared" si="54"/>
        <v>34.570828589268672</v>
      </c>
      <c r="M194" s="9">
        <f t="shared" si="60"/>
        <v>69.004784766862215</v>
      </c>
      <c r="N194" s="9">
        <f t="shared" si="61"/>
        <v>0</v>
      </c>
      <c r="O194" s="12">
        <f t="shared" si="62"/>
        <v>2.0099999999999998</v>
      </c>
      <c r="P194" s="11">
        <f t="shared" si="63"/>
        <v>1.7649999999999999</v>
      </c>
      <c r="Q194" s="12">
        <f t="shared" si="64"/>
        <v>1.4</v>
      </c>
      <c r="R194" s="1">
        <f t="shared" si="52"/>
        <v>0</v>
      </c>
      <c r="S194" s="1">
        <f t="shared" si="55"/>
        <v>3.41</v>
      </c>
      <c r="T194" s="36">
        <f t="shared" si="65"/>
        <v>6.9355961669362698E-2</v>
      </c>
      <c r="U194" s="31">
        <f t="shared" si="53"/>
        <v>12.669355961669362</v>
      </c>
      <c r="V194" s="40">
        <f t="shared" si="56"/>
        <v>98.598700777031226</v>
      </c>
    </row>
    <row r="195" spans="1:22">
      <c r="A195" s="2" t="s">
        <v>730</v>
      </c>
      <c r="B195" s="2" t="s">
        <v>731</v>
      </c>
      <c r="C195" s="2" t="s">
        <v>732</v>
      </c>
      <c r="D195" s="2" t="s">
        <v>733</v>
      </c>
      <c r="E195" s="16">
        <v>15.8</v>
      </c>
      <c r="F195" s="16">
        <v>11.76</v>
      </c>
      <c r="G195" s="16">
        <v>12.6</v>
      </c>
      <c r="H195" s="33">
        <f t="shared" si="51"/>
        <v>113.98185318768411</v>
      </c>
      <c r="I195" s="26">
        <f t="shared" si="57"/>
        <v>113.98185318768411</v>
      </c>
      <c r="J195" s="9">
        <f t="shared" si="58"/>
        <v>7.3419320536370742</v>
      </c>
      <c r="K195" s="9">
        <f t="shared" si="59"/>
        <v>0.79568578752008723</v>
      </c>
      <c r="L195" s="9">
        <f t="shared" si="54"/>
        <v>36.839450579664728</v>
      </c>
      <c r="M195" s="9">
        <f t="shared" si="60"/>
        <v>69.004784766862215</v>
      </c>
      <c r="N195" s="9">
        <f t="shared" si="61"/>
        <v>0</v>
      </c>
      <c r="O195" s="12">
        <f t="shared" si="62"/>
        <v>0.83999999999999986</v>
      </c>
      <c r="P195" s="11">
        <f t="shared" si="63"/>
        <v>1.96</v>
      </c>
      <c r="Q195" s="12">
        <f t="shared" si="64"/>
        <v>1.4</v>
      </c>
      <c r="R195" s="1">
        <f t="shared" si="52"/>
        <v>0</v>
      </c>
      <c r="S195" s="1">
        <f t="shared" si="55"/>
        <v>2.2400000000000002</v>
      </c>
      <c r="T195" s="36">
        <f t="shared" si="65"/>
        <v>6.9355961669362698E-2</v>
      </c>
      <c r="U195" s="31">
        <f t="shared" si="53"/>
        <v>12.669355961669362</v>
      </c>
      <c r="V195" s="40">
        <f t="shared" si="56"/>
        <v>98.598700777031226</v>
      </c>
    </row>
    <row r="196" spans="1:22">
      <c r="A196" s="2" t="s">
        <v>734</v>
      </c>
      <c r="B196" s="2" t="s">
        <v>735</v>
      </c>
      <c r="C196" s="2" t="s">
        <v>736</v>
      </c>
      <c r="D196" s="2" t="s">
        <v>737</v>
      </c>
      <c r="E196" s="16">
        <v>16.100000000000001</v>
      </c>
      <c r="F196" s="16">
        <v>12.6</v>
      </c>
      <c r="G196" s="16">
        <v>12.6</v>
      </c>
      <c r="H196" s="33">
        <f t="shared" si="51"/>
        <v>113.22925268004677</v>
      </c>
      <c r="I196" s="26">
        <f t="shared" si="57"/>
        <v>113.22925268004677</v>
      </c>
      <c r="J196" s="9">
        <f t="shared" si="58"/>
        <v>7.2051258663022217</v>
      </c>
      <c r="K196" s="9">
        <f t="shared" si="59"/>
        <v>0</v>
      </c>
      <c r="L196" s="9">
        <f t="shared" si="54"/>
        <v>37.019342046882336</v>
      </c>
      <c r="M196" s="9">
        <f t="shared" si="60"/>
        <v>69.004784766862215</v>
      </c>
      <c r="N196" s="9">
        <f t="shared" si="61"/>
        <v>0</v>
      </c>
      <c r="O196" s="12">
        <f t="shared" si="62"/>
        <v>0</v>
      </c>
      <c r="P196" s="11">
        <f t="shared" si="63"/>
        <v>2.1</v>
      </c>
      <c r="Q196" s="12">
        <f t="shared" si="64"/>
        <v>1.4</v>
      </c>
      <c r="R196" s="1">
        <f t="shared" si="52"/>
        <v>0</v>
      </c>
      <c r="S196" s="1">
        <f t="shared" si="55"/>
        <v>1.5</v>
      </c>
      <c r="T196" s="36">
        <f t="shared" si="65"/>
        <v>6.9355961669362698E-2</v>
      </c>
      <c r="U196" s="31">
        <f t="shared" si="53"/>
        <v>12.669355961669362</v>
      </c>
      <c r="V196" s="40">
        <f t="shared" si="56"/>
        <v>98.598700777031226</v>
      </c>
    </row>
    <row r="197" spans="1:22">
      <c r="A197" s="2" t="s">
        <v>738</v>
      </c>
      <c r="B197" s="2" t="s">
        <v>739</v>
      </c>
      <c r="C197" s="2" t="s">
        <v>740</v>
      </c>
      <c r="D197" s="2" t="s">
        <v>741</v>
      </c>
      <c r="E197" s="16">
        <v>19.8</v>
      </c>
      <c r="F197" s="16">
        <v>12.58</v>
      </c>
      <c r="G197" s="16">
        <v>12.7</v>
      </c>
      <c r="H197" s="33">
        <f t="shared" ref="H197:H260" si="66">IF(I197&lt;V197,V197,I197)</f>
        <v>114.26848331475192</v>
      </c>
      <c r="I197" s="26">
        <f t="shared" si="57"/>
        <v>114.26848331475192</v>
      </c>
      <c r="J197" s="9">
        <f t="shared" si="58"/>
        <v>5.8587134569427164</v>
      </c>
      <c r="K197" s="9">
        <f t="shared" si="59"/>
        <v>1.4181086883615367E-2</v>
      </c>
      <c r="L197" s="9">
        <f t="shared" si="54"/>
        <v>36.911134710192457</v>
      </c>
      <c r="M197" s="9">
        <f t="shared" si="60"/>
        <v>71.484454060733128</v>
      </c>
      <c r="N197" s="9">
        <f t="shared" si="61"/>
        <v>0</v>
      </c>
      <c r="O197" s="12">
        <f t="shared" si="62"/>
        <v>0.11999999999999922</v>
      </c>
      <c r="P197" s="11">
        <f t="shared" si="63"/>
        <v>2.0966666666666667</v>
      </c>
      <c r="Q197" s="12">
        <f t="shared" si="64"/>
        <v>1.411111111111111</v>
      </c>
      <c r="R197" s="1">
        <f t="shared" ref="R197:R265" si="67">IF(E197&lt;=14-F197,1,0)</f>
        <v>0</v>
      </c>
      <c r="S197" s="1">
        <f t="shared" si="55"/>
        <v>1.5</v>
      </c>
      <c r="T197" s="36">
        <f t="shared" si="65"/>
        <v>6.9355961669362698E-2</v>
      </c>
      <c r="U197" s="31">
        <f t="shared" ref="U197:U260" si="68">G197+T197</f>
        <v>12.769355961669362</v>
      </c>
      <c r="V197" s="40">
        <f t="shared" si="56"/>
        <v>103.24551438435779</v>
      </c>
    </row>
    <row r="198" spans="1:22">
      <c r="A198" s="2" t="s">
        <v>742</v>
      </c>
      <c r="B198" s="2" t="s">
        <v>743</v>
      </c>
      <c r="C198" s="2" t="s">
        <v>744</v>
      </c>
      <c r="D198" s="2" t="s">
        <v>745</v>
      </c>
      <c r="E198" s="16">
        <v>34.700000000000003</v>
      </c>
      <c r="F198" s="16">
        <v>11.3</v>
      </c>
      <c r="G198" s="16">
        <v>12.7</v>
      </c>
      <c r="H198" s="33">
        <f t="shared" si="66"/>
        <v>112.45149800129764</v>
      </c>
      <c r="I198" s="26">
        <f t="shared" si="57"/>
        <v>112.45149800129764</v>
      </c>
      <c r="J198" s="9">
        <f t="shared" si="58"/>
        <v>3.3430122895523278</v>
      </c>
      <c r="K198" s="9">
        <f t="shared" si="59"/>
        <v>1.3782471555586726</v>
      </c>
      <c r="L198" s="9">
        <f t="shared" ref="L198:L261" si="69">1.04237828050238*P198*(F198+2.34973310685883)/(R198*E198^-0.304107132838227+(1-R198)*(S198)^-0.304107132838227)</f>
        <v>36.245784495453513</v>
      </c>
      <c r="M198" s="9">
        <f t="shared" si="60"/>
        <v>71.484454060733128</v>
      </c>
      <c r="N198" s="9">
        <f t="shared" si="61"/>
        <v>0</v>
      </c>
      <c r="O198" s="12">
        <f t="shared" si="62"/>
        <v>1.3999999999999986</v>
      </c>
      <c r="P198" s="11">
        <f t="shared" si="63"/>
        <v>1.8833333333333335</v>
      </c>
      <c r="Q198" s="12">
        <f t="shared" si="64"/>
        <v>1.411111111111111</v>
      </c>
      <c r="R198" s="1">
        <f t="shared" si="67"/>
        <v>0</v>
      </c>
      <c r="S198" s="1">
        <f t="shared" ref="S198:S261" si="70">IF(F198&lt;12.5,14-F198,1.5)</f>
        <v>2.6999999999999993</v>
      </c>
      <c r="T198" s="36">
        <f t="shared" si="65"/>
        <v>6.9355961669362698E-2</v>
      </c>
      <c r="U198" s="31">
        <f t="shared" si="68"/>
        <v>12.769355961669362</v>
      </c>
      <c r="V198" s="40">
        <f t="shared" ref="V198:V260" si="71">SQRT(10^((U198-2.7)/5)^2/(1-$B$2^2))</f>
        <v>103.24551438435779</v>
      </c>
    </row>
    <row r="199" spans="1:22">
      <c r="A199" s="2" t="s">
        <v>746</v>
      </c>
      <c r="B199" s="2" t="s">
        <v>747</v>
      </c>
      <c r="C199" s="2" t="s">
        <v>748</v>
      </c>
      <c r="D199" s="2" t="s">
        <v>749</v>
      </c>
      <c r="E199" s="16">
        <v>17.2</v>
      </c>
      <c r="F199" s="16">
        <v>12.07</v>
      </c>
      <c r="G199" s="16">
        <v>12.77</v>
      </c>
      <c r="H199" s="33">
        <f t="shared" si="66"/>
        <v>117.43770237614615</v>
      </c>
      <c r="I199" s="26">
        <f t="shared" si="57"/>
        <v>117.43770237614615</v>
      </c>
      <c r="J199" s="9">
        <f t="shared" si="58"/>
        <v>6.7443329329921973</v>
      </c>
      <c r="K199" s="9">
        <f t="shared" si="59"/>
        <v>0.52510309405145472</v>
      </c>
      <c r="L199" s="9">
        <f t="shared" si="69"/>
        <v>36.929940675544927</v>
      </c>
      <c r="M199" s="9">
        <f t="shared" si="60"/>
        <v>73.238325673557569</v>
      </c>
      <c r="N199" s="9">
        <f t="shared" si="61"/>
        <v>0</v>
      </c>
      <c r="O199" s="12">
        <f t="shared" si="62"/>
        <v>0.69999999999999929</v>
      </c>
      <c r="P199" s="11">
        <f t="shared" si="63"/>
        <v>2.0116666666666667</v>
      </c>
      <c r="Q199" s="12">
        <f t="shared" si="64"/>
        <v>1.4188888888888889</v>
      </c>
      <c r="R199" s="1">
        <f t="shared" si="67"/>
        <v>0</v>
      </c>
      <c r="S199" s="1">
        <f t="shared" si="70"/>
        <v>1.9299999999999997</v>
      </c>
      <c r="T199" s="36">
        <f t="shared" si="65"/>
        <v>6.9355961669362698E-2</v>
      </c>
      <c r="U199" s="31">
        <f t="shared" si="68"/>
        <v>12.839355961669362</v>
      </c>
      <c r="V199" s="40">
        <f t="shared" si="71"/>
        <v>106.62798257414794</v>
      </c>
    </row>
    <row r="200" spans="1:22">
      <c r="A200" s="2" t="s">
        <v>750</v>
      </c>
      <c r="B200" s="2" t="s">
        <v>751</v>
      </c>
      <c r="C200" s="2" t="s">
        <v>752</v>
      </c>
      <c r="D200" s="2" t="s">
        <v>753</v>
      </c>
      <c r="E200" s="16">
        <v>16.3</v>
      </c>
      <c r="F200" s="16">
        <v>8.6999999999999993</v>
      </c>
      <c r="G200" s="16">
        <v>12.8</v>
      </c>
      <c r="H200" s="33">
        <f t="shared" si="66"/>
        <v>127.44956932576605</v>
      </c>
      <c r="I200" s="26">
        <f t="shared" si="57"/>
        <v>127.44956932576605</v>
      </c>
      <c r="J200" s="9">
        <f t="shared" si="58"/>
        <v>7.1167194139549554</v>
      </c>
      <c r="K200" s="9">
        <f t="shared" si="59"/>
        <v>18.604933946466957</v>
      </c>
      <c r="L200" s="9">
        <f t="shared" si="69"/>
        <v>27.733367220631191</v>
      </c>
      <c r="M200" s="9">
        <f t="shared" si="60"/>
        <v>73.994548744712944</v>
      </c>
      <c r="N200" s="9">
        <f t="shared" si="61"/>
        <v>0</v>
      </c>
      <c r="O200" s="12">
        <f t="shared" si="62"/>
        <v>4.1000000000000014</v>
      </c>
      <c r="P200" s="11">
        <f t="shared" si="63"/>
        <v>1.45</v>
      </c>
      <c r="Q200" s="12">
        <f t="shared" si="64"/>
        <v>1.4222222222222223</v>
      </c>
      <c r="R200" s="1">
        <f t="shared" si="67"/>
        <v>0</v>
      </c>
      <c r="S200" s="1">
        <f t="shared" si="70"/>
        <v>5.3000000000000007</v>
      </c>
      <c r="T200" s="36">
        <f t="shared" si="65"/>
        <v>6.9355961669362698E-2</v>
      </c>
      <c r="U200" s="31">
        <f t="shared" si="68"/>
        <v>12.869355961669363</v>
      </c>
      <c r="V200" s="40">
        <f t="shared" si="71"/>
        <v>108.11132557006091</v>
      </c>
    </row>
    <row r="201" spans="1:22">
      <c r="A201" s="2" t="s">
        <v>754</v>
      </c>
      <c r="B201" s="2" t="s">
        <v>755</v>
      </c>
      <c r="C201" s="2" t="s">
        <v>756</v>
      </c>
      <c r="D201" s="2" t="s">
        <v>757</v>
      </c>
      <c r="E201" s="16">
        <v>21.3</v>
      </c>
      <c r="F201" s="16">
        <v>10.5</v>
      </c>
      <c r="G201" s="16">
        <v>12.8</v>
      </c>
      <c r="H201" s="33">
        <f t="shared" si="66"/>
        <v>118.73616045622754</v>
      </c>
      <c r="I201" s="26">
        <f t="shared" si="57"/>
        <v>118.73616045622754</v>
      </c>
      <c r="J201" s="9">
        <f t="shared" si="58"/>
        <v>5.4461280022284404</v>
      </c>
      <c r="K201" s="9">
        <f t="shared" si="59"/>
        <v>4.9861343121995905</v>
      </c>
      <c r="L201" s="9">
        <f t="shared" si="69"/>
        <v>34.309349397086557</v>
      </c>
      <c r="M201" s="9">
        <f t="shared" si="60"/>
        <v>73.994548744712944</v>
      </c>
      <c r="N201" s="9">
        <f t="shared" si="61"/>
        <v>0</v>
      </c>
      <c r="O201" s="12">
        <f t="shared" si="62"/>
        <v>2.3000000000000007</v>
      </c>
      <c r="P201" s="11">
        <f t="shared" si="63"/>
        <v>1.75</v>
      </c>
      <c r="Q201" s="12">
        <f t="shared" si="64"/>
        <v>1.4222222222222223</v>
      </c>
      <c r="R201" s="1">
        <f t="shared" si="67"/>
        <v>0</v>
      </c>
      <c r="S201" s="1">
        <f t="shared" si="70"/>
        <v>3.5</v>
      </c>
      <c r="T201" s="36">
        <f t="shared" si="65"/>
        <v>6.9355961669362698E-2</v>
      </c>
      <c r="U201" s="31">
        <f t="shared" si="68"/>
        <v>12.869355961669363</v>
      </c>
      <c r="V201" s="40">
        <f t="shared" si="71"/>
        <v>108.11132557006091</v>
      </c>
    </row>
    <row r="202" spans="1:22">
      <c r="A202" s="2" t="s">
        <v>758</v>
      </c>
      <c r="B202" s="2" t="s">
        <v>759</v>
      </c>
      <c r="C202" s="2" t="s">
        <v>760</v>
      </c>
      <c r="D202" s="2" t="s">
        <v>761</v>
      </c>
      <c r="E202" s="16">
        <v>32.299999999999997</v>
      </c>
      <c r="F202" s="16">
        <v>11.8</v>
      </c>
      <c r="G202" s="16">
        <v>12.8</v>
      </c>
      <c r="H202" s="33">
        <f t="shared" si="66"/>
        <v>115.18703928469834</v>
      </c>
      <c r="I202" s="26">
        <f t="shared" si="57"/>
        <v>115.18703928469834</v>
      </c>
      <c r="J202" s="9">
        <f t="shared" si="58"/>
        <v>3.5914094875376406</v>
      </c>
      <c r="K202" s="9">
        <f t="shared" si="59"/>
        <v>0.73410316282972043</v>
      </c>
      <c r="L202" s="9">
        <f t="shared" si="69"/>
        <v>36.866977889618042</v>
      </c>
      <c r="M202" s="9">
        <f t="shared" si="60"/>
        <v>73.994548744712944</v>
      </c>
      <c r="N202" s="9">
        <f t="shared" si="61"/>
        <v>0</v>
      </c>
      <c r="O202" s="12">
        <f t="shared" si="62"/>
        <v>1</v>
      </c>
      <c r="P202" s="11">
        <f t="shared" si="63"/>
        <v>1.9666666666666668</v>
      </c>
      <c r="Q202" s="12">
        <f t="shared" si="64"/>
        <v>1.4222222222222223</v>
      </c>
      <c r="R202" s="1">
        <f t="shared" si="67"/>
        <v>0</v>
      </c>
      <c r="S202" s="1">
        <f t="shared" si="70"/>
        <v>2.1999999999999993</v>
      </c>
      <c r="T202" s="36">
        <f t="shared" si="65"/>
        <v>6.9355961669362698E-2</v>
      </c>
      <c r="U202" s="31">
        <f t="shared" si="68"/>
        <v>12.869355961669363</v>
      </c>
      <c r="V202" s="40">
        <f t="shared" si="71"/>
        <v>108.11132557006091</v>
      </c>
    </row>
    <row r="203" spans="1:22">
      <c r="A203" s="2" t="s">
        <v>762</v>
      </c>
      <c r="B203" s="2" t="s">
        <v>763</v>
      </c>
      <c r="C203" s="2" t="s">
        <v>764</v>
      </c>
      <c r="D203" s="2" t="s">
        <v>765</v>
      </c>
      <c r="E203" s="16">
        <v>26</v>
      </c>
      <c r="F203" s="16">
        <v>11.82</v>
      </c>
      <c r="G203" s="16">
        <v>12.81</v>
      </c>
      <c r="H203" s="33">
        <f t="shared" si="66"/>
        <v>116.40755143628652</v>
      </c>
      <c r="I203" s="26">
        <f t="shared" si="57"/>
        <v>116.40755143628652</v>
      </c>
      <c r="J203" s="9">
        <f t="shared" si="58"/>
        <v>4.4616356325948381</v>
      </c>
      <c r="K203" s="9">
        <f t="shared" si="59"/>
        <v>0.81958675106783951</v>
      </c>
      <c r="L203" s="9">
        <f t="shared" si="69"/>
        <v>36.879097443056928</v>
      </c>
      <c r="M203" s="9">
        <f t="shared" si="60"/>
        <v>74.24723160956691</v>
      </c>
      <c r="N203" s="9">
        <f t="shared" si="61"/>
        <v>0</v>
      </c>
      <c r="O203" s="12">
        <f t="shared" si="62"/>
        <v>0.99000000000000021</v>
      </c>
      <c r="P203" s="11">
        <f t="shared" si="63"/>
        <v>1.97</v>
      </c>
      <c r="Q203" s="12">
        <f t="shared" si="64"/>
        <v>1.4233333333333333</v>
      </c>
      <c r="R203" s="1">
        <f t="shared" si="67"/>
        <v>0</v>
      </c>
      <c r="S203" s="1">
        <f t="shared" si="70"/>
        <v>2.1799999999999997</v>
      </c>
      <c r="T203" s="36">
        <f t="shared" si="65"/>
        <v>6.9355961669362698E-2</v>
      </c>
      <c r="U203" s="31">
        <f t="shared" si="68"/>
        <v>12.879355961669363</v>
      </c>
      <c r="V203" s="40">
        <f t="shared" si="71"/>
        <v>108.61034477561157</v>
      </c>
    </row>
    <row r="204" spans="1:22">
      <c r="A204" s="2" t="s">
        <v>766</v>
      </c>
      <c r="B204" s="2" t="s">
        <v>767</v>
      </c>
      <c r="C204" s="2" t="s">
        <v>768</v>
      </c>
      <c r="D204" s="2" t="s">
        <v>769</v>
      </c>
      <c r="E204" s="16">
        <v>41.3</v>
      </c>
      <c r="F204" s="16">
        <v>4.28</v>
      </c>
      <c r="G204" s="16">
        <v>12.9</v>
      </c>
      <c r="H204" s="33">
        <f t="shared" si="66"/>
        <v>126.40788528639857</v>
      </c>
      <c r="I204" s="26">
        <f t="shared" si="57"/>
        <v>126.40788528639857</v>
      </c>
      <c r="J204" s="9">
        <f t="shared" si="58"/>
        <v>2.8087778800839174</v>
      </c>
      <c r="K204" s="9">
        <f t="shared" si="59"/>
        <v>47.064038587513089</v>
      </c>
      <c r="L204" s="9">
        <f t="shared" si="69"/>
        <v>0</v>
      </c>
      <c r="M204" s="9">
        <f t="shared" si="60"/>
        <v>76.535068818801562</v>
      </c>
      <c r="N204" s="9">
        <f t="shared" si="61"/>
        <v>0</v>
      </c>
      <c r="O204" s="12">
        <f t="shared" si="62"/>
        <v>8.620000000000001</v>
      </c>
      <c r="P204" s="11">
        <f t="shared" si="63"/>
        <v>0</v>
      </c>
      <c r="Q204" s="12">
        <f t="shared" si="64"/>
        <v>1.4333333333333333</v>
      </c>
      <c r="R204" s="1">
        <f t="shared" si="67"/>
        <v>0</v>
      </c>
      <c r="S204" s="1">
        <f t="shared" si="70"/>
        <v>9.7199999999999989</v>
      </c>
      <c r="T204" s="36">
        <f t="shared" si="65"/>
        <v>6.9355961669362698E-2</v>
      </c>
      <c r="U204" s="31">
        <f t="shared" si="68"/>
        <v>12.969355961669363</v>
      </c>
      <c r="V204" s="40">
        <f t="shared" si="71"/>
        <v>113.20645537203585</v>
      </c>
    </row>
    <row r="205" spans="1:22">
      <c r="A205" s="2" t="s">
        <v>770</v>
      </c>
      <c r="B205" s="2" t="s">
        <v>771</v>
      </c>
      <c r="C205" s="2" t="s">
        <v>772</v>
      </c>
      <c r="D205" s="2" t="s">
        <v>773</v>
      </c>
      <c r="E205" s="16">
        <v>18.100000000000001</v>
      </c>
      <c r="F205" s="16">
        <v>9.59</v>
      </c>
      <c r="G205" s="16">
        <v>13</v>
      </c>
      <c r="H205" s="33">
        <f t="shared" si="66"/>
        <v>128.8371087984149</v>
      </c>
      <c r="I205" s="26">
        <f t="shared" si="57"/>
        <v>128.8371087984149</v>
      </c>
      <c r="J205" s="9">
        <f t="shared" si="58"/>
        <v>6.4089793617384405</v>
      </c>
      <c r="K205" s="9">
        <f t="shared" si="59"/>
        <v>12.085375270686388</v>
      </c>
      <c r="L205" s="9">
        <f t="shared" si="69"/>
        <v>31.236739882991042</v>
      </c>
      <c r="M205" s="9">
        <f t="shared" si="60"/>
        <v>79.106014282999027</v>
      </c>
      <c r="N205" s="9">
        <f t="shared" si="61"/>
        <v>0</v>
      </c>
      <c r="O205" s="12">
        <f t="shared" si="62"/>
        <v>3.41</v>
      </c>
      <c r="P205" s="11">
        <f t="shared" si="63"/>
        <v>1.5983333333333334</v>
      </c>
      <c r="Q205" s="12">
        <f t="shared" si="64"/>
        <v>1.4444444444444444</v>
      </c>
      <c r="R205" s="1">
        <f t="shared" si="67"/>
        <v>0</v>
      </c>
      <c r="S205" s="1">
        <f t="shared" si="70"/>
        <v>4.41</v>
      </c>
      <c r="T205" s="36">
        <f t="shared" si="65"/>
        <v>6.9355961669362698E-2</v>
      </c>
      <c r="U205" s="31">
        <f t="shared" si="68"/>
        <v>13.069355961669363</v>
      </c>
      <c r="V205" s="40">
        <f t="shared" si="71"/>
        <v>118.54171124370905</v>
      </c>
    </row>
    <row r="206" spans="1:22">
      <c r="A206" s="2" t="s">
        <v>774</v>
      </c>
      <c r="B206" s="2" t="s">
        <v>775</v>
      </c>
      <c r="C206" s="2" t="s">
        <v>776</v>
      </c>
      <c r="D206" s="2" t="s">
        <v>777</v>
      </c>
      <c r="E206" s="16">
        <v>19.8</v>
      </c>
      <c r="F206" s="16">
        <v>5.89</v>
      </c>
      <c r="G206" s="16">
        <v>13</v>
      </c>
      <c r="H206" s="33">
        <f t="shared" si="66"/>
        <v>134.74831956280437</v>
      </c>
      <c r="I206" s="26">
        <f t="shared" si="57"/>
        <v>134.74831956280437</v>
      </c>
      <c r="J206" s="9">
        <f t="shared" si="58"/>
        <v>5.8587134569427164</v>
      </c>
      <c r="K206" s="9">
        <f t="shared" si="59"/>
        <v>49.783591822862626</v>
      </c>
      <c r="L206" s="9">
        <f t="shared" si="69"/>
        <v>0</v>
      </c>
      <c r="M206" s="9">
        <f t="shared" si="60"/>
        <v>79.106014282999027</v>
      </c>
      <c r="N206" s="9">
        <f t="shared" si="61"/>
        <v>0</v>
      </c>
      <c r="O206" s="12">
        <f t="shared" si="62"/>
        <v>7.11</v>
      </c>
      <c r="P206" s="11">
        <f t="shared" si="63"/>
        <v>0</v>
      </c>
      <c r="Q206" s="12">
        <f t="shared" si="64"/>
        <v>1.4444444444444444</v>
      </c>
      <c r="R206" s="1">
        <f t="shared" si="67"/>
        <v>0</v>
      </c>
      <c r="S206" s="1">
        <f t="shared" si="70"/>
        <v>8.11</v>
      </c>
      <c r="T206" s="36">
        <f t="shared" si="65"/>
        <v>6.9355961669362698E-2</v>
      </c>
      <c r="U206" s="31">
        <f t="shared" si="68"/>
        <v>13.069355961669363</v>
      </c>
      <c r="V206" s="40">
        <f t="shared" si="71"/>
        <v>118.54171124370905</v>
      </c>
    </row>
    <row r="207" spans="1:22">
      <c r="A207" s="2" t="s">
        <v>778</v>
      </c>
      <c r="B207" s="2" t="s">
        <v>779</v>
      </c>
      <c r="C207" s="2" t="s">
        <v>780</v>
      </c>
      <c r="D207" s="2" t="s">
        <v>781</v>
      </c>
      <c r="E207" s="16">
        <v>29.4</v>
      </c>
      <c r="F207" s="16">
        <v>10</v>
      </c>
      <c r="G207" s="16">
        <v>13</v>
      </c>
      <c r="H207" s="33">
        <f t="shared" si="66"/>
        <v>122.74808151267956</v>
      </c>
      <c r="I207" s="26">
        <f t="shared" si="57"/>
        <v>122.74808151267956</v>
      </c>
      <c r="J207" s="9">
        <f t="shared" si="58"/>
        <v>3.9456641648797888</v>
      </c>
      <c r="K207" s="9">
        <f t="shared" si="59"/>
        <v>6.9907810619543271</v>
      </c>
      <c r="L207" s="9">
        <f t="shared" si="69"/>
        <v>32.705622002846418</v>
      </c>
      <c r="M207" s="9">
        <f t="shared" si="60"/>
        <v>79.106014282999027</v>
      </c>
      <c r="N207" s="9">
        <f t="shared" si="61"/>
        <v>0</v>
      </c>
      <c r="O207" s="12">
        <f t="shared" si="62"/>
        <v>3</v>
      </c>
      <c r="P207" s="11">
        <f t="shared" si="63"/>
        <v>1.6666666666666667</v>
      </c>
      <c r="Q207" s="12">
        <f t="shared" si="64"/>
        <v>1.4444444444444444</v>
      </c>
      <c r="R207" s="1">
        <f t="shared" si="67"/>
        <v>0</v>
      </c>
      <c r="S207" s="1">
        <f t="shared" si="70"/>
        <v>4</v>
      </c>
      <c r="T207" s="36">
        <f t="shared" si="65"/>
        <v>6.9355961669362698E-2</v>
      </c>
      <c r="U207" s="31">
        <f t="shared" si="68"/>
        <v>13.069355961669363</v>
      </c>
      <c r="V207" s="40">
        <f t="shared" si="71"/>
        <v>118.54171124370905</v>
      </c>
    </row>
    <row r="208" spans="1:22">
      <c r="A208" s="2" t="s">
        <v>782</v>
      </c>
      <c r="B208" s="2" t="s">
        <v>783</v>
      </c>
      <c r="C208" s="2" t="s">
        <v>784</v>
      </c>
      <c r="D208" s="2" t="s">
        <v>785</v>
      </c>
      <c r="E208" s="16">
        <v>19.7</v>
      </c>
      <c r="F208" s="16">
        <v>8.83</v>
      </c>
      <c r="G208" s="16">
        <v>13</v>
      </c>
      <c r="H208" s="33">
        <f t="shared" si="66"/>
        <v>130.43580955251483</v>
      </c>
      <c r="I208" s="26">
        <f t="shared" si="57"/>
        <v>130.43580955251483</v>
      </c>
      <c r="J208" s="9">
        <f t="shared" si="58"/>
        <v>5.8884531191607001</v>
      </c>
      <c r="K208" s="9">
        <f t="shared" si="59"/>
        <v>17.176679524610247</v>
      </c>
      <c r="L208" s="9">
        <f t="shared" si="69"/>
        <v>28.264662625744858</v>
      </c>
      <c r="M208" s="9">
        <f t="shared" si="60"/>
        <v>79.106014282999027</v>
      </c>
      <c r="N208" s="9">
        <f t="shared" si="61"/>
        <v>0</v>
      </c>
      <c r="O208" s="12">
        <f t="shared" si="62"/>
        <v>4.17</v>
      </c>
      <c r="P208" s="11">
        <f t="shared" si="63"/>
        <v>1.4716666666666667</v>
      </c>
      <c r="Q208" s="12">
        <f t="shared" si="64"/>
        <v>1.4444444444444444</v>
      </c>
      <c r="R208" s="1">
        <f t="shared" si="67"/>
        <v>0</v>
      </c>
      <c r="S208" s="1">
        <f t="shared" si="70"/>
        <v>5.17</v>
      </c>
      <c r="T208" s="36">
        <f t="shared" si="65"/>
        <v>6.9355961669362698E-2</v>
      </c>
      <c r="U208" s="31">
        <f t="shared" si="68"/>
        <v>13.069355961669363</v>
      </c>
      <c r="V208" s="40">
        <f t="shared" si="71"/>
        <v>118.54171124370905</v>
      </c>
    </row>
    <row r="209" spans="1:22">
      <c r="A209" s="2" t="s">
        <v>786</v>
      </c>
      <c r="B209" s="2" t="s">
        <v>787</v>
      </c>
      <c r="C209" s="2" t="s">
        <v>788</v>
      </c>
      <c r="D209" s="2" t="s">
        <v>789</v>
      </c>
      <c r="E209" s="16">
        <v>27.8</v>
      </c>
      <c r="F209" s="16">
        <v>8.49</v>
      </c>
      <c r="G209" s="16">
        <v>13.05</v>
      </c>
      <c r="H209" s="33">
        <f t="shared" si="66"/>
        <v>128.14413022007602</v>
      </c>
      <c r="I209" s="26">
        <f t="shared" si="57"/>
        <v>128.14413022007602</v>
      </c>
      <c r="J209" s="9">
        <f t="shared" si="58"/>
        <v>4.1727527499088408</v>
      </c>
      <c r="K209" s="9">
        <f t="shared" si="59"/>
        <v>16.703293775406394</v>
      </c>
      <c r="L209" s="9">
        <f t="shared" si="69"/>
        <v>26.865187158372173</v>
      </c>
      <c r="M209" s="9">
        <f t="shared" si="60"/>
        <v>80.402896536388596</v>
      </c>
      <c r="N209" s="9">
        <f t="shared" si="61"/>
        <v>0</v>
      </c>
      <c r="O209" s="12">
        <f t="shared" si="62"/>
        <v>4.5600000000000005</v>
      </c>
      <c r="P209" s="11">
        <f t="shared" si="63"/>
        <v>1.415</v>
      </c>
      <c r="Q209" s="12">
        <f t="shared" si="64"/>
        <v>1.4500000000000002</v>
      </c>
      <c r="R209" s="1">
        <f t="shared" si="67"/>
        <v>0</v>
      </c>
      <c r="S209" s="1">
        <f t="shared" si="70"/>
        <v>5.51</v>
      </c>
      <c r="T209" s="36">
        <f t="shared" si="65"/>
        <v>6.9355961669362698E-2</v>
      </c>
      <c r="U209" s="31">
        <f t="shared" si="68"/>
        <v>13.119355961669363</v>
      </c>
      <c r="V209" s="40">
        <f t="shared" si="71"/>
        <v>121.30290240865602</v>
      </c>
    </row>
    <row r="210" spans="1:22">
      <c r="A210" s="2" t="s">
        <v>790</v>
      </c>
      <c r="B210" s="2" t="s">
        <v>791</v>
      </c>
      <c r="C210" s="2" t="s">
        <v>792</v>
      </c>
      <c r="D210" s="2" t="s">
        <v>793</v>
      </c>
      <c r="E210" s="16">
        <v>20.3</v>
      </c>
      <c r="F210" s="16">
        <v>12.61</v>
      </c>
      <c r="G210" s="16">
        <v>13.08</v>
      </c>
      <c r="H210" s="33">
        <f t="shared" si="66"/>
        <v>124.18690096714587</v>
      </c>
      <c r="I210" s="26">
        <f t="shared" si="57"/>
        <v>124.18690096714587</v>
      </c>
      <c r="J210" s="9">
        <f t="shared" si="58"/>
        <v>5.7144101698259009</v>
      </c>
      <c r="K210" s="9">
        <f t="shared" si="59"/>
        <v>0.21430918841977087</v>
      </c>
      <c r="L210" s="9">
        <f t="shared" si="69"/>
        <v>37.073504673664836</v>
      </c>
      <c r="M210" s="9">
        <f t="shared" si="60"/>
        <v>81.184676935235373</v>
      </c>
      <c r="N210" s="9">
        <f t="shared" si="61"/>
        <v>0</v>
      </c>
      <c r="O210" s="12">
        <f t="shared" si="62"/>
        <v>0.47000000000000064</v>
      </c>
      <c r="P210" s="11">
        <f t="shared" si="63"/>
        <v>2.1016666666666666</v>
      </c>
      <c r="Q210" s="12">
        <f t="shared" si="64"/>
        <v>1.4533333333333334</v>
      </c>
      <c r="R210" s="1">
        <f t="shared" si="67"/>
        <v>0</v>
      </c>
      <c r="S210" s="1">
        <f t="shared" si="70"/>
        <v>1.5</v>
      </c>
      <c r="T210" s="36">
        <f t="shared" si="65"/>
        <v>6.9355961669362698E-2</v>
      </c>
      <c r="U210" s="31">
        <f t="shared" si="68"/>
        <v>13.149355961669363</v>
      </c>
      <c r="V210" s="40">
        <f t="shared" si="71"/>
        <v>122.99039387504158</v>
      </c>
    </row>
    <row r="211" spans="1:22">
      <c r="A211" s="2" t="s">
        <v>794</v>
      </c>
      <c r="B211" s="2" t="s">
        <v>795</v>
      </c>
      <c r="C211" s="2" t="s">
        <v>796</v>
      </c>
      <c r="D211" s="2" t="s">
        <v>797</v>
      </c>
      <c r="E211" s="16">
        <v>23</v>
      </c>
      <c r="F211" s="16">
        <v>9.67</v>
      </c>
      <c r="G211" s="16">
        <v>13.1</v>
      </c>
      <c r="H211" s="33">
        <f t="shared" si="66"/>
        <v>128.87283002194982</v>
      </c>
      <c r="I211" s="26">
        <f t="shared" si="57"/>
        <v>128.87283002194982</v>
      </c>
      <c r="J211" s="9">
        <f t="shared" si="58"/>
        <v>5.0435881064115557</v>
      </c>
      <c r="K211" s="9">
        <f t="shared" si="59"/>
        <v>10.589537812882522</v>
      </c>
      <c r="L211" s="9">
        <f t="shared" si="69"/>
        <v>31.532318965350406</v>
      </c>
      <c r="M211" s="9">
        <f t="shared" si="60"/>
        <v>81.707385137305323</v>
      </c>
      <c r="N211" s="9">
        <f t="shared" si="61"/>
        <v>0</v>
      </c>
      <c r="O211" s="12">
        <f t="shared" si="62"/>
        <v>3.4299999999999997</v>
      </c>
      <c r="P211" s="11">
        <f t="shared" si="63"/>
        <v>1.6116666666666666</v>
      </c>
      <c r="Q211" s="12">
        <f t="shared" si="64"/>
        <v>1.4555555555555555</v>
      </c>
      <c r="R211" s="1">
        <f t="shared" si="67"/>
        <v>0</v>
      </c>
      <c r="S211" s="1">
        <f t="shared" si="70"/>
        <v>4.33</v>
      </c>
      <c r="T211" s="36">
        <f t="shared" si="65"/>
        <v>6.9355961669362698E-2</v>
      </c>
      <c r="U211" s="31">
        <f t="shared" si="68"/>
        <v>13.169355961669362</v>
      </c>
      <c r="V211" s="40">
        <f t="shared" si="71"/>
        <v>124.1284099780939</v>
      </c>
    </row>
    <row r="212" spans="1:22">
      <c r="A212" s="2" t="s">
        <v>798</v>
      </c>
      <c r="B212" s="2" t="s">
        <v>799</v>
      </c>
      <c r="C212" s="2" t="s">
        <v>800</v>
      </c>
      <c r="D212" s="2" t="s">
        <v>801</v>
      </c>
      <c r="E212" s="16">
        <v>31.6</v>
      </c>
      <c r="F212" s="16">
        <v>8.5</v>
      </c>
      <c r="G212" s="16">
        <v>13.1</v>
      </c>
      <c r="H212" s="33">
        <f t="shared" si="66"/>
        <v>128.02441356997241</v>
      </c>
      <c r="I212" s="26">
        <f t="shared" si="57"/>
        <v>128.02441356997241</v>
      </c>
      <c r="J212" s="9">
        <f t="shared" si="58"/>
        <v>3.6709660268185371</v>
      </c>
      <c r="K212" s="9">
        <f t="shared" si="59"/>
        <v>15.739286679970087</v>
      </c>
      <c r="L212" s="9">
        <f t="shared" si="69"/>
        <v>26.906775725878443</v>
      </c>
      <c r="M212" s="9">
        <f t="shared" si="60"/>
        <v>81.707385137305323</v>
      </c>
      <c r="N212" s="9">
        <f t="shared" si="61"/>
        <v>0</v>
      </c>
      <c r="O212" s="12">
        <f t="shared" si="62"/>
        <v>4.5999999999999996</v>
      </c>
      <c r="P212" s="11">
        <f t="shared" si="63"/>
        <v>1.4166666666666667</v>
      </c>
      <c r="Q212" s="12">
        <f t="shared" si="64"/>
        <v>1.4555555555555555</v>
      </c>
      <c r="R212" s="1">
        <f t="shared" si="67"/>
        <v>0</v>
      </c>
      <c r="S212" s="1">
        <f t="shared" si="70"/>
        <v>5.5</v>
      </c>
      <c r="T212" s="36">
        <f t="shared" si="65"/>
        <v>6.9355961669362698E-2</v>
      </c>
      <c r="U212" s="31">
        <f t="shared" si="68"/>
        <v>13.169355961669362</v>
      </c>
      <c r="V212" s="40">
        <f t="shared" si="71"/>
        <v>124.1284099780939</v>
      </c>
    </row>
    <row r="213" spans="1:22">
      <c r="A213" s="2" t="s">
        <v>802</v>
      </c>
      <c r="B213" s="2" t="s">
        <v>803</v>
      </c>
      <c r="C213" s="2" t="s">
        <v>804</v>
      </c>
      <c r="D213" s="2" t="s">
        <v>805</v>
      </c>
      <c r="E213" s="16">
        <v>15.7</v>
      </c>
      <c r="F213" s="16">
        <v>12.9</v>
      </c>
      <c r="G213" s="16">
        <v>13.1</v>
      </c>
      <c r="H213" s="33">
        <f t="shared" si="66"/>
        <v>127.80267904614914</v>
      </c>
      <c r="I213" s="26">
        <f t="shared" si="57"/>
        <v>127.80267904614914</v>
      </c>
      <c r="J213" s="9">
        <f t="shared" si="58"/>
        <v>7.3886959520678843</v>
      </c>
      <c r="K213" s="9">
        <f t="shared" si="59"/>
        <v>4.527915952703758E-2</v>
      </c>
      <c r="L213" s="9">
        <f t="shared" si="69"/>
        <v>38.661318797248896</v>
      </c>
      <c r="M213" s="9">
        <f t="shared" si="60"/>
        <v>81.707385137305323</v>
      </c>
      <c r="N213" s="9">
        <f t="shared" si="61"/>
        <v>0</v>
      </c>
      <c r="O213" s="12">
        <f t="shared" si="62"/>
        <v>0.19999999999999929</v>
      </c>
      <c r="P213" s="11">
        <f t="shared" si="63"/>
        <v>2.15</v>
      </c>
      <c r="Q213" s="12">
        <f t="shared" si="64"/>
        <v>1.4555555555555555</v>
      </c>
      <c r="R213" s="1">
        <f t="shared" si="67"/>
        <v>0</v>
      </c>
      <c r="S213" s="1">
        <f t="shared" si="70"/>
        <v>1.5</v>
      </c>
      <c r="T213" s="36">
        <f t="shared" si="65"/>
        <v>6.9355961669362698E-2</v>
      </c>
      <c r="U213" s="31">
        <f t="shared" si="68"/>
        <v>13.169355961669362</v>
      </c>
      <c r="V213" s="40">
        <f t="shared" si="71"/>
        <v>124.1284099780939</v>
      </c>
    </row>
    <row r="214" spans="1:22">
      <c r="A214" s="2" t="s">
        <v>806</v>
      </c>
      <c r="B214" s="2" t="s">
        <v>807</v>
      </c>
      <c r="C214" s="2" t="s">
        <v>808</v>
      </c>
      <c r="D214" s="2" t="s">
        <v>809</v>
      </c>
      <c r="E214" s="16">
        <v>15</v>
      </c>
      <c r="F214" s="16">
        <v>12.8</v>
      </c>
      <c r="G214" s="16">
        <v>13.2</v>
      </c>
      <c r="H214" s="33">
        <f t="shared" si="66"/>
        <v>130.36889006876376</v>
      </c>
      <c r="I214" s="26">
        <f t="shared" si="57"/>
        <v>130.36889006876376</v>
      </c>
      <c r="J214" s="9">
        <f t="shared" si="58"/>
        <v>7.7335017631643854</v>
      </c>
      <c r="K214" s="9">
        <f t="shared" si="59"/>
        <v>0.18614427258933172</v>
      </c>
      <c r="L214" s="9">
        <f t="shared" si="69"/>
        <v>38.110062651289567</v>
      </c>
      <c r="M214" s="9">
        <f t="shared" si="60"/>
        <v>84.339181381720479</v>
      </c>
      <c r="N214" s="9">
        <f t="shared" si="61"/>
        <v>0</v>
      </c>
      <c r="O214" s="12">
        <f t="shared" si="62"/>
        <v>0.39999999999999858</v>
      </c>
      <c r="P214" s="11">
        <f t="shared" si="63"/>
        <v>2.1333333333333333</v>
      </c>
      <c r="Q214" s="12">
        <f t="shared" si="64"/>
        <v>1.4666666666666666</v>
      </c>
      <c r="R214" s="1">
        <f t="shared" si="67"/>
        <v>0</v>
      </c>
      <c r="S214" s="1">
        <f t="shared" si="70"/>
        <v>1.5</v>
      </c>
      <c r="T214" s="36">
        <f t="shared" si="65"/>
        <v>6.9355961669362698E-2</v>
      </c>
      <c r="U214" s="31">
        <f t="shared" si="68"/>
        <v>13.269355961669362</v>
      </c>
      <c r="V214" s="40">
        <f t="shared" si="71"/>
        <v>129.97840171222825</v>
      </c>
    </row>
    <row r="215" spans="1:22">
      <c r="A215" s="2" t="s">
        <v>810</v>
      </c>
      <c r="B215" s="2" t="s">
        <v>811</v>
      </c>
      <c r="C215" s="2" t="s">
        <v>812</v>
      </c>
      <c r="D215" s="2" t="s">
        <v>813</v>
      </c>
      <c r="E215" s="16">
        <v>29</v>
      </c>
      <c r="F215" s="16">
        <v>11.99</v>
      </c>
      <c r="G215" s="16">
        <v>13.2</v>
      </c>
      <c r="H215" s="33">
        <f t="shared" si="66"/>
        <v>129.97840171222825</v>
      </c>
      <c r="I215" s="26">
        <f t="shared" si="57"/>
        <v>126.42093258908127</v>
      </c>
      <c r="J215" s="9">
        <f t="shared" si="58"/>
        <v>4.0000871188781302</v>
      </c>
      <c r="K215" s="9">
        <f t="shared" si="59"/>
        <v>1.1466356019840791</v>
      </c>
      <c r="L215" s="9">
        <f t="shared" si="69"/>
        <v>36.935028486498595</v>
      </c>
      <c r="M215" s="9">
        <f t="shared" si="60"/>
        <v>84.339181381720479</v>
      </c>
      <c r="N215" s="9">
        <f t="shared" si="61"/>
        <v>0</v>
      </c>
      <c r="O215" s="12">
        <f t="shared" si="62"/>
        <v>1.2099999999999991</v>
      </c>
      <c r="P215" s="11">
        <f t="shared" si="63"/>
        <v>1.9983333333333333</v>
      </c>
      <c r="Q215" s="12">
        <f t="shared" si="64"/>
        <v>1.4666666666666666</v>
      </c>
      <c r="R215" s="1">
        <f t="shared" si="67"/>
        <v>0</v>
      </c>
      <c r="S215" s="1">
        <f t="shared" si="70"/>
        <v>2.0099999999999998</v>
      </c>
      <c r="T215" s="36">
        <f t="shared" si="65"/>
        <v>6.9355961669362698E-2</v>
      </c>
      <c r="U215" s="31">
        <f t="shared" si="68"/>
        <v>13.269355961669362</v>
      </c>
      <c r="V215" s="40">
        <f t="shared" si="71"/>
        <v>129.97840171222825</v>
      </c>
    </row>
    <row r="216" spans="1:22">
      <c r="A216" s="2" t="s">
        <v>814</v>
      </c>
      <c r="B216" s="2" t="s">
        <v>815</v>
      </c>
      <c r="C216" s="2" t="s">
        <v>816</v>
      </c>
      <c r="D216" s="2" t="s">
        <v>817</v>
      </c>
      <c r="E216" s="16">
        <v>15.2</v>
      </c>
      <c r="F216" s="16">
        <v>13.1</v>
      </c>
      <c r="G216" s="16">
        <v>13.2</v>
      </c>
      <c r="H216" s="33">
        <f t="shared" si="66"/>
        <v>131.75809119717667</v>
      </c>
      <c r="I216" s="26">
        <f t="shared" si="57"/>
        <v>131.75809119717667</v>
      </c>
      <c r="J216" s="9">
        <f t="shared" si="58"/>
        <v>7.631745161017486</v>
      </c>
      <c r="K216" s="9">
        <f t="shared" si="59"/>
        <v>1.154187775967646E-2</v>
      </c>
      <c r="L216" s="9">
        <f t="shared" si="69"/>
        <v>39.775622776679015</v>
      </c>
      <c r="M216" s="9">
        <f t="shared" si="60"/>
        <v>84.339181381720479</v>
      </c>
      <c r="N216" s="9">
        <f t="shared" si="61"/>
        <v>0</v>
      </c>
      <c r="O216" s="12">
        <f t="shared" si="62"/>
        <v>9.9999999999999645E-2</v>
      </c>
      <c r="P216" s="11">
        <f t="shared" si="63"/>
        <v>2.1833333333333331</v>
      </c>
      <c r="Q216" s="12">
        <f t="shared" si="64"/>
        <v>1.4666666666666666</v>
      </c>
      <c r="R216" s="1">
        <f t="shared" si="67"/>
        <v>0</v>
      </c>
      <c r="S216" s="1">
        <f t="shared" si="70"/>
        <v>1.5</v>
      </c>
      <c r="T216" s="36">
        <f t="shared" si="65"/>
        <v>6.9355961669362698E-2</v>
      </c>
      <c r="U216" s="31">
        <f t="shared" si="68"/>
        <v>13.269355961669362</v>
      </c>
      <c r="V216" s="40">
        <f t="shared" si="71"/>
        <v>129.97840171222825</v>
      </c>
    </row>
    <row r="217" spans="1:22">
      <c r="A217" s="2" t="s">
        <v>818</v>
      </c>
      <c r="B217" s="2" t="s">
        <v>819</v>
      </c>
      <c r="C217" s="2" t="s">
        <v>820</v>
      </c>
      <c r="D217" s="2" t="s">
        <v>821</v>
      </c>
      <c r="E217" s="16">
        <v>26.9</v>
      </c>
      <c r="F217" s="16">
        <v>13.12</v>
      </c>
      <c r="G217" s="16">
        <v>13.21</v>
      </c>
      <c r="H217" s="33">
        <f t="shared" si="66"/>
        <v>130.57835475525295</v>
      </c>
      <c r="I217" s="26">
        <f t="shared" si="57"/>
        <v>128.81095035459256</v>
      </c>
      <c r="J217" s="9">
        <f t="shared" si="58"/>
        <v>4.3123615779727063</v>
      </c>
      <c r="K217" s="9">
        <f t="shared" si="59"/>
        <v>6.6364756289593882E-3</v>
      </c>
      <c r="L217" s="9">
        <f t="shared" si="69"/>
        <v>39.887917898372869</v>
      </c>
      <c r="M217" s="9">
        <f t="shared" si="60"/>
        <v>84.604034402618026</v>
      </c>
      <c r="N217" s="9">
        <f t="shared" si="61"/>
        <v>0</v>
      </c>
      <c r="O217" s="12">
        <f t="shared" si="62"/>
        <v>9.0000000000001634E-2</v>
      </c>
      <c r="P217" s="11">
        <f t="shared" si="63"/>
        <v>2.1866666666666665</v>
      </c>
      <c r="Q217" s="12">
        <f t="shared" si="64"/>
        <v>1.4677777777777778</v>
      </c>
      <c r="R217" s="1">
        <f t="shared" si="67"/>
        <v>0</v>
      </c>
      <c r="S217" s="1">
        <f t="shared" si="70"/>
        <v>1.5</v>
      </c>
      <c r="T217" s="36">
        <f t="shared" si="65"/>
        <v>6.9355961669362698E-2</v>
      </c>
      <c r="U217" s="31">
        <f t="shared" si="68"/>
        <v>13.279355961669363</v>
      </c>
      <c r="V217" s="40">
        <f t="shared" si="71"/>
        <v>130.57835475525295</v>
      </c>
    </row>
    <row r="218" spans="1:22">
      <c r="A218" s="2" t="s">
        <v>822</v>
      </c>
      <c r="B218" s="2" t="s">
        <v>823</v>
      </c>
      <c r="C218" s="2" t="s">
        <v>824</v>
      </c>
      <c r="D218" s="2" t="s">
        <v>825</v>
      </c>
      <c r="E218" s="16">
        <v>49</v>
      </c>
      <c r="F218" s="16">
        <v>9.2899999999999991</v>
      </c>
      <c r="G218" s="16">
        <v>13.3</v>
      </c>
      <c r="H218" s="33">
        <f t="shared" si="66"/>
        <v>136.10409506290233</v>
      </c>
      <c r="I218" s="26">
        <f t="shared" si="57"/>
        <v>128.65604461478344</v>
      </c>
      <c r="J218" s="9">
        <f t="shared" si="58"/>
        <v>2.3673984989278729</v>
      </c>
      <c r="K218" s="9">
        <f t="shared" si="59"/>
        <v>9.1916228731532641</v>
      </c>
      <c r="L218" s="9">
        <f t="shared" si="69"/>
        <v>30.095620226457783</v>
      </c>
      <c r="M218" s="9">
        <f t="shared" si="60"/>
        <v>87.001403016244524</v>
      </c>
      <c r="N218" s="9">
        <f t="shared" si="61"/>
        <v>0</v>
      </c>
      <c r="O218" s="12">
        <f t="shared" si="62"/>
        <v>4.0100000000000016</v>
      </c>
      <c r="P218" s="11">
        <f t="shared" si="63"/>
        <v>1.5483333333333331</v>
      </c>
      <c r="Q218" s="12">
        <f t="shared" si="64"/>
        <v>1.4777777777777779</v>
      </c>
      <c r="R218" s="1">
        <f t="shared" si="67"/>
        <v>0</v>
      </c>
      <c r="S218" s="1">
        <f t="shared" si="70"/>
        <v>4.7100000000000009</v>
      </c>
      <c r="T218" s="36">
        <f t="shared" si="65"/>
        <v>6.9355961669362698E-2</v>
      </c>
      <c r="U218" s="31">
        <f t="shared" si="68"/>
        <v>13.369355961669363</v>
      </c>
      <c r="V218" s="40">
        <f t="shared" si="71"/>
        <v>136.10409506290233</v>
      </c>
    </row>
    <row r="219" spans="1:22">
      <c r="A219" s="2" t="s">
        <v>826</v>
      </c>
      <c r="B219" s="2" t="s">
        <v>827</v>
      </c>
      <c r="C219" s="2" t="s">
        <v>828</v>
      </c>
      <c r="D219" s="2" t="s">
        <v>829</v>
      </c>
      <c r="E219" s="16">
        <v>21.7</v>
      </c>
      <c r="F219" s="16">
        <v>11.15</v>
      </c>
      <c r="G219" s="16">
        <v>13.3</v>
      </c>
      <c r="H219" s="33">
        <f t="shared" si="66"/>
        <v>136.10409506290233</v>
      </c>
      <c r="I219" s="26">
        <f t="shared" si="57"/>
        <v>132.61374150676602</v>
      </c>
      <c r="J219" s="9">
        <f t="shared" si="58"/>
        <v>5.3457385459661655</v>
      </c>
      <c r="K219" s="9">
        <f t="shared" si="59"/>
        <v>4.3085841071893567</v>
      </c>
      <c r="L219" s="9">
        <f t="shared" si="69"/>
        <v>35.958015837365956</v>
      </c>
      <c r="M219" s="9">
        <f t="shared" si="60"/>
        <v>87.001403016244524</v>
      </c>
      <c r="N219" s="9">
        <f t="shared" si="61"/>
        <v>0</v>
      </c>
      <c r="O219" s="12">
        <f t="shared" si="62"/>
        <v>2.1500000000000004</v>
      </c>
      <c r="P219" s="11">
        <f t="shared" si="63"/>
        <v>1.8583333333333334</v>
      </c>
      <c r="Q219" s="12">
        <f t="shared" si="64"/>
        <v>1.4777777777777779</v>
      </c>
      <c r="R219" s="1">
        <f t="shared" si="67"/>
        <v>0</v>
      </c>
      <c r="S219" s="1">
        <f t="shared" si="70"/>
        <v>2.8499999999999996</v>
      </c>
      <c r="T219" s="36">
        <f t="shared" si="65"/>
        <v>6.9355961669362698E-2</v>
      </c>
      <c r="U219" s="31">
        <f t="shared" si="68"/>
        <v>13.369355961669363</v>
      </c>
      <c r="V219" s="40">
        <f t="shared" si="71"/>
        <v>136.10409506290233</v>
      </c>
    </row>
    <row r="220" spans="1:22">
      <c r="A220" s="2" t="s">
        <v>710</v>
      </c>
      <c r="B220" s="2" t="s">
        <v>711</v>
      </c>
      <c r="C220" s="2" t="s">
        <v>712</v>
      </c>
      <c r="D220" s="2" t="s">
        <v>713</v>
      </c>
      <c r="E220" s="16">
        <v>18.100000000000001</v>
      </c>
      <c r="F220" s="16">
        <v>8.43</v>
      </c>
      <c r="G220" s="16">
        <v>13.3</v>
      </c>
      <c r="H220" s="33">
        <f t="shared" si="66"/>
        <v>144.67513997543617</v>
      </c>
      <c r="I220" s="26">
        <f t="shared" si="57"/>
        <v>144.67513997543617</v>
      </c>
      <c r="J220" s="9">
        <f t="shared" si="58"/>
        <v>6.4089793617384405</v>
      </c>
      <c r="K220" s="9">
        <f t="shared" si="59"/>
        <v>24.649567578309615</v>
      </c>
      <c r="L220" s="9">
        <f t="shared" si="69"/>
        <v>26.615190019143597</v>
      </c>
      <c r="M220" s="9">
        <f t="shared" si="60"/>
        <v>87.001403016244524</v>
      </c>
      <c r="N220" s="9">
        <f t="shared" si="61"/>
        <v>0</v>
      </c>
      <c r="O220" s="12">
        <f t="shared" si="62"/>
        <v>4.870000000000001</v>
      </c>
      <c r="P220" s="11">
        <f t="shared" si="63"/>
        <v>1.405</v>
      </c>
      <c r="Q220" s="12">
        <f t="shared" si="64"/>
        <v>1.4777777777777779</v>
      </c>
      <c r="R220" s="1">
        <f t="shared" si="67"/>
        <v>0</v>
      </c>
      <c r="S220" s="1">
        <f t="shared" si="70"/>
        <v>5.57</v>
      </c>
      <c r="T220" s="36">
        <f t="shared" si="65"/>
        <v>6.9355961669362698E-2</v>
      </c>
      <c r="U220" s="31">
        <f t="shared" si="68"/>
        <v>13.369355961669363</v>
      </c>
      <c r="V220" s="40">
        <f t="shared" si="71"/>
        <v>136.10409506290233</v>
      </c>
    </row>
    <row r="221" spans="1:22">
      <c r="A221" s="2" t="s">
        <v>830</v>
      </c>
      <c r="B221" s="2" t="s">
        <v>831</v>
      </c>
      <c r="C221" s="2" t="s">
        <v>832</v>
      </c>
      <c r="D221" s="2" t="s">
        <v>833</v>
      </c>
      <c r="E221" s="16">
        <v>18.8</v>
      </c>
      <c r="F221" s="16">
        <v>13.32</v>
      </c>
      <c r="G221" s="16">
        <v>13.32</v>
      </c>
      <c r="H221" s="33">
        <f t="shared" si="66"/>
        <v>137.36345074908948</v>
      </c>
      <c r="I221" s="26">
        <f t="shared" si="57"/>
        <v>134.7273618942431</v>
      </c>
      <c r="J221" s="9">
        <f t="shared" si="58"/>
        <v>6.1703471514609456</v>
      </c>
      <c r="K221" s="9">
        <f t="shared" si="59"/>
        <v>0</v>
      </c>
      <c r="L221" s="9">
        <f t="shared" si="69"/>
        <v>41.019516352819771</v>
      </c>
      <c r="M221" s="9">
        <f t="shared" si="60"/>
        <v>87.53749838996238</v>
      </c>
      <c r="N221" s="9">
        <f t="shared" si="61"/>
        <v>0</v>
      </c>
      <c r="O221" s="12">
        <f t="shared" si="62"/>
        <v>0</v>
      </c>
      <c r="P221" s="11">
        <f t="shared" si="63"/>
        <v>2.2200000000000002</v>
      </c>
      <c r="Q221" s="12">
        <f t="shared" si="64"/>
        <v>1.48</v>
      </c>
      <c r="R221" s="1">
        <f t="shared" si="67"/>
        <v>0</v>
      </c>
      <c r="S221" s="1">
        <f t="shared" si="70"/>
        <v>1.5</v>
      </c>
      <c r="T221" s="36">
        <f t="shared" si="65"/>
        <v>6.9355961669362698E-2</v>
      </c>
      <c r="U221" s="31">
        <f t="shared" si="68"/>
        <v>13.389355961669363</v>
      </c>
      <c r="V221" s="40">
        <f t="shared" si="71"/>
        <v>137.36345074908948</v>
      </c>
    </row>
    <row r="222" spans="1:22">
      <c r="A222" s="2" t="s">
        <v>834</v>
      </c>
      <c r="B222" s="2" t="s">
        <v>835</v>
      </c>
      <c r="C222" s="2" t="s">
        <v>836</v>
      </c>
      <c r="D222" s="2" t="s">
        <v>837</v>
      </c>
      <c r="E222" s="16">
        <v>45.1</v>
      </c>
      <c r="F222" s="16">
        <v>9.82</v>
      </c>
      <c r="G222" s="16">
        <v>13.33</v>
      </c>
      <c r="H222" s="33">
        <f t="shared" si="66"/>
        <v>137.99749162966376</v>
      </c>
      <c r="I222" s="26">
        <f t="shared" si="57"/>
        <v>129.85528445307119</v>
      </c>
      <c r="J222" s="9">
        <f t="shared" si="58"/>
        <v>2.5721181030480218</v>
      </c>
      <c r="K222" s="9">
        <f t="shared" si="59"/>
        <v>7.4018597623602371</v>
      </c>
      <c r="L222" s="9">
        <f t="shared" si="69"/>
        <v>32.075304129990002</v>
      </c>
      <c r="M222" s="9">
        <f t="shared" si="60"/>
        <v>87.806002457672918</v>
      </c>
      <c r="N222" s="9">
        <f t="shared" si="61"/>
        <v>0</v>
      </c>
      <c r="O222" s="12">
        <f t="shared" si="62"/>
        <v>3.51</v>
      </c>
      <c r="P222" s="11">
        <f t="shared" si="63"/>
        <v>1.6366666666666667</v>
      </c>
      <c r="Q222" s="12">
        <f t="shared" si="64"/>
        <v>1.481111111111111</v>
      </c>
      <c r="R222" s="1">
        <f t="shared" si="67"/>
        <v>0</v>
      </c>
      <c r="S222" s="1">
        <f t="shared" si="70"/>
        <v>4.18</v>
      </c>
      <c r="T222" s="36">
        <f t="shared" si="65"/>
        <v>6.9355961669362698E-2</v>
      </c>
      <c r="U222" s="31">
        <f t="shared" si="68"/>
        <v>13.399355961669363</v>
      </c>
      <c r="V222" s="40">
        <f t="shared" si="71"/>
        <v>137.99749162966376</v>
      </c>
    </row>
    <row r="223" spans="1:22">
      <c r="A223" s="2" t="s">
        <v>838</v>
      </c>
      <c r="B223" s="2" t="s">
        <v>839</v>
      </c>
      <c r="C223" s="2" t="s">
        <v>840</v>
      </c>
      <c r="D223" s="2" t="s">
        <v>841</v>
      </c>
      <c r="E223" s="16">
        <v>36.1</v>
      </c>
      <c r="F223" s="16">
        <v>12.2</v>
      </c>
      <c r="G223" s="16">
        <v>13.4</v>
      </c>
      <c r="H223" s="33">
        <f t="shared" si="66"/>
        <v>142.51848344699835</v>
      </c>
      <c r="I223" s="26">
        <f t="shared" si="57"/>
        <v>130.77015249077891</v>
      </c>
      <c r="J223" s="9">
        <f t="shared" si="58"/>
        <v>3.2133663835863095</v>
      </c>
      <c r="K223" s="9">
        <f t="shared" si="59"/>
        <v>0.98882953857058276</v>
      </c>
      <c r="L223" s="9">
        <f t="shared" si="69"/>
        <v>36.873906527744666</v>
      </c>
      <c r="M223" s="9">
        <f t="shared" si="60"/>
        <v>89.694050040877372</v>
      </c>
      <c r="N223" s="9">
        <f t="shared" si="61"/>
        <v>0</v>
      </c>
      <c r="O223" s="12">
        <f t="shared" si="62"/>
        <v>1.2000000000000011</v>
      </c>
      <c r="P223" s="11">
        <f t="shared" si="63"/>
        <v>2.0333333333333332</v>
      </c>
      <c r="Q223" s="12">
        <f t="shared" si="64"/>
        <v>1.4888888888888889</v>
      </c>
      <c r="R223" s="1">
        <f t="shared" si="67"/>
        <v>0</v>
      </c>
      <c r="S223" s="1">
        <f t="shared" si="70"/>
        <v>1.8000000000000007</v>
      </c>
      <c r="T223" s="36">
        <f t="shared" si="65"/>
        <v>6.9355961669362698E-2</v>
      </c>
      <c r="U223" s="31">
        <f t="shared" si="68"/>
        <v>13.469355961669363</v>
      </c>
      <c r="V223" s="40">
        <f t="shared" si="71"/>
        <v>142.51848344699835</v>
      </c>
    </row>
    <row r="224" spans="1:22">
      <c r="A224" s="2" t="s">
        <v>562</v>
      </c>
      <c r="B224" s="2" t="s">
        <v>842</v>
      </c>
      <c r="C224" s="2" t="s">
        <v>564</v>
      </c>
      <c r="D224" s="2" t="s">
        <v>565</v>
      </c>
      <c r="E224" s="16">
        <v>16.7</v>
      </c>
      <c r="F224" s="16">
        <v>8</v>
      </c>
      <c r="G224" s="16">
        <v>13.4</v>
      </c>
      <c r="H224" s="33">
        <f t="shared" si="66"/>
        <v>153.25237810185226</v>
      </c>
      <c r="I224" s="26">
        <f t="shared" si="57"/>
        <v>153.25237810185226</v>
      </c>
      <c r="J224" s="9">
        <f t="shared" si="58"/>
        <v>6.9462590687105266</v>
      </c>
      <c r="K224" s="9">
        <f t="shared" si="59"/>
        <v>31.80733428563606</v>
      </c>
      <c r="L224" s="9">
        <f t="shared" si="69"/>
        <v>24.804734706628295</v>
      </c>
      <c r="M224" s="9">
        <f t="shared" si="60"/>
        <v>89.694050040877372</v>
      </c>
      <c r="N224" s="9">
        <f t="shared" si="61"/>
        <v>0</v>
      </c>
      <c r="O224" s="12">
        <f t="shared" si="62"/>
        <v>5.4</v>
      </c>
      <c r="P224" s="11">
        <f t="shared" si="63"/>
        <v>1.3333333333333333</v>
      </c>
      <c r="Q224" s="12">
        <f t="shared" si="64"/>
        <v>1.4888888888888889</v>
      </c>
      <c r="R224" s="1">
        <f t="shared" si="67"/>
        <v>0</v>
      </c>
      <c r="S224" s="1">
        <f t="shared" si="70"/>
        <v>6</v>
      </c>
      <c r="T224" s="36">
        <f t="shared" si="65"/>
        <v>6.9355961669362698E-2</v>
      </c>
      <c r="U224" s="31">
        <f t="shared" si="68"/>
        <v>13.469355961669363</v>
      </c>
      <c r="V224" s="40">
        <f t="shared" si="71"/>
        <v>142.51848344699835</v>
      </c>
    </row>
    <row r="225" spans="1:22">
      <c r="A225" s="2" t="s">
        <v>843</v>
      </c>
      <c r="B225" s="2" t="s">
        <v>844</v>
      </c>
      <c r="C225" s="2" t="s">
        <v>845</v>
      </c>
      <c r="D225" s="2" t="s">
        <v>846</v>
      </c>
      <c r="E225" s="16">
        <v>46.7</v>
      </c>
      <c r="F225" s="16">
        <v>9.6</v>
      </c>
      <c r="G225" s="16">
        <v>13.4</v>
      </c>
      <c r="H225" s="33">
        <f t="shared" si="66"/>
        <v>142.51848344699835</v>
      </c>
      <c r="I225" s="26">
        <f t="shared" si="57"/>
        <v>131.94775773798506</v>
      </c>
      <c r="J225" s="9">
        <f t="shared" si="58"/>
        <v>2.483994142344021</v>
      </c>
      <c r="K225" s="9">
        <f t="shared" si="59"/>
        <v>8.4958101505775794</v>
      </c>
      <c r="L225" s="9">
        <f t="shared" si="69"/>
        <v>31.27390340418609</v>
      </c>
      <c r="M225" s="9">
        <f t="shared" si="60"/>
        <v>89.694050040877372</v>
      </c>
      <c r="N225" s="9">
        <f t="shared" si="61"/>
        <v>0</v>
      </c>
      <c r="O225" s="12">
        <f t="shared" si="62"/>
        <v>3.8000000000000007</v>
      </c>
      <c r="P225" s="11">
        <f t="shared" si="63"/>
        <v>1.5999999999999999</v>
      </c>
      <c r="Q225" s="12">
        <f t="shared" si="64"/>
        <v>1.4888888888888889</v>
      </c>
      <c r="R225" s="1">
        <f t="shared" si="67"/>
        <v>0</v>
      </c>
      <c r="S225" s="1">
        <f t="shared" si="70"/>
        <v>4.4000000000000004</v>
      </c>
      <c r="T225" s="36">
        <f t="shared" si="65"/>
        <v>6.9355961669362698E-2</v>
      </c>
      <c r="U225" s="31">
        <f t="shared" si="68"/>
        <v>13.469355961669363</v>
      </c>
      <c r="V225" s="40">
        <f t="shared" si="71"/>
        <v>142.51848344699835</v>
      </c>
    </row>
    <row r="226" spans="1:22">
      <c r="A226" s="2" t="s">
        <v>163</v>
      </c>
      <c r="B226" s="2" t="s">
        <v>847</v>
      </c>
      <c r="C226" s="2" t="s">
        <v>165</v>
      </c>
      <c r="D226" s="2" t="s">
        <v>166</v>
      </c>
      <c r="E226" s="16">
        <v>24.8</v>
      </c>
      <c r="F226" s="16">
        <v>7.5</v>
      </c>
      <c r="G226" s="16">
        <v>13.5</v>
      </c>
      <c r="H226" s="33">
        <f t="shared" si="66"/>
        <v>150.74134578353525</v>
      </c>
      <c r="I226" s="26">
        <f t="shared" si="57"/>
        <v>150.74134578353525</v>
      </c>
      <c r="J226" s="9">
        <f t="shared" si="58"/>
        <v>4.6775212277203941</v>
      </c>
      <c r="K226" s="9">
        <f t="shared" si="59"/>
        <v>30.97038196408953</v>
      </c>
      <c r="L226" s="9">
        <f t="shared" si="69"/>
        <v>22.67632013610627</v>
      </c>
      <c r="M226" s="9">
        <f t="shared" si="60"/>
        <v>92.417122455619051</v>
      </c>
      <c r="N226" s="9">
        <f t="shared" si="61"/>
        <v>0</v>
      </c>
      <c r="O226" s="12">
        <f t="shared" si="62"/>
        <v>6</v>
      </c>
      <c r="P226" s="11">
        <f t="shared" si="63"/>
        <v>1.25</v>
      </c>
      <c r="Q226" s="12">
        <f t="shared" si="64"/>
        <v>1.5</v>
      </c>
      <c r="R226" s="1">
        <f t="shared" si="67"/>
        <v>0</v>
      </c>
      <c r="S226" s="1">
        <f t="shared" si="70"/>
        <v>6.5</v>
      </c>
      <c r="T226" s="36">
        <f t="shared" si="65"/>
        <v>6.9355961669362698E-2</v>
      </c>
      <c r="U226" s="31">
        <f t="shared" si="68"/>
        <v>13.569355961669363</v>
      </c>
      <c r="V226" s="40">
        <f t="shared" si="71"/>
        <v>149.23517264227152</v>
      </c>
    </row>
    <row r="227" spans="1:22">
      <c r="A227" s="2" t="s">
        <v>848</v>
      </c>
      <c r="B227" s="2" t="s">
        <v>849</v>
      </c>
      <c r="C227" s="2" t="s">
        <v>850</v>
      </c>
      <c r="D227" s="2" t="s">
        <v>851</v>
      </c>
      <c r="E227" s="16">
        <v>29.5</v>
      </c>
      <c r="F227" s="16">
        <v>12.93</v>
      </c>
      <c r="G227" s="16">
        <v>13.52</v>
      </c>
      <c r="H227" s="33">
        <f t="shared" si="66"/>
        <v>150.6160286933648</v>
      </c>
      <c r="I227" s="26">
        <f t="shared" si="57"/>
        <v>135.99497638862391</v>
      </c>
      <c r="J227" s="9">
        <f t="shared" si="58"/>
        <v>3.9322890321174842</v>
      </c>
      <c r="K227" s="9">
        <f t="shared" si="59"/>
        <v>0.26983727040104027</v>
      </c>
      <c r="L227" s="9">
        <f t="shared" si="69"/>
        <v>38.827462100724944</v>
      </c>
      <c r="M227" s="9">
        <f t="shared" si="60"/>
        <v>92.965387985380431</v>
      </c>
      <c r="N227" s="9">
        <f t="shared" si="61"/>
        <v>0</v>
      </c>
      <c r="O227" s="12">
        <f t="shared" si="62"/>
        <v>0.58999999999999986</v>
      </c>
      <c r="P227" s="11">
        <f t="shared" si="63"/>
        <v>2.1549999999999998</v>
      </c>
      <c r="Q227" s="12">
        <f t="shared" si="64"/>
        <v>1.5022222222222221</v>
      </c>
      <c r="R227" s="1">
        <f t="shared" si="67"/>
        <v>0</v>
      </c>
      <c r="S227" s="1">
        <f t="shared" si="70"/>
        <v>1.5</v>
      </c>
      <c r="T227" s="36">
        <f t="shared" si="65"/>
        <v>6.9355961669362698E-2</v>
      </c>
      <c r="U227" s="31">
        <f t="shared" si="68"/>
        <v>13.589355961669362</v>
      </c>
      <c r="V227" s="40">
        <f t="shared" si="71"/>
        <v>150.6160286933648</v>
      </c>
    </row>
    <row r="228" spans="1:22">
      <c r="A228" s="2" t="s">
        <v>852</v>
      </c>
      <c r="B228" s="2" t="s">
        <v>853</v>
      </c>
      <c r="C228" s="2" t="s">
        <v>854</v>
      </c>
      <c r="D228" s="2" t="s">
        <v>855</v>
      </c>
      <c r="E228" s="16">
        <v>40.200000000000003</v>
      </c>
      <c r="F228" s="16">
        <v>13.4</v>
      </c>
      <c r="G228" s="16">
        <v>13.6</v>
      </c>
      <c r="H228" s="33">
        <f t="shared" si="66"/>
        <v>156.26840964702694</v>
      </c>
      <c r="I228" s="26">
        <f t="shared" si="57"/>
        <v>139.55856294701118</v>
      </c>
      <c r="J228" s="9">
        <f t="shared" si="58"/>
        <v>2.8856349862553676</v>
      </c>
      <c r="K228" s="9">
        <f t="shared" si="59"/>
        <v>2.5749735683420212E-2</v>
      </c>
      <c r="L228" s="9">
        <f t="shared" si="69"/>
        <v>41.476557964602819</v>
      </c>
      <c r="M228" s="9">
        <f t="shared" si="60"/>
        <v>95.170620260469576</v>
      </c>
      <c r="N228" s="9">
        <f t="shared" si="61"/>
        <v>0</v>
      </c>
      <c r="O228" s="12">
        <f t="shared" si="62"/>
        <v>0.19999999999999929</v>
      </c>
      <c r="P228" s="11">
        <f t="shared" si="63"/>
        <v>2.2333333333333334</v>
      </c>
      <c r="Q228" s="12">
        <f t="shared" si="64"/>
        <v>1.5111111111111111</v>
      </c>
      <c r="R228" s="1">
        <f t="shared" si="67"/>
        <v>0</v>
      </c>
      <c r="S228" s="1">
        <f t="shared" si="70"/>
        <v>1.5</v>
      </c>
      <c r="T228" s="36">
        <f t="shared" si="65"/>
        <v>6.9355961669362698E-2</v>
      </c>
      <c r="U228" s="31">
        <f t="shared" si="68"/>
        <v>13.669355961669362</v>
      </c>
      <c r="V228" s="40">
        <f t="shared" si="71"/>
        <v>156.26840964702694</v>
      </c>
    </row>
    <row r="229" spans="1:22">
      <c r="A229" s="2" t="s">
        <v>856</v>
      </c>
      <c r="B229" s="2" t="s">
        <v>857</v>
      </c>
      <c r="C229" s="2" t="s">
        <v>858</v>
      </c>
      <c r="D229" s="2" t="s">
        <v>859</v>
      </c>
      <c r="E229" s="16">
        <v>24.8</v>
      </c>
      <c r="F229" s="16">
        <v>5.57</v>
      </c>
      <c r="G229" s="16">
        <v>13.6</v>
      </c>
      <c r="H229" s="33">
        <f t="shared" si="66"/>
        <v>156.26840964702694</v>
      </c>
      <c r="I229" s="26">
        <f t="shared" si="57"/>
        <v>155.32031099897497</v>
      </c>
      <c r="J229" s="9">
        <f t="shared" si="58"/>
        <v>4.6775212277203941</v>
      </c>
      <c r="K229" s="9">
        <f t="shared" si="59"/>
        <v>55.472169510785008</v>
      </c>
      <c r="L229" s="9">
        <f t="shared" si="69"/>
        <v>0</v>
      </c>
      <c r="M229" s="9">
        <f t="shared" si="60"/>
        <v>95.170620260469576</v>
      </c>
      <c r="N229" s="9">
        <f t="shared" si="61"/>
        <v>0</v>
      </c>
      <c r="O229" s="12">
        <f t="shared" si="62"/>
        <v>8.0299999999999994</v>
      </c>
      <c r="P229" s="11">
        <f t="shared" si="63"/>
        <v>0</v>
      </c>
      <c r="Q229" s="12">
        <f t="shared" si="64"/>
        <v>1.5111111111111111</v>
      </c>
      <c r="R229" s="1">
        <f t="shared" si="67"/>
        <v>0</v>
      </c>
      <c r="S229" s="1">
        <f t="shared" si="70"/>
        <v>8.43</v>
      </c>
      <c r="T229" s="36">
        <f t="shared" si="65"/>
        <v>6.9355961669362698E-2</v>
      </c>
      <c r="U229" s="31">
        <f t="shared" si="68"/>
        <v>13.669355961669362</v>
      </c>
      <c r="V229" s="40">
        <f t="shared" si="71"/>
        <v>156.26840964702694</v>
      </c>
    </row>
    <row r="230" spans="1:22">
      <c r="A230" s="2" t="s">
        <v>860</v>
      </c>
      <c r="B230" s="2" t="s">
        <v>861</v>
      </c>
      <c r="C230" s="2" t="s">
        <v>862</v>
      </c>
      <c r="D230" s="2" t="s">
        <v>863</v>
      </c>
      <c r="E230" s="16">
        <v>15.1</v>
      </c>
      <c r="F230" s="16">
        <v>11.6</v>
      </c>
      <c r="G230" s="16">
        <v>13.6</v>
      </c>
      <c r="H230" s="33">
        <f t="shared" si="66"/>
        <v>156.26840964702694</v>
      </c>
      <c r="I230" s="26">
        <f t="shared" si="57"/>
        <v>144.17589552119432</v>
      </c>
      <c r="J230" s="9">
        <f t="shared" si="58"/>
        <v>7.682286519699721</v>
      </c>
      <c r="K230" s="9">
        <f t="shared" si="59"/>
        <v>4.6350813085206823</v>
      </c>
      <c r="L230" s="9">
        <f t="shared" si="69"/>
        <v>36.687907432504339</v>
      </c>
      <c r="M230" s="9">
        <f t="shared" si="60"/>
        <v>95.170620260469576</v>
      </c>
      <c r="N230" s="9">
        <f t="shared" si="61"/>
        <v>0</v>
      </c>
      <c r="O230" s="12">
        <f t="shared" si="62"/>
        <v>2</v>
      </c>
      <c r="P230" s="11">
        <f t="shared" si="63"/>
        <v>1.9333333333333333</v>
      </c>
      <c r="Q230" s="12">
        <f t="shared" si="64"/>
        <v>1.5111111111111111</v>
      </c>
      <c r="R230" s="1">
        <f t="shared" si="67"/>
        <v>0</v>
      </c>
      <c r="S230" s="1">
        <f t="shared" si="70"/>
        <v>2.4000000000000004</v>
      </c>
      <c r="T230" s="36">
        <f t="shared" si="65"/>
        <v>6.9355961669362698E-2</v>
      </c>
      <c r="U230" s="31">
        <f t="shared" si="68"/>
        <v>13.669355961669362</v>
      </c>
      <c r="V230" s="40">
        <f t="shared" si="71"/>
        <v>156.26840964702694</v>
      </c>
    </row>
    <row r="231" spans="1:22">
      <c r="A231" s="2" t="s">
        <v>864</v>
      </c>
      <c r="B231" s="2" t="s">
        <v>865</v>
      </c>
      <c r="C231" s="2" t="s">
        <v>866</v>
      </c>
      <c r="D231" s="2" t="s">
        <v>867</v>
      </c>
      <c r="E231" s="16">
        <v>17</v>
      </c>
      <c r="F231" s="16">
        <v>12.65</v>
      </c>
      <c r="G231" s="16">
        <v>13.6</v>
      </c>
      <c r="H231" s="33">
        <f t="shared" si="66"/>
        <v>156.26840964702694</v>
      </c>
      <c r="I231" s="26">
        <f t="shared" si="57"/>
        <v>140.25881530621012</v>
      </c>
      <c r="J231" s="9">
        <f t="shared" si="58"/>
        <v>6.8236780263215167</v>
      </c>
      <c r="K231" s="9">
        <f t="shared" si="59"/>
        <v>0.97396878237379891</v>
      </c>
      <c r="L231" s="9">
        <f t="shared" si="69"/>
        <v>37.290548237045222</v>
      </c>
      <c r="M231" s="9">
        <f t="shared" si="60"/>
        <v>95.170620260469576</v>
      </c>
      <c r="N231" s="9">
        <f t="shared" si="61"/>
        <v>0</v>
      </c>
      <c r="O231" s="12">
        <f t="shared" si="62"/>
        <v>0.94999999999999929</v>
      </c>
      <c r="P231" s="11">
        <f t="shared" si="63"/>
        <v>2.1083333333333334</v>
      </c>
      <c r="Q231" s="12">
        <f t="shared" si="64"/>
        <v>1.5111111111111111</v>
      </c>
      <c r="R231" s="1">
        <f t="shared" si="67"/>
        <v>0</v>
      </c>
      <c r="S231" s="1">
        <f t="shared" si="70"/>
        <v>1.5</v>
      </c>
      <c r="T231" s="36">
        <f t="shared" si="65"/>
        <v>6.9355961669362698E-2</v>
      </c>
      <c r="U231" s="31">
        <f t="shared" si="68"/>
        <v>13.669355961669362</v>
      </c>
      <c r="V231" s="40">
        <f t="shared" si="71"/>
        <v>156.26840964702694</v>
      </c>
    </row>
    <row r="232" spans="1:22">
      <c r="A232" s="2" t="s">
        <v>868</v>
      </c>
      <c r="B232" s="2" t="s">
        <v>869</v>
      </c>
      <c r="C232" s="2" t="s">
        <v>870</v>
      </c>
      <c r="D232" s="2" t="s">
        <v>871</v>
      </c>
      <c r="E232" s="16">
        <v>26.8</v>
      </c>
      <c r="F232" s="16">
        <v>9.7899999999999991</v>
      </c>
      <c r="G232" s="16">
        <v>13.6</v>
      </c>
      <c r="H232" s="33">
        <f t="shared" si="66"/>
        <v>156.26840964702694</v>
      </c>
      <c r="I232" s="26">
        <f t="shared" si="57"/>
        <v>143.38692968103555</v>
      </c>
      <c r="J232" s="9">
        <f t="shared" si="58"/>
        <v>4.3284524793830519</v>
      </c>
      <c r="K232" s="9">
        <f t="shared" si="59"/>
        <v>11.919922777786974</v>
      </c>
      <c r="L232" s="9">
        <f t="shared" si="69"/>
        <v>31.967934163395942</v>
      </c>
      <c r="M232" s="9">
        <f t="shared" si="60"/>
        <v>95.170620260469576</v>
      </c>
      <c r="N232" s="9">
        <f t="shared" si="61"/>
        <v>0</v>
      </c>
      <c r="O232" s="12">
        <f t="shared" si="62"/>
        <v>3.8100000000000005</v>
      </c>
      <c r="P232" s="11">
        <f t="shared" si="63"/>
        <v>1.6316666666666666</v>
      </c>
      <c r="Q232" s="12">
        <f t="shared" si="64"/>
        <v>1.5111111111111111</v>
      </c>
      <c r="R232" s="1">
        <f t="shared" si="67"/>
        <v>0</v>
      </c>
      <c r="S232" s="1">
        <f t="shared" si="70"/>
        <v>4.2100000000000009</v>
      </c>
      <c r="T232" s="36">
        <f t="shared" si="65"/>
        <v>6.9355961669362698E-2</v>
      </c>
      <c r="U232" s="31">
        <f t="shared" si="68"/>
        <v>13.669355961669362</v>
      </c>
      <c r="V232" s="40">
        <f t="shared" si="71"/>
        <v>156.26840964702694</v>
      </c>
    </row>
    <row r="233" spans="1:22">
      <c r="A233" s="2" t="s">
        <v>872</v>
      </c>
      <c r="B233" s="2" t="s">
        <v>873</v>
      </c>
      <c r="C233" s="2" t="s">
        <v>874</v>
      </c>
      <c r="D233" s="2" t="s">
        <v>875</v>
      </c>
      <c r="E233" s="16">
        <v>26.4</v>
      </c>
      <c r="F233" s="16">
        <v>6.81</v>
      </c>
      <c r="G233" s="16">
        <v>13.7</v>
      </c>
      <c r="H233" s="33">
        <f t="shared" si="66"/>
        <v>163.63311289991475</v>
      </c>
      <c r="I233" s="26">
        <f t="shared" si="57"/>
        <v>161.4281687932816</v>
      </c>
      <c r="J233" s="9">
        <f t="shared" si="58"/>
        <v>4.3940350927070373</v>
      </c>
      <c r="K233" s="9">
        <f t="shared" si="59"/>
        <v>39.335305703635399</v>
      </c>
      <c r="L233" s="9">
        <f t="shared" si="69"/>
        <v>19.744284541510186</v>
      </c>
      <c r="M233" s="9">
        <f t="shared" si="60"/>
        <v>97.954543455428961</v>
      </c>
      <c r="N233" s="9">
        <f t="shared" si="61"/>
        <v>0</v>
      </c>
      <c r="O233" s="12">
        <f t="shared" si="62"/>
        <v>6.89</v>
      </c>
      <c r="P233" s="11">
        <f t="shared" si="63"/>
        <v>1.135</v>
      </c>
      <c r="Q233" s="12">
        <f t="shared" si="64"/>
        <v>1.5222222222222221</v>
      </c>
      <c r="R233" s="1">
        <f t="shared" si="67"/>
        <v>0</v>
      </c>
      <c r="S233" s="1">
        <f t="shared" si="70"/>
        <v>7.19</v>
      </c>
      <c r="T233" s="36">
        <f t="shared" si="65"/>
        <v>6.9355961669362698E-2</v>
      </c>
      <c r="U233" s="31">
        <f t="shared" si="68"/>
        <v>13.769355961669362</v>
      </c>
      <c r="V233" s="40">
        <f t="shared" si="71"/>
        <v>163.63311289991475</v>
      </c>
    </row>
    <row r="234" spans="1:22">
      <c r="A234" s="2" t="s">
        <v>876</v>
      </c>
      <c r="B234" s="2" t="s">
        <v>877</v>
      </c>
      <c r="C234" s="2" t="s">
        <v>878</v>
      </c>
      <c r="D234" s="2" t="s">
        <v>879</v>
      </c>
      <c r="E234" s="16">
        <v>33.9</v>
      </c>
      <c r="F234" s="16">
        <v>8.9</v>
      </c>
      <c r="G234" s="16">
        <v>13.7</v>
      </c>
      <c r="H234" s="33">
        <f t="shared" si="66"/>
        <v>163.63311289991475</v>
      </c>
      <c r="I234" s="26">
        <f t="shared" si="57"/>
        <v>146.35484582837972</v>
      </c>
      <c r="J234" s="9">
        <f t="shared" si="58"/>
        <v>3.4219034350284891</v>
      </c>
      <c r="K234" s="9">
        <f t="shared" si="59"/>
        <v>16.429887617568198</v>
      </c>
      <c r="L234" s="9">
        <f t="shared" si="69"/>
        <v>28.548511320354059</v>
      </c>
      <c r="M234" s="9">
        <f t="shared" si="60"/>
        <v>97.954543455428961</v>
      </c>
      <c r="N234" s="9">
        <f t="shared" si="61"/>
        <v>0</v>
      </c>
      <c r="O234" s="12">
        <f t="shared" si="62"/>
        <v>4.7999999999999989</v>
      </c>
      <c r="P234" s="11">
        <f t="shared" si="63"/>
        <v>1.4833333333333334</v>
      </c>
      <c r="Q234" s="12">
        <f t="shared" si="64"/>
        <v>1.5222222222222221</v>
      </c>
      <c r="R234" s="1">
        <f t="shared" si="67"/>
        <v>0</v>
      </c>
      <c r="S234" s="1">
        <f t="shared" si="70"/>
        <v>5.0999999999999996</v>
      </c>
      <c r="T234" s="36">
        <f t="shared" si="65"/>
        <v>6.9355961669362698E-2</v>
      </c>
      <c r="U234" s="31">
        <f t="shared" si="68"/>
        <v>13.769355961669362</v>
      </c>
      <c r="V234" s="40">
        <f t="shared" si="71"/>
        <v>163.63311289991475</v>
      </c>
    </row>
    <row r="235" spans="1:22">
      <c r="A235" s="2" t="s">
        <v>578</v>
      </c>
      <c r="B235" s="2" t="s">
        <v>579</v>
      </c>
      <c r="C235" s="2" t="s">
        <v>580</v>
      </c>
      <c r="D235" s="2" t="s">
        <v>581</v>
      </c>
      <c r="E235" s="16">
        <v>20.2</v>
      </c>
      <c r="F235" s="16">
        <v>11.74</v>
      </c>
      <c r="G235" s="16">
        <v>13.7</v>
      </c>
      <c r="H235" s="33">
        <f t="shared" si="66"/>
        <v>163.63311289991475</v>
      </c>
      <c r="I235" s="26">
        <f t="shared" si="57"/>
        <v>144.25936620442329</v>
      </c>
      <c r="J235" s="9">
        <f t="shared" si="58"/>
        <v>5.7426993290824644</v>
      </c>
      <c r="K235" s="9">
        <f t="shared" si="59"/>
        <v>3.7380465125455924</v>
      </c>
      <c r="L235" s="9">
        <f t="shared" si="69"/>
        <v>36.824076907366269</v>
      </c>
      <c r="M235" s="9">
        <f t="shared" si="60"/>
        <v>97.954543455428961</v>
      </c>
      <c r="N235" s="9">
        <f t="shared" si="61"/>
        <v>0</v>
      </c>
      <c r="O235" s="12">
        <f t="shared" si="62"/>
        <v>1.9599999999999991</v>
      </c>
      <c r="P235" s="11">
        <f t="shared" si="63"/>
        <v>1.9566666666666668</v>
      </c>
      <c r="Q235" s="12">
        <f t="shared" si="64"/>
        <v>1.5222222222222221</v>
      </c>
      <c r="R235" s="1">
        <f t="shared" si="67"/>
        <v>0</v>
      </c>
      <c r="S235" s="1">
        <f t="shared" si="70"/>
        <v>2.2599999999999998</v>
      </c>
      <c r="T235" s="36">
        <f t="shared" si="65"/>
        <v>6.9355961669362698E-2</v>
      </c>
      <c r="U235" s="31">
        <f t="shared" si="68"/>
        <v>13.769355961669362</v>
      </c>
      <c r="V235" s="40">
        <f t="shared" si="71"/>
        <v>163.63311289991475</v>
      </c>
    </row>
    <row r="236" spans="1:22">
      <c r="A236" s="2" t="s">
        <v>880</v>
      </c>
      <c r="B236" s="2" t="s">
        <v>881</v>
      </c>
      <c r="C236" s="2" t="s">
        <v>882</v>
      </c>
      <c r="D236" s="2" t="s">
        <v>883</v>
      </c>
      <c r="E236" s="16">
        <v>15.5</v>
      </c>
      <c r="F236" s="16">
        <v>9.66</v>
      </c>
      <c r="G236" s="16">
        <v>13.8</v>
      </c>
      <c r="H236" s="33">
        <f t="shared" si="66"/>
        <v>171.34490392393678</v>
      </c>
      <c r="I236" s="26">
        <f t="shared" si="57"/>
        <v>159.30008468172667</v>
      </c>
      <c r="J236" s="9">
        <f t="shared" si="58"/>
        <v>7.4840339643526308</v>
      </c>
      <c r="K236" s="9">
        <f t="shared" si="59"/>
        <v>19.551567852703727</v>
      </c>
      <c r="L236" s="9">
        <f t="shared" si="69"/>
        <v>31.495590824173075</v>
      </c>
      <c r="M236" s="9">
        <f t="shared" si="60"/>
        <v>100.76889204049725</v>
      </c>
      <c r="N236" s="9">
        <f t="shared" si="61"/>
        <v>0</v>
      </c>
      <c r="O236" s="12">
        <f t="shared" si="62"/>
        <v>4.1400000000000006</v>
      </c>
      <c r="P236" s="11">
        <f t="shared" si="63"/>
        <v>1.61</v>
      </c>
      <c r="Q236" s="12">
        <f t="shared" si="64"/>
        <v>1.5333333333333334</v>
      </c>
      <c r="R236" s="1">
        <f t="shared" si="67"/>
        <v>0</v>
      </c>
      <c r="S236" s="1">
        <f t="shared" si="70"/>
        <v>4.34</v>
      </c>
      <c r="T236" s="36">
        <f t="shared" si="65"/>
        <v>6.9355961669362698E-2</v>
      </c>
      <c r="U236" s="31">
        <f t="shared" si="68"/>
        <v>13.869355961669363</v>
      </c>
      <c r="V236" s="40">
        <f t="shared" si="71"/>
        <v>171.34490392393678</v>
      </c>
    </row>
    <row r="237" spans="1:22">
      <c r="A237" s="2" t="s">
        <v>884</v>
      </c>
      <c r="B237" s="2" t="s">
        <v>885</v>
      </c>
      <c r="C237" s="2" t="s">
        <v>886</v>
      </c>
      <c r="D237" s="2" t="s">
        <v>887</v>
      </c>
      <c r="E237" s="16">
        <v>22.7</v>
      </c>
      <c r="F237" s="16">
        <v>6.37</v>
      </c>
      <c r="G237" s="16">
        <v>13.8</v>
      </c>
      <c r="H237" s="33">
        <f t="shared" si="66"/>
        <v>173.86391052577073</v>
      </c>
      <c r="I237" s="26">
        <f t="shared" si="57"/>
        <v>173.86391052577073</v>
      </c>
      <c r="J237" s="9">
        <f t="shared" si="58"/>
        <v>5.110243455835497</v>
      </c>
      <c r="K237" s="9">
        <f t="shared" si="59"/>
        <v>50.082891191219872</v>
      </c>
      <c r="L237" s="9">
        <f t="shared" si="69"/>
        <v>17.901883838218129</v>
      </c>
      <c r="M237" s="9">
        <f t="shared" si="60"/>
        <v>100.76889204049725</v>
      </c>
      <c r="N237" s="9">
        <f t="shared" si="61"/>
        <v>0</v>
      </c>
      <c r="O237" s="12">
        <f t="shared" si="62"/>
        <v>7.4300000000000006</v>
      </c>
      <c r="P237" s="11">
        <f t="shared" si="63"/>
        <v>1.0616666666666668</v>
      </c>
      <c r="Q237" s="12">
        <f t="shared" si="64"/>
        <v>1.5333333333333334</v>
      </c>
      <c r="R237" s="1">
        <f t="shared" si="67"/>
        <v>0</v>
      </c>
      <c r="S237" s="1">
        <f t="shared" si="70"/>
        <v>7.63</v>
      </c>
      <c r="T237" s="36">
        <f t="shared" si="65"/>
        <v>6.9355961669362698E-2</v>
      </c>
      <c r="U237" s="31">
        <f t="shared" si="68"/>
        <v>13.869355961669363</v>
      </c>
      <c r="V237" s="40">
        <f t="shared" si="71"/>
        <v>171.34490392393678</v>
      </c>
    </row>
    <row r="238" spans="1:22">
      <c r="A238" s="2" t="s">
        <v>888</v>
      </c>
      <c r="B238" s="2" t="s">
        <v>889</v>
      </c>
      <c r="C238" s="2" t="s">
        <v>890</v>
      </c>
      <c r="D238" s="2" t="s">
        <v>891</v>
      </c>
      <c r="E238" s="16">
        <v>17</v>
      </c>
      <c r="F238" s="16">
        <v>10.199999999999999</v>
      </c>
      <c r="G238" s="16">
        <v>13.8</v>
      </c>
      <c r="H238" s="33">
        <f t="shared" si="66"/>
        <v>171.34490392393678</v>
      </c>
      <c r="I238" s="26">
        <f t="shared" si="57"/>
        <v>154.95416308858017</v>
      </c>
      <c r="J238" s="9">
        <f t="shared" si="58"/>
        <v>6.8236780263215167</v>
      </c>
      <c r="K238" s="9">
        <f t="shared" si="59"/>
        <v>13.986299633866443</v>
      </c>
      <c r="L238" s="9">
        <f t="shared" si="69"/>
        <v>33.37529338789497</v>
      </c>
      <c r="M238" s="9">
        <f t="shared" si="60"/>
        <v>100.76889204049725</v>
      </c>
      <c r="N238" s="9">
        <f t="shared" si="61"/>
        <v>0</v>
      </c>
      <c r="O238" s="12">
        <f t="shared" si="62"/>
        <v>3.6000000000000014</v>
      </c>
      <c r="P238" s="11">
        <f t="shared" si="63"/>
        <v>1.7</v>
      </c>
      <c r="Q238" s="12">
        <f t="shared" si="64"/>
        <v>1.5333333333333334</v>
      </c>
      <c r="R238" s="1">
        <f t="shared" si="67"/>
        <v>0</v>
      </c>
      <c r="S238" s="1">
        <f t="shared" si="70"/>
        <v>3.8000000000000007</v>
      </c>
      <c r="T238" s="36">
        <f t="shared" si="65"/>
        <v>6.9355961669362698E-2</v>
      </c>
      <c r="U238" s="31">
        <f t="shared" si="68"/>
        <v>13.869355961669363</v>
      </c>
      <c r="V238" s="40">
        <f t="shared" si="71"/>
        <v>171.34490392393678</v>
      </c>
    </row>
    <row r="239" spans="1:22">
      <c r="A239" s="2" t="s">
        <v>892</v>
      </c>
      <c r="B239" s="2" t="s">
        <v>893</v>
      </c>
      <c r="C239" s="2" t="s">
        <v>894</v>
      </c>
      <c r="D239" s="2" t="s">
        <v>895</v>
      </c>
      <c r="E239" s="16">
        <v>21.1</v>
      </c>
      <c r="F239" s="16">
        <v>12.18</v>
      </c>
      <c r="G239" s="16">
        <v>13.84</v>
      </c>
      <c r="H239" s="33">
        <f t="shared" si="66"/>
        <v>174.53044352388196</v>
      </c>
      <c r="I239" s="26">
        <f t="shared" ref="I239:I265" si="72">J239+K239+L239+M239+N239</f>
        <v>146.89956332276961</v>
      </c>
      <c r="J239" s="9">
        <f t="shared" ref="J239:J265" si="73">116/1.2213*(0.0950502775050452+(1.12627632206642)/((1+($B$2/0.302756091410027)^2.26536793426585)^0.152776210790626))/E239</f>
        <v>5.4977500686002738</v>
      </c>
      <c r="K239" s="9">
        <f t="shared" ref="K239:K265" si="74">5.91232283796472*O239*ABS(G239-F239)/E239^0.600317738509086*(1+$B$2)^0.808139120750434</f>
        <v>2.6120655279414917</v>
      </c>
      <c r="L239" s="9">
        <f t="shared" si="69"/>
        <v>36.886597142472851</v>
      </c>
      <c r="M239" s="9">
        <f t="shared" ref="M239:M265" si="75">13.6914255489806*Q239*(G239-9)</f>
        <v>101.90315058375498</v>
      </c>
      <c r="N239" s="9">
        <f t="shared" ref="N239:N265" si="76">2.4817076129942*Q239*(6.5-$B$3)</f>
        <v>0</v>
      </c>
      <c r="O239" s="12">
        <f t="shared" ref="O239:O265" si="77">IF(ABS(G239-F239)&lt;=1,IF(F239&lt;=6,0,ABS(G239-F239)), ABS(G239-F239))</f>
        <v>1.6600000000000001</v>
      </c>
      <c r="P239" s="11">
        <f t="shared" ref="P239:P265" si="78">IF(F239-6&gt;0,F239/6,0)</f>
        <v>2.0299999999999998</v>
      </c>
      <c r="Q239" s="12">
        <f t="shared" ref="Q239:Q265" si="79">IF(G239-9&gt;0,G239/9,0)</f>
        <v>1.5377777777777777</v>
      </c>
      <c r="R239" s="1">
        <f t="shared" si="67"/>
        <v>0</v>
      </c>
      <c r="S239" s="1">
        <f t="shared" si="70"/>
        <v>1.8200000000000003</v>
      </c>
      <c r="T239" s="36">
        <f t="shared" ref="T239:T265" si="80">0.0693559616693627+4.32571272410334*LOG(((6.5/$B$3)^2),2.512)^1.81526832546765*(G239/18)^8.00090419543305</f>
        <v>6.9355961669362698E-2</v>
      </c>
      <c r="U239" s="31">
        <f t="shared" si="68"/>
        <v>13.909355961669363</v>
      </c>
      <c r="V239" s="40">
        <f t="shared" si="71"/>
        <v>174.53044352388196</v>
      </c>
    </row>
    <row r="240" spans="1:22">
      <c r="A240" s="2" t="s">
        <v>896</v>
      </c>
      <c r="B240" s="2" t="s">
        <v>897</v>
      </c>
      <c r="C240" s="2" t="s">
        <v>898</v>
      </c>
      <c r="D240" s="2" t="s">
        <v>899</v>
      </c>
      <c r="E240" s="16">
        <v>15.2</v>
      </c>
      <c r="F240" s="16">
        <v>13.9</v>
      </c>
      <c r="G240" s="16">
        <v>13.9</v>
      </c>
      <c r="H240" s="33">
        <f t="shared" si="66"/>
        <v>179.42014046179258</v>
      </c>
      <c r="I240" s="26">
        <f t="shared" si="72"/>
        <v>155.63547237124394</v>
      </c>
      <c r="J240" s="9">
        <f t="shared" si="73"/>
        <v>7.631745161017486</v>
      </c>
      <c r="K240" s="9">
        <f t="shared" si="74"/>
        <v>0</v>
      </c>
      <c r="L240" s="9">
        <f t="shared" si="69"/>
        <v>44.390061194552139</v>
      </c>
      <c r="M240" s="9">
        <f t="shared" si="75"/>
        <v>103.61366601567431</v>
      </c>
      <c r="N240" s="9">
        <f t="shared" si="76"/>
        <v>0</v>
      </c>
      <c r="O240" s="12">
        <f t="shared" si="77"/>
        <v>0</v>
      </c>
      <c r="P240" s="11">
        <f t="shared" si="78"/>
        <v>2.3166666666666669</v>
      </c>
      <c r="Q240" s="12">
        <f t="shared" si="79"/>
        <v>1.5444444444444445</v>
      </c>
      <c r="R240" s="1">
        <f t="shared" si="67"/>
        <v>0</v>
      </c>
      <c r="S240" s="1">
        <f t="shared" si="70"/>
        <v>1.5</v>
      </c>
      <c r="T240" s="36">
        <f t="shared" si="80"/>
        <v>6.9355961669362698E-2</v>
      </c>
      <c r="U240" s="31">
        <f t="shared" si="68"/>
        <v>13.969355961669363</v>
      </c>
      <c r="V240" s="40">
        <f t="shared" si="71"/>
        <v>179.42014046179258</v>
      </c>
    </row>
    <row r="241" spans="1:22">
      <c r="A241" s="2" t="s">
        <v>900</v>
      </c>
      <c r="B241" s="2" t="s">
        <v>901</v>
      </c>
      <c r="C241" s="2" t="s">
        <v>902</v>
      </c>
      <c r="D241" s="2" t="s">
        <v>903</v>
      </c>
      <c r="E241" s="16">
        <v>43.6</v>
      </c>
      <c r="F241" s="16">
        <v>12.27</v>
      </c>
      <c r="G241" s="16">
        <v>13.92</v>
      </c>
      <c r="H241" s="33">
        <f t="shared" si="66"/>
        <v>181.08029458134814</v>
      </c>
      <c r="I241" s="26">
        <f t="shared" si="72"/>
        <v>145.33320316418005</v>
      </c>
      <c r="J241" s="9">
        <f t="shared" si="73"/>
        <v>2.6606084047583893</v>
      </c>
      <c r="K241" s="9">
        <f t="shared" si="74"/>
        <v>1.6692185686756456</v>
      </c>
      <c r="L241" s="9">
        <f t="shared" si="69"/>
        <v>36.817104333223249</v>
      </c>
      <c r="M241" s="9">
        <f t="shared" si="75"/>
        <v>104.18627185752277</v>
      </c>
      <c r="N241" s="9">
        <f t="shared" si="76"/>
        <v>0</v>
      </c>
      <c r="O241" s="12">
        <f t="shared" si="77"/>
        <v>1.6500000000000004</v>
      </c>
      <c r="P241" s="11">
        <f t="shared" si="78"/>
        <v>2.0449999999999999</v>
      </c>
      <c r="Q241" s="12">
        <f t="shared" si="79"/>
        <v>1.5466666666666666</v>
      </c>
      <c r="R241" s="1">
        <f t="shared" si="67"/>
        <v>0</v>
      </c>
      <c r="S241" s="1">
        <f t="shared" si="70"/>
        <v>1.7300000000000004</v>
      </c>
      <c r="T241" s="36">
        <f t="shared" si="80"/>
        <v>6.9355961669362698E-2</v>
      </c>
      <c r="U241" s="31">
        <f t="shared" si="68"/>
        <v>13.989355961669363</v>
      </c>
      <c r="V241" s="40">
        <f t="shared" si="71"/>
        <v>181.08029458134814</v>
      </c>
    </row>
    <row r="242" spans="1:22">
      <c r="A242" s="2" t="s">
        <v>904</v>
      </c>
      <c r="B242" s="2" t="s">
        <v>905</v>
      </c>
      <c r="C242" s="2" t="s">
        <v>906</v>
      </c>
      <c r="D242" s="2" t="s">
        <v>907</v>
      </c>
      <c r="E242" s="16">
        <v>23.6</v>
      </c>
      <c r="F242" s="16">
        <v>13.95</v>
      </c>
      <c r="G242" s="16">
        <v>13.98</v>
      </c>
      <c r="H242" s="33">
        <f t="shared" si="66"/>
        <v>186.15349409916891</v>
      </c>
      <c r="I242" s="26">
        <f t="shared" si="72"/>
        <v>155.51436646674156</v>
      </c>
      <c r="J242" s="9">
        <f t="shared" si="73"/>
        <v>4.9153612901468549</v>
      </c>
      <c r="K242" s="9">
        <f t="shared" si="74"/>
        <v>7.9765891054195035E-4</v>
      </c>
      <c r="L242" s="9">
        <f t="shared" si="69"/>
        <v>44.686816040989811</v>
      </c>
      <c r="M242" s="9">
        <f t="shared" si="75"/>
        <v>105.91139147669435</v>
      </c>
      <c r="N242" s="9">
        <f t="shared" si="76"/>
        <v>0</v>
      </c>
      <c r="O242" s="12">
        <f t="shared" si="77"/>
        <v>3.0000000000001137E-2</v>
      </c>
      <c r="P242" s="11">
        <f t="shared" si="78"/>
        <v>2.3249999999999997</v>
      </c>
      <c r="Q242" s="12">
        <f t="shared" si="79"/>
        <v>1.5533333333333335</v>
      </c>
      <c r="R242" s="1">
        <f t="shared" si="67"/>
        <v>0</v>
      </c>
      <c r="S242" s="1">
        <f t="shared" si="70"/>
        <v>1.5</v>
      </c>
      <c r="T242" s="36">
        <f t="shared" si="80"/>
        <v>6.9355961669362698E-2</v>
      </c>
      <c r="U242" s="31">
        <f t="shared" si="68"/>
        <v>14.049355961669363</v>
      </c>
      <c r="V242" s="40">
        <f t="shared" si="71"/>
        <v>186.15349409916891</v>
      </c>
    </row>
    <row r="243" spans="1:22">
      <c r="A243" s="2" t="s">
        <v>908</v>
      </c>
      <c r="B243" s="2" t="s">
        <v>909</v>
      </c>
      <c r="C243" s="2" t="s">
        <v>910</v>
      </c>
      <c r="D243" s="2" t="s">
        <v>911</v>
      </c>
      <c r="E243" s="16">
        <v>24.8</v>
      </c>
      <c r="F243" s="16">
        <v>3.73</v>
      </c>
      <c r="G243" s="16">
        <v>14</v>
      </c>
      <c r="H243" s="33">
        <f t="shared" si="66"/>
        <v>201.90349771590888</v>
      </c>
      <c r="I243" s="26">
        <f t="shared" si="72"/>
        <v>201.90349771590888</v>
      </c>
      <c r="J243" s="9">
        <f t="shared" si="73"/>
        <v>4.6775212277203941</v>
      </c>
      <c r="K243" s="9">
        <f t="shared" si="74"/>
        <v>90.737111107228287</v>
      </c>
      <c r="L243" s="9">
        <f t="shared" si="69"/>
        <v>0</v>
      </c>
      <c r="M243" s="9">
        <f t="shared" si="75"/>
        <v>106.48886538096022</v>
      </c>
      <c r="N243" s="9">
        <f t="shared" si="76"/>
        <v>0</v>
      </c>
      <c r="O243" s="12">
        <f t="shared" si="77"/>
        <v>10.27</v>
      </c>
      <c r="P243" s="11">
        <f t="shared" si="78"/>
        <v>0</v>
      </c>
      <c r="Q243" s="12">
        <f t="shared" si="79"/>
        <v>1.5555555555555556</v>
      </c>
      <c r="R243" s="1">
        <f t="shared" si="67"/>
        <v>0</v>
      </c>
      <c r="S243" s="1">
        <f t="shared" si="70"/>
        <v>10.27</v>
      </c>
      <c r="T243" s="36">
        <f t="shared" si="80"/>
        <v>6.9355961669362698E-2</v>
      </c>
      <c r="U243" s="31">
        <f t="shared" si="68"/>
        <v>14.069355961669363</v>
      </c>
      <c r="V243" s="40">
        <f t="shared" si="71"/>
        <v>187.8759511728453</v>
      </c>
    </row>
    <row r="244" spans="1:22">
      <c r="A244" s="2" t="s">
        <v>912</v>
      </c>
      <c r="B244" s="2" t="s">
        <v>913</v>
      </c>
      <c r="C244" s="2" t="s">
        <v>914</v>
      </c>
      <c r="D244" s="2" t="s">
        <v>915</v>
      </c>
      <c r="E244" s="16">
        <v>30.1</v>
      </c>
      <c r="F244" s="16">
        <v>8.3000000000000007</v>
      </c>
      <c r="G244" s="16">
        <v>14</v>
      </c>
      <c r="H244" s="33">
        <f t="shared" si="66"/>
        <v>187.8759511728453</v>
      </c>
      <c r="I244" s="26">
        <f t="shared" si="72"/>
        <v>161.29651726319412</v>
      </c>
      <c r="J244" s="9">
        <f t="shared" si="73"/>
        <v>3.8539045331383979</v>
      </c>
      <c r="K244" s="9">
        <f t="shared" si="74"/>
        <v>24.882737433091343</v>
      </c>
      <c r="L244" s="9">
        <f t="shared" si="69"/>
        <v>26.071009916004158</v>
      </c>
      <c r="M244" s="9">
        <f t="shared" si="75"/>
        <v>106.48886538096022</v>
      </c>
      <c r="N244" s="9">
        <f t="shared" si="76"/>
        <v>0</v>
      </c>
      <c r="O244" s="12">
        <f t="shared" si="77"/>
        <v>5.6999999999999993</v>
      </c>
      <c r="P244" s="11">
        <f t="shared" si="78"/>
        <v>1.3833333333333335</v>
      </c>
      <c r="Q244" s="12">
        <f t="shared" si="79"/>
        <v>1.5555555555555556</v>
      </c>
      <c r="R244" s="1">
        <f t="shared" si="67"/>
        <v>0</v>
      </c>
      <c r="S244" s="1">
        <f t="shared" si="70"/>
        <v>5.6999999999999993</v>
      </c>
      <c r="T244" s="36">
        <f t="shared" si="80"/>
        <v>6.9355961669362698E-2</v>
      </c>
      <c r="U244" s="31">
        <f t="shared" si="68"/>
        <v>14.069355961669363</v>
      </c>
      <c r="V244" s="40">
        <f t="shared" si="71"/>
        <v>187.8759511728453</v>
      </c>
    </row>
    <row r="245" spans="1:22">
      <c r="A245" s="2" t="s">
        <v>916</v>
      </c>
      <c r="B245" s="2" t="s">
        <v>917</v>
      </c>
      <c r="C245" s="2" t="s">
        <v>918</v>
      </c>
      <c r="D245" s="2" t="s">
        <v>919</v>
      </c>
      <c r="E245" s="16">
        <v>21.9</v>
      </c>
      <c r="F245" s="16">
        <v>6.25</v>
      </c>
      <c r="G245" s="16">
        <v>14</v>
      </c>
      <c r="H245" s="33">
        <f t="shared" si="66"/>
        <v>187.8759511728453</v>
      </c>
      <c r="I245" s="26">
        <f t="shared" si="72"/>
        <v>184.86725339198853</v>
      </c>
      <c r="J245" s="9">
        <f t="shared" si="73"/>
        <v>5.2969190158660178</v>
      </c>
      <c r="K245" s="9">
        <f t="shared" si="74"/>
        <v>55.676146093910539</v>
      </c>
      <c r="L245" s="9">
        <f t="shared" si="69"/>
        <v>17.405322901251743</v>
      </c>
      <c r="M245" s="9">
        <f t="shared" si="75"/>
        <v>106.48886538096022</v>
      </c>
      <c r="N245" s="9">
        <f t="shared" si="76"/>
        <v>0</v>
      </c>
      <c r="O245" s="12">
        <f t="shared" si="77"/>
        <v>7.75</v>
      </c>
      <c r="P245" s="11">
        <f t="shared" si="78"/>
        <v>1.0416666666666667</v>
      </c>
      <c r="Q245" s="12">
        <f t="shared" si="79"/>
        <v>1.5555555555555556</v>
      </c>
      <c r="R245" s="1">
        <f t="shared" si="67"/>
        <v>0</v>
      </c>
      <c r="S245" s="1">
        <f t="shared" si="70"/>
        <v>7.75</v>
      </c>
      <c r="T245" s="36">
        <f t="shared" si="80"/>
        <v>6.9355961669362698E-2</v>
      </c>
      <c r="U245" s="31">
        <f t="shared" si="68"/>
        <v>14.069355961669363</v>
      </c>
      <c r="V245" s="40">
        <f t="shared" si="71"/>
        <v>187.8759511728453</v>
      </c>
    </row>
    <row r="246" spans="1:22">
      <c r="A246" s="2" t="s">
        <v>920</v>
      </c>
      <c r="B246" s="2" t="s">
        <v>921</v>
      </c>
      <c r="C246" s="2" t="s">
        <v>922</v>
      </c>
      <c r="D246" s="2" t="s">
        <v>923</v>
      </c>
      <c r="E246" s="16">
        <v>29.2</v>
      </c>
      <c r="F246" s="16">
        <v>12.79</v>
      </c>
      <c r="G246" s="16">
        <v>14.16</v>
      </c>
      <c r="H246" s="33">
        <f t="shared" si="66"/>
        <v>202.24192591518539</v>
      </c>
      <c r="I246" s="26">
        <f t="shared" si="72"/>
        <v>154.64418652578092</v>
      </c>
      <c r="J246" s="9">
        <f t="shared" si="73"/>
        <v>3.9726892618995131</v>
      </c>
      <c r="K246" s="9">
        <f t="shared" si="74"/>
        <v>1.4638748694059589</v>
      </c>
      <c r="L246" s="9">
        <f t="shared" si="69"/>
        <v>38.055153217631336</v>
      </c>
      <c r="M246" s="9">
        <f t="shared" si="75"/>
        <v>111.15246917684411</v>
      </c>
      <c r="N246" s="9">
        <f t="shared" si="76"/>
        <v>0</v>
      </c>
      <c r="O246" s="12">
        <f t="shared" si="77"/>
        <v>1.370000000000001</v>
      </c>
      <c r="P246" s="11">
        <f t="shared" si="78"/>
        <v>2.1316666666666664</v>
      </c>
      <c r="Q246" s="12">
        <f t="shared" si="79"/>
        <v>1.5733333333333333</v>
      </c>
      <c r="R246" s="1">
        <f t="shared" si="67"/>
        <v>0</v>
      </c>
      <c r="S246" s="1">
        <f t="shared" si="70"/>
        <v>1.5</v>
      </c>
      <c r="T246" s="36">
        <f t="shared" si="80"/>
        <v>6.9355961669362698E-2</v>
      </c>
      <c r="U246" s="31">
        <f t="shared" si="68"/>
        <v>14.229355961669363</v>
      </c>
      <c r="V246" s="40">
        <f t="shared" si="71"/>
        <v>202.24192591518539</v>
      </c>
    </row>
    <row r="247" spans="1:22">
      <c r="A247" s="2" t="s">
        <v>924</v>
      </c>
      <c r="B247" s="2" t="s">
        <v>925</v>
      </c>
      <c r="C247" s="2" t="s">
        <v>926</v>
      </c>
      <c r="D247" s="2" t="s">
        <v>927</v>
      </c>
      <c r="E247" s="16">
        <v>28.9</v>
      </c>
      <c r="F247" s="16">
        <v>10.53</v>
      </c>
      <c r="G247" s="16">
        <v>14.26</v>
      </c>
      <c r="H247" s="33">
        <f t="shared" si="66"/>
        <v>211.77329423858544</v>
      </c>
      <c r="I247" s="26">
        <f t="shared" si="72"/>
        <v>163.43699270811882</v>
      </c>
      <c r="J247" s="9">
        <f t="shared" si="73"/>
        <v>4.0139282507773633</v>
      </c>
      <c r="K247" s="9">
        <f t="shared" si="74"/>
        <v>10.918749811274626</v>
      </c>
      <c r="L247" s="9">
        <f t="shared" si="69"/>
        <v>34.397540089653809</v>
      </c>
      <c r="M247" s="9">
        <f t="shared" si="75"/>
        <v>114.10677455641303</v>
      </c>
      <c r="N247" s="9">
        <f t="shared" si="76"/>
        <v>0</v>
      </c>
      <c r="O247" s="12">
        <f t="shared" si="77"/>
        <v>3.7300000000000004</v>
      </c>
      <c r="P247" s="11">
        <f t="shared" si="78"/>
        <v>1.7549999999999999</v>
      </c>
      <c r="Q247" s="12">
        <f t="shared" si="79"/>
        <v>1.5844444444444443</v>
      </c>
      <c r="R247" s="1">
        <f t="shared" si="67"/>
        <v>0</v>
      </c>
      <c r="S247" s="1">
        <f t="shared" si="70"/>
        <v>3.4700000000000006</v>
      </c>
      <c r="T247" s="36">
        <f t="shared" si="80"/>
        <v>6.9355961669362698E-2</v>
      </c>
      <c r="U247" s="31">
        <f t="shared" si="68"/>
        <v>14.329355961669362</v>
      </c>
      <c r="V247" s="40">
        <f t="shared" si="71"/>
        <v>211.77329423858544</v>
      </c>
    </row>
    <row r="248" spans="1:22">
      <c r="A248" s="2" t="s">
        <v>928</v>
      </c>
      <c r="B248" s="2" t="s">
        <v>929</v>
      </c>
      <c r="C248" s="2" t="s">
        <v>930</v>
      </c>
      <c r="D248" s="2" t="s">
        <v>931</v>
      </c>
      <c r="E248" s="16">
        <v>30.4</v>
      </c>
      <c r="F248" s="16">
        <v>5.33</v>
      </c>
      <c r="G248" s="16">
        <v>14.3</v>
      </c>
      <c r="H248" s="33">
        <f t="shared" si="66"/>
        <v>215.7104537312739</v>
      </c>
      <c r="I248" s="26">
        <f t="shared" si="72"/>
        <v>180.36875809239814</v>
      </c>
      <c r="J248" s="9">
        <f t="shared" si="73"/>
        <v>3.815872580508743</v>
      </c>
      <c r="K248" s="9">
        <f t="shared" si="74"/>
        <v>61.255869694418301</v>
      </c>
      <c r="L248" s="9">
        <f t="shared" si="69"/>
        <v>0</v>
      </c>
      <c r="M248" s="9">
        <f t="shared" si="75"/>
        <v>115.29701581747111</v>
      </c>
      <c r="N248" s="9">
        <f t="shared" si="76"/>
        <v>0</v>
      </c>
      <c r="O248" s="12">
        <f t="shared" si="77"/>
        <v>8.9700000000000006</v>
      </c>
      <c r="P248" s="11">
        <f t="shared" si="78"/>
        <v>0</v>
      </c>
      <c r="Q248" s="12">
        <f t="shared" si="79"/>
        <v>1.588888888888889</v>
      </c>
      <c r="R248" s="1">
        <f t="shared" si="67"/>
        <v>0</v>
      </c>
      <c r="S248" s="1">
        <f t="shared" si="70"/>
        <v>8.67</v>
      </c>
      <c r="T248" s="36">
        <f t="shared" si="80"/>
        <v>6.9355961669362698E-2</v>
      </c>
      <c r="U248" s="31">
        <f t="shared" si="68"/>
        <v>14.369355961669363</v>
      </c>
      <c r="V248" s="40">
        <f t="shared" si="71"/>
        <v>215.7104537312739</v>
      </c>
    </row>
    <row r="249" spans="1:22">
      <c r="A249" s="2" t="s">
        <v>932</v>
      </c>
      <c r="B249" s="2" t="s">
        <v>933</v>
      </c>
      <c r="C249" s="2" t="s">
        <v>934</v>
      </c>
      <c r="D249" s="2" t="s">
        <v>935</v>
      </c>
      <c r="E249" s="16">
        <v>28.4</v>
      </c>
      <c r="F249" s="16">
        <v>11.36</v>
      </c>
      <c r="G249" s="16">
        <v>14.37</v>
      </c>
      <c r="H249" s="33">
        <f t="shared" si="66"/>
        <v>222.77743143293895</v>
      </c>
      <c r="I249" s="26">
        <f t="shared" si="72"/>
        <v>165.01058408004241</v>
      </c>
      <c r="J249" s="9">
        <f t="shared" si="73"/>
        <v>4.084596001671331</v>
      </c>
      <c r="K249" s="9">
        <f t="shared" si="74"/>
        <v>7.1851915803836022</v>
      </c>
      <c r="L249" s="9">
        <f t="shared" si="69"/>
        <v>36.349144698472912</v>
      </c>
      <c r="M249" s="9">
        <f t="shared" si="75"/>
        <v>117.39165179951455</v>
      </c>
      <c r="N249" s="9">
        <f t="shared" si="76"/>
        <v>0</v>
      </c>
      <c r="O249" s="12">
        <f t="shared" si="77"/>
        <v>3.01</v>
      </c>
      <c r="P249" s="11">
        <f t="shared" si="78"/>
        <v>1.8933333333333333</v>
      </c>
      <c r="Q249" s="12">
        <f t="shared" si="79"/>
        <v>1.5966666666666667</v>
      </c>
      <c r="R249" s="1">
        <f t="shared" si="67"/>
        <v>0</v>
      </c>
      <c r="S249" s="1">
        <f t="shared" si="70"/>
        <v>2.6400000000000006</v>
      </c>
      <c r="T249" s="36">
        <f t="shared" si="80"/>
        <v>6.9355961669362698E-2</v>
      </c>
      <c r="U249" s="31">
        <f t="shared" si="68"/>
        <v>14.439355961669362</v>
      </c>
      <c r="V249" s="40">
        <f t="shared" si="71"/>
        <v>222.77743143293895</v>
      </c>
    </row>
    <row r="250" spans="1:22">
      <c r="A250" s="2" t="s">
        <v>936</v>
      </c>
      <c r="B250" s="2" t="s">
        <v>937</v>
      </c>
      <c r="C250" s="2" t="s">
        <v>938</v>
      </c>
      <c r="D250" s="2" t="s">
        <v>939</v>
      </c>
      <c r="E250" s="16">
        <v>30.3</v>
      </c>
      <c r="F250" s="16">
        <v>11.36</v>
      </c>
      <c r="G250" s="16">
        <v>14.4</v>
      </c>
      <c r="H250" s="33">
        <f t="shared" si="66"/>
        <v>225.87657421502936</v>
      </c>
      <c r="I250" s="26">
        <f t="shared" si="72"/>
        <v>165.52120141506848</v>
      </c>
      <c r="J250" s="9">
        <f t="shared" si="73"/>
        <v>3.8284662193883094</v>
      </c>
      <c r="K250" s="9">
        <f t="shared" si="74"/>
        <v>7.0496737540148464</v>
      </c>
      <c r="L250" s="9">
        <f t="shared" si="69"/>
        <v>36.349144698472912</v>
      </c>
      <c r="M250" s="9">
        <f t="shared" si="75"/>
        <v>118.2939167431924</v>
      </c>
      <c r="N250" s="9">
        <f t="shared" si="76"/>
        <v>0</v>
      </c>
      <c r="O250" s="12">
        <f t="shared" si="77"/>
        <v>3.0400000000000009</v>
      </c>
      <c r="P250" s="11">
        <f t="shared" si="78"/>
        <v>1.8933333333333333</v>
      </c>
      <c r="Q250" s="12">
        <f t="shared" si="79"/>
        <v>1.6</v>
      </c>
      <c r="R250" s="1">
        <f t="shared" si="67"/>
        <v>0</v>
      </c>
      <c r="S250" s="1">
        <f t="shared" si="70"/>
        <v>2.6400000000000006</v>
      </c>
      <c r="T250" s="36">
        <f t="shared" si="80"/>
        <v>6.9355961669362698E-2</v>
      </c>
      <c r="U250" s="31">
        <f t="shared" si="68"/>
        <v>14.469355961669363</v>
      </c>
      <c r="V250" s="40">
        <f t="shared" si="71"/>
        <v>225.87657421502936</v>
      </c>
    </row>
    <row r="251" spans="1:22">
      <c r="A251" s="2" t="s">
        <v>940</v>
      </c>
      <c r="B251" s="2" t="s">
        <v>941</v>
      </c>
      <c r="C251" s="2" t="s">
        <v>942</v>
      </c>
      <c r="D251" s="2" t="s">
        <v>943</v>
      </c>
      <c r="E251" s="16">
        <v>35.9</v>
      </c>
      <c r="F251" s="16">
        <v>5.45</v>
      </c>
      <c r="G251" s="16">
        <v>14.4</v>
      </c>
      <c r="H251" s="33">
        <f t="shared" si="66"/>
        <v>225.87657421502936</v>
      </c>
      <c r="I251" s="26">
        <f t="shared" si="72"/>
        <v>176.71429970870832</v>
      </c>
      <c r="J251" s="9">
        <f t="shared" si="73"/>
        <v>3.2312681461689636</v>
      </c>
      <c r="K251" s="9">
        <f t="shared" si="74"/>
        <v>55.189114819346976</v>
      </c>
      <c r="L251" s="9">
        <f t="shared" si="69"/>
        <v>0</v>
      </c>
      <c r="M251" s="9">
        <f t="shared" si="75"/>
        <v>118.2939167431924</v>
      </c>
      <c r="N251" s="9">
        <f t="shared" si="76"/>
        <v>0</v>
      </c>
      <c r="O251" s="12">
        <f t="shared" si="77"/>
        <v>8.9499999999999993</v>
      </c>
      <c r="P251" s="11">
        <f t="shared" si="78"/>
        <v>0</v>
      </c>
      <c r="Q251" s="12">
        <f t="shared" si="79"/>
        <v>1.6</v>
      </c>
      <c r="R251" s="1">
        <f t="shared" si="67"/>
        <v>0</v>
      </c>
      <c r="S251" s="1">
        <f t="shared" si="70"/>
        <v>8.5500000000000007</v>
      </c>
      <c r="T251" s="36">
        <f t="shared" si="80"/>
        <v>6.9355961669362698E-2</v>
      </c>
      <c r="U251" s="31">
        <f t="shared" si="68"/>
        <v>14.469355961669363</v>
      </c>
      <c r="V251" s="40">
        <f t="shared" si="71"/>
        <v>225.87657421502936</v>
      </c>
    </row>
    <row r="252" spans="1:22">
      <c r="A252" s="2" t="s">
        <v>912</v>
      </c>
      <c r="B252" s="2" t="s">
        <v>913</v>
      </c>
      <c r="C252" s="2" t="s">
        <v>914</v>
      </c>
      <c r="D252" s="2" t="s">
        <v>915</v>
      </c>
      <c r="E252" s="16">
        <v>23.7</v>
      </c>
      <c r="F252" s="16">
        <v>8.3000000000000007</v>
      </c>
      <c r="G252" s="16">
        <v>14.4</v>
      </c>
      <c r="H252" s="33">
        <f t="shared" si="66"/>
        <v>225.87657421502936</v>
      </c>
      <c r="I252" s="26">
        <f t="shared" si="72"/>
        <v>182.15470720764711</v>
      </c>
      <c r="J252" s="9">
        <f t="shared" si="73"/>
        <v>4.8946213690913831</v>
      </c>
      <c r="K252" s="9">
        <f t="shared" si="74"/>
        <v>32.895159179359162</v>
      </c>
      <c r="L252" s="9">
        <f t="shared" si="69"/>
        <v>26.071009916004158</v>
      </c>
      <c r="M252" s="9">
        <f t="shared" si="75"/>
        <v>118.2939167431924</v>
      </c>
      <c r="N252" s="9">
        <f t="shared" si="76"/>
        <v>0</v>
      </c>
      <c r="O252" s="12">
        <f t="shared" si="77"/>
        <v>6.1</v>
      </c>
      <c r="P252" s="11">
        <f t="shared" si="78"/>
        <v>1.3833333333333335</v>
      </c>
      <c r="Q252" s="12">
        <f t="shared" si="79"/>
        <v>1.6</v>
      </c>
      <c r="R252" s="1">
        <f t="shared" si="67"/>
        <v>0</v>
      </c>
      <c r="S252" s="1">
        <f t="shared" si="70"/>
        <v>5.6999999999999993</v>
      </c>
      <c r="T252" s="36">
        <f t="shared" si="80"/>
        <v>6.9355961669362698E-2</v>
      </c>
      <c r="U252" s="31">
        <f t="shared" si="68"/>
        <v>14.469355961669363</v>
      </c>
      <c r="V252" s="40">
        <f t="shared" si="71"/>
        <v>225.87657421502936</v>
      </c>
    </row>
    <row r="253" spans="1:22">
      <c r="A253" s="2" t="s">
        <v>944</v>
      </c>
      <c r="B253" s="2" t="s">
        <v>945</v>
      </c>
      <c r="C253" s="2" t="s">
        <v>946</v>
      </c>
      <c r="D253" s="2" t="s">
        <v>947</v>
      </c>
      <c r="E253" s="16">
        <v>45.5</v>
      </c>
      <c r="F253" s="16">
        <v>13.88</v>
      </c>
      <c r="G253" s="16">
        <v>14.46</v>
      </c>
      <c r="H253" s="33">
        <f t="shared" si="66"/>
        <v>232.20479965802443</v>
      </c>
      <c r="I253" s="26">
        <f t="shared" si="72"/>
        <v>167.12884103110167</v>
      </c>
      <c r="J253" s="9">
        <f t="shared" si="73"/>
        <v>2.5495060757684787</v>
      </c>
      <c r="K253" s="9">
        <f t="shared" si="74"/>
        <v>0.20103907410341965</v>
      </c>
      <c r="L253" s="9">
        <f t="shared" si="69"/>
        <v>44.271634395352336</v>
      </c>
      <c r="M253" s="9">
        <f t="shared" si="75"/>
        <v>120.10666148587744</v>
      </c>
      <c r="N253" s="9">
        <f t="shared" si="76"/>
        <v>0</v>
      </c>
      <c r="O253" s="12">
        <f t="shared" si="77"/>
        <v>0.58000000000000007</v>
      </c>
      <c r="P253" s="11">
        <f t="shared" si="78"/>
        <v>2.3133333333333335</v>
      </c>
      <c r="Q253" s="12">
        <f t="shared" si="79"/>
        <v>1.6066666666666667</v>
      </c>
      <c r="R253" s="1">
        <f t="shared" si="67"/>
        <v>0</v>
      </c>
      <c r="S253" s="1">
        <f t="shared" si="70"/>
        <v>1.5</v>
      </c>
      <c r="T253" s="36">
        <f t="shared" si="80"/>
        <v>6.9355961669362698E-2</v>
      </c>
      <c r="U253" s="31">
        <f t="shared" si="68"/>
        <v>14.529355961669363</v>
      </c>
      <c r="V253" s="40">
        <f t="shared" si="71"/>
        <v>232.20479965802443</v>
      </c>
    </row>
    <row r="254" spans="1:22">
      <c r="A254" s="2" t="s">
        <v>948</v>
      </c>
      <c r="B254" s="2" t="s">
        <v>949</v>
      </c>
      <c r="C254" s="2" t="s">
        <v>950</v>
      </c>
      <c r="D254" s="2" t="s">
        <v>951</v>
      </c>
      <c r="E254" s="16">
        <v>15.5</v>
      </c>
      <c r="F254" s="16">
        <v>9.94</v>
      </c>
      <c r="G254" s="16">
        <v>14.5</v>
      </c>
      <c r="H254" s="33">
        <f t="shared" si="66"/>
        <v>236.52180919649533</v>
      </c>
      <c r="I254" s="26">
        <f t="shared" si="72"/>
        <v>185.02330885373553</v>
      </c>
      <c r="J254" s="9">
        <f t="shared" si="73"/>
        <v>7.4840339643526308</v>
      </c>
      <c r="K254" s="9">
        <f t="shared" si="74"/>
        <v>23.719776500150534</v>
      </c>
      <c r="L254" s="9">
        <f t="shared" si="69"/>
        <v>32.498255330209808</v>
      </c>
      <c r="M254" s="9">
        <f t="shared" si="75"/>
        <v>121.32124305902255</v>
      </c>
      <c r="N254" s="9">
        <f t="shared" si="76"/>
        <v>0</v>
      </c>
      <c r="O254" s="12">
        <f t="shared" si="77"/>
        <v>4.5600000000000005</v>
      </c>
      <c r="P254" s="11">
        <f t="shared" si="78"/>
        <v>1.6566666666666665</v>
      </c>
      <c r="Q254" s="12">
        <f t="shared" si="79"/>
        <v>1.6111111111111112</v>
      </c>
      <c r="R254" s="1">
        <f t="shared" si="67"/>
        <v>0</v>
      </c>
      <c r="S254" s="1">
        <f t="shared" si="70"/>
        <v>4.0600000000000005</v>
      </c>
      <c r="T254" s="36">
        <f t="shared" si="80"/>
        <v>6.9355961669362698E-2</v>
      </c>
      <c r="U254" s="31">
        <f t="shared" si="68"/>
        <v>14.569355961669363</v>
      </c>
      <c r="V254" s="40">
        <f t="shared" si="71"/>
        <v>236.52180919649533</v>
      </c>
    </row>
    <row r="255" spans="1:22">
      <c r="A255" s="2" t="s">
        <v>952</v>
      </c>
      <c r="B255" s="2" t="s">
        <v>953</v>
      </c>
      <c r="C255" s="2" t="s">
        <v>954</v>
      </c>
      <c r="D255" s="2" t="s">
        <v>955</v>
      </c>
      <c r="E255" s="16">
        <v>21.7</v>
      </c>
      <c r="F255" s="16">
        <v>8.3699999999999992</v>
      </c>
      <c r="G255" s="16">
        <v>14.5</v>
      </c>
      <c r="H255" s="33">
        <f t="shared" si="66"/>
        <v>236.52180919649533</v>
      </c>
      <c r="I255" s="26">
        <f t="shared" si="72"/>
        <v>188.05645503501103</v>
      </c>
      <c r="J255" s="9">
        <f t="shared" si="73"/>
        <v>5.3457385459661655</v>
      </c>
      <c r="K255" s="9">
        <f t="shared" si="74"/>
        <v>35.025037130869386</v>
      </c>
      <c r="L255" s="9">
        <f t="shared" si="69"/>
        <v>26.364436299152928</v>
      </c>
      <c r="M255" s="9">
        <f t="shared" si="75"/>
        <v>121.32124305902255</v>
      </c>
      <c r="N255" s="9">
        <f t="shared" si="76"/>
        <v>0</v>
      </c>
      <c r="O255" s="12">
        <f t="shared" si="77"/>
        <v>6.1300000000000008</v>
      </c>
      <c r="P255" s="11">
        <f t="shared" si="78"/>
        <v>1.3949999999999998</v>
      </c>
      <c r="Q255" s="12">
        <f t="shared" si="79"/>
        <v>1.6111111111111112</v>
      </c>
      <c r="R255" s="1">
        <f t="shared" si="67"/>
        <v>0</v>
      </c>
      <c r="S255" s="1">
        <f t="shared" si="70"/>
        <v>5.6300000000000008</v>
      </c>
      <c r="T255" s="36">
        <f t="shared" si="80"/>
        <v>6.9355961669362698E-2</v>
      </c>
      <c r="U255" s="31">
        <f t="shared" si="68"/>
        <v>14.569355961669363</v>
      </c>
      <c r="V255" s="40">
        <f t="shared" si="71"/>
        <v>236.52180919649533</v>
      </c>
    </row>
    <row r="256" spans="1:22">
      <c r="A256" s="2" t="s">
        <v>872</v>
      </c>
      <c r="B256" s="2" t="s">
        <v>956</v>
      </c>
      <c r="C256" s="2" t="s">
        <v>874</v>
      </c>
      <c r="D256" s="2" t="s">
        <v>875</v>
      </c>
      <c r="E256" s="16">
        <v>20</v>
      </c>
      <c r="F256" s="16">
        <v>6.81</v>
      </c>
      <c r="G256" s="16">
        <v>14.5</v>
      </c>
      <c r="H256" s="33">
        <f t="shared" si="66"/>
        <v>236.52180919649533</v>
      </c>
      <c r="I256" s="26">
        <f t="shared" si="72"/>
        <v>204.75243965218516</v>
      </c>
      <c r="J256" s="9">
        <f t="shared" si="73"/>
        <v>5.8001263223732895</v>
      </c>
      <c r="K256" s="9">
        <f t="shared" si="74"/>
        <v>57.886785729279119</v>
      </c>
      <c r="L256" s="9">
        <f t="shared" si="69"/>
        <v>19.744284541510186</v>
      </c>
      <c r="M256" s="9">
        <f t="shared" si="75"/>
        <v>121.32124305902255</v>
      </c>
      <c r="N256" s="9">
        <f t="shared" si="76"/>
        <v>0</v>
      </c>
      <c r="O256" s="12">
        <f t="shared" si="77"/>
        <v>7.69</v>
      </c>
      <c r="P256" s="11">
        <f t="shared" si="78"/>
        <v>1.135</v>
      </c>
      <c r="Q256" s="12">
        <f t="shared" si="79"/>
        <v>1.6111111111111112</v>
      </c>
      <c r="R256" s="1">
        <f t="shared" si="67"/>
        <v>0</v>
      </c>
      <c r="S256" s="1">
        <f t="shared" si="70"/>
        <v>7.19</v>
      </c>
      <c r="T256" s="36">
        <f t="shared" si="80"/>
        <v>6.9355961669362698E-2</v>
      </c>
      <c r="U256" s="31">
        <f t="shared" si="68"/>
        <v>14.569355961669363</v>
      </c>
      <c r="V256" s="40">
        <f t="shared" si="71"/>
        <v>236.52180919649533</v>
      </c>
    </row>
    <row r="257" spans="1:22">
      <c r="A257" s="2" t="s">
        <v>957</v>
      </c>
      <c r="B257" s="2" t="s">
        <v>958</v>
      </c>
      <c r="C257" s="2" t="s">
        <v>959</v>
      </c>
      <c r="D257" s="2" t="s">
        <v>960</v>
      </c>
      <c r="E257" s="16">
        <v>23.8</v>
      </c>
      <c r="F257" s="16">
        <v>9.66</v>
      </c>
      <c r="G257" s="16">
        <v>14.6</v>
      </c>
      <c r="H257" s="33">
        <f t="shared" si="66"/>
        <v>247.66873864629775</v>
      </c>
      <c r="I257" s="26">
        <f t="shared" si="72"/>
        <v>182.26795779154094</v>
      </c>
      <c r="J257" s="9">
        <f t="shared" si="73"/>
        <v>4.8740557330867977</v>
      </c>
      <c r="K257" s="9">
        <f t="shared" si="74"/>
        <v>21.519316469319541</v>
      </c>
      <c r="L257" s="9">
        <f t="shared" si="69"/>
        <v>31.495590824173075</v>
      </c>
      <c r="M257" s="9">
        <f t="shared" si="75"/>
        <v>124.37899476496153</v>
      </c>
      <c r="N257" s="9">
        <f t="shared" si="76"/>
        <v>0</v>
      </c>
      <c r="O257" s="12">
        <f t="shared" si="77"/>
        <v>4.9399999999999995</v>
      </c>
      <c r="P257" s="11">
        <f t="shared" si="78"/>
        <v>1.61</v>
      </c>
      <c r="Q257" s="12">
        <f t="shared" si="79"/>
        <v>1.6222222222222222</v>
      </c>
      <c r="R257" s="1">
        <f t="shared" si="67"/>
        <v>0</v>
      </c>
      <c r="S257" s="1">
        <f t="shared" si="70"/>
        <v>4.34</v>
      </c>
      <c r="T257" s="36">
        <f t="shared" si="80"/>
        <v>6.9355961669362698E-2</v>
      </c>
      <c r="U257" s="31">
        <f t="shared" si="68"/>
        <v>14.669355961669362</v>
      </c>
      <c r="V257" s="40">
        <f t="shared" si="71"/>
        <v>247.66873864629775</v>
      </c>
    </row>
    <row r="258" spans="1:22">
      <c r="A258" s="2" t="s">
        <v>961</v>
      </c>
      <c r="B258" s="2" t="s">
        <v>962</v>
      </c>
      <c r="C258" s="2" t="s">
        <v>963</v>
      </c>
      <c r="D258" s="2" t="s">
        <v>964</v>
      </c>
      <c r="E258" s="16">
        <v>41.7</v>
      </c>
      <c r="F258" s="16">
        <v>10.24</v>
      </c>
      <c r="G258" s="16">
        <v>14.6</v>
      </c>
      <c r="H258" s="33">
        <f t="shared" si="66"/>
        <v>247.66873864629775</v>
      </c>
      <c r="I258" s="26">
        <f t="shared" si="72"/>
        <v>172.63692367089357</v>
      </c>
      <c r="J258" s="9">
        <f t="shared" si="73"/>
        <v>2.781835166605894</v>
      </c>
      <c r="K258" s="9">
        <f t="shared" si="74"/>
        <v>11.971117851382221</v>
      </c>
      <c r="L258" s="9">
        <f t="shared" si="69"/>
        <v>33.504975887943907</v>
      </c>
      <c r="M258" s="9">
        <f t="shared" si="75"/>
        <v>124.37899476496153</v>
      </c>
      <c r="N258" s="9">
        <f t="shared" si="76"/>
        <v>0</v>
      </c>
      <c r="O258" s="12">
        <f t="shared" si="77"/>
        <v>4.3599999999999994</v>
      </c>
      <c r="P258" s="11">
        <f t="shared" si="78"/>
        <v>1.7066666666666668</v>
      </c>
      <c r="Q258" s="12">
        <f t="shared" si="79"/>
        <v>1.6222222222222222</v>
      </c>
      <c r="R258" s="1">
        <f t="shared" si="67"/>
        <v>0</v>
      </c>
      <c r="S258" s="1">
        <f t="shared" si="70"/>
        <v>3.76</v>
      </c>
      <c r="T258" s="36">
        <f t="shared" si="80"/>
        <v>6.9355961669362698E-2</v>
      </c>
      <c r="U258" s="31">
        <f t="shared" si="68"/>
        <v>14.669355961669362</v>
      </c>
      <c r="V258" s="40">
        <f t="shared" si="71"/>
        <v>247.66873864629775</v>
      </c>
    </row>
    <row r="259" spans="1:22">
      <c r="A259" s="2" t="s">
        <v>965</v>
      </c>
      <c r="B259" s="2" t="s">
        <v>966</v>
      </c>
      <c r="C259" s="2" t="s">
        <v>967</v>
      </c>
      <c r="D259" s="2" t="s">
        <v>968</v>
      </c>
      <c r="E259" s="16">
        <v>20.399999999999999</v>
      </c>
      <c r="F259" s="16">
        <v>10.53</v>
      </c>
      <c r="G259" s="16">
        <v>14.7</v>
      </c>
      <c r="H259" s="33">
        <f t="shared" si="66"/>
        <v>259.34100669629566</v>
      </c>
      <c r="I259" s="26">
        <f t="shared" si="72"/>
        <v>184.37149909449025</v>
      </c>
      <c r="J259" s="9">
        <f t="shared" si="73"/>
        <v>5.6863983552679311</v>
      </c>
      <c r="K259" s="9">
        <f t="shared" si="74"/>
        <v>16.820388788559132</v>
      </c>
      <c r="L259" s="9">
        <f t="shared" si="69"/>
        <v>34.397540089653809</v>
      </c>
      <c r="M259" s="9">
        <f t="shared" si="75"/>
        <v>127.46717186100938</v>
      </c>
      <c r="N259" s="9">
        <f t="shared" si="76"/>
        <v>0</v>
      </c>
      <c r="O259" s="12">
        <f t="shared" si="77"/>
        <v>4.17</v>
      </c>
      <c r="P259" s="11">
        <f t="shared" si="78"/>
        <v>1.7549999999999999</v>
      </c>
      <c r="Q259" s="12">
        <f t="shared" si="79"/>
        <v>1.6333333333333333</v>
      </c>
      <c r="R259" s="1">
        <f t="shared" si="67"/>
        <v>0</v>
      </c>
      <c r="S259" s="1">
        <f t="shared" si="70"/>
        <v>3.4700000000000006</v>
      </c>
      <c r="T259" s="36">
        <f t="shared" si="80"/>
        <v>6.9355961669362698E-2</v>
      </c>
      <c r="U259" s="31">
        <f t="shared" si="68"/>
        <v>14.769355961669362</v>
      </c>
      <c r="V259" s="40">
        <f t="shared" si="71"/>
        <v>259.34100669629566</v>
      </c>
    </row>
    <row r="260" spans="1:22">
      <c r="A260" s="2" t="s">
        <v>908</v>
      </c>
      <c r="B260" s="2" t="s">
        <v>969</v>
      </c>
      <c r="C260" s="2" t="s">
        <v>910</v>
      </c>
      <c r="D260" s="2" t="s">
        <v>911</v>
      </c>
      <c r="E260" s="16">
        <v>24.2</v>
      </c>
      <c r="F260" s="16">
        <v>3.73</v>
      </c>
      <c r="G260" s="16">
        <v>14.8</v>
      </c>
      <c r="H260" s="33">
        <f t="shared" si="66"/>
        <v>271.56337179195066</v>
      </c>
      <c r="I260" s="26">
        <f t="shared" si="72"/>
        <v>242.36465641745735</v>
      </c>
      <c r="J260" s="9">
        <f t="shared" si="73"/>
        <v>4.7934928284076772</v>
      </c>
      <c r="K260" s="9">
        <f t="shared" si="74"/>
        <v>106.98538924188358</v>
      </c>
      <c r="L260" s="9">
        <f t="shared" si="69"/>
        <v>0</v>
      </c>
      <c r="M260" s="9">
        <f t="shared" si="75"/>
        <v>130.58577434716611</v>
      </c>
      <c r="N260" s="9">
        <f t="shared" si="76"/>
        <v>0</v>
      </c>
      <c r="O260" s="12">
        <f t="shared" si="77"/>
        <v>11.07</v>
      </c>
      <c r="P260" s="11">
        <f t="shared" si="78"/>
        <v>0</v>
      </c>
      <c r="Q260" s="12">
        <f t="shared" si="79"/>
        <v>1.6444444444444446</v>
      </c>
      <c r="R260" s="1">
        <f t="shared" si="67"/>
        <v>0</v>
      </c>
      <c r="S260" s="1">
        <f t="shared" si="70"/>
        <v>10.27</v>
      </c>
      <c r="T260" s="36">
        <f t="shared" si="80"/>
        <v>6.9355961669362698E-2</v>
      </c>
      <c r="U260" s="31">
        <f t="shared" si="68"/>
        <v>14.869355961669363</v>
      </c>
      <c r="V260" s="40">
        <f t="shared" si="71"/>
        <v>271.56337179195066</v>
      </c>
    </row>
    <row r="261" spans="1:22">
      <c r="A261" s="2" t="s">
        <v>970</v>
      </c>
      <c r="B261" s="2" t="s">
        <v>971</v>
      </c>
      <c r="C261" s="2" t="s">
        <v>972</v>
      </c>
      <c r="D261" s="2" t="s">
        <v>973</v>
      </c>
      <c r="E261" s="16">
        <v>29.1</v>
      </c>
      <c r="F261" s="16">
        <v>9.9</v>
      </c>
      <c r="G261" s="16">
        <v>14.8</v>
      </c>
      <c r="H261" s="33">
        <f t="shared" ref="H261:H324" si="81">IF(I261&lt;V261,V261,I261)</f>
        <v>271.56337179195066</v>
      </c>
      <c r="I261" s="26">
        <f t="shared" si="72"/>
        <v>185.69561176882925</v>
      </c>
      <c r="J261" s="9">
        <f t="shared" si="73"/>
        <v>3.9863411150331882</v>
      </c>
      <c r="K261" s="9">
        <f t="shared" si="74"/>
        <v>18.765034700387417</v>
      </c>
      <c r="L261" s="9">
        <f t="shared" si="69"/>
        <v>32.358461606242535</v>
      </c>
      <c r="M261" s="9">
        <f t="shared" si="75"/>
        <v>130.58577434716611</v>
      </c>
      <c r="N261" s="9">
        <f t="shared" si="76"/>
        <v>0</v>
      </c>
      <c r="O261" s="12">
        <f t="shared" si="77"/>
        <v>4.9000000000000004</v>
      </c>
      <c r="P261" s="11">
        <f t="shared" si="78"/>
        <v>1.6500000000000001</v>
      </c>
      <c r="Q261" s="12">
        <f t="shared" si="79"/>
        <v>1.6444444444444446</v>
      </c>
      <c r="R261" s="1">
        <f t="shared" si="67"/>
        <v>0</v>
      </c>
      <c r="S261" s="1">
        <f t="shared" si="70"/>
        <v>4.0999999999999996</v>
      </c>
      <c r="T261" s="36">
        <f t="shared" si="80"/>
        <v>6.9355961669362698E-2</v>
      </c>
      <c r="U261" s="31">
        <f t="shared" ref="U261:U324" si="82">G261+T261</f>
        <v>14.869355961669363</v>
      </c>
      <c r="V261" s="40">
        <f t="shared" ref="V261:V265" si="83">SQRT(10^((U261-2.7)/5)^2/(1-$B$2^2))</f>
        <v>271.56337179195066</v>
      </c>
    </row>
    <row r="262" spans="1:22">
      <c r="A262" s="2" t="s">
        <v>974</v>
      </c>
      <c r="B262" s="2" t="s">
        <v>975</v>
      </c>
      <c r="C262" s="2" t="s">
        <v>976</v>
      </c>
      <c r="D262" s="2" t="s">
        <v>977</v>
      </c>
      <c r="E262" s="16">
        <v>16.899999999999999</v>
      </c>
      <c r="F262" s="16">
        <v>8.2200000000000006</v>
      </c>
      <c r="G262" s="16">
        <v>14.82</v>
      </c>
      <c r="H262" s="33">
        <f t="shared" si="81"/>
        <v>274.07611673374191</v>
      </c>
      <c r="I262" s="26">
        <f t="shared" si="72"/>
        <v>210.98810938704327</v>
      </c>
      <c r="J262" s="9">
        <f t="shared" si="73"/>
        <v>6.8640548193766744</v>
      </c>
      <c r="K262" s="9">
        <f t="shared" si="74"/>
        <v>47.176296227653793</v>
      </c>
      <c r="L262" s="9">
        <f t="shared" ref="L262:L265" si="84">1.04237828050238*P262*(F262+2.34973310685883)/(R262*E262^-0.304107132838227+(1-R262)*(S262)^-0.304107132838227)</f>
        <v>25.734612448802292</v>
      </c>
      <c r="M262" s="9">
        <f t="shared" si="75"/>
        <v>131.2131458912105</v>
      </c>
      <c r="N262" s="9">
        <f t="shared" si="76"/>
        <v>0</v>
      </c>
      <c r="O262" s="12">
        <f t="shared" si="77"/>
        <v>6.6</v>
      </c>
      <c r="P262" s="11">
        <f t="shared" si="78"/>
        <v>1.37</v>
      </c>
      <c r="Q262" s="12">
        <f t="shared" si="79"/>
        <v>1.6466666666666667</v>
      </c>
      <c r="R262" s="1">
        <f t="shared" si="67"/>
        <v>0</v>
      </c>
      <c r="S262" s="1">
        <f t="shared" ref="S262:S265" si="85">IF(F262&lt;12.5,14-F262,1.5)</f>
        <v>5.7799999999999994</v>
      </c>
      <c r="T262" s="36">
        <f t="shared" si="80"/>
        <v>6.9355961669362698E-2</v>
      </c>
      <c r="U262" s="31">
        <f t="shared" si="82"/>
        <v>14.889355961669363</v>
      </c>
      <c r="V262" s="40">
        <f t="shared" si="83"/>
        <v>274.07611673374191</v>
      </c>
    </row>
    <row r="263" spans="1:22">
      <c r="A263" s="2" t="s">
        <v>978</v>
      </c>
      <c r="B263" s="2" t="s">
        <v>979</v>
      </c>
      <c r="C263" s="2" t="s">
        <v>980</v>
      </c>
      <c r="D263" s="2" t="s">
        <v>981</v>
      </c>
      <c r="E263" s="16">
        <v>16.399999999999999</v>
      </c>
      <c r="F263" s="16">
        <v>9.3000000000000007</v>
      </c>
      <c r="G263" s="16">
        <v>14.9</v>
      </c>
      <c r="H263" s="33">
        <f t="shared" si="81"/>
        <v>284.36175920831181</v>
      </c>
      <c r="I263" s="26">
        <f t="shared" si="72"/>
        <v>205.52388824802995</v>
      </c>
      <c r="J263" s="9">
        <f t="shared" si="73"/>
        <v>7.0733247833820609</v>
      </c>
      <c r="K263" s="9">
        <f t="shared" si="74"/>
        <v>34.581345178365922</v>
      </c>
      <c r="L263" s="9">
        <f t="shared" si="84"/>
        <v>30.134416062850306</v>
      </c>
      <c r="M263" s="9">
        <f t="shared" si="75"/>
        <v>133.73480222343164</v>
      </c>
      <c r="N263" s="9">
        <f t="shared" si="76"/>
        <v>0</v>
      </c>
      <c r="O263" s="12">
        <f t="shared" si="77"/>
        <v>5.6</v>
      </c>
      <c r="P263" s="11">
        <f t="shared" si="78"/>
        <v>1.55</v>
      </c>
      <c r="Q263" s="12">
        <f t="shared" si="79"/>
        <v>1.6555555555555557</v>
      </c>
      <c r="R263" s="1">
        <f t="shared" si="67"/>
        <v>0</v>
      </c>
      <c r="S263" s="1">
        <f t="shared" si="85"/>
        <v>4.6999999999999993</v>
      </c>
      <c r="T263" s="36">
        <f t="shared" si="80"/>
        <v>6.9355961669362698E-2</v>
      </c>
      <c r="U263" s="31">
        <f t="shared" si="82"/>
        <v>14.969355961669363</v>
      </c>
      <c r="V263" s="40">
        <f t="shared" si="83"/>
        <v>284.36175920831181</v>
      </c>
    </row>
    <row r="264" spans="1:22">
      <c r="A264" s="2" t="s">
        <v>957</v>
      </c>
      <c r="B264" s="2" t="s">
        <v>982</v>
      </c>
      <c r="C264" s="2" t="s">
        <v>959</v>
      </c>
      <c r="D264" s="2" t="s">
        <v>960</v>
      </c>
      <c r="E264" s="16">
        <v>38.299999999999997</v>
      </c>
      <c r="F264" s="16">
        <v>9.66</v>
      </c>
      <c r="G264" s="16">
        <v>14.9</v>
      </c>
      <c r="H264" s="33">
        <f t="shared" si="81"/>
        <v>284.36175920831181</v>
      </c>
      <c r="I264" s="26">
        <f t="shared" si="72"/>
        <v>186.45612146678022</v>
      </c>
      <c r="J264" s="9">
        <f t="shared" si="73"/>
        <v>3.0287865913176448</v>
      </c>
      <c r="K264" s="9">
        <f t="shared" si="74"/>
        <v>18.196941827857856</v>
      </c>
      <c r="L264" s="9">
        <f t="shared" si="84"/>
        <v>31.495590824173075</v>
      </c>
      <c r="M264" s="9">
        <f t="shared" si="75"/>
        <v>133.73480222343164</v>
      </c>
      <c r="N264" s="9">
        <f t="shared" si="76"/>
        <v>0</v>
      </c>
      <c r="O264" s="12">
        <f t="shared" si="77"/>
        <v>5.24</v>
      </c>
      <c r="P264" s="11">
        <f t="shared" si="78"/>
        <v>1.61</v>
      </c>
      <c r="Q264" s="12">
        <f t="shared" si="79"/>
        <v>1.6555555555555557</v>
      </c>
      <c r="R264" s="1">
        <f t="shared" si="67"/>
        <v>0</v>
      </c>
      <c r="S264" s="1">
        <f t="shared" si="85"/>
        <v>4.34</v>
      </c>
      <c r="T264" s="36">
        <f t="shared" si="80"/>
        <v>6.9355961669362698E-2</v>
      </c>
      <c r="U264" s="31">
        <f t="shared" si="82"/>
        <v>14.969355961669363</v>
      </c>
      <c r="V264" s="40">
        <f t="shared" si="83"/>
        <v>284.36175920831181</v>
      </c>
    </row>
    <row r="265" spans="1:22">
      <c r="A265" s="2" t="s">
        <v>585</v>
      </c>
      <c r="B265" s="2" t="s">
        <v>586</v>
      </c>
      <c r="C265" s="2" t="s">
        <v>983</v>
      </c>
      <c r="D265" s="2" t="s">
        <v>984</v>
      </c>
      <c r="E265" s="16">
        <v>16.8</v>
      </c>
      <c r="F265" s="16">
        <v>10.83</v>
      </c>
      <c r="G265" s="16">
        <v>15</v>
      </c>
      <c r="H265" s="33">
        <f t="shared" si="81"/>
        <v>297.76331604099931</v>
      </c>
      <c r="I265" s="26">
        <f t="shared" si="72"/>
        <v>197.9385237033832</v>
      </c>
      <c r="J265" s="9">
        <f t="shared" si="73"/>
        <v>6.9049122885396299</v>
      </c>
      <c r="K265" s="9">
        <f t="shared" si="74"/>
        <v>18.899719268626999</v>
      </c>
      <c r="L265" s="9">
        <f t="shared" si="84"/>
        <v>35.219636656410557</v>
      </c>
      <c r="M265" s="9">
        <f t="shared" si="75"/>
        <v>136.91425548980601</v>
      </c>
      <c r="N265" s="9">
        <f t="shared" si="76"/>
        <v>0</v>
      </c>
      <c r="O265" s="12">
        <f t="shared" si="77"/>
        <v>4.17</v>
      </c>
      <c r="P265" s="11">
        <f t="shared" si="78"/>
        <v>1.8049999999999999</v>
      </c>
      <c r="Q265" s="12">
        <f t="shared" si="79"/>
        <v>1.6666666666666667</v>
      </c>
      <c r="R265" s="1">
        <f t="shared" si="67"/>
        <v>0</v>
      </c>
      <c r="S265" s="1">
        <f t="shared" si="85"/>
        <v>3.17</v>
      </c>
      <c r="T265" s="36">
        <f t="shared" si="80"/>
        <v>6.9355961669362698E-2</v>
      </c>
      <c r="U265" s="31">
        <f t="shared" si="82"/>
        <v>15.069355961669363</v>
      </c>
      <c r="V265" s="40">
        <f t="shared" si="83"/>
        <v>297.76331604099931</v>
      </c>
    </row>
  </sheetData>
  <sortState ref="A5:X110">
    <sortCondition ref="H5:H110"/>
  </sortState>
  <mergeCells count="1">
    <mergeCell ref="A1:U1"/>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RoT V3.0 Beta</vt:lpstr>
    </vt:vector>
  </TitlesOfParts>
  <Company>HP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WRAK's RoT for splitting unequal and faint double stars</dc:title>
  <dc:creator>Wilfried R.A. Knapp</dc:creator>
  <cp:lastModifiedBy>Wilfried Knapp</cp:lastModifiedBy>
  <dcterms:created xsi:type="dcterms:W3CDTF">2012-12-27T20:58:43Z</dcterms:created>
  <dcterms:modified xsi:type="dcterms:W3CDTF">2013-07-22T14:07:53Z</dcterms:modified>
</cp:coreProperties>
</file>