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1355" windowHeight="6405"/>
  </bookViews>
  <sheets>
    <sheet name="2008-09 subdirectory" sheetId="22" r:id="rId1"/>
  </sheets>
  <definedNames>
    <definedName name="_xlnm.Print_Area" localSheetId="0">'2008-09 subdirectory'!$A$1:$O$72</definedName>
  </definedNames>
  <calcPr calcId="125725"/>
</workbook>
</file>

<file path=xl/calcChain.xml><?xml version="1.0" encoding="utf-8"?>
<calcChain xmlns="http://schemas.openxmlformats.org/spreadsheetml/2006/main">
  <c r="N59" i="22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N7"/>
</calcChain>
</file>

<file path=xl/sharedStrings.xml><?xml version="1.0" encoding="utf-8"?>
<sst xmlns="http://schemas.openxmlformats.org/spreadsheetml/2006/main" count="272" uniqueCount="61">
  <si>
    <t>ANNUAL TOTAL</t>
  </si>
  <si>
    <t>Library Web Site Statistics  &lt;http://www.uri.edu/library/&gt;</t>
  </si>
  <si>
    <t>NOT the cumulative hits to all the files within that directory.</t>
  </si>
  <si>
    <t>/pubserv/</t>
  </si>
  <si>
    <t>/techserv/</t>
  </si>
  <si>
    <t>/reference/reference.html</t>
  </si>
  <si>
    <t>/faculty_publications/</t>
  </si>
  <si>
    <t>/cce/cce.html</t>
  </si>
  <si>
    <t>remote.html</t>
  </si>
  <si>
    <t>/reserves/ereserves.html</t>
  </si>
  <si>
    <t>/instruction_services/infolitplan.html</t>
  </si>
  <si>
    <t>/circulation/erenewal.html</t>
  </si>
  <si>
    <t>/special_collections/</t>
  </si>
  <si>
    <t>/interlibrary_loan/ill.html</t>
  </si>
  <si>
    <t>/guides/ (menu)</t>
  </si>
  <si>
    <t>/hours/</t>
  </si>
  <si>
    <t>/web_resources/ (menu page)</t>
  </si>
  <si>
    <t>/reference_databases/ (menu page)</t>
  </si>
  <si>
    <t>DIRECTORY</t>
  </si>
  <si>
    <t xml:space="preserve">Note: when a directory is listed above, rather than a page (e.g. /special_collections/), the number given represents the number of hits to the top-level page ONLY, </t>
  </si>
  <si>
    <t>N/A</t>
  </si>
  <si>
    <t>siteindex.html</t>
  </si>
  <si>
    <t>/tutorials/libskills/</t>
  </si>
  <si>
    <t>/contact_information/</t>
  </si>
  <si>
    <t>imlibrarian.html</t>
  </si>
  <si>
    <t>Library site requests by subdirectory / page (n&gt;200)</t>
  </si>
  <si>
    <t>/cml/</t>
  </si>
  <si>
    <t>/contact_information/staffdept.html</t>
  </si>
  <si>
    <t>/contact_information/stafflast.html</t>
  </si>
  <si>
    <t>/media_resources_center/media.html</t>
  </si>
  <si>
    <t>/reference_databases/biz.html</t>
  </si>
  <si>
    <t>/reference_databases/edu.html</t>
  </si>
  <si>
    <t>/reference_databases/engin.html</t>
  </si>
  <si>
    <t>/special_collections/COPA/</t>
  </si>
  <si>
    <t>/special_collections/archives.html</t>
  </si>
  <si>
    <t>/web_resources/whealth.html</t>
  </si>
  <si>
    <t>/web_resources/whum.html</t>
  </si>
  <si>
    <t>/web_resources/wref.html</t>
  </si>
  <si>
    <t>/web_resources/wsoc.html</t>
  </si>
  <si>
    <t>/web_resources/wtitle.html</t>
  </si>
  <si>
    <t>/reference_databases/gov.html</t>
  </si>
  <si>
    <t>/reference_databases/health.html</t>
  </si>
  <si>
    <t>/reference_databases/hum.html</t>
  </si>
  <si>
    <t>/reference_databases/life.html</t>
  </si>
  <si>
    <t>/reference_databases/phys.html</t>
  </si>
  <si>
    <t>/reference_databases/ref.html</t>
  </si>
  <si>
    <t>/reference_databases/soc.html</t>
  </si>
  <si>
    <t>/reference_databases/title.html</t>
  </si>
  <si>
    <t>/library/ (home page only)</t>
  </si>
  <si>
    <t>/web_resources/internet_search_tools.html</t>
  </si>
  <si>
    <t>2008-2009</t>
  </si>
  <si>
    <t>about.html</t>
  </si>
  <si>
    <t>/circulation/circ.html</t>
  </si>
  <si>
    <t>/contact_information/address.html</t>
  </si>
  <si>
    <t>/guides/databases/</t>
  </si>
  <si>
    <t>/guides/general/</t>
  </si>
  <si>
    <t>/guides/general/periodicalsteps.html</t>
  </si>
  <si>
    <t>/guides/subject/</t>
  </si>
  <si>
    <t>/reserves/reserves.html</t>
  </si>
  <si>
    <t>/library/staff_pages/amanda/goodbadannot.pdf</t>
  </si>
  <si>
    <t>/library/staff_pages/kinnie/lib120/stats.html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</si>
</sst>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0" borderId="0" xfId="1" applyFont="1"/>
    <xf numFmtId="0" fontId="3" fillId="0" borderId="0" xfId="1"/>
    <xf numFmtId="0" fontId="2" fillId="0" borderId="0" xfId="1" applyFont="1" applyAlignment="1">
      <alignment horizontal="left"/>
    </xf>
    <xf numFmtId="0" fontId="3" fillId="0" borderId="1" xfId="1" applyBorder="1"/>
    <xf numFmtId="3" fontId="3" fillId="0" borderId="2" xfId="1" applyNumberFormat="1" applyBorder="1"/>
    <xf numFmtId="3" fontId="3" fillId="0" borderId="1" xfId="1" applyNumberFormat="1" applyBorder="1" applyAlignment="1">
      <alignment horizontal="right"/>
    </xf>
    <xf numFmtId="3" fontId="1" fillId="2" borderId="1" xfId="1" applyNumberFormat="1" applyFont="1" applyFill="1" applyBorder="1"/>
    <xf numFmtId="3" fontId="1" fillId="2" borderId="2" xfId="1" applyNumberFormat="1" applyFont="1" applyFill="1" applyBorder="1"/>
    <xf numFmtId="0" fontId="1" fillId="0" borderId="3" xfId="1" applyFont="1" applyBorder="1"/>
    <xf numFmtId="17" fontId="1" fillId="2" borderId="3" xfId="1" applyNumberFormat="1" applyFont="1" applyFill="1" applyBorder="1" applyAlignment="1">
      <alignment wrapText="1"/>
    </xf>
    <xf numFmtId="17" fontId="1" fillId="0" borderId="3" xfId="1" applyNumberFormat="1" applyFont="1" applyBorder="1"/>
    <xf numFmtId="17" fontId="3" fillId="0" borderId="2" xfId="1" applyNumberFormat="1" applyFont="1" applyBorder="1"/>
    <xf numFmtId="0" fontId="3" fillId="0" borderId="1" xfId="1" applyFont="1" applyBorder="1"/>
    <xf numFmtId="3" fontId="3" fillId="0" borderId="1" xfId="1" applyNumberForma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62</xdr:row>
      <xdr:rowOff>76190</xdr:rowOff>
    </xdr:from>
    <xdr:to>
      <xdr:col>14</xdr:col>
      <xdr:colOff>0</xdr:colOff>
      <xdr:row>71</xdr:row>
      <xdr:rowOff>142874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 flipV="1">
          <a:off x="114301" y="10429865"/>
          <a:ext cx="8639174" cy="152400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Source: http://www.uri.edu/wwwstat/</a:t>
          </a: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Use "Total Transfers by URL/Archive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Section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." Note that this contains requests for the specific file only (e.g. the index file in the case of a  directory), NOT for all files in that directory. Thus, we are able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to provide total number of hits to the library home page, but not the entire site. (While that information exists on the ITS web site above, it is not in a format allowing for easily compilation, e.g. it is not able to be pasted into Excel. To add up all the hits to every library page would be too time-consuming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Scan the /library/ section for any .html / .htm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pages with &gt;200 hits in </a:t>
          </a:r>
          <a:r>
            <a:rPr lang="en-US" sz="1000" b="0" i="1" strike="noStrike">
              <a:solidFill>
                <a:srgbClr val="000000"/>
              </a:solidFill>
              <a:latin typeface="Arial"/>
              <a:cs typeface="Arial"/>
            </a:rPr>
            <a:t>most months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. (Do not gather other file types, e.g. .gif, .jpg, or .php.) Alphebetize the pages listed.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62"/>
  <sheetViews>
    <sheetView tabSelected="1" workbookViewId="0"/>
  </sheetViews>
  <sheetFormatPr defaultRowHeight="12.75"/>
  <cols>
    <col min="1" max="1" width="38.85546875" style="2" customWidth="1"/>
    <col min="2" max="2" width="6.5703125" style="2" bestFit="1" customWidth="1"/>
    <col min="3" max="4" width="7.140625" style="2" bestFit="1" customWidth="1"/>
    <col min="5" max="5" width="6.5703125" style="2" bestFit="1" customWidth="1"/>
    <col min="6" max="7" width="7.140625" style="2" bestFit="1" customWidth="1"/>
    <col min="8" max="8" width="6.85546875" style="2" bestFit="1" customWidth="1"/>
    <col min="9" max="9" width="7" style="2" bestFit="1" customWidth="1"/>
    <col min="10" max="10" width="7.28515625" style="2" bestFit="1" customWidth="1"/>
    <col min="11" max="11" width="6.7109375" style="2" bestFit="1" customWidth="1"/>
    <col min="12" max="12" width="7.28515625" style="2" bestFit="1" customWidth="1"/>
    <col min="13" max="13" width="7" style="2" bestFit="1" customWidth="1"/>
    <col min="14" max="14" width="8.5703125" style="2" bestFit="1" customWidth="1"/>
    <col min="15" max="256" width="9.140625" style="2"/>
    <col min="257" max="257" width="38.85546875" style="2" customWidth="1"/>
    <col min="258" max="258" width="6.5703125" style="2" bestFit="1" customWidth="1"/>
    <col min="259" max="260" width="7.140625" style="2" bestFit="1" customWidth="1"/>
    <col min="261" max="261" width="6.5703125" style="2" bestFit="1" customWidth="1"/>
    <col min="262" max="263" width="7.140625" style="2" bestFit="1" customWidth="1"/>
    <col min="264" max="264" width="6.85546875" style="2" bestFit="1" customWidth="1"/>
    <col min="265" max="265" width="7" style="2" bestFit="1" customWidth="1"/>
    <col min="266" max="266" width="7.28515625" style="2" bestFit="1" customWidth="1"/>
    <col min="267" max="267" width="6.7109375" style="2" bestFit="1" customWidth="1"/>
    <col min="268" max="268" width="7.28515625" style="2" bestFit="1" customWidth="1"/>
    <col min="269" max="269" width="7" style="2" bestFit="1" customWidth="1"/>
    <col min="270" max="270" width="8.5703125" style="2" bestFit="1" customWidth="1"/>
    <col min="271" max="512" width="9.140625" style="2"/>
    <col min="513" max="513" width="38.85546875" style="2" customWidth="1"/>
    <col min="514" max="514" width="6.5703125" style="2" bestFit="1" customWidth="1"/>
    <col min="515" max="516" width="7.140625" style="2" bestFit="1" customWidth="1"/>
    <col min="517" max="517" width="6.5703125" style="2" bestFit="1" customWidth="1"/>
    <col min="518" max="519" width="7.140625" style="2" bestFit="1" customWidth="1"/>
    <col min="520" max="520" width="6.85546875" style="2" bestFit="1" customWidth="1"/>
    <col min="521" max="521" width="7" style="2" bestFit="1" customWidth="1"/>
    <col min="522" max="522" width="7.28515625" style="2" bestFit="1" customWidth="1"/>
    <col min="523" max="523" width="6.7109375" style="2" bestFit="1" customWidth="1"/>
    <col min="524" max="524" width="7.28515625" style="2" bestFit="1" customWidth="1"/>
    <col min="525" max="525" width="7" style="2" bestFit="1" customWidth="1"/>
    <col min="526" max="526" width="8.5703125" style="2" bestFit="1" customWidth="1"/>
    <col min="527" max="768" width="9.140625" style="2"/>
    <col min="769" max="769" width="38.85546875" style="2" customWidth="1"/>
    <col min="770" max="770" width="6.5703125" style="2" bestFit="1" customWidth="1"/>
    <col min="771" max="772" width="7.140625" style="2" bestFit="1" customWidth="1"/>
    <col min="773" max="773" width="6.5703125" style="2" bestFit="1" customWidth="1"/>
    <col min="774" max="775" width="7.140625" style="2" bestFit="1" customWidth="1"/>
    <col min="776" max="776" width="6.85546875" style="2" bestFit="1" customWidth="1"/>
    <col min="777" max="777" width="7" style="2" bestFit="1" customWidth="1"/>
    <col min="778" max="778" width="7.28515625" style="2" bestFit="1" customWidth="1"/>
    <col min="779" max="779" width="6.7109375" style="2" bestFit="1" customWidth="1"/>
    <col min="780" max="780" width="7.28515625" style="2" bestFit="1" customWidth="1"/>
    <col min="781" max="781" width="7" style="2" bestFit="1" customWidth="1"/>
    <col min="782" max="782" width="8.5703125" style="2" bestFit="1" customWidth="1"/>
    <col min="783" max="1024" width="9.140625" style="2"/>
    <col min="1025" max="1025" width="38.85546875" style="2" customWidth="1"/>
    <col min="1026" max="1026" width="6.5703125" style="2" bestFit="1" customWidth="1"/>
    <col min="1027" max="1028" width="7.140625" style="2" bestFit="1" customWidth="1"/>
    <col min="1029" max="1029" width="6.5703125" style="2" bestFit="1" customWidth="1"/>
    <col min="1030" max="1031" width="7.140625" style="2" bestFit="1" customWidth="1"/>
    <col min="1032" max="1032" width="6.85546875" style="2" bestFit="1" customWidth="1"/>
    <col min="1033" max="1033" width="7" style="2" bestFit="1" customWidth="1"/>
    <col min="1034" max="1034" width="7.28515625" style="2" bestFit="1" customWidth="1"/>
    <col min="1035" max="1035" width="6.7109375" style="2" bestFit="1" customWidth="1"/>
    <col min="1036" max="1036" width="7.28515625" style="2" bestFit="1" customWidth="1"/>
    <col min="1037" max="1037" width="7" style="2" bestFit="1" customWidth="1"/>
    <col min="1038" max="1038" width="8.5703125" style="2" bestFit="1" customWidth="1"/>
    <col min="1039" max="1280" width="9.140625" style="2"/>
    <col min="1281" max="1281" width="38.85546875" style="2" customWidth="1"/>
    <col min="1282" max="1282" width="6.5703125" style="2" bestFit="1" customWidth="1"/>
    <col min="1283" max="1284" width="7.140625" style="2" bestFit="1" customWidth="1"/>
    <col min="1285" max="1285" width="6.5703125" style="2" bestFit="1" customWidth="1"/>
    <col min="1286" max="1287" width="7.140625" style="2" bestFit="1" customWidth="1"/>
    <col min="1288" max="1288" width="6.85546875" style="2" bestFit="1" customWidth="1"/>
    <col min="1289" max="1289" width="7" style="2" bestFit="1" customWidth="1"/>
    <col min="1290" max="1290" width="7.28515625" style="2" bestFit="1" customWidth="1"/>
    <col min="1291" max="1291" width="6.7109375" style="2" bestFit="1" customWidth="1"/>
    <col min="1292" max="1292" width="7.28515625" style="2" bestFit="1" customWidth="1"/>
    <col min="1293" max="1293" width="7" style="2" bestFit="1" customWidth="1"/>
    <col min="1294" max="1294" width="8.5703125" style="2" bestFit="1" customWidth="1"/>
    <col min="1295" max="1536" width="9.140625" style="2"/>
    <col min="1537" max="1537" width="38.85546875" style="2" customWidth="1"/>
    <col min="1538" max="1538" width="6.5703125" style="2" bestFit="1" customWidth="1"/>
    <col min="1539" max="1540" width="7.140625" style="2" bestFit="1" customWidth="1"/>
    <col min="1541" max="1541" width="6.5703125" style="2" bestFit="1" customWidth="1"/>
    <col min="1542" max="1543" width="7.140625" style="2" bestFit="1" customWidth="1"/>
    <col min="1544" max="1544" width="6.85546875" style="2" bestFit="1" customWidth="1"/>
    <col min="1545" max="1545" width="7" style="2" bestFit="1" customWidth="1"/>
    <col min="1546" max="1546" width="7.28515625" style="2" bestFit="1" customWidth="1"/>
    <col min="1547" max="1547" width="6.7109375" style="2" bestFit="1" customWidth="1"/>
    <col min="1548" max="1548" width="7.28515625" style="2" bestFit="1" customWidth="1"/>
    <col min="1549" max="1549" width="7" style="2" bestFit="1" customWidth="1"/>
    <col min="1550" max="1550" width="8.5703125" style="2" bestFit="1" customWidth="1"/>
    <col min="1551" max="1792" width="9.140625" style="2"/>
    <col min="1793" max="1793" width="38.85546875" style="2" customWidth="1"/>
    <col min="1794" max="1794" width="6.5703125" style="2" bestFit="1" customWidth="1"/>
    <col min="1795" max="1796" width="7.140625" style="2" bestFit="1" customWidth="1"/>
    <col min="1797" max="1797" width="6.5703125" style="2" bestFit="1" customWidth="1"/>
    <col min="1798" max="1799" width="7.140625" style="2" bestFit="1" customWidth="1"/>
    <col min="1800" max="1800" width="6.85546875" style="2" bestFit="1" customWidth="1"/>
    <col min="1801" max="1801" width="7" style="2" bestFit="1" customWidth="1"/>
    <col min="1802" max="1802" width="7.28515625" style="2" bestFit="1" customWidth="1"/>
    <col min="1803" max="1803" width="6.7109375" style="2" bestFit="1" customWidth="1"/>
    <col min="1804" max="1804" width="7.28515625" style="2" bestFit="1" customWidth="1"/>
    <col min="1805" max="1805" width="7" style="2" bestFit="1" customWidth="1"/>
    <col min="1806" max="1806" width="8.5703125" style="2" bestFit="1" customWidth="1"/>
    <col min="1807" max="2048" width="9.140625" style="2"/>
    <col min="2049" max="2049" width="38.85546875" style="2" customWidth="1"/>
    <col min="2050" max="2050" width="6.5703125" style="2" bestFit="1" customWidth="1"/>
    <col min="2051" max="2052" width="7.140625" style="2" bestFit="1" customWidth="1"/>
    <col min="2053" max="2053" width="6.5703125" style="2" bestFit="1" customWidth="1"/>
    <col min="2054" max="2055" width="7.140625" style="2" bestFit="1" customWidth="1"/>
    <col min="2056" max="2056" width="6.85546875" style="2" bestFit="1" customWidth="1"/>
    <col min="2057" max="2057" width="7" style="2" bestFit="1" customWidth="1"/>
    <col min="2058" max="2058" width="7.28515625" style="2" bestFit="1" customWidth="1"/>
    <col min="2059" max="2059" width="6.7109375" style="2" bestFit="1" customWidth="1"/>
    <col min="2060" max="2060" width="7.28515625" style="2" bestFit="1" customWidth="1"/>
    <col min="2061" max="2061" width="7" style="2" bestFit="1" customWidth="1"/>
    <col min="2062" max="2062" width="8.5703125" style="2" bestFit="1" customWidth="1"/>
    <col min="2063" max="2304" width="9.140625" style="2"/>
    <col min="2305" max="2305" width="38.85546875" style="2" customWidth="1"/>
    <col min="2306" max="2306" width="6.5703125" style="2" bestFit="1" customWidth="1"/>
    <col min="2307" max="2308" width="7.140625" style="2" bestFit="1" customWidth="1"/>
    <col min="2309" max="2309" width="6.5703125" style="2" bestFit="1" customWidth="1"/>
    <col min="2310" max="2311" width="7.140625" style="2" bestFit="1" customWidth="1"/>
    <col min="2312" max="2312" width="6.85546875" style="2" bestFit="1" customWidth="1"/>
    <col min="2313" max="2313" width="7" style="2" bestFit="1" customWidth="1"/>
    <col min="2314" max="2314" width="7.28515625" style="2" bestFit="1" customWidth="1"/>
    <col min="2315" max="2315" width="6.7109375" style="2" bestFit="1" customWidth="1"/>
    <col min="2316" max="2316" width="7.28515625" style="2" bestFit="1" customWidth="1"/>
    <col min="2317" max="2317" width="7" style="2" bestFit="1" customWidth="1"/>
    <col min="2318" max="2318" width="8.5703125" style="2" bestFit="1" customWidth="1"/>
    <col min="2319" max="2560" width="9.140625" style="2"/>
    <col min="2561" max="2561" width="38.85546875" style="2" customWidth="1"/>
    <col min="2562" max="2562" width="6.5703125" style="2" bestFit="1" customWidth="1"/>
    <col min="2563" max="2564" width="7.140625" style="2" bestFit="1" customWidth="1"/>
    <col min="2565" max="2565" width="6.5703125" style="2" bestFit="1" customWidth="1"/>
    <col min="2566" max="2567" width="7.140625" style="2" bestFit="1" customWidth="1"/>
    <col min="2568" max="2568" width="6.85546875" style="2" bestFit="1" customWidth="1"/>
    <col min="2569" max="2569" width="7" style="2" bestFit="1" customWidth="1"/>
    <col min="2570" max="2570" width="7.28515625" style="2" bestFit="1" customWidth="1"/>
    <col min="2571" max="2571" width="6.7109375" style="2" bestFit="1" customWidth="1"/>
    <col min="2572" max="2572" width="7.28515625" style="2" bestFit="1" customWidth="1"/>
    <col min="2573" max="2573" width="7" style="2" bestFit="1" customWidth="1"/>
    <col min="2574" max="2574" width="8.5703125" style="2" bestFit="1" customWidth="1"/>
    <col min="2575" max="2816" width="9.140625" style="2"/>
    <col min="2817" max="2817" width="38.85546875" style="2" customWidth="1"/>
    <col min="2818" max="2818" width="6.5703125" style="2" bestFit="1" customWidth="1"/>
    <col min="2819" max="2820" width="7.140625" style="2" bestFit="1" customWidth="1"/>
    <col min="2821" max="2821" width="6.5703125" style="2" bestFit="1" customWidth="1"/>
    <col min="2822" max="2823" width="7.140625" style="2" bestFit="1" customWidth="1"/>
    <col min="2824" max="2824" width="6.85546875" style="2" bestFit="1" customWidth="1"/>
    <col min="2825" max="2825" width="7" style="2" bestFit="1" customWidth="1"/>
    <col min="2826" max="2826" width="7.28515625" style="2" bestFit="1" customWidth="1"/>
    <col min="2827" max="2827" width="6.7109375" style="2" bestFit="1" customWidth="1"/>
    <col min="2828" max="2828" width="7.28515625" style="2" bestFit="1" customWidth="1"/>
    <col min="2829" max="2829" width="7" style="2" bestFit="1" customWidth="1"/>
    <col min="2830" max="2830" width="8.5703125" style="2" bestFit="1" customWidth="1"/>
    <col min="2831" max="3072" width="9.140625" style="2"/>
    <col min="3073" max="3073" width="38.85546875" style="2" customWidth="1"/>
    <col min="3074" max="3074" width="6.5703125" style="2" bestFit="1" customWidth="1"/>
    <col min="3075" max="3076" width="7.140625" style="2" bestFit="1" customWidth="1"/>
    <col min="3077" max="3077" width="6.5703125" style="2" bestFit="1" customWidth="1"/>
    <col min="3078" max="3079" width="7.140625" style="2" bestFit="1" customWidth="1"/>
    <col min="3080" max="3080" width="6.85546875" style="2" bestFit="1" customWidth="1"/>
    <col min="3081" max="3081" width="7" style="2" bestFit="1" customWidth="1"/>
    <col min="3082" max="3082" width="7.28515625" style="2" bestFit="1" customWidth="1"/>
    <col min="3083" max="3083" width="6.7109375" style="2" bestFit="1" customWidth="1"/>
    <col min="3084" max="3084" width="7.28515625" style="2" bestFit="1" customWidth="1"/>
    <col min="3085" max="3085" width="7" style="2" bestFit="1" customWidth="1"/>
    <col min="3086" max="3086" width="8.5703125" style="2" bestFit="1" customWidth="1"/>
    <col min="3087" max="3328" width="9.140625" style="2"/>
    <col min="3329" max="3329" width="38.85546875" style="2" customWidth="1"/>
    <col min="3330" max="3330" width="6.5703125" style="2" bestFit="1" customWidth="1"/>
    <col min="3331" max="3332" width="7.140625" style="2" bestFit="1" customWidth="1"/>
    <col min="3333" max="3333" width="6.5703125" style="2" bestFit="1" customWidth="1"/>
    <col min="3334" max="3335" width="7.140625" style="2" bestFit="1" customWidth="1"/>
    <col min="3336" max="3336" width="6.85546875" style="2" bestFit="1" customWidth="1"/>
    <col min="3337" max="3337" width="7" style="2" bestFit="1" customWidth="1"/>
    <col min="3338" max="3338" width="7.28515625" style="2" bestFit="1" customWidth="1"/>
    <col min="3339" max="3339" width="6.7109375" style="2" bestFit="1" customWidth="1"/>
    <col min="3340" max="3340" width="7.28515625" style="2" bestFit="1" customWidth="1"/>
    <col min="3341" max="3341" width="7" style="2" bestFit="1" customWidth="1"/>
    <col min="3342" max="3342" width="8.5703125" style="2" bestFit="1" customWidth="1"/>
    <col min="3343" max="3584" width="9.140625" style="2"/>
    <col min="3585" max="3585" width="38.85546875" style="2" customWidth="1"/>
    <col min="3586" max="3586" width="6.5703125" style="2" bestFit="1" customWidth="1"/>
    <col min="3587" max="3588" width="7.140625" style="2" bestFit="1" customWidth="1"/>
    <col min="3589" max="3589" width="6.5703125" style="2" bestFit="1" customWidth="1"/>
    <col min="3590" max="3591" width="7.140625" style="2" bestFit="1" customWidth="1"/>
    <col min="3592" max="3592" width="6.85546875" style="2" bestFit="1" customWidth="1"/>
    <col min="3593" max="3593" width="7" style="2" bestFit="1" customWidth="1"/>
    <col min="3594" max="3594" width="7.28515625" style="2" bestFit="1" customWidth="1"/>
    <col min="3595" max="3595" width="6.7109375" style="2" bestFit="1" customWidth="1"/>
    <col min="3596" max="3596" width="7.28515625" style="2" bestFit="1" customWidth="1"/>
    <col min="3597" max="3597" width="7" style="2" bestFit="1" customWidth="1"/>
    <col min="3598" max="3598" width="8.5703125" style="2" bestFit="1" customWidth="1"/>
    <col min="3599" max="3840" width="9.140625" style="2"/>
    <col min="3841" max="3841" width="38.85546875" style="2" customWidth="1"/>
    <col min="3842" max="3842" width="6.5703125" style="2" bestFit="1" customWidth="1"/>
    <col min="3843" max="3844" width="7.140625" style="2" bestFit="1" customWidth="1"/>
    <col min="3845" max="3845" width="6.5703125" style="2" bestFit="1" customWidth="1"/>
    <col min="3846" max="3847" width="7.140625" style="2" bestFit="1" customWidth="1"/>
    <col min="3848" max="3848" width="6.85546875" style="2" bestFit="1" customWidth="1"/>
    <col min="3849" max="3849" width="7" style="2" bestFit="1" customWidth="1"/>
    <col min="3850" max="3850" width="7.28515625" style="2" bestFit="1" customWidth="1"/>
    <col min="3851" max="3851" width="6.7109375" style="2" bestFit="1" customWidth="1"/>
    <col min="3852" max="3852" width="7.28515625" style="2" bestFit="1" customWidth="1"/>
    <col min="3853" max="3853" width="7" style="2" bestFit="1" customWidth="1"/>
    <col min="3854" max="3854" width="8.5703125" style="2" bestFit="1" customWidth="1"/>
    <col min="3855" max="4096" width="9.140625" style="2"/>
    <col min="4097" max="4097" width="38.85546875" style="2" customWidth="1"/>
    <col min="4098" max="4098" width="6.5703125" style="2" bestFit="1" customWidth="1"/>
    <col min="4099" max="4100" width="7.140625" style="2" bestFit="1" customWidth="1"/>
    <col min="4101" max="4101" width="6.5703125" style="2" bestFit="1" customWidth="1"/>
    <col min="4102" max="4103" width="7.140625" style="2" bestFit="1" customWidth="1"/>
    <col min="4104" max="4104" width="6.85546875" style="2" bestFit="1" customWidth="1"/>
    <col min="4105" max="4105" width="7" style="2" bestFit="1" customWidth="1"/>
    <col min="4106" max="4106" width="7.28515625" style="2" bestFit="1" customWidth="1"/>
    <col min="4107" max="4107" width="6.7109375" style="2" bestFit="1" customWidth="1"/>
    <col min="4108" max="4108" width="7.28515625" style="2" bestFit="1" customWidth="1"/>
    <col min="4109" max="4109" width="7" style="2" bestFit="1" customWidth="1"/>
    <col min="4110" max="4110" width="8.5703125" style="2" bestFit="1" customWidth="1"/>
    <col min="4111" max="4352" width="9.140625" style="2"/>
    <col min="4353" max="4353" width="38.85546875" style="2" customWidth="1"/>
    <col min="4354" max="4354" width="6.5703125" style="2" bestFit="1" customWidth="1"/>
    <col min="4355" max="4356" width="7.140625" style="2" bestFit="1" customWidth="1"/>
    <col min="4357" max="4357" width="6.5703125" style="2" bestFit="1" customWidth="1"/>
    <col min="4358" max="4359" width="7.140625" style="2" bestFit="1" customWidth="1"/>
    <col min="4360" max="4360" width="6.85546875" style="2" bestFit="1" customWidth="1"/>
    <col min="4361" max="4361" width="7" style="2" bestFit="1" customWidth="1"/>
    <col min="4362" max="4362" width="7.28515625" style="2" bestFit="1" customWidth="1"/>
    <col min="4363" max="4363" width="6.7109375" style="2" bestFit="1" customWidth="1"/>
    <col min="4364" max="4364" width="7.28515625" style="2" bestFit="1" customWidth="1"/>
    <col min="4365" max="4365" width="7" style="2" bestFit="1" customWidth="1"/>
    <col min="4366" max="4366" width="8.5703125" style="2" bestFit="1" customWidth="1"/>
    <col min="4367" max="4608" width="9.140625" style="2"/>
    <col min="4609" max="4609" width="38.85546875" style="2" customWidth="1"/>
    <col min="4610" max="4610" width="6.5703125" style="2" bestFit="1" customWidth="1"/>
    <col min="4611" max="4612" width="7.140625" style="2" bestFit="1" customWidth="1"/>
    <col min="4613" max="4613" width="6.5703125" style="2" bestFit="1" customWidth="1"/>
    <col min="4614" max="4615" width="7.140625" style="2" bestFit="1" customWidth="1"/>
    <col min="4616" max="4616" width="6.85546875" style="2" bestFit="1" customWidth="1"/>
    <col min="4617" max="4617" width="7" style="2" bestFit="1" customWidth="1"/>
    <col min="4618" max="4618" width="7.28515625" style="2" bestFit="1" customWidth="1"/>
    <col min="4619" max="4619" width="6.7109375" style="2" bestFit="1" customWidth="1"/>
    <col min="4620" max="4620" width="7.28515625" style="2" bestFit="1" customWidth="1"/>
    <col min="4621" max="4621" width="7" style="2" bestFit="1" customWidth="1"/>
    <col min="4622" max="4622" width="8.5703125" style="2" bestFit="1" customWidth="1"/>
    <col min="4623" max="4864" width="9.140625" style="2"/>
    <col min="4865" max="4865" width="38.85546875" style="2" customWidth="1"/>
    <col min="4866" max="4866" width="6.5703125" style="2" bestFit="1" customWidth="1"/>
    <col min="4867" max="4868" width="7.140625" style="2" bestFit="1" customWidth="1"/>
    <col min="4869" max="4869" width="6.5703125" style="2" bestFit="1" customWidth="1"/>
    <col min="4870" max="4871" width="7.140625" style="2" bestFit="1" customWidth="1"/>
    <col min="4872" max="4872" width="6.85546875" style="2" bestFit="1" customWidth="1"/>
    <col min="4873" max="4873" width="7" style="2" bestFit="1" customWidth="1"/>
    <col min="4874" max="4874" width="7.28515625" style="2" bestFit="1" customWidth="1"/>
    <col min="4875" max="4875" width="6.7109375" style="2" bestFit="1" customWidth="1"/>
    <col min="4876" max="4876" width="7.28515625" style="2" bestFit="1" customWidth="1"/>
    <col min="4877" max="4877" width="7" style="2" bestFit="1" customWidth="1"/>
    <col min="4878" max="4878" width="8.5703125" style="2" bestFit="1" customWidth="1"/>
    <col min="4879" max="5120" width="9.140625" style="2"/>
    <col min="5121" max="5121" width="38.85546875" style="2" customWidth="1"/>
    <col min="5122" max="5122" width="6.5703125" style="2" bestFit="1" customWidth="1"/>
    <col min="5123" max="5124" width="7.140625" style="2" bestFit="1" customWidth="1"/>
    <col min="5125" max="5125" width="6.5703125" style="2" bestFit="1" customWidth="1"/>
    <col min="5126" max="5127" width="7.140625" style="2" bestFit="1" customWidth="1"/>
    <col min="5128" max="5128" width="6.85546875" style="2" bestFit="1" customWidth="1"/>
    <col min="5129" max="5129" width="7" style="2" bestFit="1" customWidth="1"/>
    <col min="5130" max="5130" width="7.28515625" style="2" bestFit="1" customWidth="1"/>
    <col min="5131" max="5131" width="6.7109375" style="2" bestFit="1" customWidth="1"/>
    <col min="5132" max="5132" width="7.28515625" style="2" bestFit="1" customWidth="1"/>
    <col min="5133" max="5133" width="7" style="2" bestFit="1" customWidth="1"/>
    <col min="5134" max="5134" width="8.5703125" style="2" bestFit="1" customWidth="1"/>
    <col min="5135" max="5376" width="9.140625" style="2"/>
    <col min="5377" max="5377" width="38.85546875" style="2" customWidth="1"/>
    <col min="5378" max="5378" width="6.5703125" style="2" bestFit="1" customWidth="1"/>
    <col min="5379" max="5380" width="7.140625" style="2" bestFit="1" customWidth="1"/>
    <col min="5381" max="5381" width="6.5703125" style="2" bestFit="1" customWidth="1"/>
    <col min="5382" max="5383" width="7.140625" style="2" bestFit="1" customWidth="1"/>
    <col min="5384" max="5384" width="6.85546875" style="2" bestFit="1" customWidth="1"/>
    <col min="5385" max="5385" width="7" style="2" bestFit="1" customWidth="1"/>
    <col min="5386" max="5386" width="7.28515625" style="2" bestFit="1" customWidth="1"/>
    <col min="5387" max="5387" width="6.7109375" style="2" bestFit="1" customWidth="1"/>
    <col min="5388" max="5388" width="7.28515625" style="2" bestFit="1" customWidth="1"/>
    <col min="5389" max="5389" width="7" style="2" bestFit="1" customWidth="1"/>
    <col min="5390" max="5390" width="8.5703125" style="2" bestFit="1" customWidth="1"/>
    <col min="5391" max="5632" width="9.140625" style="2"/>
    <col min="5633" max="5633" width="38.85546875" style="2" customWidth="1"/>
    <col min="5634" max="5634" width="6.5703125" style="2" bestFit="1" customWidth="1"/>
    <col min="5635" max="5636" width="7.140625" style="2" bestFit="1" customWidth="1"/>
    <col min="5637" max="5637" width="6.5703125" style="2" bestFit="1" customWidth="1"/>
    <col min="5638" max="5639" width="7.140625" style="2" bestFit="1" customWidth="1"/>
    <col min="5640" max="5640" width="6.85546875" style="2" bestFit="1" customWidth="1"/>
    <col min="5641" max="5641" width="7" style="2" bestFit="1" customWidth="1"/>
    <col min="5642" max="5642" width="7.28515625" style="2" bestFit="1" customWidth="1"/>
    <col min="5643" max="5643" width="6.7109375" style="2" bestFit="1" customWidth="1"/>
    <col min="5644" max="5644" width="7.28515625" style="2" bestFit="1" customWidth="1"/>
    <col min="5645" max="5645" width="7" style="2" bestFit="1" customWidth="1"/>
    <col min="5646" max="5646" width="8.5703125" style="2" bestFit="1" customWidth="1"/>
    <col min="5647" max="5888" width="9.140625" style="2"/>
    <col min="5889" max="5889" width="38.85546875" style="2" customWidth="1"/>
    <col min="5890" max="5890" width="6.5703125" style="2" bestFit="1" customWidth="1"/>
    <col min="5891" max="5892" width="7.140625" style="2" bestFit="1" customWidth="1"/>
    <col min="5893" max="5893" width="6.5703125" style="2" bestFit="1" customWidth="1"/>
    <col min="5894" max="5895" width="7.140625" style="2" bestFit="1" customWidth="1"/>
    <col min="5896" max="5896" width="6.85546875" style="2" bestFit="1" customWidth="1"/>
    <col min="5897" max="5897" width="7" style="2" bestFit="1" customWidth="1"/>
    <col min="5898" max="5898" width="7.28515625" style="2" bestFit="1" customWidth="1"/>
    <col min="5899" max="5899" width="6.7109375" style="2" bestFit="1" customWidth="1"/>
    <col min="5900" max="5900" width="7.28515625" style="2" bestFit="1" customWidth="1"/>
    <col min="5901" max="5901" width="7" style="2" bestFit="1" customWidth="1"/>
    <col min="5902" max="5902" width="8.5703125" style="2" bestFit="1" customWidth="1"/>
    <col min="5903" max="6144" width="9.140625" style="2"/>
    <col min="6145" max="6145" width="38.85546875" style="2" customWidth="1"/>
    <col min="6146" max="6146" width="6.5703125" style="2" bestFit="1" customWidth="1"/>
    <col min="6147" max="6148" width="7.140625" style="2" bestFit="1" customWidth="1"/>
    <col min="6149" max="6149" width="6.5703125" style="2" bestFit="1" customWidth="1"/>
    <col min="6150" max="6151" width="7.140625" style="2" bestFit="1" customWidth="1"/>
    <col min="6152" max="6152" width="6.85546875" style="2" bestFit="1" customWidth="1"/>
    <col min="6153" max="6153" width="7" style="2" bestFit="1" customWidth="1"/>
    <col min="6154" max="6154" width="7.28515625" style="2" bestFit="1" customWidth="1"/>
    <col min="6155" max="6155" width="6.7109375" style="2" bestFit="1" customWidth="1"/>
    <col min="6156" max="6156" width="7.28515625" style="2" bestFit="1" customWidth="1"/>
    <col min="6157" max="6157" width="7" style="2" bestFit="1" customWidth="1"/>
    <col min="6158" max="6158" width="8.5703125" style="2" bestFit="1" customWidth="1"/>
    <col min="6159" max="6400" width="9.140625" style="2"/>
    <col min="6401" max="6401" width="38.85546875" style="2" customWidth="1"/>
    <col min="6402" max="6402" width="6.5703125" style="2" bestFit="1" customWidth="1"/>
    <col min="6403" max="6404" width="7.140625" style="2" bestFit="1" customWidth="1"/>
    <col min="6405" max="6405" width="6.5703125" style="2" bestFit="1" customWidth="1"/>
    <col min="6406" max="6407" width="7.140625" style="2" bestFit="1" customWidth="1"/>
    <col min="6408" max="6408" width="6.85546875" style="2" bestFit="1" customWidth="1"/>
    <col min="6409" max="6409" width="7" style="2" bestFit="1" customWidth="1"/>
    <col min="6410" max="6410" width="7.28515625" style="2" bestFit="1" customWidth="1"/>
    <col min="6411" max="6411" width="6.7109375" style="2" bestFit="1" customWidth="1"/>
    <col min="6412" max="6412" width="7.28515625" style="2" bestFit="1" customWidth="1"/>
    <col min="6413" max="6413" width="7" style="2" bestFit="1" customWidth="1"/>
    <col min="6414" max="6414" width="8.5703125" style="2" bestFit="1" customWidth="1"/>
    <col min="6415" max="6656" width="9.140625" style="2"/>
    <col min="6657" max="6657" width="38.85546875" style="2" customWidth="1"/>
    <col min="6658" max="6658" width="6.5703125" style="2" bestFit="1" customWidth="1"/>
    <col min="6659" max="6660" width="7.140625" style="2" bestFit="1" customWidth="1"/>
    <col min="6661" max="6661" width="6.5703125" style="2" bestFit="1" customWidth="1"/>
    <col min="6662" max="6663" width="7.140625" style="2" bestFit="1" customWidth="1"/>
    <col min="6664" max="6664" width="6.85546875" style="2" bestFit="1" customWidth="1"/>
    <col min="6665" max="6665" width="7" style="2" bestFit="1" customWidth="1"/>
    <col min="6666" max="6666" width="7.28515625" style="2" bestFit="1" customWidth="1"/>
    <col min="6667" max="6667" width="6.7109375" style="2" bestFit="1" customWidth="1"/>
    <col min="6668" max="6668" width="7.28515625" style="2" bestFit="1" customWidth="1"/>
    <col min="6669" max="6669" width="7" style="2" bestFit="1" customWidth="1"/>
    <col min="6670" max="6670" width="8.5703125" style="2" bestFit="1" customWidth="1"/>
    <col min="6671" max="6912" width="9.140625" style="2"/>
    <col min="6913" max="6913" width="38.85546875" style="2" customWidth="1"/>
    <col min="6914" max="6914" width="6.5703125" style="2" bestFit="1" customWidth="1"/>
    <col min="6915" max="6916" width="7.140625" style="2" bestFit="1" customWidth="1"/>
    <col min="6917" max="6917" width="6.5703125" style="2" bestFit="1" customWidth="1"/>
    <col min="6918" max="6919" width="7.140625" style="2" bestFit="1" customWidth="1"/>
    <col min="6920" max="6920" width="6.85546875" style="2" bestFit="1" customWidth="1"/>
    <col min="6921" max="6921" width="7" style="2" bestFit="1" customWidth="1"/>
    <col min="6922" max="6922" width="7.28515625" style="2" bestFit="1" customWidth="1"/>
    <col min="6923" max="6923" width="6.7109375" style="2" bestFit="1" customWidth="1"/>
    <col min="6924" max="6924" width="7.28515625" style="2" bestFit="1" customWidth="1"/>
    <col min="6925" max="6925" width="7" style="2" bestFit="1" customWidth="1"/>
    <col min="6926" max="6926" width="8.5703125" style="2" bestFit="1" customWidth="1"/>
    <col min="6927" max="7168" width="9.140625" style="2"/>
    <col min="7169" max="7169" width="38.85546875" style="2" customWidth="1"/>
    <col min="7170" max="7170" width="6.5703125" style="2" bestFit="1" customWidth="1"/>
    <col min="7171" max="7172" width="7.140625" style="2" bestFit="1" customWidth="1"/>
    <col min="7173" max="7173" width="6.5703125" style="2" bestFit="1" customWidth="1"/>
    <col min="7174" max="7175" width="7.140625" style="2" bestFit="1" customWidth="1"/>
    <col min="7176" max="7176" width="6.85546875" style="2" bestFit="1" customWidth="1"/>
    <col min="7177" max="7177" width="7" style="2" bestFit="1" customWidth="1"/>
    <col min="7178" max="7178" width="7.28515625" style="2" bestFit="1" customWidth="1"/>
    <col min="7179" max="7179" width="6.7109375" style="2" bestFit="1" customWidth="1"/>
    <col min="7180" max="7180" width="7.28515625" style="2" bestFit="1" customWidth="1"/>
    <col min="7181" max="7181" width="7" style="2" bestFit="1" customWidth="1"/>
    <col min="7182" max="7182" width="8.5703125" style="2" bestFit="1" customWidth="1"/>
    <col min="7183" max="7424" width="9.140625" style="2"/>
    <col min="7425" max="7425" width="38.85546875" style="2" customWidth="1"/>
    <col min="7426" max="7426" width="6.5703125" style="2" bestFit="1" customWidth="1"/>
    <col min="7427" max="7428" width="7.140625" style="2" bestFit="1" customWidth="1"/>
    <col min="7429" max="7429" width="6.5703125" style="2" bestFit="1" customWidth="1"/>
    <col min="7430" max="7431" width="7.140625" style="2" bestFit="1" customWidth="1"/>
    <col min="7432" max="7432" width="6.85546875" style="2" bestFit="1" customWidth="1"/>
    <col min="7433" max="7433" width="7" style="2" bestFit="1" customWidth="1"/>
    <col min="7434" max="7434" width="7.28515625" style="2" bestFit="1" customWidth="1"/>
    <col min="7435" max="7435" width="6.7109375" style="2" bestFit="1" customWidth="1"/>
    <col min="7436" max="7436" width="7.28515625" style="2" bestFit="1" customWidth="1"/>
    <col min="7437" max="7437" width="7" style="2" bestFit="1" customWidth="1"/>
    <col min="7438" max="7438" width="8.5703125" style="2" bestFit="1" customWidth="1"/>
    <col min="7439" max="7680" width="9.140625" style="2"/>
    <col min="7681" max="7681" width="38.85546875" style="2" customWidth="1"/>
    <col min="7682" max="7682" width="6.5703125" style="2" bestFit="1" customWidth="1"/>
    <col min="7683" max="7684" width="7.140625" style="2" bestFit="1" customWidth="1"/>
    <col min="7685" max="7685" width="6.5703125" style="2" bestFit="1" customWidth="1"/>
    <col min="7686" max="7687" width="7.140625" style="2" bestFit="1" customWidth="1"/>
    <col min="7688" max="7688" width="6.85546875" style="2" bestFit="1" customWidth="1"/>
    <col min="7689" max="7689" width="7" style="2" bestFit="1" customWidth="1"/>
    <col min="7690" max="7690" width="7.28515625" style="2" bestFit="1" customWidth="1"/>
    <col min="7691" max="7691" width="6.7109375" style="2" bestFit="1" customWidth="1"/>
    <col min="7692" max="7692" width="7.28515625" style="2" bestFit="1" customWidth="1"/>
    <col min="7693" max="7693" width="7" style="2" bestFit="1" customWidth="1"/>
    <col min="7694" max="7694" width="8.5703125" style="2" bestFit="1" customWidth="1"/>
    <col min="7695" max="7936" width="9.140625" style="2"/>
    <col min="7937" max="7937" width="38.85546875" style="2" customWidth="1"/>
    <col min="7938" max="7938" width="6.5703125" style="2" bestFit="1" customWidth="1"/>
    <col min="7939" max="7940" width="7.140625" style="2" bestFit="1" customWidth="1"/>
    <col min="7941" max="7941" width="6.5703125" style="2" bestFit="1" customWidth="1"/>
    <col min="7942" max="7943" width="7.140625" style="2" bestFit="1" customWidth="1"/>
    <col min="7944" max="7944" width="6.85546875" style="2" bestFit="1" customWidth="1"/>
    <col min="7945" max="7945" width="7" style="2" bestFit="1" customWidth="1"/>
    <col min="7946" max="7946" width="7.28515625" style="2" bestFit="1" customWidth="1"/>
    <col min="7947" max="7947" width="6.7109375" style="2" bestFit="1" customWidth="1"/>
    <col min="7948" max="7948" width="7.28515625" style="2" bestFit="1" customWidth="1"/>
    <col min="7949" max="7949" width="7" style="2" bestFit="1" customWidth="1"/>
    <col min="7950" max="7950" width="8.5703125" style="2" bestFit="1" customWidth="1"/>
    <col min="7951" max="8192" width="9.140625" style="2"/>
    <col min="8193" max="8193" width="38.85546875" style="2" customWidth="1"/>
    <col min="8194" max="8194" width="6.5703125" style="2" bestFit="1" customWidth="1"/>
    <col min="8195" max="8196" width="7.140625" style="2" bestFit="1" customWidth="1"/>
    <col min="8197" max="8197" width="6.5703125" style="2" bestFit="1" customWidth="1"/>
    <col min="8198" max="8199" width="7.140625" style="2" bestFit="1" customWidth="1"/>
    <col min="8200" max="8200" width="6.85546875" style="2" bestFit="1" customWidth="1"/>
    <col min="8201" max="8201" width="7" style="2" bestFit="1" customWidth="1"/>
    <col min="8202" max="8202" width="7.28515625" style="2" bestFit="1" customWidth="1"/>
    <col min="8203" max="8203" width="6.7109375" style="2" bestFit="1" customWidth="1"/>
    <col min="8204" max="8204" width="7.28515625" style="2" bestFit="1" customWidth="1"/>
    <col min="8205" max="8205" width="7" style="2" bestFit="1" customWidth="1"/>
    <col min="8206" max="8206" width="8.5703125" style="2" bestFit="1" customWidth="1"/>
    <col min="8207" max="8448" width="9.140625" style="2"/>
    <col min="8449" max="8449" width="38.85546875" style="2" customWidth="1"/>
    <col min="8450" max="8450" width="6.5703125" style="2" bestFit="1" customWidth="1"/>
    <col min="8451" max="8452" width="7.140625" style="2" bestFit="1" customWidth="1"/>
    <col min="8453" max="8453" width="6.5703125" style="2" bestFit="1" customWidth="1"/>
    <col min="8454" max="8455" width="7.140625" style="2" bestFit="1" customWidth="1"/>
    <col min="8456" max="8456" width="6.85546875" style="2" bestFit="1" customWidth="1"/>
    <col min="8457" max="8457" width="7" style="2" bestFit="1" customWidth="1"/>
    <col min="8458" max="8458" width="7.28515625" style="2" bestFit="1" customWidth="1"/>
    <col min="8459" max="8459" width="6.7109375" style="2" bestFit="1" customWidth="1"/>
    <col min="8460" max="8460" width="7.28515625" style="2" bestFit="1" customWidth="1"/>
    <col min="8461" max="8461" width="7" style="2" bestFit="1" customWidth="1"/>
    <col min="8462" max="8462" width="8.5703125" style="2" bestFit="1" customWidth="1"/>
    <col min="8463" max="8704" width="9.140625" style="2"/>
    <col min="8705" max="8705" width="38.85546875" style="2" customWidth="1"/>
    <col min="8706" max="8706" width="6.5703125" style="2" bestFit="1" customWidth="1"/>
    <col min="8707" max="8708" width="7.140625" style="2" bestFit="1" customWidth="1"/>
    <col min="8709" max="8709" width="6.5703125" style="2" bestFit="1" customWidth="1"/>
    <col min="8710" max="8711" width="7.140625" style="2" bestFit="1" customWidth="1"/>
    <col min="8712" max="8712" width="6.85546875" style="2" bestFit="1" customWidth="1"/>
    <col min="8713" max="8713" width="7" style="2" bestFit="1" customWidth="1"/>
    <col min="8714" max="8714" width="7.28515625" style="2" bestFit="1" customWidth="1"/>
    <col min="8715" max="8715" width="6.7109375" style="2" bestFit="1" customWidth="1"/>
    <col min="8716" max="8716" width="7.28515625" style="2" bestFit="1" customWidth="1"/>
    <col min="8717" max="8717" width="7" style="2" bestFit="1" customWidth="1"/>
    <col min="8718" max="8718" width="8.5703125" style="2" bestFit="1" customWidth="1"/>
    <col min="8719" max="8960" width="9.140625" style="2"/>
    <col min="8961" max="8961" width="38.85546875" style="2" customWidth="1"/>
    <col min="8962" max="8962" width="6.5703125" style="2" bestFit="1" customWidth="1"/>
    <col min="8963" max="8964" width="7.140625" style="2" bestFit="1" customWidth="1"/>
    <col min="8965" max="8965" width="6.5703125" style="2" bestFit="1" customWidth="1"/>
    <col min="8966" max="8967" width="7.140625" style="2" bestFit="1" customWidth="1"/>
    <col min="8968" max="8968" width="6.85546875" style="2" bestFit="1" customWidth="1"/>
    <col min="8969" max="8969" width="7" style="2" bestFit="1" customWidth="1"/>
    <col min="8970" max="8970" width="7.28515625" style="2" bestFit="1" customWidth="1"/>
    <col min="8971" max="8971" width="6.7109375" style="2" bestFit="1" customWidth="1"/>
    <col min="8972" max="8972" width="7.28515625" style="2" bestFit="1" customWidth="1"/>
    <col min="8973" max="8973" width="7" style="2" bestFit="1" customWidth="1"/>
    <col min="8974" max="8974" width="8.5703125" style="2" bestFit="1" customWidth="1"/>
    <col min="8975" max="9216" width="9.140625" style="2"/>
    <col min="9217" max="9217" width="38.85546875" style="2" customWidth="1"/>
    <col min="9218" max="9218" width="6.5703125" style="2" bestFit="1" customWidth="1"/>
    <col min="9219" max="9220" width="7.140625" style="2" bestFit="1" customWidth="1"/>
    <col min="9221" max="9221" width="6.5703125" style="2" bestFit="1" customWidth="1"/>
    <col min="9222" max="9223" width="7.140625" style="2" bestFit="1" customWidth="1"/>
    <col min="9224" max="9224" width="6.85546875" style="2" bestFit="1" customWidth="1"/>
    <col min="9225" max="9225" width="7" style="2" bestFit="1" customWidth="1"/>
    <col min="9226" max="9226" width="7.28515625" style="2" bestFit="1" customWidth="1"/>
    <col min="9227" max="9227" width="6.7109375" style="2" bestFit="1" customWidth="1"/>
    <col min="9228" max="9228" width="7.28515625" style="2" bestFit="1" customWidth="1"/>
    <col min="9229" max="9229" width="7" style="2" bestFit="1" customWidth="1"/>
    <col min="9230" max="9230" width="8.5703125" style="2" bestFit="1" customWidth="1"/>
    <col min="9231" max="9472" width="9.140625" style="2"/>
    <col min="9473" max="9473" width="38.85546875" style="2" customWidth="1"/>
    <col min="9474" max="9474" width="6.5703125" style="2" bestFit="1" customWidth="1"/>
    <col min="9475" max="9476" width="7.140625" style="2" bestFit="1" customWidth="1"/>
    <col min="9477" max="9477" width="6.5703125" style="2" bestFit="1" customWidth="1"/>
    <col min="9478" max="9479" width="7.140625" style="2" bestFit="1" customWidth="1"/>
    <col min="9480" max="9480" width="6.85546875" style="2" bestFit="1" customWidth="1"/>
    <col min="9481" max="9481" width="7" style="2" bestFit="1" customWidth="1"/>
    <col min="9482" max="9482" width="7.28515625" style="2" bestFit="1" customWidth="1"/>
    <col min="9483" max="9483" width="6.7109375" style="2" bestFit="1" customWidth="1"/>
    <col min="9484" max="9484" width="7.28515625" style="2" bestFit="1" customWidth="1"/>
    <col min="9485" max="9485" width="7" style="2" bestFit="1" customWidth="1"/>
    <col min="9486" max="9486" width="8.5703125" style="2" bestFit="1" customWidth="1"/>
    <col min="9487" max="9728" width="9.140625" style="2"/>
    <col min="9729" max="9729" width="38.85546875" style="2" customWidth="1"/>
    <col min="9730" max="9730" width="6.5703125" style="2" bestFit="1" customWidth="1"/>
    <col min="9731" max="9732" width="7.140625" style="2" bestFit="1" customWidth="1"/>
    <col min="9733" max="9733" width="6.5703125" style="2" bestFit="1" customWidth="1"/>
    <col min="9734" max="9735" width="7.140625" style="2" bestFit="1" customWidth="1"/>
    <col min="9736" max="9736" width="6.85546875" style="2" bestFit="1" customWidth="1"/>
    <col min="9737" max="9737" width="7" style="2" bestFit="1" customWidth="1"/>
    <col min="9738" max="9738" width="7.28515625" style="2" bestFit="1" customWidth="1"/>
    <col min="9739" max="9739" width="6.7109375" style="2" bestFit="1" customWidth="1"/>
    <col min="9740" max="9740" width="7.28515625" style="2" bestFit="1" customWidth="1"/>
    <col min="9741" max="9741" width="7" style="2" bestFit="1" customWidth="1"/>
    <col min="9742" max="9742" width="8.5703125" style="2" bestFit="1" customWidth="1"/>
    <col min="9743" max="9984" width="9.140625" style="2"/>
    <col min="9985" max="9985" width="38.85546875" style="2" customWidth="1"/>
    <col min="9986" max="9986" width="6.5703125" style="2" bestFit="1" customWidth="1"/>
    <col min="9987" max="9988" width="7.140625" style="2" bestFit="1" customWidth="1"/>
    <col min="9989" max="9989" width="6.5703125" style="2" bestFit="1" customWidth="1"/>
    <col min="9990" max="9991" width="7.140625" style="2" bestFit="1" customWidth="1"/>
    <col min="9992" max="9992" width="6.85546875" style="2" bestFit="1" customWidth="1"/>
    <col min="9993" max="9993" width="7" style="2" bestFit="1" customWidth="1"/>
    <col min="9994" max="9994" width="7.28515625" style="2" bestFit="1" customWidth="1"/>
    <col min="9995" max="9995" width="6.7109375" style="2" bestFit="1" customWidth="1"/>
    <col min="9996" max="9996" width="7.28515625" style="2" bestFit="1" customWidth="1"/>
    <col min="9997" max="9997" width="7" style="2" bestFit="1" customWidth="1"/>
    <col min="9998" max="9998" width="8.5703125" style="2" bestFit="1" customWidth="1"/>
    <col min="9999" max="10240" width="9.140625" style="2"/>
    <col min="10241" max="10241" width="38.85546875" style="2" customWidth="1"/>
    <col min="10242" max="10242" width="6.5703125" style="2" bestFit="1" customWidth="1"/>
    <col min="10243" max="10244" width="7.140625" style="2" bestFit="1" customWidth="1"/>
    <col min="10245" max="10245" width="6.5703125" style="2" bestFit="1" customWidth="1"/>
    <col min="10246" max="10247" width="7.140625" style="2" bestFit="1" customWidth="1"/>
    <col min="10248" max="10248" width="6.85546875" style="2" bestFit="1" customWidth="1"/>
    <col min="10249" max="10249" width="7" style="2" bestFit="1" customWidth="1"/>
    <col min="10250" max="10250" width="7.28515625" style="2" bestFit="1" customWidth="1"/>
    <col min="10251" max="10251" width="6.7109375" style="2" bestFit="1" customWidth="1"/>
    <col min="10252" max="10252" width="7.28515625" style="2" bestFit="1" customWidth="1"/>
    <col min="10253" max="10253" width="7" style="2" bestFit="1" customWidth="1"/>
    <col min="10254" max="10254" width="8.5703125" style="2" bestFit="1" customWidth="1"/>
    <col min="10255" max="10496" width="9.140625" style="2"/>
    <col min="10497" max="10497" width="38.85546875" style="2" customWidth="1"/>
    <col min="10498" max="10498" width="6.5703125" style="2" bestFit="1" customWidth="1"/>
    <col min="10499" max="10500" width="7.140625" style="2" bestFit="1" customWidth="1"/>
    <col min="10501" max="10501" width="6.5703125" style="2" bestFit="1" customWidth="1"/>
    <col min="10502" max="10503" width="7.140625" style="2" bestFit="1" customWidth="1"/>
    <col min="10504" max="10504" width="6.85546875" style="2" bestFit="1" customWidth="1"/>
    <col min="10505" max="10505" width="7" style="2" bestFit="1" customWidth="1"/>
    <col min="10506" max="10506" width="7.28515625" style="2" bestFit="1" customWidth="1"/>
    <col min="10507" max="10507" width="6.7109375" style="2" bestFit="1" customWidth="1"/>
    <col min="10508" max="10508" width="7.28515625" style="2" bestFit="1" customWidth="1"/>
    <col min="10509" max="10509" width="7" style="2" bestFit="1" customWidth="1"/>
    <col min="10510" max="10510" width="8.5703125" style="2" bestFit="1" customWidth="1"/>
    <col min="10511" max="10752" width="9.140625" style="2"/>
    <col min="10753" max="10753" width="38.85546875" style="2" customWidth="1"/>
    <col min="10754" max="10754" width="6.5703125" style="2" bestFit="1" customWidth="1"/>
    <col min="10755" max="10756" width="7.140625" style="2" bestFit="1" customWidth="1"/>
    <col min="10757" max="10757" width="6.5703125" style="2" bestFit="1" customWidth="1"/>
    <col min="10758" max="10759" width="7.140625" style="2" bestFit="1" customWidth="1"/>
    <col min="10760" max="10760" width="6.85546875" style="2" bestFit="1" customWidth="1"/>
    <col min="10761" max="10761" width="7" style="2" bestFit="1" customWidth="1"/>
    <col min="10762" max="10762" width="7.28515625" style="2" bestFit="1" customWidth="1"/>
    <col min="10763" max="10763" width="6.7109375" style="2" bestFit="1" customWidth="1"/>
    <col min="10764" max="10764" width="7.28515625" style="2" bestFit="1" customWidth="1"/>
    <col min="10765" max="10765" width="7" style="2" bestFit="1" customWidth="1"/>
    <col min="10766" max="10766" width="8.5703125" style="2" bestFit="1" customWidth="1"/>
    <col min="10767" max="11008" width="9.140625" style="2"/>
    <col min="11009" max="11009" width="38.85546875" style="2" customWidth="1"/>
    <col min="11010" max="11010" width="6.5703125" style="2" bestFit="1" customWidth="1"/>
    <col min="11011" max="11012" width="7.140625" style="2" bestFit="1" customWidth="1"/>
    <col min="11013" max="11013" width="6.5703125" style="2" bestFit="1" customWidth="1"/>
    <col min="11014" max="11015" width="7.140625" style="2" bestFit="1" customWidth="1"/>
    <col min="11016" max="11016" width="6.85546875" style="2" bestFit="1" customWidth="1"/>
    <col min="11017" max="11017" width="7" style="2" bestFit="1" customWidth="1"/>
    <col min="11018" max="11018" width="7.28515625" style="2" bestFit="1" customWidth="1"/>
    <col min="11019" max="11019" width="6.7109375" style="2" bestFit="1" customWidth="1"/>
    <col min="11020" max="11020" width="7.28515625" style="2" bestFit="1" customWidth="1"/>
    <col min="11021" max="11021" width="7" style="2" bestFit="1" customWidth="1"/>
    <col min="11022" max="11022" width="8.5703125" style="2" bestFit="1" customWidth="1"/>
    <col min="11023" max="11264" width="9.140625" style="2"/>
    <col min="11265" max="11265" width="38.85546875" style="2" customWidth="1"/>
    <col min="11266" max="11266" width="6.5703125" style="2" bestFit="1" customWidth="1"/>
    <col min="11267" max="11268" width="7.140625" style="2" bestFit="1" customWidth="1"/>
    <col min="11269" max="11269" width="6.5703125" style="2" bestFit="1" customWidth="1"/>
    <col min="11270" max="11271" width="7.140625" style="2" bestFit="1" customWidth="1"/>
    <col min="11272" max="11272" width="6.85546875" style="2" bestFit="1" customWidth="1"/>
    <col min="11273" max="11273" width="7" style="2" bestFit="1" customWidth="1"/>
    <col min="11274" max="11274" width="7.28515625" style="2" bestFit="1" customWidth="1"/>
    <col min="11275" max="11275" width="6.7109375" style="2" bestFit="1" customWidth="1"/>
    <col min="11276" max="11276" width="7.28515625" style="2" bestFit="1" customWidth="1"/>
    <col min="11277" max="11277" width="7" style="2" bestFit="1" customWidth="1"/>
    <col min="11278" max="11278" width="8.5703125" style="2" bestFit="1" customWidth="1"/>
    <col min="11279" max="11520" width="9.140625" style="2"/>
    <col min="11521" max="11521" width="38.85546875" style="2" customWidth="1"/>
    <col min="11522" max="11522" width="6.5703125" style="2" bestFit="1" customWidth="1"/>
    <col min="11523" max="11524" width="7.140625" style="2" bestFit="1" customWidth="1"/>
    <col min="11525" max="11525" width="6.5703125" style="2" bestFit="1" customWidth="1"/>
    <col min="11526" max="11527" width="7.140625" style="2" bestFit="1" customWidth="1"/>
    <col min="11528" max="11528" width="6.85546875" style="2" bestFit="1" customWidth="1"/>
    <col min="11529" max="11529" width="7" style="2" bestFit="1" customWidth="1"/>
    <col min="11530" max="11530" width="7.28515625" style="2" bestFit="1" customWidth="1"/>
    <col min="11531" max="11531" width="6.7109375" style="2" bestFit="1" customWidth="1"/>
    <col min="11532" max="11532" width="7.28515625" style="2" bestFit="1" customWidth="1"/>
    <col min="11533" max="11533" width="7" style="2" bestFit="1" customWidth="1"/>
    <col min="11534" max="11534" width="8.5703125" style="2" bestFit="1" customWidth="1"/>
    <col min="11535" max="11776" width="9.140625" style="2"/>
    <col min="11777" max="11777" width="38.85546875" style="2" customWidth="1"/>
    <col min="11778" max="11778" width="6.5703125" style="2" bestFit="1" customWidth="1"/>
    <col min="11779" max="11780" width="7.140625" style="2" bestFit="1" customWidth="1"/>
    <col min="11781" max="11781" width="6.5703125" style="2" bestFit="1" customWidth="1"/>
    <col min="11782" max="11783" width="7.140625" style="2" bestFit="1" customWidth="1"/>
    <col min="11784" max="11784" width="6.85546875" style="2" bestFit="1" customWidth="1"/>
    <col min="11785" max="11785" width="7" style="2" bestFit="1" customWidth="1"/>
    <col min="11786" max="11786" width="7.28515625" style="2" bestFit="1" customWidth="1"/>
    <col min="11787" max="11787" width="6.7109375" style="2" bestFit="1" customWidth="1"/>
    <col min="11788" max="11788" width="7.28515625" style="2" bestFit="1" customWidth="1"/>
    <col min="11789" max="11789" width="7" style="2" bestFit="1" customWidth="1"/>
    <col min="11790" max="11790" width="8.5703125" style="2" bestFit="1" customWidth="1"/>
    <col min="11791" max="12032" width="9.140625" style="2"/>
    <col min="12033" max="12033" width="38.85546875" style="2" customWidth="1"/>
    <col min="12034" max="12034" width="6.5703125" style="2" bestFit="1" customWidth="1"/>
    <col min="12035" max="12036" width="7.140625" style="2" bestFit="1" customWidth="1"/>
    <col min="12037" max="12037" width="6.5703125" style="2" bestFit="1" customWidth="1"/>
    <col min="12038" max="12039" width="7.140625" style="2" bestFit="1" customWidth="1"/>
    <col min="12040" max="12040" width="6.85546875" style="2" bestFit="1" customWidth="1"/>
    <col min="12041" max="12041" width="7" style="2" bestFit="1" customWidth="1"/>
    <col min="12042" max="12042" width="7.28515625" style="2" bestFit="1" customWidth="1"/>
    <col min="12043" max="12043" width="6.7109375" style="2" bestFit="1" customWidth="1"/>
    <col min="12044" max="12044" width="7.28515625" style="2" bestFit="1" customWidth="1"/>
    <col min="12045" max="12045" width="7" style="2" bestFit="1" customWidth="1"/>
    <col min="12046" max="12046" width="8.5703125" style="2" bestFit="1" customWidth="1"/>
    <col min="12047" max="12288" width="9.140625" style="2"/>
    <col min="12289" max="12289" width="38.85546875" style="2" customWidth="1"/>
    <col min="12290" max="12290" width="6.5703125" style="2" bestFit="1" customWidth="1"/>
    <col min="12291" max="12292" width="7.140625" style="2" bestFit="1" customWidth="1"/>
    <col min="12293" max="12293" width="6.5703125" style="2" bestFit="1" customWidth="1"/>
    <col min="12294" max="12295" width="7.140625" style="2" bestFit="1" customWidth="1"/>
    <col min="12296" max="12296" width="6.85546875" style="2" bestFit="1" customWidth="1"/>
    <col min="12297" max="12297" width="7" style="2" bestFit="1" customWidth="1"/>
    <col min="12298" max="12298" width="7.28515625" style="2" bestFit="1" customWidth="1"/>
    <col min="12299" max="12299" width="6.7109375" style="2" bestFit="1" customWidth="1"/>
    <col min="12300" max="12300" width="7.28515625" style="2" bestFit="1" customWidth="1"/>
    <col min="12301" max="12301" width="7" style="2" bestFit="1" customWidth="1"/>
    <col min="12302" max="12302" width="8.5703125" style="2" bestFit="1" customWidth="1"/>
    <col min="12303" max="12544" width="9.140625" style="2"/>
    <col min="12545" max="12545" width="38.85546875" style="2" customWidth="1"/>
    <col min="12546" max="12546" width="6.5703125" style="2" bestFit="1" customWidth="1"/>
    <col min="12547" max="12548" width="7.140625" style="2" bestFit="1" customWidth="1"/>
    <col min="12549" max="12549" width="6.5703125" style="2" bestFit="1" customWidth="1"/>
    <col min="12550" max="12551" width="7.140625" style="2" bestFit="1" customWidth="1"/>
    <col min="12552" max="12552" width="6.85546875" style="2" bestFit="1" customWidth="1"/>
    <col min="12553" max="12553" width="7" style="2" bestFit="1" customWidth="1"/>
    <col min="12554" max="12554" width="7.28515625" style="2" bestFit="1" customWidth="1"/>
    <col min="12555" max="12555" width="6.7109375" style="2" bestFit="1" customWidth="1"/>
    <col min="12556" max="12556" width="7.28515625" style="2" bestFit="1" customWidth="1"/>
    <col min="12557" max="12557" width="7" style="2" bestFit="1" customWidth="1"/>
    <col min="12558" max="12558" width="8.5703125" style="2" bestFit="1" customWidth="1"/>
    <col min="12559" max="12800" width="9.140625" style="2"/>
    <col min="12801" max="12801" width="38.85546875" style="2" customWidth="1"/>
    <col min="12802" max="12802" width="6.5703125" style="2" bestFit="1" customWidth="1"/>
    <col min="12803" max="12804" width="7.140625" style="2" bestFit="1" customWidth="1"/>
    <col min="12805" max="12805" width="6.5703125" style="2" bestFit="1" customWidth="1"/>
    <col min="12806" max="12807" width="7.140625" style="2" bestFit="1" customWidth="1"/>
    <col min="12808" max="12808" width="6.85546875" style="2" bestFit="1" customWidth="1"/>
    <col min="12809" max="12809" width="7" style="2" bestFit="1" customWidth="1"/>
    <col min="12810" max="12810" width="7.28515625" style="2" bestFit="1" customWidth="1"/>
    <col min="12811" max="12811" width="6.7109375" style="2" bestFit="1" customWidth="1"/>
    <col min="12812" max="12812" width="7.28515625" style="2" bestFit="1" customWidth="1"/>
    <col min="12813" max="12813" width="7" style="2" bestFit="1" customWidth="1"/>
    <col min="12814" max="12814" width="8.5703125" style="2" bestFit="1" customWidth="1"/>
    <col min="12815" max="13056" width="9.140625" style="2"/>
    <col min="13057" max="13057" width="38.85546875" style="2" customWidth="1"/>
    <col min="13058" max="13058" width="6.5703125" style="2" bestFit="1" customWidth="1"/>
    <col min="13059" max="13060" width="7.140625" style="2" bestFit="1" customWidth="1"/>
    <col min="13061" max="13061" width="6.5703125" style="2" bestFit="1" customWidth="1"/>
    <col min="13062" max="13063" width="7.140625" style="2" bestFit="1" customWidth="1"/>
    <col min="13064" max="13064" width="6.85546875" style="2" bestFit="1" customWidth="1"/>
    <col min="13065" max="13065" width="7" style="2" bestFit="1" customWidth="1"/>
    <col min="13066" max="13066" width="7.28515625" style="2" bestFit="1" customWidth="1"/>
    <col min="13067" max="13067" width="6.7109375" style="2" bestFit="1" customWidth="1"/>
    <col min="13068" max="13068" width="7.28515625" style="2" bestFit="1" customWidth="1"/>
    <col min="13069" max="13069" width="7" style="2" bestFit="1" customWidth="1"/>
    <col min="13070" max="13070" width="8.5703125" style="2" bestFit="1" customWidth="1"/>
    <col min="13071" max="13312" width="9.140625" style="2"/>
    <col min="13313" max="13313" width="38.85546875" style="2" customWidth="1"/>
    <col min="13314" max="13314" width="6.5703125" style="2" bestFit="1" customWidth="1"/>
    <col min="13315" max="13316" width="7.140625" style="2" bestFit="1" customWidth="1"/>
    <col min="13317" max="13317" width="6.5703125" style="2" bestFit="1" customWidth="1"/>
    <col min="13318" max="13319" width="7.140625" style="2" bestFit="1" customWidth="1"/>
    <col min="13320" max="13320" width="6.85546875" style="2" bestFit="1" customWidth="1"/>
    <col min="13321" max="13321" width="7" style="2" bestFit="1" customWidth="1"/>
    <col min="13322" max="13322" width="7.28515625" style="2" bestFit="1" customWidth="1"/>
    <col min="13323" max="13323" width="6.7109375" style="2" bestFit="1" customWidth="1"/>
    <col min="13324" max="13324" width="7.28515625" style="2" bestFit="1" customWidth="1"/>
    <col min="13325" max="13325" width="7" style="2" bestFit="1" customWidth="1"/>
    <col min="13326" max="13326" width="8.5703125" style="2" bestFit="1" customWidth="1"/>
    <col min="13327" max="13568" width="9.140625" style="2"/>
    <col min="13569" max="13569" width="38.85546875" style="2" customWidth="1"/>
    <col min="13570" max="13570" width="6.5703125" style="2" bestFit="1" customWidth="1"/>
    <col min="13571" max="13572" width="7.140625" style="2" bestFit="1" customWidth="1"/>
    <col min="13573" max="13573" width="6.5703125" style="2" bestFit="1" customWidth="1"/>
    <col min="13574" max="13575" width="7.140625" style="2" bestFit="1" customWidth="1"/>
    <col min="13576" max="13576" width="6.85546875" style="2" bestFit="1" customWidth="1"/>
    <col min="13577" max="13577" width="7" style="2" bestFit="1" customWidth="1"/>
    <col min="13578" max="13578" width="7.28515625" style="2" bestFit="1" customWidth="1"/>
    <col min="13579" max="13579" width="6.7109375" style="2" bestFit="1" customWidth="1"/>
    <col min="13580" max="13580" width="7.28515625" style="2" bestFit="1" customWidth="1"/>
    <col min="13581" max="13581" width="7" style="2" bestFit="1" customWidth="1"/>
    <col min="13582" max="13582" width="8.5703125" style="2" bestFit="1" customWidth="1"/>
    <col min="13583" max="13824" width="9.140625" style="2"/>
    <col min="13825" max="13825" width="38.85546875" style="2" customWidth="1"/>
    <col min="13826" max="13826" width="6.5703125" style="2" bestFit="1" customWidth="1"/>
    <col min="13827" max="13828" width="7.140625" style="2" bestFit="1" customWidth="1"/>
    <col min="13829" max="13829" width="6.5703125" style="2" bestFit="1" customWidth="1"/>
    <col min="13830" max="13831" width="7.140625" style="2" bestFit="1" customWidth="1"/>
    <col min="13832" max="13832" width="6.85546875" style="2" bestFit="1" customWidth="1"/>
    <col min="13833" max="13833" width="7" style="2" bestFit="1" customWidth="1"/>
    <col min="13834" max="13834" width="7.28515625" style="2" bestFit="1" customWidth="1"/>
    <col min="13835" max="13835" width="6.7109375" style="2" bestFit="1" customWidth="1"/>
    <col min="13836" max="13836" width="7.28515625" style="2" bestFit="1" customWidth="1"/>
    <col min="13837" max="13837" width="7" style="2" bestFit="1" customWidth="1"/>
    <col min="13838" max="13838" width="8.5703125" style="2" bestFit="1" customWidth="1"/>
    <col min="13839" max="14080" width="9.140625" style="2"/>
    <col min="14081" max="14081" width="38.85546875" style="2" customWidth="1"/>
    <col min="14082" max="14082" width="6.5703125" style="2" bestFit="1" customWidth="1"/>
    <col min="14083" max="14084" width="7.140625" style="2" bestFit="1" customWidth="1"/>
    <col min="14085" max="14085" width="6.5703125" style="2" bestFit="1" customWidth="1"/>
    <col min="14086" max="14087" width="7.140625" style="2" bestFit="1" customWidth="1"/>
    <col min="14088" max="14088" width="6.85546875" style="2" bestFit="1" customWidth="1"/>
    <col min="14089" max="14089" width="7" style="2" bestFit="1" customWidth="1"/>
    <col min="14090" max="14090" width="7.28515625" style="2" bestFit="1" customWidth="1"/>
    <col min="14091" max="14091" width="6.7109375" style="2" bestFit="1" customWidth="1"/>
    <col min="14092" max="14092" width="7.28515625" style="2" bestFit="1" customWidth="1"/>
    <col min="14093" max="14093" width="7" style="2" bestFit="1" customWidth="1"/>
    <col min="14094" max="14094" width="8.5703125" style="2" bestFit="1" customWidth="1"/>
    <col min="14095" max="14336" width="9.140625" style="2"/>
    <col min="14337" max="14337" width="38.85546875" style="2" customWidth="1"/>
    <col min="14338" max="14338" width="6.5703125" style="2" bestFit="1" customWidth="1"/>
    <col min="14339" max="14340" width="7.140625" style="2" bestFit="1" customWidth="1"/>
    <col min="14341" max="14341" width="6.5703125" style="2" bestFit="1" customWidth="1"/>
    <col min="14342" max="14343" width="7.140625" style="2" bestFit="1" customWidth="1"/>
    <col min="14344" max="14344" width="6.85546875" style="2" bestFit="1" customWidth="1"/>
    <col min="14345" max="14345" width="7" style="2" bestFit="1" customWidth="1"/>
    <col min="14346" max="14346" width="7.28515625" style="2" bestFit="1" customWidth="1"/>
    <col min="14347" max="14347" width="6.7109375" style="2" bestFit="1" customWidth="1"/>
    <col min="14348" max="14348" width="7.28515625" style="2" bestFit="1" customWidth="1"/>
    <col min="14349" max="14349" width="7" style="2" bestFit="1" customWidth="1"/>
    <col min="14350" max="14350" width="8.5703125" style="2" bestFit="1" customWidth="1"/>
    <col min="14351" max="14592" width="9.140625" style="2"/>
    <col min="14593" max="14593" width="38.85546875" style="2" customWidth="1"/>
    <col min="14594" max="14594" width="6.5703125" style="2" bestFit="1" customWidth="1"/>
    <col min="14595" max="14596" width="7.140625" style="2" bestFit="1" customWidth="1"/>
    <col min="14597" max="14597" width="6.5703125" style="2" bestFit="1" customWidth="1"/>
    <col min="14598" max="14599" width="7.140625" style="2" bestFit="1" customWidth="1"/>
    <col min="14600" max="14600" width="6.85546875" style="2" bestFit="1" customWidth="1"/>
    <col min="14601" max="14601" width="7" style="2" bestFit="1" customWidth="1"/>
    <col min="14602" max="14602" width="7.28515625" style="2" bestFit="1" customWidth="1"/>
    <col min="14603" max="14603" width="6.7109375" style="2" bestFit="1" customWidth="1"/>
    <col min="14604" max="14604" width="7.28515625" style="2" bestFit="1" customWidth="1"/>
    <col min="14605" max="14605" width="7" style="2" bestFit="1" customWidth="1"/>
    <col min="14606" max="14606" width="8.5703125" style="2" bestFit="1" customWidth="1"/>
    <col min="14607" max="14848" width="9.140625" style="2"/>
    <col min="14849" max="14849" width="38.85546875" style="2" customWidth="1"/>
    <col min="14850" max="14850" width="6.5703125" style="2" bestFit="1" customWidth="1"/>
    <col min="14851" max="14852" width="7.140625" style="2" bestFit="1" customWidth="1"/>
    <col min="14853" max="14853" width="6.5703125" style="2" bestFit="1" customWidth="1"/>
    <col min="14854" max="14855" width="7.140625" style="2" bestFit="1" customWidth="1"/>
    <col min="14856" max="14856" width="6.85546875" style="2" bestFit="1" customWidth="1"/>
    <col min="14857" max="14857" width="7" style="2" bestFit="1" customWidth="1"/>
    <col min="14858" max="14858" width="7.28515625" style="2" bestFit="1" customWidth="1"/>
    <col min="14859" max="14859" width="6.7109375" style="2" bestFit="1" customWidth="1"/>
    <col min="14860" max="14860" width="7.28515625" style="2" bestFit="1" customWidth="1"/>
    <col min="14861" max="14861" width="7" style="2" bestFit="1" customWidth="1"/>
    <col min="14862" max="14862" width="8.5703125" style="2" bestFit="1" customWidth="1"/>
    <col min="14863" max="15104" width="9.140625" style="2"/>
    <col min="15105" max="15105" width="38.85546875" style="2" customWidth="1"/>
    <col min="15106" max="15106" width="6.5703125" style="2" bestFit="1" customWidth="1"/>
    <col min="15107" max="15108" width="7.140625" style="2" bestFit="1" customWidth="1"/>
    <col min="15109" max="15109" width="6.5703125" style="2" bestFit="1" customWidth="1"/>
    <col min="15110" max="15111" width="7.140625" style="2" bestFit="1" customWidth="1"/>
    <col min="15112" max="15112" width="6.85546875" style="2" bestFit="1" customWidth="1"/>
    <col min="15113" max="15113" width="7" style="2" bestFit="1" customWidth="1"/>
    <col min="15114" max="15114" width="7.28515625" style="2" bestFit="1" customWidth="1"/>
    <col min="15115" max="15115" width="6.7109375" style="2" bestFit="1" customWidth="1"/>
    <col min="15116" max="15116" width="7.28515625" style="2" bestFit="1" customWidth="1"/>
    <col min="15117" max="15117" width="7" style="2" bestFit="1" customWidth="1"/>
    <col min="15118" max="15118" width="8.5703125" style="2" bestFit="1" customWidth="1"/>
    <col min="15119" max="15360" width="9.140625" style="2"/>
    <col min="15361" max="15361" width="38.85546875" style="2" customWidth="1"/>
    <col min="15362" max="15362" width="6.5703125" style="2" bestFit="1" customWidth="1"/>
    <col min="15363" max="15364" width="7.140625" style="2" bestFit="1" customWidth="1"/>
    <col min="15365" max="15365" width="6.5703125" style="2" bestFit="1" customWidth="1"/>
    <col min="15366" max="15367" width="7.140625" style="2" bestFit="1" customWidth="1"/>
    <col min="15368" max="15368" width="6.85546875" style="2" bestFit="1" customWidth="1"/>
    <col min="15369" max="15369" width="7" style="2" bestFit="1" customWidth="1"/>
    <col min="15370" max="15370" width="7.28515625" style="2" bestFit="1" customWidth="1"/>
    <col min="15371" max="15371" width="6.7109375" style="2" bestFit="1" customWidth="1"/>
    <col min="15372" max="15372" width="7.28515625" style="2" bestFit="1" customWidth="1"/>
    <col min="15373" max="15373" width="7" style="2" bestFit="1" customWidth="1"/>
    <col min="15374" max="15374" width="8.5703125" style="2" bestFit="1" customWidth="1"/>
    <col min="15375" max="15616" width="9.140625" style="2"/>
    <col min="15617" max="15617" width="38.85546875" style="2" customWidth="1"/>
    <col min="15618" max="15618" width="6.5703125" style="2" bestFit="1" customWidth="1"/>
    <col min="15619" max="15620" width="7.140625" style="2" bestFit="1" customWidth="1"/>
    <col min="15621" max="15621" width="6.5703125" style="2" bestFit="1" customWidth="1"/>
    <col min="15622" max="15623" width="7.140625" style="2" bestFit="1" customWidth="1"/>
    <col min="15624" max="15624" width="6.85546875" style="2" bestFit="1" customWidth="1"/>
    <col min="15625" max="15625" width="7" style="2" bestFit="1" customWidth="1"/>
    <col min="15626" max="15626" width="7.28515625" style="2" bestFit="1" customWidth="1"/>
    <col min="15627" max="15627" width="6.7109375" style="2" bestFit="1" customWidth="1"/>
    <col min="15628" max="15628" width="7.28515625" style="2" bestFit="1" customWidth="1"/>
    <col min="15629" max="15629" width="7" style="2" bestFit="1" customWidth="1"/>
    <col min="15630" max="15630" width="8.5703125" style="2" bestFit="1" customWidth="1"/>
    <col min="15631" max="15872" width="9.140625" style="2"/>
    <col min="15873" max="15873" width="38.85546875" style="2" customWidth="1"/>
    <col min="15874" max="15874" width="6.5703125" style="2" bestFit="1" customWidth="1"/>
    <col min="15875" max="15876" width="7.140625" style="2" bestFit="1" customWidth="1"/>
    <col min="15877" max="15877" width="6.5703125" style="2" bestFit="1" customWidth="1"/>
    <col min="15878" max="15879" width="7.140625" style="2" bestFit="1" customWidth="1"/>
    <col min="15880" max="15880" width="6.85546875" style="2" bestFit="1" customWidth="1"/>
    <col min="15881" max="15881" width="7" style="2" bestFit="1" customWidth="1"/>
    <col min="15882" max="15882" width="7.28515625" style="2" bestFit="1" customWidth="1"/>
    <col min="15883" max="15883" width="6.7109375" style="2" bestFit="1" customWidth="1"/>
    <col min="15884" max="15884" width="7.28515625" style="2" bestFit="1" customWidth="1"/>
    <col min="15885" max="15885" width="7" style="2" bestFit="1" customWidth="1"/>
    <col min="15886" max="15886" width="8.5703125" style="2" bestFit="1" customWidth="1"/>
    <col min="15887" max="16128" width="9.140625" style="2"/>
    <col min="16129" max="16129" width="38.85546875" style="2" customWidth="1"/>
    <col min="16130" max="16130" width="6.5703125" style="2" bestFit="1" customWidth="1"/>
    <col min="16131" max="16132" width="7.140625" style="2" bestFit="1" customWidth="1"/>
    <col min="16133" max="16133" width="6.5703125" style="2" bestFit="1" customWidth="1"/>
    <col min="16134" max="16135" width="7.140625" style="2" bestFit="1" customWidth="1"/>
    <col min="16136" max="16136" width="6.85546875" style="2" bestFit="1" customWidth="1"/>
    <col min="16137" max="16137" width="7" style="2" bestFit="1" customWidth="1"/>
    <col min="16138" max="16138" width="7.28515625" style="2" bestFit="1" customWidth="1"/>
    <col min="16139" max="16139" width="6.7109375" style="2" bestFit="1" customWidth="1"/>
    <col min="16140" max="16140" width="7.28515625" style="2" bestFit="1" customWidth="1"/>
    <col min="16141" max="16141" width="7" style="2" bestFit="1" customWidth="1"/>
    <col min="16142" max="16142" width="8.5703125" style="2" bestFit="1" customWidth="1"/>
    <col min="16143" max="16384" width="9.140625" style="2"/>
  </cols>
  <sheetData>
    <row r="1" spans="1:14" ht="18">
      <c r="A1" s="1" t="s">
        <v>1</v>
      </c>
    </row>
    <row r="2" spans="1:14" ht="18">
      <c r="A2" s="3" t="s">
        <v>50</v>
      </c>
      <c r="B2" s="1"/>
    </row>
    <row r="3" spans="1:14" ht="10.5" customHeight="1">
      <c r="A3" s="3"/>
      <c r="B3" s="3"/>
    </row>
    <row r="4" spans="1:14" ht="18">
      <c r="A4" s="1" t="s">
        <v>25</v>
      </c>
    </row>
    <row r="5" spans="1:14" ht="10.5" customHeight="1"/>
    <row r="6" spans="1:14" ht="26.25" thickBot="1">
      <c r="A6" s="9" t="s">
        <v>18</v>
      </c>
      <c r="B6" s="11">
        <v>39630</v>
      </c>
      <c r="C6" s="11">
        <v>39661</v>
      </c>
      <c r="D6" s="11">
        <v>39692</v>
      </c>
      <c r="E6" s="11">
        <v>39722</v>
      </c>
      <c r="F6" s="11">
        <v>39753</v>
      </c>
      <c r="G6" s="11">
        <v>39783</v>
      </c>
      <c r="H6" s="11">
        <v>39814</v>
      </c>
      <c r="I6" s="11">
        <v>39845</v>
      </c>
      <c r="J6" s="11">
        <v>39873</v>
      </c>
      <c r="K6" s="11">
        <v>39904</v>
      </c>
      <c r="L6" s="11">
        <v>39934</v>
      </c>
      <c r="M6" s="11">
        <v>39965</v>
      </c>
      <c r="N6" s="10" t="s">
        <v>0</v>
      </c>
    </row>
    <row r="7" spans="1:14">
      <c r="A7" s="12" t="s">
        <v>48</v>
      </c>
      <c r="B7" s="5">
        <v>27534</v>
      </c>
      <c r="C7" s="5">
        <v>13337</v>
      </c>
      <c r="D7" s="6" t="s">
        <v>20</v>
      </c>
      <c r="E7" s="6" t="s">
        <v>20</v>
      </c>
      <c r="F7" s="6" t="s">
        <v>20</v>
      </c>
      <c r="G7" s="6" t="s">
        <v>20</v>
      </c>
      <c r="H7" s="6">
        <v>36856</v>
      </c>
      <c r="I7" s="6">
        <v>71918</v>
      </c>
      <c r="J7" s="6">
        <v>71540</v>
      </c>
      <c r="K7" s="6">
        <v>75093</v>
      </c>
      <c r="L7" s="6">
        <v>34289</v>
      </c>
      <c r="M7" s="6">
        <v>85926</v>
      </c>
      <c r="N7" s="8">
        <f t="shared" ref="N7:N59" si="0">SUM(B7:M7)</f>
        <v>416493</v>
      </c>
    </row>
    <row r="8" spans="1:14">
      <c r="A8" s="12" t="s">
        <v>51</v>
      </c>
      <c r="B8" s="5">
        <v>50</v>
      </c>
      <c r="C8" s="5">
        <v>36</v>
      </c>
      <c r="D8" s="6" t="s">
        <v>20</v>
      </c>
      <c r="E8" s="6" t="s">
        <v>20</v>
      </c>
      <c r="F8" s="6" t="s">
        <v>20</v>
      </c>
      <c r="G8" s="6" t="s">
        <v>20</v>
      </c>
      <c r="H8" s="6">
        <v>247</v>
      </c>
      <c r="I8" s="6">
        <v>380</v>
      </c>
      <c r="J8" s="6">
        <v>358</v>
      </c>
      <c r="K8" s="6">
        <v>342</v>
      </c>
      <c r="L8" s="6">
        <v>300</v>
      </c>
      <c r="M8" s="6">
        <v>704</v>
      </c>
      <c r="N8" s="8">
        <f t="shared" si="0"/>
        <v>2417</v>
      </c>
    </row>
    <row r="9" spans="1:14">
      <c r="A9" s="4" t="s">
        <v>7</v>
      </c>
      <c r="B9" s="5">
        <v>480</v>
      </c>
      <c r="C9" s="5">
        <v>415</v>
      </c>
      <c r="D9" s="6" t="s">
        <v>20</v>
      </c>
      <c r="E9" s="6" t="s">
        <v>20</v>
      </c>
      <c r="F9" s="6" t="s">
        <v>20</v>
      </c>
      <c r="G9" s="6" t="s">
        <v>20</v>
      </c>
      <c r="H9" s="6">
        <v>327</v>
      </c>
      <c r="I9" s="6">
        <v>318</v>
      </c>
      <c r="J9" s="6">
        <v>261</v>
      </c>
      <c r="K9" s="6">
        <v>283</v>
      </c>
      <c r="L9" s="6">
        <v>244</v>
      </c>
      <c r="M9" s="6">
        <v>674</v>
      </c>
      <c r="N9" s="8">
        <f t="shared" si="0"/>
        <v>3002</v>
      </c>
    </row>
    <row r="10" spans="1:14">
      <c r="A10" s="13" t="s">
        <v>52</v>
      </c>
      <c r="B10" s="5">
        <v>116</v>
      </c>
      <c r="C10" s="5">
        <v>75</v>
      </c>
      <c r="D10" s="6" t="s">
        <v>20</v>
      </c>
      <c r="E10" s="6" t="s">
        <v>20</v>
      </c>
      <c r="F10" s="6" t="s">
        <v>20</v>
      </c>
      <c r="G10" s="6" t="s">
        <v>20</v>
      </c>
      <c r="H10" s="6">
        <v>297</v>
      </c>
      <c r="I10" s="6">
        <v>413</v>
      </c>
      <c r="J10" s="6">
        <v>402</v>
      </c>
      <c r="K10" s="6">
        <v>403</v>
      </c>
      <c r="L10" s="6">
        <v>424</v>
      </c>
      <c r="M10" s="6">
        <v>831</v>
      </c>
      <c r="N10" s="8">
        <f t="shared" si="0"/>
        <v>2961</v>
      </c>
    </row>
    <row r="11" spans="1:14">
      <c r="A11" s="4" t="s">
        <v>11</v>
      </c>
      <c r="B11" s="5">
        <v>438</v>
      </c>
      <c r="C11" s="5">
        <v>441</v>
      </c>
      <c r="D11" s="6" t="s">
        <v>20</v>
      </c>
      <c r="E11" s="6" t="s">
        <v>20</v>
      </c>
      <c r="F11" s="6" t="s">
        <v>20</v>
      </c>
      <c r="G11" s="6" t="s">
        <v>20</v>
      </c>
      <c r="H11" s="6">
        <v>209</v>
      </c>
      <c r="I11" s="6">
        <v>174</v>
      </c>
      <c r="J11" s="6">
        <v>168</v>
      </c>
      <c r="K11" s="6">
        <v>140</v>
      </c>
      <c r="L11" s="6">
        <v>150</v>
      </c>
      <c r="M11" s="6">
        <v>338</v>
      </c>
      <c r="N11" s="8">
        <f t="shared" si="0"/>
        <v>2058</v>
      </c>
    </row>
    <row r="12" spans="1:14">
      <c r="A12" s="4" t="s">
        <v>26</v>
      </c>
      <c r="B12" s="6">
        <v>289</v>
      </c>
      <c r="C12" s="6">
        <v>252</v>
      </c>
      <c r="D12" s="6" t="s">
        <v>20</v>
      </c>
      <c r="E12" s="6" t="s">
        <v>20</v>
      </c>
      <c r="F12" s="6" t="s">
        <v>20</v>
      </c>
      <c r="G12" s="6" t="s">
        <v>20</v>
      </c>
      <c r="H12" s="6">
        <v>711</v>
      </c>
      <c r="I12" s="6">
        <v>1170</v>
      </c>
      <c r="J12" s="6">
        <v>891</v>
      </c>
      <c r="K12" s="6">
        <v>748</v>
      </c>
      <c r="L12" s="6">
        <v>654</v>
      </c>
      <c r="M12" s="6">
        <v>1200</v>
      </c>
      <c r="N12" s="8">
        <f t="shared" si="0"/>
        <v>5915</v>
      </c>
    </row>
    <row r="13" spans="1:14">
      <c r="A13" s="4" t="s">
        <v>23</v>
      </c>
      <c r="B13" s="5">
        <v>855</v>
      </c>
      <c r="C13" s="5">
        <v>701</v>
      </c>
      <c r="D13" s="6" t="s">
        <v>20</v>
      </c>
      <c r="E13" s="6" t="s">
        <v>20</v>
      </c>
      <c r="F13" s="6" t="s">
        <v>20</v>
      </c>
      <c r="G13" s="6" t="s">
        <v>20</v>
      </c>
      <c r="H13" s="6">
        <v>730</v>
      </c>
      <c r="I13" s="6">
        <v>743</v>
      </c>
      <c r="J13" s="6">
        <v>781</v>
      </c>
      <c r="K13" s="6">
        <v>680</v>
      </c>
      <c r="L13" s="6">
        <v>606</v>
      </c>
      <c r="M13" s="6">
        <v>1556</v>
      </c>
      <c r="N13" s="8">
        <f t="shared" si="0"/>
        <v>6652</v>
      </c>
    </row>
    <row r="14" spans="1:14">
      <c r="A14" s="13" t="s">
        <v>53</v>
      </c>
      <c r="B14" s="5">
        <v>189</v>
      </c>
      <c r="C14" s="5">
        <v>157</v>
      </c>
      <c r="D14" s="6" t="s">
        <v>20</v>
      </c>
      <c r="E14" s="6" t="s">
        <v>20</v>
      </c>
      <c r="F14" s="6" t="s">
        <v>20</v>
      </c>
      <c r="G14" s="6" t="s">
        <v>20</v>
      </c>
      <c r="H14" s="6">
        <v>275</v>
      </c>
      <c r="I14" s="6">
        <v>302</v>
      </c>
      <c r="J14" s="6">
        <v>306</v>
      </c>
      <c r="K14" s="6">
        <v>247</v>
      </c>
      <c r="L14" s="6">
        <v>219</v>
      </c>
      <c r="M14" s="6">
        <v>488</v>
      </c>
      <c r="N14" s="8">
        <f t="shared" si="0"/>
        <v>2183</v>
      </c>
    </row>
    <row r="15" spans="1:14">
      <c r="A15" s="4" t="s">
        <v>27</v>
      </c>
      <c r="B15" s="5">
        <v>249</v>
      </c>
      <c r="C15" s="5">
        <v>200</v>
      </c>
      <c r="D15" s="6" t="s">
        <v>20</v>
      </c>
      <c r="E15" s="6" t="s">
        <v>20</v>
      </c>
      <c r="F15" s="6" t="s">
        <v>20</v>
      </c>
      <c r="G15" s="6" t="s">
        <v>20</v>
      </c>
      <c r="H15" s="6">
        <v>217</v>
      </c>
      <c r="I15" s="6">
        <v>254</v>
      </c>
      <c r="J15" s="6">
        <v>246</v>
      </c>
      <c r="K15" s="6">
        <v>214</v>
      </c>
      <c r="L15" s="6">
        <v>175</v>
      </c>
      <c r="M15" s="6">
        <v>496</v>
      </c>
      <c r="N15" s="8">
        <f t="shared" si="0"/>
        <v>2051</v>
      </c>
    </row>
    <row r="16" spans="1:14">
      <c r="A16" s="4" t="s">
        <v>28</v>
      </c>
      <c r="B16" s="5">
        <v>184</v>
      </c>
      <c r="C16" s="5">
        <v>164</v>
      </c>
      <c r="D16" s="6" t="s">
        <v>20</v>
      </c>
      <c r="E16" s="6" t="s">
        <v>20</v>
      </c>
      <c r="F16" s="6" t="s">
        <v>20</v>
      </c>
      <c r="G16" s="6" t="s">
        <v>20</v>
      </c>
      <c r="H16" s="6">
        <v>208</v>
      </c>
      <c r="I16" s="6">
        <v>268</v>
      </c>
      <c r="J16" s="6">
        <v>256</v>
      </c>
      <c r="K16" s="6">
        <v>210</v>
      </c>
      <c r="L16" s="6">
        <v>171</v>
      </c>
      <c r="M16" s="6">
        <v>400</v>
      </c>
      <c r="N16" s="8">
        <f t="shared" si="0"/>
        <v>1861</v>
      </c>
    </row>
    <row r="17" spans="1:14">
      <c r="A17" s="4" t="s">
        <v>6</v>
      </c>
      <c r="B17" s="5">
        <v>248</v>
      </c>
      <c r="C17" s="5">
        <v>181</v>
      </c>
      <c r="D17" s="6" t="s">
        <v>20</v>
      </c>
      <c r="E17" s="6" t="s">
        <v>20</v>
      </c>
      <c r="F17" s="6" t="s">
        <v>20</v>
      </c>
      <c r="G17" s="6" t="s">
        <v>20</v>
      </c>
      <c r="H17" s="6">
        <v>236</v>
      </c>
      <c r="I17" s="6">
        <v>296</v>
      </c>
      <c r="J17" s="6">
        <v>387</v>
      </c>
      <c r="K17" s="6">
        <v>235</v>
      </c>
      <c r="L17" s="6">
        <v>218</v>
      </c>
      <c r="M17" s="6">
        <v>504</v>
      </c>
      <c r="N17" s="8">
        <f t="shared" si="0"/>
        <v>2305</v>
      </c>
    </row>
    <row r="18" spans="1:14">
      <c r="A18" s="4" t="s">
        <v>14</v>
      </c>
      <c r="B18" s="5">
        <v>650</v>
      </c>
      <c r="C18" s="5">
        <v>529</v>
      </c>
      <c r="D18" s="6" t="s">
        <v>20</v>
      </c>
      <c r="E18" s="6" t="s">
        <v>20</v>
      </c>
      <c r="F18" s="6" t="s">
        <v>20</v>
      </c>
      <c r="G18" s="6" t="s">
        <v>20</v>
      </c>
      <c r="H18" s="6">
        <v>601</v>
      </c>
      <c r="I18" s="6">
        <v>897</v>
      </c>
      <c r="J18" s="6">
        <v>782</v>
      </c>
      <c r="K18" s="6">
        <v>651</v>
      </c>
      <c r="L18" s="6">
        <v>195</v>
      </c>
      <c r="M18" s="6">
        <v>1238</v>
      </c>
      <c r="N18" s="8">
        <f t="shared" si="0"/>
        <v>5543</v>
      </c>
    </row>
    <row r="19" spans="1:14">
      <c r="A19" s="13" t="s">
        <v>54</v>
      </c>
      <c r="B19" s="5">
        <v>150</v>
      </c>
      <c r="C19" s="5">
        <v>114</v>
      </c>
      <c r="D19" s="6" t="s">
        <v>20</v>
      </c>
      <c r="E19" s="6" t="s">
        <v>20</v>
      </c>
      <c r="F19" s="6" t="s">
        <v>20</v>
      </c>
      <c r="G19" s="6" t="s">
        <v>20</v>
      </c>
      <c r="H19" s="6">
        <v>180</v>
      </c>
      <c r="I19" s="6">
        <v>328</v>
      </c>
      <c r="J19" s="6">
        <v>345</v>
      </c>
      <c r="K19" s="6">
        <v>225</v>
      </c>
      <c r="L19" s="6">
        <v>198</v>
      </c>
      <c r="M19" s="6">
        <v>368</v>
      </c>
      <c r="N19" s="8">
        <f t="shared" si="0"/>
        <v>1908</v>
      </c>
    </row>
    <row r="20" spans="1:14">
      <c r="A20" s="13" t="s">
        <v>55</v>
      </c>
      <c r="B20" s="5">
        <v>163</v>
      </c>
      <c r="C20" s="5">
        <v>115</v>
      </c>
      <c r="D20" s="6" t="s">
        <v>20</v>
      </c>
      <c r="E20" s="6" t="s">
        <v>20</v>
      </c>
      <c r="F20" s="6" t="s">
        <v>20</v>
      </c>
      <c r="G20" s="6" t="s">
        <v>20</v>
      </c>
      <c r="H20" s="6">
        <v>157</v>
      </c>
      <c r="I20" s="6">
        <v>230</v>
      </c>
      <c r="J20" s="6">
        <v>203</v>
      </c>
      <c r="K20" s="6">
        <v>123</v>
      </c>
      <c r="L20" s="6">
        <v>112</v>
      </c>
      <c r="M20" s="6">
        <v>272</v>
      </c>
      <c r="N20" s="8">
        <f t="shared" si="0"/>
        <v>1375</v>
      </c>
    </row>
    <row r="21" spans="1:14">
      <c r="A21" s="13" t="s">
        <v>56</v>
      </c>
      <c r="B21" s="5">
        <v>696</v>
      </c>
      <c r="C21" s="5">
        <v>357</v>
      </c>
      <c r="D21" s="6" t="s">
        <v>20</v>
      </c>
      <c r="E21" s="6" t="s">
        <v>20</v>
      </c>
      <c r="F21" s="6" t="s">
        <v>20</v>
      </c>
      <c r="G21" s="6" t="s">
        <v>20</v>
      </c>
      <c r="H21" s="6">
        <v>253</v>
      </c>
      <c r="I21" s="6">
        <v>611</v>
      </c>
      <c r="J21" s="6">
        <v>203</v>
      </c>
      <c r="K21" s="6">
        <v>495</v>
      </c>
      <c r="L21" s="6">
        <v>209</v>
      </c>
      <c r="M21" s="6">
        <v>598</v>
      </c>
      <c r="N21" s="8">
        <f t="shared" si="0"/>
        <v>3422</v>
      </c>
    </row>
    <row r="22" spans="1:14">
      <c r="A22" s="13" t="s">
        <v>57</v>
      </c>
      <c r="B22" s="5">
        <v>163</v>
      </c>
      <c r="C22" s="5">
        <v>100</v>
      </c>
      <c r="D22" s="6" t="s">
        <v>20</v>
      </c>
      <c r="E22" s="6" t="s">
        <v>20</v>
      </c>
      <c r="F22" s="6" t="s">
        <v>20</v>
      </c>
      <c r="G22" s="6" t="s">
        <v>20</v>
      </c>
      <c r="H22" s="6">
        <v>202</v>
      </c>
      <c r="I22" s="6">
        <v>412</v>
      </c>
      <c r="J22" s="6">
        <v>690</v>
      </c>
      <c r="K22" s="6">
        <v>319</v>
      </c>
      <c r="L22" s="6">
        <v>236</v>
      </c>
      <c r="M22" s="6">
        <v>603</v>
      </c>
      <c r="N22" s="8">
        <f t="shared" si="0"/>
        <v>2725</v>
      </c>
    </row>
    <row r="23" spans="1:14">
      <c r="A23" s="4" t="s">
        <v>15</v>
      </c>
      <c r="B23" s="5">
        <v>942</v>
      </c>
      <c r="C23" s="5">
        <v>735</v>
      </c>
      <c r="D23" s="6" t="s">
        <v>20</v>
      </c>
      <c r="E23" s="6" t="s">
        <v>20</v>
      </c>
      <c r="F23" s="6" t="s">
        <v>20</v>
      </c>
      <c r="G23" s="6" t="s">
        <v>20</v>
      </c>
      <c r="H23" s="6">
        <v>968</v>
      </c>
      <c r="I23" s="6">
        <v>1029</v>
      </c>
      <c r="J23" s="6">
        <v>1232</v>
      </c>
      <c r="K23" s="6">
        <v>1024</v>
      </c>
      <c r="L23" s="6">
        <v>1297</v>
      </c>
      <c r="M23" s="6">
        <v>2258</v>
      </c>
      <c r="N23" s="8">
        <f t="shared" si="0"/>
        <v>9485</v>
      </c>
    </row>
    <row r="24" spans="1:14">
      <c r="A24" s="13" t="s">
        <v>24</v>
      </c>
      <c r="B24" s="5">
        <v>341</v>
      </c>
      <c r="C24" s="5">
        <v>304</v>
      </c>
      <c r="D24" s="6" t="s">
        <v>20</v>
      </c>
      <c r="E24" s="6" t="s">
        <v>20</v>
      </c>
      <c r="F24" s="6" t="s">
        <v>20</v>
      </c>
      <c r="G24" s="6" t="s">
        <v>20</v>
      </c>
      <c r="H24" s="6">
        <v>205</v>
      </c>
      <c r="I24" s="6">
        <v>241</v>
      </c>
      <c r="J24" s="6">
        <v>244</v>
      </c>
      <c r="K24" s="6">
        <v>203</v>
      </c>
      <c r="L24" s="6">
        <v>197</v>
      </c>
      <c r="M24" s="6">
        <v>423</v>
      </c>
      <c r="N24" s="8">
        <f t="shared" si="0"/>
        <v>2158</v>
      </c>
    </row>
    <row r="25" spans="1:14">
      <c r="A25" s="4" t="s">
        <v>10</v>
      </c>
      <c r="B25" s="5">
        <v>245</v>
      </c>
      <c r="C25" s="5">
        <v>170</v>
      </c>
      <c r="D25" s="6" t="s">
        <v>20</v>
      </c>
      <c r="E25" s="6" t="s">
        <v>20</v>
      </c>
      <c r="F25" s="6" t="s">
        <v>20</v>
      </c>
      <c r="G25" s="6" t="s">
        <v>20</v>
      </c>
      <c r="H25" s="6">
        <v>218</v>
      </c>
      <c r="I25" s="6">
        <v>286</v>
      </c>
      <c r="J25" s="6">
        <v>265</v>
      </c>
      <c r="K25" s="6">
        <v>523</v>
      </c>
      <c r="L25" s="6">
        <v>266</v>
      </c>
      <c r="M25" s="6">
        <v>670</v>
      </c>
      <c r="N25" s="8">
        <f t="shared" si="0"/>
        <v>2643</v>
      </c>
    </row>
    <row r="26" spans="1:14">
      <c r="A26" s="4" t="s">
        <v>13</v>
      </c>
      <c r="B26" s="5">
        <v>588</v>
      </c>
      <c r="C26" s="5">
        <v>473</v>
      </c>
      <c r="D26" s="6" t="s">
        <v>20</v>
      </c>
      <c r="E26" s="6" t="s">
        <v>20</v>
      </c>
      <c r="F26" s="6" t="s">
        <v>20</v>
      </c>
      <c r="G26" s="6" t="s">
        <v>20</v>
      </c>
      <c r="H26" s="6">
        <v>491</v>
      </c>
      <c r="I26" s="6">
        <v>694</v>
      </c>
      <c r="J26" s="6">
        <v>535</v>
      </c>
      <c r="K26" s="6">
        <v>418</v>
      </c>
      <c r="L26" s="6">
        <v>381</v>
      </c>
      <c r="M26" s="6">
        <v>1115</v>
      </c>
      <c r="N26" s="8">
        <f t="shared" si="0"/>
        <v>4695</v>
      </c>
    </row>
    <row r="27" spans="1:14">
      <c r="A27" s="13" t="s">
        <v>29</v>
      </c>
      <c r="B27" s="5">
        <v>352</v>
      </c>
      <c r="C27" s="5">
        <v>219</v>
      </c>
      <c r="D27" s="6" t="s">
        <v>20</v>
      </c>
      <c r="E27" s="6" t="s">
        <v>20</v>
      </c>
      <c r="F27" s="6" t="s">
        <v>20</v>
      </c>
      <c r="G27" s="6" t="s">
        <v>20</v>
      </c>
      <c r="H27" s="6">
        <v>543</v>
      </c>
      <c r="I27" s="6">
        <v>1072</v>
      </c>
      <c r="J27" s="6">
        <v>1112</v>
      </c>
      <c r="K27" s="6">
        <v>1022</v>
      </c>
      <c r="L27" s="6">
        <v>504</v>
      </c>
      <c r="M27" s="6">
        <v>754</v>
      </c>
      <c r="N27" s="8">
        <f t="shared" si="0"/>
        <v>5578</v>
      </c>
    </row>
    <row r="28" spans="1:14">
      <c r="A28" s="4" t="s">
        <v>3</v>
      </c>
      <c r="B28" s="5">
        <v>401</v>
      </c>
      <c r="C28" s="5">
        <v>334</v>
      </c>
      <c r="D28" s="6" t="s">
        <v>20</v>
      </c>
      <c r="E28" s="6" t="s">
        <v>20</v>
      </c>
      <c r="F28" s="6" t="s">
        <v>20</v>
      </c>
      <c r="G28" s="6" t="s">
        <v>20</v>
      </c>
      <c r="H28" s="6">
        <v>393</v>
      </c>
      <c r="I28" s="6">
        <v>515</v>
      </c>
      <c r="J28" s="6">
        <v>521</v>
      </c>
      <c r="K28" s="6">
        <v>435</v>
      </c>
      <c r="L28" s="6">
        <v>446</v>
      </c>
      <c r="M28" s="6">
        <v>935</v>
      </c>
      <c r="N28" s="8">
        <f t="shared" si="0"/>
        <v>3980</v>
      </c>
    </row>
    <row r="29" spans="1:14">
      <c r="A29" s="4" t="s">
        <v>5</v>
      </c>
      <c r="B29" s="5">
        <v>157</v>
      </c>
      <c r="C29" s="5">
        <v>85</v>
      </c>
      <c r="D29" s="6" t="s">
        <v>20</v>
      </c>
      <c r="E29" s="6" t="s">
        <v>20</v>
      </c>
      <c r="F29" s="6" t="s">
        <v>20</v>
      </c>
      <c r="G29" s="6" t="s">
        <v>20</v>
      </c>
      <c r="H29" s="6">
        <v>296</v>
      </c>
      <c r="I29" s="6">
        <v>505</v>
      </c>
      <c r="J29" s="6">
        <v>504</v>
      </c>
      <c r="K29" s="6">
        <v>420</v>
      </c>
      <c r="L29" s="6">
        <v>242</v>
      </c>
      <c r="M29" s="6">
        <v>616</v>
      </c>
      <c r="N29" s="8">
        <f t="shared" si="0"/>
        <v>2825</v>
      </c>
    </row>
    <row r="30" spans="1:14">
      <c r="A30" s="4" t="s">
        <v>17</v>
      </c>
      <c r="B30" s="5">
        <v>9117</v>
      </c>
      <c r="C30" s="5">
        <v>2839</v>
      </c>
      <c r="D30" s="6" t="s">
        <v>20</v>
      </c>
      <c r="E30" s="6" t="s">
        <v>20</v>
      </c>
      <c r="F30" s="6" t="s">
        <v>20</v>
      </c>
      <c r="G30" s="6" t="s">
        <v>20</v>
      </c>
      <c r="H30" s="6">
        <v>5848</v>
      </c>
      <c r="I30" s="6">
        <v>19166</v>
      </c>
      <c r="J30" s="6">
        <v>23102</v>
      </c>
      <c r="K30" s="6">
        <v>21906</v>
      </c>
      <c r="L30" s="6">
        <v>6788</v>
      </c>
      <c r="M30" s="6">
        <v>19378</v>
      </c>
      <c r="N30" s="7">
        <f t="shared" si="0"/>
        <v>108144</v>
      </c>
    </row>
    <row r="31" spans="1:14">
      <c r="A31" s="4" t="s">
        <v>30</v>
      </c>
      <c r="B31" s="5">
        <v>628</v>
      </c>
      <c r="C31" s="5">
        <v>260</v>
      </c>
      <c r="D31" s="6" t="s">
        <v>20</v>
      </c>
      <c r="E31" s="6" t="s">
        <v>20</v>
      </c>
      <c r="F31" s="6" t="s">
        <v>20</v>
      </c>
      <c r="G31" s="6" t="s">
        <v>20</v>
      </c>
      <c r="H31" s="6">
        <v>333</v>
      </c>
      <c r="I31" s="6">
        <v>932</v>
      </c>
      <c r="J31" s="6">
        <v>825</v>
      </c>
      <c r="K31" s="6">
        <v>1170</v>
      </c>
      <c r="L31" s="6">
        <v>386</v>
      </c>
      <c r="M31" s="6">
        <v>820</v>
      </c>
      <c r="N31" s="7">
        <f t="shared" si="0"/>
        <v>5354</v>
      </c>
    </row>
    <row r="32" spans="1:14">
      <c r="A32" s="4" t="s">
        <v>31</v>
      </c>
      <c r="B32" s="5">
        <v>430</v>
      </c>
      <c r="C32" s="5">
        <v>125</v>
      </c>
      <c r="D32" s="6" t="s">
        <v>20</v>
      </c>
      <c r="E32" s="6" t="s">
        <v>20</v>
      </c>
      <c r="F32" s="6" t="s">
        <v>20</v>
      </c>
      <c r="G32" s="6" t="s">
        <v>20</v>
      </c>
      <c r="H32" s="6">
        <v>473</v>
      </c>
      <c r="I32" s="6">
        <v>1188</v>
      </c>
      <c r="J32" s="6">
        <v>862</v>
      </c>
      <c r="K32" s="6">
        <v>761</v>
      </c>
      <c r="L32" s="6">
        <v>379</v>
      </c>
      <c r="M32" s="6">
        <v>981</v>
      </c>
      <c r="N32" s="7">
        <f t="shared" si="0"/>
        <v>5199</v>
      </c>
    </row>
    <row r="33" spans="1:14">
      <c r="A33" s="4" t="s">
        <v>32</v>
      </c>
      <c r="B33" s="14">
        <v>524</v>
      </c>
      <c r="C33" s="14">
        <v>256</v>
      </c>
      <c r="D33" s="6" t="s">
        <v>20</v>
      </c>
      <c r="E33" s="6" t="s">
        <v>20</v>
      </c>
      <c r="F33" s="6" t="s">
        <v>20</v>
      </c>
      <c r="G33" s="6" t="s">
        <v>20</v>
      </c>
      <c r="H33" s="6">
        <v>455</v>
      </c>
      <c r="I33" s="6">
        <v>530</v>
      </c>
      <c r="J33" s="6">
        <v>587</v>
      </c>
      <c r="K33" s="6">
        <v>580</v>
      </c>
      <c r="L33" s="6">
        <v>313</v>
      </c>
      <c r="M33" s="6">
        <v>925</v>
      </c>
      <c r="N33" s="7">
        <f t="shared" si="0"/>
        <v>4170</v>
      </c>
    </row>
    <row r="34" spans="1:14">
      <c r="A34" s="13" t="s">
        <v>40</v>
      </c>
      <c r="B34" s="14">
        <v>281</v>
      </c>
      <c r="C34" s="14">
        <v>107</v>
      </c>
      <c r="D34" s="6" t="s">
        <v>20</v>
      </c>
      <c r="E34" s="6" t="s">
        <v>20</v>
      </c>
      <c r="F34" s="6" t="s">
        <v>20</v>
      </c>
      <c r="G34" s="6" t="s">
        <v>20</v>
      </c>
      <c r="H34" s="6">
        <v>181</v>
      </c>
      <c r="I34" s="6">
        <v>554</v>
      </c>
      <c r="J34" s="6">
        <v>918</v>
      </c>
      <c r="K34" s="6">
        <v>715</v>
      </c>
      <c r="L34" s="6">
        <v>195</v>
      </c>
      <c r="M34" s="6">
        <v>707</v>
      </c>
      <c r="N34" s="7">
        <f t="shared" si="0"/>
        <v>3658</v>
      </c>
    </row>
    <row r="35" spans="1:14">
      <c r="A35" s="13" t="s">
        <v>41</v>
      </c>
      <c r="B35" s="14">
        <v>1664</v>
      </c>
      <c r="C35" s="14">
        <v>553</v>
      </c>
      <c r="D35" s="6" t="s">
        <v>20</v>
      </c>
      <c r="E35" s="6" t="s">
        <v>20</v>
      </c>
      <c r="F35" s="6" t="s">
        <v>20</v>
      </c>
      <c r="G35" s="6" t="s">
        <v>20</v>
      </c>
      <c r="H35" s="6">
        <v>1088</v>
      </c>
      <c r="I35" s="6">
        <v>4003</v>
      </c>
      <c r="J35" s="6">
        <v>3976</v>
      </c>
      <c r="K35" s="6">
        <v>3784</v>
      </c>
      <c r="L35" s="6">
        <v>1102</v>
      </c>
      <c r="M35" s="6">
        <v>2318</v>
      </c>
      <c r="N35" s="7">
        <f t="shared" si="0"/>
        <v>18488</v>
      </c>
    </row>
    <row r="36" spans="1:14">
      <c r="A36" s="13" t="s">
        <v>42</v>
      </c>
      <c r="B36" s="14">
        <v>547</v>
      </c>
      <c r="C36" s="14">
        <v>230</v>
      </c>
      <c r="D36" s="6" t="s">
        <v>20</v>
      </c>
      <c r="E36" s="6" t="s">
        <v>20</v>
      </c>
      <c r="F36" s="6" t="s">
        <v>20</v>
      </c>
      <c r="G36" s="6" t="s">
        <v>20</v>
      </c>
      <c r="H36" s="6">
        <v>577</v>
      </c>
      <c r="I36" s="6">
        <v>1839</v>
      </c>
      <c r="J36" s="4">
        <v>1614</v>
      </c>
      <c r="K36" s="6">
        <v>1597</v>
      </c>
      <c r="L36" s="6">
        <v>553</v>
      </c>
      <c r="M36" s="6">
        <v>935</v>
      </c>
      <c r="N36" s="7">
        <f t="shared" si="0"/>
        <v>7892</v>
      </c>
    </row>
    <row r="37" spans="1:14">
      <c r="A37" s="13" t="s">
        <v>43</v>
      </c>
      <c r="B37" s="14">
        <v>450</v>
      </c>
      <c r="C37" s="14">
        <v>318</v>
      </c>
      <c r="D37" s="6" t="s">
        <v>20</v>
      </c>
      <c r="E37" s="6" t="s">
        <v>20</v>
      </c>
      <c r="F37" s="6" t="s">
        <v>20</v>
      </c>
      <c r="G37" s="6" t="s">
        <v>20</v>
      </c>
      <c r="H37" s="6">
        <v>574</v>
      </c>
      <c r="I37" s="6">
        <v>1255</v>
      </c>
      <c r="J37" s="6">
        <v>1335</v>
      </c>
      <c r="K37" s="6">
        <v>1426</v>
      </c>
      <c r="L37" s="6">
        <v>514</v>
      </c>
      <c r="M37" s="6">
        <v>1096</v>
      </c>
      <c r="N37" s="7">
        <f t="shared" si="0"/>
        <v>6968</v>
      </c>
    </row>
    <row r="38" spans="1:14">
      <c r="A38" s="13" t="s">
        <v>44</v>
      </c>
      <c r="B38" s="14">
        <v>169</v>
      </c>
      <c r="C38" s="14">
        <v>119</v>
      </c>
      <c r="D38" s="6" t="s">
        <v>20</v>
      </c>
      <c r="E38" s="6" t="s">
        <v>20</v>
      </c>
      <c r="F38" s="6" t="s">
        <v>20</v>
      </c>
      <c r="G38" s="6" t="s">
        <v>20</v>
      </c>
      <c r="H38" s="6">
        <v>182</v>
      </c>
      <c r="I38" s="6">
        <v>247</v>
      </c>
      <c r="J38" s="6">
        <v>8419</v>
      </c>
      <c r="K38" s="6">
        <v>307</v>
      </c>
      <c r="L38" s="6">
        <v>236</v>
      </c>
      <c r="M38" s="6">
        <v>683</v>
      </c>
      <c r="N38" s="7">
        <f t="shared" si="0"/>
        <v>10362</v>
      </c>
    </row>
    <row r="39" spans="1:14">
      <c r="A39" s="13" t="s">
        <v>45</v>
      </c>
      <c r="B39" s="14">
        <v>3225</v>
      </c>
      <c r="C39" s="14">
        <v>536</v>
      </c>
      <c r="D39" s="6" t="s">
        <v>20</v>
      </c>
      <c r="E39" s="6" t="s">
        <v>20</v>
      </c>
      <c r="F39" s="6" t="s">
        <v>20</v>
      </c>
      <c r="G39" s="6" t="s">
        <v>20</v>
      </c>
      <c r="H39" s="6">
        <v>1165</v>
      </c>
      <c r="I39" s="6">
        <v>5535</v>
      </c>
      <c r="J39" s="6">
        <v>3276</v>
      </c>
      <c r="K39" s="6">
        <v>7428</v>
      </c>
      <c r="L39" s="6">
        <v>1863</v>
      </c>
      <c r="M39" s="6">
        <v>7680</v>
      </c>
      <c r="N39" s="7">
        <f t="shared" si="0"/>
        <v>30708</v>
      </c>
    </row>
    <row r="40" spans="1:14">
      <c r="A40" s="13" t="s">
        <v>46</v>
      </c>
      <c r="B40" s="14">
        <v>941</v>
      </c>
      <c r="C40" s="14">
        <v>347</v>
      </c>
      <c r="D40" s="6" t="s">
        <v>20</v>
      </c>
      <c r="E40" s="6" t="s">
        <v>20</v>
      </c>
      <c r="F40" s="6" t="s">
        <v>20</v>
      </c>
      <c r="G40" s="6" t="s">
        <v>20</v>
      </c>
      <c r="H40" s="6">
        <v>858</v>
      </c>
      <c r="I40" s="6">
        <v>2568</v>
      </c>
      <c r="J40" s="6">
        <v>3123</v>
      </c>
      <c r="K40" s="6">
        <v>3027</v>
      </c>
      <c r="L40" s="6">
        <v>980</v>
      </c>
      <c r="M40" s="6">
        <v>2044</v>
      </c>
      <c r="N40" s="7">
        <f t="shared" si="0"/>
        <v>13888</v>
      </c>
    </row>
    <row r="41" spans="1:14">
      <c r="A41" s="13" t="s">
        <v>47</v>
      </c>
      <c r="B41" s="14">
        <v>2138</v>
      </c>
      <c r="C41" s="14">
        <v>497</v>
      </c>
      <c r="D41" s="6" t="s">
        <v>20</v>
      </c>
      <c r="E41" s="6" t="s">
        <v>20</v>
      </c>
      <c r="F41" s="6" t="s">
        <v>20</v>
      </c>
      <c r="G41" s="6" t="s">
        <v>20</v>
      </c>
      <c r="H41" s="6">
        <v>1085</v>
      </c>
      <c r="I41" s="6">
        <v>2670</v>
      </c>
      <c r="J41" s="6">
        <v>3276</v>
      </c>
      <c r="K41" s="6">
        <v>3294</v>
      </c>
      <c r="L41" s="6">
        <v>1357</v>
      </c>
      <c r="M41" s="6">
        <v>3195</v>
      </c>
      <c r="N41" s="7">
        <f t="shared" si="0"/>
        <v>17512</v>
      </c>
    </row>
    <row r="42" spans="1:14">
      <c r="A42" s="4" t="s">
        <v>8</v>
      </c>
      <c r="B42" s="14">
        <v>455</v>
      </c>
      <c r="C42" s="14">
        <v>377</v>
      </c>
      <c r="D42" s="6" t="s">
        <v>20</v>
      </c>
      <c r="E42" s="6" t="s">
        <v>20</v>
      </c>
      <c r="F42" s="6" t="s">
        <v>20</v>
      </c>
      <c r="G42" s="6" t="s">
        <v>20</v>
      </c>
      <c r="H42" s="6">
        <v>197</v>
      </c>
      <c r="I42" s="6">
        <v>187</v>
      </c>
      <c r="J42" s="6">
        <v>166</v>
      </c>
      <c r="K42" s="6">
        <v>136</v>
      </c>
      <c r="L42" s="6">
        <v>118</v>
      </c>
      <c r="M42" s="6">
        <v>277</v>
      </c>
      <c r="N42" s="7">
        <f t="shared" si="0"/>
        <v>1913</v>
      </c>
    </row>
    <row r="43" spans="1:14">
      <c r="A43" s="4" t="s">
        <v>9</v>
      </c>
      <c r="B43" s="14">
        <v>79</v>
      </c>
      <c r="C43" s="14">
        <v>46</v>
      </c>
      <c r="D43" s="6" t="s">
        <v>20</v>
      </c>
      <c r="E43" s="6" t="s">
        <v>20</v>
      </c>
      <c r="F43" s="6" t="s">
        <v>20</v>
      </c>
      <c r="G43" s="6" t="s">
        <v>20</v>
      </c>
      <c r="H43" s="6">
        <v>228</v>
      </c>
      <c r="I43" s="6">
        <v>589</v>
      </c>
      <c r="J43" s="6">
        <v>466</v>
      </c>
      <c r="K43" s="6">
        <v>366</v>
      </c>
      <c r="L43" s="6">
        <v>170</v>
      </c>
      <c r="M43" s="6">
        <v>215</v>
      </c>
      <c r="N43" s="7">
        <f t="shared" si="0"/>
        <v>2159</v>
      </c>
    </row>
    <row r="44" spans="1:14">
      <c r="A44" s="13" t="s">
        <v>58</v>
      </c>
      <c r="B44" s="14">
        <v>81</v>
      </c>
      <c r="C44" s="14">
        <v>67</v>
      </c>
      <c r="D44" s="6" t="s">
        <v>20</v>
      </c>
      <c r="E44" s="6" t="s">
        <v>20</v>
      </c>
      <c r="F44" s="6" t="s">
        <v>20</v>
      </c>
      <c r="G44" s="6" t="s">
        <v>20</v>
      </c>
      <c r="H44" s="6">
        <v>244</v>
      </c>
      <c r="I44" s="6">
        <v>362</v>
      </c>
      <c r="J44" s="6">
        <v>314</v>
      </c>
      <c r="K44" s="6">
        <v>282</v>
      </c>
      <c r="L44" s="6">
        <v>179</v>
      </c>
      <c r="M44" s="6">
        <v>346</v>
      </c>
      <c r="N44" s="7">
        <f t="shared" si="0"/>
        <v>1875</v>
      </c>
    </row>
    <row r="45" spans="1:14">
      <c r="A45" s="4" t="s">
        <v>21</v>
      </c>
      <c r="B45" s="14">
        <v>847</v>
      </c>
      <c r="C45" s="14">
        <v>698</v>
      </c>
      <c r="D45" s="6" t="s">
        <v>20</v>
      </c>
      <c r="E45" s="6" t="s">
        <v>20</v>
      </c>
      <c r="F45" s="6" t="s">
        <v>20</v>
      </c>
      <c r="G45" s="6" t="s">
        <v>20</v>
      </c>
      <c r="H45" s="6">
        <v>560</v>
      </c>
      <c r="I45" s="6">
        <v>703</v>
      </c>
      <c r="J45" s="6">
        <v>638</v>
      </c>
      <c r="K45" s="6">
        <v>526</v>
      </c>
      <c r="L45" s="6">
        <v>495</v>
      </c>
      <c r="M45" s="6">
        <v>1148</v>
      </c>
      <c r="N45" s="7">
        <f t="shared" si="0"/>
        <v>5615</v>
      </c>
    </row>
    <row r="46" spans="1:14">
      <c r="A46" s="4" t="s">
        <v>12</v>
      </c>
      <c r="B46" s="14">
        <v>1550</v>
      </c>
      <c r="C46" s="14">
        <v>1052</v>
      </c>
      <c r="D46" s="6" t="s">
        <v>20</v>
      </c>
      <c r="E46" s="6" t="s">
        <v>20</v>
      </c>
      <c r="F46" s="6" t="s">
        <v>20</v>
      </c>
      <c r="G46" s="6" t="s">
        <v>20</v>
      </c>
      <c r="H46" s="6">
        <v>1503</v>
      </c>
      <c r="I46" s="6">
        <v>1500</v>
      </c>
      <c r="J46" s="6">
        <v>1483</v>
      </c>
      <c r="K46" s="6">
        <v>1377</v>
      </c>
      <c r="L46" s="6">
        <v>1262</v>
      </c>
      <c r="M46" s="6">
        <v>3826</v>
      </c>
      <c r="N46" s="7">
        <f t="shared" si="0"/>
        <v>13553</v>
      </c>
    </row>
    <row r="47" spans="1:14">
      <c r="A47" s="4" t="s">
        <v>34</v>
      </c>
      <c r="B47" s="14">
        <v>134</v>
      </c>
      <c r="C47" s="14">
        <v>112</v>
      </c>
      <c r="D47" s="6" t="s">
        <v>20</v>
      </c>
      <c r="E47" s="6" t="s">
        <v>20</v>
      </c>
      <c r="F47" s="6" t="s">
        <v>20</v>
      </c>
      <c r="G47" s="6" t="s">
        <v>20</v>
      </c>
      <c r="H47" s="6">
        <v>114</v>
      </c>
      <c r="I47" s="6">
        <v>150</v>
      </c>
      <c r="J47" s="6">
        <v>136</v>
      </c>
      <c r="K47" s="6">
        <v>138</v>
      </c>
      <c r="L47" s="6">
        <v>119</v>
      </c>
      <c r="M47" s="6">
        <v>283</v>
      </c>
      <c r="N47" s="7">
        <f t="shared" si="0"/>
        <v>1186</v>
      </c>
    </row>
    <row r="48" spans="1:14">
      <c r="A48" s="4" t="s">
        <v>33</v>
      </c>
      <c r="B48" s="14">
        <v>539</v>
      </c>
      <c r="C48" s="14">
        <v>342</v>
      </c>
      <c r="D48" s="6" t="s">
        <v>20</v>
      </c>
      <c r="E48" s="6" t="s">
        <v>20</v>
      </c>
      <c r="F48" s="6" t="s">
        <v>20</v>
      </c>
      <c r="G48" s="6" t="s">
        <v>20</v>
      </c>
      <c r="H48" s="6">
        <v>581</v>
      </c>
      <c r="I48" s="6">
        <v>903</v>
      </c>
      <c r="J48" s="6">
        <v>594</v>
      </c>
      <c r="K48" s="6">
        <v>851</v>
      </c>
      <c r="L48" s="6">
        <v>862</v>
      </c>
      <c r="M48" s="6">
        <v>1724</v>
      </c>
      <c r="N48" s="7">
        <f t="shared" si="0"/>
        <v>6396</v>
      </c>
    </row>
    <row r="49" spans="1:14">
      <c r="A49" s="13" t="s">
        <v>59</v>
      </c>
      <c r="B49" s="14">
        <v>84</v>
      </c>
      <c r="C49" s="14">
        <v>65</v>
      </c>
      <c r="D49" s="6" t="s">
        <v>20</v>
      </c>
      <c r="E49" s="6" t="s">
        <v>20</v>
      </c>
      <c r="F49" s="6" t="s">
        <v>20</v>
      </c>
      <c r="G49" s="6" t="s">
        <v>20</v>
      </c>
      <c r="H49" s="6">
        <v>184</v>
      </c>
      <c r="I49" s="6">
        <v>243</v>
      </c>
      <c r="J49" s="6">
        <v>262</v>
      </c>
      <c r="K49" s="6">
        <v>280</v>
      </c>
      <c r="L49" s="6">
        <v>316</v>
      </c>
      <c r="M49" s="6">
        <v>738</v>
      </c>
      <c r="N49" s="7">
        <f t="shared" si="0"/>
        <v>2172</v>
      </c>
    </row>
    <row r="50" spans="1:14">
      <c r="A50" s="13" t="s">
        <v>60</v>
      </c>
      <c r="B50" s="14">
        <v>225</v>
      </c>
      <c r="C50" s="14">
        <v>138</v>
      </c>
      <c r="D50" s="6" t="s">
        <v>20</v>
      </c>
      <c r="E50" s="6" t="s">
        <v>20</v>
      </c>
      <c r="F50" s="6" t="s">
        <v>20</v>
      </c>
      <c r="G50" s="6" t="s">
        <v>20</v>
      </c>
      <c r="H50" s="6">
        <v>212</v>
      </c>
      <c r="I50" s="6">
        <v>235</v>
      </c>
      <c r="J50" s="6">
        <v>272</v>
      </c>
      <c r="K50" s="6">
        <v>283</v>
      </c>
      <c r="L50" s="6">
        <v>264</v>
      </c>
      <c r="M50" s="6">
        <v>426</v>
      </c>
      <c r="N50" s="7">
        <f t="shared" si="0"/>
        <v>2055</v>
      </c>
    </row>
    <row r="51" spans="1:14">
      <c r="A51" s="4" t="s">
        <v>4</v>
      </c>
      <c r="B51" s="14">
        <v>303</v>
      </c>
      <c r="C51" s="14">
        <v>237</v>
      </c>
      <c r="D51" s="6" t="s">
        <v>20</v>
      </c>
      <c r="E51" s="6" t="s">
        <v>20</v>
      </c>
      <c r="F51" s="6" t="s">
        <v>20</v>
      </c>
      <c r="G51" s="6" t="s">
        <v>20</v>
      </c>
      <c r="H51" s="6">
        <v>322</v>
      </c>
      <c r="I51" s="6">
        <v>301</v>
      </c>
      <c r="J51" s="6">
        <v>245</v>
      </c>
      <c r="K51" s="6">
        <v>223</v>
      </c>
      <c r="L51" s="6">
        <v>224</v>
      </c>
      <c r="M51" s="6">
        <v>560</v>
      </c>
      <c r="N51" s="7">
        <f t="shared" si="0"/>
        <v>2415</v>
      </c>
    </row>
    <row r="52" spans="1:14">
      <c r="A52" s="4" t="s">
        <v>22</v>
      </c>
      <c r="B52" s="14">
        <v>631</v>
      </c>
      <c r="C52" s="14">
        <v>551</v>
      </c>
      <c r="D52" s="6" t="s">
        <v>20</v>
      </c>
      <c r="E52" s="6" t="s">
        <v>20</v>
      </c>
      <c r="F52" s="6" t="s">
        <v>20</v>
      </c>
      <c r="G52" s="6" t="s">
        <v>20</v>
      </c>
      <c r="H52" s="6">
        <v>524</v>
      </c>
      <c r="I52" s="6">
        <v>613</v>
      </c>
      <c r="J52" s="6">
        <v>618</v>
      </c>
      <c r="K52" s="6">
        <v>517</v>
      </c>
      <c r="L52" s="6">
        <v>528</v>
      </c>
      <c r="M52" s="6">
        <v>1483</v>
      </c>
      <c r="N52" s="7">
        <f t="shared" si="0"/>
        <v>5465</v>
      </c>
    </row>
    <row r="53" spans="1:14">
      <c r="A53" s="4" t="s">
        <v>16</v>
      </c>
      <c r="B53" s="14">
        <v>1326</v>
      </c>
      <c r="C53" s="14">
        <v>699</v>
      </c>
      <c r="D53" s="6" t="s">
        <v>20</v>
      </c>
      <c r="E53" s="6" t="s">
        <v>20</v>
      </c>
      <c r="F53" s="6" t="s">
        <v>20</v>
      </c>
      <c r="G53" s="6" t="s">
        <v>20</v>
      </c>
      <c r="H53" s="6">
        <v>1483</v>
      </c>
      <c r="I53" s="6">
        <v>3930</v>
      </c>
      <c r="J53" s="6">
        <v>4236</v>
      </c>
      <c r="K53" s="6">
        <v>3746</v>
      </c>
      <c r="L53" s="6">
        <v>1526</v>
      </c>
      <c r="M53" s="6">
        <v>3609</v>
      </c>
      <c r="N53" s="7">
        <f t="shared" si="0"/>
        <v>20555</v>
      </c>
    </row>
    <row r="54" spans="1:14">
      <c r="A54" s="13" t="s">
        <v>49</v>
      </c>
      <c r="B54" s="5">
        <v>643</v>
      </c>
      <c r="C54" s="5">
        <v>306</v>
      </c>
      <c r="D54" s="6" t="s">
        <v>20</v>
      </c>
      <c r="E54" s="6" t="s">
        <v>20</v>
      </c>
      <c r="F54" s="6" t="s">
        <v>20</v>
      </c>
      <c r="G54" s="6" t="s">
        <v>20</v>
      </c>
      <c r="H54" s="6">
        <v>446</v>
      </c>
      <c r="I54" s="6">
        <v>620</v>
      </c>
      <c r="J54" s="6">
        <v>695</v>
      </c>
      <c r="K54" s="6">
        <v>550</v>
      </c>
      <c r="L54" s="6">
        <v>468</v>
      </c>
      <c r="M54" s="6">
        <v>1219</v>
      </c>
      <c r="N54" s="7">
        <f t="shared" si="0"/>
        <v>4947</v>
      </c>
    </row>
    <row r="55" spans="1:14">
      <c r="A55" s="13" t="s">
        <v>35</v>
      </c>
      <c r="B55" s="5">
        <v>128</v>
      </c>
      <c r="C55" s="5">
        <v>77</v>
      </c>
      <c r="D55" s="6" t="s">
        <v>20</v>
      </c>
      <c r="E55" s="6" t="s">
        <v>20</v>
      </c>
      <c r="F55" s="6" t="s">
        <v>20</v>
      </c>
      <c r="G55" s="6" t="s">
        <v>20</v>
      </c>
      <c r="H55" s="6">
        <v>223</v>
      </c>
      <c r="I55" s="6">
        <v>520</v>
      </c>
      <c r="J55" s="6">
        <v>505</v>
      </c>
      <c r="K55" s="6">
        <v>399</v>
      </c>
      <c r="L55" s="6">
        <v>191</v>
      </c>
      <c r="M55" s="6">
        <v>481</v>
      </c>
      <c r="N55" s="7">
        <f t="shared" si="0"/>
        <v>2524</v>
      </c>
    </row>
    <row r="56" spans="1:14">
      <c r="A56" s="13" t="s">
        <v>36</v>
      </c>
      <c r="B56" s="5">
        <v>127</v>
      </c>
      <c r="C56" s="5">
        <v>64</v>
      </c>
      <c r="D56" s="6" t="s">
        <v>20</v>
      </c>
      <c r="E56" s="6" t="s">
        <v>20</v>
      </c>
      <c r="F56" s="6" t="s">
        <v>20</v>
      </c>
      <c r="G56" s="6" t="s">
        <v>20</v>
      </c>
      <c r="H56" s="6">
        <v>164</v>
      </c>
      <c r="I56" s="6">
        <v>365</v>
      </c>
      <c r="J56" s="6">
        <v>341</v>
      </c>
      <c r="K56" s="6">
        <v>274</v>
      </c>
      <c r="L56" s="6">
        <v>165</v>
      </c>
      <c r="M56" s="6">
        <v>247</v>
      </c>
      <c r="N56" s="7">
        <f t="shared" si="0"/>
        <v>1747</v>
      </c>
    </row>
    <row r="57" spans="1:14">
      <c r="A57" s="13" t="s">
        <v>37</v>
      </c>
      <c r="B57" s="5">
        <v>274</v>
      </c>
      <c r="C57" s="5">
        <v>66</v>
      </c>
      <c r="D57" s="6" t="s">
        <v>20</v>
      </c>
      <c r="E57" s="6" t="s">
        <v>20</v>
      </c>
      <c r="F57" s="6" t="s">
        <v>20</v>
      </c>
      <c r="G57" s="6" t="s">
        <v>20</v>
      </c>
      <c r="H57" s="6">
        <v>259</v>
      </c>
      <c r="I57" s="6">
        <v>922</v>
      </c>
      <c r="J57" s="6">
        <v>1094</v>
      </c>
      <c r="K57" s="6">
        <v>888</v>
      </c>
      <c r="L57" s="6">
        <v>310</v>
      </c>
      <c r="M57" s="6">
        <v>636</v>
      </c>
      <c r="N57" s="7">
        <f t="shared" si="0"/>
        <v>4449</v>
      </c>
    </row>
    <row r="58" spans="1:14">
      <c r="A58" s="13" t="s">
        <v>38</v>
      </c>
      <c r="B58" s="5">
        <v>95</v>
      </c>
      <c r="C58" s="5">
        <v>63</v>
      </c>
      <c r="D58" s="6" t="s">
        <v>20</v>
      </c>
      <c r="E58" s="6" t="s">
        <v>20</v>
      </c>
      <c r="F58" s="6" t="s">
        <v>20</v>
      </c>
      <c r="G58" s="6" t="s">
        <v>20</v>
      </c>
      <c r="H58" s="6">
        <v>177</v>
      </c>
      <c r="I58" s="6">
        <v>398</v>
      </c>
      <c r="J58" s="6">
        <v>407</v>
      </c>
      <c r="K58" s="6">
        <v>323</v>
      </c>
      <c r="L58" s="6">
        <v>132</v>
      </c>
      <c r="M58" s="6">
        <v>277</v>
      </c>
      <c r="N58" s="7">
        <f t="shared" si="0"/>
        <v>1872</v>
      </c>
    </row>
    <row r="59" spans="1:14">
      <c r="A59" s="13" t="s">
        <v>39</v>
      </c>
      <c r="B59" s="5">
        <v>200</v>
      </c>
      <c r="C59" s="5">
        <v>59</v>
      </c>
      <c r="D59" s="6" t="s">
        <v>20</v>
      </c>
      <c r="E59" s="6" t="s">
        <v>20</v>
      </c>
      <c r="F59" s="6" t="s">
        <v>20</v>
      </c>
      <c r="G59" s="6" t="s">
        <v>20</v>
      </c>
      <c r="H59" s="6">
        <v>194</v>
      </c>
      <c r="I59" s="6">
        <v>456</v>
      </c>
      <c r="J59" s="6">
        <v>486</v>
      </c>
      <c r="K59" s="6">
        <v>398</v>
      </c>
      <c r="L59" s="6">
        <v>170</v>
      </c>
      <c r="M59" s="6">
        <v>377</v>
      </c>
      <c r="N59" s="7">
        <f t="shared" si="0"/>
        <v>2340</v>
      </c>
    </row>
    <row r="61" spans="1:14">
      <c r="A61" s="2" t="s">
        <v>19</v>
      </c>
    </row>
    <row r="62" spans="1:14">
      <c r="A62" s="2" t="s">
        <v>2</v>
      </c>
    </row>
  </sheetData>
  <pageMargins left="0.5" right="0.5" top="0.56000000000000005" bottom="1" header="0.5" footer="0.5"/>
  <pageSetup scale="91" fitToHeight="8" orientation="landscape" r:id="rId1"/>
  <headerFooter alignWithMargins="0">
    <oddFooter>&amp;L&amp;F&amp;Cby library subdirectory&amp;R&amp;P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2008-09 subdirectory</vt:lpstr>
      <vt:lpstr>'2008-09 subdirectory'!Print_Area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 Server Statistics for [www.uri.edu/library]</dc:title>
  <dc:creator>Andree Rathemacher</dc:creator>
  <cp:lastModifiedBy> </cp:lastModifiedBy>
  <cp:lastPrinted>2010-09-21T17:46:51Z</cp:lastPrinted>
  <dcterms:created xsi:type="dcterms:W3CDTF">2005-04-18T14:06:28Z</dcterms:created>
  <dcterms:modified xsi:type="dcterms:W3CDTF">2010-09-21T17:54:00Z</dcterms:modified>
</cp:coreProperties>
</file>