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135" windowWidth="23955" windowHeight="9780"/>
  </bookViews>
  <sheets>
    <sheet name="Total Request" sheetId="1" r:id="rId1"/>
    <sheet name="CafeFavorites" sheetId="6" r:id="rId2"/>
    <sheet name="CarGill" sheetId="5" r:id="rId3"/>
    <sheet name="MichaelFoods" sheetId="4" r:id="rId4"/>
  </sheets>
  <definedNames>
    <definedName name="_xlnm.Print_Area" localSheetId="3">MichaelFoods!$A$1:$AE$46</definedName>
  </definedNames>
  <calcPr calcId="125725"/>
</workbook>
</file>

<file path=xl/calcChain.xml><?xml version="1.0" encoding="utf-8"?>
<calcChain xmlns="http://schemas.openxmlformats.org/spreadsheetml/2006/main">
  <c r="K12" i="6"/>
  <c r="O12" s="1"/>
  <c r="O11"/>
  <c r="K11"/>
  <c r="K10"/>
  <c r="O10" s="1"/>
  <c r="O9"/>
  <c r="K9"/>
  <c r="K8"/>
  <c r="O8" s="1"/>
  <c r="N14" l="1"/>
  <c r="E7" i="1" s="1"/>
  <c r="L32" i="5"/>
  <c r="P32" s="1"/>
  <c r="P31"/>
  <c r="L31"/>
  <c r="L30"/>
  <c r="P30" s="1"/>
  <c r="L29"/>
  <c r="P29" s="1"/>
  <c r="L28"/>
  <c r="P28" s="1"/>
  <c r="P27"/>
  <c r="L27"/>
  <c r="L26"/>
  <c r="P26" s="1"/>
  <c r="P25"/>
  <c r="L25"/>
  <c r="L24"/>
  <c r="P24" s="1"/>
  <c r="P23"/>
  <c r="L23"/>
  <c r="L22"/>
  <c r="P22" s="1"/>
  <c r="P21"/>
  <c r="L21"/>
  <c r="L20"/>
  <c r="P20" s="1"/>
  <c r="P19"/>
  <c r="L19"/>
  <c r="L18"/>
  <c r="P18" s="1"/>
  <c r="P17"/>
  <c r="L17"/>
  <c r="L16"/>
  <c r="P16" s="1"/>
  <c r="P15"/>
  <c r="L15"/>
  <c r="L14"/>
  <c r="P14" s="1"/>
  <c r="P13"/>
  <c r="L13"/>
  <c r="L12"/>
  <c r="P12" s="1"/>
  <c r="P11"/>
  <c r="L11"/>
  <c r="L10"/>
  <c r="P10" s="1"/>
  <c r="AD44" i="4"/>
  <c r="AC44"/>
  <c r="AB44"/>
  <c r="AA44"/>
  <c r="Z44"/>
  <c r="Y44"/>
  <c r="X44"/>
  <c r="W44"/>
  <c r="V44"/>
  <c r="U44"/>
  <c r="T44"/>
  <c r="S44"/>
  <c r="AE43"/>
  <c r="G43"/>
  <c r="C43"/>
  <c r="AE42"/>
  <c r="G42"/>
  <c r="C42"/>
  <c r="AE41"/>
  <c r="G41"/>
  <c r="C41"/>
  <c r="AE40"/>
  <c r="G40"/>
  <c r="C40"/>
  <c r="AE39"/>
  <c r="G39"/>
  <c r="C39"/>
  <c r="AE38"/>
  <c r="G38"/>
  <c r="C38"/>
  <c r="AE37"/>
  <c r="G37"/>
  <c r="C37"/>
  <c r="AE36"/>
  <c r="G36"/>
  <c r="M36" s="1"/>
  <c r="Q36" s="1"/>
  <c r="C36"/>
  <c r="AE35"/>
  <c r="G35"/>
  <c r="C35"/>
  <c r="AE34"/>
  <c r="G34"/>
  <c r="C34"/>
  <c r="AE33"/>
  <c r="G33"/>
  <c r="C33"/>
  <c r="AE32"/>
  <c r="G32"/>
  <c r="C32"/>
  <c r="AE31"/>
  <c r="G31"/>
  <c r="C31"/>
  <c r="AE30"/>
  <c r="G30"/>
  <c r="C30"/>
  <c r="AE29"/>
  <c r="G29"/>
  <c r="C29"/>
  <c r="AE28"/>
  <c r="G28"/>
  <c r="M28" s="1"/>
  <c r="Q28" s="1"/>
  <c r="C28"/>
  <c r="AE27"/>
  <c r="G27"/>
  <c r="C27"/>
  <c r="AE26"/>
  <c r="G26"/>
  <c r="C26"/>
  <c r="AE25"/>
  <c r="G25"/>
  <c r="C25"/>
  <c r="AE24"/>
  <c r="G24"/>
  <c r="C24"/>
  <c r="AE23"/>
  <c r="G23"/>
  <c r="C23"/>
  <c r="AE22"/>
  <c r="G22"/>
  <c r="M22" s="1"/>
  <c r="Q22" s="1"/>
  <c r="C22"/>
  <c r="AE21"/>
  <c r="G21"/>
  <c r="C21"/>
  <c r="AE20"/>
  <c r="G20"/>
  <c r="C20"/>
  <c r="AE19"/>
  <c r="G19"/>
  <c r="C19"/>
  <c r="AE18"/>
  <c r="G18"/>
  <c r="C18"/>
  <c r="AE17"/>
  <c r="G17"/>
  <c r="C17"/>
  <c r="AE16"/>
  <c r="G16"/>
  <c r="C16"/>
  <c r="AE15"/>
  <c r="AE44" s="1"/>
  <c r="G15"/>
  <c r="C15"/>
  <c r="M25" l="1"/>
  <c r="Q25" s="1"/>
  <c r="M34"/>
  <c r="Q34" s="1"/>
  <c r="M38"/>
  <c r="Q38" s="1"/>
  <c r="M31"/>
  <c r="Q31" s="1"/>
  <c r="M35"/>
  <c r="R35" s="1"/>
  <c r="M18"/>
  <c r="Q18" s="1"/>
  <c r="M40"/>
  <c r="Q40" s="1"/>
  <c r="M15"/>
  <c r="Q15" s="1"/>
  <c r="M19"/>
  <c r="Q19" s="1"/>
  <c r="M24"/>
  <c r="Q24" s="1"/>
  <c r="M29"/>
  <c r="R29" s="1"/>
  <c r="M41"/>
  <c r="R41" s="1"/>
  <c r="M20"/>
  <c r="Q20" s="1"/>
  <c r="M30"/>
  <c r="Q30" s="1"/>
  <c r="G7" i="1"/>
  <c r="O33" i="5"/>
  <c r="M16" i="4"/>
  <c r="Q16" s="1"/>
  <c r="M21"/>
  <c r="R21" s="1"/>
  <c r="M26"/>
  <c r="Q26" s="1"/>
  <c r="M32"/>
  <c r="Q32" s="1"/>
  <c r="M37"/>
  <c r="R37" s="1"/>
  <c r="M42"/>
  <c r="Q42" s="1"/>
  <c r="M17"/>
  <c r="Q17" s="1"/>
  <c r="M23"/>
  <c r="R23" s="1"/>
  <c r="M27"/>
  <c r="Q27" s="1"/>
  <c r="M33"/>
  <c r="Q33" s="1"/>
  <c r="M39"/>
  <c r="R39" s="1"/>
  <c r="M43"/>
  <c r="Q43" s="1"/>
  <c r="R25"/>
  <c r="R19"/>
  <c r="R27"/>
  <c r="R43"/>
  <c r="R16"/>
  <c r="R18"/>
  <c r="R22"/>
  <c r="R28"/>
  <c r="R36"/>
  <c r="R15" l="1"/>
  <c r="R20"/>
  <c r="R31"/>
  <c r="Q35"/>
  <c r="Q41"/>
  <c r="R34"/>
  <c r="R38"/>
  <c r="R24"/>
  <c r="R26"/>
  <c r="Q29"/>
  <c r="R17"/>
  <c r="R40"/>
  <c r="R32"/>
  <c r="Q37"/>
  <c r="R33"/>
  <c r="Q21"/>
  <c r="Q39"/>
  <c r="R30"/>
  <c r="R42"/>
  <c r="O35" i="5"/>
  <c r="E8" i="1" s="1"/>
  <c r="P35" i="5"/>
  <c r="M44" i="4"/>
  <c r="R44" s="1"/>
  <c r="Q23"/>
  <c r="Q44" l="1"/>
  <c r="E9" i="1" s="1"/>
  <c r="G9" s="1"/>
  <c r="G8"/>
  <c r="Q46" i="4"/>
  <c r="O7"/>
  <c r="O9" s="1"/>
  <c r="E11" i="1" l="1"/>
</calcChain>
</file>

<file path=xl/sharedStrings.xml><?xml version="1.0" encoding="utf-8"?>
<sst xmlns="http://schemas.openxmlformats.org/spreadsheetml/2006/main" count="412" uniqueCount="198">
  <si>
    <t>Processor</t>
  </si>
  <si>
    <t>Broker</t>
  </si>
  <si>
    <t>USDA Value</t>
  </si>
  <si>
    <t>Total Value</t>
  </si>
  <si>
    <t>Material</t>
  </si>
  <si>
    <t>Café Favorites</t>
  </si>
  <si>
    <t>Hockenberg Newburgh</t>
  </si>
  <si>
    <t xml:space="preserve">Advantage Waypoint </t>
  </si>
  <si>
    <t>Contact</t>
  </si>
  <si>
    <t>Kelly O'Brien</t>
  </si>
  <si>
    <t>Gary Bornmueller</t>
  </si>
  <si>
    <t>Pounds Requested</t>
  </si>
  <si>
    <t>Donated Food Value Calculator</t>
  </si>
  <si>
    <t>2013 - 2014</t>
  </si>
  <si>
    <t>100047 / A566 - Eggs</t>
  </si>
  <si>
    <t>School District</t>
  </si>
  <si>
    <t>Total Pounds Available for Processing*</t>
  </si>
  <si>
    <t>=</t>
  </si>
  <si>
    <t>*GO TO K12foodservice.com</t>
  </si>
  <si>
    <t>Address</t>
  </si>
  <si>
    <t>Phone</t>
  </si>
  <si>
    <t>Pounds Utilized from Order schedule below</t>
  </si>
  <si>
    <t>Commodity Order Schedule</t>
  </si>
  <si>
    <t>City/ State/Zip</t>
  </si>
  <si>
    <t>Fax</t>
  </si>
  <si>
    <t>Balance Available for Processing</t>
  </si>
  <si>
    <t>ADP (Average Daily Participation) @ Breakfast</t>
  </si>
  <si>
    <t>ADP (Average Daily Participation) @ Lunch</t>
  </si>
  <si>
    <t>*------------------------------COLUMN R MUST MATCH COLUMN AE----------------------------------*</t>
  </si>
  <si>
    <t>Item Code</t>
  </si>
  <si>
    <t>Product Description</t>
  </si>
  <si>
    <t>ADP/ Breakfast</t>
  </si>
  <si>
    <t>Breakfast Menus/Year</t>
  </si>
  <si>
    <t>ADP/ Lunch</t>
  </si>
  <si>
    <t>Lunch Menus/Year</t>
  </si>
  <si>
    <t>Servings per case</t>
  </si>
  <si>
    <t>Finished cases needed</t>
  </si>
  <si>
    <t>X</t>
  </si>
  <si>
    <t>Donate Food lbs per Case</t>
  </si>
  <si>
    <t>Lbs of DF Needed</t>
  </si>
  <si>
    <t>Total Cases to be Ordered</t>
  </si>
  <si>
    <t>Jul 11</t>
  </si>
  <si>
    <t>Aug 11</t>
  </si>
  <si>
    <t>Sept 11</t>
  </si>
  <si>
    <t>Oct 11</t>
  </si>
  <si>
    <t>Nov 11</t>
  </si>
  <si>
    <t>Dec 11</t>
  </si>
  <si>
    <t>Jan 12</t>
  </si>
  <si>
    <t>Feb 12</t>
  </si>
  <si>
    <t>Mar 12</t>
  </si>
  <si>
    <t>Apr 12</t>
  </si>
  <si>
    <t>May 12</t>
  </si>
  <si>
    <t>Jun 12</t>
  </si>
  <si>
    <t>Total</t>
  </si>
  <si>
    <t>Cheddar Omelet, 2 oz., IW</t>
  </si>
  <si>
    <t>Colby Omelet, 2.1 oz., IW</t>
  </si>
  <si>
    <t>Round Patty, 1 oz.</t>
  </si>
  <si>
    <t>Scrambled Eggs. Boil N' Bag, 6/5#</t>
  </si>
  <si>
    <t>Square Patty, 1 oz.</t>
  </si>
  <si>
    <t>Hard Cooked Natural Diced, 4/5#</t>
  </si>
  <si>
    <t>Whole Egg, 6/5#</t>
  </si>
  <si>
    <t>Round Patty, 1.25 oz.</t>
  </si>
  <si>
    <t>Hard Cooked Peeled Eggs, 12/12 ct.</t>
  </si>
  <si>
    <t>Precooked Scrambled Egg, 4/5#</t>
  </si>
  <si>
    <t>Cheddar Omelet, 2 oz.</t>
  </si>
  <si>
    <t>Colby Omelet, 2.1 oz.</t>
  </si>
  <si>
    <t>Cinnamon Swirl French Toast, 2.5 oz.</t>
  </si>
  <si>
    <t>Plain French Toast, 2.5 oz.</t>
  </si>
  <si>
    <t>French Toast Sticks, 2.6 oz.</t>
  </si>
  <si>
    <t>Cinnamon Glazed French Toast, 3.25 oz.</t>
  </si>
  <si>
    <t>Cinn Glazed French Toast Sticks, 2.9 oz.</t>
  </si>
  <si>
    <t>Cinnamon Glazed French Toast, 3.25 oz., IW</t>
  </si>
  <si>
    <t>Whole Grain French Toast Sticks, 2.6 oz.</t>
  </si>
  <si>
    <t>Cinn Glazed Whole Grain French Toast,3.25oz.,  IW</t>
  </si>
  <si>
    <t>Cinn Glazed Whole Grain French Toast, 3.25 oz.</t>
  </si>
  <si>
    <t>Maple Glazed Whole Grain French Toast Sticks, 2.9 oz.</t>
  </si>
  <si>
    <t>Strawberry/Banana Glazed French Toast Sticks, 2.9 oz.</t>
  </si>
  <si>
    <t>Tropical Blast Glazed French Toast Sticks, 2.9 oz.</t>
  </si>
  <si>
    <t>Cinn Glazed French Toast Sticks, IW, 2.9 oz.</t>
  </si>
  <si>
    <t>Hard Cooked Eggs, Express Pak, 16/2 pk</t>
  </si>
  <si>
    <t>Quesadilla, Egg, Turkey Sausage &amp; Cheese, 3.25 oz.</t>
  </si>
  <si>
    <t>Cheddar Omelet, 3.5 oz.</t>
  </si>
  <si>
    <t>TOTALS</t>
  </si>
  <si>
    <t>Value of Egg</t>
  </si>
  <si>
    <t xml:space="preserve">2013/2014 Processing Worksheet </t>
  </si>
  <si>
    <t>A</t>
  </si>
  <si>
    <t>B</t>
  </si>
  <si>
    <t>C</t>
  </si>
  <si>
    <t>D</t>
  </si>
  <si>
    <t>E</t>
  </si>
  <si>
    <t>Product Code</t>
  </si>
  <si>
    <t>Cargill Code</t>
  </si>
  <si>
    <t>Commodity Code</t>
  </si>
  <si>
    <t>CN serving size (oz)</t>
  </si>
  <si>
    <t>Finished      Case Weight</t>
  </si>
  <si>
    <t>Meets Meals Pattern Requirement of</t>
  </si>
  <si>
    <t>Estimated No. of Servings Needed</t>
  </si>
  <si>
    <t>\</t>
  </si>
  <si>
    <t>Servings Per Case</t>
  </si>
  <si>
    <t>Total Finished Cases Needed</t>
  </si>
  <si>
    <t>Amount of Commodity DF per case (in pounds)</t>
  </si>
  <si>
    <t>No of Commodity Pounds need to order</t>
  </si>
  <si>
    <t>Whole Egg w/ Citric Acid 6/5# carton</t>
  </si>
  <si>
    <t>1 oz</t>
  </si>
  <si>
    <t>1 Meat</t>
  </si>
  <si>
    <t>Whole Egg w/ Citric Acid 6/5# bag</t>
  </si>
  <si>
    <t>Diced Egg Product</t>
  </si>
  <si>
    <t>Fully Cut Cinnamon Glazed French Toast</t>
  </si>
  <si>
    <t>2.9 oz</t>
  </si>
  <si>
    <t xml:space="preserve"> 1 Meat, 1.5 Grain</t>
  </si>
  <si>
    <t>Whole Grain Cinnamon Glazed Toast</t>
  </si>
  <si>
    <t>IW Whole Grain Cinnamon Glazed Toast</t>
  </si>
  <si>
    <t>Whole Grain French Toast Sticks</t>
  </si>
  <si>
    <t>2.65 oz</t>
  </si>
  <si>
    <t>Whole Grain Strawberry Banana Glzd Tst</t>
  </si>
  <si>
    <t>Schoolhouse Scrambled Egg Mix</t>
  </si>
  <si>
    <t>Cheddar Cheese Frittata Omelet</t>
  </si>
  <si>
    <t>2.1 oz</t>
  </si>
  <si>
    <t xml:space="preserve">2 Meat  </t>
  </si>
  <si>
    <t>Colby Cheese Skillet Omelet</t>
  </si>
  <si>
    <t>IW Colby Cheese Skiller Omelet</t>
  </si>
  <si>
    <t>Skillet Frittata™ w/ Turkey Sausage</t>
  </si>
  <si>
    <t>2.2 oz</t>
  </si>
  <si>
    <t>IW Skillet Frittata™ w/ Turkey Sausage</t>
  </si>
  <si>
    <t>IW Whole Grain White Tac-Go™ w/ Egg, Cheese &amp; Ham</t>
  </si>
  <si>
    <t>3.35 oz</t>
  </si>
  <si>
    <t>2 Meat,  1 Grain</t>
  </si>
  <si>
    <t>IW Whole Grain White Tac-Go™ Turkey Ssg. &amp; Cheese</t>
  </si>
  <si>
    <t>3.2 oz</t>
  </si>
  <si>
    <t xml:space="preserve">IW Whole Grain White Breakfast Wrap </t>
  </si>
  <si>
    <t>3.1 oz</t>
  </si>
  <si>
    <t>Scrambled Egg Pattie</t>
  </si>
  <si>
    <t>1.5 oz</t>
  </si>
  <si>
    <t>1.5 Meat</t>
  </si>
  <si>
    <t>Grilled Egg Pattie</t>
  </si>
  <si>
    <t>1.25 oz</t>
  </si>
  <si>
    <t>Pre-cooked Scrambled Egg</t>
  </si>
  <si>
    <t>1.0 oz</t>
  </si>
  <si>
    <t>Bacon &amp; Cheese Eggstravaganza™</t>
  </si>
  <si>
    <t>2 oz</t>
  </si>
  <si>
    <t>1.75 Meat</t>
  </si>
  <si>
    <t>GriddleBakes</t>
  </si>
  <si>
    <t>2.6 oz</t>
  </si>
  <si>
    <t>2 Grains</t>
  </si>
  <si>
    <t>Pillow-Pak Hard Cooked Eggs (refrig.)</t>
  </si>
  <si>
    <t>1 egg</t>
  </si>
  <si>
    <t>1 egg = 1.75 M/MA</t>
  </si>
  <si>
    <t>TOTAL Commodity Pounds Needed for SY 13/14</t>
  </si>
  <si>
    <t xml:space="preserve"> IF YOU HAVE ANY QUESTION PLEASE CALL:</t>
  </si>
  <si>
    <t>Minus Carryover from Previous School Year</t>
  </si>
  <si>
    <t>Total New Allocation Needed</t>
  </si>
  <si>
    <t>Company Rep</t>
  </si>
  <si>
    <t>Becky Turner- Cargill Kitchen Solutions</t>
  </si>
  <si>
    <t>becky_turner@cargill.com</t>
  </si>
  <si>
    <t>Customer's Name</t>
  </si>
  <si>
    <t>(763) 271- 5773   (800) 872-3447</t>
  </si>
  <si>
    <t>City / State / Zip</t>
  </si>
  <si>
    <t>**Please note if you are shipping into a state warehouse you also need</t>
  </si>
  <si>
    <t>to fill out an order form to designate how many cases per delivery period</t>
  </si>
  <si>
    <t>are needed.</t>
  </si>
  <si>
    <t>Email</t>
  </si>
  <si>
    <t>Authorized Signature</t>
  </si>
  <si>
    <t xml:space="preserve">Commodity Processing Worksheet </t>
  </si>
  <si>
    <t>Bulk Egg</t>
  </si>
  <si>
    <t>A566</t>
  </si>
  <si>
    <t>Café Favorites is pleased to be a part of the National Processing Agreement (NPA). Café Favorites is able to process commodity cheese into a variety of great tasting sandwiches.                                                             These sandwiches are sure to be a hit with both students and staff members.  Please use this form to help you calculate your sandwich order.</t>
  </si>
  <si>
    <t>Finished Gross Case Weight</t>
  </si>
  <si>
    <t>Serving Size (oz)</t>
  </si>
  <si>
    <t>Bread Serving and M/MA</t>
  </si>
  <si>
    <t xml:space="preserve">Estimated Number of Servings </t>
  </si>
  <si>
    <t>Number of Commodity Pounds need to order</t>
  </si>
  <si>
    <t>BREAKFAST ITEMS</t>
  </si>
  <si>
    <t>Mini Breakfast Sandwich (IW &amp; WG)</t>
  </si>
  <si>
    <t>100047   (A566)</t>
  </si>
  <si>
    <t>1 BR.  1 M/MA</t>
  </si>
  <si>
    <t>Mighty Breakfast Sandwich (IW &amp; WG)</t>
  </si>
  <si>
    <t>2 BR. 2 M/MA</t>
  </si>
  <si>
    <t>Sunrise Twist-Sausage, Egg &amp; Cheese (IW &amp; WG)</t>
  </si>
  <si>
    <t>1 BR.  2 M/MA</t>
  </si>
  <si>
    <t>Sunrise Twist-Egg &amp; Cheese (IW &amp; WG)</t>
  </si>
  <si>
    <t>1 BR. 1.25 M/MA</t>
  </si>
  <si>
    <t>51140</t>
  </si>
  <si>
    <t>Sunrise Twist-Turkey Ham, Egg &amp; Cheese (IW &amp; WG)</t>
  </si>
  <si>
    <t>1 BR.  1.5 M/MA</t>
  </si>
  <si>
    <t>TOTAL Commodity Pounds Needed</t>
  </si>
  <si>
    <t>www.cafefavorites.com</t>
  </si>
  <si>
    <t>863.937.8829</t>
  </si>
  <si>
    <t>Visit the website for Product and Broker Contact Information</t>
  </si>
  <si>
    <t>Total lbs Requested:</t>
  </si>
  <si>
    <t>Total Value:</t>
  </si>
  <si>
    <t>A566/100047</t>
  </si>
  <si>
    <t>Wimberly Brackett</t>
  </si>
  <si>
    <t>20. Café Favorites</t>
  </si>
  <si>
    <t>21. Cargill Kitchen Solutions</t>
  </si>
  <si>
    <t>22. Michael Foods</t>
  </si>
  <si>
    <r>
      <t xml:space="preserve">Click on a processor name to access its calculator.  While calculator formats are different, each will help you estimate the number of pounds you will need by asking for your estimated number of servings, ect.   Note, each excel spreadsheet is restricted by food group.  While some processors offer multiple items on one calculator, your request will only populate on the </t>
    </r>
    <r>
      <rPr>
        <b/>
        <i/>
        <sz val="11"/>
        <color theme="1"/>
        <rFont val="Calibri"/>
        <family val="2"/>
        <scheme val="minor"/>
      </rPr>
      <t>Total Request</t>
    </r>
    <r>
      <rPr>
        <sz val="11"/>
        <color theme="1"/>
        <rFont val="Calibri"/>
        <family val="2"/>
        <scheme val="minor"/>
      </rPr>
      <t xml:space="preserve"> tab if it is within the food group listed on that spreadsheet.  You will need to pull up the beef spreadsheet to allocate beef pounds, the chicken calculator to allocate chicken pounds, ect.  </t>
    </r>
  </si>
  <si>
    <r>
      <t xml:space="preserve">The calculator will automatically calculate the number of pounds you will need for a specific item, and will input that number on the </t>
    </r>
    <r>
      <rPr>
        <b/>
        <i/>
        <sz val="11"/>
        <color theme="1"/>
        <rFont val="Calibri"/>
        <family val="2"/>
        <scheme val="minor"/>
      </rPr>
      <t>Total Request</t>
    </r>
    <r>
      <rPr>
        <sz val="11"/>
        <color theme="1"/>
        <rFont val="Calibri"/>
        <family val="2"/>
        <scheme val="minor"/>
      </rPr>
      <t xml:space="preserve"> tab.  Once finished, take the numbers in yellow and transfer them to your </t>
    </r>
    <r>
      <rPr>
        <b/>
        <i/>
        <sz val="11"/>
        <color theme="1"/>
        <rFont val="Calibri"/>
        <family val="2"/>
        <scheme val="minor"/>
      </rPr>
      <t>NOI Request Form</t>
    </r>
    <r>
      <rPr>
        <sz val="11"/>
        <color theme="1"/>
        <rFont val="Calibri"/>
        <family val="2"/>
        <scheme val="minor"/>
      </rPr>
      <t xml:space="preserve">.  Be sure you are inputting the correct number of pounds for each processor.  The processor number on this form should match the processor number on the </t>
    </r>
    <r>
      <rPr>
        <b/>
        <i/>
        <sz val="11"/>
        <color theme="1"/>
        <rFont val="Calibri"/>
        <family val="2"/>
        <scheme val="minor"/>
      </rPr>
      <t>NOI Request Form</t>
    </r>
    <r>
      <rPr>
        <sz val="11"/>
        <color theme="1"/>
        <rFont val="Calibri"/>
        <family val="2"/>
        <scheme val="minor"/>
      </rPr>
      <t xml:space="preserve">.  </t>
    </r>
  </si>
  <si>
    <t>Calculator Instructions:                                                                                                FOOD GROUP - EGG</t>
  </si>
</sst>
</file>

<file path=xl/styles.xml><?xml version="1.0" encoding="utf-8"?>
<styleSheet xmlns="http://schemas.openxmlformats.org/spreadsheetml/2006/main">
  <numFmts count="8">
    <numFmt numFmtId="44" formatCode="_(&quot;$&quot;* #,##0.00_);_(&quot;$&quot;* \(#,##0.00\);_(&quot;$&quot;* &quot;-&quot;??_);_(@_)"/>
    <numFmt numFmtId="43" formatCode="_(* #,##0.00_);_(* \(#,##0.00\);_(* &quot;-&quot;??_);_(@_)"/>
    <numFmt numFmtId="164" formatCode="&quot;$&quot;#,##0.00000"/>
    <numFmt numFmtId="165" formatCode="&quot;$&quot;#,##0.0000"/>
    <numFmt numFmtId="166" formatCode="_(* #,##0_);_(* \(#,##0\);_(* &quot;-&quot;??_);_(@_)"/>
    <numFmt numFmtId="167" formatCode="m/d/yyyy;@"/>
    <numFmt numFmtId="168" formatCode="[&lt;=9999999]###\-####;\(###\)\ ###\-####"/>
    <numFmt numFmtId="169" formatCode="0.00_)"/>
  </numFmts>
  <fonts count="47">
    <font>
      <sz val="11"/>
      <color theme="1"/>
      <name val="Calibri"/>
      <family val="2"/>
      <scheme val="minor"/>
    </font>
    <font>
      <b/>
      <sz val="11"/>
      <color theme="1"/>
      <name val="Calibri"/>
      <family val="2"/>
      <scheme val="minor"/>
    </font>
    <font>
      <sz val="10"/>
      <name val="Arial"/>
      <family val="2"/>
    </font>
    <font>
      <b/>
      <sz val="16"/>
      <name val="Calibri"/>
      <family val="2"/>
    </font>
    <font>
      <sz val="10"/>
      <name val="Calibri"/>
      <family val="2"/>
    </font>
    <font>
      <b/>
      <sz val="10"/>
      <name val="Calibri"/>
      <family val="2"/>
    </font>
    <font>
      <b/>
      <sz val="14"/>
      <name val="Calibri"/>
      <family val="2"/>
    </font>
    <font>
      <b/>
      <i/>
      <sz val="12"/>
      <name val="Calibri"/>
      <family val="2"/>
    </font>
    <font>
      <sz val="12"/>
      <name val="Calibri"/>
      <family val="2"/>
    </font>
    <font>
      <b/>
      <sz val="12"/>
      <color indexed="16"/>
      <name val="Calibri"/>
      <family val="2"/>
    </font>
    <font>
      <b/>
      <sz val="10"/>
      <color indexed="16"/>
      <name val="Calibri"/>
      <family val="2"/>
    </font>
    <font>
      <b/>
      <i/>
      <sz val="10"/>
      <name val="Calibri"/>
      <family val="2"/>
    </font>
    <font>
      <b/>
      <i/>
      <sz val="8"/>
      <color indexed="16"/>
      <name val="Calibri"/>
      <family val="2"/>
    </font>
    <font>
      <i/>
      <sz val="10"/>
      <color indexed="16"/>
      <name val="Calibri"/>
      <family val="2"/>
    </font>
    <font>
      <b/>
      <sz val="12"/>
      <name val="Calibri"/>
      <family val="2"/>
    </font>
    <font>
      <u/>
      <sz val="10"/>
      <name val="Calibri"/>
      <family val="2"/>
    </font>
    <font>
      <sz val="11"/>
      <name val="Calibri"/>
      <family val="2"/>
    </font>
    <font>
      <sz val="11"/>
      <color indexed="16"/>
      <name val="Calibri"/>
      <family val="2"/>
    </font>
    <font>
      <b/>
      <sz val="12"/>
      <color indexed="60"/>
      <name val="Calibri"/>
      <family val="2"/>
    </font>
    <font>
      <i/>
      <sz val="11"/>
      <name val="Calibri"/>
      <family val="2"/>
    </font>
    <font>
      <b/>
      <sz val="16"/>
      <color indexed="16"/>
      <name val="Calibri"/>
      <family val="2"/>
    </font>
    <font>
      <b/>
      <sz val="10"/>
      <color indexed="9"/>
      <name val="Calibri"/>
      <family val="2"/>
    </font>
    <font>
      <b/>
      <sz val="12"/>
      <color indexed="9"/>
      <name val="Calibri"/>
      <family val="2"/>
    </font>
    <font>
      <b/>
      <sz val="11"/>
      <color indexed="16"/>
      <name val="Calibri"/>
      <family val="2"/>
    </font>
    <font>
      <b/>
      <sz val="11"/>
      <color indexed="9"/>
      <name val="Calibri"/>
      <family val="2"/>
    </font>
    <font>
      <sz val="8"/>
      <name val="Calibri"/>
      <family val="2"/>
    </font>
    <font>
      <b/>
      <sz val="16"/>
      <name val="Arial"/>
      <family val="2"/>
    </font>
    <font>
      <sz val="16"/>
      <name val="Arial Black"/>
      <family val="2"/>
    </font>
    <font>
      <sz val="10"/>
      <name val="Arial Black"/>
      <family val="2"/>
    </font>
    <font>
      <b/>
      <sz val="10"/>
      <name val="Arial Black"/>
      <family val="2"/>
    </font>
    <font>
      <b/>
      <sz val="10"/>
      <name val="Arial"/>
      <family val="2"/>
    </font>
    <font>
      <b/>
      <sz val="12"/>
      <name val="Arial"/>
      <family val="2"/>
    </font>
    <font>
      <u/>
      <sz val="10"/>
      <color theme="10"/>
      <name val="Arial"/>
      <family val="2"/>
    </font>
    <font>
      <b/>
      <sz val="12"/>
      <color rgb="FFFF0000"/>
      <name val="Arial"/>
      <family val="2"/>
    </font>
    <font>
      <sz val="12"/>
      <color rgb="FFFF0000"/>
      <name val="Arial"/>
      <family val="2"/>
    </font>
    <font>
      <sz val="10"/>
      <color rgb="FFFF0000"/>
      <name val="Arial"/>
      <family val="2"/>
    </font>
    <font>
      <b/>
      <sz val="11"/>
      <name val="Arial"/>
      <family val="2"/>
    </font>
    <font>
      <sz val="11"/>
      <name val="Arial Black"/>
      <family val="2"/>
    </font>
    <font>
      <sz val="11"/>
      <name val="Arial"/>
      <family val="2"/>
    </font>
    <font>
      <b/>
      <sz val="11"/>
      <name val="Arial Black"/>
      <family val="2"/>
    </font>
    <font>
      <b/>
      <sz val="14"/>
      <name val="Arial"/>
      <family val="2"/>
    </font>
    <font>
      <sz val="8"/>
      <name val="Arial"/>
      <family val="2"/>
    </font>
    <font>
      <b/>
      <sz val="8"/>
      <name val="Arial"/>
      <family val="2"/>
    </font>
    <font>
      <sz val="16"/>
      <name val="Arial"/>
      <family val="2"/>
    </font>
    <font>
      <u/>
      <sz val="10"/>
      <color indexed="12"/>
      <name val="Arial"/>
      <family val="2"/>
    </font>
    <font>
      <u/>
      <sz val="10"/>
      <name val="Arial"/>
      <family val="2"/>
    </font>
    <font>
      <b/>
      <i/>
      <sz val="11"/>
      <color theme="1"/>
      <name val="Calibri"/>
      <family val="2"/>
      <scheme val="minor"/>
    </font>
  </fonts>
  <fills count="9">
    <fill>
      <patternFill patternType="none"/>
    </fill>
    <fill>
      <patternFill patternType="gray125"/>
    </fill>
    <fill>
      <patternFill patternType="solid">
        <fgColor theme="0" tint="-0.249977111117893"/>
        <bgColor indexed="64"/>
      </patternFill>
    </fill>
    <fill>
      <patternFill patternType="solid">
        <fgColor indexed="9"/>
        <bgColor indexed="64"/>
      </patternFill>
    </fill>
    <fill>
      <patternFill patternType="solid">
        <fgColor indexed="43"/>
        <bgColor indexed="64"/>
      </patternFill>
    </fill>
    <fill>
      <patternFill patternType="solid">
        <fgColor indexed="22"/>
        <bgColor indexed="64"/>
      </patternFill>
    </fill>
    <fill>
      <patternFill patternType="solid">
        <fgColor indexed="16"/>
        <bgColor indexed="64"/>
      </patternFill>
    </fill>
    <fill>
      <patternFill patternType="solid">
        <fgColor indexed="17"/>
        <bgColor indexed="64"/>
      </patternFill>
    </fill>
    <fill>
      <patternFill patternType="solid">
        <fgColor rgb="FFFFFF00"/>
        <bgColor indexed="64"/>
      </patternFill>
    </fill>
  </fills>
  <borders count="50">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right/>
      <top style="thin">
        <color indexed="64"/>
      </top>
      <bottom/>
      <diagonal/>
    </border>
    <border>
      <left/>
      <right/>
      <top style="thin">
        <color indexed="64"/>
      </top>
      <bottom style="double">
        <color indexed="64"/>
      </bottom>
      <diagonal/>
    </border>
    <border>
      <left/>
      <right/>
      <top style="thin">
        <color indexed="64"/>
      </top>
      <bottom style="thin">
        <color indexed="64"/>
      </bottom>
      <diagonal/>
    </border>
    <border>
      <left/>
      <right/>
      <top/>
      <bottom style="medium">
        <color indexed="64"/>
      </bottom>
      <diagonal/>
    </border>
    <border>
      <left style="double">
        <color indexed="64"/>
      </left>
      <right style="thin">
        <color indexed="64"/>
      </right>
      <top style="double">
        <color indexed="64"/>
      </top>
      <bottom style="medium">
        <color indexed="64"/>
      </bottom>
      <diagonal/>
    </border>
    <border>
      <left style="thin">
        <color indexed="64"/>
      </left>
      <right style="thin">
        <color indexed="64"/>
      </right>
      <top style="double">
        <color indexed="64"/>
      </top>
      <bottom style="medium">
        <color indexed="64"/>
      </bottom>
      <diagonal/>
    </border>
    <border>
      <left style="thin">
        <color indexed="64"/>
      </left>
      <right style="thin">
        <color indexed="64"/>
      </right>
      <top style="double">
        <color indexed="64"/>
      </top>
      <bottom/>
      <diagonal/>
    </border>
    <border>
      <left style="thin">
        <color indexed="64"/>
      </left>
      <right style="double">
        <color indexed="64"/>
      </right>
      <top style="double">
        <color indexed="64"/>
      </top>
      <bottom style="medium">
        <color indexed="64"/>
      </bottom>
      <diagonal/>
    </border>
    <border>
      <left style="double">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double">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double">
        <color indexed="64"/>
      </left>
      <right style="thin">
        <color indexed="64"/>
      </right>
      <top style="thin">
        <color indexed="64"/>
      </top>
      <bottom/>
      <diagonal/>
    </border>
    <border>
      <left style="thin">
        <color indexed="64"/>
      </left>
      <right style="thin">
        <color indexed="64"/>
      </right>
      <top style="thin">
        <color indexed="64"/>
      </top>
      <bottom/>
      <diagonal/>
    </border>
    <border>
      <left style="double">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style="double">
        <color indexed="64"/>
      </right>
      <top style="thin">
        <color indexed="64"/>
      </top>
      <bottom style="double">
        <color indexed="64"/>
      </bottom>
      <diagonal/>
    </border>
    <border>
      <left style="double">
        <color indexed="64"/>
      </left>
      <right style="thin">
        <color indexed="64"/>
      </right>
      <top/>
      <bottom style="double">
        <color indexed="64"/>
      </bottom>
      <diagonal/>
    </border>
    <border>
      <left/>
      <right/>
      <top/>
      <bottom style="double">
        <color indexed="64"/>
      </bottom>
      <diagonal/>
    </border>
    <border>
      <left/>
      <right/>
      <top style="medium">
        <color indexed="64"/>
      </top>
      <bottom style="double">
        <color indexed="64"/>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s>
  <cellStyleXfs count="6">
    <xf numFmtId="0" fontId="0" fillId="0" borderId="0"/>
    <xf numFmtId="0" fontId="2" fillId="0" borderId="0"/>
    <xf numFmtId="43" fontId="2" fillId="0" borderId="0" applyFont="0" applyFill="0" applyBorder="0" applyAlignment="0" applyProtection="0"/>
    <xf numFmtId="44" fontId="2" fillId="0" borderId="0" applyFont="0" applyFill="0" applyBorder="0" applyAlignment="0" applyProtection="0"/>
    <xf numFmtId="0" fontId="32"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cellStyleXfs>
  <cellXfs count="299">
    <xf numFmtId="0" fontId="0" fillId="0" borderId="0" xfId="0"/>
    <xf numFmtId="164" fontId="0" fillId="0" borderId="0" xfId="0" applyNumberFormat="1"/>
    <xf numFmtId="165" fontId="0" fillId="0" borderId="0" xfId="0" applyNumberFormat="1"/>
    <xf numFmtId="0" fontId="0" fillId="0" borderId="0" xfId="0" applyAlignment="1">
      <alignment horizontal="center"/>
    </xf>
    <xf numFmtId="0" fontId="1" fillId="2" borderId="3"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3" fillId="3" borderId="0" xfId="1" applyFont="1" applyFill="1" applyProtection="1"/>
    <xf numFmtId="0" fontId="4" fillId="3" borderId="0" xfId="1" applyFont="1" applyFill="1" applyProtection="1">
      <protection locked="0"/>
    </xf>
    <xf numFmtId="166" fontId="4" fillId="3" borderId="0" xfId="2" applyNumberFormat="1" applyFont="1" applyFill="1" applyProtection="1">
      <protection locked="0"/>
    </xf>
    <xf numFmtId="0" fontId="5" fillId="3" borderId="0" xfId="1" applyFont="1" applyFill="1" applyProtection="1">
      <protection locked="0"/>
    </xf>
    <xf numFmtId="0" fontId="6" fillId="3" borderId="0" xfId="1" applyFont="1" applyFill="1" applyAlignment="1" applyProtection="1">
      <alignment horizontal="center"/>
      <protection locked="0"/>
    </xf>
    <xf numFmtId="0" fontId="6" fillId="3" borderId="0" xfId="1" applyFont="1" applyFill="1" applyProtection="1"/>
    <xf numFmtId="0" fontId="4" fillId="3" borderId="0" xfId="1" applyFont="1" applyFill="1" applyProtection="1"/>
    <xf numFmtId="0" fontId="5" fillId="3" borderId="0" xfId="1" applyFont="1" applyFill="1" applyProtection="1"/>
    <xf numFmtId="0" fontId="7" fillId="3" borderId="0" xfId="1" applyFont="1" applyFill="1" applyAlignment="1" applyProtection="1">
      <alignment horizontal="left"/>
    </xf>
    <xf numFmtId="0" fontId="7" fillId="3" borderId="0" xfId="1" applyFont="1" applyFill="1" applyAlignment="1" applyProtection="1">
      <alignment horizontal="center"/>
      <protection locked="0"/>
    </xf>
    <xf numFmtId="0" fontId="8" fillId="3" borderId="0" xfId="1" applyFont="1" applyFill="1" applyProtection="1">
      <protection locked="0"/>
    </xf>
    <xf numFmtId="0" fontId="8" fillId="3" borderId="0" xfId="1" applyFont="1" applyFill="1" applyProtection="1"/>
    <xf numFmtId="0" fontId="8" fillId="3" borderId="0" xfId="1" applyFont="1" applyFill="1" applyAlignment="1" applyProtection="1">
      <alignment horizontal="center"/>
      <protection locked="0"/>
    </xf>
    <xf numFmtId="0" fontId="8" fillId="3" borderId="0" xfId="1" applyFont="1" applyFill="1" applyAlignment="1" applyProtection="1">
      <alignment horizontal="left"/>
    </xf>
    <xf numFmtId="0" fontId="8" fillId="3" borderId="0" xfId="1" applyFont="1" applyFill="1" applyAlignment="1" applyProtection="1">
      <alignment horizontal="center"/>
    </xf>
    <xf numFmtId="167" fontId="8" fillId="3" borderId="0" xfId="1" applyNumberFormat="1" applyFont="1" applyFill="1" applyBorder="1" applyAlignment="1" applyProtection="1">
      <protection locked="0"/>
    </xf>
    <xf numFmtId="167" fontId="8" fillId="3" borderId="0" xfId="1" applyNumberFormat="1" applyFont="1" applyFill="1" applyBorder="1" applyAlignment="1" applyProtection="1">
      <alignment horizontal="center"/>
      <protection locked="0"/>
    </xf>
    <xf numFmtId="167" fontId="8" fillId="3" borderId="0" xfId="1" applyNumberFormat="1" applyFont="1" applyFill="1" applyBorder="1" applyProtection="1">
      <protection locked="0"/>
    </xf>
    <xf numFmtId="0" fontId="8" fillId="3" borderId="0" xfId="1" applyFont="1" applyFill="1" applyBorder="1" applyProtection="1">
      <protection locked="0"/>
    </xf>
    <xf numFmtId="0" fontId="5" fillId="3" borderId="0" xfId="1" applyFont="1" applyFill="1" applyAlignment="1" applyProtection="1">
      <alignment horizontal="right" wrapText="1"/>
    </xf>
    <xf numFmtId="0" fontId="4" fillId="3" borderId="0" xfId="1" applyFont="1" applyFill="1" applyAlignment="1" applyProtection="1">
      <alignment horizontal="right"/>
      <protection locked="0"/>
    </xf>
    <xf numFmtId="0" fontId="5" fillId="3" borderId="0" xfId="1" applyFont="1" applyFill="1" applyAlignment="1" applyProtection="1">
      <alignment horizontal="right"/>
    </xf>
    <xf numFmtId="0" fontId="5" fillId="3" borderId="0" xfId="1" applyFont="1" applyFill="1" applyAlignment="1" applyProtection="1">
      <alignment vertical="center"/>
      <protection locked="0"/>
    </xf>
    <xf numFmtId="43" fontId="9" fillId="4" borderId="4" xfId="2" applyFont="1" applyFill="1" applyBorder="1" applyAlignment="1" applyProtection="1">
      <alignment horizontal="right"/>
      <protection locked="0"/>
    </xf>
    <xf numFmtId="167" fontId="13" fillId="3" borderId="0" xfId="1" applyNumberFormat="1" applyFont="1" applyFill="1" applyBorder="1" applyAlignment="1" applyProtection="1">
      <protection locked="0"/>
    </xf>
    <xf numFmtId="167" fontId="4" fillId="3" borderId="0" xfId="1" applyNumberFormat="1" applyFont="1" applyFill="1" applyBorder="1" applyProtection="1">
      <protection locked="0"/>
    </xf>
    <xf numFmtId="0" fontId="4" fillId="3" borderId="0" xfId="1" applyFont="1" applyFill="1" applyBorder="1" applyProtection="1">
      <protection locked="0"/>
    </xf>
    <xf numFmtId="0" fontId="5" fillId="3" borderId="0" xfId="1" applyFont="1" applyFill="1" applyBorder="1" applyAlignment="1" applyProtection="1">
      <alignment horizontal="right" wrapText="1"/>
    </xf>
    <xf numFmtId="0" fontId="4" fillId="3" borderId="0" xfId="1" applyFont="1" applyFill="1" applyBorder="1" applyAlignment="1" applyProtection="1">
      <protection locked="0"/>
    </xf>
    <xf numFmtId="0" fontId="4" fillId="3" borderId="0" xfId="1" applyFont="1" applyFill="1" applyBorder="1" applyAlignment="1" applyProtection="1">
      <alignment horizontal="right"/>
      <protection locked="0"/>
    </xf>
    <xf numFmtId="0" fontId="5" fillId="3" borderId="0" xfId="1" applyFont="1" applyFill="1" applyBorder="1" applyAlignment="1" applyProtection="1">
      <alignment horizontal="right"/>
    </xf>
    <xf numFmtId="167" fontId="4" fillId="3" borderId="0" xfId="1" applyNumberFormat="1" applyFont="1" applyFill="1" applyBorder="1" applyAlignment="1" applyProtection="1">
      <protection locked="0"/>
    </xf>
    <xf numFmtId="0" fontId="11" fillId="3" borderId="0" xfId="1" applyFont="1" applyFill="1" applyBorder="1" applyAlignment="1" applyProtection="1">
      <alignment horizontal="right" vertical="center"/>
    </xf>
    <xf numFmtId="167" fontId="11" fillId="3" borderId="0" xfId="1" applyNumberFormat="1" applyFont="1" applyFill="1" applyBorder="1" applyAlignment="1" applyProtection="1">
      <alignment horizontal="right" vertical="center" wrapText="1"/>
    </xf>
    <xf numFmtId="0" fontId="5" fillId="3" borderId="0" xfId="1" applyFont="1" applyFill="1" applyBorder="1" applyAlignment="1" applyProtection="1">
      <alignment horizontal="center" vertical="center"/>
      <protection locked="0"/>
    </xf>
    <xf numFmtId="43" fontId="14" fillId="3" borderId="0" xfId="2" applyFont="1" applyFill="1" applyBorder="1" applyAlignment="1" applyProtection="1">
      <alignment horizontal="right"/>
      <protection locked="0"/>
    </xf>
    <xf numFmtId="167" fontId="15" fillId="3" borderId="0" xfId="1" applyNumberFormat="1" applyFont="1" applyFill="1" applyBorder="1" applyAlignment="1" applyProtection="1">
      <protection locked="0"/>
    </xf>
    <xf numFmtId="0" fontId="5" fillId="3" borderId="0" xfId="1" applyFont="1" applyFill="1" applyAlignment="1" applyProtection="1">
      <alignment horizontal="center" vertical="center"/>
    </xf>
    <xf numFmtId="43" fontId="9" fillId="0" borderId="0" xfId="2" applyFont="1" applyFill="1" applyBorder="1" applyAlignment="1" applyProtection="1">
      <alignment horizontal="right"/>
    </xf>
    <xf numFmtId="0" fontId="3" fillId="3" borderId="0" xfId="1" applyFont="1" applyFill="1" applyProtection="1">
      <protection locked="0"/>
    </xf>
    <xf numFmtId="0" fontId="4" fillId="3" borderId="5" xfId="1" applyFont="1" applyFill="1" applyBorder="1" applyAlignment="1" applyProtection="1">
      <protection locked="0"/>
    </xf>
    <xf numFmtId="0" fontId="5" fillId="3" borderId="0" xfId="1" applyFont="1" applyFill="1" applyBorder="1" applyAlignment="1" applyProtection="1">
      <alignment horizontal="center" vertical="center"/>
    </xf>
    <xf numFmtId="43" fontId="14" fillId="3" borderId="0" xfId="2" applyFont="1" applyFill="1" applyBorder="1" applyAlignment="1" applyProtection="1">
      <alignment horizontal="right"/>
    </xf>
    <xf numFmtId="43" fontId="9" fillId="0" borderId="6" xfId="2" applyFont="1" applyFill="1" applyBorder="1" applyAlignment="1" applyProtection="1">
      <alignment horizontal="right"/>
    </xf>
    <xf numFmtId="0" fontId="9" fillId="3" borderId="0" xfId="1" applyFont="1" applyFill="1" applyBorder="1" applyAlignment="1" applyProtection="1">
      <alignment horizontal="left"/>
    </xf>
    <xf numFmtId="0" fontId="4" fillId="3" borderId="0" xfId="1" applyFont="1" applyFill="1" applyAlignment="1" applyProtection="1">
      <alignment horizontal="right"/>
    </xf>
    <xf numFmtId="0" fontId="10" fillId="3" borderId="0" xfId="1" applyFont="1" applyFill="1" applyBorder="1" applyAlignment="1" applyProtection="1">
      <alignment horizontal="center"/>
      <protection locked="0"/>
    </xf>
    <xf numFmtId="0" fontId="11" fillId="3" borderId="0" xfId="1" applyFont="1" applyFill="1" applyAlignment="1" applyProtection="1">
      <alignment horizontal="right" vertical="center" wrapText="1"/>
      <protection locked="0"/>
    </xf>
    <xf numFmtId="0" fontId="5" fillId="3" borderId="0" xfId="1" applyFont="1" applyFill="1" applyAlignment="1" applyProtection="1">
      <alignment horizontal="center" vertical="center"/>
      <protection locked="0"/>
    </xf>
    <xf numFmtId="43" fontId="9" fillId="3" borderId="0" xfId="2" applyFont="1" applyFill="1" applyBorder="1" applyAlignment="1" applyProtection="1">
      <alignment horizontal="right"/>
      <protection locked="0"/>
    </xf>
    <xf numFmtId="0" fontId="16" fillId="3" borderId="0" xfId="1" applyFont="1" applyFill="1" applyAlignment="1" applyProtection="1">
      <alignment horizontal="right" wrapText="1"/>
    </xf>
    <xf numFmtId="0" fontId="16" fillId="3" borderId="0" xfId="1" applyFont="1" applyFill="1" applyAlignment="1" applyProtection="1">
      <alignment horizontal="left"/>
    </xf>
    <xf numFmtId="0" fontId="17" fillId="3" borderId="0" xfId="1" applyFont="1" applyFill="1" applyBorder="1" applyAlignment="1" applyProtection="1">
      <alignment horizontal="left"/>
    </xf>
    <xf numFmtId="0" fontId="16" fillId="3" borderId="0" xfId="1" applyFont="1" applyFill="1" applyAlignment="1" applyProtection="1">
      <alignment horizontal="center"/>
    </xf>
    <xf numFmtId="0" fontId="18" fillId="4" borderId="4" xfId="1" applyFont="1" applyFill="1" applyBorder="1" applyAlignment="1" applyProtection="1">
      <alignment horizontal="right"/>
      <protection locked="0"/>
    </xf>
    <xf numFmtId="0" fontId="17" fillId="3" borderId="0" xfId="1" applyFont="1" applyFill="1" applyBorder="1" applyAlignment="1" applyProtection="1">
      <alignment horizontal="center"/>
      <protection locked="0"/>
    </xf>
    <xf numFmtId="0" fontId="16" fillId="3" borderId="0" xfId="1" applyFont="1" applyFill="1" applyProtection="1">
      <protection locked="0"/>
    </xf>
    <xf numFmtId="0" fontId="19" fillId="3" borderId="0" xfId="1" applyFont="1" applyFill="1" applyAlignment="1" applyProtection="1">
      <alignment horizontal="right" vertical="center" wrapText="1"/>
      <protection locked="0"/>
    </xf>
    <xf numFmtId="167" fontId="16" fillId="3" borderId="0" xfId="1" applyNumberFormat="1" applyFont="1" applyFill="1" applyBorder="1" applyAlignment="1" applyProtection="1">
      <protection locked="0"/>
    </xf>
    <xf numFmtId="167" fontId="16" fillId="3" borderId="0" xfId="1" applyNumberFormat="1" applyFont="1" applyFill="1" applyBorder="1" applyProtection="1">
      <protection locked="0"/>
    </xf>
    <xf numFmtId="0" fontId="16" fillId="3" borderId="0" xfId="1" applyFont="1" applyFill="1" applyBorder="1" applyProtection="1">
      <protection locked="0"/>
    </xf>
    <xf numFmtId="0" fontId="16" fillId="3" borderId="0" xfId="1" applyFont="1" applyFill="1" applyProtection="1"/>
    <xf numFmtId="0" fontId="16" fillId="3" borderId="0" xfId="1" applyFont="1" applyFill="1" applyAlignment="1" applyProtection="1"/>
    <xf numFmtId="0" fontId="18" fillId="4" borderId="7" xfId="1" applyFont="1" applyFill="1" applyBorder="1" applyAlignment="1" applyProtection="1">
      <protection locked="0"/>
    </xf>
    <xf numFmtId="0" fontId="16" fillId="3" borderId="0" xfId="1" applyFont="1" applyFill="1" applyAlignment="1" applyProtection="1">
      <protection locked="0"/>
    </xf>
    <xf numFmtId="43" fontId="16" fillId="3" borderId="0" xfId="2" applyFont="1" applyFill="1" applyAlignment="1" applyProtection="1">
      <protection locked="0"/>
    </xf>
    <xf numFmtId="0" fontId="16" fillId="3" borderId="0" xfId="1" applyFont="1" applyFill="1" applyAlignment="1" applyProtection="1">
      <alignment horizontal="left"/>
      <protection locked="0"/>
    </xf>
    <xf numFmtId="166" fontId="4" fillId="3" borderId="0" xfId="2" applyNumberFormat="1" applyFont="1" applyFill="1" applyProtection="1"/>
    <xf numFmtId="0" fontId="21" fillId="6" borderId="9" xfId="1" applyFont="1" applyFill="1" applyBorder="1" applyAlignment="1" applyProtection="1">
      <alignment horizontal="center" vertical="center" wrapText="1"/>
    </xf>
    <xf numFmtId="0" fontId="21" fillId="6" borderId="10" xfId="1" applyFont="1" applyFill="1" applyBorder="1" applyAlignment="1" applyProtection="1">
      <alignment horizontal="center" vertical="center" wrapText="1"/>
    </xf>
    <xf numFmtId="166" fontId="21" fillId="6" borderId="10" xfId="2" applyNumberFormat="1" applyFont="1" applyFill="1" applyBorder="1" applyAlignment="1" applyProtection="1">
      <alignment horizontal="center" vertical="center" wrapText="1"/>
    </xf>
    <xf numFmtId="0" fontId="22" fillId="6" borderId="10" xfId="1" applyFont="1" applyFill="1" applyBorder="1" applyAlignment="1" applyProtection="1">
      <alignment horizontal="center" vertical="center" wrapText="1"/>
    </xf>
    <xf numFmtId="0" fontId="21" fillId="6" borderId="11" xfId="1" applyFont="1" applyFill="1" applyBorder="1" applyAlignment="1" applyProtection="1">
      <alignment horizontal="center" vertical="center" wrapText="1"/>
    </xf>
    <xf numFmtId="0" fontId="22" fillId="6" borderId="11" xfId="1" applyFont="1" applyFill="1" applyBorder="1" applyAlignment="1" applyProtection="1">
      <alignment horizontal="center" vertical="center" wrapText="1"/>
    </xf>
    <xf numFmtId="0" fontId="21" fillId="6" borderId="12" xfId="1" applyFont="1" applyFill="1" applyBorder="1" applyAlignment="1" applyProtection="1">
      <alignment horizontal="center" vertical="center" wrapText="1"/>
    </xf>
    <xf numFmtId="0" fontId="21" fillId="6" borderId="13" xfId="1" applyFont="1" applyFill="1" applyBorder="1" applyAlignment="1" applyProtection="1">
      <alignment horizontal="center" wrapText="1"/>
    </xf>
    <xf numFmtId="49" fontId="21" fillId="6" borderId="14" xfId="1" applyNumberFormat="1" applyFont="1" applyFill="1" applyBorder="1" applyAlignment="1" applyProtection="1">
      <alignment horizontal="center" wrapText="1"/>
    </xf>
    <xf numFmtId="49" fontId="21" fillId="6" borderId="15" xfId="1" applyNumberFormat="1" applyFont="1" applyFill="1" applyBorder="1" applyAlignment="1" applyProtection="1">
      <alignment horizontal="center" wrapText="1"/>
    </xf>
    <xf numFmtId="49" fontId="21" fillId="6" borderId="16" xfId="1" applyNumberFormat="1" applyFont="1" applyFill="1" applyBorder="1" applyAlignment="1" applyProtection="1">
      <alignment horizontal="center" wrapText="1"/>
    </xf>
    <xf numFmtId="49" fontId="21" fillId="6" borderId="1" xfId="1" applyNumberFormat="1" applyFont="1" applyFill="1" applyBorder="1" applyAlignment="1" applyProtection="1">
      <alignment horizontal="center" wrapText="1"/>
    </xf>
    <xf numFmtId="0" fontId="5" fillId="0" borderId="0" xfId="1" applyFont="1" applyFill="1" applyAlignment="1" applyProtection="1">
      <alignment horizontal="center" vertical="center"/>
      <protection locked="0"/>
    </xf>
    <xf numFmtId="0" fontId="4" fillId="0" borderId="17" xfId="1" applyFont="1" applyBorder="1" applyAlignment="1" applyProtection="1">
      <alignment horizontal="center" vertical="center" wrapText="1"/>
    </xf>
    <xf numFmtId="0" fontId="4" fillId="0" borderId="18" xfId="1" applyFont="1" applyBorder="1" applyAlignment="1" applyProtection="1">
      <alignment horizontal="left" vertical="center" wrapText="1"/>
    </xf>
    <xf numFmtId="166" fontId="4" fillId="0" borderId="18" xfId="2" applyNumberFormat="1" applyFont="1" applyFill="1" applyBorder="1" applyAlignment="1" applyProtection="1">
      <alignment horizontal="center" vertical="center" wrapText="1"/>
    </xf>
    <xf numFmtId="0" fontId="5" fillId="0" borderId="18" xfId="1" applyFont="1" applyFill="1" applyBorder="1" applyAlignment="1" applyProtection="1">
      <alignment horizontal="center" wrapText="1"/>
    </xf>
    <xf numFmtId="0" fontId="4" fillId="4" borderId="18" xfId="1" applyFont="1" applyFill="1" applyBorder="1" applyAlignment="1" applyProtection="1">
      <alignment horizontal="center" vertical="center" wrapText="1"/>
      <protection locked="0"/>
    </xf>
    <xf numFmtId="0" fontId="5" fillId="6" borderId="19" xfId="1" applyFont="1" applyFill="1" applyBorder="1" applyAlignment="1" applyProtection="1">
      <alignment horizontal="center" wrapText="1"/>
      <protection locked="0"/>
    </xf>
    <xf numFmtId="1" fontId="4" fillId="4" borderId="18" xfId="1" applyNumberFormat="1" applyFont="1" applyFill="1" applyBorder="1" applyAlignment="1" applyProtection="1">
      <alignment horizontal="center" vertical="center" wrapText="1"/>
      <protection locked="0"/>
    </xf>
    <xf numFmtId="0" fontId="14" fillId="6" borderId="19" xfId="1" applyFont="1" applyFill="1" applyBorder="1" applyAlignment="1" applyProtection="1">
      <alignment horizontal="center" wrapText="1"/>
      <protection locked="0"/>
    </xf>
    <xf numFmtId="0" fontId="4" fillId="0" borderId="18" xfId="1" applyFont="1" applyBorder="1" applyAlignment="1" applyProtection="1">
      <alignment horizontal="center" vertical="center" wrapText="1"/>
    </xf>
    <xf numFmtId="4" fontId="4" fillId="0" borderId="18" xfId="1" applyNumberFormat="1" applyFont="1" applyFill="1" applyBorder="1" applyAlignment="1" applyProtection="1">
      <alignment horizontal="center"/>
    </xf>
    <xf numFmtId="4" fontId="4" fillId="0" borderId="20" xfId="1" applyNumberFormat="1" applyFont="1" applyFill="1" applyBorder="1" applyAlignment="1" applyProtection="1">
      <alignment horizontal="center"/>
    </xf>
    <xf numFmtId="1" fontId="23" fillId="3" borderId="21" xfId="1" applyNumberFormat="1" applyFont="1" applyFill="1" applyBorder="1" applyAlignment="1" applyProtection="1">
      <alignment horizontal="center" vertical="center" wrapText="1"/>
    </xf>
    <xf numFmtId="1" fontId="23" fillId="4" borderId="22" xfId="1" applyNumberFormat="1" applyFont="1" applyFill="1" applyBorder="1" applyAlignment="1" applyProtection="1">
      <alignment horizontal="center" vertical="center" wrapText="1"/>
      <protection locked="0"/>
    </xf>
    <xf numFmtId="1" fontId="23" fillId="4" borderId="21" xfId="1" applyNumberFormat="1" applyFont="1" applyFill="1" applyBorder="1" applyAlignment="1" applyProtection="1">
      <alignment horizontal="center" vertical="center"/>
      <protection locked="0"/>
    </xf>
    <xf numFmtId="1" fontId="23" fillId="4" borderId="22" xfId="1" applyNumberFormat="1" applyFont="1" applyFill="1" applyBorder="1" applyAlignment="1" applyProtection="1">
      <alignment horizontal="center" vertical="center"/>
      <protection locked="0"/>
    </xf>
    <xf numFmtId="1" fontId="23" fillId="4" borderId="23" xfId="1" applyNumberFormat="1" applyFont="1" applyFill="1" applyBorder="1" applyAlignment="1" applyProtection="1">
      <alignment horizontal="center" vertical="center"/>
      <protection locked="0"/>
    </xf>
    <xf numFmtId="1" fontId="23" fillId="5" borderId="24" xfId="1" applyNumberFormat="1" applyFont="1" applyFill="1" applyBorder="1" applyAlignment="1" applyProtection="1">
      <alignment horizontal="center" vertical="center"/>
    </xf>
    <xf numFmtId="0" fontId="4" fillId="0" borderId="0" xfId="1" applyFont="1" applyFill="1" applyAlignment="1" applyProtection="1">
      <alignment horizontal="center" vertical="center"/>
      <protection locked="0"/>
    </xf>
    <xf numFmtId="1" fontId="23" fillId="3" borderId="18" xfId="1" applyNumberFormat="1" applyFont="1" applyFill="1" applyBorder="1" applyAlignment="1" applyProtection="1">
      <alignment horizontal="center" vertical="center" wrapText="1"/>
    </xf>
    <xf numFmtId="1" fontId="23" fillId="4" borderId="25" xfId="1" applyNumberFormat="1" applyFont="1" applyFill="1" applyBorder="1" applyAlignment="1" applyProtection="1">
      <alignment horizontal="center" vertical="center" wrapText="1"/>
      <protection locked="0"/>
    </xf>
    <xf numFmtId="1" fontId="23" fillId="4" borderId="18" xfId="1" applyNumberFormat="1" applyFont="1" applyFill="1" applyBorder="1" applyAlignment="1" applyProtection="1">
      <alignment horizontal="center" vertical="center"/>
      <protection locked="0"/>
    </xf>
    <xf numFmtId="1" fontId="23" fillId="4" borderId="25" xfId="1" applyNumberFormat="1" applyFont="1" applyFill="1" applyBorder="1" applyAlignment="1" applyProtection="1">
      <alignment horizontal="center" vertical="center"/>
      <protection locked="0"/>
    </xf>
    <xf numFmtId="1" fontId="23" fillId="4" borderId="26" xfId="1" applyNumberFormat="1" applyFont="1" applyFill="1" applyBorder="1" applyAlignment="1" applyProtection="1">
      <alignment horizontal="center" vertical="center"/>
      <protection locked="0"/>
    </xf>
    <xf numFmtId="1" fontId="23" fillId="5" borderId="27" xfId="1" applyNumberFormat="1" applyFont="1" applyFill="1" applyBorder="1" applyAlignment="1" applyProtection="1">
      <alignment horizontal="center" vertical="center"/>
    </xf>
    <xf numFmtId="0" fontId="4" fillId="0" borderId="17" xfId="1" applyFont="1" applyFill="1" applyBorder="1" applyAlignment="1" applyProtection="1">
      <alignment horizontal="center"/>
    </xf>
    <xf numFmtId="0" fontId="4" fillId="0" borderId="18" xfId="1" applyFont="1" applyFill="1" applyBorder="1" applyAlignment="1" applyProtection="1">
      <alignment horizontal="left"/>
    </xf>
    <xf numFmtId="3" fontId="4" fillId="4" borderId="18" xfId="1" applyNumberFormat="1" applyFont="1" applyFill="1" applyBorder="1" applyAlignment="1" applyProtection="1">
      <alignment horizontal="center"/>
      <protection locked="0"/>
    </xf>
    <xf numFmtId="1" fontId="4" fillId="4" borderId="18" xfId="1" applyNumberFormat="1" applyFont="1" applyFill="1" applyBorder="1" applyAlignment="1" applyProtection="1">
      <alignment horizontal="center"/>
      <protection locked="0"/>
    </xf>
    <xf numFmtId="3" fontId="4" fillId="0" borderId="18" xfId="1" applyNumberFormat="1" applyFont="1" applyFill="1" applyBorder="1" applyAlignment="1" applyProtection="1">
      <alignment horizontal="center"/>
    </xf>
    <xf numFmtId="0" fontId="4" fillId="0" borderId="0" xfId="1" applyFont="1" applyFill="1" applyProtection="1">
      <protection locked="0"/>
    </xf>
    <xf numFmtId="0" fontId="11" fillId="0" borderId="0" xfId="1" applyFont="1" applyFill="1" applyProtection="1">
      <protection locked="0"/>
    </xf>
    <xf numFmtId="0" fontId="4" fillId="0" borderId="28" xfId="1" applyFont="1" applyFill="1" applyBorder="1" applyAlignment="1" applyProtection="1">
      <alignment horizontal="center"/>
    </xf>
    <xf numFmtId="0" fontId="4" fillId="0" borderId="29" xfId="1" applyFont="1" applyFill="1" applyBorder="1" applyAlignment="1" applyProtection="1">
      <alignment horizontal="left"/>
    </xf>
    <xf numFmtId="3" fontId="4" fillId="4" borderId="29" xfId="1" applyNumberFormat="1" applyFont="1" applyFill="1" applyBorder="1" applyAlignment="1" applyProtection="1">
      <alignment horizontal="center"/>
      <protection locked="0"/>
    </xf>
    <xf numFmtId="1" fontId="4" fillId="4" borderId="29" xfId="1" applyNumberFormat="1" applyFont="1" applyFill="1" applyBorder="1" applyAlignment="1" applyProtection="1">
      <alignment horizontal="center"/>
      <protection locked="0"/>
    </xf>
    <xf numFmtId="3" fontId="4" fillId="0" borderId="29" xfId="1" applyNumberFormat="1" applyFont="1" applyFill="1" applyBorder="1" applyAlignment="1" applyProtection="1">
      <alignment horizontal="center"/>
    </xf>
    <xf numFmtId="4" fontId="4" fillId="0" borderId="29" xfId="1" applyNumberFormat="1" applyFont="1" applyFill="1" applyBorder="1" applyAlignment="1" applyProtection="1">
      <alignment horizontal="center"/>
    </xf>
    <xf numFmtId="1" fontId="23" fillId="3" borderId="30" xfId="1" applyNumberFormat="1" applyFont="1" applyFill="1" applyBorder="1" applyAlignment="1" applyProtection="1">
      <alignment horizontal="center" vertical="center" wrapText="1"/>
    </xf>
    <xf numFmtId="1" fontId="23" fillId="4" borderId="31" xfId="1" applyNumberFormat="1" applyFont="1" applyFill="1" applyBorder="1" applyAlignment="1" applyProtection="1">
      <alignment horizontal="center" vertical="center" wrapText="1"/>
      <protection locked="0"/>
    </xf>
    <xf numFmtId="1" fontId="23" fillId="4" borderId="32" xfId="1" applyNumberFormat="1" applyFont="1" applyFill="1" applyBorder="1" applyAlignment="1" applyProtection="1">
      <alignment horizontal="center" vertical="center"/>
      <protection locked="0"/>
    </xf>
    <xf numFmtId="1" fontId="23" fillId="4" borderId="31" xfId="1" applyNumberFormat="1" applyFont="1" applyFill="1" applyBorder="1" applyAlignment="1" applyProtection="1">
      <alignment horizontal="center" vertical="center"/>
      <protection locked="0"/>
    </xf>
    <xf numFmtId="1" fontId="23" fillId="4" borderId="33" xfId="1" applyNumberFormat="1" applyFont="1" applyFill="1" applyBorder="1" applyAlignment="1" applyProtection="1">
      <alignment horizontal="center" vertical="center"/>
      <protection locked="0"/>
    </xf>
    <xf numFmtId="1" fontId="23" fillId="5" borderId="34" xfId="1" applyNumberFormat="1" applyFont="1" applyFill="1" applyBorder="1" applyAlignment="1" applyProtection="1">
      <alignment horizontal="center" vertical="center"/>
    </xf>
    <xf numFmtId="0" fontId="24" fillId="6" borderId="35" xfId="1" applyFont="1" applyFill="1" applyBorder="1" applyProtection="1"/>
    <xf numFmtId="0" fontId="24" fillId="6" borderId="36" xfId="1" applyFont="1" applyFill="1" applyBorder="1" applyAlignment="1" applyProtection="1">
      <alignment horizontal="center"/>
    </xf>
    <xf numFmtId="166" fontId="24" fillId="6" borderId="36" xfId="2" applyNumberFormat="1" applyFont="1" applyFill="1" applyBorder="1" applyProtection="1"/>
    <xf numFmtId="0" fontId="24" fillId="6" borderId="36" xfId="1" applyFont="1" applyFill="1" applyBorder="1" applyProtection="1"/>
    <xf numFmtId="0" fontId="24" fillId="6" borderId="36" xfId="1" applyFont="1" applyFill="1" applyBorder="1" applyProtection="1">
      <protection locked="0"/>
    </xf>
    <xf numFmtId="0" fontId="24" fillId="6" borderId="37" xfId="1" applyFont="1" applyFill="1" applyBorder="1" applyProtection="1">
      <protection locked="0"/>
    </xf>
    <xf numFmtId="4" fontId="24" fillId="6" borderId="36" xfId="1" applyNumberFormat="1" applyFont="1" applyFill="1" applyBorder="1" applyAlignment="1" applyProtection="1">
      <alignment horizontal="center"/>
    </xf>
    <xf numFmtId="4" fontId="24" fillId="6" borderId="38" xfId="1" applyNumberFormat="1" applyFont="1" applyFill="1" applyBorder="1" applyAlignment="1" applyProtection="1">
      <alignment horizontal="center"/>
    </xf>
    <xf numFmtId="1" fontId="9" fillId="3" borderId="39" xfId="1" applyNumberFormat="1" applyFont="1" applyFill="1" applyBorder="1" applyAlignment="1" applyProtection="1">
      <alignment horizontal="center" vertical="center" wrapText="1"/>
    </xf>
    <xf numFmtId="1" fontId="9" fillId="3" borderId="40" xfId="2" applyNumberFormat="1" applyFont="1" applyFill="1" applyBorder="1" applyAlignment="1" applyProtection="1">
      <alignment horizontal="center" vertical="center"/>
    </xf>
    <xf numFmtId="1" fontId="9" fillId="0" borderId="41" xfId="2" applyNumberFormat="1" applyFont="1" applyFill="1" applyBorder="1" applyAlignment="1" applyProtection="1">
      <alignment horizontal="center" vertical="center"/>
    </xf>
    <xf numFmtId="0" fontId="16" fillId="0" borderId="0" xfId="1" applyFont="1" applyFill="1" applyProtection="1">
      <protection locked="0"/>
    </xf>
    <xf numFmtId="0" fontId="21" fillId="7" borderId="0" xfId="1" applyFont="1" applyFill="1" applyProtection="1"/>
    <xf numFmtId="0" fontId="24" fillId="7" borderId="0" xfId="1" applyFont="1" applyFill="1" applyAlignment="1" applyProtection="1">
      <alignment horizontal="center"/>
    </xf>
    <xf numFmtId="44" fontId="24" fillId="7" borderId="6" xfId="3" applyFont="1" applyFill="1" applyBorder="1" applyAlignment="1" applyProtection="1">
      <alignment horizontal="center"/>
    </xf>
    <xf numFmtId="0" fontId="25" fillId="3" borderId="0" xfId="1" applyFont="1" applyFill="1" applyAlignment="1" applyProtection="1">
      <alignment horizontal="left"/>
    </xf>
    <xf numFmtId="0" fontId="4" fillId="0" borderId="0" xfId="1" applyFont="1" applyProtection="1"/>
    <xf numFmtId="0" fontId="4" fillId="0" borderId="0" xfId="1" applyFont="1" applyProtection="1">
      <protection locked="0"/>
    </xf>
    <xf numFmtId="166" fontId="4" fillId="0" borderId="0" xfId="2" applyNumberFormat="1" applyFont="1" applyProtection="1">
      <protection locked="0"/>
    </xf>
    <xf numFmtId="0" fontId="5" fillId="0" borderId="0" xfId="1" applyFont="1" applyProtection="1">
      <protection locked="0"/>
    </xf>
    <xf numFmtId="4" fontId="0" fillId="0" borderId="0" xfId="0" applyNumberFormat="1"/>
    <xf numFmtId="0" fontId="26" fillId="0" borderId="0" xfId="1" applyFont="1" applyBorder="1" applyAlignment="1">
      <alignment horizontal="left"/>
    </xf>
    <xf numFmtId="0" fontId="27" fillId="0" borderId="0" xfId="1" applyFont="1" applyBorder="1" applyAlignment="1">
      <alignment horizontal="center"/>
    </xf>
    <xf numFmtId="0" fontId="28" fillId="0" borderId="0" xfId="1" applyFont="1" applyBorder="1" applyAlignment="1">
      <alignment horizontal="center"/>
    </xf>
    <xf numFmtId="0" fontId="29" fillId="0" borderId="0" xfId="1" applyFont="1" applyBorder="1" applyAlignment="1">
      <alignment horizontal="center"/>
    </xf>
    <xf numFmtId="0" fontId="2" fillId="0" borderId="0" xfId="1" applyFont="1"/>
    <xf numFmtId="0" fontId="2" fillId="0" borderId="0" xfId="1" applyFont="1" applyBorder="1"/>
    <xf numFmtId="0" fontId="30" fillId="0" borderId="0" xfId="1" applyFont="1" applyBorder="1"/>
    <xf numFmtId="0" fontId="2" fillId="0" borderId="0" xfId="1" applyFont="1" applyBorder="1" applyAlignment="1">
      <alignment horizontal="center"/>
    </xf>
    <xf numFmtId="0" fontId="2" fillId="0" borderId="0" xfId="1" applyFont="1" applyBorder="1" applyAlignment="1">
      <alignment vertical="center"/>
    </xf>
    <xf numFmtId="0" fontId="2" fillId="0" borderId="0" xfId="1" applyFont="1" applyBorder="1" applyAlignment="1">
      <alignment horizontal="center" vertical="center"/>
    </xf>
    <xf numFmtId="0" fontId="30" fillId="0" borderId="42" xfId="1" applyFont="1" applyBorder="1" applyAlignment="1">
      <alignment horizontal="center" vertical="center"/>
    </xf>
    <xf numFmtId="0" fontId="30" fillId="0" borderId="0" xfId="1" applyFont="1" applyBorder="1" applyAlignment="1">
      <alignment horizontal="center" vertical="center"/>
    </xf>
    <xf numFmtId="0" fontId="30" fillId="0" borderId="18" xfId="1" applyFont="1" applyBorder="1" applyAlignment="1">
      <alignment horizontal="center" vertical="center" wrapText="1"/>
    </xf>
    <xf numFmtId="49" fontId="30" fillId="0" borderId="18" xfId="1" applyNumberFormat="1" applyFont="1" applyBorder="1" applyAlignment="1">
      <alignment horizontal="center" vertical="center" wrapText="1"/>
    </xf>
    <xf numFmtId="0" fontId="2" fillId="0" borderId="18" xfId="1" applyFont="1" applyBorder="1" applyAlignment="1">
      <alignment horizontal="left" vertical="center" wrapText="1"/>
    </xf>
    <xf numFmtId="0" fontId="2" fillId="0" borderId="18" xfId="1" applyFont="1" applyBorder="1" applyAlignment="1">
      <alignment horizontal="center" vertical="center" wrapText="1"/>
    </xf>
    <xf numFmtId="2" fontId="2" fillId="0" borderId="18" xfId="1" applyNumberFormat="1" applyFont="1" applyBorder="1" applyAlignment="1">
      <alignment horizontal="center" vertical="center" wrapText="1"/>
    </xf>
    <xf numFmtId="3" fontId="2" fillId="4" borderId="18" xfId="1" applyNumberFormat="1" applyFont="1" applyFill="1" applyBorder="1" applyAlignment="1">
      <alignment horizontal="center"/>
    </xf>
    <xf numFmtId="0" fontId="30" fillId="0" borderId="18" xfId="1" applyFont="1" applyBorder="1" applyAlignment="1">
      <alignment horizontal="center"/>
    </xf>
    <xf numFmtId="0" fontId="2" fillId="0" borderId="18" xfId="1" applyFont="1" applyBorder="1"/>
    <xf numFmtId="0" fontId="2" fillId="0" borderId="18" xfId="1" applyFont="1" applyBorder="1" applyAlignment="1">
      <alignment horizontal="center"/>
    </xf>
    <xf numFmtId="2" fontId="2" fillId="0" borderId="18" xfId="1" applyNumberFormat="1" applyFont="1" applyBorder="1" applyAlignment="1">
      <alignment horizontal="center"/>
    </xf>
    <xf numFmtId="0" fontId="2" fillId="0" borderId="18" xfId="1" applyFont="1" applyFill="1" applyBorder="1" applyAlignment="1">
      <alignment horizontal="center"/>
    </xf>
    <xf numFmtId="0" fontId="2" fillId="0" borderId="18" xfId="1" applyFont="1" applyBorder="1" applyAlignment="1">
      <alignment horizontal="center" vertical="center"/>
    </xf>
    <xf numFmtId="2" fontId="2" fillId="0" borderId="18" xfId="1" applyNumberFormat="1" applyFont="1" applyFill="1" applyBorder="1" applyAlignment="1">
      <alignment horizontal="center"/>
    </xf>
    <xf numFmtId="0" fontId="2" fillId="0" borderId="18" xfId="1" applyFont="1" applyFill="1" applyBorder="1"/>
    <xf numFmtId="0" fontId="30" fillId="0" borderId="18" xfId="1" applyFont="1" applyBorder="1" applyAlignment="1" applyProtection="1">
      <alignment horizontal="center" vertical="center"/>
    </xf>
    <xf numFmtId="0" fontId="2" fillId="0" borderId="18" xfId="1" applyFont="1" applyBorder="1" applyAlignment="1" applyProtection="1">
      <alignment horizontal="left" vertical="center"/>
    </xf>
    <xf numFmtId="169" fontId="2" fillId="0" borderId="18" xfId="1" applyNumberFormat="1" applyFont="1" applyBorder="1" applyAlignment="1" applyProtection="1">
      <alignment horizontal="center" vertical="center"/>
    </xf>
    <xf numFmtId="0" fontId="2" fillId="0" borderId="18" xfId="1" applyFont="1" applyBorder="1" applyAlignment="1" applyProtection="1">
      <alignment horizontal="center" vertical="center"/>
    </xf>
    <xf numFmtId="0" fontId="30" fillId="0" borderId="18" xfId="1" applyFont="1" applyFill="1" applyBorder="1" applyAlignment="1">
      <alignment horizontal="center"/>
    </xf>
    <xf numFmtId="0" fontId="2" fillId="0" borderId="18" xfId="1" applyFont="1" applyFill="1" applyBorder="1" applyAlignment="1">
      <alignment horizontal="center" vertical="center"/>
    </xf>
    <xf numFmtId="0" fontId="2" fillId="0" borderId="0" xfId="1" applyFont="1" applyFill="1"/>
    <xf numFmtId="0" fontId="30" fillId="0" borderId="18" xfId="1" applyFont="1" applyBorder="1"/>
    <xf numFmtId="0" fontId="31" fillId="0" borderId="0" xfId="1" applyFont="1" applyBorder="1" applyAlignment="1">
      <alignment horizontal="right" vertical="center"/>
    </xf>
    <xf numFmtId="0" fontId="2" fillId="0" borderId="0" xfId="1" applyFont="1" applyBorder="1" applyAlignment="1">
      <alignment horizontal="left"/>
    </xf>
    <xf numFmtId="0" fontId="31" fillId="0" borderId="0" xfId="1" applyFont="1" applyBorder="1" applyAlignment="1">
      <alignment horizontal="center" vertical="center"/>
    </xf>
    <xf numFmtId="0" fontId="30" fillId="0" borderId="0" xfId="1" applyFont="1" applyBorder="1" applyAlignment="1">
      <alignment horizontal="left"/>
    </xf>
    <xf numFmtId="3" fontId="2" fillId="0" borderId="0" xfId="1" applyNumberFormat="1" applyFont="1" applyBorder="1" applyAlignment="1">
      <alignment horizontal="center"/>
    </xf>
    <xf numFmtId="0" fontId="32" fillId="0" borderId="0" xfId="4" applyBorder="1" applyAlignment="1" applyProtection="1">
      <alignment horizontal="left"/>
    </xf>
    <xf numFmtId="0" fontId="2" fillId="0" borderId="8" xfId="1" applyFont="1" applyFill="1" applyBorder="1" applyAlignment="1">
      <alignment horizontal="center"/>
    </xf>
    <xf numFmtId="0" fontId="2" fillId="0" borderId="8" xfId="1" applyFont="1" applyBorder="1"/>
    <xf numFmtId="0" fontId="2" fillId="0" borderId="8" xfId="1" applyFont="1" applyBorder="1" applyAlignment="1">
      <alignment horizontal="center"/>
    </xf>
    <xf numFmtId="0" fontId="2" fillId="0" borderId="0" xfId="1" applyFont="1" applyFill="1" applyBorder="1" applyAlignment="1">
      <alignment horizontal="center"/>
    </xf>
    <xf numFmtId="0" fontId="33" fillId="0" borderId="0" xfId="1" applyFont="1" applyBorder="1" applyAlignment="1">
      <alignment horizontal="left"/>
    </xf>
    <xf numFmtId="0" fontId="34" fillId="0" borderId="0" xfId="1" applyFont="1" applyBorder="1"/>
    <xf numFmtId="0" fontId="34" fillId="0" borderId="0" xfId="1" applyFont="1" applyBorder="1" applyAlignment="1">
      <alignment horizontal="center" vertical="center"/>
    </xf>
    <xf numFmtId="0" fontId="35" fillId="0" borderId="0" xfId="1" applyFont="1" applyBorder="1" applyAlignment="1">
      <alignment horizontal="center" vertical="center"/>
    </xf>
    <xf numFmtId="0" fontId="33" fillId="0" borderId="0" xfId="1" applyFont="1" applyFill="1" applyBorder="1" applyAlignment="1">
      <alignment horizontal="left"/>
    </xf>
    <xf numFmtId="0" fontId="35" fillId="0" borderId="0" xfId="1" applyFont="1" applyBorder="1"/>
    <xf numFmtId="0" fontId="30" fillId="0" borderId="0" xfId="1" applyFont="1" applyBorder="1" applyAlignment="1">
      <alignment horizontal="right"/>
    </xf>
    <xf numFmtId="0" fontId="2" fillId="0" borderId="0" xfId="1"/>
    <xf numFmtId="0" fontId="36" fillId="0" borderId="0" xfId="1" applyFont="1" applyBorder="1" applyAlignment="1">
      <alignment horizontal="left"/>
    </xf>
    <xf numFmtId="0" fontId="37" fillId="0" borderId="0" xfId="1" applyFont="1" applyBorder="1" applyAlignment="1">
      <alignment horizontal="center"/>
    </xf>
    <xf numFmtId="0" fontId="38" fillId="0" borderId="0" xfId="1" applyFont="1"/>
    <xf numFmtId="0" fontId="37" fillId="0" borderId="0" xfId="1" applyFont="1" applyBorder="1" applyAlignment="1">
      <alignment horizontal="left"/>
    </xf>
    <xf numFmtId="0" fontId="39" fillId="0" borderId="0" xfId="1" applyFont="1" applyBorder="1" applyAlignment="1">
      <alignment horizontal="center"/>
    </xf>
    <xf numFmtId="0" fontId="2" fillId="0" borderId="0" xfId="1" applyBorder="1"/>
    <xf numFmtId="0" fontId="30" fillId="0" borderId="0" xfId="1" applyFont="1" applyAlignment="1">
      <alignment wrapText="1"/>
    </xf>
    <xf numFmtId="0" fontId="31" fillId="0" borderId="0" xfId="1" applyFont="1"/>
    <xf numFmtId="0" fontId="2" fillId="0" borderId="0" xfId="1" applyBorder="1" applyAlignment="1">
      <alignment vertical="center"/>
    </xf>
    <xf numFmtId="0" fontId="2" fillId="0" borderId="0" xfId="1" applyBorder="1" applyAlignment="1">
      <alignment horizontal="center" vertical="center"/>
    </xf>
    <xf numFmtId="0" fontId="40" fillId="0" borderId="1" xfId="1" applyFont="1" applyBorder="1" applyAlignment="1">
      <alignment horizontal="center" vertical="center"/>
    </xf>
    <xf numFmtId="0" fontId="40" fillId="0" borderId="0" xfId="1" applyFont="1" applyBorder="1" applyAlignment="1">
      <alignment horizontal="center" vertical="center"/>
    </xf>
    <xf numFmtId="0" fontId="36" fillId="0" borderId="0" xfId="1" applyFont="1" applyBorder="1" applyAlignment="1">
      <alignment horizontal="center" vertical="center"/>
    </xf>
    <xf numFmtId="0" fontId="30" fillId="0" borderId="14" xfId="1" applyFont="1" applyBorder="1" applyAlignment="1">
      <alignment horizontal="center" vertical="center" wrapText="1"/>
    </xf>
    <xf numFmtId="0" fontId="36" fillId="0" borderId="14" xfId="1" applyFont="1" applyBorder="1" applyAlignment="1">
      <alignment horizontal="center" vertical="center" wrapText="1"/>
    </xf>
    <xf numFmtId="0" fontId="2" fillId="5" borderId="25" xfId="1" quotePrefix="1" applyFill="1" applyBorder="1" applyAlignment="1">
      <alignment horizontal="right"/>
    </xf>
    <xf numFmtId="0" fontId="30" fillId="5" borderId="7" xfId="1" applyFont="1" applyFill="1" applyBorder="1" applyAlignment="1">
      <alignment horizontal="left"/>
    </xf>
    <xf numFmtId="0" fontId="2" fillId="5" borderId="7" xfId="1" applyFill="1" applyBorder="1"/>
    <xf numFmtId="0" fontId="2" fillId="5" borderId="7" xfId="1" applyFill="1" applyBorder="1" applyAlignment="1">
      <alignment horizontal="center"/>
    </xf>
    <xf numFmtId="0" fontId="2" fillId="5" borderId="45" xfId="1" applyFill="1" applyBorder="1"/>
    <xf numFmtId="0" fontId="41" fillId="0" borderId="18" xfId="1" quotePrefix="1" applyFont="1" applyBorder="1" applyAlignment="1">
      <alignment horizontal="right"/>
    </xf>
    <xf numFmtId="0" fontId="41" fillId="0" borderId="18" xfId="1" applyFont="1" applyBorder="1"/>
    <xf numFmtId="49" fontId="41" fillId="0" borderId="18" xfId="1" applyNumberFormat="1" applyFont="1" applyBorder="1" applyAlignment="1">
      <alignment horizontal="center" wrapText="1"/>
    </xf>
    <xf numFmtId="2" fontId="41" fillId="0" borderId="18" xfId="1" applyNumberFormat="1" applyFont="1" applyBorder="1"/>
    <xf numFmtId="0" fontId="41" fillId="0" borderId="18" xfId="1" applyFont="1" applyBorder="1" applyAlignment="1">
      <alignment horizontal="center"/>
    </xf>
    <xf numFmtId="3" fontId="41" fillId="0" borderId="18" xfId="1" applyNumberFormat="1" applyFont="1" applyBorder="1" applyAlignment="1">
      <alignment horizontal="center"/>
    </xf>
    <xf numFmtId="4" fontId="42" fillId="0" borderId="18" xfId="1" applyNumberFormat="1" applyFont="1" applyBorder="1" applyAlignment="1">
      <alignment horizontal="center"/>
    </xf>
    <xf numFmtId="0" fontId="41" fillId="0" borderId="18" xfId="1" quotePrefix="1" applyFont="1" applyFill="1" applyBorder="1" applyAlignment="1">
      <alignment horizontal="right"/>
    </xf>
    <xf numFmtId="0" fontId="41" fillId="0" borderId="18" xfId="1" applyFont="1" applyFill="1" applyBorder="1" applyAlignment="1">
      <alignment horizontal="left"/>
    </xf>
    <xf numFmtId="0" fontId="41" fillId="0" borderId="18" xfId="1" applyFont="1" applyFill="1" applyBorder="1" applyAlignment="1">
      <alignment horizontal="center"/>
    </xf>
    <xf numFmtId="0" fontId="41" fillId="0" borderId="18" xfId="1" applyFont="1" applyFill="1" applyBorder="1"/>
    <xf numFmtId="0" fontId="41" fillId="0" borderId="18" xfId="1" applyFont="1" applyBorder="1" applyAlignment="1">
      <alignment horizontal="left"/>
    </xf>
    <xf numFmtId="49" fontId="41" fillId="0" borderId="18" xfId="1" applyNumberFormat="1" applyFont="1" applyFill="1" applyBorder="1" applyAlignment="1">
      <alignment horizontal="right"/>
    </xf>
    <xf numFmtId="0" fontId="2" fillId="0" borderId="0" xfId="1" applyBorder="1" applyAlignment="1">
      <alignment horizontal="center"/>
    </xf>
    <xf numFmtId="0" fontId="2" fillId="0" borderId="5" xfId="1" applyBorder="1"/>
    <xf numFmtId="0" fontId="2" fillId="0" borderId="5" xfId="1" applyBorder="1" applyAlignment="1">
      <alignment horizontal="center"/>
    </xf>
    <xf numFmtId="4" fontId="2" fillId="0" borderId="5" xfId="1" applyNumberFormat="1" applyBorder="1" applyAlignment="1">
      <alignment horizontal="center"/>
    </xf>
    <xf numFmtId="0" fontId="36" fillId="0" borderId="5" xfId="1" applyFont="1" applyBorder="1"/>
    <xf numFmtId="0" fontId="2" fillId="0" borderId="46" xfId="1" applyBorder="1"/>
    <xf numFmtId="4" fontId="43" fillId="0" borderId="0" xfId="1" applyNumberFormat="1" applyFont="1" applyBorder="1" applyAlignment="1">
      <alignment horizontal="center"/>
    </xf>
    <xf numFmtId="0" fontId="30" fillId="0" borderId="42" xfId="5" applyFont="1" applyBorder="1" applyAlignment="1" applyProtection="1">
      <alignment horizontal="center"/>
    </xf>
    <xf numFmtId="0" fontId="2" fillId="0" borderId="0" xfId="1" applyFont="1" applyBorder="1" applyAlignment="1"/>
    <xf numFmtId="0" fontId="41" fillId="0" borderId="8" xfId="1" applyFont="1" applyFill="1" applyBorder="1" applyAlignment="1">
      <alignment horizontal="left"/>
    </xf>
    <xf numFmtId="0" fontId="30" fillId="0" borderId="8" xfId="1" applyFont="1" applyBorder="1" applyAlignment="1"/>
    <xf numFmtId="0" fontId="45" fillId="0" borderId="8" xfId="1" applyFont="1" applyBorder="1" applyAlignment="1"/>
    <xf numFmtId="0" fontId="44" fillId="0" borderId="47" xfId="5" applyBorder="1" applyAlignment="1" applyProtection="1">
      <alignment horizontal="center"/>
    </xf>
    <xf numFmtId="0" fontId="41" fillId="0" borderId="0" xfId="1" applyFont="1" applyBorder="1"/>
    <xf numFmtId="0" fontId="2" fillId="0" borderId="47" xfId="1" applyBorder="1" applyAlignment="1">
      <alignment horizontal="center"/>
    </xf>
    <xf numFmtId="0" fontId="41" fillId="0" borderId="8" xfId="1" applyFont="1" applyBorder="1" applyAlignment="1">
      <alignment horizontal="left"/>
    </xf>
    <xf numFmtId="0" fontId="41" fillId="0" borderId="8" xfId="1" applyFont="1" applyBorder="1"/>
    <xf numFmtId="0" fontId="41" fillId="0" borderId="0" xfId="1" applyFont="1" applyFill="1" applyBorder="1" applyAlignment="1">
      <alignment horizontal="center"/>
    </xf>
    <xf numFmtId="0" fontId="41" fillId="0" borderId="0" xfId="1" applyFont="1" applyFill="1" applyBorder="1" applyAlignment="1">
      <alignment horizontal="left"/>
    </xf>
    <xf numFmtId="0" fontId="2" fillId="0" borderId="8" xfId="1" applyBorder="1"/>
    <xf numFmtId="0" fontId="30" fillId="0" borderId="0" xfId="1" applyFont="1" applyBorder="1" applyAlignment="1"/>
    <xf numFmtId="0" fontId="36" fillId="0" borderId="0" xfId="1" applyFont="1" applyBorder="1"/>
    <xf numFmtId="0" fontId="36" fillId="0" borderId="0" xfId="1" applyFont="1"/>
    <xf numFmtId="0" fontId="1" fillId="0" borderId="0" xfId="0" applyFont="1" applyAlignment="1">
      <alignment horizontal="center"/>
    </xf>
    <xf numFmtId="0" fontId="1" fillId="0" borderId="0" xfId="0" applyFont="1"/>
    <xf numFmtId="0" fontId="0" fillId="0" borderId="0" xfId="0" applyBorder="1" applyAlignment="1">
      <alignment wrapText="1"/>
    </xf>
    <xf numFmtId="3" fontId="41" fillId="8" borderId="18" xfId="1" applyNumberFormat="1" applyFont="1" applyFill="1" applyBorder="1" applyAlignment="1" applyProtection="1">
      <alignment horizontal="center"/>
      <protection locked="0"/>
    </xf>
    <xf numFmtId="0" fontId="2" fillId="8" borderId="18" xfId="1" applyFont="1" applyFill="1" applyBorder="1" applyAlignment="1" applyProtection="1">
      <alignment horizontal="center" vertical="center" wrapText="1"/>
      <protection locked="0"/>
    </xf>
    <xf numFmtId="0" fontId="2" fillId="8" borderId="18" xfId="1" applyFont="1" applyFill="1" applyBorder="1" applyAlignment="1" applyProtection="1">
      <alignment horizontal="center"/>
      <protection locked="0"/>
    </xf>
    <xf numFmtId="1" fontId="2" fillId="8" borderId="18" xfId="1" applyNumberFormat="1" applyFont="1" applyFill="1" applyBorder="1" applyAlignment="1" applyProtection="1">
      <alignment horizontal="center" vertical="center"/>
      <protection locked="0"/>
    </xf>
    <xf numFmtId="0" fontId="2" fillId="8" borderId="18" xfId="1" applyFont="1" applyFill="1" applyBorder="1" applyProtection="1">
      <protection locked="0"/>
    </xf>
    <xf numFmtId="0" fontId="32" fillId="0" borderId="0" xfId="4" applyFill="1" applyAlignment="1" applyProtection="1"/>
    <xf numFmtId="2" fontId="0" fillId="8" borderId="1" xfId="0" applyNumberFormat="1" applyFill="1" applyBorder="1"/>
    <xf numFmtId="2" fontId="0" fillId="8" borderId="48" xfId="0" applyNumberFormat="1" applyFill="1" applyBorder="1"/>
    <xf numFmtId="0" fontId="32" fillId="0" borderId="0" xfId="4" applyAlignment="1" applyProtection="1"/>
    <xf numFmtId="0" fontId="1" fillId="0" borderId="0" xfId="0" applyFont="1" applyAlignment="1">
      <alignment vertical="top" wrapText="1"/>
    </xf>
    <xf numFmtId="0" fontId="0" fillId="0" borderId="0" xfId="0" applyBorder="1" applyAlignment="1">
      <alignment horizontal="center"/>
    </xf>
    <xf numFmtId="0" fontId="1" fillId="0" borderId="0" xfId="0" applyFont="1" applyAlignment="1">
      <alignment horizontal="center"/>
    </xf>
    <xf numFmtId="0" fontId="0" fillId="0" borderId="2" xfId="0" applyBorder="1" applyAlignment="1">
      <alignment vertical="top" wrapText="1"/>
    </xf>
    <xf numFmtId="0" fontId="0" fillId="0" borderId="49" xfId="0" applyBorder="1" applyAlignment="1">
      <alignment vertical="top" wrapText="1"/>
    </xf>
    <xf numFmtId="0" fontId="0" fillId="0" borderId="3" xfId="0" applyBorder="1" applyAlignment="1">
      <alignment vertical="top" wrapText="1"/>
    </xf>
    <xf numFmtId="0" fontId="0" fillId="0" borderId="2" xfId="0" applyBorder="1" applyAlignment="1">
      <alignment wrapText="1"/>
    </xf>
    <xf numFmtId="0" fontId="0" fillId="0" borderId="49" xfId="0" applyBorder="1" applyAlignment="1">
      <alignment wrapText="1"/>
    </xf>
    <xf numFmtId="0" fontId="0" fillId="0" borderId="3" xfId="0" applyBorder="1" applyAlignment="1">
      <alignment wrapText="1"/>
    </xf>
    <xf numFmtId="0" fontId="2" fillId="0" borderId="47" xfId="1" applyFont="1" applyBorder="1" applyAlignment="1">
      <alignment horizontal="center" wrapText="1"/>
    </xf>
    <xf numFmtId="0" fontId="2" fillId="0" borderId="48" xfId="1" applyFont="1" applyBorder="1" applyAlignment="1">
      <alignment horizontal="center" wrapText="1"/>
    </xf>
    <xf numFmtId="0" fontId="30" fillId="0" borderId="0" xfId="1" applyFont="1" applyAlignment="1">
      <alignment horizontal="center" wrapText="1"/>
    </xf>
    <xf numFmtId="0" fontId="41" fillId="0" borderId="19" xfId="1" applyFont="1" applyBorder="1" applyAlignment="1">
      <alignment horizontal="center"/>
    </xf>
    <xf numFmtId="0" fontId="42" fillId="0" borderId="19" xfId="1" applyFont="1" applyBorder="1" applyAlignment="1">
      <alignment horizontal="center"/>
    </xf>
    <xf numFmtId="0" fontId="30" fillId="0" borderId="0" xfId="1" applyFont="1" applyBorder="1" applyAlignment="1">
      <alignment horizontal="center" vertical="center"/>
    </xf>
    <xf numFmtId="4" fontId="43" fillId="0" borderId="2" xfId="1" applyNumberFormat="1" applyFont="1" applyBorder="1" applyAlignment="1">
      <alignment horizontal="center"/>
    </xf>
    <xf numFmtId="4" fontId="43" fillId="0" borderId="3" xfId="1" applyNumberFormat="1" applyFont="1" applyBorder="1" applyAlignment="1">
      <alignment horizontal="center"/>
    </xf>
    <xf numFmtId="0" fontId="30" fillId="0" borderId="0" xfId="1" applyFont="1" applyBorder="1" applyAlignment="1">
      <alignment horizontal="center"/>
    </xf>
    <xf numFmtId="3" fontId="2" fillId="0" borderId="43" xfId="1" applyNumberFormat="1" applyFont="1" applyBorder="1" applyAlignment="1">
      <alignment horizontal="center"/>
    </xf>
    <xf numFmtId="3" fontId="2" fillId="0" borderId="44" xfId="1" applyNumberFormat="1" applyFont="1" applyBorder="1" applyAlignment="1">
      <alignment horizontal="center"/>
    </xf>
    <xf numFmtId="49" fontId="9" fillId="4" borderId="4" xfId="1" applyNumberFormat="1" applyFont="1" applyFill="1" applyBorder="1" applyAlignment="1" applyProtection="1">
      <alignment horizontal="left"/>
      <protection locked="0"/>
    </xf>
    <xf numFmtId="168" fontId="10" fillId="4" borderId="4" xfId="1" applyNumberFormat="1" applyFont="1" applyFill="1" applyBorder="1" applyAlignment="1" applyProtection="1">
      <alignment horizontal="center"/>
      <protection locked="0"/>
    </xf>
    <xf numFmtId="0" fontId="11" fillId="3" borderId="0" xfId="1" applyFont="1" applyFill="1" applyAlignment="1" applyProtection="1">
      <alignment horizontal="right" vertical="center" wrapText="1"/>
    </xf>
    <xf numFmtId="0" fontId="20" fillId="5" borderId="8" xfId="1" applyFont="1" applyFill="1" applyBorder="1" applyAlignment="1" applyProtection="1">
      <alignment horizontal="center"/>
    </xf>
    <xf numFmtId="49" fontId="10" fillId="4" borderId="4" xfId="1" applyNumberFormat="1" applyFont="1" applyFill="1" applyBorder="1" applyAlignment="1" applyProtection="1">
      <alignment horizontal="center"/>
      <protection locked="0"/>
    </xf>
    <xf numFmtId="167" fontId="11" fillId="3" borderId="0" xfId="1" applyNumberFormat="1" applyFont="1" applyFill="1" applyBorder="1" applyAlignment="1" applyProtection="1">
      <alignment horizontal="right" vertical="center" wrapText="1"/>
    </xf>
    <xf numFmtId="167" fontId="12" fillId="3" borderId="0" xfId="1" applyNumberFormat="1" applyFont="1" applyFill="1" applyBorder="1" applyAlignment="1" applyProtection="1">
      <alignment horizontal="center" wrapText="1"/>
    </xf>
  </cellXfs>
  <cellStyles count="6">
    <cellStyle name="Comma 2" xfId="2"/>
    <cellStyle name="Currency 2" xfId="3"/>
    <cellStyle name="Hyperlink" xfId="4" builtinId="8"/>
    <cellStyle name="Hyperlink 2" xfId="5"/>
    <cellStyle name="Normal" xfId="0" builtinId="0"/>
    <cellStyle name="Normal 2" xfId="1"/>
  </cellStyles>
  <dxfs count="4">
    <dxf>
      <font>
        <b/>
        <i/>
        <condense val="0"/>
        <extend val="0"/>
        <color indexed="10"/>
      </font>
    </dxf>
    <dxf>
      <font>
        <b/>
        <i val="0"/>
        <strike val="0"/>
        <condense val="0"/>
        <extend val="0"/>
        <u val="none"/>
        <color indexed="17"/>
      </font>
    </dxf>
    <dxf>
      <font>
        <b/>
        <i/>
        <condense val="0"/>
        <extend val="0"/>
        <color indexed="10"/>
      </font>
    </dxf>
    <dxf>
      <font>
        <b/>
        <i val="0"/>
        <strike val="0"/>
        <condense val="0"/>
        <extend val="0"/>
        <u val="none"/>
        <color indexed="17"/>
      </font>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123825</xdr:colOff>
      <xdr:row>0</xdr:row>
      <xdr:rowOff>28575</xdr:rowOff>
    </xdr:from>
    <xdr:to>
      <xdr:col>0</xdr:col>
      <xdr:colOff>609600</xdr:colOff>
      <xdr:row>3</xdr:row>
      <xdr:rowOff>123825</xdr:rowOff>
    </xdr:to>
    <xdr:pic>
      <xdr:nvPicPr>
        <xdr:cNvPr id="2" name="Picture 2" descr="Cafe Favorites Color Logo"/>
        <xdr:cNvPicPr>
          <a:picLocks noChangeAspect="1" noChangeArrowheads="1"/>
        </xdr:cNvPicPr>
      </xdr:nvPicPr>
      <xdr:blipFill>
        <a:blip xmlns:r="http://schemas.openxmlformats.org/officeDocument/2006/relationships" r:embed="rId1" cstate="print">
          <a:extLst>
            <a:ext uri="{28A0092B-C50C-407E-A947-70E740481C1C}">
              <a14:useLocalDpi xmlns="" xmlns:a14="http://schemas.microsoft.com/office/drawing/2010/main" val="0"/>
            </a:ext>
          </a:extLst>
        </a:blip>
        <a:srcRect/>
        <a:stretch>
          <a:fillRect/>
        </a:stretch>
      </xdr:blipFill>
      <xdr:spPr bwMode="auto">
        <a:xfrm>
          <a:off x="123825" y="28575"/>
          <a:ext cx="485775" cy="733425"/>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28575</xdr:rowOff>
    </xdr:from>
    <xdr:to>
      <xdr:col>1</xdr:col>
      <xdr:colOff>19050</xdr:colOff>
      <xdr:row>4</xdr:row>
      <xdr:rowOff>152400</xdr:rowOff>
    </xdr:to>
    <xdr:pic>
      <xdr:nvPicPr>
        <xdr:cNvPr id="3" name="Picture 4" descr="Cafe Favorites Color Logo"/>
        <xdr:cNvPicPr>
          <a:picLocks noChangeAspect="1" noChangeArrowheads="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rcRect/>
        <a:stretch>
          <a:fillRect/>
        </a:stretch>
      </xdr:blipFill>
      <xdr:spPr bwMode="auto">
        <a:xfrm>
          <a:off x="0" y="28575"/>
          <a:ext cx="695325" cy="971550"/>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104775</xdr:colOff>
      <xdr:row>0</xdr:row>
      <xdr:rowOff>114300</xdr:rowOff>
    </xdr:from>
    <xdr:to>
      <xdr:col>2</xdr:col>
      <xdr:colOff>504825</xdr:colOff>
      <xdr:row>4</xdr:row>
      <xdr:rowOff>9525</xdr:rowOff>
    </xdr:to>
    <xdr:pic>
      <xdr:nvPicPr>
        <xdr:cNvPr id="2" name="Picture 1" descr="C:\Documents and Settings\jford2\My Documents\My Pictures\SunnyFresh_black_3color A.jpg"/>
        <xdr:cNvPicPr>
          <a:picLocks noChangeAspect="1" noChangeArrowheads="1"/>
        </xdr:cNvPicPr>
      </xdr:nvPicPr>
      <xdr:blipFill>
        <a:blip xmlns:r="http://schemas.openxmlformats.org/officeDocument/2006/relationships" r:embed="rId1" cstate="print"/>
        <a:srcRect/>
        <a:stretch>
          <a:fillRect/>
        </a:stretch>
      </xdr:blipFill>
      <xdr:spPr bwMode="auto">
        <a:xfrm>
          <a:off x="104775" y="114300"/>
          <a:ext cx="1704975" cy="542925"/>
        </a:xfrm>
        <a:prstGeom prst="rect">
          <a:avLst/>
        </a:prstGeom>
        <a:noFill/>
        <a:ln w="9525">
          <a:noFill/>
          <a:miter lim="800000"/>
          <a:headEnd/>
          <a:tailEnd/>
        </a:ln>
      </xdr:spPr>
    </xdr:pic>
    <xdr:clientData/>
  </xdr:twoCellAnchor>
  <xdr:twoCellAnchor editAs="oneCell">
    <xdr:from>
      <xdr:col>13</xdr:col>
      <xdr:colOff>19050</xdr:colOff>
      <xdr:row>0</xdr:row>
      <xdr:rowOff>114300</xdr:rowOff>
    </xdr:from>
    <xdr:to>
      <xdr:col>15</xdr:col>
      <xdr:colOff>438150</xdr:colOff>
      <xdr:row>5</xdr:row>
      <xdr:rowOff>247650</xdr:rowOff>
    </xdr:to>
    <xdr:pic>
      <xdr:nvPicPr>
        <xdr:cNvPr id="3" name="Picture 2" descr="C:\Documents and Settings\jford2\My Documents\My Pictures\Cargill Kitchen Solutions_black_1color A(1).jpg"/>
        <xdr:cNvPicPr>
          <a:picLocks noChangeAspect="1" noChangeArrowheads="1"/>
        </xdr:cNvPicPr>
      </xdr:nvPicPr>
      <xdr:blipFill>
        <a:blip xmlns:r="http://schemas.openxmlformats.org/officeDocument/2006/relationships" r:embed="rId2" cstate="print"/>
        <a:srcRect/>
        <a:stretch>
          <a:fillRect/>
        </a:stretch>
      </xdr:blipFill>
      <xdr:spPr bwMode="auto">
        <a:xfrm>
          <a:off x="10972800" y="114300"/>
          <a:ext cx="1504950" cy="94297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14</xdr:col>
      <xdr:colOff>638175</xdr:colOff>
      <xdr:row>0</xdr:row>
      <xdr:rowOff>9525</xdr:rowOff>
    </xdr:from>
    <xdr:to>
      <xdr:col>16</xdr:col>
      <xdr:colOff>819150</xdr:colOff>
      <xdr:row>2</xdr:row>
      <xdr:rowOff>123825</xdr:rowOff>
    </xdr:to>
    <xdr:pic>
      <xdr:nvPicPr>
        <xdr:cNvPr id="2" name="Picture 1" descr="MFI K12-logo"/>
        <xdr:cNvPicPr>
          <a:picLocks noChangeAspect="1" noChangeArrowheads="1"/>
        </xdr:cNvPicPr>
      </xdr:nvPicPr>
      <xdr:blipFill>
        <a:blip xmlns:r="http://schemas.openxmlformats.org/officeDocument/2006/relationships" r:embed="rId1" cstate="print"/>
        <a:srcRect/>
        <a:stretch>
          <a:fillRect/>
        </a:stretch>
      </xdr:blipFill>
      <xdr:spPr bwMode="auto">
        <a:xfrm>
          <a:off x="8639175" y="9525"/>
          <a:ext cx="1104900" cy="6191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Gary.Bornmueller@asmwaypoint.com" TargetMode="External"/><Relationship Id="rId2" Type="http://schemas.openxmlformats.org/officeDocument/2006/relationships/hyperlink" Target="mailto:Kelly.obrien@hockenberg.net" TargetMode="External"/><Relationship Id="rId1" Type="http://schemas.openxmlformats.org/officeDocument/2006/relationships/hyperlink" Target="mailto:wbrackett@cafefavorites.com"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cafefavorites.com/"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mailto:becky_turner@cargill.com"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tabColor rgb="FFFFFF00"/>
  </sheetPr>
  <dimension ref="A1:H14"/>
  <sheetViews>
    <sheetView tabSelected="1" workbookViewId="0">
      <selection activeCell="B13" sqref="B13"/>
    </sheetView>
  </sheetViews>
  <sheetFormatPr defaultRowHeight="15"/>
  <cols>
    <col min="1" max="1" width="24" customWidth="1"/>
    <col min="2" max="2" width="23.7109375" customWidth="1"/>
    <col min="3" max="3" width="18.5703125" customWidth="1"/>
    <col min="4" max="4" width="11.7109375" customWidth="1"/>
    <col min="5" max="5" width="13.28515625" customWidth="1"/>
    <col min="6" max="6" width="14.140625" customWidth="1"/>
    <col min="7" max="7" width="13.5703125" customWidth="1"/>
  </cols>
  <sheetData>
    <row r="1" spans="1:8" ht="15.75" thickBot="1"/>
    <row r="2" spans="1:8" ht="99" customHeight="1" thickBot="1">
      <c r="A2" s="272" t="s">
        <v>197</v>
      </c>
      <c r="B2" s="275" t="s">
        <v>195</v>
      </c>
      <c r="C2" s="276"/>
      <c r="D2" s="276"/>
      <c r="E2" s="276"/>
      <c r="F2" s="276"/>
      <c r="G2" s="277"/>
      <c r="H2" s="262"/>
    </row>
    <row r="3" spans="1:8" ht="30" customHeight="1" thickBot="1">
      <c r="A3" s="261"/>
      <c r="B3" s="273"/>
      <c r="C3" s="273"/>
      <c r="D3" s="273"/>
      <c r="E3" s="273"/>
      <c r="F3" s="273"/>
      <c r="G3" s="273"/>
      <c r="H3" s="262"/>
    </row>
    <row r="4" spans="1:8" ht="63.75" customHeight="1" thickBot="1">
      <c r="B4" s="278" t="s">
        <v>196</v>
      </c>
      <c r="C4" s="279"/>
      <c r="D4" s="279"/>
      <c r="E4" s="279"/>
      <c r="F4" s="279"/>
      <c r="G4" s="280"/>
      <c r="H4" s="262"/>
    </row>
    <row r="5" spans="1:8" ht="15.75" thickBot="1"/>
    <row r="6" spans="1:8" ht="31.5" customHeight="1" thickBot="1">
      <c r="A6" s="5" t="s">
        <v>0</v>
      </c>
      <c r="B6" s="5" t="s">
        <v>1</v>
      </c>
      <c r="C6" s="5" t="s">
        <v>8</v>
      </c>
      <c r="D6" s="5" t="s">
        <v>4</v>
      </c>
      <c r="E6" s="6" t="s">
        <v>11</v>
      </c>
      <c r="F6" s="5" t="s">
        <v>2</v>
      </c>
      <c r="G6" s="4" t="s">
        <v>3</v>
      </c>
    </row>
    <row r="7" spans="1:8" ht="15.75" thickBot="1">
      <c r="A7" s="268" t="s">
        <v>192</v>
      </c>
      <c r="B7" t="s">
        <v>5</v>
      </c>
      <c r="C7" s="271" t="s">
        <v>191</v>
      </c>
      <c r="D7">
        <v>10047</v>
      </c>
      <c r="E7" s="269">
        <f>CafeFavorites!N14</f>
        <v>0</v>
      </c>
      <c r="F7" s="1">
        <v>0.69599999999999995</v>
      </c>
      <c r="G7" s="2">
        <f>E7*F7</f>
        <v>0</v>
      </c>
    </row>
    <row r="8" spans="1:8" ht="15.75" thickBot="1">
      <c r="A8" s="268" t="s">
        <v>193</v>
      </c>
      <c r="B8" t="s">
        <v>6</v>
      </c>
      <c r="C8" s="271" t="s">
        <v>9</v>
      </c>
      <c r="D8">
        <v>10047</v>
      </c>
      <c r="E8" s="269">
        <f>CarGill!O35</f>
        <v>0</v>
      </c>
      <c r="F8" s="1">
        <v>0.69599999999999995</v>
      </c>
      <c r="G8" s="2">
        <f t="shared" ref="G8:G9" si="0">E8*F8</f>
        <v>0</v>
      </c>
    </row>
    <row r="9" spans="1:8" ht="15.75" thickBot="1">
      <c r="A9" s="268" t="s">
        <v>194</v>
      </c>
      <c r="B9" t="s">
        <v>7</v>
      </c>
      <c r="C9" s="271" t="s">
        <v>10</v>
      </c>
      <c r="D9">
        <v>10047</v>
      </c>
      <c r="E9" s="270">
        <f>MichaelFoods!Q44</f>
        <v>0</v>
      </c>
      <c r="F9" s="1">
        <v>0.69599999999999995</v>
      </c>
      <c r="G9" s="2">
        <f t="shared" si="0"/>
        <v>0</v>
      </c>
    </row>
    <row r="11" spans="1:8">
      <c r="C11" s="274" t="s">
        <v>188</v>
      </c>
      <c r="D11" s="274"/>
      <c r="E11" s="151">
        <f>SUM(E7:E9)</f>
        <v>0</v>
      </c>
      <c r="F11" s="260" t="s">
        <v>189</v>
      </c>
      <c r="G11" s="2"/>
    </row>
    <row r="13" spans="1:8">
      <c r="B13" s="3"/>
    </row>
    <row r="14" spans="1:8">
      <c r="B14" s="3"/>
    </row>
  </sheetData>
  <sheetProtection password="C307" sheet="1" objects="1" scenarios="1"/>
  <mergeCells count="3">
    <mergeCell ref="C11:D11"/>
    <mergeCell ref="B2:G2"/>
    <mergeCell ref="B4:G4"/>
  </mergeCells>
  <hyperlinks>
    <hyperlink ref="A7" location="CafeFavorites!A1" display="Café Favorites"/>
    <hyperlink ref="A8" location="CarGill!A1" display="Cargill Kitchen Solutions"/>
    <hyperlink ref="A9" location="MichaelFoods!A1" display="Michael Foods"/>
    <hyperlink ref="C7" r:id="rId1"/>
    <hyperlink ref="C8" r:id="rId2"/>
    <hyperlink ref="C9" r:id="rId3"/>
  </hyperlinks>
  <pageMargins left="0.2" right="0.25" top="0.25" bottom="0.25" header="0.05" footer="0.3"/>
  <pageSetup orientation="landscape" r:id="rId4"/>
</worksheet>
</file>

<file path=xl/worksheets/sheet2.xml><?xml version="1.0" encoding="utf-8"?>
<worksheet xmlns="http://schemas.openxmlformats.org/spreadsheetml/2006/main" xmlns:r="http://schemas.openxmlformats.org/officeDocument/2006/relationships">
  <sheetPr>
    <pageSetUpPr fitToPage="1"/>
  </sheetPr>
  <dimension ref="A1:Q33"/>
  <sheetViews>
    <sheetView workbookViewId="0"/>
  </sheetViews>
  <sheetFormatPr defaultRowHeight="12.75"/>
  <cols>
    <col min="1" max="1" width="10.140625" style="203" customWidth="1"/>
    <col min="2" max="2" width="44" style="203" customWidth="1"/>
    <col min="3" max="3" width="11.7109375" style="203" customWidth="1"/>
    <col min="4" max="4" width="12.140625" style="203" hidden="1" customWidth="1"/>
    <col min="5" max="5" width="12" style="203" customWidth="1"/>
    <col min="6" max="7" width="14.5703125" style="203" customWidth="1"/>
    <col min="8" max="8" width="3.7109375" style="203" customWidth="1"/>
    <col min="9" max="9" width="14.5703125" style="203" customWidth="1"/>
    <col min="10" max="10" width="3.7109375" style="203" customWidth="1"/>
    <col min="11" max="11" width="14.5703125" style="203" customWidth="1"/>
    <col min="12" max="12" width="3.7109375" style="203" customWidth="1"/>
    <col min="13" max="13" width="14.5703125" style="203" customWidth="1"/>
    <col min="14" max="14" width="3.7109375" style="203" customWidth="1"/>
    <col min="15" max="15" width="14.5703125" style="203" customWidth="1"/>
    <col min="16" max="16" width="11.42578125" style="203" bestFit="1" customWidth="1"/>
    <col min="17" max="17" width="12.85546875" style="203" bestFit="1" customWidth="1"/>
    <col min="18" max="256" width="9.140625" style="209"/>
    <col min="257" max="257" width="10.140625" style="209" customWidth="1"/>
    <col min="258" max="258" width="44" style="209" customWidth="1"/>
    <col min="259" max="259" width="11.7109375" style="209" customWidth="1"/>
    <col min="260" max="260" width="12.140625" style="209" customWidth="1"/>
    <col min="261" max="261" width="12" style="209" customWidth="1"/>
    <col min="262" max="263" width="14.5703125" style="209" customWidth="1"/>
    <col min="264" max="264" width="3.7109375" style="209" customWidth="1"/>
    <col min="265" max="265" width="14.5703125" style="209" customWidth="1"/>
    <col min="266" max="266" width="3.7109375" style="209" customWidth="1"/>
    <col min="267" max="267" width="14.5703125" style="209" customWidth="1"/>
    <col min="268" max="268" width="3.7109375" style="209" customWidth="1"/>
    <col min="269" max="269" width="14.5703125" style="209" customWidth="1"/>
    <col min="270" max="270" width="3.7109375" style="209" customWidth="1"/>
    <col min="271" max="271" width="14.5703125" style="209" customWidth="1"/>
    <col min="272" max="272" width="11.42578125" style="209" bestFit="1" customWidth="1"/>
    <col min="273" max="273" width="12.85546875" style="209" bestFit="1" customWidth="1"/>
    <col min="274" max="512" width="9.140625" style="209"/>
    <col min="513" max="513" width="10.140625" style="209" customWidth="1"/>
    <col min="514" max="514" width="44" style="209" customWidth="1"/>
    <col min="515" max="515" width="11.7109375" style="209" customWidth="1"/>
    <col min="516" max="516" width="12.140625" style="209" customWidth="1"/>
    <col min="517" max="517" width="12" style="209" customWidth="1"/>
    <col min="518" max="519" width="14.5703125" style="209" customWidth="1"/>
    <col min="520" max="520" width="3.7109375" style="209" customWidth="1"/>
    <col min="521" max="521" width="14.5703125" style="209" customWidth="1"/>
    <col min="522" max="522" width="3.7109375" style="209" customWidth="1"/>
    <col min="523" max="523" width="14.5703125" style="209" customWidth="1"/>
    <col min="524" max="524" width="3.7109375" style="209" customWidth="1"/>
    <col min="525" max="525" width="14.5703125" style="209" customWidth="1"/>
    <col min="526" max="526" width="3.7109375" style="209" customWidth="1"/>
    <col min="527" max="527" width="14.5703125" style="209" customWidth="1"/>
    <col min="528" max="528" width="11.42578125" style="209" bestFit="1" customWidth="1"/>
    <col min="529" max="529" width="12.85546875" style="209" bestFit="1" customWidth="1"/>
    <col min="530" max="768" width="9.140625" style="209"/>
    <col min="769" max="769" width="10.140625" style="209" customWidth="1"/>
    <col min="770" max="770" width="44" style="209" customWidth="1"/>
    <col min="771" max="771" width="11.7109375" style="209" customWidth="1"/>
    <col min="772" max="772" width="12.140625" style="209" customWidth="1"/>
    <col min="773" max="773" width="12" style="209" customWidth="1"/>
    <col min="774" max="775" width="14.5703125" style="209" customWidth="1"/>
    <col min="776" max="776" width="3.7109375" style="209" customWidth="1"/>
    <col min="777" max="777" width="14.5703125" style="209" customWidth="1"/>
    <col min="778" max="778" width="3.7109375" style="209" customWidth="1"/>
    <col min="779" max="779" width="14.5703125" style="209" customWidth="1"/>
    <col min="780" max="780" width="3.7109375" style="209" customWidth="1"/>
    <col min="781" max="781" width="14.5703125" style="209" customWidth="1"/>
    <col min="782" max="782" width="3.7109375" style="209" customWidth="1"/>
    <col min="783" max="783" width="14.5703125" style="209" customWidth="1"/>
    <col min="784" max="784" width="11.42578125" style="209" bestFit="1" customWidth="1"/>
    <col min="785" max="785" width="12.85546875" style="209" bestFit="1" customWidth="1"/>
    <col min="786" max="1024" width="9.140625" style="209"/>
    <col min="1025" max="1025" width="10.140625" style="209" customWidth="1"/>
    <col min="1026" max="1026" width="44" style="209" customWidth="1"/>
    <col min="1027" max="1027" width="11.7109375" style="209" customWidth="1"/>
    <col min="1028" max="1028" width="12.140625" style="209" customWidth="1"/>
    <col min="1029" max="1029" width="12" style="209" customWidth="1"/>
    <col min="1030" max="1031" width="14.5703125" style="209" customWidth="1"/>
    <col min="1032" max="1032" width="3.7109375" style="209" customWidth="1"/>
    <col min="1033" max="1033" width="14.5703125" style="209" customWidth="1"/>
    <col min="1034" max="1034" width="3.7109375" style="209" customWidth="1"/>
    <col min="1035" max="1035" width="14.5703125" style="209" customWidth="1"/>
    <col min="1036" max="1036" width="3.7109375" style="209" customWidth="1"/>
    <col min="1037" max="1037" width="14.5703125" style="209" customWidth="1"/>
    <col min="1038" max="1038" width="3.7109375" style="209" customWidth="1"/>
    <col min="1039" max="1039" width="14.5703125" style="209" customWidth="1"/>
    <col min="1040" max="1040" width="11.42578125" style="209" bestFit="1" customWidth="1"/>
    <col min="1041" max="1041" width="12.85546875" style="209" bestFit="1" customWidth="1"/>
    <col min="1042" max="1280" width="9.140625" style="209"/>
    <col min="1281" max="1281" width="10.140625" style="209" customWidth="1"/>
    <col min="1282" max="1282" width="44" style="209" customWidth="1"/>
    <col min="1283" max="1283" width="11.7109375" style="209" customWidth="1"/>
    <col min="1284" max="1284" width="12.140625" style="209" customWidth="1"/>
    <col min="1285" max="1285" width="12" style="209" customWidth="1"/>
    <col min="1286" max="1287" width="14.5703125" style="209" customWidth="1"/>
    <col min="1288" max="1288" width="3.7109375" style="209" customWidth="1"/>
    <col min="1289" max="1289" width="14.5703125" style="209" customWidth="1"/>
    <col min="1290" max="1290" width="3.7109375" style="209" customWidth="1"/>
    <col min="1291" max="1291" width="14.5703125" style="209" customWidth="1"/>
    <col min="1292" max="1292" width="3.7109375" style="209" customWidth="1"/>
    <col min="1293" max="1293" width="14.5703125" style="209" customWidth="1"/>
    <col min="1294" max="1294" width="3.7109375" style="209" customWidth="1"/>
    <col min="1295" max="1295" width="14.5703125" style="209" customWidth="1"/>
    <col min="1296" max="1296" width="11.42578125" style="209" bestFit="1" customWidth="1"/>
    <col min="1297" max="1297" width="12.85546875" style="209" bestFit="1" customWidth="1"/>
    <col min="1298" max="1536" width="9.140625" style="209"/>
    <col min="1537" max="1537" width="10.140625" style="209" customWidth="1"/>
    <col min="1538" max="1538" width="44" style="209" customWidth="1"/>
    <col min="1539" max="1539" width="11.7109375" style="209" customWidth="1"/>
    <col min="1540" max="1540" width="12.140625" style="209" customWidth="1"/>
    <col min="1541" max="1541" width="12" style="209" customWidth="1"/>
    <col min="1542" max="1543" width="14.5703125" style="209" customWidth="1"/>
    <col min="1544" max="1544" width="3.7109375" style="209" customWidth="1"/>
    <col min="1545" max="1545" width="14.5703125" style="209" customWidth="1"/>
    <col min="1546" max="1546" width="3.7109375" style="209" customWidth="1"/>
    <col min="1547" max="1547" width="14.5703125" style="209" customWidth="1"/>
    <col min="1548" max="1548" width="3.7109375" style="209" customWidth="1"/>
    <col min="1549" max="1549" width="14.5703125" style="209" customWidth="1"/>
    <col min="1550" max="1550" width="3.7109375" style="209" customWidth="1"/>
    <col min="1551" max="1551" width="14.5703125" style="209" customWidth="1"/>
    <col min="1552" max="1552" width="11.42578125" style="209" bestFit="1" customWidth="1"/>
    <col min="1553" max="1553" width="12.85546875" style="209" bestFit="1" customWidth="1"/>
    <col min="1554" max="1792" width="9.140625" style="209"/>
    <col min="1793" max="1793" width="10.140625" style="209" customWidth="1"/>
    <col min="1794" max="1794" width="44" style="209" customWidth="1"/>
    <col min="1795" max="1795" width="11.7109375" style="209" customWidth="1"/>
    <col min="1796" max="1796" width="12.140625" style="209" customWidth="1"/>
    <col min="1797" max="1797" width="12" style="209" customWidth="1"/>
    <col min="1798" max="1799" width="14.5703125" style="209" customWidth="1"/>
    <col min="1800" max="1800" width="3.7109375" style="209" customWidth="1"/>
    <col min="1801" max="1801" width="14.5703125" style="209" customWidth="1"/>
    <col min="1802" max="1802" width="3.7109375" style="209" customWidth="1"/>
    <col min="1803" max="1803" width="14.5703125" style="209" customWidth="1"/>
    <col min="1804" max="1804" width="3.7109375" style="209" customWidth="1"/>
    <col min="1805" max="1805" width="14.5703125" style="209" customWidth="1"/>
    <col min="1806" max="1806" width="3.7109375" style="209" customWidth="1"/>
    <col min="1807" max="1807" width="14.5703125" style="209" customWidth="1"/>
    <col min="1808" max="1808" width="11.42578125" style="209" bestFit="1" customWidth="1"/>
    <col min="1809" max="1809" width="12.85546875" style="209" bestFit="1" customWidth="1"/>
    <col min="1810" max="2048" width="9.140625" style="209"/>
    <col min="2049" max="2049" width="10.140625" style="209" customWidth="1"/>
    <col min="2050" max="2050" width="44" style="209" customWidth="1"/>
    <col min="2051" max="2051" width="11.7109375" style="209" customWidth="1"/>
    <col min="2052" max="2052" width="12.140625" style="209" customWidth="1"/>
    <col min="2053" max="2053" width="12" style="209" customWidth="1"/>
    <col min="2054" max="2055" width="14.5703125" style="209" customWidth="1"/>
    <col min="2056" max="2056" width="3.7109375" style="209" customWidth="1"/>
    <col min="2057" max="2057" width="14.5703125" style="209" customWidth="1"/>
    <col min="2058" max="2058" width="3.7109375" style="209" customWidth="1"/>
    <col min="2059" max="2059" width="14.5703125" style="209" customWidth="1"/>
    <col min="2060" max="2060" width="3.7109375" style="209" customWidth="1"/>
    <col min="2061" max="2061" width="14.5703125" style="209" customWidth="1"/>
    <col min="2062" max="2062" width="3.7109375" style="209" customWidth="1"/>
    <col min="2063" max="2063" width="14.5703125" style="209" customWidth="1"/>
    <col min="2064" max="2064" width="11.42578125" style="209" bestFit="1" customWidth="1"/>
    <col min="2065" max="2065" width="12.85546875" style="209" bestFit="1" customWidth="1"/>
    <col min="2066" max="2304" width="9.140625" style="209"/>
    <col min="2305" max="2305" width="10.140625" style="209" customWidth="1"/>
    <col min="2306" max="2306" width="44" style="209" customWidth="1"/>
    <col min="2307" max="2307" width="11.7109375" style="209" customWidth="1"/>
    <col min="2308" max="2308" width="12.140625" style="209" customWidth="1"/>
    <col min="2309" max="2309" width="12" style="209" customWidth="1"/>
    <col min="2310" max="2311" width="14.5703125" style="209" customWidth="1"/>
    <col min="2312" max="2312" width="3.7109375" style="209" customWidth="1"/>
    <col min="2313" max="2313" width="14.5703125" style="209" customWidth="1"/>
    <col min="2314" max="2314" width="3.7109375" style="209" customWidth="1"/>
    <col min="2315" max="2315" width="14.5703125" style="209" customWidth="1"/>
    <col min="2316" max="2316" width="3.7109375" style="209" customWidth="1"/>
    <col min="2317" max="2317" width="14.5703125" style="209" customWidth="1"/>
    <col min="2318" max="2318" width="3.7109375" style="209" customWidth="1"/>
    <col min="2319" max="2319" width="14.5703125" style="209" customWidth="1"/>
    <col min="2320" max="2320" width="11.42578125" style="209" bestFit="1" customWidth="1"/>
    <col min="2321" max="2321" width="12.85546875" style="209" bestFit="1" customWidth="1"/>
    <col min="2322" max="2560" width="9.140625" style="209"/>
    <col min="2561" max="2561" width="10.140625" style="209" customWidth="1"/>
    <col min="2562" max="2562" width="44" style="209" customWidth="1"/>
    <col min="2563" max="2563" width="11.7109375" style="209" customWidth="1"/>
    <col min="2564" max="2564" width="12.140625" style="209" customWidth="1"/>
    <col min="2565" max="2565" width="12" style="209" customWidth="1"/>
    <col min="2566" max="2567" width="14.5703125" style="209" customWidth="1"/>
    <col min="2568" max="2568" width="3.7109375" style="209" customWidth="1"/>
    <col min="2569" max="2569" width="14.5703125" style="209" customWidth="1"/>
    <col min="2570" max="2570" width="3.7109375" style="209" customWidth="1"/>
    <col min="2571" max="2571" width="14.5703125" style="209" customWidth="1"/>
    <col min="2572" max="2572" width="3.7109375" style="209" customWidth="1"/>
    <col min="2573" max="2573" width="14.5703125" style="209" customWidth="1"/>
    <col min="2574" max="2574" width="3.7109375" style="209" customWidth="1"/>
    <col min="2575" max="2575" width="14.5703125" style="209" customWidth="1"/>
    <col min="2576" max="2576" width="11.42578125" style="209" bestFit="1" customWidth="1"/>
    <col min="2577" max="2577" width="12.85546875" style="209" bestFit="1" customWidth="1"/>
    <col min="2578" max="2816" width="9.140625" style="209"/>
    <col min="2817" max="2817" width="10.140625" style="209" customWidth="1"/>
    <col min="2818" max="2818" width="44" style="209" customWidth="1"/>
    <col min="2819" max="2819" width="11.7109375" style="209" customWidth="1"/>
    <col min="2820" max="2820" width="12.140625" style="209" customWidth="1"/>
    <col min="2821" max="2821" width="12" style="209" customWidth="1"/>
    <col min="2822" max="2823" width="14.5703125" style="209" customWidth="1"/>
    <col min="2824" max="2824" width="3.7109375" style="209" customWidth="1"/>
    <col min="2825" max="2825" width="14.5703125" style="209" customWidth="1"/>
    <col min="2826" max="2826" width="3.7109375" style="209" customWidth="1"/>
    <col min="2827" max="2827" width="14.5703125" style="209" customWidth="1"/>
    <col min="2828" max="2828" width="3.7109375" style="209" customWidth="1"/>
    <col min="2829" max="2829" width="14.5703125" style="209" customWidth="1"/>
    <col min="2830" max="2830" width="3.7109375" style="209" customWidth="1"/>
    <col min="2831" max="2831" width="14.5703125" style="209" customWidth="1"/>
    <col min="2832" max="2832" width="11.42578125" style="209" bestFit="1" customWidth="1"/>
    <col min="2833" max="2833" width="12.85546875" style="209" bestFit="1" customWidth="1"/>
    <col min="2834" max="3072" width="9.140625" style="209"/>
    <col min="3073" max="3073" width="10.140625" style="209" customWidth="1"/>
    <col min="3074" max="3074" width="44" style="209" customWidth="1"/>
    <col min="3075" max="3075" width="11.7109375" style="209" customWidth="1"/>
    <col min="3076" max="3076" width="12.140625" style="209" customWidth="1"/>
    <col min="3077" max="3077" width="12" style="209" customWidth="1"/>
    <col min="3078" max="3079" width="14.5703125" style="209" customWidth="1"/>
    <col min="3080" max="3080" width="3.7109375" style="209" customWidth="1"/>
    <col min="3081" max="3081" width="14.5703125" style="209" customWidth="1"/>
    <col min="3082" max="3082" width="3.7109375" style="209" customWidth="1"/>
    <col min="3083" max="3083" width="14.5703125" style="209" customWidth="1"/>
    <col min="3084" max="3084" width="3.7109375" style="209" customWidth="1"/>
    <col min="3085" max="3085" width="14.5703125" style="209" customWidth="1"/>
    <col min="3086" max="3086" width="3.7109375" style="209" customWidth="1"/>
    <col min="3087" max="3087" width="14.5703125" style="209" customWidth="1"/>
    <col min="3088" max="3088" width="11.42578125" style="209" bestFit="1" customWidth="1"/>
    <col min="3089" max="3089" width="12.85546875" style="209" bestFit="1" customWidth="1"/>
    <col min="3090" max="3328" width="9.140625" style="209"/>
    <col min="3329" max="3329" width="10.140625" style="209" customWidth="1"/>
    <col min="3330" max="3330" width="44" style="209" customWidth="1"/>
    <col min="3331" max="3331" width="11.7109375" style="209" customWidth="1"/>
    <col min="3332" max="3332" width="12.140625" style="209" customWidth="1"/>
    <col min="3333" max="3333" width="12" style="209" customWidth="1"/>
    <col min="3334" max="3335" width="14.5703125" style="209" customWidth="1"/>
    <col min="3336" max="3336" width="3.7109375" style="209" customWidth="1"/>
    <col min="3337" max="3337" width="14.5703125" style="209" customWidth="1"/>
    <col min="3338" max="3338" width="3.7109375" style="209" customWidth="1"/>
    <col min="3339" max="3339" width="14.5703125" style="209" customWidth="1"/>
    <col min="3340" max="3340" width="3.7109375" style="209" customWidth="1"/>
    <col min="3341" max="3341" width="14.5703125" style="209" customWidth="1"/>
    <col min="3342" max="3342" width="3.7109375" style="209" customWidth="1"/>
    <col min="3343" max="3343" width="14.5703125" style="209" customWidth="1"/>
    <col min="3344" max="3344" width="11.42578125" style="209" bestFit="1" customWidth="1"/>
    <col min="3345" max="3345" width="12.85546875" style="209" bestFit="1" customWidth="1"/>
    <col min="3346" max="3584" width="9.140625" style="209"/>
    <col min="3585" max="3585" width="10.140625" style="209" customWidth="1"/>
    <col min="3586" max="3586" width="44" style="209" customWidth="1"/>
    <col min="3587" max="3587" width="11.7109375" style="209" customWidth="1"/>
    <col min="3588" max="3588" width="12.140625" style="209" customWidth="1"/>
    <col min="3589" max="3589" width="12" style="209" customWidth="1"/>
    <col min="3590" max="3591" width="14.5703125" style="209" customWidth="1"/>
    <col min="3592" max="3592" width="3.7109375" style="209" customWidth="1"/>
    <col min="3593" max="3593" width="14.5703125" style="209" customWidth="1"/>
    <col min="3594" max="3594" width="3.7109375" style="209" customWidth="1"/>
    <col min="3595" max="3595" width="14.5703125" style="209" customWidth="1"/>
    <col min="3596" max="3596" width="3.7109375" style="209" customWidth="1"/>
    <col min="3597" max="3597" width="14.5703125" style="209" customWidth="1"/>
    <col min="3598" max="3598" width="3.7109375" style="209" customWidth="1"/>
    <col min="3599" max="3599" width="14.5703125" style="209" customWidth="1"/>
    <col min="3600" max="3600" width="11.42578125" style="209" bestFit="1" customWidth="1"/>
    <col min="3601" max="3601" width="12.85546875" style="209" bestFit="1" customWidth="1"/>
    <col min="3602" max="3840" width="9.140625" style="209"/>
    <col min="3841" max="3841" width="10.140625" style="209" customWidth="1"/>
    <col min="3842" max="3842" width="44" style="209" customWidth="1"/>
    <col min="3843" max="3843" width="11.7109375" style="209" customWidth="1"/>
    <col min="3844" max="3844" width="12.140625" style="209" customWidth="1"/>
    <col min="3845" max="3845" width="12" style="209" customWidth="1"/>
    <col min="3846" max="3847" width="14.5703125" style="209" customWidth="1"/>
    <col min="3848" max="3848" width="3.7109375" style="209" customWidth="1"/>
    <col min="3849" max="3849" width="14.5703125" style="209" customWidth="1"/>
    <col min="3850" max="3850" width="3.7109375" style="209" customWidth="1"/>
    <col min="3851" max="3851" width="14.5703125" style="209" customWidth="1"/>
    <col min="3852" max="3852" width="3.7109375" style="209" customWidth="1"/>
    <col min="3853" max="3853" width="14.5703125" style="209" customWidth="1"/>
    <col min="3854" max="3854" width="3.7109375" style="209" customWidth="1"/>
    <col min="3855" max="3855" width="14.5703125" style="209" customWidth="1"/>
    <col min="3856" max="3856" width="11.42578125" style="209" bestFit="1" customWidth="1"/>
    <col min="3857" max="3857" width="12.85546875" style="209" bestFit="1" customWidth="1"/>
    <col min="3858" max="4096" width="9.140625" style="209"/>
    <col min="4097" max="4097" width="10.140625" style="209" customWidth="1"/>
    <col min="4098" max="4098" width="44" style="209" customWidth="1"/>
    <col min="4099" max="4099" width="11.7109375" style="209" customWidth="1"/>
    <col min="4100" max="4100" width="12.140625" style="209" customWidth="1"/>
    <col min="4101" max="4101" width="12" style="209" customWidth="1"/>
    <col min="4102" max="4103" width="14.5703125" style="209" customWidth="1"/>
    <col min="4104" max="4104" width="3.7109375" style="209" customWidth="1"/>
    <col min="4105" max="4105" width="14.5703125" style="209" customWidth="1"/>
    <col min="4106" max="4106" width="3.7109375" style="209" customWidth="1"/>
    <col min="4107" max="4107" width="14.5703125" style="209" customWidth="1"/>
    <col min="4108" max="4108" width="3.7109375" style="209" customWidth="1"/>
    <col min="4109" max="4109" width="14.5703125" style="209" customWidth="1"/>
    <col min="4110" max="4110" width="3.7109375" style="209" customWidth="1"/>
    <col min="4111" max="4111" width="14.5703125" style="209" customWidth="1"/>
    <col min="4112" max="4112" width="11.42578125" style="209" bestFit="1" customWidth="1"/>
    <col min="4113" max="4113" width="12.85546875" style="209" bestFit="1" customWidth="1"/>
    <col min="4114" max="4352" width="9.140625" style="209"/>
    <col min="4353" max="4353" width="10.140625" style="209" customWidth="1"/>
    <col min="4354" max="4354" width="44" style="209" customWidth="1"/>
    <col min="4355" max="4355" width="11.7109375" style="209" customWidth="1"/>
    <col min="4356" max="4356" width="12.140625" style="209" customWidth="1"/>
    <col min="4357" max="4357" width="12" style="209" customWidth="1"/>
    <col min="4358" max="4359" width="14.5703125" style="209" customWidth="1"/>
    <col min="4360" max="4360" width="3.7109375" style="209" customWidth="1"/>
    <col min="4361" max="4361" width="14.5703125" style="209" customWidth="1"/>
    <col min="4362" max="4362" width="3.7109375" style="209" customWidth="1"/>
    <col min="4363" max="4363" width="14.5703125" style="209" customWidth="1"/>
    <col min="4364" max="4364" width="3.7109375" style="209" customWidth="1"/>
    <col min="4365" max="4365" width="14.5703125" style="209" customWidth="1"/>
    <col min="4366" max="4366" width="3.7109375" style="209" customWidth="1"/>
    <col min="4367" max="4367" width="14.5703125" style="209" customWidth="1"/>
    <col min="4368" max="4368" width="11.42578125" style="209" bestFit="1" customWidth="1"/>
    <col min="4369" max="4369" width="12.85546875" style="209" bestFit="1" customWidth="1"/>
    <col min="4370" max="4608" width="9.140625" style="209"/>
    <col min="4609" max="4609" width="10.140625" style="209" customWidth="1"/>
    <col min="4610" max="4610" width="44" style="209" customWidth="1"/>
    <col min="4611" max="4611" width="11.7109375" style="209" customWidth="1"/>
    <col min="4612" max="4612" width="12.140625" style="209" customWidth="1"/>
    <col min="4613" max="4613" width="12" style="209" customWidth="1"/>
    <col min="4614" max="4615" width="14.5703125" style="209" customWidth="1"/>
    <col min="4616" max="4616" width="3.7109375" style="209" customWidth="1"/>
    <col min="4617" max="4617" width="14.5703125" style="209" customWidth="1"/>
    <col min="4618" max="4618" width="3.7109375" style="209" customWidth="1"/>
    <col min="4619" max="4619" width="14.5703125" style="209" customWidth="1"/>
    <col min="4620" max="4620" width="3.7109375" style="209" customWidth="1"/>
    <col min="4621" max="4621" width="14.5703125" style="209" customWidth="1"/>
    <col min="4622" max="4622" width="3.7109375" style="209" customWidth="1"/>
    <col min="4623" max="4623" width="14.5703125" style="209" customWidth="1"/>
    <col min="4624" max="4624" width="11.42578125" style="209" bestFit="1" customWidth="1"/>
    <col min="4625" max="4625" width="12.85546875" style="209" bestFit="1" customWidth="1"/>
    <col min="4626" max="4864" width="9.140625" style="209"/>
    <col min="4865" max="4865" width="10.140625" style="209" customWidth="1"/>
    <col min="4866" max="4866" width="44" style="209" customWidth="1"/>
    <col min="4867" max="4867" width="11.7109375" style="209" customWidth="1"/>
    <col min="4868" max="4868" width="12.140625" style="209" customWidth="1"/>
    <col min="4869" max="4869" width="12" style="209" customWidth="1"/>
    <col min="4870" max="4871" width="14.5703125" style="209" customWidth="1"/>
    <col min="4872" max="4872" width="3.7109375" style="209" customWidth="1"/>
    <col min="4873" max="4873" width="14.5703125" style="209" customWidth="1"/>
    <col min="4874" max="4874" width="3.7109375" style="209" customWidth="1"/>
    <col min="4875" max="4875" width="14.5703125" style="209" customWidth="1"/>
    <col min="4876" max="4876" width="3.7109375" style="209" customWidth="1"/>
    <col min="4877" max="4877" width="14.5703125" style="209" customWidth="1"/>
    <col min="4878" max="4878" width="3.7109375" style="209" customWidth="1"/>
    <col min="4879" max="4879" width="14.5703125" style="209" customWidth="1"/>
    <col min="4880" max="4880" width="11.42578125" style="209" bestFit="1" customWidth="1"/>
    <col min="4881" max="4881" width="12.85546875" style="209" bestFit="1" customWidth="1"/>
    <col min="4882" max="5120" width="9.140625" style="209"/>
    <col min="5121" max="5121" width="10.140625" style="209" customWidth="1"/>
    <col min="5122" max="5122" width="44" style="209" customWidth="1"/>
    <col min="5123" max="5123" width="11.7109375" style="209" customWidth="1"/>
    <col min="5124" max="5124" width="12.140625" style="209" customWidth="1"/>
    <col min="5125" max="5125" width="12" style="209" customWidth="1"/>
    <col min="5126" max="5127" width="14.5703125" style="209" customWidth="1"/>
    <col min="5128" max="5128" width="3.7109375" style="209" customWidth="1"/>
    <col min="5129" max="5129" width="14.5703125" style="209" customWidth="1"/>
    <col min="5130" max="5130" width="3.7109375" style="209" customWidth="1"/>
    <col min="5131" max="5131" width="14.5703125" style="209" customWidth="1"/>
    <col min="5132" max="5132" width="3.7109375" style="209" customWidth="1"/>
    <col min="5133" max="5133" width="14.5703125" style="209" customWidth="1"/>
    <col min="5134" max="5134" width="3.7109375" style="209" customWidth="1"/>
    <col min="5135" max="5135" width="14.5703125" style="209" customWidth="1"/>
    <col min="5136" max="5136" width="11.42578125" style="209" bestFit="1" customWidth="1"/>
    <col min="5137" max="5137" width="12.85546875" style="209" bestFit="1" customWidth="1"/>
    <col min="5138" max="5376" width="9.140625" style="209"/>
    <col min="5377" max="5377" width="10.140625" style="209" customWidth="1"/>
    <col min="5378" max="5378" width="44" style="209" customWidth="1"/>
    <col min="5379" max="5379" width="11.7109375" style="209" customWidth="1"/>
    <col min="5380" max="5380" width="12.140625" style="209" customWidth="1"/>
    <col min="5381" max="5381" width="12" style="209" customWidth="1"/>
    <col min="5382" max="5383" width="14.5703125" style="209" customWidth="1"/>
    <col min="5384" max="5384" width="3.7109375" style="209" customWidth="1"/>
    <col min="5385" max="5385" width="14.5703125" style="209" customWidth="1"/>
    <col min="5386" max="5386" width="3.7109375" style="209" customWidth="1"/>
    <col min="5387" max="5387" width="14.5703125" style="209" customWidth="1"/>
    <col min="5388" max="5388" width="3.7109375" style="209" customWidth="1"/>
    <col min="5389" max="5389" width="14.5703125" style="209" customWidth="1"/>
    <col min="5390" max="5390" width="3.7109375" style="209" customWidth="1"/>
    <col min="5391" max="5391" width="14.5703125" style="209" customWidth="1"/>
    <col min="5392" max="5392" width="11.42578125" style="209" bestFit="1" customWidth="1"/>
    <col min="5393" max="5393" width="12.85546875" style="209" bestFit="1" customWidth="1"/>
    <col min="5394" max="5632" width="9.140625" style="209"/>
    <col min="5633" max="5633" width="10.140625" style="209" customWidth="1"/>
    <col min="5634" max="5634" width="44" style="209" customWidth="1"/>
    <col min="5635" max="5635" width="11.7109375" style="209" customWidth="1"/>
    <col min="5636" max="5636" width="12.140625" style="209" customWidth="1"/>
    <col min="5637" max="5637" width="12" style="209" customWidth="1"/>
    <col min="5638" max="5639" width="14.5703125" style="209" customWidth="1"/>
    <col min="5640" max="5640" width="3.7109375" style="209" customWidth="1"/>
    <col min="5641" max="5641" width="14.5703125" style="209" customWidth="1"/>
    <col min="5642" max="5642" width="3.7109375" style="209" customWidth="1"/>
    <col min="5643" max="5643" width="14.5703125" style="209" customWidth="1"/>
    <col min="5644" max="5644" width="3.7109375" style="209" customWidth="1"/>
    <col min="5645" max="5645" width="14.5703125" style="209" customWidth="1"/>
    <col min="5646" max="5646" width="3.7109375" style="209" customWidth="1"/>
    <col min="5647" max="5647" width="14.5703125" style="209" customWidth="1"/>
    <col min="5648" max="5648" width="11.42578125" style="209" bestFit="1" customWidth="1"/>
    <col min="5649" max="5649" width="12.85546875" style="209" bestFit="1" customWidth="1"/>
    <col min="5650" max="5888" width="9.140625" style="209"/>
    <col min="5889" max="5889" width="10.140625" style="209" customWidth="1"/>
    <col min="5890" max="5890" width="44" style="209" customWidth="1"/>
    <col min="5891" max="5891" width="11.7109375" style="209" customWidth="1"/>
    <col min="5892" max="5892" width="12.140625" style="209" customWidth="1"/>
    <col min="5893" max="5893" width="12" style="209" customWidth="1"/>
    <col min="5894" max="5895" width="14.5703125" style="209" customWidth="1"/>
    <col min="5896" max="5896" width="3.7109375" style="209" customWidth="1"/>
    <col min="5897" max="5897" width="14.5703125" style="209" customWidth="1"/>
    <col min="5898" max="5898" width="3.7109375" style="209" customWidth="1"/>
    <col min="5899" max="5899" width="14.5703125" style="209" customWidth="1"/>
    <col min="5900" max="5900" width="3.7109375" style="209" customWidth="1"/>
    <col min="5901" max="5901" width="14.5703125" style="209" customWidth="1"/>
    <col min="5902" max="5902" width="3.7109375" style="209" customWidth="1"/>
    <col min="5903" max="5903" width="14.5703125" style="209" customWidth="1"/>
    <col min="5904" max="5904" width="11.42578125" style="209" bestFit="1" customWidth="1"/>
    <col min="5905" max="5905" width="12.85546875" style="209" bestFit="1" customWidth="1"/>
    <col min="5906" max="6144" width="9.140625" style="209"/>
    <col min="6145" max="6145" width="10.140625" style="209" customWidth="1"/>
    <col min="6146" max="6146" width="44" style="209" customWidth="1"/>
    <col min="6147" max="6147" width="11.7109375" style="209" customWidth="1"/>
    <col min="6148" max="6148" width="12.140625" style="209" customWidth="1"/>
    <col min="6149" max="6149" width="12" style="209" customWidth="1"/>
    <col min="6150" max="6151" width="14.5703125" style="209" customWidth="1"/>
    <col min="6152" max="6152" width="3.7109375" style="209" customWidth="1"/>
    <col min="6153" max="6153" width="14.5703125" style="209" customWidth="1"/>
    <col min="6154" max="6154" width="3.7109375" style="209" customWidth="1"/>
    <col min="6155" max="6155" width="14.5703125" style="209" customWidth="1"/>
    <col min="6156" max="6156" width="3.7109375" style="209" customWidth="1"/>
    <col min="6157" max="6157" width="14.5703125" style="209" customWidth="1"/>
    <col min="6158" max="6158" width="3.7109375" style="209" customWidth="1"/>
    <col min="6159" max="6159" width="14.5703125" style="209" customWidth="1"/>
    <col min="6160" max="6160" width="11.42578125" style="209" bestFit="1" customWidth="1"/>
    <col min="6161" max="6161" width="12.85546875" style="209" bestFit="1" customWidth="1"/>
    <col min="6162" max="6400" width="9.140625" style="209"/>
    <col min="6401" max="6401" width="10.140625" style="209" customWidth="1"/>
    <col min="6402" max="6402" width="44" style="209" customWidth="1"/>
    <col min="6403" max="6403" width="11.7109375" style="209" customWidth="1"/>
    <col min="6404" max="6404" width="12.140625" style="209" customWidth="1"/>
    <col min="6405" max="6405" width="12" style="209" customWidth="1"/>
    <col min="6406" max="6407" width="14.5703125" style="209" customWidth="1"/>
    <col min="6408" max="6408" width="3.7109375" style="209" customWidth="1"/>
    <col min="6409" max="6409" width="14.5703125" style="209" customWidth="1"/>
    <col min="6410" max="6410" width="3.7109375" style="209" customWidth="1"/>
    <col min="6411" max="6411" width="14.5703125" style="209" customWidth="1"/>
    <col min="6412" max="6412" width="3.7109375" style="209" customWidth="1"/>
    <col min="6413" max="6413" width="14.5703125" style="209" customWidth="1"/>
    <col min="6414" max="6414" width="3.7109375" style="209" customWidth="1"/>
    <col min="6415" max="6415" width="14.5703125" style="209" customWidth="1"/>
    <col min="6416" max="6416" width="11.42578125" style="209" bestFit="1" customWidth="1"/>
    <col min="6417" max="6417" width="12.85546875" style="209" bestFit="1" customWidth="1"/>
    <col min="6418" max="6656" width="9.140625" style="209"/>
    <col min="6657" max="6657" width="10.140625" style="209" customWidth="1"/>
    <col min="6658" max="6658" width="44" style="209" customWidth="1"/>
    <col min="6659" max="6659" width="11.7109375" style="209" customWidth="1"/>
    <col min="6660" max="6660" width="12.140625" style="209" customWidth="1"/>
    <col min="6661" max="6661" width="12" style="209" customWidth="1"/>
    <col min="6662" max="6663" width="14.5703125" style="209" customWidth="1"/>
    <col min="6664" max="6664" width="3.7109375" style="209" customWidth="1"/>
    <col min="6665" max="6665" width="14.5703125" style="209" customWidth="1"/>
    <col min="6666" max="6666" width="3.7109375" style="209" customWidth="1"/>
    <col min="6667" max="6667" width="14.5703125" style="209" customWidth="1"/>
    <col min="6668" max="6668" width="3.7109375" style="209" customWidth="1"/>
    <col min="6669" max="6669" width="14.5703125" style="209" customWidth="1"/>
    <col min="6670" max="6670" width="3.7109375" style="209" customWidth="1"/>
    <col min="6671" max="6671" width="14.5703125" style="209" customWidth="1"/>
    <col min="6672" max="6672" width="11.42578125" style="209" bestFit="1" customWidth="1"/>
    <col min="6673" max="6673" width="12.85546875" style="209" bestFit="1" customWidth="1"/>
    <col min="6674" max="6912" width="9.140625" style="209"/>
    <col min="6913" max="6913" width="10.140625" style="209" customWidth="1"/>
    <col min="6914" max="6914" width="44" style="209" customWidth="1"/>
    <col min="6915" max="6915" width="11.7109375" style="209" customWidth="1"/>
    <col min="6916" max="6916" width="12.140625" style="209" customWidth="1"/>
    <col min="6917" max="6917" width="12" style="209" customWidth="1"/>
    <col min="6918" max="6919" width="14.5703125" style="209" customWidth="1"/>
    <col min="6920" max="6920" width="3.7109375" style="209" customWidth="1"/>
    <col min="6921" max="6921" width="14.5703125" style="209" customWidth="1"/>
    <col min="6922" max="6922" width="3.7109375" style="209" customWidth="1"/>
    <col min="6923" max="6923" width="14.5703125" style="209" customWidth="1"/>
    <col min="6924" max="6924" width="3.7109375" style="209" customWidth="1"/>
    <col min="6925" max="6925" width="14.5703125" style="209" customWidth="1"/>
    <col min="6926" max="6926" width="3.7109375" style="209" customWidth="1"/>
    <col min="6927" max="6927" width="14.5703125" style="209" customWidth="1"/>
    <col min="6928" max="6928" width="11.42578125" style="209" bestFit="1" customWidth="1"/>
    <col min="6929" max="6929" width="12.85546875" style="209" bestFit="1" customWidth="1"/>
    <col min="6930" max="7168" width="9.140625" style="209"/>
    <col min="7169" max="7169" width="10.140625" style="209" customWidth="1"/>
    <col min="7170" max="7170" width="44" style="209" customWidth="1"/>
    <col min="7171" max="7171" width="11.7109375" style="209" customWidth="1"/>
    <col min="7172" max="7172" width="12.140625" style="209" customWidth="1"/>
    <col min="7173" max="7173" width="12" style="209" customWidth="1"/>
    <col min="7174" max="7175" width="14.5703125" style="209" customWidth="1"/>
    <col min="7176" max="7176" width="3.7109375" style="209" customWidth="1"/>
    <col min="7177" max="7177" width="14.5703125" style="209" customWidth="1"/>
    <col min="7178" max="7178" width="3.7109375" style="209" customWidth="1"/>
    <col min="7179" max="7179" width="14.5703125" style="209" customWidth="1"/>
    <col min="7180" max="7180" width="3.7109375" style="209" customWidth="1"/>
    <col min="7181" max="7181" width="14.5703125" style="209" customWidth="1"/>
    <col min="7182" max="7182" width="3.7109375" style="209" customWidth="1"/>
    <col min="7183" max="7183" width="14.5703125" style="209" customWidth="1"/>
    <col min="7184" max="7184" width="11.42578125" style="209" bestFit="1" customWidth="1"/>
    <col min="7185" max="7185" width="12.85546875" style="209" bestFit="1" customWidth="1"/>
    <col min="7186" max="7424" width="9.140625" style="209"/>
    <col min="7425" max="7425" width="10.140625" style="209" customWidth="1"/>
    <col min="7426" max="7426" width="44" style="209" customWidth="1"/>
    <col min="7427" max="7427" width="11.7109375" style="209" customWidth="1"/>
    <col min="7428" max="7428" width="12.140625" style="209" customWidth="1"/>
    <col min="7429" max="7429" width="12" style="209" customWidth="1"/>
    <col min="7430" max="7431" width="14.5703125" style="209" customWidth="1"/>
    <col min="7432" max="7432" width="3.7109375" style="209" customWidth="1"/>
    <col min="7433" max="7433" width="14.5703125" style="209" customWidth="1"/>
    <col min="7434" max="7434" width="3.7109375" style="209" customWidth="1"/>
    <col min="7435" max="7435" width="14.5703125" style="209" customWidth="1"/>
    <col min="7436" max="7436" width="3.7109375" style="209" customWidth="1"/>
    <col min="7437" max="7437" width="14.5703125" style="209" customWidth="1"/>
    <col min="7438" max="7438" width="3.7109375" style="209" customWidth="1"/>
    <col min="7439" max="7439" width="14.5703125" style="209" customWidth="1"/>
    <col min="7440" max="7440" width="11.42578125" style="209" bestFit="1" customWidth="1"/>
    <col min="7441" max="7441" width="12.85546875" style="209" bestFit="1" customWidth="1"/>
    <col min="7442" max="7680" width="9.140625" style="209"/>
    <col min="7681" max="7681" width="10.140625" style="209" customWidth="1"/>
    <col min="7682" max="7682" width="44" style="209" customWidth="1"/>
    <col min="7683" max="7683" width="11.7109375" style="209" customWidth="1"/>
    <col min="7684" max="7684" width="12.140625" style="209" customWidth="1"/>
    <col min="7685" max="7685" width="12" style="209" customWidth="1"/>
    <col min="7686" max="7687" width="14.5703125" style="209" customWidth="1"/>
    <col min="7688" max="7688" width="3.7109375" style="209" customWidth="1"/>
    <col min="7689" max="7689" width="14.5703125" style="209" customWidth="1"/>
    <col min="7690" max="7690" width="3.7109375" style="209" customWidth="1"/>
    <col min="7691" max="7691" width="14.5703125" style="209" customWidth="1"/>
    <col min="7692" max="7692" width="3.7109375" style="209" customWidth="1"/>
    <col min="7693" max="7693" width="14.5703125" style="209" customWidth="1"/>
    <col min="7694" max="7694" width="3.7109375" style="209" customWidth="1"/>
    <col min="7695" max="7695" width="14.5703125" style="209" customWidth="1"/>
    <col min="7696" max="7696" width="11.42578125" style="209" bestFit="1" customWidth="1"/>
    <col min="7697" max="7697" width="12.85546875" style="209" bestFit="1" customWidth="1"/>
    <col min="7698" max="7936" width="9.140625" style="209"/>
    <col min="7937" max="7937" width="10.140625" style="209" customWidth="1"/>
    <col min="7938" max="7938" width="44" style="209" customWidth="1"/>
    <col min="7939" max="7939" width="11.7109375" style="209" customWidth="1"/>
    <col min="7940" max="7940" width="12.140625" style="209" customWidth="1"/>
    <col min="7941" max="7941" width="12" style="209" customWidth="1"/>
    <col min="7942" max="7943" width="14.5703125" style="209" customWidth="1"/>
    <col min="7944" max="7944" width="3.7109375" style="209" customWidth="1"/>
    <col min="7945" max="7945" width="14.5703125" style="209" customWidth="1"/>
    <col min="7946" max="7946" width="3.7109375" style="209" customWidth="1"/>
    <col min="7947" max="7947" width="14.5703125" style="209" customWidth="1"/>
    <col min="7948" max="7948" width="3.7109375" style="209" customWidth="1"/>
    <col min="7949" max="7949" width="14.5703125" style="209" customWidth="1"/>
    <col min="7950" max="7950" width="3.7109375" style="209" customWidth="1"/>
    <col min="7951" max="7951" width="14.5703125" style="209" customWidth="1"/>
    <col min="7952" max="7952" width="11.42578125" style="209" bestFit="1" customWidth="1"/>
    <col min="7953" max="7953" width="12.85546875" style="209" bestFit="1" customWidth="1"/>
    <col min="7954" max="8192" width="9.140625" style="209"/>
    <col min="8193" max="8193" width="10.140625" style="209" customWidth="1"/>
    <col min="8194" max="8194" width="44" style="209" customWidth="1"/>
    <col min="8195" max="8195" width="11.7109375" style="209" customWidth="1"/>
    <col min="8196" max="8196" width="12.140625" style="209" customWidth="1"/>
    <col min="8197" max="8197" width="12" style="209" customWidth="1"/>
    <col min="8198" max="8199" width="14.5703125" style="209" customWidth="1"/>
    <col min="8200" max="8200" width="3.7109375" style="209" customWidth="1"/>
    <col min="8201" max="8201" width="14.5703125" style="209" customWidth="1"/>
    <col min="8202" max="8202" width="3.7109375" style="209" customWidth="1"/>
    <col min="8203" max="8203" width="14.5703125" style="209" customWidth="1"/>
    <col min="8204" max="8204" width="3.7109375" style="209" customWidth="1"/>
    <col min="8205" max="8205" width="14.5703125" style="209" customWidth="1"/>
    <col min="8206" max="8206" width="3.7109375" style="209" customWidth="1"/>
    <col min="8207" max="8207" width="14.5703125" style="209" customWidth="1"/>
    <col min="8208" max="8208" width="11.42578125" style="209" bestFit="1" customWidth="1"/>
    <col min="8209" max="8209" width="12.85546875" style="209" bestFit="1" customWidth="1"/>
    <col min="8210" max="8448" width="9.140625" style="209"/>
    <col min="8449" max="8449" width="10.140625" style="209" customWidth="1"/>
    <col min="8450" max="8450" width="44" style="209" customWidth="1"/>
    <col min="8451" max="8451" width="11.7109375" style="209" customWidth="1"/>
    <col min="8452" max="8452" width="12.140625" style="209" customWidth="1"/>
    <col min="8453" max="8453" width="12" style="209" customWidth="1"/>
    <col min="8454" max="8455" width="14.5703125" style="209" customWidth="1"/>
    <col min="8456" max="8456" width="3.7109375" style="209" customWidth="1"/>
    <col min="8457" max="8457" width="14.5703125" style="209" customWidth="1"/>
    <col min="8458" max="8458" width="3.7109375" style="209" customWidth="1"/>
    <col min="8459" max="8459" width="14.5703125" style="209" customWidth="1"/>
    <col min="8460" max="8460" width="3.7109375" style="209" customWidth="1"/>
    <col min="8461" max="8461" width="14.5703125" style="209" customWidth="1"/>
    <col min="8462" max="8462" width="3.7109375" style="209" customWidth="1"/>
    <col min="8463" max="8463" width="14.5703125" style="209" customWidth="1"/>
    <col min="8464" max="8464" width="11.42578125" style="209" bestFit="1" customWidth="1"/>
    <col min="8465" max="8465" width="12.85546875" style="209" bestFit="1" customWidth="1"/>
    <col min="8466" max="8704" width="9.140625" style="209"/>
    <col min="8705" max="8705" width="10.140625" style="209" customWidth="1"/>
    <col min="8706" max="8706" width="44" style="209" customWidth="1"/>
    <col min="8707" max="8707" width="11.7109375" style="209" customWidth="1"/>
    <col min="8708" max="8708" width="12.140625" style="209" customWidth="1"/>
    <col min="8709" max="8709" width="12" style="209" customWidth="1"/>
    <col min="8710" max="8711" width="14.5703125" style="209" customWidth="1"/>
    <col min="8712" max="8712" width="3.7109375" style="209" customWidth="1"/>
    <col min="8713" max="8713" width="14.5703125" style="209" customWidth="1"/>
    <col min="8714" max="8714" width="3.7109375" style="209" customWidth="1"/>
    <col min="8715" max="8715" width="14.5703125" style="209" customWidth="1"/>
    <col min="8716" max="8716" width="3.7109375" style="209" customWidth="1"/>
    <col min="8717" max="8717" width="14.5703125" style="209" customWidth="1"/>
    <col min="8718" max="8718" width="3.7109375" style="209" customWidth="1"/>
    <col min="8719" max="8719" width="14.5703125" style="209" customWidth="1"/>
    <col min="8720" max="8720" width="11.42578125" style="209" bestFit="1" customWidth="1"/>
    <col min="8721" max="8721" width="12.85546875" style="209" bestFit="1" customWidth="1"/>
    <col min="8722" max="8960" width="9.140625" style="209"/>
    <col min="8961" max="8961" width="10.140625" style="209" customWidth="1"/>
    <col min="8962" max="8962" width="44" style="209" customWidth="1"/>
    <col min="8963" max="8963" width="11.7109375" style="209" customWidth="1"/>
    <col min="8964" max="8964" width="12.140625" style="209" customWidth="1"/>
    <col min="8965" max="8965" width="12" style="209" customWidth="1"/>
    <col min="8966" max="8967" width="14.5703125" style="209" customWidth="1"/>
    <col min="8968" max="8968" width="3.7109375" style="209" customWidth="1"/>
    <col min="8969" max="8969" width="14.5703125" style="209" customWidth="1"/>
    <col min="8970" max="8970" width="3.7109375" style="209" customWidth="1"/>
    <col min="8971" max="8971" width="14.5703125" style="209" customWidth="1"/>
    <col min="8972" max="8972" width="3.7109375" style="209" customWidth="1"/>
    <col min="8973" max="8973" width="14.5703125" style="209" customWidth="1"/>
    <col min="8974" max="8974" width="3.7109375" style="209" customWidth="1"/>
    <col min="8975" max="8975" width="14.5703125" style="209" customWidth="1"/>
    <col min="8976" max="8976" width="11.42578125" style="209" bestFit="1" customWidth="1"/>
    <col min="8977" max="8977" width="12.85546875" style="209" bestFit="1" customWidth="1"/>
    <col min="8978" max="9216" width="9.140625" style="209"/>
    <col min="9217" max="9217" width="10.140625" style="209" customWidth="1"/>
    <col min="9218" max="9218" width="44" style="209" customWidth="1"/>
    <col min="9219" max="9219" width="11.7109375" style="209" customWidth="1"/>
    <col min="9220" max="9220" width="12.140625" style="209" customWidth="1"/>
    <col min="9221" max="9221" width="12" style="209" customWidth="1"/>
    <col min="9222" max="9223" width="14.5703125" style="209" customWidth="1"/>
    <col min="9224" max="9224" width="3.7109375" style="209" customWidth="1"/>
    <col min="9225" max="9225" width="14.5703125" style="209" customWidth="1"/>
    <col min="9226" max="9226" width="3.7109375" style="209" customWidth="1"/>
    <col min="9227" max="9227" width="14.5703125" style="209" customWidth="1"/>
    <col min="9228" max="9228" width="3.7109375" style="209" customWidth="1"/>
    <col min="9229" max="9229" width="14.5703125" style="209" customWidth="1"/>
    <col min="9230" max="9230" width="3.7109375" style="209" customWidth="1"/>
    <col min="9231" max="9231" width="14.5703125" style="209" customWidth="1"/>
    <col min="9232" max="9232" width="11.42578125" style="209" bestFit="1" customWidth="1"/>
    <col min="9233" max="9233" width="12.85546875" style="209" bestFit="1" customWidth="1"/>
    <col min="9234" max="9472" width="9.140625" style="209"/>
    <col min="9473" max="9473" width="10.140625" style="209" customWidth="1"/>
    <col min="9474" max="9474" width="44" style="209" customWidth="1"/>
    <col min="9475" max="9475" width="11.7109375" style="209" customWidth="1"/>
    <col min="9476" max="9476" width="12.140625" style="209" customWidth="1"/>
    <col min="9477" max="9477" width="12" style="209" customWidth="1"/>
    <col min="9478" max="9479" width="14.5703125" style="209" customWidth="1"/>
    <col min="9480" max="9480" width="3.7109375" style="209" customWidth="1"/>
    <col min="9481" max="9481" width="14.5703125" style="209" customWidth="1"/>
    <col min="9482" max="9482" width="3.7109375" style="209" customWidth="1"/>
    <col min="9483" max="9483" width="14.5703125" style="209" customWidth="1"/>
    <col min="9484" max="9484" width="3.7109375" style="209" customWidth="1"/>
    <col min="9485" max="9485" width="14.5703125" style="209" customWidth="1"/>
    <col min="9486" max="9486" width="3.7109375" style="209" customWidth="1"/>
    <col min="9487" max="9487" width="14.5703125" style="209" customWidth="1"/>
    <col min="9488" max="9488" width="11.42578125" style="209" bestFit="1" customWidth="1"/>
    <col min="9489" max="9489" width="12.85546875" style="209" bestFit="1" customWidth="1"/>
    <col min="9490" max="9728" width="9.140625" style="209"/>
    <col min="9729" max="9729" width="10.140625" style="209" customWidth="1"/>
    <col min="9730" max="9730" width="44" style="209" customWidth="1"/>
    <col min="9731" max="9731" width="11.7109375" style="209" customWidth="1"/>
    <col min="9732" max="9732" width="12.140625" style="209" customWidth="1"/>
    <col min="9733" max="9733" width="12" style="209" customWidth="1"/>
    <col min="9734" max="9735" width="14.5703125" style="209" customWidth="1"/>
    <col min="9736" max="9736" width="3.7109375" style="209" customWidth="1"/>
    <col min="9737" max="9737" width="14.5703125" style="209" customWidth="1"/>
    <col min="9738" max="9738" width="3.7109375" style="209" customWidth="1"/>
    <col min="9739" max="9739" width="14.5703125" style="209" customWidth="1"/>
    <col min="9740" max="9740" width="3.7109375" style="209" customWidth="1"/>
    <col min="9741" max="9741" width="14.5703125" style="209" customWidth="1"/>
    <col min="9742" max="9742" width="3.7109375" style="209" customWidth="1"/>
    <col min="9743" max="9743" width="14.5703125" style="209" customWidth="1"/>
    <col min="9744" max="9744" width="11.42578125" style="209" bestFit="1" customWidth="1"/>
    <col min="9745" max="9745" width="12.85546875" style="209" bestFit="1" customWidth="1"/>
    <col min="9746" max="9984" width="9.140625" style="209"/>
    <col min="9985" max="9985" width="10.140625" style="209" customWidth="1"/>
    <col min="9986" max="9986" width="44" style="209" customWidth="1"/>
    <col min="9987" max="9987" width="11.7109375" style="209" customWidth="1"/>
    <col min="9988" max="9988" width="12.140625" style="209" customWidth="1"/>
    <col min="9989" max="9989" width="12" style="209" customWidth="1"/>
    <col min="9990" max="9991" width="14.5703125" style="209" customWidth="1"/>
    <col min="9992" max="9992" width="3.7109375" style="209" customWidth="1"/>
    <col min="9993" max="9993" width="14.5703125" style="209" customWidth="1"/>
    <col min="9994" max="9994" width="3.7109375" style="209" customWidth="1"/>
    <col min="9995" max="9995" width="14.5703125" style="209" customWidth="1"/>
    <col min="9996" max="9996" width="3.7109375" style="209" customWidth="1"/>
    <col min="9997" max="9997" width="14.5703125" style="209" customWidth="1"/>
    <col min="9998" max="9998" width="3.7109375" style="209" customWidth="1"/>
    <col min="9999" max="9999" width="14.5703125" style="209" customWidth="1"/>
    <col min="10000" max="10000" width="11.42578125" style="209" bestFit="1" customWidth="1"/>
    <col min="10001" max="10001" width="12.85546875" style="209" bestFit="1" customWidth="1"/>
    <col min="10002" max="10240" width="9.140625" style="209"/>
    <col min="10241" max="10241" width="10.140625" style="209" customWidth="1"/>
    <col min="10242" max="10242" width="44" style="209" customWidth="1"/>
    <col min="10243" max="10243" width="11.7109375" style="209" customWidth="1"/>
    <col min="10244" max="10244" width="12.140625" style="209" customWidth="1"/>
    <col min="10245" max="10245" width="12" style="209" customWidth="1"/>
    <col min="10246" max="10247" width="14.5703125" style="209" customWidth="1"/>
    <col min="10248" max="10248" width="3.7109375" style="209" customWidth="1"/>
    <col min="10249" max="10249" width="14.5703125" style="209" customWidth="1"/>
    <col min="10250" max="10250" width="3.7109375" style="209" customWidth="1"/>
    <col min="10251" max="10251" width="14.5703125" style="209" customWidth="1"/>
    <col min="10252" max="10252" width="3.7109375" style="209" customWidth="1"/>
    <col min="10253" max="10253" width="14.5703125" style="209" customWidth="1"/>
    <col min="10254" max="10254" width="3.7109375" style="209" customWidth="1"/>
    <col min="10255" max="10255" width="14.5703125" style="209" customWidth="1"/>
    <col min="10256" max="10256" width="11.42578125" style="209" bestFit="1" customWidth="1"/>
    <col min="10257" max="10257" width="12.85546875" style="209" bestFit="1" customWidth="1"/>
    <col min="10258" max="10496" width="9.140625" style="209"/>
    <col min="10497" max="10497" width="10.140625" style="209" customWidth="1"/>
    <col min="10498" max="10498" width="44" style="209" customWidth="1"/>
    <col min="10499" max="10499" width="11.7109375" style="209" customWidth="1"/>
    <col min="10500" max="10500" width="12.140625" style="209" customWidth="1"/>
    <col min="10501" max="10501" width="12" style="209" customWidth="1"/>
    <col min="10502" max="10503" width="14.5703125" style="209" customWidth="1"/>
    <col min="10504" max="10504" width="3.7109375" style="209" customWidth="1"/>
    <col min="10505" max="10505" width="14.5703125" style="209" customWidth="1"/>
    <col min="10506" max="10506" width="3.7109375" style="209" customWidth="1"/>
    <col min="10507" max="10507" width="14.5703125" style="209" customWidth="1"/>
    <col min="10508" max="10508" width="3.7109375" style="209" customWidth="1"/>
    <col min="10509" max="10509" width="14.5703125" style="209" customWidth="1"/>
    <col min="10510" max="10510" width="3.7109375" style="209" customWidth="1"/>
    <col min="10511" max="10511" width="14.5703125" style="209" customWidth="1"/>
    <col min="10512" max="10512" width="11.42578125" style="209" bestFit="1" customWidth="1"/>
    <col min="10513" max="10513" width="12.85546875" style="209" bestFit="1" customWidth="1"/>
    <col min="10514" max="10752" width="9.140625" style="209"/>
    <col min="10753" max="10753" width="10.140625" style="209" customWidth="1"/>
    <col min="10754" max="10754" width="44" style="209" customWidth="1"/>
    <col min="10755" max="10755" width="11.7109375" style="209" customWidth="1"/>
    <col min="10756" max="10756" width="12.140625" style="209" customWidth="1"/>
    <col min="10757" max="10757" width="12" style="209" customWidth="1"/>
    <col min="10758" max="10759" width="14.5703125" style="209" customWidth="1"/>
    <col min="10760" max="10760" width="3.7109375" style="209" customWidth="1"/>
    <col min="10761" max="10761" width="14.5703125" style="209" customWidth="1"/>
    <col min="10762" max="10762" width="3.7109375" style="209" customWidth="1"/>
    <col min="10763" max="10763" width="14.5703125" style="209" customWidth="1"/>
    <col min="10764" max="10764" width="3.7109375" style="209" customWidth="1"/>
    <col min="10765" max="10765" width="14.5703125" style="209" customWidth="1"/>
    <col min="10766" max="10766" width="3.7109375" style="209" customWidth="1"/>
    <col min="10767" max="10767" width="14.5703125" style="209" customWidth="1"/>
    <col min="10768" max="10768" width="11.42578125" style="209" bestFit="1" customWidth="1"/>
    <col min="10769" max="10769" width="12.85546875" style="209" bestFit="1" customWidth="1"/>
    <col min="10770" max="11008" width="9.140625" style="209"/>
    <col min="11009" max="11009" width="10.140625" style="209" customWidth="1"/>
    <col min="11010" max="11010" width="44" style="209" customWidth="1"/>
    <col min="11011" max="11011" width="11.7109375" style="209" customWidth="1"/>
    <col min="11012" max="11012" width="12.140625" style="209" customWidth="1"/>
    <col min="11013" max="11013" width="12" style="209" customWidth="1"/>
    <col min="11014" max="11015" width="14.5703125" style="209" customWidth="1"/>
    <col min="11016" max="11016" width="3.7109375" style="209" customWidth="1"/>
    <col min="11017" max="11017" width="14.5703125" style="209" customWidth="1"/>
    <col min="11018" max="11018" width="3.7109375" style="209" customWidth="1"/>
    <col min="11019" max="11019" width="14.5703125" style="209" customWidth="1"/>
    <col min="11020" max="11020" width="3.7109375" style="209" customWidth="1"/>
    <col min="11021" max="11021" width="14.5703125" style="209" customWidth="1"/>
    <col min="11022" max="11022" width="3.7109375" style="209" customWidth="1"/>
    <col min="11023" max="11023" width="14.5703125" style="209" customWidth="1"/>
    <col min="11024" max="11024" width="11.42578125" style="209" bestFit="1" customWidth="1"/>
    <col min="11025" max="11025" width="12.85546875" style="209" bestFit="1" customWidth="1"/>
    <col min="11026" max="11264" width="9.140625" style="209"/>
    <col min="11265" max="11265" width="10.140625" style="209" customWidth="1"/>
    <col min="11266" max="11266" width="44" style="209" customWidth="1"/>
    <col min="11267" max="11267" width="11.7109375" style="209" customWidth="1"/>
    <col min="11268" max="11268" width="12.140625" style="209" customWidth="1"/>
    <col min="11269" max="11269" width="12" style="209" customWidth="1"/>
    <col min="11270" max="11271" width="14.5703125" style="209" customWidth="1"/>
    <col min="11272" max="11272" width="3.7109375" style="209" customWidth="1"/>
    <col min="11273" max="11273" width="14.5703125" style="209" customWidth="1"/>
    <col min="11274" max="11274" width="3.7109375" style="209" customWidth="1"/>
    <col min="11275" max="11275" width="14.5703125" style="209" customWidth="1"/>
    <col min="11276" max="11276" width="3.7109375" style="209" customWidth="1"/>
    <col min="11277" max="11277" width="14.5703125" style="209" customWidth="1"/>
    <col min="11278" max="11278" width="3.7109375" style="209" customWidth="1"/>
    <col min="11279" max="11279" width="14.5703125" style="209" customWidth="1"/>
    <col min="11280" max="11280" width="11.42578125" style="209" bestFit="1" customWidth="1"/>
    <col min="11281" max="11281" width="12.85546875" style="209" bestFit="1" customWidth="1"/>
    <col min="11282" max="11520" width="9.140625" style="209"/>
    <col min="11521" max="11521" width="10.140625" style="209" customWidth="1"/>
    <col min="11522" max="11522" width="44" style="209" customWidth="1"/>
    <col min="11523" max="11523" width="11.7109375" style="209" customWidth="1"/>
    <col min="11524" max="11524" width="12.140625" style="209" customWidth="1"/>
    <col min="11525" max="11525" width="12" style="209" customWidth="1"/>
    <col min="11526" max="11527" width="14.5703125" style="209" customWidth="1"/>
    <col min="11528" max="11528" width="3.7109375" style="209" customWidth="1"/>
    <col min="11529" max="11529" width="14.5703125" style="209" customWidth="1"/>
    <col min="11530" max="11530" width="3.7109375" style="209" customWidth="1"/>
    <col min="11531" max="11531" width="14.5703125" style="209" customWidth="1"/>
    <col min="11532" max="11532" width="3.7109375" style="209" customWidth="1"/>
    <col min="11533" max="11533" width="14.5703125" style="209" customWidth="1"/>
    <col min="11534" max="11534" width="3.7109375" style="209" customWidth="1"/>
    <col min="11535" max="11535" width="14.5703125" style="209" customWidth="1"/>
    <col min="11536" max="11536" width="11.42578125" style="209" bestFit="1" customWidth="1"/>
    <col min="11537" max="11537" width="12.85546875" style="209" bestFit="1" customWidth="1"/>
    <col min="11538" max="11776" width="9.140625" style="209"/>
    <col min="11777" max="11777" width="10.140625" style="209" customWidth="1"/>
    <col min="11778" max="11778" width="44" style="209" customWidth="1"/>
    <col min="11779" max="11779" width="11.7109375" style="209" customWidth="1"/>
    <col min="11780" max="11780" width="12.140625" style="209" customWidth="1"/>
    <col min="11781" max="11781" width="12" style="209" customWidth="1"/>
    <col min="11782" max="11783" width="14.5703125" style="209" customWidth="1"/>
    <col min="11784" max="11784" width="3.7109375" style="209" customWidth="1"/>
    <col min="11785" max="11785" width="14.5703125" style="209" customWidth="1"/>
    <col min="11786" max="11786" width="3.7109375" style="209" customWidth="1"/>
    <col min="11787" max="11787" width="14.5703125" style="209" customWidth="1"/>
    <col min="11788" max="11788" width="3.7109375" style="209" customWidth="1"/>
    <col min="11789" max="11789" width="14.5703125" style="209" customWidth="1"/>
    <col min="11790" max="11790" width="3.7109375" style="209" customWidth="1"/>
    <col min="11791" max="11791" width="14.5703125" style="209" customWidth="1"/>
    <col min="11792" max="11792" width="11.42578125" style="209" bestFit="1" customWidth="1"/>
    <col min="11793" max="11793" width="12.85546875" style="209" bestFit="1" customWidth="1"/>
    <col min="11794" max="12032" width="9.140625" style="209"/>
    <col min="12033" max="12033" width="10.140625" style="209" customWidth="1"/>
    <col min="12034" max="12034" width="44" style="209" customWidth="1"/>
    <col min="12035" max="12035" width="11.7109375" style="209" customWidth="1"/>
    <col min="12036" max="12036" width="12.140625" style="209" customWidth="1"/>
    <col min="12037" max="12037" width="12" style="209" customWidth="1"/>
    <col min="12038" max="12039" width="14.5703125" style="209" customWidth="1"/>
    <col min="12040" max="12040" width="3.7109375" style="209" customWidth="1"/>
    <col min="12041" max="12041" width="14.5703125" style="209" customWidth="1"/>
    <col min="12042" max="12042" width="3.7109375" style="209" customWidth="1"/>
    <col min="12043" max="12043" width="14.5703125" style="209" customWidth="1"/>
    <col min="12044" max="12044" width="3.7109375" style="209" customWidth="1"/>
    <col min="12045" max="12045" width="14.5703125" style="209" customWidth="1"/>
    <col min="12046" max="12046" width="3.7109375" style="209" customWidth="1"/>
    <col min="12047" max="12047" width="14.5703125" style="209" customWidth="1"/>
    <col min="12048" max="12048" width="11.42578125" style="209" bestFit="1" customWidth="1"/>
    <col min="12049" max="12049" width="12.85546875" style="209" bestFit="1" customWidth="1"/>
    <col min="12050" max="12288" width="9.140625" style="209"/>
    <col min="12289" max="12289" width="10.140625" style="209" customWidth="1"/>
    <col min="12290" max="12290" width="44" style="209" customWidth="1"/>
    <col min="12291" max="12291" width="11.7109375" style="209" customWidth="1"/>
    <col min="12292" max="12292" width="12.140625" style="209" customWidth="1"/>
    <col min="12293" max="12293" width="12" style="209" customWidth="1"/>
    <col min="12294" max="12295" width="14.5703125" style="209" customWidth="1"/>
    <col min="12296" max="12296" width="3.7109375" style="209" customWidth="1"/>
    <col min="12297" max="12297" width="14.5703125" style="209" customWidth="1"/>
    <col min="12298" max="12298" width="3.7109375" style="209" customWidth="1"/>
    <col min="12299" max="12299" width="14.5703125" style="209" customWidth="1"/>
    <col min="12300" max="12300" width="3.7109375" style="209" customWidth="1"/>
    <col min="12301" max="12301" width="14.5703125" style="209" customWidth="1"/>
    <col min="12302" max="12302" width="3.7109375" style="209" customWidth="1"/>
    <col min="12303" max="12303" width="14.5703125" style="209" customWidth="1"/>
    <col min="12304" max="12304" width="11.42578125" style="209" bestFit="1" customWidth="1"/>
    <col min="12305" max="12305" width="12.85546875" style="209" bestFit="1" customWidth="1"/>
    <col min="12306" max="12544" width="9.140625" style="209"/>
    <col min="12545" max="12545" width="10.140625" style="209" customWidth="1"/>
    <col min="12546" max="12546" width="44" style="209" customWidth="1"/>
    <col min="12547" max="12547" width="11.7109375" style="209" customWidth="1"/>
    <col min="12548" max="12548" width="12.140625" style="209" customWidth="1"/>
    <col min="12549" max="12549" width="12" style="209" customWidth="1"/>
    <col min="12550" max="12551" width="14.5703125" style="209" customWidth="1"/>
    <col min="12552" max="12552" width="3.7109375" style="209" customWidth="1"/>
    <col min="12553" max="12553" width="14.5703125" style="209" customWidth="1"/>
    <col min="12554" max="12554" width="3.7109375" style="209" customWidth="1"/>
    <col min="12555" max="12555" width="14.5703125" style="209" customWidth="1"/>
    <col min="12556" max="12556" width="3.7109375" style="209" customWidth="1"/>
    <col min="12557" max="12557" width="14.5703125" style="209" customWidth="1"/>
    <col min="12558" max="12558" width="3.7109375" style="209" customWidth="1"/>
    <col min="12559" max="12559" width="14.5703125" style="209" customWidth="1"/>
    <col min="12560" max="12560" width="11.42578125" style="209" bestFit="1" customWidth="1"/>
    <col min="12561" max="12561" width="12.85546875" style="209" bestFit="1" customWidth="1"/>
    <col min="12562" max="12800" width="9.140625" style="209"/>
    <col min="12801" max="12801" width="10.140625" style="209" customWidth="1"/>
    <col min="12802" max="12802" width="44" style="209" customWidth="1"/>
    <col min="12803" max="12803" width="11.7109375" style="209" customWidth="1"/>
    <col min="12804" max="12804" width="12.140625" style="209" customWidth="1"/>
    <col min="12805" max="12805" width="12" style="209" customWidth="1"/>
    <col min="12806" max="12807" width="14.5703125" style="209" customWidth="1"/>
    <col min="12808" max="12808" width="3.7109375" style="209" customWidth="1"/>
    <col min="12809" max="12809" width="14.5703125" style="209" customWidth="1"/>
    <col min="12810" max="12810" width="3.7109375" style="209" customWidth="1"/>
    <col min="12811" max="12811" width="14.5703125" style="209" customWidth="1"/>
    <col min="12812" max="12812" width="3.7109375" style="209" customWidth="1"/>
    <col min="12813" max="12813" width="14.5703125" style="209" customWidth="1"/>
    <col min="12814" max="12814" width="3.7109375" style="209" customWidth="1"/>
    <col min="12815" max="12815" width="14.5703125" style="209" customWidth="1"/>
    <col min="12816" max="12816" width="11.42578125" style="209" bestFit="1" customWidth="1"/>
    <col min="12817" max="12817" width="12.85546875" style="209" bestFit="1" customWidth="1"/>
    <col min="12818" max="13056" width="9.140625" style="209"/>
    <col min="13057" max="13057" width="10.140625" style="209" customWidth="1"/>
    <col min="13058" max="13058" width="44" style="209" customWidth="1"/>
    <col min="13059" max="13059" width="11.7109375" style="209" customWidth="1"/>
    <col min="13060" max="13060" width="12.140625" style="209" customWidth="1"/>
    <col min="13061" max="13061" width="12" style="209" customWidth="1"/>
    <col min="13062" max="13063" width="14.5703125" style="209" customWidth="1"/>
    <col min="13064" max="13064" width="3.7109375" style="209" customWidth="1"/>
    <col min="13065" max="13065" width="14.5703125" style="209" customWidth="1"/>
    <col min="13066" max="13066" width="3.7109375" style="209" customWidth="1"/>
    <col min="13067" max="13067" width="14.5703125" style="209" customWidth="1"/>
    <col min="13068" max="13068" width="3.7109375" style="209" customWidth="1"/>
    <col min="13069" max="13069" width="14.5703125" style="209" customWidth="1"/>
    <col min="13070" max="13070" width="3.7109375" style="209" customWidth="1"/>
    <col min="13071" max="13071" width="14.5703125" style="209" customWidth="1"/>
    <col min="13072" max="13072" width="11.42578125" style="209" bestFit="1" customWidth="1"/>
    <col min="13073" max="13073" width="12.85546875" style="209" bestFit="1" customWidth="1"/>
    <col min="13074" max="13312" width="9.140625" style="209"/>
    <col min="13313" max="13313" width="10.140625" style="209" customWidth="1"/>
    <col min="13314" max="13314" width="44" style="209" customWidth="1"/>
    <col min="13315" max="13315" width="11.7109375" style="209" customWidth="1"/>
    <col min="13316" max="13316" width="12.140625" style="209" customWidth="1"/>
    <col min="13317" max="13317" width="12" style="209" customWidth="1"/>
    <col min="13318" max="13319" width="14.5703125" style="209" customWidth="1"/>
    <col min="13320" max="13320" width="3.7109375" style="209" customWidth="1"/>
    <col min="13321" max="13321" width="14.5703125" style="209" customWidth="1"/>
    <col min="13322" max="13322" width="3.7109375" style="209" customWidth="1"/>
    <col min="13323" max="13323" width="14.5703125" style="209" customWidth="1"/>
    <col min="13324" max="13324" width="3.7109375" style="209" customWidth="1"/>
    <col min="13325" max="13325" width="14.5703125" style="209" customWidth="1"/>
    <col min="13326" max="13326" width="3.7109375" style="209" customWidth="1"/>
    <col min="13327" max="13327" width="14.5703125" style="209" customWidth="1"/>
    <col min="13328" max="13328" width="11.42578125" style="209" bestFit="1" customWidth="1"/>
    <col min="13329" max="13329" width="12.85546875" style="209" bestFit="1" customWidth="1"/>
    <col min="13330" max="13568" width="9.140625" style="209"/>
    <col min="13569" max="13569" width="10.140625" style="209" customWidth="1"/>
    <col min="13570" max="13570" width="44" style="209" customWidth="1"/>
    <col min="13571" max="13571" width="11.7109375" style="209" customWidth="1"/>
    <col min="13572" max="13572" width="12.140625" style="209" customWidth="1"/>
    <col min="13573" max="13573" width="12" style="209" customWidth="1"/>
    <col min="13574" max="13575" width="14.5703125" style="209" customWidth="1"/>
    <col min="13576" max="13576" width="3.7109375" style="209" customWidth="1"/>
    <col min="13577" max="13577" width="14.5703125" style="209" customWidth="1"/>
    <col min="13578" max="13578" width="3.7109375" style="209" customWidth="1"/>
    <col min="13579" max="13579" width="14.5703125" style="209" customWidth="1"/>
    <col min="13580" max="13580" width="3.7109375" style="209" customWidth="1"/>
    <col min="13581" max="13581" width="14.5703125" style="209" customWidth="1"/>
    <col min="13582" max="13582" width="3.7109375" style="209" customWidth="1"/>
    <col min="13583" max="13583" width="14.5703125" style="209" customWidth="1"/>
    <col min="13584" max="13584" width="11.42578125" style="209" bestFit="1" customWidth="1"/>
    <col min="13585" max="13585" width="12.85546875" style="209" bestFit="1" customWidth="1"/>
    <col min="13586" max="13824" width="9.140625" style="209"/>
    <col min="13825" max="13825" width="10.140625" style="209" customWidth="1"/>
    <col min="13826" max="13826" width="44" style="209" customWidth="1"/>
    <col min="13827" max="13827" width="11.7109375" style="209" customWidth="1"/>
    <col min="13828" max="13828" width="12.140625" style="209" customWidth="1"/>
    <col min="13829" max="13829" width="12" style="209" customWidth="1"/>
    <col min="13830" max="13831" width="14.5703125" style="209" customWidth="1"/>
    <col min="13832" max="13832" width="3.7109375" style="209" customWidth="1"/>
    <col min="13833" max="13833" width="14.5703125" style="209" customWidth="1"/>
    <col min="13834" max="13834" width="3.7109375" style="209" customWidth="1"/>
    <col min="13835" max="13835" width="14.5703125" style="209" customWidth="1"/>
    <col min="13836" max="13836" width="3.7109375" style="209" customWidth="1"/>
    <col min="13837" max="13837" width="14.5703125" style="209" customWidth="1"/>
    <col min="13838" max="13838" width="3.7109375" style="209" customWidth="1"/>
    <col min="13839" max="13839" width="14.5703125" style="209" customWidth="1"/>
    <col min="13840" max="13840" width="11.42578125" style="209" bestFit="1" customWidth="1"/>
    <col min="13841" max="13841" width="12.85546875" style="209" bestFit="1" customWidth="1"/>
    <col min="13842" max="14080" width="9.140625" style="209"/>
    <col min="14081" max="14081" width="10.140625" style="209" customWidth="1"/>
    <col min="14082" max="14082" width="44" style="209" customWidth="1"/>
    <col min="14083" max="14083" width="11.7109375" style="209" customWidth="1"/>
    <col min="14084" max="14084" width="12.140625" style="209" customWidth="1"/>
    <col min="14085" max="14085" width="12" style="209" customWidth="1"/>
    <col min="14086" max="14087" width="14.5703125" style="209" customWidth="1"/>
    <col min="14088" max="14088" width="3.7109375" style="209" customWidth="1"/>
    <col min="14089" max="14089" width="14.5703125" style="209" customWidth="1"/>
    <col min="14090" max="14090" width="3.7109375" style="209" customWidth="1"/>
    <col min="14091" max="14091" width="14.5703125" style="209" customWidth="1"/>
    <col min="14092" max="14092" width="3.7109375" style="209" customWidth="1"/>
    <col min="14093" max="14093" width="14.5703125" style="209" customWidth="1"/>
    <col min="14094" max="14094" width="3.7109375" style="209" customWidth="1"/>
    <col min="14095" max="14095" width="14.5703125" style="209" customWidth="1"/>
    <col min="14096" max="14096" width="11.42578125" style="209" bestFit="1" customWidth="1"/>
    <col min="14097" max="14097" width="12.85546875" style="209" bestFit="1" customWidth="1"/>
    <col min="14098" max="14336" width="9.140625" style="209"/>
    <col min="14337" max="14337" width="10.140625" style="209" customWidth="1"/>
    <col min="14338" max="14338" width="44" style="209" customWidth="1"/>
    <col min="14339" max="14339" width="11.7109375" style="209" customWidth="1"/>
    <col min="14340" max="14340" width="12.140625" style="209" customWidth="1"/>
    <col min="14341" max="14341" width="12" style="209" customWidth="1"/>
    <col min="14342" max="14343" width="14.5703125" style="209" customWidth="1"/>
    <col min="14344" max="14344" width="3.7109375" style="209" customWidth="1"/>
    <col min="14345" max="14345" width="14.5703125" style="209" customWidth="1"/>
    <col min="14346" max="14346" width="3.7109375" style="209" customWidth="1"/>
    <col min="14347" max="14347" width="14.5703125" style="209" customWidth="1"/>
    <col min="14348" max="14348" width="3.7109375" style="209" customWidth="1"/>
    <col min="14349" max="14349" width="14.5703125" style="209" customWidth="1"/>
    <col min="14350" max="14350" width="3.7109375" style="209" customWidth="1"/>
    <col min="14351" max="14351" width="14.5703125" style="209" customWidth="1"/>
    <col min="14352" max="14352" width="11.42578125" style="209" bestFit="1" customWidth="1"/>
    <col min="14353" max="14353" width="12.85546875" style="209" bestFit="1" customWidth="1"/>
    <col min="14354" max="14592" width="9.140625" style="209"/>
    <col min="14593" max="14593" width="10.140625" style="209" customWidth="1"/>
    <col min="14594" max="14594" width="44" style="209" customWidth="1"/>
    <col min="14595" max="14595" width="11.7109375" style="209" customWidth="1"/>
    <col min="14596" max="14596" width="12.140625" style="209" customWidth="1"/>
    <col min="14597" max="14597" width="12" style="209" customWidth="1"/>
    <col min="14598" max="14599" width="14.5703125" style="209" customWidth="1"/>
    <col min="14600" max="14600" width="3.7109375" style="209" customWidth="1"/>
    <col min="14601" max="14601" width="14.5703125" style="209" customWidth="1"/>
    <col min="14602" max="14602" width="3.7109375" style="209" customWidth="1"/>
    <col min="14603" max="14603" width="14.5703125" style="209" customWidth="1"/>
    <col min="14604" max="14604" width="3.7109375" style="209" customWidth="1"/>
    <col min="14605" max="14605" width="14.5703125" style="209" customWidth="1"/>
    <col min="14606" max="14606" width="3.7109375" style="209" customWidth="1"/>
    <col min="14607" max="14607" width="14.5703125" style="209" customWidth="1"/>
    <col min="14608" max="14608" width="11.42578125" style="209" bestFit="1" customWidth="1"/>
    <col min="14609" max="14609" width="12.85546875" style="209" bestFit="1" customWidth="1"/>
    <col min="14610" max="14848" width="9.140625" style="209"/>
    <col min="14849" max="14849" width="10.140625" style="209" customWidth="1"/>
    <col min="14850" max="14850" width="44" style="209" customWidth="1"/>
    <col min="14851" max="14851" width="11.7109375" style="209" customWidth="1"/>
    <col min="14852" max="14852" width="12.140625" style="209" customWidth="1"/>
    <col min="14853" max="14853" width="12" style="209" customWidth="1"/>
    <col min="14854" max="14855" width="14.5703125" style="209" customWidth="1"/>
    <col min="14856" max="14856" width="3.7109375" style="209" customWidth="1"/>
    <col min="14857" max="14857" width="14.5703125" style="209" customWidth="1"/>
    <col min="14858" max="14858" width="3.7109375" style="209" customWidth="1"/>
    <col min="14859" max="14859" width="14.5703125" style="209" customWidth="1"/>
    <col min="14860" max="14860" width="3.7109375" style="209" customWidth="1"/>
    <col min="14861" max="14861" width="14.5703125" style="209" customWidth="1"/>
    <col min="14862" max="14862" width="3.7109375" style="209" customWidth="1"/>
    <col min="14863" max="14863" width="14.5703125" style="209" customWidth="1"/>
    <col min="14864" max="14864" width="11.42578125" style="209" bestFit="1" customWidth="1"/>
    <col min="14865" max="14865" width="12.85546875" style="209" bestFit="1" customWidth="1"/>
    <col min="14866" max="15104" width="9.140625" style="209"/>
    <col min="15105" max="15105" width="10.140625" style="209" customWidth="1"/>
    <col min="15106" max="15106" width="44" style="209" customWidth="1"/>
    <col min="15107" max="15107" width="11.7109375" style="209" customWidth="1"/>
    <col min="15108" max="15108" width="12.140625" style="209" customWidth="1"/>
    <col min="15109" max="15109" width="12" style="209" customWidth="1"/>
    <col min="15110" max="15111" width="14.5703125" style="209" customWidth="1"/>
    <col min="15112" max="15112" width="3.7109375" style="209" customWidth="1"/>
    <col min="15113" max="15113" width="14.5703125" style="209" customWidth="1"/>
    <col min="15114" max="15114" width="3.7109375" style="209" customWidth="1"/>
    <col min="15115" max="15115" width="14.5703125" style="209" customWidth="1"/>
    <col min="15116" max="15116" width="3.7109375" style="209" customWidth="1"/>
    <col min="15117" max="15117" width="14.5703125" style="209" customWidth="1"/>
    <col min="15118" max="15118" width="3.7109375" style="209" customWidth="1"/>
    <col min="15119" max="15119" width="14.5703125" style="209" customWidth="1"/>
    <col min="15120" max="15120" width="11.42578125" style="209" bestFit="1" customWidth="1"/>
    <col min="15121" max="15121" width="12.85546875" style="209" bestFit="1" customWidth="1"/>
    <col min="15122" max="15360" width="9.140625" style="209"/>
    <col min="15361" max="15361" width="10.140625" style="209" customWidth="1"/>
    <col min="15362" max="15362" width="44" style="209" customWidth="1"/>
    <col min="15363" max="15363" width="11.7109375" style="209" customWidth="1"/>
    <col min="15364" max="15364" width="12.140625" style="209" customWidth="1"/>
    <col min="15365" max="15365" width="12" style="209" customWidth="1"/>
    <col min="15366" max="15367" width="14.5703125" style="209" customWidth="1"/>
    <col min="15368" max="15368" width="3.7109375" style="209" customWidth="1"/>
    <col min="15369" max="15369" width="14.5703125" style="209" customWidth="1"/>
    <col min="15370" max="15370" width="3.7109375" style="209" customWidth="1"/>
    <col min="15371" max="15371" width="14.5703125" style="209" customWidth="1"/>
    <col min="15372" max="15372" width="3.7109375" style="209" customWidth="1"/>
    <col min="15373" max="15373" width="14.5703125" style="209" customWidth="1"/>
    <col min="15374" max="15374" width="3.7109375" style="209" customWidth="1"/>
    <col min="15375" max="15375" width="14.5703125" style="209" customWidth="1"/>
    <col min="15376" max="15376" width="11.42578125" style="209" bestFit="1" customWidth="1"/>
    <col min="15377" max="15377" width="12.85546875" style="209" bestFit="1" customWidth="1"/>
    <col min="15378" max="15616" width="9.140625" style="209"/>
    <col min="15617" max="15617" width="10.140625" style="209" customWidth="1"/>
    <col min="15618" max="15618" width="44" style="209" customWidth="1"/>
    <col min="15619" max="15619" width="11.7109375" style="209" customWidth="1"/>
    <col min="15620" max="15620" width="12.140625" style="209" customWidth="1"/>
    <col min="15621" max="15621" width="12" style="209" customWidth="1"/>
    <col min="15622" max="15623" width="14.5703125" style="209" customWidth="1"/>
    <col min="15624" max="15624" width="3.7109375" style="209" customWidth="1"/>
    <col min="15625" max="15625" width="14.5703125" style="209" customWidth="1"/>
    <col min="15626" max="15626" width="3.7109375" style="209" customWidth="1"/>
    <col min="15627" max="15627" width="14.5703125" style="209" customWidth="1"/>
    <col min="15628" max="15628" width="3.7109375" style="209" customWidth="1"/>
    <col min="15629" max="15629" width="14.5703125" style="209" customWidth="1"/>
    <col min="15630" max="15630" width="3.7109375" style="209" customWidth="1"/>
    <col min="15631" max="15631" width="14.5703125" style="209" customWidth="1"/>
    <col min="15632" max="15632" width="11.42578125" style="209" bestFit="1" customWidth="1"/>
    <col min="15633" max="15633" width="12.85546875" style="209" bestFit="1" customWidth="1"/>
    <col min="15634" max="15872" width="9.140625" style="209"/>
    <col min="15873" max="15873" width="10.140625" style="209" customWidth="1"/>
    <col min="15874" max="15874" width="44" style="209" customWidth="1"/>
    <col min="15875" max="15875" width="11.7109375" style="209" customWidth="1"/>
    <col min="15876" max="15876" width="12.140625" style="209" customWidth="1"/>
    <col min="15877" max="15877" width="12" style="209" customWidth="1"/>
    <col min="15878" max="15879" width="14.5703125" style="209" customWidth="1"/>
    <col min="15880" max="15880" width="3.7109375" style="209" customWidth="1"/>
    <col min="15881" max="15881" width="14.5703125" style="209" customWidth="1"/>
    <col min="15882" max="15882" width="3.7109375" style="209" customWidth="1"/>
    <col min="15883" max="15883" width="14.5703125" style="209" customWidth="1"/>
    <col min="15884" max="15884" width="3.7109375" style="209" customWidth="1"/>
    <col min="15885" max="15885" width="14.5703125" style="209" customWidth="1"/>
    <col min="15886" max="15886" width="3.7109375" style="209" customWidth="1"/>
    <col min="15887" max="15887" width="14.5703125" style="209" customWidth="1"/>
    <col min="15888" max="15888" width="11.42578125" style="209" bestFit="1" customWidth="1"/>
    <col min="15889" max="15889" width="12.85546875" style="209" bestFit="1" customWidth="1"/>
    <col min="15890" max="16128" width="9.140625" style="209"/>
    <col min="16129" max="16129" width="10.140625" style="209" customWidth="1"/>
    <col min="16130" max="16130" width="44" style="209" customWidth="1"/>
    <col min="16131" max="16131" width="11.7109375" style="209" customWidth="1"/>
    <col min="16132" max="16132" width="12.140625" style="209" customWidth="1"/>
    <col min="16133" max="16133" width="12" style="209" customWidth="1"/>
    <col min="16134" max="16135" width="14.5703125" style="209" customWidth="1"/>
    <col min="16136" max="16136" width="3.7109375" style="209" customWidth="1"/>
    <col min="16137" max="16137" width="14.5703125" style="209" customWidth="1"/>
    <col min="16138" max="16138" width="3.7109375" style="209" customWidth="1"/>
    <col min="16139" max="16139" width="14.5703125" style="209" customWidth="1"/>
    <col min="16140" max="16140" width="3.7109375" style="209" customWidth="1"/>
    <col min="16141" max="16141" width="14.5703125" style="209" customWidth="1"/>
    <col min="16142" max="16142" width="3.7109375" style="209" customWidth="1"/>
    <col min="16143" max="16143" width="14.5703125" style="209" customWidth="1"/>
    <col min="16144" max="16144" width="11.42578125" style="209" bestFit="1" customWidth="1"/>
    <col min="16145" max="16145" width="12.85546875" style="209" bestFit="1" customWidth="1"/>
    <col min="16146" max="16384" width="9.140625" style="209"/>
  </cols>
  <sheetData>
    <row r="1" spans="1:17" ht="18.75">
      <c r="B1" s="204" t="s">
        <v>162</v>
      </c>
      <c r="C1" s="205"/>
      <c r="D1" s="206"/>
      <c r="E1" s="207" t="s">
        <v>163</v>
      </c>
      <c r="F1" s="205"/>
      <c r="G1" s="205" t="s">
        <v>190</v>
      </c>
      <c r="H1" s="205"/>
      <c r="I1" s="205"/>
      <c r="J1" s="208"/>
      <c r="K1" s="154"/>
      <c r="L1" s="154"/>
      <c r="M1" s="154"/>
      <c r="N1" s="154"/>
      <c r="O1" s="154"/>
      <c r="P1" s="154"/>
      <c r="Q1" s="154"/>
    </row>
    <row r="2" spans="1:17" s="203" customFormat="1" ht="15.75" customHeight="1">
      <c r="B2" s="283" t="s">
        <v>165</v>
      </c>
      <c r="C2" s="283"/>
      <c r="D2" s="283"/>
      <c r="E2" s="283"/>
      <c r="F2" s="283"/>
      <c r="G2" s="283"/>
      <c r="H2" s="283"/>
      <c r="I2" s="283"/>
      <c r="J2" s="283"/>
      <c r="K2" s="283"/>
      <c r="L2" s="283"/>
      <c r="M2" s="283"/>
      <c r="N2" s="283"/>
      <c r="O2" s="283"/>
      <c r="P2" s="210"/>
      <c r="Q2" s="210"/>
    </row>
    <row r="3" spans="1:17" s="203" customFormat="1" ht="15.75" customHeight="1">
      <c r="B3" s="283"/>
      <c r="C3" s="283"/>
      <c r="D3" s="283"/>
      <c r="E3" s="283"/>
      <c r="F3" s="283"/>
      <c r="G3" s="283"/>
      <c r="H3" s="283"/>
      <c r="I3" s="283"/>
      <c r="J3" s="283"/>
      <c r="K3" s="283"/>
      <c r="L3" s="283"/>
      <c r="M3" s="283"/>
      <c r="N3" s="283"/>
      <c r="O3" s="283"/>
      <c r="P3" s="210"/>
      <c r="Q3" s="210"/>
    </row>
    <row r="4" spans="1:17" s="203" customFormat="1" ht="16.5" thickBot="1">
      <c r="A4" s="209"/>
      <c r="B4" s="211"/>
    </row>
    <row r="5" spans="1:17" ht="18.75" thickBot="1">
      <c r="A5" s="212"/>
      <c r="B5" s="212"/>
      <c r="C5" s="213"/>
      <c r="D5" s="213"/>
      <c r="E5" s="213"/>
      <c r="F5" s="213"/>
      <c r="G5" s="214" t="s">
        <v>85</v>
      </c>
      <c r="H5" s="215"/>
      <c r="I5" s="214" t="s">
        <v>86</v>
      </c>
      <c r="J5" s="216"/>
      <c r="K5" s="214" t="s">
        <v>87</v>
      </c>
      <c r="L5" s="215"/>
      <c r="M5" s="214" t="s">
        <v>88</v>
      </c>
      <c r="N5" s="213"/>
      <c r="O5" s="214" t="s">
        <v>89</v>
      </c>
      <c r="P5" s="209"/>
      <c r="Q5" s="209"/>
    </row>
    <row r="6" spans="1:17" ht="51.75" thickBot="1">
      <c r="A6" s="217" t="s">
        <v>90</v>
      </c>
      <c r="B6" s="217" t="s">
        <v>30</v>
      </c>
      <c r="C6" s="217" t="s">
        <v>92</v>
      </c>
      <c r="D6" s="217" t="s">
        <v>166</v>
      </c>
      <c r="E6" s="217" t="s">
        <v>167</v>
      </c>
      <c r="F6" s="217" t="s">
        <v>168</v>
      </c>
      <c r="G6" s="217" t="s">
        <v>169</v>
      </c>
      <c r="H6" s="218" t="s">
        <v>97</v>
      </c>
      <c r="I6" s="217" t="s">
        <v>98</v>
      </c>
      <c r="J6" s="218" t="s">
        <v>17</v>
      </c>
      <c r="K6" s="217" t="s">
        <v>99</v>
      </c>
      <c r="L6" s="217" t="s">
        <v>37</v>
      </c>
      <c r="M6" s="217" t="s">
        <v>100</v>
      </c>
      <c r="N6" s="218" t="s">
        <v>17</v>
      </c>
      <c r="O6" s="217" t="s">
        <v>170</v>
      </c>
      <c r="P6" s="209"/>
      <c r="Q6" s="209"/>
    </row>
    <row r="7" spans="1:17">
      <c r="A7" s="219"/>
      <c r="B7" s="220" t="s">
        <v>171</v>
      </c>
      <c r="C7" s="221"/>
      <c r="D7" s="221"/>
      <c r="E7" s="222"/>
      <c r="F7" s="222"/>
      <c r="G7" s="221"/>
      <c r="H7" s="221"/>
      <c r="I7" s="221"/>
      <c r="J7" s="221"/>
      <c r="K7" s="221"/>
      <c r="L7" s="221"/>
      <c r="M7" s="221"/>
      <c r="N7" s="221"/>
      <c r="O7" s="223"/>
      <c r="P7" s="209"/>
      <c r="Q7" s="209"/>
    </row>
    <row r="8" spans="1:17" s="157" customFormat="1" ht="24" customHeight="1">
      <c r="A8" s="224">
        <v>51160</v>
      </c>
      <c r="B8" s="225" t="s">
        <v>172</v>
      </c>
      <c r="C8" s="226" t="s">
        <v>173</v>
      </c>
      <c r="D8" s="227">
        <v>21.09</v>
      </c>
      <c r="E8" s="228">
        <v>3.5</v>
      </c>
      <c r="F8" s="228" t="s">
        <v>174</v>
      </c>
      <c r="G8" s="263"/>
      <c r="H8" s="284"/>
      <c r="I8" s="225">
        <v>90</v>
      </c>
      <c r="J8" s="285"/>
      <c r="K8" s="229">
        <f>G8/I8</f>
        <v>0</v>
      </c>
      <c r="L8" s="284"/>
      <c r="M8" s="225">
        <v>3.79</v>
      </c>
      <c r="N8" s="284"/>
      <c r="O8" s="230">
        <f>M8*K8</f>
        <v>0</v>
      </c>
    </row>
    <row r="9" spans="1:17" s="157" customFormat="1" ht="24" customHeight="1">
      <c r="A9" s="231">
        <v>52160</v>
      </c>
      <c r="B9" s="232" t="s">
        <v>175</v>
      </c>
      <c r="C9" s="226" t="s">
        <v>173</v>
      </c>
      <c r="D9" s="227">
        <v>17.95</v>
      </c>
      <c r="E9" s="233">
        <v>4.4000000000000004</v>
      </c>
      <c r="F9" s="233" t="s">
        <v>176</v>
      </c>
      <c r="G9" s="263"/>
      <c r="H9" s="284"/>
      <c r="I9" s="234">
        <v>60</v>
      </c>
      <c r="J9" s="285"/>
      <c r="K9" s="229">
        <f>G9/I9</f>
        <v>0</v>
      </c>
      <c r="L9" s="284"/>
      <c r="M9" s="234">
        <v>3.47</v>
      </c>
      <c r="N9" s="284"/>
      <c r="O9" s="230">
        <f>M9*K9</f>
        <v>0</v>
      </c>
    </row>
    <row r="10" spans="1:17" s="157" customFormat="1" ht="24" customHeight="1">
      <c r="A10" s="224">
        <v>50112</v>
      </c>
      <c r="B10" s="235" t="s">
        <v>177</v>
      </c>
      <c r="C10" s="226" t="s">
        <v>173</v>
      </c>
      <c r="D10" s="227">
        <v>27.3</v>
      </c>
      <c r="E10" s="228">
        <v>3.7</v>
      </c>
      <c r="F10" s="228" t="s">
        <v>178</v>
      </c>
      <c r="G10" s="263"/>
      <c r="H10" s="284"/>
      <c r="I10" s="225">
        <v>112</v>
      </c>
      <c r="J10" s="285"/>
      <c r="K10" s="229">
        <f>G10/I10</f>
        <v>0</v>
      </c>
      <c r="L10" s="284"/>
      <c r="M10" s="225">
        <v>4.71</v>
      </c>
      <c r="N10" s="284"/>
      <c r="O10" s="230">
        <f>M10*K10</f>
        <v>0</v>
      </c>
    </row>
    <row r="11" spans="1:17" s="157" customFormat="1" ht="24" customHeight="1">
      <c r="A11" s="224">
        <v>50140</v>
      </c>
      <c r="B11" s="235" t="s">
        <v>179</v>
      </c>
      <c r="C11" s="226" t="s">
        <v>173</v>
      </c>
      <c r="D11" s="227">
        <v>23.4</v>
      </c>
      <c r="E11" s="228">
        <v>2.5</v>
      </c>
      <c r="F11" s="228" t="s">
        <v>180</v>
      </c>
      <c r="G11" s="263"/>
      <c r="H11" s="284"/>
      <c r="I11" s="225">
        <v>140</v>
      </c>
      <c r="J11" s="285"/>
      <c r="K11" s="229">
        <f>G11/I11</f>
        <v>0</v>
      </c>
      <c r="L11" s="284"/>
      <c r="M11" s="225">
        <v>5.89</v>
      </c>
      <c r="N11" s="284"/>
      <c r="O11" s="230">
        <f>M11*K11</f>
        <v>0</v>
      </c>
    </row>
    <row r="12" spans="1:17" s="157" customFormat="1" ht="24" customHeight="1">
      <c r="A12" s="236" t="s">
        <v>181</v>
      </c>
      <c r="B12" s="232" t="s">
        <v>182</v>
      </c>
      <c r="C12" s="226" t="s">
        <v>173</v>
      </c>
      <c r="D12" s="227">
        <v>25.9</v>
      </c>
      <c r="E12" s="233">
        <v>2.8</v>
      </c>
      <c r="F12" s="233" t="s">
        <v>183</v>
      </c>
      <c r="G12" s="263"/>
      <c r="H12" s="284"/>
      <c r="I12" s="225">
        <v>140</v>
      </c>
      <c r="J12" s="285"/>
      <c r="K12" s="229">
        <f>G12/I12</f>
        <v>0</v>
      </c>
      <c r="L12" s="284"/>
      <c r="M12" s="225">
        <v>5.89</v>
      </c>
      <c r="N12" s="284"/>
      <c r="O12" s="230">
        <f>M12*K12</f>
        <v>0</v>
      </c>
    </row>
    <row r="13" spans="1:17" ht="15.75" thickBot="1">
      <c r="A13" s="237"/>
      <c r="B13" s="238"/>
      <c r="C13" s="239"/>
      <c r="D13" s="239"/>
      <c r="E13" s="240"/>
      <c r="F13" s="238"/>
      <c r="G13" s="238"/>
      <c r="H13" s="238"/>
      <c r="I13" s="238"/>
      <c r="J13" s="241"/>
      <c r="K13" s="239"/>
      <c r="L13" s="238"/>
      <c r="M13" s="238"/>
      <c r="N13" s="242"/>
      <c r="O13" s="242"/>
      <c r="P13" s="209"/>
      <c r="Q13" s="209"/>
    </row>
    <row r="14" spans="1:17" ht="21" thickBot="1">
      <c r="A14" s="209"/>
      <c r="B14" s="209"/>
      <c r="C14" s="209"/>
      <c r="D14" s="209"/>
      <c r="E14" s="209"/>
      <c r="F14" s="209"/>
      <c r="G14" s="209"/>
      <c r="H14" s="286" t="s">
        <v>184</v>
      </c>
      <c r="I14" s="286"/>
      <c r="J14" s="286"/>
      <c r="K14" s="286"/>
      <c r="L14" s="286"/>
      <c r="M14" s="286"/>
      <c r="N14" s="287">
        <f>SUM(O8:O12)</f>
        <v>0</v>
      </c>
      <c r="O14" s="288"/>
      <c r="P14" s="202" t="s">
        <v>164</v>
      </c>
      <c r="Q14" s="209"/>
    </row>
    <row r="15" spans="1:17" ht="20.25">
      <c r="A15" s="209"/>
      <c r="B15" s="209"/>
      <c r="C15" s="209"/>
      <c r="D15" s="209"/>
      <c r="E15" s="209"/>
      <c r="F15" s="209"/>
      <c r="G15" s="209"/>
      <c r="H15" s="163"/>
      <c r="I15" s="163"/>
      <c r="J15" s="163"/>
      <c r="K15" s="163"/>
      <c r="L15" s="163"/>
      <c r="M15" s="163"/>
      <c r="N15" s="243"/>
      <c r="O15" s="243"/>
      <c r="P15" s="202"/>
      <c r="Q15" s="209"/>
    </row>
    <row r="16" spans="1:17" ht="13.5" thickBot="1">
      <c r="A16" s="209"/>
      <c r="B16" s="209"/>
      <c r="C16" s="209"/>
      <c r="D16" s="209"/>
      <c r="E16" s="209"/>
      <c r="F16" s="209"/>
      <c r="G16" s="209"/>
      <c r="H16" s="209"/>
      <c r="I16" s="209"/>
      <c r="J16" s="209"/>
      <c r="K16" s="209"/>
      <c r="L16" s="209"/>
      <c r="M16" s="209"/>
      <c r="N16" s="209"/>
      <c r="O16" s="209"/>
      <c r="P16" s="209"/>
      <c r="Q16" s="209"/>
    </row>
    <row r="17" spans="1:17" ht="13.5" thickBot="1">
      <c r="A17" s="209"/>
      <c r="B17" s="244" t="s">
        <v>5</v>
      </c>
      <c r="C17" s="209"/>
      <c r="D17" s="209"/>
      <c r="E17" s="157"/>
      <c r="F17" s="157"/>
      <c r="G17" s="245" t="s">
        <v>154</v>
      </c>
      <c r="H17" s="245"/>
      <c r="I17" s="246"/>
      <c r="J17" s="246"/>
      <c r="K17" s="246"/>
      <c r="L17" s="246"/>
      <c r="M17" s="246"/>
      <c r="N17" s="247"/>
      <c r="O17" s="248"/>
      <c r="P17" s="245"/>
      <c r="Q17" s="209"/>
    </row>
    <row r="18" spans="1:17">
      <c r="A18" s="209"/>
      <c r="B18" s="249" t="s">
        <v>185</v>
      </c>
      <c r="C18" s="209"/>
      <c r="D18" s="209"/>
      <c r="E18" s="157"/>
      <c r="F18" s="157"/>
      <c r="G18" s="157"/>
      <c r="H18" s="157"/>
      <c r="I18" s="250"/>
      <c r="J18" s="250"/>
      <c r="K18" s="250"/>
      <c r="L18" s="250"/>
      <c r="M18" s="250"/>
      <c r="N18" s="250"/>
      <c r="O18" s="250"/>
      <c r="P18" s="209"/>
      <c r="Q18" s="209"/>
    </row>
    <row r="19" spans="1:17" ht="13.5" thickBot="1">
      <c r="A19" s="209"/>
      <c r="B19" s="251" t="s">
        <v>186</v>
      </c>
      <c r="C19" s="209"/>
      <c r="D19" s="209"/>
      <c r="E19" s="157"/>
      <c r="F19" s="157"/>
      <c r="G19" s="245" t="s">
        <v>19</v>
      </c>
      <c r="H19" s="245"/>
      <c r="I19" s="252"/>
      <c r="J19" s="252"/>
      <c r="K19" s="252"/>
      <c r="L19" s="252"/>
      <c r="M19" s="252"/>
      <c r="N19" s="253"/>
      <c r="O19" s="253"/>
      <c r="P19" s="209"/>
      <c r="Q19" s="209"/>
    </row>
    <row r="20" spans="1:17">
      <c r="A20" s="209"/>
      <c r="B20" s="281" t="s">
        <v>187</v>
      </c>
      <c r="C20" s="209"/>
      <c r="D20" s="209"/>
      <c r="E20" s="157"/>
      <c r="F20" s="157"/>
      <c r="G20" s="157"/>
      <c r="H20" s="157"/>
      <c r="I20" s="254"/>
      <c r="J20" s="254"/>
      <c r="K20" s="254"/>
      <c r="L20" s="254"/>
      <c r="M20" s="254"/>
      <c r="N20" s="250"/>
      <c r="O20" s="250"/>
      <c r="P20" s="209"/>
      <c r="Q20" s="209"/>
    </row>
    <row r="21" spans="1:17" ht="13.5" thickBot="1">
      <c r="A21" s="209"/>
      <c r="B21" s="282"/>
      <c r="C21" s="209"/>
      <c r="D21" s="209"/>
      <c r="E21" s="157"/>
      <c r="F21" s="157"/>
      <c r="G21" s="245" t="s">
        <v>156</v>
      </c>
      <c r="H21" s="245"/>
      <c r="I21" s="246"/>
      <c r="J21" s="246"/>
      <c r="K21" s="246"/>
      <c r="L21" s="246"/>
      <c r="M21" s="246"/>
      <c r="N21" s="253"/>
      <c r="O21" s="253"/>
      <c r="P21" s="209"/>
      <c r="Q21" s="209"/>
    </row>
    <row r="22" spans="1:17">
      <c r="A22" s="209"/>
      <c r="B22" s="209"/>
      <c r="C22" s="209"/>
      <c r="D22" s="209"/>
      <c r="E22" s="157"/>
      <c r="F22" s="157"/>
      <c r="G22" s="157"/>
      <c r="H22" s="157"/>
      <c r="I22" s="254"/>
      <c r="J22" s="254"/>
      <c r="K22" s="254"/>
      <c r="L22" s="254"/>
      <c r="M22" s="254"/>
      <c r="N22" s="250"/>
      <c r="O22" s="250"/>
      <c r="P22" s="209"/>
      <c r="Q22" s="209"/>
    </row>
    <row r="23" spans="1:17" ht="13.5" thickBot="1">
      <c r="A23" s="209"/>
      <c r="C23" s="209"/>
      <c r="D23" s="209"/>
      <c r="E23" s="157"/>
      <c r="F23" s="157"/>
      <c r="G23" s="245" t="s">
        <v>8</v>
      </c>
      <c r="H23" s="245"/>
      <c r="I23" s="246"/>
      <c r="J23" s="246"/>
      <c r="K23" s="246"/>
      <c r="L23" s="246"/>
      <c r="M23" s="246"/>
      <c r="N23" s="253"/>
      <c r="O23" s="253"/>
      <c r="P23" s="209"/>
      <c r="Q23" s="209"/>
    </row>
    <row r="24" spans="1:17">
      <c r="A24" s="209"/>
      <c r="B24" s="209"/>
      <c r="C24" s="209"/>
      <c r="D24" s="157"/>
      <c r="E24" s="157"/>
      <c r="F24" s="157"/>
      <c r="G24" s="157"/>
      <c r="H24" s="254"/>
      <c r="I24" s="254"/>
      <c r="J24" s="254"/>
      <c r="K24" s="254"/>
      <c r="L24" s="254"/>
      <c r="M24" s="250"/>
      <c r="N24" s="250"/>
      <c r="O24" s="209"/>
      <c r="P24" s="209"/>
      <c r="Q24" s="209"/>
    </row>
    <row r="25" spans="1:17" ht="13.5" thickBot="1">
      <c r="A25" s="209"/>
      <c r="B25" s="209"/>
      <c r="C25" s="209"/>
      <c r="D25" s="157"/>
      <c r="E25" s="157"/>
      <c r="F25" s="245"/>
      <c r="G25" s="245" t="s">
        <v>160</v>
      </c>
      <c r="H25" s="255"/>
      <c r="I25" s="246"/>
      <c r="J25" s="246"/>
      <c r="K25" s="246"/>
      <c r="L25" s="246"/>
      <c r="M25" s="253"/>
      <c r="N25" s="253"/>
      <c r="O25" s="256"/>
      <c r="P25" s="209"/>
      <c r="Q25" s="209"/>
    </row>
    <row r="26" spans="1:17">
      <c r="A26" s="189"/>
      <c r="B26" s="209"/>
      <c r="C26" s="209"/>
      <c r="D26" s="157"/>
      <c r="E26" s="157"/>
      <c r="F26" s="157"/>
      <c r="G26" s="157"/>
      <c r="H26" s="254"/>
      <c r="I26" s="254"/>
      <c r="J26" s="254"/>
      <c r="K26" s="254"/>
      <c r="L26" s="254"/>
      <c r="M26" s="250"/>
      <c r="N26" s="250"/>
      <c r="O26" s="209"/>
      <c r="P26" s="209"/>
      <c r="Q26" s="209"/>
    </row>
    <row r="27" spans="1:17" ht="13.5" thickBot="1">
      <c r="A27" s="189"/>
      <c r="B27" s="209"/>
      <c r="C27" s="209"/>
      <c r="D27" s="157"/>
      <c r="E27" s="157"/>
      <c r="F27" s="245"/>
      <c r="G27" s="245" t="s">
        <v>20</v>
      </c>
      <c r="H27" s="255"/>
      <c r="I27" s="246"/>
      <c r="J27" s="246"/>
      <c r="K27" s="246"/>
      <c r="L27" s="246"/>
      <c r="M27" s="253"/>
      <c r="N27" s="253"/>
      <c r="O27" s="256"/>
      <c r="P27" s="209"/>
      <c r="Q27" s="209"/>
    </row>
    <row r="28" spans="1:17">
      <c r="A28" s="209"/>
      <c r="B28" s="209"/>
      <c r="C28" s="209"/>
      <c r="D28" s="157"/>
      <c r="E28" s="157"/>
      <c r="F28" s="157"/>
      <c r="G28" s="157"/>
      <c r="H28" s="250"/>
      <c r="I28" s="250"/>
      <c r="J28" s="250"/>
      <c r="K28" s="250"/>
      <c r="L28" s="250"/>
      <c r="M28" s="250"/>
      <c r="N28" s="250"/>
      <c r="O28" s="209"/>
      <c r="P28" s="209"/>
      <c r="Q28" s="209"/>
    </row>
    <row r="29" spans="1:17" ht="13.5" thickBot="1">
      <c r="A29" s="209"/>
      <c r="B29" s="209"/>
      <c r="C29" s="209"/>
      <c r="D29" s="209"/>
      <c r="E29" s="157"/>
      <c r="F29" s="157"/>
      <c r="G29" s="245" t="s">
        <v>24</v>
      </c>
      <c r="H29" s="245"/>
      <c r="I29" s="252"/>
      <c r="J29" s="252"/>
      <c r="K29" s="252"/>
      <c r="L29" s="252"/>
      <c r="M29" s="252"/>
      <c r="N29" s="253"/>
      <c r="O29" s="253"/>
      <c r="P29" s="209"/>
      <c r="Q29" s="209"/>
    </row>
    <row r="30" spans="1:17">
      <c r="A30" s="209"/>
      <c r="B30" s="209"/>
      <c r="C30" s="209"/>
      <c r="D30" s="209"/>
      <c r="E30" s="157"/>
      <c r="F30" s="157"/>
      <c r="G30" s="159"/>
      <c r="H30" s="159"/>
      <c r="I30" s="250"/>
      <c r="J30" s="250"/>
      <c r="K30" s="250"/>
      <c r="L30" s="250"/>
      <c r="M30" s="250"/>
      <c r="N30" s="250"/>
      <c r="O30" s="250"/>
      <c r="P30" s="209"/>
      <c r="Q30" s="209"/>
    </row>
    <row r="31" spans="1:17" ht="13.5" thickBot="1">
      <c r="A31" s="209"/>
      <c r="B31" s="209"/>
      <c r="C31" s="209"/>
      <c r="D31" s="209"/>
      <c r="F31" s="257" t="s">
        <v>161</v>
      </c>
      <c r="H31" s="257"/>
      <c r="I31" s="252"/>
      <c r="J31" s="252"/>
      <c r="K31" s="252"/>
      <c r="L31" s="252"/>
      <c r="M31" s="252"/>
      <c r="N31" s="252"/>
      <c r="O31" s="256"/>
      <c r="P31" s="250"/>
      <c r="Q31" s="209"/>
    </row>
    <row r="32" spans="1:17" ht="15">
      <c r="A32" s="209"/>
      <c r="B32" s="209"/>
      <c r="C32" s="209"/>
      <c r="D32" s="209"/>
      <c r="E32" s="209"/>
      <c r="F32" s="209"/>
      <c r="G32" s="209"/>
      <c r="H32" s="209"/>
      <c r="I32" s="209"/>
      <c r="J32" s="258"/>
      <c r="K32" s="209"/>
      <c r="L32" s="209"/>
      <c r="M32" s="209"/>
      <c r="N32" s="209"/>
      <c r="O32" s="209"/>
      <c r="P32" s="209"/>
      <c r="Q32" s="209"/>
    </row>
    <row r="33" spans="10:10" ht="15">
      <c r="J33" s="259"/>
    </row>
  </sheetData>
  <sheetProtection password="C307" sheet="1" objects="1" scenarios="1"/>
  <mergeCells count="8">
    <mergeCell ref="B20:B21"/>
    <mergeCell ref="B2:O3"/>
    <mergeCell ref="H8:H12"/>
    <mergeCell ref="J8:J12"/>
    <mergeCell ref="L8:L12"/>
    <mergeCell ref="N8:N12"/>
    <mergeCell ref="H14:M14"/>
    <mergeCell ref="N14:O14"/>
  </mergeCells>
  <hyperlinks>
    <hyperlink ref="B18" r:id="rId1"/>
  </hyperlinks>
  <pageMargins left="0" right="0" top="0.75" bottom="0.75" header="0.3" footer="0.3"/>
  <pageSetup scale="66" orientation="landscape" r:id="rId2"/>
  <headerFooter>
    <oddHeader>&amp;C&amp;"Arial,Bold"&amp;14CAFE FAVORITES</oddHeader>
  </headerFooter>
  <drawing r:id="rId3"/>
</worksheet>
</file>

<file path=xl/worksheets/sheet3.xml><?xml version="1.0" encoding="utf-8"?>
<worksheet xmlns="http://schemas.openxmlformats.org/spreadsheetml/2006/main" xmlns:r="http://schemas.openxmlformats.org/officeDocument/2006/relationships">
  <sheetPr>
    <pageSetUpPr fitToPage="1"/>
  </sheetPr>
  <dimension ref="A6:P53"/>
  <sheetViews>
    <sheetView workbookViewId="0"/>
  </sheetViews>
  <sheetFormatPr defaultRowHeight="12.75"/>
  <cols>
    <col min="1" max="1" width="7.85546875" style="156" customWidth="1"/>
    <col min="2" max="2" width="11.7109375" style="156" customWidth="1"/>
    <col min="3" max="3" width="47.85546875" style="156" customWidth="1"/>
    <col min="4" max="5" width="9.140625" style="156" customWidth="1"/>
    <col min="6" max="6" width="13.5703125" style="156" customWidth="1"/>
    <col min="7" max="7" width="20.140625" style="156" customWidth="1"/>
    <col min="8" max="8" width="10" style="156" customWidth="1"/>
    <col min="9" max="9" width="6" style="156" customWidth="1"/>
    <col min="10" max="10" width="8.5703125" style="156" customWidth="1"/>
    <col min="11" max="11" width="5.85546875" style="156" customWidth="1"/>
    <col min="12" max="12" width="8.85546875" style="156" customWidth="1"/>
    <col min="13" max="13" width="5.5703125" style="156" customWidth="1"/>
    <col min="14" max="14" width="11.42578125" style="156" customWidth="1"/>
    <col min="15" max="15" width="4.85546875" style="156" customWidth="1"/>
    <col min="16" max="16" width="11" style="156" customWidth="1"/>
    <col min="17" max="256" width="9.140625" style="156"/>
    <col min="257" max="257" width="7.85546875" style="156" customWidth="1"/>
    <col min="258" max="258" width="11.7109375" style="156" customWidth="1"/>
    <col min="259" max="259" width="47.85546875" style="156" customWidth="1"/>
    <col min="260" max="261" width="9.140625" style="156" customWidth="1"/>
    <col min="262" max="262" width="13.5703125" style="156" customWidth="1"/>
    <col min="263" max="263" width="20.140625" style="156" customWidth="1"/>
    <col min="264" max="264" width="10" style="156" customWidth="1"/>
    <col min="265" max="265" width="6" style="156" customWidth="1"/>
    <col min="266" max="266" width="8.5703125" style="156" customWidth="1"/>
    <col min="267" max="267" width="5.85546875" style="156" customWidth="1"/>
    <col min="268" max="268" width="8.85546875" style="156" customWidth="1"/>
    <col min="269" max="269" width="5.5703125" style="156" customWidth="1"/>
    <col min="270" max="270" width="11.42578125" style="156" customWidth="1"/>
    <col min="271" max="271" width="4.85546875" style="156" customWidth="1"/>
    <col min="272" max="272" width="11" style="156" customWidth="1"/>
    <col min="273" max="512" width="9.140625" style="156"/>
    <col min="513" max="513" width="7.85546875" style="156" customWidth="1"/>
    <col min="514" max="514" width="11.7109375" style="156" customWidth="1"/>
    <col min="515" max="515" width="47.85546875" style="156" customWidth="1"/>
    <col min="516" max="517" width="9.140625" style="156" customWidth="1"/>
    <col min="518" max="518" width="13.5703125" style="156" customWidth="1"/>
    <col min="519" max="519" width="20.140625" style="156" customWidth="1"/>
    <col min="520" max="520" width="10" style="156" customWidth="1"/>
    <col min="521" max="521" width="6" style="156" customWidth="1"/>
    <col min="522" max="522" width="8.5703125" style="156" customWidth="1"/>
    <col min="523" max="523" width="5.85546875" style="156" customWidth="1"/>
    <col min="524" max="524" width="8.85546875" style="156" customWidth="1"/>
    <col min="525" max="525" width="5.5703125" style="156" customWidth="1"/>
    <col min="526" max="526" width="11.42578125" style="156" customWidth="1"/>
    <col min="527" max="527" width="4.85546875" style="156" customWidth="1"/>
    <col min="528" max="528" width="11" style="156" customWidth="1"/>
    <col min="529" max="768" width="9.140625" style="156"/>
    <col min="769" max="769" width="7.85546875" style="156" customWidth="1"/>
    <col min="770" max="770" width="11.7109375" style="156" customWidth="1"/>
    <col min="771" max="771" width="47.85546875" style="156" customWidth="1"/>
    <col min="772" max="773" width="9.140625" style="156" customWidth="1"/>
    <col min="774" max="774" width="13.5703125" style="156" customWidth="1"/>
    <col min="775" max="775" width="20.140625" style="156" customWidth="1"/>
    <col min="776" max="776" width="10" style="156" customWidth="1"/>
    <col min="777" max="777" width="6" style="156" customWidth="1"/>
    <col min="778" max="778" width="8.5703125" style="156" customWidth="1"/>
    <col min="779" max="779" width="5.85546875" style="156" customWidth="1"/>
    <col min="780" max="780" width="8.85546875" style="156" customWidth="1"/>
    <col min="781" max="781" width="5.5703125" style="156" customWidth="1"/>
    <col min="782" max="782" width="11.42578125" style="156" customWidth="1"/>
    <col min="783" max="783" width="4.85546875" style="156" customWidth="1"/>
    <col min="784" max="784" width="11" style="156" customWidth="1"/>
    <col min="785" max="1024" width="9.140625" style="156"/>
    <col min="1025" max="1025" width="7.85546875" style="156" customWidth="1"/>
    <col min="1026" max="1026" width="11.7109375" style="156" customWidth="1"/>
    <col min="1027" max="1027" width="47.85546875" style="156" customWidth="1"/>
    <col min="1028" max="1029" width="9.140625" style="156" customWidth="1"/>
    <col min="1030" max="1030" width="13.5703125" style="156" customWidth="1"/>
    <col min="1031" max="1031" width="20.140625" style="156" customWidth="1"/>
    <col min="1032" max="1032" width="10" style="156" customWidth="1"/>
    <col min="1033" max="1033" width="6" style="156" customWidth="1"/>
    <col min="1034" max="1034" width="8.5703125" style="156" customWidth="1"/>
    <col min="1035" max="1035" width="5.85546875" style="156" customWidth="1"/>
    <col min="1036" max="1036" width="8.85546875" style="156" customWidth="1"/>
    <col min="1037" max="1037" width="5.5703125" style="156" customWidth="1"/>
    <col min="1038" max="1038" width="11.42578125" style="156" customWidth="1"/>
    <col min="1039" max="1039" width="4.85546875" style="156" customWidth="1"/>
    <col min="1040" max="1040" width="11" style="156" customWidth="1"/>
    <col min="1041" max="1280" width="9.140625" style="156"/>
    <col min="1281" max="1281" width="7.85546875" style="156" customWidth="1"/>
    <col min="1282" max="1282" width="11.7109375" style="156" customWidth="1"/>
    <col min="1283" max="1283" width="47.85546875" style="156" customWidth="1"/>
    <col min="1284" max="1285" width="9.140625" style="156" customWidth="1"/>
    <col min="1286" max="1286" width="13.5703125" style="156" customWidth="1"/>
    <col min="1287" max="1287" width="20.140625" style="156" customWidth="1"/>
    <col min="1288" max="1288" width="10" style="156" customWidth="1"/>
    <col min="1289" max="1289" width="6" style="156" customWidth="1"/>
    <col min="1290" max="1290" width="8.5703125" style="156" customWidth="1"/>
    <col min="1291" max="1291" width="5.85546875" style="156" customWidth="1"/>
    <col min="1292" max="1292" width="8.85546875" style="156" customWidth="1"/>
    <col min="1293" max="1293" width="5.5703125" style="156" customWidth="1"/>
    <col min="1294" max="1294" width="11.42578125" style="156" customWidth="1"/>
    <col min="1295" max="1295" width="4.85546875" style="156" customWidth="1"/>
    <col min="1296" max="1296" width="11" style="156" customWidth="1"/>
    <col min="1297" max="1536" width="9.140625" style="156"/>
    <col min="1537" max="1537" width="7.85546875" style="156" customWidth="1"/>
    <col min="1538" max="1538" width="11.7109375" style="156" customWidth="1"/>
    <col min="1539" max="1539" width="47.85546875" style="156" customWidth="1"/>
    <col min="1540" max="1541" width="9.140625" style="156" customWidth="1"/>
    <col min="1542" max="1542" width="13.5703125" style="156" customWidth="1"/>
    <col min="1543" max="1543" width="20.140625" style="156" customWidth="1"/>
    <col min="1544" max="1544" width="10" style="156" customWidth="1"/>
    <col min="1545" max="1545" width="6" style="156" customWidth="1"/>
    <col min="1546" max="1546" width="8.5703125" style="156" customWidth="1"/>
    <col min="1547" max="1547" width="5.85546875" style="156" customWidth="1"/>
    <col min="1548" max="1548" width="8.85546875" style="156" customWidth="1"/>
    <col min="1549" max="1549" width="5.5703125" style="156" customWidth="1"/>
    <col min="1550" max="1550" width="11.42578125" style="156" customWidth="1"/>
    <col min="1551" max="1551" width="4.85546875" style="156" customWidth="1"/>
    <col min="1552" max="1552" width="11" style="156" customWidth="1"/>
    <col min="1553" max="1792" width="9.140625" style="156"/>
    <col min="1793" max="1793" width="7.85546875" style="156" customWidth="1"/>
    <col min="1794" max="1794" width="11.7109375" style="156" customWidth="1"/>
    <col min="1795" max="1795" width="47.85546875" style="156" customWidth="1"/>
    <col min="1796" max="1797" width="9.140625" style="156" customWidth="1"/>
    <col min="1798" max="1798" width="13.5703125" style="156" customWidth="1"/>
    <col min="1799" max="1799" width="20.140625" style="156" customWidth="1"/>
    <col min="1800" max="1800" width="10" style="156" customWidth="1"/>
    <col min="1801" max="1801" width="6" style="156" customWidth="1"/>
    <col min="1802" max="1802" width="8.5703125" style="156" customWidth="1"/>
    <col min="1803" max="1803" width="5.85546875" style="156" customWidth="1"/>
    <col min="1804" max="1804" width="8.85546875" style="156" customWidth="1"/>
    <col min="1805" max="1805" width="5.5703125" style="156" customWidth="1"/>
    <col min="1806" max="1806" width="11.42578125" style="156" customWidth="1"/>
    <col min="1807" max="1807" width="4.85546875" style="156" customWidth="1"/>
    <col min="1808" max="1808" width="11" style="156" customWidth="1"/>
    <col min="1809" max="2048" width="9.140625" style="156"/>
    <col min="2049" max="2049" width="7.85546875" style="156" customWidth="1"/>
    <col min="2050" max="2050" width="11.7109375" style="156" customWidth="1"/>
    <col min="2051" max="2051" width="47.85546875" style="156" customWidth="1"/>
    <col min="2052" max="2053" width="9.140625" style="156" customWidth="1"/>
    <col min="2054" max="2054" width="13.5703125" style="156" customWidth="1"/>
    <col min="2055" max="2055" width="20.140625" style="156" customWidth="1"/>
    <col min="2056" max="2056" width="10" style="156" customWidth="1"/>
    <col min="2057" max="2057" width="6" style="156" customWidth="1"/>
    <col min="2058" max="2058" width="8.5703125" style="156" customWidth="1"/>
    <col min="2059" max="2059" width="5.85546875" style="156" customWidth="1"/>
    <col min="2060" max="2060" width="8.85546875" style="156" customWidth="1"/>
    <col min="2061" max="2061" width="5.5703125" style="156" customWidth="1"/>
    <col min="2062" max="2062" width="11.42578125" style="156" customWidth="1"/>
    <col min="2063" max="2063" width="4.85546875" style="156" customWidth="1"/>
    <col min="2064" max="2064" width="11" style="156" customWidth="1"/>
    <col min="2065" max="2304" width="9.140625" style="156"/>
    <col min="2305" max="2305" width="7.85546875" style="156" customWidth="1"/>
    <col min="2306" max="2306" width="11.7109375" style="156" customWidth="1"/>
    <col min="2307" max="2307" width="47.85546875" style="156" customWidth="1"/>
    <col min="2308" max="2309" width="9.140625" style="156" customWidth="1"/>
    <col min="2310" max="2310" width="13.5703125" style="156" customWidth="1"/>
    <col min="2311" max="2311" width="20.140625" style="156" customWidth="1"/>
    <col min="2312" max="2312" width="10" style="156" customWidth="1"/>
    <col min="2313" max="2313" width="6" style="156" customWidth="1"/>
    <col min="2314" max="2314" width="8.5703125" style="156" customWidth="1"/>
    <col min="2315" max="2315" width="5.85546875" style="156" customWidth="1"/>
    <col min="2316" max="2316" width="8.85546875" style="156" customWidth="1"/>
    <col min="2317" max="2317" width="5.5703125" style="156" customWidth="1"/>
    <col min="2318" max="2318" width="11.42578125" style="156" customWidth="1"/>
    <col min="2319" max="2319" width="4.85546875" style="156" customWidth="1"/>
    <col min="2320" max="2320" width="11" style="156" customWidth="1"/>
    <col min="2321" max="2560" width="9.140625" style="156"/>
    <col min="2561" max="2561" width="7.85546875" style="156" customWidth="1"/>
    <col min="2562" max="2562" width="11.7109375" style="156" customWidth="1"/>
    <col min="2563" max="2563" width="47.85546875" style="156" customWidth="1"/>
    <col min="2564" max="2565" width="9.140625" style="156" customWidth="1"/>
    <col min="2566" max="2566" width="13.5703125" style="156" customWidth="1"/>
    <col min="2567" max="2567" width="20.140625" style="156" customWidth="1"/>
    <col min="2568" max="2568" width="10" style="156" customWidth="1"/>
    <col min="2569" max="2569" width="6" style="156" customWidth="1"/>
    <col min="2570" max="2570" width="8.5703125" style="156" customWidth="1"/>
    <col min="2571" max="2571" width="5.85546875" style="156" customWidth="1"/>
    <col min="2572" max="2572" width="8.85546875" style="156" customWidth="1"/>
    <col min="2573" max="2573" width="5.5703125" style="156" customWidth="1"/>
    <col min="2574" max="2574" width="11.42578125" style="156" customWidth="1"/>
    <col min="2575" max="2575" width="4.85546875" style="156" customWidth="1"/>
    <col min="2576" max="2576" width="11" style="156" customWidth="1"/>
    <col min="2577" max="2816" width="9.140625" style="156"/>
    <col min="2817" max="2817" width="7.85546875" style="156" customWidth="1"/>
    <col min="2818" max="2818" width="11.7109375" style="156" customWidth="1"/>
    <col min="2819" max="2819" width="47.85546875" style="156" customWidth="1"/>
    <col min="2820" max="2821" width="9.140625" style="156" customWidth="1"/>
    <col min="2822" max="2822" width="13.5703125" style="156" customWidth="1"/>
    <col min="2823" max="2823" width="20.140625" style="156" customWidth="1"/>
    <col min="2824" max="2824" width="10" style="156" customWidth="1"/>
    <col min="2825" max="2825" width="6" style="156" customWidth="1"/>
    <col min="2826" max="2826" width="8.5703125" style="156" customWidth="1"/>
    <col min="2827" max="2827" width="5.85546875" style="156" customWidth="1"/>
    <col min="2828" max="2828" width="8.85546875" style="156" customWidth="1"/>
    <col min="2829" max="2829" width="5.5703125" style="156" customWidth="1"/>
    <col min="2830" max="2830" width="11.42578125" style="156" customWidth="1"/>
    <col min="2831" max="2831" width="4.85546875" style="156" customWidth="1"/>
    <col min="2832" max="2832" width="11" style="156" customWidth="1"/>
    <col min="2833" max="3072" width="9.140625" style="156"/>
    <col min="3073" max="3073" width="7.85546875" style="156" customWidth="1"/>
    <col min="3074" max="3074" width="11.7109375" style="156" customWidth="1"/>
    <col min="3075" max="3075" width="47.85546875" style="156" customWidth="1"/>
    <col min="3076" max="3077" width="9.140625" style="156" customWidth="1"/>
    <col min="3078" max="3078" width="13.5703125" style="156" customWidth="1"/>
    <col min="3079" max="3079" width="20.140625" style="156" customWidth="1"/>
    <col min="3080" max="3080" width="10" style="156" customWidth="1"/>
    <col min="3081" max="3081" width="6" style="156" customWidth="1"/>
    <col min="3082" max="3082" width="8.5703125" style="156" customWidth="1"/>
    <col min="3083" max="3083" width="5.85546875" style="156" customWidth="1"/>
    <col min="3084" max="3084" width="8.85546875" style="156" customWidth="1"/>
    <col min="3085" max="3085" width="5.5703125" style="156" customWidth="1"/>
    <col min="3086" max="3086" width="11.42578125" style="156" customWidth="1"/>
    <col min="3087" max="3087" width="4.85546875" style="156" customWidth="1"/>
    <col min="3088" max="3088" width="11" style="156" customWidth="1"/>
    <col min="3089" max="3328" width="9.140625" style="156"/>
    <col min="3329" max="3329" width="7.85546875" style="156" customWidth="1"/>
    <col min="3330" max="3330" width="11.7109375" style="156" customWidth="1"/>
    <col min="3331" max="3331" width="47.85546875" style="156" customWidth="1"/>
    <col min="3332" max="3333" width="9.140625" style="156" customWidth="1"/>
    <col min="3334" max="3334" width="13.5703125" style="156" customWidth="1"/>
    <col min="3335" max="3335" width="20.140625" style="156" customWidth="1"/>
    <col min="3336" max="3336" width="10" style="156" customWidth="1"/>
    <col min="3337" max="3337" width="6" style="156" customWidth="1"/>
    <col min="3338" max="3338" width="8.5703125" style="156" customWidth="1"/>
    <col min="3339" max="3339" width="5.85546875" style="156" customWidth="1"/>
    <col min="3340" max="3340" width="8.85546875" style="156" customWidth="1"/>
    <col min="3341" max="3341" width="5.5703125" style="156" customWidth="1"/>
    <col min="3342" max="3342" width="11.42578125" style="156" customWidth="1"/>
    <col min="3343" max="3343" width="4.85546875" style="156" customWidth="1"/>
    <col min="3344" max="3344" width="11" style="156" customWidth="1"/>
    <col min="3345" max="3584" width="9.140625" style="156"/>
    <col min="3585" max="3585" width="7.85546875" style="156" customWidth="1"/>
    <col min="3586" max="3586" width="11.7109375" style="156" customWidth="1"/>
    <col min="3587" max="3587" width="47.85546875" style="156" customWidth="1"/>
    <col min="3588" max="3589" width="9.140625" style="156" customWidth="1"/>
    <col min="3590" max="3590" width="13.5703125" style="156" customWidth="1"/>
    <col min="3591" max="3591" width="20.140625" style="156" customWidth="1"/>
    <col min="3592" max="3592" width="10" style="156" customWidth="1"/>
    <col min="3593" max="3593" width="6" style="156" customWidth="1"/>
    <col min="3594" max="3594" width="8.5703125" style="156" customWidth="1"/>
    <col min="3595" max="3595" width="5.85546875" style="156" customWidth="1"/>
    <col min="3596" max="3596" width="8.85546875" style="156" customWidth="1"/>
    <col min="3597" max="3597" width="5.5703125" style="156" customWidth="1"/>
    <col min="3598" max="3598" width="11.42578125" style="156" customWidth="1"/>
    <col min="3599" max="3599" width="4.85546875" style="156" customWidth="1"/>
    <col min="3600" max="3600" width="11" style="156" customWidth="1"/>
    <col min="3601" max="3840" width="9.140625" style="156"/>
    <col min="3841" max="3841" width="7.85546875" style="156" customWidth="1"/>
    <col min="3842" max="3842" width="11.7109375" style="156" customWidth="1"/>
    <col min="3843" max="3843" width="47.85546875" style="156" customWidth="1"/>
    <col min="3844" max="3845" width="9.140625" style="156" customWidth="1"/>
    <col min="3846" max="3846" width="13.5703125" style="156" customWidth="1"/>
    <col min="3847" max="3847" width="20.140625" style="156" customWidth="1"/>
    <col min="3848" max="3848" width="10" style="156" customWidth="1"/>
    <col min="3849" max="3849" width="6" style="156" customWidth="1"/>
    <col min="3850" max="3850" width="8.5703125" style="156" customWidth="1"/>
    <col min="3851" max="3851" width="5.85546875" style="156" customWidth="1"/>
    <col min="3852" max="3852" width="8.85546875" style="156" customWidth="1"/>
    <col min="3853" max="3853" width="5.5703125" style="156" customWidth="1"/>
    <col min="3854" max="3854" width="11.42578125" style="156" customWidth="1"/>
    <col min="3855" max="3855" width="4.85546875" style="156" customWidth="1"/>
    <col min="3856" max="3856" width="11" style="156" customWidth="1"/>
    <col min="3857" max="4096" width="9.140625" style="156"/>
    <col min="4097" max="4097" width="7.85546875" style="156" customWidth="1"/>
    <col min="4098" max="4098" width="11.7109375" style="156" customWidth="1"/>
    <col min="4099" max="4099" width="47.85546875" style="156" customWidth="1"/>
    <col min="4100" max="4101" width="9.140625" style="156" customWidth="1"/>
    <col min="4102" max="4102" width="13.5703125" style="156" customWidth="1"/>
    <col min="4103" max="4103" width="20.140625" style="156" customWidth="1"/>
    <col min="4104" max="4104" width="10" style="156" customWidth="1"/>
    <col min="4105" max="4105" width="6" style="156" customWidth="1"/>
    <col min="4106" max="4106" width="8.5703125" style="156" customWidth="1"/>
    <col min="4107" max="4107" width="5.85546875" style="156" customWidth="1"/>
    <col min="4108" max="4108" width="8.85546875" style="156" customWidth="1"/>
    <col min="4109" max="4109" width="5.5703125" style="156" customWidth="1"/>
    <col min="4110" max="4110" width="11.42578125" style="156" customWidth="1"/>
    <col min="4111" max="4111" width="4.85546875" style="156" customWidth="1"/>
    <col min="4112" max="4112" width="11" style="156" customWidth="1"/>
    <col min="4113" max="4352" width="9.140625" style="156"/>
    <col min="4353" max="4353" width="7.85546875" style="156" customWidth="1"/>
    <col min="4354" max="4354" width="11.7109375" style="156" customWidth="1"/>
    <col min="4355" max="4355" width="47.85546875" style="156" customWidth="1"/>
    <col min="4356" max="4357" width="9.140625" style="156" customWidth="1"/>
    <col min="4358" max="4358" width="13.5703125" style="156" customWidth="1"/>
    <col min="4359" max="4359" width="20.140625" style="156" customWidth="1"/>
    <col min="4360" max="4360" width="10" style="156" customWidth="1"/>
    <col min="4361" max="4361" width="6" style="156" customWidth="1"/>
    <col min="4362" max="4362" width="8.5703125" style="156" customWidth="1"/>
    <col min="4363" max="4363" width="5.85546875" style="156" customWidth="1"/>
    <col min="4364" max="4364" width="8.85546875" style="156" customWidth="1"/>
    <col min="4365" max="4365" width="5.5703125" style="156" customWidth="1"/>
    <col min="4366" max="4366" width="11.42578125" style="156" customWidth="1"/>
    <col min="4367" max="4367" width="4.85546875" style="156" customWidth="1"/>
    <col min="4368" max="4368" width="11" style="156" customWidth="1"/>
    <col min="4369" max="4608" width="9.140625" style="156"/>
    <col min="4609" max="4609" width="7.85546875" style="156" customWidth="1"/>
    <col min="4610" max="4610" width="11.7109375" style="156" customWidth="1"/>
    <col min="4611" max="4611" width="47.85546875" style="156" customWidth="1"/>
    <col min="4612" max="4613" width="9.140625" style="156" customWidth="1"/>
    <col min="4614" max="4614" width="13.5703125" style="156" customWidth="1"/>
    <col min="4615" max="4615" width="20.140625" style="156" customWidth="1"/>
    <col min="4616" max="4616" width="10" style="156" customWidth="1"/>
    <col min="4617" max="4617" width="6" style="156" customWidth="1"/>
    <col min="4618" max="4618" width="8.5703125" style="156" customWidth="1"/>
    <col min="4619" max="4619" width="5.85546875" style="156" customWidth="1"/>
    <col min="4620" max="4620" width="8.85546875" style="156" customWidth="1"/>
    <col min="4621" max="4621" width="5.5703125" style="156" customWidth="1"/>
    <col min="4622" max="4622" width="11.42578125" style="156" customWidth="1"/>
    <col min="4623" max="4623" width="4.85546875" style="156" customWidth="1"/>
    <col min="4624" max="4624" width="11" style="156" customWidth="1"/>
    <col min="4625" max="4864" width="9.140625" style="156"/>
    <col min="4865" max="4865" width="7.85546875" style="156" customWidth="1"/>
    <col min="4866" max="4866" width="11.7109375" style="156" customWidth="1"/>
    <col min="4867" max="4867" width="47.85546875" style="156" customWidth="1"/>
    <col min="4868" max="4869" width="9.140625" style="156" customWidth="1"/>
    <col min="4870" max="4870" width="13.5703125" style="156" customWidth="1"/>
    <col min="4871" max="4871" width="20.140625" style="156" customWidth="1"/>
    <col min="4872" max="4872" width="10" style="156" customWidth="1"/>
    <col min="4873" max="4873" width="6" style="156" customWidth="1"/>
    <col min="4874" max="4874" width="8.5703125" style="156" customWidth="1"/>
    <col min="4875" max="4875" width="5.85546875" style="156" customWidth="1"/>
    <col min="4876" max="4876" width="8.85546875" style="156" customWidth="1"/>
    <col min="4877" max="4877" width="5.5703125" style="156" customWidth="1"/>
    <col min="4878" max="4878" width="11.42578125" style="156" customWidth="1"/>
    <col min="4879" max="4879" width="4.85546875" style="156" customWidth="1"/>
    <col min="4880" max="4880" width="11" style="156" customWidth="1"/>
    <col min="4881" max="5120" width="9.140625" style="156"/>
    <col min="5121" max="5121" width="7.85546875" style="156" customWidth="1"/>
    <col min="5122" max="5122" width="11.7109375" style="156" customWidth="1"/>
    <col min="5123" max="5123" width="47.85546875" style="156" customWidth="1"/>
    <col min="5124" max="5125" width="9.140625" style="156" customWidth="1"/>
    <col min="5126" max="5126" width="13.5703125" style="156" customWidth="1"/>
    <col min="5127" max="5127" width="20.140625" style="156" customWidth="1"/>
    <col min="5128" max="5128" width="10" style="156" customWidth="1"/>
    <col min="5129" max="5129" width="6" style="156" customWidth="1"/>
    <col min="5130" max="5130" width="8.5703125" style="156" customWidth="1"/>
    <col min="5131" max="5131" width="5.85546875" style="156" customWidth="1"/>
    <col min="5132" max="5132" width="8.85546875" style="156" customWidth="1"/>
    <col min="5133" max="5133" width="5.5703125" style="156" customWidth="1"/>
    <col min="5134" max="5134" width="11.42578125" style="156" customWidth="1"/>
    <col min="5135" max="5135" width="4.85546875" style="156" customWidth="1"/>
    <col min="5136" max="5136" width="11" style="156" customWidth="1"/>
    <col min="5137" max="5376" width="9.140625" style="156"/>
    <col min="5377" max="5377" width="7.85546875" style="156" customWidth="1"/>
    <col min="5378" max="5378" width="11.7109375" style="156" customWidth="1"/>
    <col min="5379" max="5379" width="47.85546875" style="156" customWidth="1"/>
    <col min="5380" max="5381" width="9.140625" style="156" customWidth="1"/>
    <col min="5382" max="5382" width="13.5703125" style="156" customWidth="1"/>
    <col min="5383" max="5383" width="20.140625" style="156" customWidth="1"/>
    <col min="5384" max="5384" width="10" style="156" customWidth="1"/>
    <col min="5385" max="5385" width="6" style="156" customWidth="1"/>
    <col min="5386" max="5386" width="8.5703125" style="156" customWidth="1"/>
    <col min="5387" max="5387" width="5.85546875" style="156" customWidth="1"/>
    <col min="5388" max="5388" width="8.85546875" style="156" customWidth="1"/>
    <col min="5389" max="5389" width="5.5703125" style="156" customWidth="1"/>
    <col min="5390" max="5390" width="11.42578125" style="156" customWidth="1"/>
    <col min="5391" max="5391" width="4.85546875" style="156" customWidth="1"/>
    <col min="5392" max="5392" width="11" style="156" customWidth="1"/>
    <col min="5393" max="5632" width="9.140625" style="156"/>
    <col min="5633" max="5633" width="7.85546875" style="156" customWidth="1"/>
    <col min="5634" max="5634" width="11.7109375" style="156" customWidth="1"/>
    <col min="5635" max="5635" width="47.85546875" style="156" customWidth="1"/>
    <col min="5636" max="5637" width="9.140625" style="156" customWidth="1"/>
    <col min="5638" max="5638" width="13.5703125" style="156" customWidth="1"/>
    <col min="5639" max="5639" width="20.140625" style="156" customWidth="1"/>
    <col min="5640" max="5640" width="10" style="156" customWidth="1"/>
    <col min="5641" max="5641" width="6" style="156" customWidth="1"/>
    <col min="5642" max="5642" width="8.5703125" style="156" customWidth="1"/>
    <col min="5643" max="5643" width="5.85546875" style="156" customWidth="1"/>
    <col min="5644" max="5644" width="8.85546875" style="156" customWidth="1"/>
    <col min="5645" max="5645" width="5.5703125" style="156" customWidth="1"/>
    <col min="5646" max="5646" width="11.42578125" style="156" customWidth="1"/>
    <col min="5647" max="5647" width="4.85546875" style="156" customWidth="1"/>
    <col min="5648" max="5648" width="11" style="156" customWidth="1"/>
    <col min="5649" max="5888" width="9.140625" style="156"/>
    <col min="5889" max="5889" width="7.85546875" style="156" customWidth="1"/>
    <col min="5890" max="5890" width="11.7109375" style="156" customWidth="1"/>
    <col min="5891" max="5891" width="47.85546875" style="156" customWidth="1"/>
    <col min="5892" max="5893" width="9.140625" style="156" customWidth="1"/>
    <col min="5894" max="5894" width="13.5703125" style="156" customWidth="1"/>
    <col min="5895" max="5895" width="20.140625" style="156" customWidth="1"/>
    <col min="5896" max="5896" width="10" style="156" customWidth="1"/>
    <col min="5897" max="5897" width="6" style="156" customWidth="1"/>
    <col min="5898" max="5898" width="8.5703125" style="156" customWidth="1"/>
    <col min="5899" max="5899" width="5.85546875" style="156" customWidth="1"/>
    <col min="5900" max="5900" width="8.85546875" style="156" customWidth="1"/>
    <col min="5901" max="5901" width="5.5703125" style="156" customWidth="1"/>
    <col min="5902" max="5902" width="11.42578125" style="156" customWidth="1"/>
    <col min="5903" max="5903" width="4.85546875" style="156" customWidth="1"/>
    <col min="5904" max="5904" width="11" style="156" customWidth="1"/>
    <col min="5905" max="6144" width="9.140625" style="156"/>
    <col min="6145" max="6145" width="7.85546875" style="156" customWidth="1"/>
    <col min="6146" max="6146" width="11.7109375" style="156" customWidth="1"/>
    <col min="6147" max="6147" width="47.85546875" style="156" customWidth="1"/>
    <col min="6148" max="6149" width="9.140625" style="156" customWidth="1"/>
    <col min="6150" max="6150" width="13.5703125" style="156" customWidth="1"/>
    <col min="6151" max="6151" width="20.140625" style="156" customWidth="1"/>
    <col min="6152" max="6152" width="10" style="156" customWidth="1"/>
    <col min="6153" max="6153" width="6" style="156" customWidth="1"/>
    <col min="6154" max="6154" width="8.5703125" style="156" customWidth="1"/>
    <col min="6155" max="6155" width="5.85546875" style="156" customWidth="1"/>
    <col min="6156" max="6156" width="8.85546875" style="156" customWidth="1"/>
    <col min="6157" max="6157" width="5.5703125" style="156" customWidth="1"/>
    <col min="6158" max="6158" width="11.42578125" style="156" customWidth="1"/>
    <col min="6159" max="6159" width="4.85546875" style="156" customWidth="1"/>
    <col min="6160" max="6160" width="11" style="156" customWidth="1"/>
    <col min="6161" max="6400" width="9.140625" style="156"/>
    <col min="6401" max="6401" width="7.85546875" style="156" customWidth="1"/>
    <col min="6402" max="6402" width="11.7109375" style="156" customWidth="1"/>
    <col min="6403" max="6403" width="47.85546875" style="156" customWidth="1"/>
    <col min="6404" max="6405" width="9.140625" style="156" customWidth="1"/>
    <col min="6406" max="6406" width="13.5703125" style="156" customWidth="1"/>
    <col min="6407" max="6407" width="20.140625" style="156" customWidth="1"/>
    <col min="6408" max="6408" width="10" style="156" customWidth="1"/>
    <col min="6409" max="6409" width="6" style="156" customWidth="1"/>
    <col min="6410" max="6410" width="8.5703125" style="156" customWidth="1"/>
    <col min="6411" max="6411" width="5.85546875" style="156" customWidth="1"/>
    <col min="6412" max="6412" width="8.85546875" style="156" customWidth="1"/>
    <col min="6413" max="6413" width="5.5703125" style="156" customWidth="1"/>
    <col min="6414" max="6414" width="11.42578125" style="156" customWidth="1"/>
    <col min="6415" max="6415" width="4.85546875" style="156" customWidth="1"/>
    <col min="6416" max="6416" width="11" style="156" customWidth="1"/>
    <col min="6417" max="6656" width="9.140625" style="156"/>
    <col min="6657" max="6657" width="7.85546875" style="156" customWidth="1"/>
    <col min="6658" max="6658" width="11.7109375" style="156" customWidth="1"/>
    <col min="6659" max="6659" width="47.85546875" style="156" customWidth="1"/>
    <col min="6660" max="6661" width="9.140625" style="156" customWidth="1"/>
    <col min="6662" max="6662" width="13.5703125" style="156" customWidth="1"/>
    <col min="6663" max="6663" width="20.140625" style="156" customWidth="1"/>
    <col min="6664" max="6664" width="10" style="156" customWidth="1"/>
    <col min="6665" max="6665" width="6" style="156" customWidth="1"/>
    <col min="6666" max="6666" width="8.5703125" style="156" customWidth="1"/>
    <col min="6667" max="6667" width="5.85546875" style="156" customWidth="1"/>
    <col min="6668" max="6668" width="8.85546875" style="156" customWidth="1"/>
    <col min="6669" max="6669" width="5.5703125" style="156" customWidth="1"/>
    <col min="6670" max="6670" width="11.42578125" style="156" customWidth="1"/>
    <col min="6671" max="6671" width="4.85546875" style="156" customWidth="1"/>
    <col min="6672" max="6672" width="11" style="156" customWidth="1"/>
    <col min="6673" max="6912" width="9.140625" style="156"/>
    <col min="6913" max="6913" width="7.85546875" style="156" customWidth="1"/>
    <col min="6914" max="6914" width="11.7109375" style="156" customWidth="1"/>
    <col min="6915" max="6915" width="47.85546875" style="156" customWidth="1"/>
    <col min="6916" max="6917" width="9.140625" style="156" customWidth="1"/>
    <col min="6918" max="6918" width="13.5703125" style="156" customWidth="1"/>
    <col min="6919" max="6919" width="20.140625" style="156" customWidth="1"/>
    <col min="6920" max="6920" width="10" style="156" customWidth="1"/>
    <col min="6921" max="6921" width="6" style="156" customWidth="1"/>
    <col min="6922" max="6922" width="8.5703125" style="156" customWidth="1"/>
    <col min="6923" max="6923" width="5.85546875" style="156" customWidth="1"/>
    <col min="6924" max="6924" width="8.85546875" style="156" customWidth="1"/>
    <col min="6925" max="6925" width="5.5703125" style="156" customWidth="1"/>
    <col min="6926" max="6926" width="11.42578125" style="156" customWidth="1"/>
    <col min="6927" max="6927" width="4.85546875" style="156" customWidth="1"/>
    <col min="6928" max="6928" width="11" style="156" customWidth="1"/>
    <col min="6929" max="7168" width="9.140625" style="156"/>
    <col min="7169" max="7169" width="7.85546875" style="156" customWidth="1"/>
    <col min="7170" max="7170" width="11.7109375" style="156" customWidth="1"/>
    <col min="7171" max="7171" width="47.85546875" style="156" customWidth="1"/>
    <col min="7172" max="7173" width="9.140625" style="156" customWidth="1"/>
    <col min="7174" max="7174" width="13.5703125" style="156" customWidth="1"/>
    <col min="7175" max="7175" width="20.140625" style="156" customWidth="1"/>
    <col min="7176" max="7176" width="10" style="156" customWidth="1"/>
    <col min="7177" max="7177" width="6" style="156" customWidth="1"/>
    <col min="7178" max="7178" width="8.5703125" style="156" customWidth="1"/>
    <col min="7179" max="7179" width="5.85546875" style="156" customWidth="1"/>
    <col min="7180" max="7180" width="8.85546875" style="156" customWidth="1"/>
    <col min="7181" max="7181" width="5.5703125" style="156" customWidth="1"/>
    <col min="7182" max="7182" width="11.42578125" style="156" customWidth="1"/>
    <col min="7183" max="7183" width="4.85546875" style="156" customWidth="1"/>
    <col min="7184" max="7184" width="11" style="156" customWidth="1"/>
    <col min="7185" max="7424" width="9.140625" style="156"/>
    <col min="7425" max="7425" width="7.85546875" style="156" customWidth="1"/>
    <col min="7426" max="7426" width="11.7109375" style="156" customWidth="1"/>
    <col min="7427" max="7427" width="47.85546875" style="156" customWidth="1"/>
    <col min="7428" max="7429" width="9.140625" style="156" customWidth="1"/>
    <col min="7430" max="7430" width="13.5703125" style="156" customWidth="1"/>
    <col min="7431" max="7431" width="20.140625" style="156" customWidth="1"/>
    <col min="7432" max="7432" width="10" style="156" customWidth="1"/>
    <col min="7433" max="7433" width="6" style="156" customWidth="1"/>
    <col min="7434" max="7434" width="8.5703125" style="156" customWidth="1"/>
    <col min="7435" max="7435" width="5.85546875" style="156" customWidth="1"/>
    <col min="7436" max="7436" width="8.85546875" style="156" customWidth="1"/>
    <col min="7437" max="7437" width="5.5703125" style="156" customWidth="1"/>
    <col min="7438" max="7438" width="11.42578125" style="156" customWidth="1"/>
    <col min="7439" max="7439" width="4.85546875" style="156" customWidth="1"/>
    <col min="7440" max="7440" width="11" style="156" customWidth="1"/>
    <col min="7441" max="7680" width="9.140625" style="156"/>
    <col min="7681" max="7681" width="7.85546875" style="156" customWidth="1"/>
    <col min="7682" max="7682" width="11.7109375" style="156" customWidth="1"/>
    <col min="7683" max="7683" width="47.85546875" style="156" customWidth="1"/>
    <col min="7684" max="7685" width="9.140625" style="156" customWidth="1"/>
    <col min="7686" max="7686" width="13.5703125" style="156" customWidth="1"/>
    <col min="7687" max="7687" width="20.140625" style="156" customWidth="1"/>
    <col min="7688" max="7688" width="10" style="156" customWidth="1"/>
    <col min="7689" max="7689" width="6" style="156" customWidth="1"/>
    <col min="7690" max="7690" width="8.5703125" style="156" customWidth="1"/>
    <col min="7691" max="7691" width="5.85546875" style="156" customWidth="1"/>
    <col min="7692" max="7692" width="8.85546875" style="156" customWidth="1"/>
    <col min="7693" max="7693" width="5.5703125" style="156" customWidth="1"/>
    <col min="7694" max="7694" width="11.42578125" style="156" customWidth="1"/>
    <col min="7695" max="7695" width="4.85546875" style="156" customWidth="1"/>
    <col min="7696" max="7696" width="11" style="156" customWidth="1"/>
    <col min="7697" max="7936" width="9.140625" style="156"/>
    <col min="7937" max="7937" width="7.85546875" style="156" customWidth="1"/>
    <col min="7938" max="7938" width="11.7109375" style="156" customWidth="1"/>
    <col min="7939" max="7939" width="47.85546875" style="156" customWidth="1"/>
    <col min="7940" max="7941" width="9.140625" style="156" customWidth="1"/>
    <col min="7942" max="7942" width="13.5703125" style="156" customWidth="1"/>
    <col min="7943" max="7943" width="20.140625" style="156" customWidth="1"/>
    <col min="7944" max="7944" width="10" style="156" customWidth="1"/>
    <col min="7945" max="7945" width="6" style="156" customWidth="1"/>
    <col min="7946" max="7946" width="8.5703125" style="156" customWidth="1"/>
    <col min="7947" max="7947" width="5.85546875" style="156" customWidth="1"/>
    <col min="7948" max="7948" width="8.85546875" style="156" customWidth="1"/>
    <col min="7949" max="7949" width="5.5703125" style="156" customWidth="1"/>
    <col min="7950" max="7950" width="11.42578125" style="156" customWidth="1"/>
    <col min="7951" max="7951" width="4.85546875" style="156" customWidth="1"/>
    <col min="7952" max="7952" width="11" style="156" customWidth="1"/>
    <col min="7953" max="8192" width="9.140625" style="156"/>
    <col min="8193" max="8193" width="7.85546875" style="156" customWidth="1"/>
    <col min="8194" max="8194" width="11.7109375" style="156" customWidth="1"/>
    <col min="8195" max="8195" width="47.85546875" style="156" customWidth="1"/>
    <col min="8196" max="8197" width="9.140625" style="156" customWidth="1"/>
    <col min="8198" max="8198" width="13.5703125" style="156" customWidth="1"/>
    <col min="8199" max="8199" width="20.140625" style="156" customWidth="1"/>
    <col min="8200" max="8200" width="10" style="156" customWidth="1"/>
    <col min="8201" max="8201" width="6" style="156" customWidth="1"/>
    <col min="8202" max="8202" width="8.5703125" style="156" customWidth="1"/>
    <col min="8203" max="8203" width="5.85546875" style="156" customWidth="1"/>
    <col min="8204" max="8204" width="8.85546875" style="156" customWidth="1"/>
    <col min="8205" max="8205" width="5.5703125" style="156" customWidth="1"/>
    <col min="8206" max="8206" width="11.42578125" style="156" customWidth="1"/>
    <col min="8207" max="8207" width="4.85546875" style="156" customWidth="1"/>
    <col min="8208" max="8208" width="11" style="156" customWidth="1"/>
    <col min="8209" max="8448" width="9.140625" style="156"/>
    <col min="8449" max="8449" width="7.85546875" style="156" customWidth="1"/>
    <col min="8450" max="8450" width="11.7109375" style="156" customWidth="1"/>
    <col min="8451" max="8451" width="47.85546875" style="156" customWidth="1"/>
    <col min="8452" max="8453" width="9.140625" style="156" customWidth="1"/>
    <col min="8454" max="8454" width="13.5703125" style="156" customWidth="1"/>
    <col min="8455" max="8455" width="20.140625" style="156" customWidth="1"/>
    <col min="8456" max="8456" width="10" style="156" customWidth="1"/>
    <col min="8457" max="8457" width="6" style="156" customWidth="1"/>
    <col min="8458" max="8458" width="8.5703125" style="156" customWidth="1"/>
    <col min="8459" max="8459" width="5.85546875" style="156" customWidth="1"/>
    <col min="8460" max="8460" width="8.85546875" style="156" customWidth="1"/>
    <col min="8461" max="8461" width="5.5703125" style="156" customWidth="1"/>
    <col min="8462" max="8462" width="11.42578125" style="156" customWidth="1"/>
    <col min="8463" max="8463" width="4.85546875" style="156" customWidth="1"/>
    <col min="8464" max="8464" width="11" style="156" customWidth="1"/>
    <col min="8465" max="8704" width="9.140625" style="156"/>
    <col min="8705" max="8705" width="7.85546875" style="156" customWidth="1"/>
    <col min="8706" max="8706" width="11.7109375" style="156" customWidth="1"/>
    <col min="8707" max="8707" width="47.85546875" style="156" customWidth="1"/>
    <col min="8708" max="8709" width="9.140625" style="156" customWidth="1"/>
    <col min="8710" max="8710" width="13.5703125" style="156" customWidth="1"/>
    <col min="8711" max="8711" width="20.140625" style="156" customWidth="1"/>
    <col min="8712" max="8712" width="10" style="156" customWidth="1"/>
    <col min="8713" max="8713" width="6" style="156" customWidth="1"/>
    <col min="8714" max="8714" width="8.5703125" style="156" customWidth="1"/>
    <col min="8715" max="8715" width="5.85546875" style="156" customWidth="1"/>
    <col min="8716" max="8716" width="8.85546875" style="156" customWidth="1"/>
    <col min="8717" max="8717" width="5.5703125" style="156" customWidth="1"/>
    <col min="8718" max="8718" width="11.42578125" style="156" customWidth="1"/>
    <col min="8719" max="8719" width="4.85546875" style="156" customWidth="1"/>
    <col min="8720" max="8720" width="11" style="156" customWidth="1"/>
    <col min="8721" max="8960" width="9.140625" style="156"/>
    <col min="8961" max="8961" width="7.85546875" style="156" customWidth="1"/>
    <col min="8962" max="8962" width="11.7109375" style="156" customWidth="1"/>
    <col min="8963" max="8963" width="47.85546875" style="156" customWidth="1"/>
    <col min="8964" max="8965" width="9.140625" style="156" customWidth="1"/>
    <col min="8966" max="8966" width="13.5703125" style="156" customWidth="1"/>
    <col min="8967" max="8967" width="20.140625" style="156" customWidth="1"/>
    <col min="8968" max="8968" width="10" style="156" customWidth="1"/>
    <col min="8969" max="8969" width="6" style="156" customWidth="1"/>
    <col min="8970" max="8970" width="8.5703125" style="156" customWidth="1"/>
    <col min="8971" max="8971" width="5.85546875" style="156" customWidth="1"/>
    <col min="8972" max="8972" width="8.85546875" style="156" customWidth="1"/>
    <col min="8973" max="8973" width="5.5703125" style="156" customWidth="1"/>
    <col min="8974" max="8974" width="11.42578125" style="156" customWidth="1"/>
    <col min="8975" max="8975" width="4.85546875" style="156" customWidth="1"/>
    <col min="8976" max="8976" width="11" style="156" customWidth="1"/>
    <col min="8977" max="9216" width="9.140625" style="156"/>
    <col min="9217" max="9217" width="7.85546875" style="156" customWidth="1"/>
    <col min="9218" max="9218" width="11.7109375" style="156" customWidth="1"/>
    <col min="9219" max="9219" width="47.85546875" style="156" customWidth="1"/>
    <col min="9220" max="9221" width="9.140625" style="156" customWidth="1"/>
    <col min="9222" max="9222" width="13.5703125" style="156" customWidth="1"/>
    <col min="9223" max="9223" width="20.140625" style="156" customWidth="1"/>
    <col min="9224" max="9224" width="10" style="156" customWidth="1"/>
    <col min="9225" max="9225" width="6" style="156" customWidth="1"/>
    <col min="9226" max="9226" width="8.5703125" style="156" customWidth="1"/>
    <col min="9227" max="9227" width="5.85546875" style="156" customWidth="1"/>
    <col min="9228" max="9228" width="8.85546875" style="156" customWidth="1"/>
    <col min="9229" max="9229" width="5.5703125" style="156" customWidth="1"/>
    <col min="9230" max="9230" width="11.42578125" style="156" customWidth="1"/>
    <col min="9231" max="9231" width="4.85546875" style="156" customWidth="1"/>
    <col min="9232" max="9232" width="11" style="156" customWidth="1"/>
    <col min="9233" max="9472" width="9.140625" style="156"/>
    <col min="9473" max="9473" width="7.85546875" style="156" customWidth="1"/>
    <col min="9474" max="9474" width="11.7109375" style="156" customWidth="1"/>
    <col min="9475" max="9475" width="47.85546875" style="156" customWidth="1"/>
    <col min="9476" max="9477" width="9.140625" style="156" customWidth="1"/>
    <col min="9478" max="9478" width="13.5703125" style="156" customWidth="1"/>
    <col min="9479" max="9479" width="20.140625" style="156" customWidth="1"/>
    <col min="9480" max="9480" width="10" style="156" customWidth="1"/>
    <col min="9481" max="9481" width="6" style="156" customWidth="1"/>
    <col min="9482" max="9482" width="8.5703125" style="156" customWidth="1"/>
    <col min="9483" max="9483" width="5.85546875" style="156" customWidth="1"/>
    <col min="9484" max="9484" width="8.85546875" style="156" customWidth="1"/>
    <col min="9485" max="9485" width="5.5703125" style="156" customWidth="1"/>
    <col min="9486" max="9486" width="11.42578125" style="156" customWidth="1"/>
    <col min="9487" max="9487" width="4.85546875" style="156" customWidth="1"/>
    <col min="9488" max="9488" width="11" style="156" customWidth="1"/>
    <col min="9489" max="9728" width="9.140625" style="156"/>
    <col min="9729" max="9729" width="7.85546875" style="156" customWidth="1"/>
    <col min="9730" max="9730" width="11.7109375" style="156" customWidth="1"/>
    <col min="9731" max="9731" width="47.85546875" style="156" customWidth="1"/>
    <col min="9732" max="9733" width="9.140625" style="156" customWidth="1"/>
    <col min="9734" max="9734" width="13.5703125" style="156" customWidth="1"/>
    <col min="9735" max="9735" width="20.140625" style="156" customWidth="1"/>
    <col min="9736" max="9736" width="10" style="156" customWidth="1"/>
    <col min="9737" max="9737" width="6" style="156" customWidth="1"/>
    <col min="9738" max="9738" width="8.5703125" style="156" customWidth="1"/>
    <col min="9739" max="9739" width="5.85546875" style="156" customWidth="1"/>
    <col min="9740" max="9740" width="8.85546875" style="156" customWidth="1"/>
    <col min="9741" max="9741" width="5.5703125" style="156" customWidth="1"/>
    <col min="9742" max="9742" width="11.42578125" style="156" customWidth="1"/>
    <col min="9743" max="9743" width="4.85546875" style="156" customWidth="1"/>
    <col min="9744" max="9744" width="11" style="156" customWidth="1"/>
    <col min="9745" max="9984" width="9.140625" style="156"/>
    <col min="9985" max="9985" width="7.85546875" style="156" customWidth="1"/>
    <col min="9986" max="9986" width="11.7109375" style="156" customWidth="1"/>
    <col min="9987" max="9987" width="47.85546875" style="156" customWidth="1"/>
    <col min="9988" max="9989" width="9.140625" style="156" customWidth="1"/>
    <col min="9990" max="9990" width="13.5703125" style="156" customWidth="1"/>
    <col min="9991" max="9991" width="20.140625" style="156" customWidth="1"/>
    <col min="9992" max="9992" width="10" style="156" customWidth="1"/>
    <col min="9993" max="9993" width="6" style="156" customWidth="1"/>
    <col min="9994" max="9994" width="8.5703125" style="156" customWidth="1"/>
    <col min="9995" max="9995" width="5.85546875" style="156" customWidth="1"/>
    <col min="9996" max="9996" width="8.85546875" style="156" customWidth="1"/>
    <col min="9997" max="9997" width="5.5703125" style="156" customWidth="1"/>
    <col min="9998" max="9998" width="11.42578125" style="156" customWidth="1"/>
    <col min="9999" max="9999" width="4.85546875" style="156" customWidth="1"/>
    <col min="10000" max="10000" width="11" style="156" customWidth="1"/>
    <col min="10001" max="10240" width="9.140625" style="156"/>
    <col min="10241" max="10241" width="7.85546875" style="156" customWidth="1"/>
    <col min="10242" max="10242" width="11.7109375" style="156" customWidth="1"/>
    <col min="10243" max="10243" width="47.85546875" style="156" customWidth="1"/>
    <col min="10244" max="10245" width="9.140625" style="156" customWidth="1"/>
    <col min="10246" max="10246" width="13.5703125" style="156" customWidth="1"/>
    <col min="10247" max="10247" width="20.140625" style="156" customWidth="1"/>
    <col min="10248" max="10248" width="10" style="156" customWidth="1"/>
    <col min="10249" max="10249" width="6" style="156" customWidth="1"/>
    <col min="10250" max="10250" width="8.5703125" style="156" customWidth="1"/>
    <col min="10251" max="10251" width="5.85546875" style="156" customWidth="1"/>
    <col min="10252" max="10252" width="8.85546875" style="156" customWidth="1"/>
    <col min="10253" max="10253" width="5.5703125" style="156" customWidth="1"/>
    <col min="10254" max="10254" width="11.42578125" style="156" customWidth="1"/>
    <col min="10255" max="10255" width="4.85546875" style="156" customWidth="1"/>
    <col min="10256" max="10256" width="11" style="156" customWidth="1"/>
    <col min="10257" max="10496" width="9.140625" style="156"/>
    <col min="10497" max="10497" width="7.85546875" style="156" customWidth="1"/>
    <col min="10498" max="10498" width="11.7109375" style="156" customWidth="1"/>
    <col min="10499" max="10499" width="47.85546875" style="156" customWidth="1"/>
    <col min="10500" max="10501" width="9.140625" style="156" customWidth="1"/>
    <col min="10502" max="10502" width="13.5703125" style="156" customWidth="1"/>
    <col min="10503" max="10503" width="20.140625" style="156" customWidth="1"/>
    <col min="10504" max="10504" width="10" style="156" customWidth="1"/>
    <col min="10505" max="10505" width="6" style="156" customWidth="1"/>
    <col min="10506" max="10506" width="8.5703125" style="156" customWidth="1"/>
    <col min="10507" max="10507" width="5.85546875" style="156" customWidth="1"/>
    <col min="10508" max="10508" width="8.85546875" style="156" customWidth="1"/>
    <col min="10509" max="10509" width="5.5703125" style="156" customWidth="1"/>
    <col min="10510" max="10510" width="11.42578125" style="156" customWidth="1"/>
    <col min="10511" max="10511" width="4.85546875" style="156" customWidth="1"/>
    <col min="10512" max="10512" width="11" style="156" customWidth="1"/>
    <col min="10513" max="10752" width="9.140625" style="156"/>
    <col min="10753" max="10753" width="7.85546875" style="156" customWidth="1"/>
    <col min="10754" max="10754" width="11.7109375" style="156" customWidth="1"/>
    <col min="10755" max="10755" width="47.85546875" style="156" customWidth="1"/>
    <col min="10756" max="10757" width="9.140625" style="156" customWidth="1"/>
    <col min="10758" max="10758" width="13.5703125" style="156" customWidth="1"/>
    <col min="10759" max="10759" width="20.140625" style="156" customWidth="1"/>
    <col min="10760" max="10760" width="10" style="156" customWidth="1"/>
    <col min="10761" max="10761" width="6" style="156" customWidth="1"/>
    <col min="10762" max="10762" width="8.5703125" style="156" customWidth="1"/>
    <col min="10763" max="10763" width="5.85546875" style="156" customWidth="1"/>
    <col min="10764" max="10764" width="8.85546875" style="156" customWidth="1"/>
    <col min="10765" max="10765" width="5.5703125" style="156" customWidth="1"/>
    <col min="10766" max="10766" width="11.42578125" style="156" customWidth="1"/>
    <col min="10767" max="10767" width="4.85546875" style="156" customWidth="1"/>
    <col min="10768" max="10768" width="11" style="156" customWidth="1"/>
    <col min="10769" max="11008" width="9.140625" style="156"/>
    <col min="11009" max="11009" width="7.85546875" style="156" customWidth="1"/>
    <col min="11010" max="11010" width="11.7109375" style="156" customWidth="1"/>
    <col min="11011" max="11011" width="47.85546875" style="156" customWidth="1"/>
    <col min="11012" max="11013" width="9.140625" style="156" customWidth="1"/>
    <col min="11014" max="11014" width="13.5703125" style="156" customWidth="1"/>
    <col min="11015" max="11015" width="20.140625" style="156" customWidth="1"/>
    <col min="11016" max="11016" width="10" style="156" customWidth="1"/>
    <col min="11017" max="11017" width="6" style="156" customWidth="1"/>
    <col min="11018" max="11018" width="8.5703125" style="156" customWidth="1"/>
    <col min="11019" max="11019" width="5.85546875" style="156" customWidth="1"/>
    <col min="11020" max="11020" width="8.85546875" style="156" customWidth="1"/>
    <col min="11021" max="11021" width="5.5703125" style="156" customWidth="1"/>
    <col min="11022" max="11022" width="11.42578125" style="156" customWidth="1"/>
    <col min="11023" max="11023" width="4.85546875" style="156" customWidth="1"/>
    <col min="11024" max="11024" width="11" style="156" customWidth="1"/>
    <col min="11025" max="11264" width="9.140625" style="156"/>
    <col min="11265" max="11265" width="7.85546875" style="156" customWidth="1"/>
    <col min="11266" max="11266" width="11.7109375" style="156" customWidth="1"/>
    <col min="11267" max="11267" width="47.85546875" style="156" customWidth="1"/>
    <col min="11268" max="11269" width="9.140625" style="156" customWidth="1"/>
    <col min="11270" max="11270" width="13.5703125" style="156" customWidth="1"/>
    <col min="11271" max="11271" width="20.140625" style="156" customWidth="1"/>
    <col min="11272" max="11272" width="10" style="156" customWidth="1"/>
    <col min="11273" max="11273" width="6" style="156" customWidth="1"/>
    <col min="11274" max="11274" width="8.5703125" style="156" customWidth="1"/>
    <col min="11275" max="11275" width="5.85546875" style="156" customWidth="1"/>
    <col min="11276" max="11276" width="8.85546875" style="156" customWidth="1"/>
    <col min="11277" max="11277" width="5.5703125" style="156" customWidth="1"/>
    <col min="11278" max="11278" width="11.42578125" style="156" customWidth="1"/>
    <col min="11279" max="11279" width="4.85546875" style="156" customWidth="1"/>
    <col min="11280" max="11280" width="11" style="156" customWidth="1"/>
    <col min="11281" max="11520" width="9.140625" style="156"/>
    <col min="11521" max="11521" width="7.85546875" style="156" customWidth="1"/>
    <col min="11522" max="11522" width="11.7109375" style="156" customWidth="1"/>
    <col min="11523" max="11523" width="47.85546875" style="156" customWidth="1"/>
    <col min="11524" max="11525" width="9.140625" style="156" customWidth="1"/>
    <col min="11526" max="11526" width="13.5703125" style="156" customWidth="1"/>
    <col min="11527" max="11527" width="20.140625" style="156" customWidth="1"/>
    <col min="11528" max="11528" width="10" style="156" customWidth="1"/>
    <col min="11529" max="11529" width="6" style="156" customWidth="1"/>
    <col min="11530" max="11530" width="8.5703125" style="156" customWidth="1"/>
    <col min="11531" max="11531" width="5.85546875" style="156" customWidth="1"/>
    <col min="11532" max="11532" width="8.85546875" style="156" customWidth="1"/>
    <col min="11533" max="11533" width="5.5703125" style="156" customWidth="1"/>
    <col min="11534" max="11534" width="11.42578125" style="156" customWidth="1"/>
    <col min="11535" max="11535" width="4.85546875" style="156" customWidth="1"/>
    <col min="11536" max="11536" width="11" style="156" customWidth="1"/>
    <col min="11537" max="11776" width="9.140625" style="156"/>
    <col min="11777" max="11777" width="7.85546875" style="156" customWidth="1"/>
    <col min="11778" max="11778" width="11.7109375" style="156" customWidth="1"/>
    <col min="11779" max="11779" width="47.85546875" style="156" customWidth="1"/>
    <col min="11780" max="11781" width="9.140625" style="156" customWidth="1"/>
    <col min="11782" max="11782" width="13.5703125" style="156" customWidth="1"/>
    <col min="11783" max="11783" width="20.140625" style="156" customWidth="1"/>
    <col min="11784" max="11784" width="10" style="156" customWidth="1"/>
    <col min="11785" max="11785" width="6" style="156" customWidth="1"/>
    <col min="11786" max="11786" width="8.5703125" style="156" customWidth="1"/>
    <col min="11787" max="11787" width="5.85546875" style="156" customWidth="1"/>
    <col min="11788" max="11788" width="8.85546875" style="156" customWidth="1"/>
    <col min="11789" max="11789" width="5.5703125" style="156" customWidth="1"/>
    <col min="11790" max="11790" width="11.42578125" style="156" customWidth="1"/>
    <col min="11791" max="11791" width="4.85546875" style="156" customWidth="1"/>
    <col min="11792" max="11792" width="11" style="156" customWidth="1"/>
    <col min="11793" max="12032" width="9.140625" style="156"/>
    <col min="12033" max="12033" width="7.85546875" style="156" customWidth="1"/>
    <col min="12034" max="12034" width="11.7109375" style="156" customWidth="1"/>
    <col min="12035" max="12035" width="47.85546875" style="156" customWidth="1"/>
    <col min="12036" max="12037" width="9.140625" style="156" customWidth="1"/>
    <col min="12038" max="12038" width="13.5703125" style="156" customWidth="1"/>
    <col min="12039" max="12039" width="20.140625" style="156" customWidth="1"/>
    <col min="12040" max="12040" width="10" style="156" customWidth="1"/>
    <col min="12041" max="12041" width="6" style="156" customWidth="1"/>
    <col min="12042" max="12042" width="8.5703125" style="156" customWidth="1"/>
    <col min="12043" max="12043" width="5.85546875" style="156" customWidth="1"/>
    <col min="12044" max="12044" width="8.85546875" style="156" customWidth="1"/>
    <col min="12045" max="12045" width="5.5703125" style="156" customWidth="1"/>
    <col min="12046" max="12046" width="11.42578125" style="156" customWidth="1"/>
    <col min="12047" max="12047" width="4.85546875" style="156" customWidth="1"/>
    <col min="12048" max="12048" width="11" style="156" customWidth="1"/>
    <col min="12049" max="12288" width="9.140625" style="156"/>
    <col min="12289" max="12289" width="7.85546875" style="156" customWidth="1"/>
    <col min="12290" max="12290" width="11.7109375" style="156" customWidth="1"/>
    <col min="12291" max="12291" width="47.85546875" style="156" customWidth="1"/>
    <col min="12292" max="12293" width="9.140625" style="156" customWidth="1"/>
    <col min="12294" max="12294" width="13.5703125" style="156" customWidth="1"/>
    <col min="12295" max="12295" width="20.140625" style="156" customWidth="1"/>
    <col min="12296" max="12296" width="10" style="156" customWidth="1"/>
    <col min="12297" max="12297" width="6" style="156" customWidth="1"/>
    <col min="12298" max="12298" width="8.5703125" style="156" customWidth="1"/>
    <col min="12299" max="12299" width="5.85546875" style="156" customWidth="1"/>
    <col min="12300" max="12300" width="8.85546875" style="156" customWidth="1"/>
    <col min="12301" max="12301" width="5.5703125" style="156" customWidth="1"/>
    <col min="12302" max="12302" width="11.42578125" style="156" customWidth="1"/>
    <col min="12303" max="12303" width="4.85546875" style="156" customWidth="1"/>
    <col min="12304" max="12304" width="11" style="156" customWidth="1"/>
    <col min="12305" max="12544" width="9.140625" style="156"/>
    <col min="12545" max="12545" width="7.85546875" style="156" customWidth="1"/>
    <col min="12546" max="12546" width="11.7109375" style="156" customWidth="1"/>
    <col min="12547" max="12547" width="47.85546875" style="156" customWidth="1"/>
    <col min="12548" max="12549" width="9.140625" style="156" customWidth="1"/>
    <col min="12550" max="12550" width="13.5703125" style="156" customWidth="1"/>
    <col min="12551" max="12551" width="20.140625" style="156" customWidth="1"/>
    <col min="12552" max="12552" width="10" style="156" customWidth="1"/>
    <col min="12553" max="12553" width="6" style="156" customWidth="1"/>
    <col min="12554" max="12554" width="8.5703125" style="156" customWidth="1"/>
    <col min="12555" max="12555" width="5.85546875" style="156" customWidth="1"/>
    <col min="12556" max="12556" width="8.85546875" style="156" customWidth="1"/>
    <col min="12557" max="12557" width="5.5703125" style="156" customWidth="1"/>
    <col min="12558" max="12558" width="11.42578125" style="156" customWidth="1"/>
    <col min="12559" max="12559" width="4.85546875" style="156" customWidth="1"/>
    <col min="12560" max="12560" width="11" style="156" customWidth="1"/>
    <col min="12561" max="12800" width="9.140625" style="156"/>
    <col min="12801" max="12801" width="7.85546875" style="156" customWidth="1"/>
    <col min="12802" max="12802" width="11.7109375" style="156" customWidth="1"/>
    <col min="12803" max="12803" width="47.85546875" style="156" customWidth="1"/>
    <col min="12804" max="12805" width="9.140625" style="156" customWidth="1"/>
    <col min="12806" max="12806" width="13.5703125" style="156" customWidth="1"/>
    <col min="12807" max="12807" width="20.140625" style="156" customWidth="1"/>
    <col min="12808" max="12808" width="10" style="156" customWidth="1"/>
    <col min="12809" max="12809" width="6" style="156" customWidth="1"/>
    <col min="12810" max="12810" width="8.5703125" style="156" customWidth="1"/>
    <col min="12811" max="12811" width="5.85546875" style="156" customWidth="1"/>
    <col min="12812" max="12812" width="8.85546875" style="156" customWidth="1"/>
    <col min="12813" max="12813" width="5.5703125" style="156" customWidth="1"/>
    <col min="12814" max="12814" width="11.42578125" style="156" customWidth="1"/>
    <col min="12815" max="12815" width="4.85546875" style="156" customWidth="1"/>
    <col min="12816" max="12816" width="11" style="156" customWidth="1"/>
    <col min="12817" max="13056" width="9.140625" style="156"/>
    <col min="13057" max="13057" width="7.85546875" style="156" customWidth="1"/>
    <col min="13058" max="13058" width="11.7109375" style="156" customWidth="1"/>
    <col min="13059" max="13059" width="47.85546875" style="156" customWidth="1"/>
    <col min="13060" max="13061" width="9.140625" style="156" customWidth="1"/>
    <col min="13062" max="13062" width="13.5703125" style="156" customWidth="1"/>
    <col min="13063" max="13063" width="20.140625" style="156" customWidth="1"/>
    <col min="13064" max="13064" width="10" style="156" customWidth="1"/>
    <col min="13065" max="13065" width="6" style="156" customWidth="1"/>
    <col min="13066" max="13066" width="8.5703125" style="156" customWidth="1"/>
    <col min="13067" max="13067" width="5.85546875" style="156" customWidth="1"/>
    <col min="13068" max="13068" width="8.85546875" style="156" customWidth="1"/>
    <col min="13069" max="13069" width="5.5703125" style="156" customWidth="1"/>
    <col min="13070" max="13070" width="11.42578125" style="156" customWidth="1"/>
    <col min="13071" max="13071" width="4.85546875" style="156" customWidth="1"/>
    <col min="13072" max="13072" width="11" style="156" customWidth="1"/>
    <col min="13073" max="13312" width="9.140625" style="156"/>
    <col min="13313" max="13313" width="7.85546875" style="156" customWidth="1"/>
    <col min="13314" max="13314" width="11.7109375" style="156" customWidth="1"/>
    <col min="13315" max="13315" width="47.85546875" style="156" customWidth="1"/>
    <col min="13316" max="13317" width="9.140625" style="156" customWidth="1"/>
    <col min="13318" max="13318" width="13.5703125" style="156" customWidth="1"/>
    <col min="13319" max="13319" width="20.140625" style="156" customWidth="1"/>
    <col min="13320" max="13320" width="10" style="156" customWidth="1"/>
    <col min="13321" max="13321" width="6" style="156" customWidth="1"/>
    <col min="13322" max="13322" width="8.5703125" style="156" customWidth="1"/>
    <col min="13323" max="13323" width="5.85546875" style="156" customWidth="1"/>
    <col min="13324" max="13324" width="8.85546875" style="156" customWidth="1"/>
    <col min="13325" max="13325" width="5.5703125" style="156" customWidth="1"/>
    <col min="13326" max="13326" width="11.42578125" style="156" customWidth="1"/>
    <col min="13327" max="13327" width="4.85546875" style="156" customWidth="1"/>
    <col min="13328" max="13328" width="11" style="156" customWidth="1"/>
    <col min="13329" max="13568" width="9.140625" style="156"/>
    <col min="13569" max="13569" width="7.85546875" style="156" customWidth="1"/>
    <col min="13570" max="13570" width="11.7109375" style="156" customWidth="1"/>
    <col min="13571" max="13571" width="47.85546875" style="156" customWidth="1"/>
    <col min="13572" max="13573" width="9.140625" style="156" customWidth="1"/>
    <col min="13574" max="13574" width="13.5703125" style="156" customWidth="1"/>
    <col min="13575" max="13575" width="20.140625" style="156" customWidth="1"/>
    <col min="13576" max="13576" width="10" style="156" customWidth="1"/>
    <col min="13577" max="13577" width="6" style="156" customWidth="1"/>
    <col min="13578" max="13578" width="8.5703125" style="156" customWidth="1"/>
    <col min="13579" max="13579" width="5.85546875" style="156" customWidth="1"/>
    <col min="13580" max="13580" width="8.85546875" style="156" customWidth="1"/>
    <col min="13581" max="13581" width="5.5703125" style="156" customWidth="1"/>
    <col min="13582" max="13582" width="11.42578125" style="156" customWidth="1"/>
    <col min="13583" max="13583" width="4.85546875" style="156" customWidth="1"/>
    <col min="13584" max="13584" width="11" style="156" customWidth="1"/>
    <col min="13585" max="13824" width="9.140625" style="156"/>
    <col min="13825" max="13825" width="7.85546875" style="156" customWidth="1"/>
    <col min="13826" max="13826" width="11.7109375" style="156" customWidth="1"/>
    <col min="13827" max="13827" width="47.85546875" style="156" customWidth="1"/>
    <col min="13828" max="13829" width="9.140625" style="156" customWidth="1"/>
    <col min="13830" max="13830" width="13.5703125" style="156" customWidth="1"/>
    <col min="13831" max="13831" width="20.140625" style="156" customWidth="1"/>
    <col min="13832" max="13832" width="10" style="156" customWidth="1"/>
    <col min="13833" max="13833" width="6" style="156" customWidth="1"/>
    <col min="13834" max="13834" width="8.5703125" style="156" customWidth="1"/>
    <col min="13835" max="13835" width="5.85546875" style="156" customWidth="1"/>
    <col min="13836" max="13836" width="8.85546875" style="156" customWidth="1"/>
    <col min="13837" max="13837" width="5.5703125" style="156" customWidth="1"/>
    <col min="13838" max="13838" width="11.42578125" style="156" customWidth="1"/>
    <col min="13839" max="13839" width="4.85546875" style="156" customWidth="1"/>
    <col min="13840" max="13840" width="11" style="156" customWidth="1"/>
    <col min="13841" max="14080" width="9.140625" style="156"/>
    <col min="14081" max="14081" width="7.85546875" style="156" customWidth="1"/>
    <col min="14082" max="14082" width="11.7109375" style="156" customWidth="1"/>
    <col min="14083" max="14083" width="47.85546875" style="156" customWidth="1"/>
    <col min="14084" max="14085" width="9.140625" style="156" customWidth="1"/>
    <col min="14086" max="14086" width="13.5703125" style="156" customWidth="1"/>
    <col min="14087" max="14087" width="20.140625" style="156" customWidth="1"/>
    <col min="14088" max="14088" width="10" style="156" customWidth="1"/>
    <col min="14089" max="14089" width="6" style="156" customWidth="1"/>
    <col min="14090" max="14090" width="8.5703125" style="156" customWidth="1"/>
    <col min="14091" max="14091" width="5.85546875" style="156" customWidth="1"/>
    <col min="14092" max="14092" width="8.85546875" style="156" customWidth="1"/>
    <col min="14093" max="14093" width="5.5703125" style="156" customWidth="1"/>
    <col min="14094" max="14094" width="11.42578125" style="156" customWidth="1"/>
    <col min="14095" max="14095" width="4.85546875" style="156" customWidth="1"/>
    <col min="14096" max="14096" width="11" style="156" customWidth="1"/>
    <col min="14097" max="14336" width="9.140625" style="156"/>
    <col min="14337" max="14337" width="7.85546875" style="156" customWidth="1"/>
    <col min="14338" max="14338" width="11.7109375" style="156" customWidth="1"/>
    <col min="14339" max="14339" width="47.85546875" style="156" customWidth="1"/>
    <col min="14340" max="14341" width="9.140625" style="156" customWidth="1"/>
    <col min="14342" max="14342" width="13.5703125" style="156" customWidth="1"/>
    <col min="14343" max="14343" width="20.140625" style="156" customWidth="1"/>
    <col min="14344" max="14344" width="10" style="156" customWidth="1"/>
    <col min="14345" max="14345" width="6" style="156" customWidth="1"/>
    <col min="14346" max="14346" width="8.5703125" style="156" customWidth="1"/>
    <col min="14347" max="14347" width="5.85546875" style="156" customWidth="1"/>
    <col min="14348" max="14348" width="8.85546875" style="156" customWidth="1"/>
    <col min="14349" max="14349" width="5.5703125" style="156" customWidth="1"/>
    <col min="14350" max="14350" width="11.42578125" style="156" customWidth="1"/>
    <col min="14351" max="14351" width="4.85546875" style="156" customWidth="1"/>
    <col min="14352" max="14352" width="11" style="156" customWidth="1"/>
    <col min="14353" max="14592" width="9.140625" style="156"/>
    <col min="14593" max="14593" width="7.85546875" style="156" customWidth="1"/>
    <col min="14594" max="14594" width="11.7109375" style="156" customWidth="1"/>
    <col min="14595" max="14595" width="47.85546875" style="156" customWidth="1"/>
    <col min="14596" max="14597" width="9.140625" style="156" customWidth="1"/>
    <col min="14598" max="14598" width="13.5703125" style="156" customWidth="1"/>
    <col min="14599" max="14599" width="20.140625" style="156" customWidth="1"/>
    <col min="14600" max="14600" width="10" style="156" customWidth="1"/>
    <col min="14601" max="14601" width="6" style="156" customWidth="1"/>
    <col min="14602" max="14602" width="8.5703125" style="156" customWidth="1"/>
    <col min="14603" max="14603" width="5.85546875" style="156" customWidth="1"/>
    <col min="14604" max="14604" width="8.85546875" style="156" customWidth="1"/>
    <col min="14605" max="14605" width="5.5703125" style="156" customWidth="1"/>
    <col min="14606" max="14606" width="11.42578125" style="156" customWidth="1"/>
    <col min="14607" max="14607" width="4.85546875" style="156" customWidth="1"/>
    <col min="14608" max="14608" width="11" style="156" customWidth="1"/>
    <col min="14609" max="14848" width="9.140625" style="156"/>
    <col min="14849" max="14849" width="7.85546875" style="156" customWidth="1"/>
    <col min="14850" max="14850" width="11.7109375" style="156" customWidth="1"/>
    <col min="14851" max="14851" width="47.85546875" style="156" customWidth="1"/>
    <col min="14852" max="14853" width="9.140625" style="156" customWidth="1"/>
    <col min="14854" max="14854" width="13.5703125" style="156" customWidth="1"/>
    <col min="14855" max="14855" width="20.140625" style="156" customWidth="1"/>
    <col min="14856" max="14856" width="10" style="156" customWidth="1"/>
    <col min="14857" max="14857" width="6" style="156" customWidth="1"/>
    <col min="14858" max="14858" width="8.5703125" style="156" customWidth="1"/>
    <col min="14859" max="14859" width="5.85546875" style="156" customWidth="1"/>
    <col min="14860" max="14860" width="8.85546875" style="156" customWidth="1"/>
    <col min="14861" max="14861" width="5.5703125" style="156" customWidth="1"/>
    <col min="14862" max="14862" width="11.42578125" style="156" customWidth="1"/>
    <col min="14863" max="14863" width="4.85546875" style="156" customWidth="1"/>
    <col min="14864" max="14864" width="11" style="156" customWidth="1"/>
    <col min="14865" max="15104" width="9.140625" style="156"/>
    <col min="15105" max="15105" width="7.85546875" style="156" customWidth="1"/>
    <col min="15106" max="15106" width="11.7109375" style="156" customWidth="1"/>
    <col min="15107" max="15107" width="47.85546875" style="156" customWidth="1"/>
    <col min="15108" max="15109" width="9.140625" style="156" customWidth="1"/>
    <col min="15110" max="15110" width="13.5703125" style="156" customWidth="1"/>
    <col min="15111" max="15111" width="20.140625" style="156" customWidth="1"/>
    <col min="15112" max="15112" width="10" style="156" customWidth="1"/>
    <col min="15113" max="15113" width="6" style="156" customWidth="1"/>
    <col min="15114" max="15114" width="8.5703125" style="156" customWidth="1"/>
    <col min="15115" max="15115" width="5.85546875" style="156" customWidth="1"/>
    <col min="15116" max="15116" width="8.85546875" style="156" customWidth="1"/>
    <col min="15117" max="15117" width="5.5703125" style="156" customWidth="1"/>
    <col min="15118" max="15118" width="11.42578125" style="156" customWidth="1"/>
    <col min="15119" max="15119" width="4.85546875" style="156" customWidth="1"/>
    <col min="15120" max="15120" width="11" style="156" customWidth="1"/>
    <col min="15121" max="15360" width="9.140625" style="156"/>
    <col min="15361" max="15361" width="7.85546875" style="156" customWidth="1"/>
    <col min="15362" max="15362" width="11.7109375" style="156" customWidth="1"/>
    <col min="15363" max="15363" width="47.85546875" style="156" customWidth="1"/>
    <col min="15364" max="15365" width="9.140625" style="156" customWidth="1"/>
    <col min="15366" max="15366" width="13.5703125" style="156" customWidth="1"/>
    <col min="15367" max="15367" width="20.140625" style="156" customWidth="1"/>
    <col min="15368" max="15368" width="10" style="156" customWidth="1"/>
    <col min="15369" max="15369" width="6" style="156" customWidth="1"/>
    <col min="15370" max="15370" width="8.5703125" style="156" customWidth="1"/>
    <col min="15371" max="15371" width="5.85546875" style="156" customWidth="1"/>
    <col min="15372" max="15372" width="8.85546875" style="156" customWidth="1"/>
    <col min="15373" max="15373" width="5.5703125" style="156" customWidth="1"/>
    <col min="15374" max="15374" width="11.42578125" style="156" customWidth="1"/>
    <col min="15375" max="15375" width="4.85546875" style="156" customWidth="1"/>
    <col min="15376" max="15376" width="11" style="156" customWidth="1"/>
    <col min="15377" max="15616" width="9.140625" style="156"/>
    <col min="15617" max="15617" width="7.85546875" style="156" customWidth="1"/>
    <col min="15618" max="15618" width="11.7109375" style="156" customWidth="1"/>
    <col min="15619" max="15619" width="47.85546875" style="156" customWidth="1"/>
    <col min="15620" max="15621" width="9.140625" style="156" customWidth="1"/>
    <col min="15622" max="15622" width="13.5703125" style="156" customWidth="1"/>
    <col min="15623" max="15623" width="20.140625" style="156" customWidth="1"/>
    <col min="15624" max="15624" width="10" style="156" customWidth="1"/>
    <col min="15625" max="15625" width="6" style="156" customWidth="1"/>
    <col min="15626" max="15626" width="8.5703125" style="156" customWidth="1"/>
    <col min="15627" max="15627" width="5.85546875" style="156" customWidth="1"/>
    <col min="15628" max="15628" width="8.85546875" style="156" customWidth="1"/>
    <col min="15629" max="15629" width="5.5703125" style="156" customWidth="1"/>
    <col min="15630" max="15630" width="11.42578125" style="156" customWidth="1"/>
    <col min="15631" max="15631" width="4.85546875" style="156" customWidth="1"/>
    <col min="15632" max="15632" width="11" style="156" customWidth="1"/>
    <col min="15633" max="15872" width="9.140625" style="156"/>
    <col min="15873" max="15873" width="7.85546875" style="156" customWidth="1"/>
    <col min="15874" max="15874" width="11.7109375" style="156" customWidth="1"/>
    <col min="15875" max="15875" width="47.85546875" style="156" customWidth="1"/>
    <col min="15876" max="15877" width="9.140625" style="156" customWidth="1"/>
    <col min="15878" max="15878" width="13.5703125" style="156" customWidth="1"/>
    <col min="15879" max="15879" width="20.140625" style="156" customWidth="1"/>
    <col min="15880" max="15880" width="10" style="156" customWidth="1"/>
    <col min="15881" max="15881" width="6" style="156" customWidth="1"/>
    <col min="15882" max="15882" width="8.5703125" style="156" customWidth="1"/>
    <col min="15883" max="15883" width="5.85546875" style="156" customWidth="1"/>
    <col min="15884" max="15884" width="8.85546875" style="156" customWidth="1"/>
    <col min="15885" max="15885" width="5.5703125" style="156" customWidth="1"/>
    <col min="15886" max="15886" width="11.42578125" style="156" customWidth="1"/>
    <col min="15887" max="15887" width="4.85546875" style="156" customWidth="1"/>
    <col min="15888" max="15888" width="11" style="156" customWidth="1"/>
    <col min="15889" max="16128" width="9.140625" style="156"/>
    <col min="16129" max="16129" width="7.85546875" style="156" customWidth="1"/>
    <col min="16130" max="16130" width="11.7109375" style="156" customWidth="1"/>
    <col min="16131" max="16131" width="47.85546875" style="156" customWidth="1"/>
    <col min="16132" max="16133" width="9.140625" style="156" customWidth="1"/>
    <col min="16134" max="16134" width="13.5703125" style="156" customWidth="1"/>
    <col min="16135" max="16135" width="20.140625" style="156" customWidth="1"/>
    <col min="16136" max="16136" width="10" style="156" customWidth="1"/>
    <col min="16137" max="16137" width="6" style="156" customWidth="1"/>
    <col min="16138" max="16138" width="8.5703125" style="156" customWidth="1"/>
    <col min="16139" max="16139" width="5.85546875" style="156" customWidth="1"/>
    <col min="16140" max="16140" width="8.85546875" style="156" customWidth="1"/>
    <col min="16141" max="16141" width="5.5703125" style="156" customWidth="1"/>
    <col min="16142" max="16142" width="11.42578125" style="156" customWidth="1"/>
    <col min="16143" max="16143" width="4.85546875" style="156" customWidth="1"/>
    <col min="16144" max="16144" width="11" style="156" customWidth="1"/>
    <col min="16145" max="16384" width="9.140625" style="156"/>
  </cols>
  <sheetData>
    <row r="6" spans="1:16" ht="24.75">
      <c r="A6" s="152" t="s">
        <v>84</v>
      </c>
      <c r="B6" s="153"/>
      <c r="C6" s="153"/>
      <c r="D6" s="153"/>
      <c r="E6" s="153"/>
      <c r="F6" s="154"/>
      <c r="G6" s="154"/>
      <c r="H6" s="154"/>
      <c r="I6" s="154"/>
      <c r="J6" s="155"/>
      <c r="K6" s="154"/>
      <c r="L6" s="154"/>
      <c r="M6" s="154"/>
      <c r="N6" s="154"/>
      <c r="O6" s="154"/>
    </row>
    <row r="7" spans="1:16" ht="13.5" thickBot="1">
      <c r="A7" s="157"/>
      <c r="B7" s="157"/>
      <c r="C7" s="157"/>
      <c r="D7" s="157"/>
      <c r="E7" s="157"/>
      <c r="F7" s="157"/>
      <c r="G7" s="157"/>
      <c r="H7" s="157"/>
      <c r="I7" s="157"/>
      <c r="J7" s="158"/>
      <c r="K7" s="157"/>
      <c r="L7" s="157"/>
      <c r="M7" s="159"/>
      <c r="N7" s="157"/>
      <c r="O7" s="157"/>
    </row>
    <row r="8" spans="1:16">
      <c r="A8" s="160"/>
      <c r="B8" s="160"/>
      <c r="C8" s="160"/>
      <c r="D8" s="161"/>
      <c r="E8" s="161"/>
      <c r="F8" s="161"/>
      <c r="G8" s="161"/>
      <c r="H8" s="162" t="s">
        <v>85</v>
      </c>
      <c r="I8" s="163"/>
      <c r="J8" s="162" t="s">
        <v>86</v>
      </c>
      <c r="K8" s="163"/>
      <c r="L8" s="162" t="s">
        <v>87</v>
      </c>
      <c r="M8" s="163"/>
      <c r="N8" s="162" t="s">
        <v>88</v>
      </c>
      <c r="O8" s="161"/>
      <c r="P8" s="162" t="s">
        <v>89</v>
      </c>
    </row>
    <row r="9" spans="1:16" ht="63.75">
      <c r="A9" s="164" t="s">
        <v>90</v>
      </c>
      <c r="B9" s="164" t="s">
        <v>91</v>
      </c>
      <c r="C9" s="164" t="s">
        <v>30</v>
      </c>
      <c r="D9" s="164" t="s">
        <v>92</v>
      </c>
      <c r="E9" s="164" t="s">
        <v>93</v>
      </c>
      <c r="F9" s="165" t="s">
        <v>94</v>
      </c>
      <c r="G9" s="164" t="s">
        <v>95</v>
      </c>
      <c r="H9" s="164" t="s">
        <v>96</v>
      </c>
      <c r="I9" s="164" t="s">
        <v>97</v>
      </c>
      <c r="J9" s="164" t="s">
        <v>98</v>
      </c>
      <c r="K9" s="164" t="s">
        <v>17</v>
      </c>
      <c r="L9" s="164" t="s">
        <v>99</v>
      </c>
      <c r="M9" s="164" t="s">
        <v>37</v>
      </c>
      <c r="N9" s="164" t="s">
        <v>100</v>
      </c>
      <c r="O9" s="164" t="s">
        <v>17</v>
      </c>
      <c r="P9" s="164" t="s">
        <v>101</v>
      </c>
    </row>
    <row r="10" spans="1:16">
      <c r="A10" s="164">
        <v>10080</v>
      </c>
      <c r="B10" s="164">
        <v>100007730</v>
      </c>
      <c r="C10" s="166" t="s">
        <v>102</v>
      </c>
      <c r="D10" s="167">
        <v>100047</v>
      </c>
      <c r="E10" s="167" t="s">
        <v>103</v>
      </c>
      <c r="F10" s="168">
        <v>30</v>
      </c>
      <c r="G10" s="167" t="s">
        <v>104</v>
      </c>
      <c r="H10" s="264"/>
      <c r="I10" s="164"/>
      <c r="J10" s="167">
        <v>480</v>
      </c>
      <c r="K10" s="167"/>
      <c r="L10" s="169">
        <f>ROUNDUP(H10/J10,0)</f>
        <v>0</v>
      </c>
      <c r="M10" s="167"/>
      <c r="N10" s="167">
        <v>29.9</v>
      </c>
      <c r="O10" s="167"/>
      <c r="P10" s="169">
        <f>N10*L10</f>
        <v>0</v>
      </c>
    </row>
    <row r="11" spans="1:16">
      <c r="A11" s="164">
        <v>10085</v>
      </c>
      <c r="B11" s="164">
        <v>100007732</v>
      </c>
      <c r="C11" s="166" t="s">
        <v>105</v>
      </c>
      <c r="D11" s="167">
        <v>100047</v>
      </c>
      <c r="E11" s="167" t="s">
        <v>103</v>
      </c>
      <c r="F11" s="168">
        <v>30</v>
      </c>
      <c r="G11" s="167" t="s">
        <v>104</v>
      </c>
      <c r="H11" s="264"/>
      <c r="I11" s="167"/>
      <c r="J11" s="167">
        <v>480</v>
      </c>
      <c r="K11" s="167"/>
      <c r="L11" s="169">
        <f t="shared" ref="L11:L31" si="0">ROUNDUP(H11/J11,0)</f>
        <v>0</v>
      </c>
      <c r="M11" s="167"/>
      <c r="N11" s="167">
        <v>29.9</v>
      </c>
      <c r="O11" s="167"/>
      <c r="P11" s="169">
        <f t="shared" ref="P11:P31" si="1">N11*L11</f>
        <v>0</v>
      </c>
    </row>
    <row r="12" spans="1:16">
      <c r="A12" s="170">
        <v>40005</v>
      </c>
      <c r="B12" s="170">
        <v>100008151</v>
      </c>
      <c r="C12" s="171" t="s">
        <v>106</v>
      </c>
      <c r="D12" s="167">
        <v>100047</v>
      </c>
      <c r="E12" s="172" t="s">
        <v>103</v>
      </c>
      <c r="F12" s="173">
        <v>20</v>
      </c>
      <c r="G12" s="167" t="s">
        <v>104</v>
      </c>
      <c r="H12" s="265"/>
      <c r="I12" s="172"/>
      <c r="J12" s="172">
        <v>320</v>
      </c>
      <c r="K12" s="170"/>
      <c r="L12" s="169">
        <f t="shared" si="0"/>
        <v>0</v>
      </c>
      <c r="M12" s="172"/>
      <c r="N12" s="173">
        <v>19.53</v>
      </c>
      <c r="O12" s="172"/>
      <c r="P12" s="169">
        <f t="shared" si="1"/>
        <v>0</v>
      </c>
    </row>
    <row r="13" spans="1:16">
      <c r="A13" s="170">
        <v>40067</v>
      </c>
      <c r="B13" s="170">
        <v>110006130</v>
      </c>
      <c r="C13" s="171" t="s">
        <v>107</v>
      </c>
      <c r="D13" s="167">
        <v>100047</v>
      </c>
      <c r="E13" s="174" t="s">
        <v>108</v>
      </c>
      <c r="F13" s="174">
        <v>18.12</v>
      </c>
      <c r="G13" s="175" t="s">
        <v>109</v>
      </c>
      <c r="H13" s="265"/>
      <c r="I13" s="172"/>
      <c r="J13" s="172">
        <v>100</v>
      </c>
      <c r="K13" s="170"/>
      <c r="L13" s="169">
        <f t="shared" si="0"/>
        <v>0</v>
      </c>
      <c r="M13" s="172"/>
      <c r="N13" s="176">
        <v>5.9</v>
      </c>
      <c r="O13" s="172"/>
      <c r="P13" s="169">
        <f t="shared" si="1"/>
        <v>0</v>
      </c>
    </row>
    <row r="14" spans="1:16">
      <c r="A14" s="170">
        <v>40080</v>
      </c>
      <c r="B14" s="170">
        <v>110006816</v>
      </c>
      <c r="C14" s="171" t="s">
        <v>110</v>
      </c>
      <c r="D14" s="167">
        <v>100047</v>
      </c>
      <c r="E14" s="174" t="s">
        <v>108</v>
      </c>
      <c r="F14" s="174">
        <v>23.56</v>
      </c>
      <c r="G14" s="175" t="s">
        <v>109</v>
      </c>
      <c r="H14" s="265"/>
      <c r="I14" s="172"/>
      <c r="J14" s="172">
        <v>130</v>
      </c>
      <c r="K14" s="170"/>
      <c r="L14" s="169">
        <f t="shared" si="0"/>
        <v>0</v>
      </c>
      <c r="M14" s="172"/>
      <c r="N14" s="176">
        <v>7.74</v>
      </c>
      <c r="O14" s="172"/>
      <c r="P14" s="169">
        <f t="shared" si="1"/>
        <v>0</v>
      </c>
    </row>
    <row r="15" spans="1:16">
      <c r="A15" s="170">
        <v>40081</v>
      </c>
      <c r="B15" s="170">
        <v>110006843</v>
      </c>
      <c r="C15" s="171" t="s">
        <v>111</v>
      </c>
      <c r="D15" s="167">
        <v>100047</v>
      </c>
      <c r="E15" s="174" t="s">
        <v>108</v>
      </c>
      <c r="F15" s="174">
        <v>19.93</v>
      </c>
      <c r="G15" s="175" t="s">
        <v>109</v>
      </c>
      <c r="H15" s="265"/>
      <c r="I15" s="172"/>
      <c r="J15" s="172">
        <v>110</v>
      </c>
      <c r="K15" s="170"/>
      <c r="L15" s="169">
        <f t="shared" si="0"/>
        <v>0</v>
      </c>
      <c r="M15" s="172"/>
      <c r="N15" s="176">
        <v>6.55</v>
      </c>
      <c r="O15" s="172"/>
      <c r="P15" s="169">
        <f t="shared" si="1"/>
        <v>0</v>
      </c>
    </row>
    <row r="16" spans="1:16">
      <c r="A16" s="170">
        <v>40082</v>
      </c>
      <c r="B16" s="170">
        <v>110006842</v>
      </c>
      <c r="C16" s="171" t="s">
        <v>112</v>
      </c>
      <c r="D16" s="167">
        <v>100047</v>
      </c>
      <c r="E16" s="174" t="s">
        <v>113</v>
      </c>
      <c r="F16" s="174">
        <v>21.53</v>
      </c>
      <c r="G16" s="175" t="s">
        <v>109</v>
      </c>
      <c r="H16" s="265"/>
      <c r="I16" s="172"/>
      <c r="J16" s="172">
        <v>130</v>
      </c>
      <c r="K16" s="170"/>
      <c r="L16" s="169">
        <f t="shared" si="0"/>
        <v>0</v>
      </c>
      <c r="M16" s="172"/>
      <c r="N16" s="176">
        <v>7.74</v>
      </c>
      <c r="O16" s="172"/>
      <c r="P16" s="169">
        <f t="shared" si="1"/>
        <v>0</v>
      </c>
    </row>
    <row r="17" spans="1:16">
      <c r="A17" s="170">
        <v>40083</v>
      </c>
      <c r="B17" s="170">
        <v>110006841</v>
      </c>
      <c r="C17" s="171" t="s">
        <v>114</v>
      </c>
      <c r="D17" s="167">
        <v>100047</v>
      </c>
      <c r="E17" s="174" t="s">
        <v>108</v>
      </c>
      <c r="F17" s="174">
        <v>23.56</v>
      </c>
      <c r="G17" s="175" t="s">
        <v>109</v>
      </c>
      <c r="H17" s="265"/>
      <c r="I17" s="172"/>
      <c r="J17" s="172">
        <v>130</v>
      </c>
      <c r="K17" s="170"/>
      <c r="L17" s="169">
        <f t="shared" si="0"/>
        <v>0</v>
      </c>
      <c r="M17" s="172"/>
      <c r="N17" s="176">
        <v>7.74</v>
      </c>
      <c r="O17" s="172"/>
      <c r="P17" s="169">
        <f t="shared" si="1"/>
        <v>0</v>
      </c>
    </row>
    <row r="18" spans="1:16">
      <c r="A18" s="170">
        <v>40126</v>
      </c>
      <c r="B18" s="170">
        <v>100008159</v>
      </c>
      <c r="C18" s="171" t="s">
        <v>115</v>
      </c>
      <c r="D18" s="167">
        <v>100047</v>
      </c>
      <c r="E18" s="172" t="s">
        <v>103</v>
      </c>
      <c r="F18" s="176">
        <v>30</v>
      </c>
      <c r="G18" s="167" t="s">
        <v>104</v>
      </c>
      <c r="H18" s="265"/>
      <c r="I18" s="172"/>
      <c r="J18" s="172">
        <v>480</v>
      </c>
      <c r="K18" s="170"/>
      <c r="L18" s="169">
        <f t="shared" si="0"/>
        <v>0</v>
      </c>
      <c r="M18" s="172"/>
      <c r="N18" s="173">
        <v>27</v>
      </c>
      <c r="O18" s="172"/>
      <c r="P18" s="169">
        <f t="shared" si="1"/>
        <v>0</v>
      </c>
    </row>
    <row r="19" spans="1:16">
      <c r="A19" s="170">
        <v>40174</v>
      </c>
      <c r="B19" s="170">
        <v>100008160</v>
      </c>
      <c r="C19" s="171" t="s">
        <v>116</v>
      </c>
      <c r="D19" s="167">
        <v>100047</v>
      </c>
      <c r="E19" s="172" t="s">
        <v>117</v>
      </c>
      <c r="F19" s="172">
        <v>29.53</v>
      </c>
      <c r="G19" s="175" t="s">
        <v>118</v>
      </c>
      <c r="H19" s="265"/>
      <c r="I19" s="172"/>
      <c r="J19" s="172">
        <v>225</v>
      </c>
      <c r="K19" s="170"/>
      <c r="L19" s="169">
        <f t="shared" si="0"/>
        <v>0</v>
      </c>
      <c r="M19" s="172"/>
      <c r="N19" s="173">
        <v>21.3</v>
      </c>
      <c r="O19" s="172"/>
      <c r="P19" s="169">
        <f t="shared" si="1"/>
        <v>0</v>
      </c>
    </row>
    <row r="20" spans="1:16">
      <c r="A20" s="170">
        <v>40176</v>
      </c>
      <c r="B20" s="170">
        <v>100008161</v>
      </c>
      <c r="C20" s="171" t="s">
        <v>119</v>
      </c>
      <c r="D20" s="167">
        <v>100047</v>
      </c>
      <c r="E20" s="172" t="s">
        <v>117</v>
      </c>
      <c r="F20" s="172">
        <v>29.53</v>
      </c>
      <c r="G20" s="175" t="s">
        <v>118</v>
      </c>
      <c r="H20" s="265"/>
      <c r="I20" s="172"/>
      <c r="J20" s="172">
        <v>225</v>
      </c>
      <c r="K20" s="170"/>
      <c r="L20" s="169">
        <f t="shared" si="0"/>
        <v>0</v>
      </c>
      <c r="M20" s="172"/>
      <c r="N20" s="173">
        <v>20.88</v>
      </c>
      <c r="O20" s="172"/>
      <c r="P20" s="169">
        <f t="shared" si="1"/>
        <v>0</v>
      </c>
    </row>
    <row r="21" spans="1:16">
      <c r="A21" s="170">
        <v>40178</v>
      </c>
      <c r="B21" s="170">
        <v>100008162</v>
      </c>
      <c r="C21" s="177" t="s">
        <v>120</v>
      </c>
      <c r="D21" s="167">
        <v>100047</v>
      </c>
      <c r="E21" s="172" t="s">
        <v>117</v>
      </c>
      <c r="F21" s="172">
        <v>27.56</v>
      </c>
      <c r="G21" s="175" t="s">
        <v>118</v>
      </c>
      <c r="H21" s="265"/>
      <c r="I21" s="172"/>
      <c r="J21" s="172">
        <v>210</v>
      </c>
      <c r="K21" s="170"/>
      <c r="L21" s="169">
        <f t="shared" si="0"/>
        <v>0</v>
      </c>
      <c r="M21" s="172"/>
      <c r="N21" s="173">
        <v>19.5</v>
      </c>
      <c r="O21" s="172"/>
      <c r="P21" s="169">
        <f t="shared" si="1"/>
        <v>0</v>
      </c>
    </row>
    <row r="22" spans="1:16">
      <c r="A22" s="178">
        <v>40184</v>
      </c>
      <c r="B22" s="178">
        <v>100008163</v>
      </c>
      <c r="C22" s="179" t="s">
        <v>121</v>
      </c>
      <c r="D22" s="167">
        <v>100047</v>
      </c>
      <c r="E22" s="180" t="s">
        <v>122</v>
      </c>
      <c r="F22" s="181">
        <v>29.53</v>
      </c>
      <c r="G22" s="175" t="s">
        <v>118</v>
      </c>
      <c r="H22" s="266"/>
      <c r="I22" s="172"/>
      <c r="J22" s="172">
        <v>225</v>
      </c>
      <c r="K22" s="170"/>
      <c r="L22" s="169">
        <f t="shared" si="0"/>
        <v>0</v>
      </c>
      <c r="M22" s="172"/>
      <c r="N22" s="173">
        <v>22.12</v>
      </c>
      <c r="O22" s="172"/>
      <c r="P22" s="169">
        <f t="shared" si="1"/>
        <v>0</v>
      </c>
    </row>
    <row r="23" spans="1:16">
      <c r="A23" s="178">
        <v>40186</v>
      </c>
      <c r="B23" s="178">
        <v>100008164</v>
      </c>
      <c r="C23" s="179" t="s">
        <v>123</v>
      </c>
      <c r="D23" s="167">
        <v>100047</v>
      </c>
      <c r="E23" s="180" t="s">
        <v>122</v>
      </c>
      <c r="F23" s="181">
        <v>27.56</v>
      </c>
      <c r="G23" s="175" t="s">
        <v>118</v>
      </c>
      <c r="H23" s="266"/>
      <c r="I23" s="172"/>
      <c r="J23" s="172">
        <v>210</v>
      </c>
      <c r="K23" s="170"/>
      <c r="L23" s="169">
        <f t="shared" si="0"/>
        <v>0</v>
      </c>
      <c r="M23" s="172"/>
      <c r="N23" s="173">
        <v>20.67</v>
      </c>
      <c r="O23" s="172"/>
      <c r="P23" s="169">
        <f t="shared" si="1"/>
        <v>0</v>
      </c>
    </row>
    <row r="24" spans="1:16">
      <c r="A24" s="178">
        <v>40273</v>
      </c>
      <c r="B24" s="178">
        <v>110004041</v>
      </c>
      <c r="C24" s="171" t="s">
        <v>124</v>
      </c>
      <c r="D24" s="167">
        <v>100047</v>
      </c>
      <c r="E24" s="172" t="s">
        <v>125</v>
      </c>
      <c r="F24" s="172">
        <v>20.100000000000001</v>
      </c>
      <c r="G24" s="175" t="s">
        <v>126</v>
      </c>
      <c r="H24" s="265"/>
      <c r="I24" s="172"/>
      <c r="J24" s="172">
        <v>96</v>
      </c>
      <c r="K24" s="170"/>
      <c r="L24" s="169">
        <f>ROUNDUP(H24/J24,0)</f>
        <v>0</v>
      </c>
      <c r="M24" s="172"/>
      <c r="N24" s="173">
        <v>9.89</v>
      </c>
      <c r="O24" s="172"/>
      <c r="P24" s="169">
        <f>N24*L24</f>
        <v>0</v>
      </c>
    </row>
    <row r="25" spans="1:16">
      <c r="A25" s="178">
        <v>40274</v>
      </c>
      <c r="B25" s="178">
        <v>110003985</v>
      </c>
      <c r="C25" s="171" t="s">
        <v>127</v>
      </c>
      <c r="D25" s="167">
        <v>100047</v>
      </c>
      <c r="E25" s="172" t="s">
        <v>128</v>
      </c>
      <c r="F25" s="172">
        <v>19.2</v>
      </c>
      <c r="G25" s="175" t="s">
        <v>126</v>
      </c>
      <c r="H25" s="265"/>
      <c r="I25" s="172"/>
      <c r="J25" s="172">
        <v>96</v>
      </c>
      <c r="K25" s="170"/>
      <c r="L25" s="169">
        <f>ROUNDUP(H25/J25,0)</f>
        <v>0</v>
      </c>
      <c r="M25" s="172"/>
      <c r="N25" s="173">
        <v>9.6</v>
      </c>
      <c r="O25" s="172"/>
      <c r="P25" s="169">
        <f>N25*L25</f>
        <v>0</v>
      </c>
    </row>
    <row r="26" spans="1:16">
      <c r="A26" s="178">
        <v>40275</v>
      </c>
      <c r="B26" s="178">
        <v>110004030</v>
      </c>
      <c r="C26" s="179" t="s">
        <v>129</v>
      </c>
      <c r="D26" s="167">
        <v>100047</v>
      </c>
      <c r="E26" s="180" t="s">
        <v>130</v>
      </c>
      <c r="F26" s="172">
        <v>14.5</v>
      </c>
      <c r="G26" s="175" t="s">
        <v>126</v>
      </c>
      <c r="H26" s="265"/>
      <c r="I26" s="172"/>
      <c r="J26" s="172">
        <v>75</v>
      </c>
      <c r="K26" s="170"/>
      <c r="L26" s="169">
        <f>ROUNDUP(H26/J26,0)</f>
        <v>0</v>
      </c>
      <c r="M26" s="172"/>
      <c r="N26" s="173">
        <v>7.16</v>
      </c>
      <c r="O26" s="172"/>
      <c r="P26" s="169">
        <f>N26*L26</f>
        <v>0</v>
      </c>
    </row>
    <row r="27" spans="1:16">
      <c r="A27" s="170">
        <v>40635</v>
      </c>
      <c r="B27" s="170">
        <v>100008168</v>
      </c>
      <c r="C27" s="171" t="s">
        <v>131</v>
      </c>
      <c r="D27" s="167">
        <v>100047</v>
      </c>
      <c r="E27" s="172" t="s">
        <v>132</v>
      </c>
      <c r="F27" s="172">
        <v>18.75</v>
      </c>
      <c r="G27" s="175" t="s">
        <v>133</v>
      </c>
      <c r="H27" s="265"/>
      <c r="I27" s="172"/>
      <c r="J27" s="172">
        <v>200</v>
      </c>
      <c r="K27" s="170"/>
      <c r="L27" s="169">
        <f t="shared" si="0"/>
        <v>0</v>
      </c>
      <c r="M27" s="172"/>
      <c r="N27" s="173">
        <v>17.84</v>
      </c>
      <c r="O27" s="172"/>
      <c r="P27" s="169">
        <f t="shared" si="1"/>
        <v>0</v>
      </c>
    </row>
    <row r="28" spans="1:16">
      <c r="A28" s="170">
        <v>40700</v>
      </c>
      <c r="B28" s="170">
        <v>100008169</v>
      </c>
      <c r="C28" s="171" t="s">
        <v>134</v>
      </c>
      <c r="D28" s="167">
        <v>100047</v>
      </c>
      <c r="E28" s="172" t="s">
        <v>135</v>
      </c>
      <c r="F28" s="172">
        <v>23.44</v>
      </c>
      <c r="G28" s="167" t="s">
        <v>104</v>
      </c>
      <c r="H28" s="265"/>
      <c r="I28" s="172"/>
      <c r="J28" s="172">
        <v>300</v>
      </c>
      <c r="K28" s="170"/>
      <c r="L28" s="169">
        <f t="shared" si="0"/>
        <v>0</v>
      </c>
      <c r="M28" s="172"/>
      <c r="N28" s="173">
        <v>17.350000000000001</v>
      </c>
      <c r="O28" s="172"/>
      <c r="P28" s="169">
        <f t="shared" si="1"/>
        <v>0</v>
      </c>
    </row>
    <row r="29" spans="1:16">
      <c r="A29" s="170">
        <v>40827</v>
      </c>
      <c r="B29" s="170">
        <v>100008170</v>
      </c>
      <c r="C29" s="171" t="s">
        <v>136</v>
      </c>
      <c r="D29" s="167">
        <v>100047</v>
      </c>
      <c r="E29" s="172" t="s">
        <v>137</v>
      </c>
      <c r="F29" s="173">
        <v>20</v>
      </c>
      <c r="G29" s="167" t="s">
        <v>104</v>
      </c>
      <c r="H29" s="265"/>
      <c r="I29" s="172"/>
      <c r="J29" s="172">
        <v>320</v>
      </c>
      <c r="K29" s="170"/>
      <c r="L29" s="169">
        <f t="shared" si="0"/>
        <v>0</v>
      </c>
      <c r="M29" s="172"/>
      <c r="N29" s="173">
        <v>18.47</v>
      </c>
      <c r="O29" s="172"/>
      <c r="P29" s="169">
        <f t="shared" si="1"/>
        <v>0</v>
      </c>
    </row>
    <row r="30" spans="1:16">
      <c r="A30" s="170">
        <v>40828</v>
      </c>
      <c r="B30" s="170">
        <v>100008171</v>
      </c>
      <c r="C30" s="171" t="s">
        <v>138</v>
      </c>
      <c r="D30" s="167">
        <v>100047</v>
      </c>
      <c r="E30" s="172" t="s">
        <v>139</v>
      </c>
      <c r="F30" s="173">
        <v>20</v>
      </c>
      <c r="G30" s="175" t="s">
        <v>140</v>
      </c>
      <c r="H30" s="265"/>
      <c r="I30" s="172"/>
      <c r="J30" s="172">
        <v>160</v>
      </c>
      <c r="K30" s="170"/>
      <c r="L30" s="169">
        <f t="shared" si="0"/>
        <v>0</v>
      </c>
      <c r="M30" s="172"/>
      <c r="N30" s="173">
        <v>15.3</v>
      </c>
      <c r="O30" s="172"/>
      <c r="P30" s="169">
        <f t="shared" si="1"/>
        <v>0</v>
      </c>
    </row>
    <row r="31" spans="1:16" s="184" customFormat="1">
      <c r="A31" s="182">
        <v>40997</v>
      </c>
      <c r="B31" s="182">
        <v>110000101</v>
      </c>
      <c r="C31" s="177" t="s">
        <v>141</v>
      </c>
      <c r="D31" s="167">
        <v>100047</v>
      </c>
      <c r="E31" s="174" t="s">
        <v>142</v>
      </c>
      <c r="F31" s="176">
        <v>20.41</v>
      </c>
      <c r="G31" s="183" t="s">
        <v>143</v>
      </c>
      <c r="H31" s="265"/>
      <c r="I31" s="174"/>
      <c r="J31" s="174">
        <v>126</v>
      </c>
      <c r="K31" s="182"/>
      <c r="L31" s="169">
        <f t="shared" si="0"/>
        <v>0</v>
      </c>
      <c r="M31" s="174"/>
      <c r="N31" s="176">
        <v>7.42</v>
      </c>
      <c r="O31" s="174"/>
      <c r="P31" s="169">
        <f t="shared" si="1"/>
        <v>0</v>
      </c>
    </row>
    <row r="32" spans="1:16">
      <c r="A32" s="170">
        <v>50038</v>
      </c>
      <c r="B32" s="170">
        <v>100008180</v>
      </c>
      <c r="C32" s="171" t="s">
        <v>144</v>
      </c>
      <c r="D32" s="167">
        <v>100047</v>
      </c>
      <c r="E32" s="172" t="s">
        <v>145</v>
      </c>
      <c r="F32" s="172">
        <v>14.04</v>
      </c>
      <c r="G32" s="172" t="s">
        <v>146</v>
      </c>
      <c r="H32" s="267"/>
      <c r="I32" s="171"/>
      <c r="J32" s="172">
        <v>144</v>
      </c>
      <c r="K32" s="185"/>
      <c r="L32" s="169">
        <f>ROUNDUP(H32/J32,0)</f>
        <v>0</v>
      </c>
      <c r="M32" s="171"/>
      <c r="N32" s="172">
        <v>13.83</v>
      </c>
      <c r="O32" s="171"/>
      <c r="P32" s="169">
        <f>N32*L32</f>
        <v>0</v>
      </c>
    </row>
    <row r="33" spans="1:16" ht="16.5" thickBot="1">
      <c r="A33" s="157"/>
      <c r="B33" s="157"/>
      <c r="C33" s="157"/>
      <c r="D33" s="157"/>
      <c r="E33" s="157"/>
      <c r="F33" s="157"/>
      <c r="G33" s="157"/>
      <c r="H33" s="157"/>
      <c r="J33" s="186"/>
      <c r="K33" s="186"/>
      <c r="L33" s="186"/>
      <c r="M33" s="186"/>
      <c r="N33" s="186" t="s">
        <v>147</v>
      </c>
      <c r="O33" s="290">
        <f>SUM(P12:P30)</f>
        <v>0</v>
      </c>
      <c r="P33" s="291"/>
    </row>
    <row r="34" spans="1:16" ht="16.5" thickBot="1">
      <c r="A34" s="187" t="s">
        <v>148</v>
      </c>
      <c r="B34" s="157"/>
      <c r="C34" s="157"/>
      <c r="D34" s="157"/>
      <c r="E34" s="157"/>
      <c r="F34" s="157"/>
      <c r="G34" s="157"/>
      <c r="H34" s="157"/>
      <c r="I34" s="188"/>
      <c r="J34" s="188"/>
      <c r="K34" s="188"/>
      <c r="L34" s="188"/>
      <c r="M34" s="188"/>
      <c r="N34" s="186" t="s">
        <v>149</v>
      </c>
      <c r="O34" s="290"/>
      <c r="P34" s="291"/>
    </row>
    <row r="35" spans="1:16" ht="16.5" thickBot="1">
      <c r="A35" s="189"/>
      <c r="B35" s="157"/>
      <c r="C35" s="157"/>
      <c r="D35" s="157"/>
      <c r="E35" s="157"/>
      <c r="F35" s="157"/>
      <c r="G35" s="157"/>
      <c r="H35" s="157"/>
      <c r="I35" s="188"/>
      <c r="J35" s="188"/>
      <c r="K35" s="188"/>
      <c r="L35" s="188"/>
      <c r="M35" s="188"/>
      <c r="N35" s="186" t="s">
        <v>150</v>
      </c>
      <c r="O35" s="290">
        <f>O33-O34</f>
        <v>0</v>
      </c>
      <c r="P35" s="291">
        <f>O33-P34</f>
        <v>0</v>
      </c>
    </row>
    <row r="36" spans="1:16">
      <c r="A36" s="189" t="s">
        <v>151</v>
      </c>
      <c r="B36" s="157"/>
      <c r="C36" s="161"/>
      <c r="D36" s="161"/>
      <c r="E36" s="161"/>
      <c r="F36" s="161"/>
      <c r="G36" s="157"/>
      <c r="H36" s="157"/>
      <c r="I36" s="163"/>
      <c r="J36" s="163"/>
      <c r="K36" s="163"/>
      <c r="L36" s="163"/>
      <c r="M36" s="163"/>
      <c r="N36" s="163"/>
      <c r="O36" s="190"/>
      <c r="P36" s="190"/>
    </row>
    <row r="37" spans="1:16">
      <c r="A37" s="189" t="s">
        <v>152</v>
      </c>
      <c r="B37" s="157"/>
      <c r="C37" s="161"/>
      <c r="D37" s="161"/>
      <c r="E37" s="161"/>
      <c r="F37" s="161"/>
      <c r="G37" s="157"/>
      <c r="H37" s="157"/>
      <c r="I37" s="157"/>
      <c r="J37" s="158"/>
      <c r="K37" s="157"/>
      <c r="L37" s="157"/>
      <c r="M37" s="159"/>
      <c r="N37" s="157"/>
      <c r="O37" s="157"/>
    </row>
    <row r="38" spans="1:16" ht="13.5" thickBot="1">
      <c r="A38" s="191" t="s">
        <v>153</v>
      </c>
      <c r="B38" s="157"/>
      <c r="C38" s="161"/>
      <c r="D38" s="161"/>
      <c r="E38" s="161"/>
      <c r="F38" s="161"/>
      <c r="G38" s="289" t="s">
        <v>154</v>
      </c>
      <c r="H38" s="289"/>
      <c r="I38" s="289"/>
      <c r="J38" s="158"/>
      <c r="K38" s="192"/>
      <c r="L38" s="192"/>
      <c r="M38" s="192"/>
      <c r="N38" s="192"/>
      <c r="O38" s="192"/>
    </row>
    <row r="39" spans="1:16">
      <c r="A39" s="189" t="s">
        <v>155</v>
      </c>
      <c r="B39" s="157"/>
      <c r="C39" s="161"/>
      <c r="D39" s="161"/>
      <c r="E39" s="161"/>
      <c r="F39" s="161"/>
      <c r="G39" s="158"/>
      <c r="H39" s="158"/>
      <c r="I39" s="158"/>
      <c r="J39" s="158"/>
      <c r="K39" s="157"/>
      <c r="L39" s="157"/>
      <c r="M39" s="159"/>
      <c r="N39" s="157"/>
      <c r="O39" s="157"/>
    </row>
    <row r="40" spans="1:16" ht="13.5" thickBot="1">
      <c r="A40" s="159"/>
      <c r="B40" s="157"/>
      <c r="C40" s="161"/>
      <c r="D40" s="161"/>
      <c r="E40" s="161"/>
      <c r="F40" s="161"/>
      <c r="G40" s="289" t="s">
        <v>19</v>
      </c>
      <c r="H40" s="289"/>
      <c r="I40" s="289"/>
      <c r="J40" s="158"/>
      <c r="K40" s="193"/>
      <c r="L40" s="193"/>
      <c r="M40" s="194"/>
      <c r="N40" s="193"/>
      <c r="O40" s="193"/>
    </row>
    <row r="41" spans="1:16">
      <c r="A41" s="189"/>
      <c r="B41" s="157"/>
      <c r="C41" s="161"/>
      <c r="D41" s="161"/>
      <c r="E41" s="161"/>
      <c r="F41" s="161"/>
      <c r="G41" s="158"/>
      <c r="H41" s="158"/>
      <c r="I41" s="158"/>
      <c r="J41" s="158"/>
      <c r="K41" s="195"/>
      <c r="L41" s="195"/>
      <c r="M41" s="195"/>
      <c r="N41" s="195"/>
      <c r="O41" s="195"/>
    </row>
    <row r="42" spans="1:16" ht="13.5" thickBot="1">
      <c r="A42" s="189"/>
      <c r="B42" s="157"/>
      <c r="C42" s="161"/>
      <c r="D42" s="161"/>
      <c r="E42" s="161"/>
      <c r="F42" s="161"/>
      <c r="G42" s="289" t="s">
        <v>156</v>
      </c>
      <c r="H42" s="289"/>
      <c r="I42" s="289"/>
      <c r="J42" s="158"/>
      <c r="K42" s="192"/>
      <c r="L42" s="192"/>
      <c r="M42" s="192"/>
      <c r="N42" s="192"/>
      <c r="O42" s="192"/>
    </row>
    <row r="43" spans="1:16">
      <c r="A43" s="191"/>
      <c r="B43" s="157"/>
      <c r="C43" s="161"/>
      <c r="D43" s="161"/>
      <c r="E43" s="161"/>
      <c r="F43" s="161"/>
      <c r="G43" s="158"/>
      <c r="H43" s="158"/>
      <c r="I43" s="158"/>
      <c r="J43" s="158"/>
      <c r="K43" s="195"/>
      <c r="L43" s="195"/>
      <c r="M43" s="195"/>
      <c r="N43" s="195"/>
      <c r="O43" s="195"/>
    </row>
    <row r="44" spans="1:16" ht="16.5" thickBot="1">
      <c r="A44" s="196" t="s">
        <v>157</v>
      </c>
      <c r="B44" s="197"/>
      <c r="C44" s="198"/>
      <c r="D44" s="199"/>
      <c r="E44" s="161"/>
      <c r="F44" s="161"/>
      <c r="G44" s="289" t="s">
        <v>8</v>
      </c>
      <c r="H44" s="289"/>
      <c r="I44" s="289"/>
      <c r="J44" s="158"/>
      <c r="K44" s="192"/>
      <c r="L44" s="192"/>
      <c r="M44" s="192"/>
      <c r="N44" s="192"/>
      <c r="O44" s="192"/>
    </row>
    <row r="45" spans="1:16" ht="15.75">
      <c r="A45" s="200" t="s">
        <v>158</v>
      </c>
      <c r="B45" s="197"/>
      <c r="C45" s="198"/>
      <c r="D45" s="199"/>
      <c r="E45" s="161"/>
      <c r="F45" s="161"/>
      <c r="G45" s="158"/>
      <c r="H45" s="158"/>
      <c r="I45" s="158"/>
      <c r="J45" s="158"/>
      <c r="K45" s="195"/>
      <c r="L45" s="195"/>
      <c r="M45" s="195"/>
      <c r="N45" s="195"/>
      <c r="O45" s="195"/>
    </row>
    <row r="46" spans="1:16" ht="16.5" thickBot="1">
      <c r="A46" s="200" t="s">
        <v>159</v>
      </c>
      <c r="B46" s="197"/>
      <c r="C46" s="197"/>
      <c r="D46" s="201"/>
      <c r="E46" s="157"/>
      <c r="F46" s="157"/>
      <c r="G46" s="289" t="s">
        <v>160</v>
      </c>
      <c r="H46" s="289"/>
      <c r="I46" s="289"/>
      <c r="J46" s="158"/>
      <c r="K46" s="192"/>
      <c r="L46" s="192"/>
      <c r="M46" s="192"/>
      <c r="N46" s="192"/>
      <c r="O46" s="192"/>
    </row>
    <row r="47" spans="1:16">
      <c r="A47" s="157"/>
      <c r="B47" s="157"/>
      <c r="C47" s="157"/>
      <c r="D47" s="157"/>
      <c r="E47" s="157"/>
      <c r="F47" s="157"/>
      <c r="G47" s="158"/>
      <c r="H47" s="158"/>
      <c r="I47" s="158"/>
      <c r="J47" s="158"/>
      <c r="K47" s="195"/>
      <c r="L47" s="195"/>
      <c r="M47" s="195"/>
      <c r="N47" s="195"/>
      <c r="O47" s="195"/>
    </row>
    <row r="48" spans="1:16" ht="13.5" thickBot="1">
      <c r="A48" s="157"/>
      <c r="B48" s="157"/>
      <c r="C48" s="157"/>
      <c r="D48" s="157"/>
      <c r="F48" s="202"/>
      <c r="G48" s="289" t="s">
        <v>20</v>
      </c>
      <c r="H48" s="289"/>
      <c r="I48" s="289"/>
      <c r="J48" s="158"/>
      <c r="K48" s="192"/>
      <c r="L48" s="192"/>
      <c r="M48" s="192"/>
      <c r="N48" s="192"/>
      <c r="O48" s="192"/>
    </row>
    <row r="49" spans="1:15">
      <c r="A49" s="157"/>
      <c r="B49" s="157"/>
      <c r="C49" s="157"/>
      <c r="D49" s="157"/>
      <c r="E49" s="157"/>
      <c r="F49" s="157"/>
      <c r="G49" s="158"/>
      <c r="H49" s="158"/>
      <c r="I49" s="158"/>
      <c r="J49" s="158"/>
      <c r="K49" s="157"/>
      <c r="L49" s="157"/>
      <c r="M49" s="159"/>
      <c r="N49" s="157"/>
      <c r="O49" s="157"/>
    </row>
    <row r="50" spans="1:15" ht="13.5" thickBot="1">
      <c r="G50" s="289" t="s">
        <v>24</v>
      </c>
      <c r="H50" s="289"/>
      <c r="I50" s="289"/>
      <c r="J50" s="158"/>
      <c r="K50" s="193"/>
      <c r="L50" s="193"/>
      <c r="M50" s="194"/>
      <c r="N50" s="193"/>
      <c r="O50" s="193"/>
    </row>
    <row r="51" spans="1:15">
      <c r="G51" s="159"/>
      <c r="H51" s="159"/>
      <c r="I51" s="159"/>
      <c r="J51" s="158"/>
      <c r="K51" s="157"/>
      <c r="L51" s="157"/>
      <c r="M51" s="159"/>
      <c r="N51" s="157"/>
      <c r="O51" s="157"/>
    </row>
    <row r="52" spans="1:15" ht="13.5" thickBot="1">
      <c r="G52" s="289" t="s">
        <v>161</v>
      </c>
      <c r="H52" s="289"/>
      <c r="I52" s="202"/>
      <c r="J52" s="158"/>
      <c r="K52" s="193"/>
      <c r="L52" s="193"/>
      <c r="M52" s="194"/>
      <c r="N52" s="193"/>
      <c r="O52" s="193"/>
    </row>
    <row r="53" spans="1:15">
      <c r="G53" s="157"/>
      <c r="H53" s="157"/>
      <c r="I53" s="157"/>
      <c r="J53" s="158"/>
      <c r="K53" s="157"/>
      <c r="L53" s="157"/>
      <c r="M53" s="159"/>
      <c r="N53" s="157"/>
      <c r="O53" s="157"/>
    </row>
  </sheetData>
  <sheetProtection password="C307" sheet="1" objects="1" scenarios="1"/>
  <mergeCells count="11">
    <mergeCell ref="G44:I44"/>
    <mergeCell ref="G46:I46"/>
    <mergeCell ref="G48:I48"/>
    <mergeCell ref="G50:I50"/>
    <mergeCell ref="G52:H52"/>
    <mergeCell ref="G42:I42"/>
    <mergeCell ref="O33:P33"/>
    <mergeCell ref="O34:P34"/>
    <mergeCell ref="O35:P35"/>
    <mergeCell ref="G38:I38"/>
    <mergeCell ref="G40:I40"/>
  </mergeCells>
  <hyperlinks>
    <hyperlink ref="A38" r:id="rId1"/>
  </hyperlinks>
  <pageMargins left="0.75" right="0.75" top="1" bottom="1" header="0.5" footer="0.5"/>
  <pageSetup scale="62" orientation="landscape" r:id="rId2"/>
  <headerFooter alignWithMargins="0"/>
  <drawing r:id="rId3"/>
</worksheet>
</file>

<file path=xl/worksheets/sheet4.xml><?xml version="1.0" encoding="utf-8"?>
<worksheet xmlns="http://schemas.openxmlformats.org/spreadsheetml/2006/main" xmlns:r="http://schemas.openxmlformats.org/officeDocument/2006/relationships">
  <sheetPr>
    <pageSetUpPr fitToPage="1"/>
  </sheetPr>
  <dimension ref="A1:AG82"/>
  <sheetViews>
    <sheetView workbookViewId="0">
      <selection activeCell="E12" sqref="E12"/>
    </sheetView>
  </sheetViews>
  <sheetFormatPr defaultRowHeight="12.75"/>
  <cols>
    <col min="1" max="1" width="9.7109375" style="147" customWidth="1"/>
    <col min="2" max="2" width="42.5703125" style="148" bestFit="1" customWidth="1"/>
    <col min="3" max="3" width="9.140625" style="149" customWidth="1"/>
    <col min="4" max="4" width="2" style="150" bestFit="1" customWidth="1"/>
    <col min="5" max="5" width="10.7109375" style="148" bestFit="1" customWidth="1"/>
    <col min="6" max="6" width="1.42578125" style="150" customWidth="1"/>
    <col min="7" max="7" width="9" style="148" customWidth="1"/>
    <col min="8" max="8" width="2" style="150" bestFit="1" customWidth="1"/>
    <col min="9" max="9" width="10.7109375" style="148" bestFit="1" customWidth="1"/>
    <col min="10" max="10" width="1.5703125" style="150" customWidth="1"/>
    <col min="11" max="11" width="7.42578125" style="148" bestFit="1" customWidth="1"/>
    <col min="12" max="12" width="1.85546875" style="150" bestFit="1" customWidth="1"/>
    <col min="13" max="13" width="9.85546875" style="148" customWidth="1"/>
    <col min="14" max="14" width="2" style="150" bestFit="1" customWidth="1"/>
    <col min="15" max="15" width="11.85546875" style="148" bestFit="1" customWidth="1"/>
    <col min="16" max="16" width="2" style="150" bestFit="1" customWidth="1"/>
    <col min="17" max="17" width="12.5703125" style="148" customWidth="1"/>
    <col min="18" max="18" width="11.28515625" style="117" customWidth="1"/>
    <col min="19" max="30" width="7.7109375" style="117" customWidth="1"/>
    <col min="31" max="256" width="9.140625" style="117"/>
    <col min="257" max="257" width="9.7109375" style="117" customWidth="1"/>
    <col min="258" max="258" width="42.5703125" style="117" bestFit="1" customWidth="1"/>
    <col min="259" max="259" width="9.140625" style="117" customWidth="1"/>
    <col min="260" max="260" width="2" style="117" bestFit="1" customWidth="1"/>
    <col min="261" max="261" width="10.7109375" style="117" bestFit="1" customWidth="1"/>
    <col min="262" max="262" width="1.42578125" style="117" customWidth="1"/>
    <col min="263" max="263" width="9" style="117" customWidth="1"/>
    <col min="264" max="264" width="2" style="117" bestFit="1" customWidth="1"/>
    <col min="265" max="265" width="10.7109375" style="117" bestFit="1" customWidth="1"/>
    <col min="266" max="266" width="1.5703125" style="117" customWidth="1"/>
    <col min="267" max="267" width="7.42578125" style="117" bestFit="1" customWidth="1"/>
    <col min="268" max="268" width="1.85546875" style="117" bestFit="1" customWidth="1"/>
    <col min="269" max="269" width="9.85546875" style="117" customWidth="1"/>
    <col min="270" max="270" width="2" style="117" bestFit="1" customWidth="1"/>
    <col min="271" max="271" width="11.85546875" style="117" bestFit="1" customWidth="1"/>
    <col min="272" max="272" width="2" style="117" bestFit="1" customWidth="1"/>
    <col min="273" max="273" width="12.5703125" style="117" customWidth="1"/>
    <col min="274" max="274" width="11.28515625" style="117" customWidth="1"/>
    <col min="275" max="286" width="7.7109375" style="117" customWidth="1"/>
    <col min="287" max="512" width="9.140625" style="117"/>
    <col min="513" max="513" width="9.7109375" style="117" customWidth="1"/>
    <col min="514" max="514" width="42.5703125" style="117" bestFit="1" customWidth="1"/>
    <col min="515" max="515" width="9.140625" style="117" customWidth="1"/>
    <col min="516" max="516" width="2" style="117" bestFit="1" customWidth="1"/>
    <col min="517" max="517" width="10.7109375" style="117" bestFit="1" customWidth="1"/>
    <col min="518" max="518" width="1.42578125" style="117" customWidth="1"/>
    <col min="519" max="519" width="9" style="117" customWidth="1"/>
    <col min="520" max="520" width="2" style="117" bestFit="1" customWidth="1"/>
    <col min="521" max="521" width="10.7109375" style="117" bestFit="1" customWidth="1"/>
    <col min="522" max="522" width="1.5703125" style="117" customWidth="1"/>
    <col min="523" max="523" width="7.42578125" style="117" bestFit="1" customWidth="1"/>
    <col min="524" max="524" width="1.85546875" style="117" bestFit="1" customWidth="1"/>
    <col min="525" max="525" width="9.85546875" style="117" customWidth="1"/>
    <col min="526" max="526" width="2" style="117" bestFit="1" customWidth="1"/>
    <col min="527" max="527" width="11.85546875" style="117" bestFit="1" customWidth="1"/>
    <col min="528" max="528" width="2" style="117" bestFit="1" customWidth="1"/>
    <col min="529" max="529" width="12.5703125" style="117" customWidth="1"/>
    <col min="530" max="530" width="11.28515625" style="117" customWidth="1"/>
    <col min="531" max="542" width="7.7109375" style="117" customWidth="1"/>
    <col min="543" max="768" width="9.140625" style="117"/>
    <col min="769" max="769" width="9.7109375" style="117" customWidth="1"/>
    <col min="770" max="770" width="42.5703125" style="117" bestFit="1" customWidth="1"/>
    <col min="771" max="771" width="9.140625" style="117" customWidth="1"/>
    <col min="772" max="772" width="2" style="117" bestFit="1" customWidth="1"/>
    <col min="773" max="773" width="10.7109375" style="117" bestFit="1" customWidth="1"/>
    <col min="774" max="774" width="1.42578125" style="117" customWidth="1"/>
    <col min="775" max="775" width="9" style="117" customWidth="1"/>
    <col min="776" max="776" width="2" style="117" bestFit="1" customWidth="1"/>
    <col min="777" max="777" width="10.7109375" style="117" bestFit="1" customWidth="1"/>
    <col min="778" max="778" width="1.5703125" style="117" customWidth="1"/>
    <col min="779" max="779" width="7.42578125" style="117" bestFit="1" customWidth="1"/>
    <col min="780" max="780" width="1.85546875" style="117" bestFit="1" customWidth="1"/>
    <col min="781" max="781" width="9.85546875" style="117" customWidth="1"/>
    <col min="782" max="782" width="2" style="117" bestFit="1" customWidth="1"/>
    <col min="783" max="783" width="11.85546875" style="117" bestFit="1" customWidth="1"/>
    <col min="784" max="784" width="2" style="117" bestFit="1" customWidth="1"/>
    <col min="785" max="785" width="12.5703125" style="117" customWidth="1"/>
    <col min="786" max="786" width="11.28515625" style="117" customWidth="1"/>
    <col min="787" max="798" width="7.7109375" style="117" customWidth="1"/>
    <col min="799" max="1024" width="9.140625" style="117"/>
    <col min="1025" max="1025" width="9.7109375" style="117" customWidth="1"/>
    <col min="1026" max="1026" width="42.5703125" style="117" bestFit="1" customWidth="1"/>
    <col min="1027" max="1027" width="9.140625" style="117" customWidth="1"/>
    <col min="1028" max="1028" width="2" style="117" bestFit="1" customWidth="1"/>
    <col min="1029" max="1029" width="10.7109375" style="117" bestFit="1" customWidth="1"/>
    <col min="1030" max="1030" width="1.42578125" style="117" customWidth="1"/>
    <col min="1031" max="1031" width="9" style="117" customWidth="1"/>
    <col min="1032" max="1032" width="2" style="117" bestFit="1" customWidth="1"/>
    <col min="1033" max="1033" width="10.7109375" style="117" bestFit="1" customWidth="1"/>
    <col min="1034" max="1034" width="1.5703125" style="117" customWidth="1"/>
    <col min="1035" max="1035" width="7.42578125" style="117" bestFit="1" customWidth="1"/>
    <col min="1036" max="1036" width="1.85546875" style="117" bestFit="1" customWidth="1"/>
    <col min="1037" max="1037" width="9.85546875" style="117" customWidth="1"/>
    <col min="1038" max="1038" width="2" style="117" bestFit="1" customWidth="1"/>
    <col min="1039" max="1039" width="11.85546875" style="117" bestFit="1" customWidth="1"/>
    <col min="1040" max="1040" width="2" style="117" bestFit="1" customWidth="1"/>
    <col min="1041" max="1041" width="12.5703125" style="117" customWidth="1"/>
    <col min="1042" max="1042" width="11.28515625" style="117" customWidth="1"/>
    <col min="1043" max="1054" width="7.7109375" style="117" customWidth="1"/>
    <col min="1055" max="1280" width="9.140625" style="117"/>
    <col min="1281" max="1281" width="9.7109375" style="117" customWidth="1"/>
    <col min="1282" max="1282" width="42.5703125" style="117" bestFit="1" customWidth="1"/>
    <col min="1283" max="1283" width="9.140625" style="117" customWidth="1"/>
    <col min="1284" max="1284" width="2" style="117" bestFit="1" customWidth="1"/>
    <col min="1285" max="1285" width="10.7109375" style="117" bestFit="1" customWidth="1"/>
    <col min="1286" max="1286" width="1.42578125" style="117" customWidth="1"/>
    <col min="1287" max="1287" width="9" style="117" customWidth="1"/>
    <col min="1288" max="1288" width="2" style="117" bestFit="1" customWidth="1"/>
    <col min="1289" max="1289" width="10.7109375" style="117" bestFit="1" customWidth="1"/>
    <col min="1290" max="1290" width="1.5703125" style="117" customWidth="1"/>
    <col min="1291" max="1291" width="7.42578125" style="117" bestFit="1" customWidth="1"/>
    <col min="1292" max="1292" width="1.85546875" style="117" bestFit="1" customWidth="1"/>
    <col min="1293" max="1293" width="9.85546875" style="117" customWidth="1"/>
    <col min="1294" max="1294" width="2" style="117" bestFit="1" customWidth="1"/>
    <col min="1295" max="1295" width="11.85546875" style="117" bestFit="1" customWidth="1"/>
    <col min="1296" max="1296" width="2" style="117" bestFit="1" customWidth="1"/>
    <col min="1297" max="1297" width="12.5703125" style="117" customWidth="1"/>
    <col min="1298" max="1298" width="11.28515625" style="117" customWidth="1"/>
    <col min="1299" max="1310" width="7.7109375" style="117" customWidth="1"/>
    <col min="1311" max="1536" width="9.140625" style="117"/>
    <col min="1537" max="1537" width="9.7109375" style="117" customWidth="1"/>
    <col min="1538" max="1538" width="42.5703125" style="117" bestFit="1" customWidth="1"/>
    <col min="1539" max="1539" width="9.140625" style="117" customWidth="1"/>
    <col min="1540" max="1540" width="2" style="117" bestFit="1" customWidth="1"/>
    <col min="1541" max="1541" width="10.7109375" style="117" bestFit="1" customWidth="1"/>
    <col min="1542" max="1542" width="1.42578125" style="117" customWidth="1"/>
    <col min="1543" max="1543" width="9" style="117" customWidth="1"/>
    <col min="1544" max="1544" width="2" style="117" bestFit="1" customWidth="1"/>
    <col min="1545" max="1545" width="10.7109375" style="117" bestFit="1" customWidth="1"/>
    <col min="1546" max="1546" width="1.5703125" style="117" customWidth="1"/>
    <col min="1547" max="1547" width="7.42578125" style="117" bestFit="1" customWidth="1"/>
    <col min="1548" max="1548" width="1.85546875" style="117" bestFit="1" customWidth="1"/>
    <col min="1549" max="1549" width="9.85546875" style="117" customWidth="1"/>
    <col min="1550" max="1550" width="2" style="117" bestFit="1" customWidth="1"/>
    <col min="1551" max="1551" width="11.85546875" style="117" bestFit="1" customWidth="1"/>
    <col min="1552" max="1552" width="2" style="117" bestFit="1" customWidth="1"/>
    <col min="1553" max="1553" width="12.5703125" style="117" customWidth="1"/>
    <col min="1554" max="1554" width="11.28515625" style="117" customWidth="1"/>
    <col min="1555" max="1566" width="7.7109375" style="117" customWidth="1"/>
    <col min="1567" max="1792" width="9.140625" style="117"/>
    <col min="1793" max="1793" width="9.7109375" style="117" customWidth="1"/>
    <col min="1794" max="1794" width="42.5703125" style="117" bestFit="1" customWidth="1"/>
    <col min="1795" max="1795" width="9.140625" style="117" customWidth="1"/>
    <col min="1796" max="1796" width="2" style="117" bestFit="1" customWidth="1"/>
    <col min="1797" max="1797" width="10.7109375" style="117" bestFit="1" customWidth="1"/>
    <col min="1798" max="1798" width="1.42578125" style="117" customWidth="1"/>
    <col min="1799" max="1799" width="9" style="117" customWidth="1"/>
    <col min="1800" max="1800" width="2" style="117" bestFit="1" customWidth="1"/>
    <col min="1801" max="1801" width="10.7109375" style="117" bestFit="1" customWidth="1"/>
    <col min="1802" max="1802" width="1.5703125" style="117" customWidth="1"/>
    <col min="1803" max="1803" width="7.42578125" style="117" bestFit="1" customWidth="1"/>
    <col min="1804" max="1804" width="1.85546875" style="117" bestFit="1" customWidth="1"/>
    <col min="1805" max="1805" width="9.85546875" style="117" customWidth="1"/>
    <col min="1806" max="1806" width="2" style="117" bestFit="1" customWidth="1"/>
    <col min="1807" max="1807" width="11.85546875" style="117" bestFit="1" customWidth="1"/>
    <col min="1808" max="1808" width="2" style="117" bestFit="1" customWidth="1"/>
    <col min="1809" max="1809" width="12.5703125" style="117" customWidth="1"/>
    <col min="1810" max="1810" width="11.28515625" style="117" customWidth="1"/>
    <col min="1811" max="1822" width="7.7109375" style="117" customWidth="1"/>
    <col min="1823" max="2048" width="9.140625" style="117"/>
    <col min="2049" max="2049" width="9.7109375" style="117" customWidth="1"/>
    <col min="2050" max="2050" width="42.5703125" style="117" bestFit="1" customWidth="1"/>
    <col min="2051" max="2051" width="9.140625" style="117" customWidth="1"/>
    <col min="2052" max="2052" width="2" style="117" bestFit="1" customWidth="1"/>
    <col min="2053" max="2053" width="10.7109375" style="117" bestFit="1" customWidth="1"/>
    <col min="2054" max="2054" width="1.42578125" style="117" customWidth="1"/>
    <col min="2055" max="2055" width="9" style="117" customWidth="1"/>
    <col min="2056" max="2056" width="2" style="117" bestFit="1" customWidth="1"/>
    <col min="2057" max="2057" width="10.7109375" style="117" bestFit="1" customWidth="1"/>
    <col min="2058" max="2058" width="1.5703125" style="117" customWidth="1"/>
    <col min="2059" max="2059" width="7.42578125" style="117" bestFit="1" customWidth="1"/>
    <col min="2060" max="2060" width="1.85546875" style="117" bestFit="1" customWidth="1"/>
    <col min="2061" max="2061" width="9.85546875" style="117" customWidth="1"/>
    <col min="2062" max="2062" width="2" style="117" bestFit="1" customWidth="1"/>
    <col min="2063" max="2063" width="11.85546875" style="117" bestFit="1" customWidth="1"/>
    <col min="2064" max="2064" width="2" style="117" bestFit="1" customWidth="1"/>
    <col min="2065" max="2065" width="12.5703125" style="117" customWidth="1"/>
    <col min="2066" max="2066" width="11.28515625" style="117" customWidth="1"/>
    <col min="2067" max="2078" width="7.7109375" style="117" customWidth="1"/>
    <col min="2079" max="2304" width="9.140625" style="117"/>
    <col min="2305" max="2305" width="9.7109375" style="117" customWidth="1"/>
    <col min="2306" max="2306" width="42.5703125" style="117" bestFit="1" customWidth="1"/>
    <col min="2307" max="2307" width="9.140625" style="117" customWidth="1"/>
    <col min="2308" max="2308" width="2" style="117" bestFit="1" customWidth="1"/>
    <col min="2309" max="2309" width="10.7109375" style="117" bestFit="1" customWidth="1"/>
    <col min="2310" max="2310" width="1.42578125" style="117" customWidth="1"/>
    <col min="2311" max="2311" width="9" style="117" customWidth="1"/>
    <col min="2312" max="2312" width="2" style="117" bestFit="1" customWidth="1"/>
    <col min="2313" max="2313" width="10.7109375" style="117" bestFit="1" customWidth="1"/>
    <col min="2314" max="2314" width="1.5703125" style="117" customWidth="1"/>
    <col min="2315" max="2315" width="7.42578125" style="117" bestFit="1" customWidth="1"/>
    <col min="2316" max="2316" width="1.85546875" style="117" bestFit="1" customWidth="1"/>
    <col min="2317" max="2317" width="9.85546875" style="117" customWidth="1"/>
    <col min="2318" max="2318" width="2" style="117" bestFit="1" customWidth="1"/>
    <col min="2319" max="2319" width="11.85546875" style="117" bestFit="1" customWidth="1"/>
    <col min="2320" max="2320" width="2" style="117" bestFit="1" customWidth="1"/>
    <col min="2321" max="2321" width="12.5703125" style="117" customWidth="1"/>
    <col min="2322" max="2322" width="11.28515625" style="117" customWidth="1"/>
    <col min="2323" max="2334" width="7.7109375" style="117" customWidth="1"/>
    <col min="2335" max="2560" width="9.140625" style="117"/>
    <col min="2561" max="2561" width="9.7109375" style="117" customWidth="1"/>
    <col min="2562" max="2562" width="42.5703125" style="117" bestFit="1" customWidth="1"/>
    <col min="2563" max="2563" width="9.140625" style="117" customWidth="1"/>
    <col min="2564" max="2564" width="2" style="117" bestFit="1" customWidth="1"/>
    <col min="2565" max="2565" width="10.7109375" style="117" bestFit="1" customWidth="1"/>
    <col min="2566" max="2566" width="1.42578125" style="117" customWidth="1"/>
    <col min="2567" max="2567" width="9" style="117" customWidth="1"/>
    <col min="2568" max="2568" width="2" style="117" bestFit="1" customWidth="1"/>
    <col min="2569" max="2569" width="10.7109375" style="117" bestFit="1" customWidth="1"/>
    <col min="2570" max="2570" width="1.5703125" style="117" customWidth="1"/>
    <col min="2571" max="2571" width="7.42578125" style="117" bestFit="1" customWidth="1"/>
    <col min="2572" max="2572" width="1.85546875" style="117" bestFit="1" customWidth="1"/>
    <col min="2573" max="2573" width="9.85546875" style="117" customWidth="1"/>
    <col min="2574" max="2574" width="2" style="117" bestFit="1" customWidth="1"/>
    <col min="2575" max="2575" width="11.85546875" style="117" bestFit="1" customWidth="1"/>
    <col min="2576" max="2576" width="2" style="117" bestFit="1" customWidth="1"/>
    <col min="2577" max="2577" width="12.5703125" style="117" customWidth="1"/>
    <col min="2578" max="2578" width="11.28515625" style="117" customWidth="1"/>
    <col min="2579" max="2590" width="7.7109375" style="117" customWidth="1"/>
    <col min="2591" max="2816" width="9.140625" style="117"/>
    <col min="2817" max="2817" width="9.7109375" style="117" customWidth="1"/>
    <col min="2818" max="2818" width="42.5703125" style="117" bestFit="1" customWidth="1"/>
    <col min="2819" max="2819" width="9.140625" style="117" customWidth="1"/>
    <col min="2820" max="2820" width="2" style="117" bestFit="1" customWidth="1"/>
    <col min="2821" max="2821" width="10.7109375" style="117" bestFit="1" customWidth="1"/>
    <col min="2822" max="2822" width="1.42578125" style="117" customWidth="1"/>
    <col min="2823" max="2823" width="9" style="117" customWidth="1"/>
    <col min="2824" max="2824" width="2" style="117" bestFit="1" customWidth="1"/>
    <col min="2825" max="2825" width="10.7109375" style="117" bestFit="1" customWidth="1"/>
    <col min="2826" max="2826" width="1.5703125" style="117" customWidth="1"/>
    <col min="2827" max="2827" width="7.42578125" style="117" bestFit="1" customWidth="1"/>
    <col min="2828" max="2828" width="1.85546875" style="117" bestFit="1" customWidth="1"/>
    <col min="2829" max="2829" width="9.85546875" style="117" customWidth="1"/>
    <col min="2830" max="2830" width="2" style="117" bestFit="1" customWidth="1"/>
    <col min="2831" max="2831" width="11.85546875" style="117" bestFit="1" customWidth="1"/>
    <col min="2832" max="2832" width="2" style="117" bestFit="1" customWidth="1"/>
    <col min="2833" max="2833" width="12.5703125" style="117" customWidth="1"/>
    <col min="2834" max="2834" width="11.28515625" style="117" customWidth="1"/>
    <col min="2835" max="2846" width="7.7109375" style="117" customWidth="1"/>
    <col min="2847" max="3072" width="9.140625" style="117"/>
    <col min="3073" max="3073" width="9.7109375" style="117" customWidth="1"/>
    <col min="3074" max="3074" width="42.5703125" style="117" bestFit="1" customWidth="1"/>
    <col min="3075" max="3075" width="9.140625" style="117" customWidth="1"/>
    <col min="3076" max="3076" width="2" style="117" bestFit="1" customWidth="1"/>
    <col min="3077" max="3077" width="10.7109375" style="117" bestFit="1" customWidth="1"/>
    <col min="3078" max="3078" width="1.42578125" style="117" customWidth="1"/>
    <col min="3079" max="3079" width="9" style="117" customWidth="1"/>
    <col min="3080" max="3080" width="2" style="117" bestFit="1" customWidth="1"/>
    <col min="3081" max="3081" width="10.7109375" style="117" bestFit="1" customWidth="1"/>
    <col min="3082" max="3082" width="1.5703125" style="117" customWidth="1"/>
    <col min="3083" max="3083" width="7.42578125" style="117" bestFit="1" customWidth="1"/>
    <col min="3084" max="3084" width="1.85546875" style="117" bestFit="1" customWidth="1"/>
    <col min="3085" max="3085" width="9.85546875" style="117" customWidth="1"/>
    <col min="3086" max="3086" width="2" style="117" bestFit="1" customWidth="1"/>
    <col min="3087" max="3087" width="11.85546875" style="117" bestFit="1" customWidth="1"/>
    <col min="3088" max="3088" width="2" style="117" bestFit="1" customWidth="1"/>
    <col min="3089" max="3089" width="12.5703125" style="117" customWidth="1"/>
    <col min="3090" max="3090" width="11.28515625" style="117" customWidth="1"/>
    <col min="3091" max="3102" width="7.7109375" style="117" customWidth="1"/>
    <col min="3103" max="3328" width="9.140625" style="117"/>
    <col min="3329" max="3329" width="9.7109375" style="117" customWidth="1"/>
    <col min="3330" max="3330" width="42.5703125" style="117" bestFit="1" customWidth="1"/>
    <col min="3331" max="3331" width="9.140625" style="117" customWidth="1"/>
    <col min="3332" max="3332" width="2" style="117" bestFit="1" customWidth="1"/>
    <col min="3333" max="3333" width="10.7109375" style="117" bestFit="1" customWidth="1"/>
    <col min="3334" max="3334" width="1.42578125" style="117" customWidth="1"/>
    <col min="3335" max="3335" width="9" style="117" customWidth="1"/>
    <col min="3336" max="3336" width="2" style="117" bestFit="1" customWidth="1"/>
    <col min="3337" max="3337" width="10.7109375" style="117" bestFit="1" customWidth="1"/>
    <col min="3338" max="3338" width="1.5703125" style="117" customWidth="1"/>
    <col min="3339" max="3339" width="7.42578125" style="117" bestFit="1" customWidth="1"/>
    <col min="3340" max="3340" width="1.85546875" style="117" bestFit="1" customWidth="1"/>
    <col min="3341" max="3341" width="9.85546875" style="117" customWidth="1"/>
    <col min="3342" max="3342" width="2" style="117" bestFit="1" customWidth="1"/>
    <col min="3343" max="3343" width="11.85546875" style="117" bestFit="1" customWidth="1"/>
    <col min="3344" max="3344" width="2" style="117" bestFit="1" customWidth="1"/>
    <col min="3345" max="3345" width="12.5703125" style="117" customWidth="1"/>
    <col min="3346" max="3346" width="11.28515625" style="117" customWidth="1"/>
    <col min="3347" max="3358" width="7.7109375" style="117" customWidth="1"/>
    <col min="3359" max="3584" width="9.140625" style="117"/>
    <col min="3585" max="3585" width="9.7109375" style="117" customWidth="1"/>
    <col min="3586" max="3586" width="42.5703125" style="117" bestFit="1" customWidth="1"/>
    <col min="3587" max="3587" width="9.140625" style="117" customWidth="1"/>
    <col min="3588" max="3588" width="2" style="117" bestFit="1" customWidth="1"/>
    <col min="3589" max="3589" width="10.7109375" style="117" bestFit="1" customWidth="1"/>
    <col min="3590" max="3590" width="1.42578125" style="117" customWidth="1"/>
    <col min="3591" max="3591" width="9" style="117" customWidth="1"/>
    <col min="3592" max="3592" width="2" style="117" bestFit="1" customWidth="1"/>
    <col min="3593" max="3593" width="10.7109375" style="117" bestFit="1" customWidth="1"/>
    <col min="3594" max="3594" width="1.5703125" style="117" customWidth="1"/>
    <col min="3595" max="3595" width="7.42578125" style="117" bestFit="1" customWidth="1"/>
    <col min="3596" max="3596" width="1.85546875" style="117" bestFit="1" customWidth="1"/>
    <col min="3597" max="3597" width="9.85546875" style="117" customWidth="1"/>
    <col min="3598" max="3598" width="2" style="117" bestFit="1" customWidth="1"/>
    <col min="3599" max="3599" width="11.85546875" style="117" bestFit="1" customWidth="1"/>
    <col min="3600" max="3600" width="2" style="117" bestFit="1" customWidth="1"/>
    <col min="3601" max="3601" width="12.5703125" style="117" customWidth="1"/>
    <col min="3602" max="3602" width="11.28515625" style="117" customWidth="1"/>
    <col min="3603" max="3614" width="7.7109375" style="117" customWidth="1"/>
    <col min="3615" max="3840" width="9.140625" style="117"/>
    <col min="3841" max="3841" width="9.7109375" style="117" customWidth="1"/>
    <col min="3842" max="3842" width="42.5703125" style="117" bestFit="1" customWidth="1"/>
    <col min="3843" max="3843" width="9.140625" style="117" customWidth="1"/>
    <col min="3844" max="3844" width="2" style="117" bestFit="1" customWidth="1"/>
    <col min="3845" max="3845" width="10.7109375" style="117" bestFit="1" customWidth="1"/>
    <col min="3846" max="3846" width="1.42578125" style="117" customWidth="1"/>
    <col min="3847" max="3847" width="9" style="117" customWidth="1"/>
    <col min="3848" max="3848" width="2" style="117" bestFit="1" customWidth="1"/>
    <col min="3849" max="3849" width="10.7109375" style="117" bestFit="1" customWidth="1"/>
    <col min="3850" max="3850" width="1.5703125" style="117" customWidth="1"/>
    <col min="3851" max="3851" width="7.42578125" style="117" bestFit="1" customWidth="1"/>
    <col min="3852" max="3852" width="1.85546875" style="117" bestFit="1" customWidth="1"/>
    <col min="3853" max="3853" width="9.85546875" style="117" customWidth="1"/>
    <col min="3854" max="3854" width="2" style="117" bestFit="1" customWidth="1"/>
    <col min="3855" max="3855" width="11.85546875" style="117" bestFit="1" customWidth="1"/>
    <col min="3856" max="3856" width="2" style="117" bestFit="1" customWidth="1"/>
    <col min="3857" max="3857" width="12.5703125" style="117" customWidth="1"/>
    <col min="3858" max="3858" width="11.28515625" style="117" customWidth="1"/>
    <col min="3859" max="3870" width="7.7109375" style="117" customWidth="1"/>
    <col min="3871" max="4096" width="9.140625" style="117"/>
    <col min="4097" max="4097" width="9.7109375" style="117" customWidth="1"/>
    <col min="4098" max="4098" width="42.5703125" style="117" bestFit="1" customWidth="1"/>
    <col min="4099" max="4099" width="9.140625" style="117" customWidth="1"/>
    <col min="4100" max="4100" width="2" style="117" bestFit="1" customWidth="1"/>
    <col min="4101" max="4101" width="10.7109375" style="117" bestFit="1" customWidth="1"/>
    <col min="4102" max="4102" width="1.42578125" style="117" customWidth="1"/>
    <col min="4103" max="4103" width="9" style="117" customWidth="1"/>
    <col min="4104" max="4104" width="2" style="117" bestFit="1" customWidth="1"/>
    <col min="4105" max="4105" width="10.7109375" style="117" bestFit="1" customWidth="1"/>
    <col min="4106" max="4106" width="1.5703125" style="117" customWidth="1"/>
    <col min="4107" max="4107" width="7.42578125" style="117" bestFit="1" customWidth="1"/>
    <col min="4108" max="4108" width="1.85546875" style="117" bestFit="1" customWidth="1"/>
    <col min="4109" max="4109" width="9.85546875" style="117" customWidth="1"/>
    <col min="4110" max="4110" width="2" style="117" bestFit="1" customWidth="1"/>
    <col min="4111" max="4111" width="11.85546875" style="117" bestFit="1" customWidth="1"/>
    <col min="4112" max="4112" width="2" style="117" bestFit="1" customWidth="1"/>
    <col min="4113" max="4113" width="12.5703125" style="117" customWidth="1"/>
    <col min="4114" max="4114" width="11.28515625" style="117" customWidth="1"/>
    <col min="4115" max="4126" width="7.7109375" style="117" customWidth="1"/>
    <col min="4127" max="4352" width="9.140625" style="117"/>
    <col min="4353" max="4353" width="9.7109375" style="117" customWidth="1"/>
    <col min="4354" max="4354" width="42.5703125" style="117" bestFit="1" customWidth="1"/>
    <col min="4355" max="4355" width="9.140625" style="117" customWidth="1"/>
    <col min="4356" max="4356" width="2" style="117" bestFit="1" customWidth="1"/>
    <col min="4357" max="4357" width="10.7109375" style="117" bestFit="1" customWidth="1"/>
    <col min="4358" max="4358" width="1.42578125" style="117" customWidth="1"/>
    <col min="4359" max="4359" width="9" style="117" customWidth="1"/>
    <col min="4360" max="4360" width="2" style="117" bestFit="1" customWidth="1"/>
    <col min="4361" max="4361" width="10.7109375" style="117" bestFit="1" customWidth="1"/>
    <col min="4362" max="4362" width="1.5703125" style="117" customWidth="1"/>
    <col min="4363" max="4363" width="7.42578125" style="117" bestFit="1" customWidth="1"/>
    <col min="4364" max="4364" width="1.85546875" style="117" bestFit="1" customWidth="1"/>
    <col min="4365" max="4365" width="9.85546875" style="117" customWidth="1"/>
    <col min="4366" max="4366" width="2" style="117" bestFit="1" customWidth="1"/>
    <col min="4367" max="4367" width="11.85546875" style="117" bestFit="1" customWidth="1"/>
    <col min="4368" max="4368" width="2" style="117" bestFit="1" customWidth="1"/>
    <col min="4369" max="4369" width="12.5703125" style="117" customWidth="1"/>
    <col min="4370" max="4370" width="11.28515625" style="117" customWidth="1"/>
    <col min="4371" max="4382" width="7.7109375" style="117" customWidth="1"/>
    <col min="4383" max="4608" width="9.140625" style="117"/>
    <col min="4609" max="4609" width="9.7109375" style="117" customWidth="1"/>
    <col min="4610" max="4610" width="42.5703125" style="117" bestFit="1" customWidth="1"/>
    <col min="4611" max="4611" width="9.140625" style="117" customWidth="1"/>
    <col min="4612" max="4612" width="2" style="117" bestFit="1" customWidth="1"/>
    <col min="4613" max="4613" width="10.7109375" style="117" bestFit="1" customWidth="1"/>
    <col min="4614" max="4614" width="1.42578125" style="117" customWidth="1"/>
    <col min="4615" max="4615" width="9" style="117" customWidth="1"/>
    <col min="4616" max="4616" width="2" style="117" bestFit="1" customWidth="1"/>
    <col min="4617" max="4617" width="10.7109375" style="117" bestFit="1" customWidth="1"/>
    <col min="4618" max="4618" width="1.5703125" style="117" customWidth="1"/>
    <col min="4619" max="4619" width="7.42578125" style="117" bestFit="1" customWidth="1"/>
    <col min="4620" max="4620" width="1.85546875" style="117" bestFit="1" customWidth="1"/>
    <col min="4621" max="4621" width="9.85546875" style="117" customWidth="1"/>
    <col min="4622" max="4622" width="2" style="117" bestFit="1" customWidth="1"/>
    <col min="4623" max="4623" width="11.85546875" style="117" bestFit="1" customWidth="1"/>
    <col min="4624" max="4624" width="2" style="117" bestFit="1" customWidth="1"/>
    <col min="4625" max="4625" width="12.5703125" style="117" customWidth="1"/>
    <col min="4626" max="4626" width="11.28515625" style="117" customWidth="1"/>
    <col min="4627" max="4638" width="7.7109375" style="117" customWidth="1"/>
    <col min="4639" max="4864" width="9.140625" style="117"/>
    <col min="4865" max="4865" width="9.7109375" style="117" customWidth="1"/>
    <col min="4866" max="4866" width="42.5703125" style="117" bestFit="1" customWidth="1"/>
    <col min="4867" max="4867" width="9.140625" style="117" customWidth="1"/>
    <col min="4868" max="4868" width="2" style="117" bestFit="1" customWidth="1"/>
    <col min="4869" max="4869" width="10.7109375" style="117" bestFit="1" customWidth="1"/>
    <col min="4870" max="4870" width="1.42578125" style="117" customWidth="1"/>
    <col min="4871" max="4871" width="9" style="117" customWidth="1"/>
    <col min="4872" max="4872" width="2" style="117" bestFit="1" customWidth="1"/>
    <col min="4873" max="4873" width="10.7109375" style="117" bestFit="1" customWidth="1"/>
    <col min="4874" max="4874" width="1.5703125" style="117" customWidth="1"/>
    <col min="4875" max="4875" width="7.42578125" style="117" bestFit="1" customWidth="1"/>
    <col min="4876" max="4876" width="1.85546875" style="117" bestFit="1" customWidth="1"/>
    <col min="4877" max="4877" width="9.85546875" style="117" customWidth="1"/>
    <col min="4878" max="4878" width="2" style="117" bestFit="1" customWidth="1"/>
    <col min="4879" max="4879" width="11.85546875" style="117" bestFit="1" customWidth="1"/>
    <col min="4880" max="4880" width="2" style="117" bestFit="1" customWidth="1"/>
    <col min="4881" max="4881" width="12.5703125" style="117" customWidth="1"/>
    <col min="4882" max="4882" width="11.28515625" style="117" customWidth="1"/>
    <col min="4883" max="4894" width="7.7109375" style="117" customWidth="1"/>
    <col min="4895" max="5120" width="9.140625" style="117"/>
    <col min="5121" max="5121" width="9.7109375" style="117" customWidth="1"/>
    <col min="5122" max="5122" width="42.5703125" style="117" bestFit="1" customWidth="1"/>
    <col min="5123" max="5123" width="9.140625" style="117" customWidth="1"/>
    <col min="5124" max="5124" width="2" style="117" bestFit="1" customWidth="1"/>
    <col min="5125" max="5125" width="10.7109375" style="117" bestFit="1" customWidth="1"/>
    <col min="5126" max="5126" width="1.42578125" style="117" customWidth="1"/>
    <col min="5127" max="5127" width="9" style="117" customWidth="1"/>
    <col min="5128" max="5128" width="2" style="117" bestFit="1" customWidth="1"/>
    <col min="5129" max="5129" width="10.7109375" style="117" bestFit="1" customWidth="1"/>
    <col min="5130" max="5130" width="1.5703125" style="117" customWidth="1"/>
    <col min="5131" max="5131" width="7.42578125" style="117" bestFit="1" customWidth="1"/>
    <col min="5132" max="5132" width="1.85546875" style="117" bestFit="1" customWidth="1"/>
    <col min="5133" max="5133" width="9.85546875" style="117" customWidth="1"/>
    <col min="5134" max="5134" width="2" style="117" bestFit="1" customWidth="1"/>
    <col min="5135" max="5135" width="11.85546875" style="117" bestFit="1" customWidth="1"/>
    <col min="5136" max="5136" width="2" style="117" bestFit="1" customWidth="1"/>
    <col min="5137" max="5137" width="12.5703125" style="117" customWidth="1"/>
    <col min="5138" max="5138" width="11.28515625" style="117" customWidth="1"/>
    <col min="5139" max="5150" width="7.7109375" style="117" customWidth="1"/>
    <col min="5151" max="5376" width="9.140625" style="117"/>
    <col min="5377" max="5377" width="9.7109375" style="117" customWidth="1"/>
    <col min="5378" max="5378" width="42.5703125" style="117" bestFit="1" customWidth="1"/>
    <col min="5379" max="5379" width="9.140625" style="117" customWidth="1"/>
    <col min="5380" max="5380" width="2" style="117" bestFit="1" customWidth="1"/>
    <col min="5381" max="5381" width="10.7109375" style="117" bestFit="1" customWidth="1"/>
    <col min="5382" max="5382" width="1.42578125" style="117" customWidth="1"/>
    <col min="5383" max="5383" width="9" style="117" customWidth="1"/>
    <col min="5384" max="5384" width="2" style="117" bestFit="1" customWidth="1"/>
    <col min="5385" max="5385" width="10.7109375" style="117" bestFit="1" customWidth="1"/>
    <col min="5386" max="5386" width="1.5703125" style="117" customWidth="1"/>
    <col min="5387" max="5387" width="7.42578125" style="117" bestFit="1" customWidth="1"/>
    <col min="5388" max="5388" width="1.85546875" style="117" bestFit="1" customWidth="1"/>
    <col min="5389" max="5389" width="9.85546875" style="117" customWidth="1"/>
    <col min="5390" max="5390" width="2" style="117" bestFit="1" customWidth="1"/>
    <col min="5391" max="5391" width="11.85546875" style="117" bestFit="1" customWidth="1"/>
    <col min="5392" max="5392" width="2" style="117" bestFit="1" customWidth="1"/>
    <col min="5393" max="5393" width="12.5703125" style="117" customWidth="1"/>
    <col min="5394" max="5394" width="11.28515625" style="117" customWidth="1"/>
    <col min="5395" max="5406" width="7.7109375" style="117" customWidth="1"/>
    <col min="5407" max="5632" width="9.140625" style="117"/>
    <col min="5633" max="5633" width="9.7109375" style="117" customWidth="1"/>
    <col min="5634" max="5634" width="42.5703125" style="117" bestFit="1" customWidth="1"/>
    <col min="5635" max="5635" width="9.140625" style="117" customWidth="1"/>
    <col min="5636" max="5636" width="2" style="117" bestFit="1" customWidth="1"/>
    <col min="5637" max="5637" width="10.7109375" style="117" bestFit="1" customWidth="1"/>
    <col min="5638" max="5638" width="1.42578125" style="117" customWidth="1"/>
    <col min="5639" max="5639" width="9" style="117" customWidth="1"/>
    <col min="5640" max="5640" width="2" style="117" bestFit="1" customWidth="1"/>
    <col min="5641" max="5641" width="10.7109375" style="117" bestFit="1" customWidth="1"/>
    <col min="5642" max="5642" width="1.5703125" style="117" customWidth="1"/>
    <col min="5643" max="5643" width="7.42578125" style="117" bestFit="1" customWidth="1"/>
    <col min="5644" max="5644" width="1.85546875" style="117" bestFit="1" customWidth="1"/>
    <col min="5645" max="5645" width="9.85546875" style="117" customWidth="1"/>
    <col min="5646" max="5646" width="2" style="117" bestFit="1" customWidth="1"/>
    <col min="5647" max="5647" width="11.85546875" style="117" bestFit="1" customWidth="1"/>
    <col min="5648" max="5648" width="2" style="117" bestFit="1" customWidth="1"/>
    <col min="5649" max="5649" width="12.5703125" style="117" customWidth="1"/>
    <col min="5650" max="5650" width="11.28515625" style="117" customWidth="1"/>
    <col min="5651" max="5662" width="7.7109375" style="117" customWidth="1"/>
    <col min="5663" max="5888" width="9.140625" style="117"/>
    <col min="5889" max="5889" width="9.7109375" style="117" customWidth="1"/>
    <col min="5890" max="5890" width="42.5703125" style="117" bestFit="1" customWidth="1"/>
    <col min="5891" max="5891" width="9.140625" style="117" customWidth="1"/>
    <col min="5892" max="5892" width="2" style="117" bestFit="1" customWidth="1"/>
    <col min="5893" max="5893" width="10.7109375" style="117" bestFit="1" customWidth="1"/>
    <col min="5894" max="5894" width="1.42578125" style="117" customWidth="1"/>
    <col min="5895" max="5895" width="9" style="117" customWidth="1"/>
    <col min="5896" max="5896" width="2" style="117" bestFit="1" customWidth="1"/>
    <col min="5897" max="5897" width="10.7109375" style="117" bestFit="1" customWidth="1"/>
    <col min="5898" max="5898" width="1.5703125" style="117" customWidth="1"/>
    <col min="5899" max="5899" width="7.42578125" style="117" bestFit="1" customWidth="1"/>
    <col min="5900" max="5900" width="1.85546875" style="117" bestFit="1" customWidth="1"/>
    <col min="5901" max="5901" width="9.85546875" style="117" customWidth="1"/>
    <col min="5902" max="5902" width="2" style="117" bestFit="1" customWidth="1"/>
    <col min="5903" max="5903" width="11.85546875" style="117" bestFit="1" customWidth="1"/>
    <col min="5904" max="5904" width="2" style="117" bestFit="1" customWidth="1"/>
    <col min="5905" max="5905" width="12.5703125" style="117" customWidth="1"/>
    <col min="5906" max="5906" width="11.28515625" style="117" customWidth="1"/>
    <col min="5907" max="5918" width="7.7109375" style="117" customWidth="1"/>
    <col min="5919" max="6144" width="9.140625" style="117"/>
    <col min="6145" max="6145" width="9.7109375" style="117" customWidth="1"/>
    <col min="6146" max="6146" width="42.5703125" style="117" bestFit="1" customWidth="1"/>
    <col min="6147" max="6147" width="9.140625" style="117" customWidth="1"/>
    <col min="6148" max="6148" width="2" style="117" bestFit="1" customWidth="1"/>
    <col min="6149" max="6149" width="10.7109375" style="117" bestFit="1" customWidth="1"/>
    <col min="6150" max="6150" width="1.42578125" style="117" customWidth="1"/>
    <col min="6151" max="6151" width="9" style="117" customWidth="1"/>
    <col min="6152" max="6152" width="2" style="117" bestFit="1" customWidth="1"/>
    <col min="6153" max="6153" width="10.7109375" style="117" bestFit="1" customWidth="1"/>
    <col min="6154" max="6154" width="1.5703125" style="117" customWidth="1"/>
    <col min="6155" max="6155" width="7.42578125" style="117" bestFit="1" customWidth="1"/>
    <col min="6156" max="6156" width="1.85546875" style="117" bestFit="1" customWidth="1"/>
    <col min="6157" max="6157" width="9.85546875" style="117" customWidth="1"/>
    <col min="6158" max="6158" width="2" style="117" bestFit="1" customWidth="1"/>
    <col min="6159" max="6159" width="11.85546875" style="117" bestFit="1" customWidth="1"/>
    <col min="6160" max="6160" width="2" style="117" bestFit="1" customWidth="1"/>
    <col min="6161" max="6161" width="12.5703125" style="117" customWidth="1"/>
    <col min="6162" max="6162" width="11.28515625" style="117" customWidth="1"/>
    <col min="6163" max="6174" width="7.7109375" style="117" customWidth="1"/>
    <col min="6175" max="6400" width="9.140625" style="117"/>
    <col min="6401" max="6401" width="9.7109375" style="117" customWidth="1"/>
    <col min="6402" max="6402" width="42.5703125" style="117" bestFit="1" customWidth="1"/>
    <col min="6403" max="6403" width="9.140625" style="117" customWidth="1"/>
    <col min="6404" max="6404" width="2" style="117" bestFit="1" customWidth="1"/>
    <col min="6405" max="6405" width="10.7109375" style="117" bestFit="1" customWidth="1"/>
    <col min="6406" max="6406" width="1.42578125" style="117" customWidth="1"/>
    <col min="6407" max="6407" width="9" style="117" customWidth="1"/>
    <col min="6408" max="6408" width="2" style="117" bestFit="1" customWidth="1"/>
    <col min="6409" max="6409" width="10.7109375" style="117" bestFit="1" customWidth="1"/>
    <col min="6410" max="6410" width="1.5703125" style="117" customWidth="1"/>
    <col min="6411" max="6411" width="7.42578125" style="117" bestFit="1" customWidth="1"/>
    <col min="6412" max="6412" width="1.85546875" style="117" bestFit="1" customWidth="1"/>
    <col min="6413" max="6413" width="9.85546875" style="117" customWidth="1"/>
    <col min="6414" max="6414" width="2" style="117" bestFit="1" customWidth="1"/>
    <col min="6415" max="6415" width="11.85546875" style="117" bestFit="1" customWidth="1"/>
    <col min="6416" max="6416" width="2" style="117" bestFit="1" customWidth="1"/>
    <col min="6417" max="6417" width="12.5703125" style="117" customWidth="1"/>
    <col min="6418" max="6418" width="11.28515625" style="117" customWidth="1"/>
    <col min="6419" max="6430" width="7.7109375" style="117" customWidth="1"/>
    <col min="6431" max="6656" width="9.140625" style="117"/>
    <col min="6657" max="6657" width="9.7109375" style="117" customWidth="1"/>
    <col min="6658" max="6658" width="42.5703125" style="117" bestFit="1" customWidth="1"/>
    <col min="6659" max="6659" width="9.140625" style="117" customWidth="1"/>
    <col min="6660" max="6660" width="2" style="117" bestFit="1" customWidth="1"/>
    <col min="6661" max="6661" width="10.7109375" style="117" bestFit="1" customWidth="1"/>
    <col min="6662" max="6662" width="1.42578125" style="117" customWidth="1"/>
    <col min="6663" max="6663" width="9" style="117" customWidth="1"/>
    <col min="6664" max="6664" width="2" style="117" bestFit="1" customWidth="1"/>
    <col min="6665" max="6665" width="10.7109375" style="117" bestFit="1" customWidth="1"/>
    <col min="6666" max="6666" width="1.5703125" style="117" customWidth="1"/>
    <col min="6667" max="6667" width="7.42578125" style="117" bestFit="1" customWidth="1"/>
    <col min="6668" max="6668" width="1.85546875" style="117" bestFit="1" customWidth="1"/>
    <col min="6669" max="6669" width="9.85546875" style="117" customWidth="1"/>
    <col min="6670" max="6670" width="2" style="117" bestFit="1" customWidth="1"/>
    <col min="6671" max="6671" width="11.85546875" style="117" bestFit="1" customWidth="1"/>
    <col min="6672" max="6672" width="2" style="117" bestFit="1" customWidth="1"/>
    <col min="6673" max="6673" width="12.5703125" style="117" customWidth="1"/>
    <col min="6674" max="6674" width="11.28515625" style="117" customWidth="1"/>
    <col min="6675" max="6686" width="7.7109375" style="117" customWidth="1"/>
    <col min="6687" max="6912" width="9.140625" style="117"/>
    <col min="6913" max="6913" width="9.7109375" style="117" customWidth="1"/>
    <col min="6914" max="6914" width="42.5703125" style="117" bestFit="1" customWidth="1"/>
    <col min="6915" max="6915" width="9.140625" style="117" customWidth="1"/>
    <col min="6916" max="6916" width="2" style="117" bestFit="1" customWidth="1"/>
    <col min="6917" max="6917" width="10.7109375" style="117" bestFit="1" customWidth="1"/>
    <col min="6918" max="6918" width="1.42578125" style="117" customWidth="1"/>
    <col min="6919" max="6919" width="9" style="117" customWidth="1"/>
    <col min="6920" max="6920" width="2" style="117" bestFit="1" customWidth="1"/>
    <col min="6921" max="6921" width="10.7109375" style="117" bestFit="1" customWidth="1"/>
    <col min="6922" max="6922" width="1.5703125" style="117" customWidth="1"/>
    <col min="6923" max="6923" width="7.42578125" style="117" bestFit="1" customWidth="1"/>
    <col min="6924" max="6924" width="1.85546875" style="117" bestFit="1" customWidth="1"/>
    <col min="6925" max="6925" width="9.85546875" style="117" customWidth="1"/>
    <col min="6926" max="6926" width="2" style="117" bestFit="1" customWidth="1"/>
    <col min="6927" max="6927" width="11.85546875" style="117" bestFit="1" customWidth="1"/>
    <col min="6928" max="6928" width="2" style="117" bestFit="1" customWidth="1"/>
    <col min="6929" max="6929" width="12.5703125" style="117" customWidth="1"/>
    <col min="6930" max="6930" width="11.28515625" style="117" customWidth="1"/>
    <col min="6931" max="6942" width="7.7109375" style="117" customWidth="1"/>
    <col min="6943" max="7168" width="9.140625" style="117"/>
    <col min="7169" max="7169" width="9.7109375" style="117" customWidth="1"/>
    <col min="7170" max="7170" width="42.5703125" style="117" bestFit="1" customWidth="1"/>
    <col min="7171" max="7171" width="9.140625" style="117" customWidth="1"/>
    <col min="7172" max="7172" width="2" style="117" bestFit="1" customWidth="1"/>
    <col min="7173" max="7173" width="10.7109375" style="117" bestFit="1" customWidth="1"/>
    <col min="7174" max="7174" width="1.42578125" style="117" customWidth="1"/>
    <col min="7175" max="7175" width="9" style="117" customWidth="1"/>
    <col min="7176" max="7176" width="2" style="117" bestFit="1" customWidth="1"/>
    <col min="7177" max="7177" width="10.7109375" style="117" bestFit="1" customWidth="1"/>
    <col min="7178" max="7178" width="1.5703125" style="117" customWidth="1"/>
    <col min="7179" max="7179" width="7.42578125" style="117" bestFit="1" customWidth="1"/>
    <col min="7180" max="7180" width="1.85546875" style="117" bestFit="1" customWidth="1"/>
    <col min="7181" max="7181" width="9.85546875" style="117" customWidth="1"/>
    <col min="7182" max="7182" width="2" style="117" bestFit="1" customWidth="1"/>
    <col min="7183" max="7183" width="11.85546875" style="117" bestFit="1" customWidth="1"/>
    <col min="7184" max="7184" width="2" style="117" bestFit="1" customWidth="1"/>
    <col min="7185" max="7185" width="12.5703125" style="117" customWidth="1"/>
    <col min="7186" max="7186" width="11.28515625" style="117" customWidth="1"/>
    <col min="7187" max="7198" width="7.7109375" style="117" customWidth="1"/>
    <col min="7199" max="7424" width="9.140625" style="117"/>
    <col min="7425" max="7425" width="9.7109375" style="117" customWidth="1"/>
    <col min="7426" max="7426" width="42.5703125" style="117" bestFit="1" customWidth="1"/>
    <col min="7427" max="7427" width="9.140625" style="117" customWidth="1"/>
    <col min="7428" max="7428" width="2" style="117" bestFit="1" customWidth="1"/>
    <col min="7429" max="7429" width="10.7109375" style="117" bestFit="1" customWidth="1"/>
    <col min="7430" max="7430" width="1.42578125" style="117" customWidth="1"/>
    <col min="7431" max="7431" width="9" style="117" customWidth="1"/>
    <col min="7432" max="7432" width="2" style="117" bestFit="1" customWidth="1"/>
    <col min="7433" max="7433" width="10.7109375" style="117" bestFit="1" customWidth="1"/>
    <col min="7434" max="7434" width="1.5703125" style="117" customWidth="1"/>
    <col min="7435" max="7435" width="7.42578125" style="117" bestFit="1" customWidth="1"/>
    <col min="7436" max="7436" width="1.85546875" style="117" bestFit="1" customWidth="1"/>
    <col min="7437" max="7437" width="9.85546875" style="117" customWidth="1"/>
    <col min="7438" max="7438" width="2" style="117" bestFit="1" customWidth="1"/>
    <col min="7439" max="7439" width="11.85546875" style="117" bestFit="1" customWidth="1"/>
    <col min="7440" max="7440" width="2" style="117" bestFit="1" customWidth="1"/>
    <col min="7441" max="7441" width="12.5703125" style="117" customWidth="1"/>
    <col min="7442" max="7442" width="11.28515625" style="117" customWidth="1"/>
    <col min="7443" max="7454" width="7.7109375" style="117" customWidth="1"/>
    <col min="7455" max="7680" width="9.140625" style="117"/>
    <col min="7681" max="7681" width="9.7109375" style="117" customWidth="1"/>
    <col min="7682" max="7682" width="42.5703125" style="117" bestFit="1" customWidth="1"/>
    <col min="7683" max="7683" width="9.140625" style="117" customWidth="1"/>
    <col min="7684" max="7684" width="2" style="117" bestFit="1" customWidth="1"/>
    <col min="7685" max="7685" width="10.7109375" style="117" bestFit="1" customWidth="1"/>
    <col min="7686" max="7686" width="1.42578125" style="117" customWidth="1"/>
    <col min="7687" max="7687" width="9" style="117" customWidth="1"/>
    <col min="7688" max="7688" width="2" style="117" bestFit="1" customWidth="1"/>
    <col min="7689" max="7689" width="10.7109375" style="117" bestFit="1" customWidth="1"/>
    <col min="7690" max="7690" width="1.5703125" style="117" customWidth="1"/>
    <col min="7691" max="7691" width="7.42578125" style="117" bestFit="1" customWidth="1"/>
    <col min="7692" max="7692" width="1.85546875" style="117" bestFit="1" customWidth="1"/>
    <col min="7693" max="7693" width="9.85546875" style="117" customWidth="1"/>
    <col min="7694" max="7694" width="2" style="117" bestFit="1" customWidth="1"/>
    <col min="7695" max="7695" width="11.85546875" style="117" bestFit="1" customWidth="1"/>
    <col min="7696" max="7696" width="2" style="117" bestFit="1" customWidth="1"/>
    <col min="7697" max="7697" width="12.5703125" style="117" customWidth="1"/>
    <col min="7698" max="7698" width="11.28515625" style="117" customWidth="1"/>
    <col min="7699" max="7710" width="7.7109375" style="117" customWidth="1"/>
    <col min="7711" max="7936" width="9.140625" style="117"/>
    <col min="7937" max="7937" width="9.7109375" style="117" customWidth="1"/>
    <col min="7938" max="7938" width="42.5703125" style="117" bestFit="1" customWidth="1"/>
    <col min="7939" max="7939" width="9.140625" style="117" customWidth="1"/>
    <col min="7940" max="7940" width="2" style="117" bestFit="1" customWidth="1"/>
    <col min="7941" max="7941" width="10.7109375" style="117" bestFit="1" customWidth="1"/>
    <col min="7942" max="7942" width="1.42578125" style="117" customWidth="1"/>
    <col min="7943" max="7943" width="9" style="117" customWidth="1"/>
    <col min="7944" max="7944" width="2" style="117" bestFit="1" customWidth="1"/>
    <col min="7945" max="7945" width="10.7109375" style="117" bestFit="1" customWidth="1"/>
    <col min="7946" max="7946" width="1.5703125" style="117" customWidth="1"/>
    <col min="7947" max="7947" width="7.42578125" style="117" bestFit="1" customWidth="1"/>
    <col min="7948" max="7948" width="1.85546875" style="117" bestFit="1" customWidth="1"/>
    <col min="7949" max="7949" width="9.85546875" style="117" customWidth="1"/>
    <col min="7950" max="7950" width="2" style="117" bestFit="1" customWidth="1"/>
    <col min="7951" max="7951" width="11.85546875" style="117" bestFit="1" customWidth="1"/>
    <col min="7952" max="7952" width="2" style="117" bestFit="1" customWidth="1"/>
    <col min="7953" max="7953" width="12.5703125" style="117" customWidth="1"/>
    <col min="7954" max="7954" width="11.28515625" style="117" customWidth="1"/>
    <col min="7955" max="7966" width="7.7109375" style="117" customWidth="1"/>
    <col min="7967" max="8192" width="9.140625" style="117"/>
    <col min="8193" max="8193" width="9.7109375" style="117" customWidth="1"/>
    <col min="8194" max="8194" width="42.5703125" style="117" bestFit="1" customWidth="1"/>
    <col min="8195" max="8195" width="9.140625" style="117" customWidth="1"/>
    <col min="8196" max="8196" width="2" style="117" bestFit="1" customWidth="1"/>
    <col min="8197" max="8197" width="10.7109375" style="117" bestFit="1" customWidth="1"/>
    <col min="8198" max="8198" width="1.42578125" style="117" customWidth="1"/>
    <col min="8199" max="8199" width="9" style="117" customWidth="1"/>
    <col min="8200" max="8200" width="2" style="117" bestFit="1" customWidth="1"/>
    <col min="8201" max="8201" width="10.7109375" style="117" bestFit="1" customWidth="1"/>
    <col min="8202" max="8202" width="1.5703125" style="117" customWidth="1"/>
    <col min="8203" max="8203" width="7.42578125" style="117" bestFit="1" customWidth="1"/>
    <col min="8204" max="8204" width="1.85546875" style="117" bestFit="1" customWidth="1"/>
    <col min="8205" max="8205" width="9.85546875" style="117" customWidth="1"/>
    <col min="8206" max="8206" width="2" style="117" bestFit="1" customWidth="1"/>
    <col min="8207" max="8207" width="11.85546875" style="117" bestFit="1" customWidth="1"/>
    <col min="8208" max="8208" width="2" style="117" bestFit="1" customWidth="1"/>
    <col min="8209" max="8209" width="12.5703125" style="117" customWidth="1"/>
    <col min="8210" max="8210" width="11.28515625" style="117" customWidth="1"/>
    <col min="8211" max="8222" width="7.7109375" style="117" customWidth="1"/>
    <col min="8223" max="8448" width="9.140625" style="117"/>
    <col min="8449" max="8449" width="9.7109375" style="117" customWidth="1"/>
    <col min="8450" max="8450" width="42.5703125" style="117" bestFit="1" customWidth="1"/>
    <col min="8451" max="8451" width="9.140625" style="117" customWidth="1"/>
    <col min="8452" max="8452" width="2" style="117" bestFit="1" customWidth="1"/>
    <col min="8453" max="8453" width="10.7109375" style="117" bestFit="1" customWidth="1"/>
    <col min="8454" max="8454" width="1.42578125" style="117" customWidth="1"/>
    <col min="8455" max="8455" width="9" style="117" customWidth="1"/>
    <col min="8456" max="8456" width="2" style="117" bestFit="1" customWidth="1"/>
    <col min="8457" max="8457" width="10.7109375" style="117" bestFit="1" customWidth="1"/>
    <col min="8458" max="8458" width="1.5703125" style="117" customWidth="1"/>
    <col min="8459" max="8459" width="7.42578125" style="117" bestFit="1" customWidth="1"/>
    <col min="8460" max="8460" width="1.85546875" style="117" bestFit="1" customWidth="1"/>
    <col min="8461" max="8461" width="9.85546875" style="117" customWidth="1"/>
    <col min="8462" max="8462" width="2" style="117" bestFit="1" customWidth="1"/>
    <col min="8463" max="8463" width="11.85546875" style="117" bestFit="1" customWidth="1"/>
    <col min="8464" max="8464" width="2" style="117" bestFit="1" customWidth="1"/>
    <col min="8465" max="8465" width="12.5703125" style="117" customWidth="1"/>
    <col min="8466" max="8466" width="11.28515625" style="117" customWidth="1"/>
    <col min="8467" max="8478" width="7.7109375" style="117" customWidth="1"/>
    <col min="8479" max="8704" width="9.140625" style="117"/>
    <col min="8705" max="8705" width="9.7109375" style="117" customWidth="1"/>
    <col min="8706" max="8706" width="42.5703125" style="117" bestFit="1" customWidth="1"/>
    <col min="8707" max="8707" width="9.140625" style="117" customWidth="1"/>
    <col min="8708" max="8708" width="2" style="117" bestFit="1" customWidth="1"/>
    <col min="8709" max="8709" width="10.7109375" style="117" bestFit="1" customWidth="1"/>
    <col min="8710" max="8710" width="1.42578125" style="117" customWidth="1"/>
    <col min="8711" max="8711" width="9" style="117" customWidth="1"/>
    <col min="8712" max="8712" width="2" style="117" bestFit="1" customWidth="1"/>
    <col min="8713" max="8713" width="10.7109375" style="117" bestFit="1" customWidth="1"/>
    <col min="8714" max="8714" width="1.5703125" style="117" customWidth="1"/>
    <col min="8715" max="8715" width="7.42578125" style="117" bestFit="1" customWidth="1"/>
    <col min="8716" max="8716" width="1.85546875" style="117" bestFit="1" customWidth="1"/>
    <col min="8717" max="8717" width="9.85546875" style="117" customWidth="1"/>
    <col min="8718" max="8718" width="2" style="117" bestFit="1" customWidth="1"/>
    <col min="8719" max="8719" width="11.85546875" style="117" bestFit="1" customWidth="1"/>
    <col min="8720" max="8720" width="2" style="117" bestFit="1" customWidth="1"/>
    <col min="8721" max="8721" width="12.5703125" style="117" customWidth="1"/>
    <col min="8722" max="8722" width="11.28515625" style="117" customWidth="1"/>
    <col min="8723" max="8734" width="7.7109375" style="117" customWidth="1"/>
    <col min="8735" max="8960" width="9.140625" style="117"/>
    <col min="8961" max="8961" width="9.7109375" style="117" customWidth="1"/>
    <col min="8962" max="8962" width="42.5703125" style="117" bestFit="1" customWidth="1"/>
    <col min="8963" max="8963" width="9.140625" style="117" customWidth="1"/>
    <col min="8964" max="8964" width="2" style="117" bestFit="1" customWidth="1"/>
    <col min="8965" max="8965" width="10.7109375" style="117" bestFit="1" customWidth="1"/>
    <col min="8966" max="8966" width="1.42578125" style="117" customWidth="1"/>
    <col min="8967" max="8967" width="9" style="117" customWidth="1"/>
    <col min="8968" max="8968" width="2" style="117" bestFit="1" customWidth="1"/>
    <col min="8969" max="8969" width="10.7109375" style="117" bestFit="1" customWidth="1"/>
    <col min="8970" max="8970" width="1.5703125" style="117" customWidth="1"/>
    <col min="8971" max="8971" width="7.42578125" style="117" bestFit="1" customWidth="1"/>
    <col min="8972" max="8972" width="1.85546875" style="117" bestFit="1" customWidth="1"/>
    <col min="8973" max="8973" width="9.85546875" style="117" customWidth="1"/>
    <col min="8974" max="8974" width="2" style="117" bestFit="1" customWidth="1"/>
    <col min="8975" max="8975" width="11.85546875" style="117" bestFit="1" customWidth="1"/>
    <col min="8976" max="8976" width="2" style="117" bestFit="1" customWidth="1"/>
    <col min="8977" max="8977" width="12.5703125" style="117" customWidth="1"/>
    <col min="8978" max="8978" width="11.28515625" style="117" customWidth="1"/>
    <col min="8979" max="8990" width="7.7109375" style="117" customWidth="1"/>
    <col min="8991" max="9216" width="9.140625" style="117"/>
    <col min="9217" max="9217" width="9.7109375" style="117" customWidth="1"/>
    <col min="9218" max="9218" width="42.5703125" style="117" bestFit="1" customWidth="1"/>
    <col min="9219" max="9219" width="9.140625" style="117" customWidth="1"/>
    <col min="9220" max="9220" width="2" style="117" bestFit="1" customWidth="1"/>
    <col min="9221" max="9221" width="10.7109375" style="117" bestFit="1" customWidth="1"/>
    <col min="9222" max="9222" width="1.42578125" style="117" customWidth="1"/>
    <col min="9223" max="9223" width="9" style="117" customWidth="1"/>
    <col min="9224" max="9224" width="2" style="117" bestFit="1" customWidth="1"/>
    <col min="9225" max="9225" width="10.7109375" style="117" bestFit="1" customWidth="1"/>
    <col min="9226" max="9226" width="1.5703125" style="117" customWidth="1"/>
    <col min="9227" max="9227" width="7.42578125" style="117" bestFit="1" customWidth="1"/>
    <col min="9228" max="9228" width="1.85546875" style="117" bestFit="1" customWidth="1"/>
    <col min="9229" max="9229" width="9.85546875" style="117" customWidth="1"/>
    <col min="9230" max="9230" width="2" style="117" bestFit="1" customWidth="1"/>
    <col min="9231" max="9231" width="11.85546875" style="117" bestFit="1" customWidth="1"/>
    <col min="9232" max="9232" width="2" style="117" bestFit="1" customWidth="1"/>
    <col min="9233" max="9233" width="12.5703125" style="117" customWidth="1"/>
    <col min="9234" max="9234" width="11.28515625" style="117" customWidth="1"/>
    <col min="9235" max="9246" width="7.7109375" style="117" customWidth="1"/>
    <col min="9247" max="9472" width="9.140625" style="117"/>
    <col min="9473" max="9473" width="9.7109375" style="117" customWidth="1"/>
    <col min="9474" max="9474" width="42.5703125" style="117" bestFit="1" customWidth="1"/>
    <col min="9475" max="9475" width="9.140625" style="117" customWidth="1"/>
    <col min="9476" max="9476" width="2" style="117" bestFit="1" customWidth="1"/>
    <col min="9477" max="9477" width="10.7109375" style="117" bestFit="1" customWidth="1"/>
    <col min="9478" max="9478" width="1.42578125" style="117" customWidth="1"/>
    <col min="9479" max="9479" width="9" style="117" customWidth="1"/>
    <col min="9480" max="9480" width="2" style="117" bestFit="1" customWidth="1"/>
    <col min="9481" max="9481" width="10.7109375" style="117" bestFit="1" customWidth="1"/>
    <col min="9482" max="9482" width="1.5703125" style="117" customWidth="1"/>
    <col min="9483" max="9483" width="7.42578125" style="117" bestFit="1" customWidth="1"/>
    <col min="9484" max="9484" width="1.85546875" style="117" bestFit="1" customWidth="1"/>
    <col min="9485" max="9485" width="9.85546875" style="117" customWidth="1"/>
    <col min="9486" max="9486" width="2" style="117" bestFit="1" customWidth="1"/>
    <col min="9487" max="9487" width="11.85546875" style="117" bestFit="1" customWidth="1"/>
    <col min="9488" max="9488" width="2" style="117" bestFit="1" customWidth="1"/>
    <col min="9489" max="9489" width="12.5703125" style="117" customWidth="1"/>
    <col min="9490" max="9490" width="11.28515625" style="117" customWidth="1"/>
    <col min="9491" max="9502" width="7.7109375" style="117" customWidth="1"/>
    <col min="9503" max="9728" width="9.140625" style="117"/>
    <col min="9729" max="9729" width="9.7109375" style="117" customWidth="1"/>
    <col min="9730" max="9730" width="42.5703125" style="117" bestFit="1" customWidth="1"/>
    <col min="9731" max="9731" width="9.140625" style="117" customWidth="1"/>
    <col min="9732" max="9732" width="2" style="117" bestFit="1" customWidth="1"/>
    <col min="9733" max="9733" width="10.7109375" style="117" bestFit="1" customWidth="1"/>
    <col min="9734" max="9734" width="1.42578125" style="117" customWidth="1"/>
    <col min="9735" max="9735" width="9" style="117" customWidth="1"/>
    <col min="9736" max="9736" width="2" style="117" bestFit="1" customWidth="1"/>
    <col min="9737" max="9737" width="10.7109375" style="117" bestFit="1" customWidth="1"/>
    <col min="9738" max="9738" width="1.5703125" style="117" customWidth="1"/>
    <col min="9739" max="9739" width="7.42578125" style="117" bestFit="1" customWidth="1"/>
    <col min="9740" max="9740" width="1.85546875" style="117" bestFit="1" customWidth="1"/>
    <col min="9741" max="9741" width="9.85546875" style="117" customWidth="1"/>
    <col min="9742" max="9742" width="2" style="117" bestFit="1" customWidth="1"/>
    <col min="9743" max="9743" width="11.85546875" style="117" bestFit="1" customWidth="1"/>
    <col min="9744" max="9744" width="2" style="117" bestFit="1" customWidth="1"/>
    <col min="9745" max="9745" width="12.5703125" style="117" customWidth="1"/>
    <col min="9746" max="9746" width="11.28515625" style="117" customWidth="1"/>
    <col min="9747" max="9758" width="7.7109375" style="117" customWidth="1"/>
    <col min="9759" max="9984" width="9.140625" style="117"/>
    <col min="9985" max="9985" width="9.7109375" style="117" customWidth="1"/>
    <col min="9986" max="9986" width="42.5703125" style="117" bestFit="1" customWidth="1"/>
    <col min="9987" max="9987" width="9.140625" style="117" customWidth="1"/>
    <col min="9988" max="9988" width="2" style="117" bestFit="1" customWidth="1"/>
    <col min="9989" max="9989" width="10.7109375" style="117" bestFit="1" customWidth="1"/>
    <col min="9990" max="9990" width="1.42578125" style="117" customWidth="1"/>
    <col min="9991" max="9991" width="9" style="117" customWidth="1"/>
    <col min="9992" max="9992" width="2" style="117" bestFit="1" customWidth="1"/>
    <col min="9993" max="9993" width="10.7109375" style="117" bestFit="1" customWidth="1"/>
    <col min="9994" max="9994" width="1.5703125" style="117" customWidth="1"/>
    <col min="9995" max="9995" width="7.42578125" style="117" bestFit="1" customWidth="1"/>
    <col min="9996" max="9996" width="1.85546875" style="117" bestFit="1" customWidth="1"/>
    <col min="9997" max="9997" width="9.85546875" style="117" customWidth="1"/>
    <col min="9998" max="9998" width="2" style="117" bestFit="1" customWidth="1"/>
    <col min="9999" max="9999" width="11.85546875" style="117" bestFit="1" customWidth="1"/>
    <col min="10000" max="10000" width="2" style="117" bestFit="1" customWidth="1"/>
    <col min="10001" max="10001" width="12.5703125" style="117" customWidth="1"/>
    <col min="10002" max="10002" width="11.28515625" style="117" customWidth="1"/>
    <col min="10003" max="10014" width="7.7109375" style="117" customWidth="1"/>
    <col min="10015" max="10240" width="9.140625" style="117"/>
    <col min="10241" max="10241" width="9.7109375" style="117" customWidth="1"/>
    <col min="10242" max="10242" width="42.5703125" style="117" bestFit="1" customWidth="1"/>
    <col min="10243" max="10243" width="9.140625" style="117" customWidth="1"/>
    <col min="10244" max="10244" width="2" style="117" bestFit="1" customWidth="1"/>
    <col min="10245" max="10245" width="10.7109375" style="117" bestFit="1" customWidth="1"/>
    <col min="10246" max="10246" width="1.42578125" style="117" customWidth="1"/>
    <col min="10247" max="10247" width="9" style="117" customWidth="1"/>
    <col min="10248" max="10248" width="2" style="117" bestFit="1" customWidth="1"/>
    <col min="10249" max="10249" width="10.7109375" style="117" bestFit="1" customWidth="1"/>
    <col min="10250" max="10250" width="1.5703125" style="117" customWidth="1"/>
    <col min="10251" max="10251" width="7.42578125" style="117" bestFit="1" customWidth="1"/>
    <col min="10252" max="10252" width="1.85546875" style="117" bestFit="1" customWidth="1"/>
    <col min="10253" max="10253" width="9.85546875" style="117" customWidth="1"/>
    <col min="10254" max="10254" width="2" style="117" bestFit="1" customWidth="1"/>
    <col min="10255" max="10255" width="11.85546875" style="117" bestFit="1" customWidth="1"/>
    <col min="10256" max="10256" width="2" style="117" bestFit="1" customWidth="1"/>
    <col min="10257" max="10257" width="12.5703125" style="117" customWidth="1"/>
    <col min="10258" max="10258" width="11.28515625" style="117" customWidth="1"/>
    <col min="10259" max="10270" width="7.7109375" style="117" customWidth="1"/>
    <col min="10271" max="10496" width="9.140625" style="117"/>
    <col min="10497" max="10497" width="9.7109375" style="117" customWidth="1"/>
    <col min="10498" max="10498" width="42.5703125" style="117" bestFit="1" customWidth="1"/>
    <col min="10499" max="10499" width="9.140625" style="117" customWidth="1"/>
    <col min="10500" max="10500" width="2" style="117" bestFit="1" customWidth="1"/>
    <col min="10501" max="10501" width="10.7109375" style="117" bestFit="1" customWidth="1"/>
    <col min="10502" max="10502" width="1.42578125" style="117" customWidth="1"/>
    <col min="10503" max="10503" width="9" style="117" customWidth="1"/>
    <col min="10504" max="10504" width="2" style="117" bestFit="1" customWidth="1"/>
    <col min="10505" max="10505" width="10.7109375" style="117" bestFit="1" customWidth="1"/>
    <col min="10506" max="10506" width="1.5703125" style="117" customWidth="1"/>
    <col min="10507" max="10507" width="7.42578125" style="117" bestFit="1" customWidth="1"/>
    <col min="10508" max="10508" width="1.85546875" style="117" bestFit="1" customWidth="1"/>
    <col min="10509" max="10509" width="9.85546875" style="117" customWidth="1"/>
    <col min="10510" max="10510" width="2" style="117" bestFit="1" customWidth="1"/>
    <col min="10511" max="10511" width="11.85546875" style="117" bestFit="1" customWidth="1"/>
    <col min="10512" max="10512" width="2" style="117" bestFit="1" customWidth="1"/>
    <col min="10513" max="10513" width="12.5703125" style="117" customWidth="1"/>
    <col min="10514" max="10514" width="11.28515625" style="117" customWidth="1"/>
    <col min="10515" max="10526" width="7.7109375" style="117" customWidth="1"/>
    <col min="10527" max="10752" width="9.140625" style="117"/>
    <col min="10753" max="10753" width="9.7109375" style="117" customWidth="1"/>
    <col min="10754" max="10754" width="42.5703125" style="117" bestFit="1" customWidth="1"/>
    <col min="10755" max="10755" width="9.140625" style="117" customWidth="1"/>
    <col min="10756" max="10756" width="2" style="117" bestFit="1" customWidth="1"/>
    <col min="10757" max="10757" width="10.7109375" style="117" bestFit="1" customWidth="1"/>
    <col min="10758" max="10758" width="1.42578125" style="117" customWidth="1"/>
    <col min="10759" max="10759" width="9" style="117" customWidth="1"/>
    <col min="10760" max="10760" width="2" style="117" bestFit="1" customWidth="1"/>
    <col min="10761" max="10761" width="10.7109375" style="117" bestFit="1" customWidth="1"/>
    <col min="10762" max="10762" width="1.5703125" style="117" customWidth="1"/>
    <col min="10763" max="10763" width="7.42578125" style="117" bestFit="1" customWidth="1"/>
    <col min="10764" max="10764" width="1.85546875" style="117" bestFit="1" customWidth="1"/>
    <col min="10765" max="10765" width="9.85546875" style="117" customWidth="1"/>
    <col min="10766" max="10766" width="2" style="117" bestFit="1" customWidth="1"/>
    <col min="10767" max="10767" width="11.85546875" style="117" bestFit="1" customWidth="1"/>
    <col min="10768" max="10768" width="2" style="117" bestFit="1" customWidth="1"/>
    <col min="10769" max="10769" width="12.5703125" style="117" customWidth="1"/>
    <col min="10770" max="10770" width="11.28515625" style="117" customWidth="1"/>
    <col min="10771" max="10782" width="7.7109375" style="117" customWidth="1"/>
    <col min="10783" max="11008" width="9.140625" style="117"/>
    <col min="11009" max="11009" width="9.7109375" style="117" customWidth="1"/>
    <col min="11010" max="11010" width="42.5703125" style="117" bestFit="1" customWidth="1"/>
    <col min="11011" max="11011" width="9.140625" style="117" customWidth="1"/>
    <col min="11012" max="11012" width="2" style="117" bestFit="1" customWidth="1"/>
    <col min="11013" max="11013" width="10.7109375" style="117" bestFit="1" customWidth="1"/>
    <col min="11014" max="11014" width="1.42578125" style="117" customWidth="1"/>
    <col min="11015" max="11015" width="9" style="117" customWidth="1"/>
    <col min="11016" max="11016" width="2" style="117" bestFit="1" customWidth="1"/>
    <col min="11017" max="11017" width="10.7109375" style="117" bestFit="1" customWidth="1"/>
    <col min="11018" max="11018" width="1.5703125" style="117" customWidth="1"/>
    <col min="11019" max="11019" width="7.42578125" style="117" bestFit="1" customWidth="1"/>
    <col min="11020" max="11020" width="1.85546875" style="117" bestFit="1" customWidth="1"/>
    <col min="11021" max="11021" width="9.85546875" style="117" customWidth="1"/>
    <col min="11022" max="11022" width="2" style="117" bestFit="1" customWidth="1"/>
    <col min="11023" max="11023" width="11.85546875" style="117" bestFit="1" customWidth="1"/>
    <col min="11024" max="11024" width="2" style="117" bestFit="1" customWidth="1"/>
    <col min="11025" max="11025" width="12.5703125" style="117" customWidth="1"/>
    <col min="11026" max="11026" width="11.28515625" style="117" customWidth="1"/>
    <col min="11027" max="11038" width="7.7109375" style="117" customWidth="1"/>
    <col min="11039" max="11264" width="9.140625" style="117"/>
    <col min="11265" max="11265" width="9.7109375" style="117" customWidth="1"/>
    <col min="11266" max="11266" width="42.5703125" style="117" bestFit="1" customWidth="1"/>
    <col min="11267" max="11267" width="9.140625" style="117" customWidth="1"/>
    <col min="11268" max="11268" width="2" style="117" bestFit="1" customWidth="1"/>
    <col min="11269" max="11269" width="10.7109375" style="117" bestFit="1" customWidth="1"/>
    <col min="11270" max="11270" width="1.42578125" style="117" customWidth="1"/>
    <col min="11271" max="11271" width="9" style="117" customWidth="1"/>
    <col min="11272" max="11272" width="2" style="117" bestFit="1" customWidth="1"/>
    <col min="11273" max="11273" width="10.7109375" style="117" bestFit="1" customWidth="1"/>
    <col min="11274" max="11274" width="1.5703125" style="117" customWidth="1"/>
    <col min="11275" max="11275" width="7.42578125" style="117" bestFit="1" customWidth="1"/>
    <col min="11276" max="11276" width="1.85546875" style="117" bestFit="1" customWidth="1"/>
    <col min="11277" max="11277" width="9.85546875" style="117" customWidth="1"/>
    <col min="11278" max="11278" width="2" style="117" bestFit="1" customWidth="1"/>
    <col min="11279" max="11279" width="11.85546875" style="117" bestFit="1" customWidth="1"/>
    <col min="11280" max="11280" width="2" style="117" bestFit="1" customWidth="1"/>
    <col min="11281" max="11281" width="12.5703125" style="117" customWidth="1"/>
    <col min="11282" max="11282" width="11.28515625" style="117" customWidth="1"/>
    <col min="11283" max="11294" width="7.7109375" style="117" customWidth="1"/>
    <col min="11295" max="11520" width="9.140625" style="117"/>
    <col min="11521" max="11521" width="9.7109375" style="117" customWidth="1"/>
    <col min="11522" max="11522" width="42.5703125" style="117" bestFit="1" customWidth="1"/>
    <col min="11523" max="11523" width="9.140625" style="117" customWidth="1"/>
    <col min="11524" max="11524" width="2" style="117" bestFit="1" customWidth="1"/>
    <col min="11525" max="11525" width="10.7109375" style="117" bestFit="1" customWidth="1"/>
    <col min="11526" max="11526" width="1.42578125" style="117" customWidth="1"/>
    <col min="11527" max="11527" width="9" style="117" customWidth="1"/>
    <col min="11528" max="11528" width="2" style="117" bestFit="1" customWidth="1"/>
    <col min="11529" max="11529" width="10.7109375" style="117" bestFit="1" customWidth="1"/>
    <col min="11530" max="11530" width="1.5703125" style="117" customWidth="1"/>
    <col min="11531" max="11531" width="7.42578125" style="117" bestFit="1" customWidth="1"/>
    <col min="11532" max="11532" width="1.85546875" style="117" bestFit="1" customWidth="1"/>
    <col min="11533" max="11533" width="9.85546875" style="117" customWidth="1"/>
    <col min="11534" max="11534" width="2" style="117" bestFit="1" customWidth="1"/>
    <col min="11535" max="11535" width="11.85546875" style="117" bestFit="1" customWidth="1"/>
    <col min="11536" max="11536" width="2" style="117" bestFit="1" customWidth="1"/>
    <col min="11537" max="11537" width="12.5703125" style="117" customWidth="1"/>
    <col min="11538" max="11538" width="11.28515625" style="117" customWidth="1"/>
    <col min="11539" max="11550" width="7.7109375" style="117" customWidth="1"/>
    <col min="11551" max="11776" width="9.140625" style="117"/>
    <col min="11777" max="11777" width="9.7109375" style="117" customWidth="1"/>
    <col min="11778" max="11778" width="42.5703125" style="117" bestFit="1" customWidth="1"/>
    <col min="11779" max="11779" width="9.140625" style="117" customWidth="1"/>
    <col min="11780" max="11780" width="2" style="117" bestFit="1" customWidth="1"/>
    <col min="11781" max="11781" width="10.7109375" style="117" bestFit="1" customWidth="1"/>
    <col min="11782" max="11782" width="1.42578125" style="117" customWidth="1"/>
    <col min="11783" max="11783" width="9" style="117" customWidth="1"/>
    <col min="11784" max="11784" width="2" style="117" bestFit="1" customWidth="1"/>
    <col min="11785" max="11785" width="10.7109375" style="117" bestFit="1" customWidth="1"/>
    <col min="11786" max="11786" width="1.5703125" style="117" customWidth="1"/>
    <col min="11787" max="11787" width="7.42578125" style="117" bestFit="1" customWidth="1"/>
    <col min="11788" max="11788" width="1.85546875" style="117" bestFit="1" customWidth="1"/>
    <col min="11789" max="11789" width="9.85546875" style="117" customWidth="1"/>
    <col min="11790" max="11790" width="2" style="117" bestFit="1" customWidth="1"/>
    <col min="11791" max="11791" width="11.85546875" style="117" bestFit="1" customWidth="1"/>
    <col min="11792" max="11792" width="2" style="117" bestFit="1" customWidth="1"/>
    <col min="11793" max="11793" width="12.5703125" style="117" customWidth="1"/>
    <col min="11794" max="11794" width="11.28515625" style="117" customWidth="1"/>
    <col min="11795" max="11806" width="7.7109375" style="117" customWidth="1"/>
    <col min="11807" max="12032" width="9.140625" style="117"/>
    <col min="12033" max="12033" width="9.7109375" style="117" customWidth="1"/>
    <col min="12034" max="12034" width="42.5703125" style="117" bestFit="1" customWidth="1"/>
    <col min="12035" max="12035" width="9.140625" style="117" customWidth="1"/>
    <col min="12036" max="12036" width="2" style="117" bestFit="1" customWidth="1"/>
    <col min="12037" max="12037" width="10.7109375" style="117" bestFit="1" customWidth="1"/>
    <col min="12038" max="12038" width="1.42578125" style="117" customWidth="1"/>
    <col min="12039" max="12039" width="9" style="117" customWidth="1"/>
    <col min="12040" max="12040" width="2" style="117" bestFit="1" customWidth="1"/>
    <col min="12041" max="12041" width="10.7109375" style="117" bestFit="1" customWidth="1"/>
    <col min="12042" max="12042" width="1.5703125" style="117" customWidth="1"/>
    <col min="12043" max="12043" width="7.42578125" style="117" bestFit="1" customWidth="1"/>
    <col min="12044" max="12044" width="1.85546875" style="117" bestFit="1" customWidth="1"/>
    <col min="12045" max="12045" width="9.85546875" style="117" customWidth="1"/>
    <col min="12046" max="12046" width="2" style="117" bestFit="1" customWidth="1"/>
    <col min="12047" max="12047" width="11.85546875" style="117" bestFit="1" customWidth="1"/>
    <col min="12048" max="12048" width="2" style="117" bestFit="1" customWidth="1"/>
    <col min="12049" max="12049" width="12.5703125" style="117" customWidth="1"/>
    <col min="12050" max="12050" width="11.28515625" style="117" customWidth="1"/>
    <col min="12051" max="12062" width="7.7109375" style="117" customWidth="1"/>
    <col min="12063" max="12288" width="9.140625" style="117"/>
    <col min="12289" max="12289" width="9.7109375" style="117" customWidth="1"/>
    <col min="12290" max="12290" width="42.5703125" style="117" bestFit="1" customWidth="1"/>
    <col min="12291" max="12291" width="9.140625" style="117" customWidth="1"/>
    <col min="12292" max="12292" width="2" style="117" bestFit="1" customWidth="1"/>
    <col min="12293" max="12293" width="10.7109375" style="117" bestFit="1" customWidth="1"/>
    <col min="12294" max="12294" width="1.42578125" style="117" customWidth="1"/>
    <col min="12295" max="12295" width="9" style="117" customWidth="1"/>
    <col min="12296" max="12296" width="2" style="117" bestFit="1" customWidth="1"/>
    <col min="12297" max="12297" width="10.7109375" style="117" bestFit="1" customWidth="1"/>
    <col min="12298" max="12298" width="1.5703125" style="117" customWidth="1"/>
    <col min="12299" max="12299" width="7.42578125" style="117" bestFit="1" customWidth="1"/>
    <col min="12300" max="12300" width="1.85546875" style="117" bestFit="1" customWidth="1"/>
    <col min="12301" max="12301" width="9.85546875" style="117" customWidth="1"/>
    <col min="12302" max="12302" width="2" style="117" bestFit="1" customWidth="1"/>
    <col min="12303" max="12303" width="11.85546875" style="117" bestFit="1" customWidth="1"/>
    <col min="12304" max="12304" width="2" style="117" bestFit="1" customWidth="1"/>
    <col min="12305" max="12305" width="12.5703125" style="117" customWidth="1"/>
    <col min="12306" max="12306" width="11.28515625" style="117" customWidth="1"/>
    <col min="12307" max="12318" width="7.7109375" style="117" customWidth="1"/>
    <col min="12319" max="12544" width="9.140625" style="117"/>
    <col min="12545" max="12545" width="9.7109375" style="117" customWidth="1"/>
    <col min="12546" max="12546" width="42.5703125" style="117" bestFit="1" customWidth="1"/>
    <col min="12547" max="12547" width="9.140625" style="117" customWidth="1"/>
    <col min="12548" max="12548" width="2" style="117" bestFit="1" customWidth="1"/>
    <col min="12549" max="12549" width="10.7109375" style="117" bestFit="1" customWidth="1"/>
    <col min="12550" max="12550" width="1.42578125" style="117" customWidth="1"/>
    <col min="12551" max="12551" width="9" style="117" customWidth="1"/>
    <col min="12552" max="12552" width="2" style="117" bestFit="1" customWidth="1"/>
    <col min="12553" max="12553" width="10.7109375" style="117" bestFit="1" customWidth="1"/>
    <col min="12554" max="12554" width="1.5703125" style="117" customWidth="1"/>
    <col min="12555" max="12555" width="7.42578125" style="117" bestFit="1" customWidth="1"/>
    <col min="12556" max="12556" width="1.85546875" style="117" bestFit="1" customWidth="1"/>
    <col min="12557" max="12557" width="9.85546875" style="117" customWidth="1"/>
    <col min="12558" max="12558" width="2" style="117" bestFit="1" customWidth="1"/>
    <col min="12559" max="12559" width="11.85546875" style="117" bestFit="1" customWidth="1"/>
    <col min="12560" max="12560" width="2" style="117" bestFit="1" customWidth="1"/>
    <col min="12561" max="12561" width="12.5703125" style="117" customWidth="1"/>
    <col min="12562" max="12562" width="11.28515625" style="117" customWidth="1"/>
    <col min="12563" max="12574" width="7.7109375" style="117" customWidth="1"/>
    <col min="12575" max="12800" width="9.140625" style="117"/>
    <col min="12801" max="12801" width="9.7109375" style="117" customWidth="1"/>
    <col min="12802" max="12802" width="42.5703125" style="117" bestFit="1" customWidth="1"/>
    <col min="12803" max="12803" width="9.140625" style="117" customWidth="1"/>
    <col min="12804" max="12804" width="2" style="117" bestFit="1" customWidth="1"/>
    <col min="12805" max="12805" width="10.7109375" style="117" bestFit="1" customWidth="1"/>
    <col min="12806" max="12806" width="1.42578125" style="117" customWidth="1"/>
    <col min="12807" max="12807" width="9" style="117" customWidth="1"/>
    <col min="12808" max="12808" width="2" style="117" bestFit="1" customWidth="1"/>
    <col min="12809" max="12809" width="10.7109375" style="117" bestFit="1" customWidth="1"/>
    <col min="12810" max="12810" width="1.5703125" style="117" customWidth="1"/>
    <col min="12811" max="12811" width="7.42578125" style="117" bestFit="1" customWidth="1"/>
    <col min="12812" max="12812" width="1.85546875" style="117" bestFit="1" customWidth="1"/>
    <col min="12813" max="12813" width="9.85546875" style="117" customWidth="1"/>
    <col min="12814" max="12814" width="2" style="117" bestFit="1" customWidth="1"/>
    <col min="12815" max="12815" width="11.85546875" style="117" bestFit="1" customWidth="1"/>
    <col min="12816" max="12816" width="2" style="117" bestFit="1" customWidth="1"/>
    <col min="12817" max="12817" width="12.5703125" style="117" customWidth="1"/>
    <col min="12818" max="12818" width="11.28515625" style="117" customWidth="1"/>
    <col min="12819" max="12830" width="7.7109375" style="117" customWidth="1"/>
    <col min="12831" max="13056" width="9.140625" style="117"/>
    <col min="13057" max="13057" width="9.7109375" style="117" customWidth="1"/>
    <col min="13058" max="13058" width="42.5703125" style="117" bestFit="1" customWidth="1"/>
    <col min="13059" max="13059" width="9.140625" style="117" customWidth="1"/>
    <col min="13060" max="13060" width="2" style="117" bestFit="1" customWidth="1"/>
    <col min="13061" max="13061" width="10.7109375" style="117" bestFit="1" customWidth="1"/>
    <col min="13062" max="13062" width="1.42578125" style="117" customWidth="1"/>
    <col min="13063" max="13063" width="9" style="117" customWidth="1"/>
    <col min="13064" max="13064" width="2" style="117" bestFit="1" customWidth="1"/>
    <col min="13065" max="13065" width="10.7109375" style="117" bestFit="1" customWidth="1"/>
    <col min="13066" max="13066" width="1.5703125" style="117" customWidth="1"/>
    <col min="13067" max="13067" width="7.42578125" style="117" bestFit="1" customWidth="1"/>
    <col min="13068" max="13068" width="1.85546875" style="117" bestFit="1" customWidth="1"/>
    <col min="13069" max="13069" width="9.85546875" style="117" customWidth="1"/>
    <col min="13070" max="13070" width="2" style="117" bestFit="1" customWidth="1"/>
    <col min="13071" max="13071" width="11.85546875" style="117" bestFit="1" customWidth="1"/>
    <col min="13072" max="13072" width="2" style="117" bestFit="1" customWidth="1"/>
    <col min="13073" max="13073" width="12.5703125" style="117" customWidth="1"/>
    <col min="13074" max="13074" width="11.28515625" style="117" customWidth="1"/>
    <col min="13075" max="13086" width="7.7109375" style="117" customWidth="1"/>
    <col min="13087" max="13312" width="9.140625" style="117"/>
    <col min="13313" max="13313" width="9.7109375" style="117" customWidth="1"/>
    <col min="13314" max="13314" width="42.5703125" style="117" bestFit="1" customWidth="1"/>
    <col min="13315" max="13315" width="9.140625" style="117" customWidth="1"/>
    <col min="13316" max="13316" width="2" style="117" bestFit="1" customWidth="1"/>
    <col min="13317" max="13317" width="10.7109375" style="117" bestFit="1" customWidth="1"/>
    <col min="13318" max="13318" width="1.42578125" style="117" customWidth="1"/>
    <col min="13319" max="13319" width="9" style="117" customWidth="1"/>
    <col min="13320" max="13320" width="2" style="117" bestFit="1" customWidth="1"/>
    <col min="13321" max="13321" width="10.7109375" style="117" bestFit="1" customWidth="1"/>
    <col min="13322" max="13322" width="1.5703125" style="117" customWidth="1"/>
    <col min="13323" max="13323" width="7.42578125" style="117" bestFit="1" customWidth="1"/>
    <col min="13324" max="13324" width="1.85546875" style="117" bestFit="1" customWidth="1"/>
    <col min="13325" max="13325" width="9.85546875" style="117" customWidth="1"/>
    <col min="13326" max="13326" width="2" style="117" bestFit="1" customWidth="1"/>
    <col min="13327" max="13327" width="11.85546875" style="117" bestFit="1" customWidth="1"/>
    <col min="13328" max="13328" width="2" style="117" bestFit="1" customWidth="1"/>
    <col min="13329" max="13329" width="12.5703125" style="117" customWidth="1"/>
    <col min="13330" max="13330" width="11.28515625" style="117" customWidth="1"/>
    <col min="13331" max="13342" width="7.7109375" style="117" customWidth="1"/>
    <col min="13343" max="13568" width="9.140625" style="117"/>
    <col min="13569" max="13569" width="9.7109375" style="117" customWidth="1"/>
    <col min="13570" max="13570" width="42.5703125" style="117" bestFit="1" customWidth="1"/>
    <col min="13571" max="13571" width="9.140625" style="117" customWidth="1"/>
    <col min="13572" max="13572" width="2" style="117" bestFit="1" customWidth="1"/>
    <col min="13573" max="13573" width="10.7109375" style="117" bestFit="1" customWidth="1"/>
    <col min="13574" max="13574" width="1.42578125" style="117" customWidth="1"/>
    <col min="13575" max="13575" width="9" style="117" customWidth="1"/>
    <col min="13576" max="13576" width="2" style="117" bestFit="1" customWidth="1"/>
    <col min="13577" max="13577" width="10.7109375" style="117" bestFit="1" customWidth="1"/>
    <col min="13578" max="13578" width="1.5703125" style="117" customWidth="1"/>
    <col min="13579" max="13579" width="7.42578125" style="117" bestFit="1" customWidth="1"/>
    <col min="13580" max="13580" width="1.85546875" style="117" bestFit="1" customWidth="1"/>
    <col min="13581" max="13581" width="9.85546875" style="117" customWidth="1"/>
    <col min="13582" max="13582" width="2" style="117" bestFit="1" customWidth="1"/>
    <col min="13583" max="13583" width="11.85546875" style="117" bestFit="1" customWidth="1"/>
    <col min="13584" max="13584" width="2" style="117" bestFit="1" customWidth="1"/>
    <col min="13585" max="13585" width="12.5703125" style="117" customWidth="1"/>
    <col min="13586" max="13586" width="11.28515625" style="117" customWidth="1"/>
    <col min="13587" max="13598" width="7.7109375" style="117" customWidth="1"/>
    <col min="13599" max="13824" width="9.140625" style="117"/>
    <col min="13825" max="13825" width="9.7109375" style="117" customWidth="1"/>
    <col min="13826" max="13826" width="42.5703125" style="117" bestFit="1" customWidth="1"/>
    <col min="13827" max="13827" width="9.140625" style="117" customWidth="1"/>
    <col min="13828" max="13828" width="2" style="117" bestFit="1" customWidth="1"/>
    <col min="13829" max="13829" width="10.7109375" style="117" bestFit="1" customWidth="1"/>
    <col min="13830" max="13830" width="1.42578125" style="117" customWidth="1"/>
    <col min="13831" max="13831" width="9" style="117" customWidth="1"/>
    <col min="13832" max="13832" width="2" style="117" bestFit="1" customWidth="1"/>
    <col min="13833" max="13833" width="10.7109375" style="117" bestFit="1" customWidth="1"/>
    <col min="13834" max="13834" width="1.5703125" style="117" customWidth="1"/>
    <col min="13835" max="13835" width="7.42578125" style="117" bestFit="1" customWidth="1"/>
    <col min="13836" max="13836" width="1.85546875" style="117" bestFit="1" customWidth="1"/>
    <col min="13837" max="13837" width="9.85546875" style="117" customWidth="1"/>
    <col min="13838" max="13838" width="2" style="117" bestFit="1" customWidth="1"/>
    <col min="13839" max="13839" width="11.85546875" style="117" bestFit="1" customWidth="1"/>
    <col min="13840" max="13840" width="2" style="117" bestFit="1" customWidth="1"/>
    <col min="13841" max="13841" width="12.5703125" style="117" customWidth="1"/>
    <col min="13842" max="13842" width="11.28515625" style="117" customWidth="1"/>
    <col min="13843" max="13854" width="7.7109375" style="117" customWidth="1"/>
    <col min="13855" max="14080" width="9.140625" style="117"/>
    <col min="14081" max="14081" width="9.7109375" style="117" customWidth="1"/>
    <col min="14082" max="14082" width="42.5703125" style="117" bestFit="1" customWidth="1"/>
    <col min="14083" max="14083" width="9.140625" style="117" customWidth="1"/>
    <col min="14084" max="14084" width="2" style="117" bestFit="1" customWidth="1"/>
    <col min="14085" max="14085" width="10.7109375" style="117" bestFit="1" customWidth="1"/>
    <col min="14086" max="14086" width="1.42578125" style="117" customWidth="1"/>
    <col min="14087" max="14087" width="9" style="117" customWidth="1"/>
    <col min="14088" max="14088" width="2" style="117" bestFit="1" customWidth="1"/>
    <col min="14089" max="14089" width="10.7109375" style="117" bestFit="1" customWidth="1"/>
    <col min="14090" max="14090" width="1.5703125" style="117" customWidth="1"/>
    <col min="14091" max="14091" width="7.42578125" style="117" bestFit="1" customWidth="1"/>
    <col min="14092" max="14092" width="1.85546875" style="117" bestFit="1" customWidth="1"/>
    <col min="14093" max="14093" width="9.85546875" style="117" customWidth="1"/>
    <col min="14094" max="14094" width="2" style="117" bestFit="1" customWidth="1"/>
    <col min="14095" max="14095" width="11.85546875" style="117" bestFit="1" customWidth="1"/>
    <col min="14096" max="14096" width="2" style="117" bestFit="1" customWidth="1"/>
    <col min="14097" max="14097" width="12.5703125" style="117" customWidth="1"/>
    <col min="14098" max="14098" width="11.28515625" style="117" customWidth="1"/>
    <col min="14099" max="14110" width="7.7109375" style="117" customWidth="1"/>
    <col min="14111" max="14336" width="9.140625" style="117"/>
    <col min="14337" max="14337" width="9.7109375" style="117" customWidth="1"/>
    <col min="14338" max="14338" width="42.5703125" style="117" bestFit="1" customWidth="1"/>
    <col min="14339" max="14339" width="9.140625" style="117" customWidth="1"/>
    <col min="14340" max="14340" width="2" style="117" bestFit="1" customWidth="1"/>
    <col min="14341" max="14341" width="10.7109375" style="117" bestFit="1" customWidth="1"/>
    <col min="14342" max="14342" width="1.42578125" style="117" customWidth="1"/>
    <col min="14343" max="14343" width="9" style="117" customWidth="1"/>
    <col min="14344" max="14344" width="2" style="117" bestFit="1" customWidth="1"/>
    <col min="14345" max="14345" width="10.7109375" style="117" bestFit="1" customWidth="1"/>
    <col min="14346" max="14346" width="1.5703125" style="117" customWidth="1"/>
    <col min="14347" max="14347" width="7.42578125" style="117" bestFit="1" customWidth="1"/>
    <col min="14348" max="14348" width="1.85546875" style="117" bestFit="1" customWidth="1"/>
    <col min="14349" max="14349" width="9.85546875" style="117" customWidth="1"/>
    <col min="14350" max="14350" width="2" style="117" bestFit="1" customWidth="1"/>
    <col min="14351" max="14351" width="11.85546875" style="117" bestFit="1" customWidth="1"/>
    <col min="14352" max="14352" width="2" style="117" bestFit="1" customWidth="1"/>
    <col min="14353" max="14353" width="12.5703125" style="117" customWidth="1"/>
    <col min="14354" max="14354" width="11.28515625" style="117" customWidth="1"/>
    <col min="14355" max="14366" width="7.7109375" style="117" customWidth="1"/>
    <col min="14367" max="14592" width="9.140625" style="117"/>
    <col min="14593" max="14593" width="9.7109375" style="117" customWidth="1"/>
    <col min="14594" max="14594" width="42.5703125" style="117" bestFit="1" customWidth="1"/>
    <col min="14595" max="14595" width="9.140625" style="117" customWidth="1"/>
    <col min="14596" max="14596" width="2" style="117" bestFit="1" customWidth="1"/>
    <col min="14597" max="14597" width="10.7109375" style="117" bestFit="1" customWidth="1"/>
    <col min="14598" max="14598" width="1.42578125" style="117" customWidth="1"/>
    <col min="14599" max="14599" width="9" style="117" customWidth="1"/>
    <col min="14600" max="14600" width="2" style="117" bestFit="1" customWidth="1"/>
    <col min="14601" max="14601" width="10.7109375" style="117" bestFit="1" customWidth="1"/>
    <col min="14602" max="14602" width="1.5703125" style="117" customWidth="1"/>
    <col min="14603" max="14603" width="7.42578125" style="117" bestFit="1" customWidth="1"/>
    <col min="14604" max="14604" width="1.85546875" style="117" bestFit="1" customWidth="1"/>
    <col min="14605" max="14605" width="9.85546875" style="117" customWidth="1"/>
    <col min="14606" max="14606" width="2" style="117" bestFit="1" customWidth="1"/>
    <col min="14607" max="14607" width="11.85546875" style="117" bestFit="1" customWidth="1"/>
    <col min="14608" max="14608" width="2" style="117" bestFit="1" customWidth="1"/>
    <col min="14609" max="14609" width="12.5703125" style="117" customWidth="1"/>
    <col min="14610" max="14610" width="11.28515625" style="117" customWidth="1"/>
    <col min="14611" max="14622" width="7.7109375" style="117" customWidth="1"/>
    <col min="14623" max="14848" width="9.140625" style="117"/>
    <col min="14849" max="14849" width="9.7109375" style="117" customWidth="1"/>
    <col min="14850" max="14850" width="42.5703125" style="117" bestFit="1" customWidth="1"/>
    <col min="14851" max="14851" width="9.140625" style="117" customWidth="1"/>
    <col min="14852" max="14852" width="2" style="117" bestFit="1" customWidth="1"/>
    <col min="14853" max="14853" width="10.7109375" style="117" bestFit="1" customWidth="1"/>
    <col min="14854" max="14854" width="1.42578125" style="117" customWidth="1"/>
    <col min="14855" max="14855" width="9" style="117" customWidth="1"/>
    <col min="14856" max="14856" width="2" style="117" bestFit="1" customWidth="1"/>
    <col min="14857" max="14857" width="10.7109375" style="117" bestFit="1" customWidth="1"/>
    <col min="14858" max="14858" width="1.5703125" style="117" customWidth="1"/>
    <col min="14859" max="14859" width="7.42578125" style="117" bestFit="1" customWidth="1"/>
    <col min="14860" max="14860" width="1.85546875" style="117" bestFit="1" customWidth="1"/>
    <col min="14861" max="14861" width="9.85546875" style="117" customWidth="1"/>
    <col min="14862" max="14862" width="2" style="117" bestFit="1" customWidth="1"/>
    <col min="14863" max="14863" width="11.85546875" style="117" bestFit="1" customWidth="1"/>
    <col min="14864" max="14864" width="2" style="117" bestFit="1" customWidth="1"/>
    <col min="14865" max="14865" width="12.5703125" style="117" customWidth="1"/>
    <col min="14866" max="14866" width="11.28515625" style="117" customWidth="1"/>
    <col min="14867" max="14878" width="7.7109375" style="117" customWidth="1"/>
    <col min="14879" max="15104" width="9.140625" style="117"/>
    <col min="15105" max="15105" width="9.7109375" style="117" customWidth="1"/>
    <col min="15106" max="15106" width="42.5703125" style="117" bestFit="1" customWidth="1"/>
    <col min="15107" max="15107" width="9.140625" style="117" customWidth="1"/>
    <col min="15108" max="15108" width="2" style="117" bestFit="1" customWidth="1"/>
    <col min="15109" max="15109" width="10.7109375" style="117" bestFit="1" customWidth="1"/>
    <col min="15110" max="15110" width="1.42578125" style="117" customWidth="1"/>
    <col min="15111" max="15111" width="9" style="117" customWidth="1"/>
    <col min="15112" max="15112" width="2" style="117" bestFit="1" customWidth="1"/>
    <col min="15113" max="15113" width="10.7109375" style="117" bestFit="1" customWidth="1"/>
    <col min="15114" max="15114" width="1.5703125" style="117" customWidth="1"/>
    <col min="15115" max="15115" width="7.42578125" style="117" bestFit="1" customWidth="1"/>
    <col min="15116" max="15116" width="1.85546875" style="117" bestFit="1" customWidth="1"/>
    <col min="15117" max="15117" width="9.85546875" style="117" customWidth="1"/>
    <col min="15118" max="15118" width="2" style="117" bestFit="1" customWidth="1"/>
    <col min="15119" max="15119" width="11.85546875" style="117" bestFit="1" customWidth="1"/>
    <col min="15120" max="15120" width="2" style="117" bestFit="1" customWidth="1"/>
    <col min="15121" max="15121" width="12.5703125" style="117" customWidth="1"/>
    <col min="15122" max="15122" width="11.28515625" style="117" customWidth="1"/>
    <col min="15123" max="15134" width="7.7109375" style="117" customWidth="1"/>
    <col min="15135" max="15360" width="9.140625" style="117"/>
    <col min="15361" max="15361" width="9.7109375" style="117" customWidth="1"/>
    <col min="15362" max="15362" width="42.5703125" style="117" bestFit="1" customWidth="1"/>
    <col min="15363" max="15363" width="9.140625" style="117" customWidth="1"/>
    <col min="15364" max="15364" width="2" style="117" bestFit="1" customWidth="1"/>
    <col min="15365" max="15365" width="10.7109375" style="117" bestFit="1" customWidth="1"/>
    <col min="15366" max="15366" width="1.42578125" style="117" customWidth="1"/>
    <col min="15367" max="15367" width="9" style="117" customWidth="1"/>
    <col min="15368" max="15368" width="2" style="117" bestFit="1" customWidth="1"/>
    <col min="15369" max="15369" width="10.7109375" style="117" bestFit="1" customWidth="1"/>
    <col min="15370" max="15370" width="1.5703125" style="117" customWidth="1"/>
    <col min="15371" max="15371" width="7.42578125" style="117" bestFit="1" customWidth="1"/>
    <col min="15372" max="15372" width="1.85546875" style="117" bestFit="1" customWidth="1"/>
    <col min="15373" max="15373" width="9.85546875" style="117" customWidth="1"/>
    <col min="15374" max="15374" width="2" style="117" bestFit="1" customWidth="1"/>
    <col min="15375" max="15375" width="11.85546875" style="117" bestFit="1" customWidth="1"/>
    <col min="15376" max="15376" width="2" style="117" bestFit="1" customWidth="1"/>
    <col min="15377" max="15377" width="12.5703125" style="117" customWidth="1"/>
    <col min="15378" max="15378" width="11.28515625" style="117" customWidth="1"/>
    <col min="15379" max="15390" width="7.7109375" style="117" customWidth="1"/>
    <col min="15391" max="15616" width="9.140625" style="117"/>
    <col min="15617" max="15617" width="9.7109375" style="117" customWidth="1"/>
    <col min="15618" max="15618" width="42.5703125" style="117" bestFit="1" customWidth="1"/>
    <col min="15619" max="15619" width="9.140625" style="117" customWidth="1"/>
    <col min="15620" max="15620" width="2" style="117" bestFit="1" customWidth="1"/>
    <col min="15621" max="15621" width="10.7109375" style="117" bestFit="1" customWidth="1"/>
    <col min="15622" max="15622" width="1.42578125" style="117" customWidth="1"/>
    <col min="15623" max="15623" width="9" style="117" customWidth="1"/>
    <col min="15624" max="15624" width="2" style="117" bestFit="1" customWidth="1"/>
    <col min="15625" max="15625" width="10.7109375" style="117" bestFit="1" customWidth="1"/>
    <col min="15626" max="15626" width="1.5703125" style="117" customWidth="1"/>
    <col min="15627" max="15627" width="7.42578125" style="117" bestFit="1" customWidth="1"/>
    <col min="15628" max="15628" width="1.85546875" style="117" bestFit="1" customWidth="1"/>
    <col min="15629" max="15629" width="9.85546875" style="117" customWidth="1"/>
    <col min="15630" max="15630" width="2" style="117" bestFit="1" customWidth="1"/>
    <col min="15631" max="15631" width="11.85546875" style="117" bestFit="1" customWidth="1"/>
    <col min="15632" max="15632" width="2" style="117" bestFit="1" customWidth="1"/>
    <col min="15633" max="15633" width="12.5703125" style="117" customWidth="1"/>
    <col min="15634" max="15634" width="11.28515625" style="117" customWidth="1"/>
    <col min="15635" max="15646" width="7.7109375" style="117" customWidth="1"/>
    <col min="15647" max="15872" width="9.140625" style="117"/>
    <col min="15873" max="15873" width="9.7109375" style="117" customWidth="1"/>
    <col min="15874" max="15874" width="42.5703125" style="117" bestFit="1" customWidth="1"/>
    <col min="15875" max="15875" width="9.140625" style="117" customWidth="1"/>
    <col min="15876" max="15876" width="2" style="117" bestFit="1" customWidth="1"/>
    <col min="15877" max="15877" width="10.7109375" style="117" bestFit="1" customWidth="1"/>
    <col min="15878" max="15878" width="1.42578125" style="117" customWidth="1"/>
    <col min="15879" max="15879" width="9" style="117" customWidth="1"/>
    <col min="15880" max="15880" width="2" style="117" bestFit="1" customWidth="1"/>
    <col min="15881" max="15881" width="10.7109375" style="117" bestFit="1" customWidth="1"/>
    <col min="15882" max="15882" width="1.5703125" style="117" customWidth="1"/>
    <col min="15883" max="15883" width="7.42578125" style="117" bestFit="1" customWidth="1"/>
    <col min="15884" max="15884" width="1.85546875" style="117" bestFit="1" customWidth="1"/>
    <col min="15885" max="15885" width="9.85546875" style="117" customWidth="1"/>
    <col min="15886" max="15886" width="2" style="117" bestFit="1" customWidth="1"/>
    <col min="15887" max="15887" width="11.85546875" style="117" bestFit="1" customWidth="1"/>
    <col min="15888" max="15888" width="2" style="117" bestFit="1" customWidth="1"/>
    <col min="15889" max="15889" width="12.5703125" style="117" customWidth="1"/>
    <col min="15890" max="15890" width="11.28515625" style="117" customWidth="1"/>
    <col min="15891" max="15902" width="7.7109375" style="117" customWidth="1"/>
    <col min="15903" max="16128" width="9.140625" style="117"/>
    <col min="16129" max="16129" width="9.7109375" style="117" customWidth="1"/>
    <col min="16130" max="16130" width="42.5703125" style="117" bestFit="1" customWidth="1"/>
    <col min="16131" max="16131" width="9.140625" style="117" customWidth="1"/>
    <col min="16132" max="16132" width="2" style="117" bestFit="1" customWidth="1"/>
    <col min="16133" max="16133" width="10.7109375" style="117" bestFit="1" customWidth="1"/>
    <col min="16134" max="16134" width="1.42578125" style="117" customWidth="1"/>
    <col min="16135" max="16135" width="9" style="117" customWidth="1"/>
    <col min="16136" max="16136" width="2" style="117" bestFit="1" customWidth="1"/>
    <col min="16137" max="16137" width="10.7109375" style="117" bestFit="1" customWidth="1"/>
    <col min="16138" max="16138" width="1.5703125" style="117" customWidth="1"/>
    <col min="16139" max="16139" width="7.42578125" style="117" bestFit="1" customWidth="1"/>
    <col min="16140" max="16140" width="1.85546875" style="117" bestFit="1" customWidth="1"/>
    <col min="16141" max="16141" width="9.85546875" style="117" customWidth="1"/>
    <col min="16142" max="16142" width="2" style="117" bestFit="1" customWidth="1"/>
    <col min="16143" max="16143" width="11.85546875" style="117" bestFit="1" customWidth="1"/>
    <col min="16144" max="16144" width="2" style="117" bestFit="1" customWidth="1"/>
    <col min="16145" max="16145" width="12.5703125" style="117" customWidth="1"/>
    <col min="16146" max="16146" width="11.28515625" style="117" customWidth="1"/>
    <col min="16147" max="16158" width="7.7109375" style="117" customWidth="1"/>
    <col min="16159" max="16384" width="9.140625" style="117"/>
  </cols>
  <sheetData>
    <row r="1" spans="1:32" s="8" customFormat="1" ht="21">
      <c r="A1" s="7" t="s">
        <v>12</v>
      </c>
      <c r="C1" s="9"/>
      <c r="D1" s="10"/>
      <c r="F1" s="10"/>
      <c r="H1" s="10"/>
      <c r="I1" s="11" t="s">
        <v>13</v>
      </c>
      <c r="J1" s="10"/>
      <c r="L1" s="10"/>
      <c r="N1" s="10"/>
      <c r="P1" s="10"/>
    </row>
    <row r="2" spans="1:32" s="10" customFormat="1" ht="18.75">
      <c r="A2" s="12" t="s">
        <v>14</v>
      </c>
    </row>
    <row r="3" spans="1:32" s="8" customFormat="1">
      <c r="A3" s="13"/>
      <c r="C3" s="9"/>
      <c r="D3" s="10"/>
      <c r="E3" s="13"/>
      <c r="F3" s="10"/>
      <c r="H3" s="10"/>
      <c r="J3" s="10"/>
      <c r="K3" s="13"/>
      <c r="L3" s="14"/>
      <c r="M3" s="13"/>
      <c r="N3" s="10"/>
      <c r="P3" s="10"/>
    </row>
    <row r="4" spans="1:32" s="17" customFormat="1" ht="15.75">
      <c r="A4" s="15"/>
      <c r="B4" s="16"/>
      <c r="C4" s="16"/>
      <c r="E4" s="18"/>
      <c r="G4" s="16"/>
      <c r="I4" s="19"/>
      <c r="J4" s="19"/>
      <c r="K4" s="20"/>
      <c r="L4" s="21"/>
      <c r="M4" s="18"/>
      <c r="N4" s="22"/>
      <c r="O4" s="22"/>
      <c r="P4" s="22"/>
      <c r="Q4" s="22"/>
      <c r="R4" s="22"/>
      <c r="S4" s="22"/>
      <c r="T4" s="22"/>
      <c r="U4" s="23"/>
      <c r="V4" s="24"/>
      <c r="W4" s="24"/>
      <c r="X4" s="24"/>
      <c r="Y4" s="24"/>
      <c r="Z4" s="24"/>
      <c r="AA4" s="24"/>
      <c r="AB4" s="24"/>
      <c r="AC4" s="24"/>
      <c r="AD4" s="24"/>
      <c r="AE4" s="25"/>
    </row>
    <row r="5" spans="1:32" s="8" customFormat="1" ht="26.25">
      <c r="A5" s="26" t="s">
        <v>15</v>
      </c>
      <c r="B5" s="292"/>
      <c r="C5" s="292"/>
      <c r="D5" s="27"/>
      <c r="E5" s="28" t="s">
        <v>8</v>
      </c>
      <c r="F5" s="296"/>
      <c r="G5" s="296"/>
      <c r="H5" s="296"/>
      <c r="I5" s="296"/>
      <c r="K5" s="297" t="s">
        <v>16</v>
      </c>
      <c r="L5" s="297"/>
      <c r="M5" s="297"/>
      <c r="N5" s="29" t="s">
        <v>17</v>
      </c>
      <c r="O5" s="30"/>
      <c r="P5" s="298" t="s">
        <v>18</v>
      </c>
      <c r="Q5" s="298"/>
      <c r="R5" s="31"/>
      <c r="S5" s="32"/>
      <c r="T5" s="32"/>
      <c r="U5" s="32"/>
      <c r="V5" s="32"/>
      <c r="W5" s="32"/>
      <c r="X5" s="32"/>
      <c r="Y5" s="32"/>
      <c r="Z5" s="32"/>
      <c r="AA5" s="33"/>
    </row>
    <row r="6" spans="1:32" s="33" customFormat="1" ht="10.5" customHeight="1">
      <c r="A6" s="34"/>
      <c r="B6" s="35"/>
      <c r="C6" s="35"/>
      <c r="D6" s="36"/>
      <c r="E6" s="37"/>
      <c r="F6" s="35"/>
      <c r="G6" s="35"/>
      <c r="H6" s="38"/>
      <c r="K6" s="39"/>
      <c r="L6" s="40"/>
      <c r="M6" s="40"/>
      <c r="N6" s="41"/>
      <c r="O6" s="42"/>
      <c r="P6" s="38"/>
      <c r="Q6" s="38"/>
      <c r="R6" s="43"/>
      <c r="S6" s="32"/>
      <c r="T6" s="32"/>
      <c r="U6" s="32"/>
      <c r="V6" s="32"/>
      <c r="W6" s="32"/>
      <c r="X6" s="32"/>
      <c r="Y6" s="32"/>
      <c r="Z6" s="32"/>
    </row>
    <row r="7" spans="1:32" s="8" customFormat="1" ht="30" customHeight="1">
      <c r="A7" s="26" t="s">
        <v>19</v>
      </c>
      <c r="B7" s="292"/>
      <c r="C7" s="292"/>
      <c r="D7" s="27"/>
      <c r="E7" s="28" t="s">
        <v>20</v>
      </c>
      <c r="F7" s="293"/>
      <c r="G7" s="293"/>
      <c r="H7" s="293"/>
      <c r="I7" s="293"/>
      <c r="K7" s="297" t="s">
        <v>21</v>
      </c>
      <c r="L7" s="297"/>
      <c r="M7" s="297"/>
      <c r="N7" s="44" t="s">
        <v>17</v>
      </c>
      <c r="O7" s="45">
        <f>Q44</f>
        <v>0</v>
      </c>
      <c r="P7" s="38"/>
      <c r="Q7" s="38"/>
      <c r="R7" s="46" t="s">
        <v>22</v>
      </c>
      <c r="S7" s="32"/>
      <c r="T7" s="32"/>
      <c r="U7" s="32"/>
      <c r="V7" s="32"/>
      <c r="W7" s="32"/>
      <c r="X7" s="32"/>
      <c r="Y7" s="32"/>
      <c r="Z7" s="32"/>
      <c r="AA7" s="33"/>
    </row>
    <row r="8" spans="1:32" s="33" customFormat="1" ht="14.25" customHeight="1">
      <c r="A8" s="34"/>
      <c r="B8" s="47"/>
      <c r="C8" s="47"/>
      <c r="D8" s="36"/>
      <c r="E8" s="37"/>
      <c r="F8" s="35"/>
      <c r="G8" s="35"/>
      <c r="H8" s="38"/>
      <c r="K8" s="39"/>
      <c r="L8" s="40"/>
      <c r="M8" s="40"/>
      <c r="N8" s="48"/>
      <c r="O8" s="49"/>
      <c r="P8" s="38"/>
      <c r="Q8" s="38"/>
      <c r="R8" s="38"/>
      <c r="S8" s="32"/>
      <c r="T8" s="32"/>
      <c r="U8" s="32"/>
      <c r="V8" s="32"/>
      <c r="W8" s="32"/>
      <c r="X8" s="32"/>
      <c r="Y8" s="32"/>
      <c r="Z8" s="32"/>
    </row>
    <row r="9" spans="1:32" s="8" customFormat="1" ht="27" thickBot="1">
      <c r="A9" s="26" t="s">
        <v>23</v>
      </c>
      <c r="B9" s="292"/>
      <c r="C9" s="292"/>
      <c r="D9" s="27"/>
      <c r="E9" s="28" t="s">
        <v>24</v>
      </c>
      <c r="F9" s="293"/>
      <c r="G9" s="293"/>
      <c r="H9" s="293"/>
      <c r="I9" s="293"/>
      <c r="K9" s="294" t="s">
        <v>25</v>
      </c>
      <c r="L9" s="294"/>
      <c r="M9" s="294"/>
      <c r="N9" s="44" t="s">
        <v>17</v>
      </c>
      <c r="O9" s="50">
        <f>O5-O7</f>
        <v>0</v>
      </c>
      <c r="P9" s="38"/>
      <c r="Q9" s="38"/>
      <c r="R9" s="38"/>
      <c r="S9" s="32"/>
      <c r="T9" s="32"/>
      <c r="U9" s="32"/>
      <c r="V9" s="32"/>
      <c r="W9" s="32"/>
      <c r="X9" s="32"/>
      <c r="Y9" s="32"/>
      <c r="Z9" s="32"/>
      <c r="AA9" s="33"/>
    </row>
    <row r="10" spans="1:32" s="8" customFormat="1" ht="16.5" thickTop="1">
      <c r="A10" s="26"/>
      <c r="B10" s="51"/>
      <c r="C10" s="51"/>
      <c r="D10" s="52"/>
      <c r="E10" s="28"/>
      <c r="F10" s="53"/>
      <c r="G10" s="53"/>
      <c r="H10" s="53"/>
      <c r="K10" s="54"/>
      <c r="L10" s="54"/>
      <c r="M10" s="54"/>
      <c r="N10" s="55"/>
      <c r="O10" s="56"/>
      <c r="P10" s="38"/>
      <c r="Q10" s="38"/>
      <c r="R10" s="38"/>
      <c r="S10" s="32"/>
      <c r="T10" s="32"/>
      <c r="U10" s="32"/>
      <c r="V10" s="32"/>
      <c r="W10" s="32"/>
      <c r="X10" s="32"/>
      <c r="Y10" s="32"/>
      <c r="Z10" s="32"/>
      <c r="AA10" s="33"/>
    </row>
    <row r="11" spans="1:32" s="63" customFormat="1" ht="19.5" customHeight="1">
      <c r="A11" s="57"/>
      <c r="B11" s="58" t="s">
        <v>26</v>
      </c>
      <c r="C11" s="59"/>
      <c r="D11" s="60" t="s">
        <v>17</v>
      </c>
      <c r="E11" s="61"/>
      <c r="F11" s="62"/>
      <c r="G11" s="62"/>
      <c r="H11" s="62"/>
      <c r="K11" s="64"/>
      <c r="L11" s="64"/>
      <c r="R11" s="65"/>
      <c r="S11" s="66"/>
      <c r="T11" s="66"/>
      <c r="U11" s="66"/>
      <c r="V11" s="66"/>
      <c r="W11" s="66"/>
      <c r="X11" s="66"/>
      <c r="Y11" s="66"/>
      <c r="Z11" s="66"/>
      <c r="AA11" s="67"/>
    </row>
    <row r="12" spans="1:32" s="63" customFormat="1" ht="20.25" customHeight="1">
      <c r="A12" s="68"/>
      <c r="B12" s="58" t="s">
        <v>27</v>
      </c>
      <c r="C12" s="69"/>
      <c r="D12" s="60" t="s">
        <v>17</v>
      </c>
      <c r="E12" s="70"/>
      <c r="F12" s="71"/>
      <c r="G12" s="71"/>
      <c r="H12" s="65"/>
      <c r="I12" s="71"/>
      <c r="J12" s="71"/>
      <c r="K12" s="71"/>
      <c r="L12" s="71"/>
      <c r="M12" s="72"/>
      <c r="N12" s="71"/>
      <c r="O12" s="71"/>
      <c r="P12" s="71"/>
      <c r="Q12" s="71"/>
      <c r="R12" s="71"/>
      <c r="S12" s="73"/>
      <c r="T12" s="71"/>
      <c r="U12" s="71"/>
      <c r="V12" s="71"/>
      <c r="W12" s="66"/>
      <c r="X12" s="66"/>
      <c r="Y12" s="66"/>
      <c r="Z12" s="66"/>
      <c r="AA12" s="66"/>
      <c r="AB12" s="66"/>
      <c r="AC12" s="66"/>
      <c r="AD12" s="66"/>
      <c r="AE12" s="66"/>
      <c r="AF12" s="67"/>
    </row>
    <row r="13" spans="1:32" s="8" customFormat="1" ht="21.75" thickBot="1">
      <c r="A13" s="13"/>
      <c r="B13" s="13"/>
      <c r="C13" s="74"/>
      <c r="D13" s="14"/>
      <c r="F13" s="10"/>
      <c r="H13" s="10"/>
      <c r="J13" s="10"/>
      <c r="L13" s="10"/>
      <c r="N13" s="10"/>
      <c r="P13" s="10"/>
      <c r="R13" s="295" t="s">
        <v>28</v>
      </c>
      <c r="S13" s="295"/>
      <c r="T13" s="295"/>
      <c r="U13" s="295"/>
      <c r="V13" s="295"/>
      <c r="W13" s="295"/>
      <c r="X13" s="295"/>
      <c r="Y13" s="295"/>
      <c r="Z13" s="295"/>
      <c r="AA13" s="295"/>
      <c r="AB13" s="295"/>
      <c r="AC13" s="295"/>
      <c r="AD13" s="295"/>
      <c r="AE13" s="295"/>
    </row>
    <row r="14" spans="1:32" s="87" customFormat="1" ht="39.75" thickTop="1" thickBot="1">
      <c r="A14" s="75" t="s">
        <v>29</v>
      </c>
      <c r="B14" s="76" t="s">
        <v>30</v>
      </c>
      <c r="C14" s="77" t="s">
        <v>31</v>
      </c>
      <c r="D14" s="78"/>
      <c r="E14" s="76" t="s">
        <v>32</v>
      </c>
      <c r="F14" s="79"/>
      <c r="G14" s="76" t="s">
        <v>33</v>
      </c>
      <c r="H14" s="76"/>
      <c r="I14" s="76" t="s">
        <v>34</v>
      </c>
      <c r="J14" s="80"/>
      <c r="K14" s="76" t="s">
        <v>35</v>
      </c>
      <c r="L14" s="76" t="s">
        <v>17</v>
      </c>
      <c r="M14" s="76" t="s">
        <v>36</v>
      </c>
      <c r="N14" s="76" t="s">
        <v>37</v>
      </c>
      <c r="O14" s="76" t="s">
        <v>38</v>
      </c>
      <c r="P14" s="76" t="s">
        <v>17</v>
      </c>
      <c r="Q14" s="81" t="s">
        <v>39</v>
      </c>
      <c r="R14" s="82" t="s">
        <v>40</v>
      </c>
      <c r="S14" s="83" t="s">
        <v>41</v>
      </c>
      <c r="T14" s="83" t="s">
        <v>42</v>
      </c>
      <c r="U14" s="83" t="s">
        <v>43</v>
      </c>
      <c r="V14" s="83" t="s">
        <v>44</v>
      </c>
      <c r="W14" s="83" t="s">
        <v>45</v>
      </c>
      <c r="X14" s="83" t="s">
        <v>46</v>
      </c>
      <c r="Y14" s="83" t="s">
        <v>47</v>
      </c>
      <c r="Z14" s="83" t="s">
        <v>48</v>
      </c>
      <c r="AA14" s="83" t="s">
        <v>49</v>
      </c>
      <c r="AB14" s="84" t="s">
        <v>50</v>
      </c>
      <c r="AC14" s="84" t="s">
        <v>51</v>
      </c>
      <c r="AD14" s="85" t="s">
        <v>52</v>
      </c>
      <c r="AE14" s="86" t="s">
        <v>53</v>
      </c>
    </row>
    <row r="15" spans="1:32" s="105" customFormat="1" ht="15.75">
      <c r="A15" s="88">
        <v>14688</v>
      </c>
      <c r="B15" s="89" t="s">
        <v>54</v>
      </c>
      <c r="C15" s="90">
        <f t="shared" ref="C15:C43" si="0">$E$11</f>
        <v>0</v>
      </c>
      <c r="D15" s="91" t="s">
        <v>37</v>
      </c>
      <c r="E15" s="92"/>
      <c r="F15" s="93"/>
      <c r="G15" s="90">
        <f t="shared" ref="G15:G43" si="1">$E$12</f>
        <v>0</v>
      </c>
      <c r="H15" s="91" t="s">
        <v>37</v>
      </c>
      <c r="I15" s="94"/>
      <c r="J15" s="95"/>
      <c r="K15" s="96">
        <v>175</v>
      </c>
      <c r="L15" s="91" t="s">
        <v>17</v>
      </c>
      <c r="M15" s="97">
        <f t="shared" ref="M15:M43" si="2">SUM((C15*E15)+(G15*I15))/K15</f>
        <v>0</v>
      </c>
      <c r="N15" s="91" t="s">
        <v>37</v>
      </c>
      <c r="O15" s="96">
        <v>15.32</v>
      </c>
      <c r="P15" s="91" t="s">
        <v>17</v>
      </c>
      <c r="Q15" s="98">
        <f t="shared" ref="Q15:Q43" si="3">O15*M15</f>
        <v>0</v>
      </c>
      <c r="R15" s="99">
        <f>M15</f>
        <v>0</v>
      </c>
      <c r="S15" s="100"/>
      <c r="T15" s="101">
        <v>0</v>
      </c>
      <c r="U15" s="101"/>
      <c r="V15" s="101"/>
      <c r="W15" s="101">
        <v>0</v>
      </c>
      <c r="X15" s="101"/>
      <c r="Y15" s="101"/>
      <c r="Z15" s="101"/>
      <c r="AA15" s="101"/>
      <c r="AB15" s="102"/>
      <c r="AC15" s="102"/>
      <c r="AD15" s="103"/>
      <c r="AE15" s="104">
        <f>SUM(S15:AD15)</f>
        <v>0</v>
      </c>
    </row>
    <row r="16" spans="1:32" s="105" customFormat="1" ht="15.75">
      <c r="A16" s="88">
        <v>14689</v>
      </c>
      <c r="B16" s="89" t="s">
        <v>55</v>
      </c>
      <c r="C16" s="90">
        <f t="shared" si="0"/>
        <v>0</v>
      </c>
      <c r="D16" s="91" t="s">
        <v>37</v>
      </c>
      <c r="E16" s="92"/>
      <c r="F16" s="93"/>
      <c r="G16" s="90">
        <f t="shared" si="1"/>
        <v>0</v>
      </c>
      <c r="H16" s="91" t="s">
        <v>37</v>
      </c>
      <c r="I16" s="94"/>
      <c r="J16" s="95"/>
      <c r="K16" s="96">
        <v>175</v>
      </c>
      <c r="L16" s="91" t="s">
        <v>17</v>
      </c>
      <c r="M16" s="97">
        <f t="shared" si="2"/>
        <v>0</v>
      </c>
      <c r="N16" s="91" t="s">
        <v>37</v>
      </c>
      <c r="O16" s="96">
        <v>14.35</v>
      </c>
      <c r="P16" s="91" t="s">
        <v>17</v>
      </c>
      <c r="Q16" s="98">
        <f t="shared" si="3"/>
        <v>0</v>
      </c>
      <c r="R16" s="106">
        <f t="shared" ref="R16:R44" si="4">M16</f>
        <v>0</v>
      </c>
      <c r="S16" s="107"/>
      <c r="T16" s="108"/>
      <c r="U16" s="108"/>
      <c r="V16" s="108"/>
      <c r="W16" s="108"/>
      <c r="X16" s="108"/>
      <c r="Y16" s="108"/>
      <c r="Z16" s="108"/>
      <c r="AA16" s="108"/>
      <c r="AB16" s="109"/>
      <c r="AC16" s="109"/>
      <c r="AD16" s="110"/>
      <c r="AE16" s="111">
        <f t="shared" ref="AE16:AE42" si="5">SUM(S16:AD16)</f>
        <v>0</v>
      </c>
    </row>
    <row r="17" spans="1:33" ht="15" customHeight="1">
      <c r="A17" s="112">
        <v>30101</v>
      </c>
      <c r="B17" s="113" t="s">
        <v>56</v>
      </c>
      <c r="C17" s="90">
        <f t="shared" si="0"/>
        <v>0</v>
      </c>
      <c r="D17" s="91" t="s">
        <v>37</v>
      </c>
      <c r="E17" s="114"/>
      <c r="F17" s="93"/>
      <c r="G17" s="90">
        <f t="shared" si="1"/>
        <v>0</v>
      </c>
      <c r="H17" s="91" t="s">
        <v>37</v>
      </c>
      <c r="I17" s="115"/>
      <c r="J17" s="95"/>
      <c r="K17" s="116">
        <v>144</v>
      </c>
      <c r="L17" s="91" t="s">
        <v>17</v>
      </c>
      <c r="M17" s="97">
        <f t="shared" si="2"/>
        <v>0</v>
      </c>
      <c r="N17" s="91" t="s">
        <v>37</v>
      </c>
      <c r="O17" s="97">
        <v>6.07</v>
      </c>
      <c r="P17" s="91" t="s">
        <v>17</v>
      </c>
      <c r="Q17" s="98">
        <f t="shared" si="3"/>
        <v>0</v>
      </c>
      <c r="R17" s="106">
        <f t="shared" si="4"/>
        <v>0</v>
      </c>
      <c r="S17" s="107"/>
      <c r="T17" s="108"/>
      <c r="U17" s="108"/>
      <c r="V17" s="108"/>
      <c r="W17" s="108"/>
      <c r="X17" s="108"/>
      <c r="Y17" s="108"/>
      <c r="Z17" s="108"/>
      <c r="AA17" s="108"/>
      <c r="AB17" s="109"/>
      <c r="AC17" s="109"/>
      <c r="AD17" s="110"/>
      <c r="AE17" s="111">
        <f t="shared" si="5"/>
        <v>0</v>
      </c>
      <c r="AF17" s="105"/>
      <c r="AG17" s="105"/>
    </row>
    <row r="18" spans="1:33" ht="15" customHeight="1">
      <c r="A18" s="112">
        <v>54232</v>
      </c>
      <c r="B18" s="113" t="s">
        <v>57</v>
      </c>
      <c r="C18" s="90">
        <f t="shared" si="0"/>
        <v>0</v>
      </c>
      <c r="D18" s="91" t="s">
        <v>37</v>
      </c>
      <c r="E18" s="114"/>
      <c r="F18" s="93"/>
      <c r="G18" s="90">
        <f t="shared" si="1"/>
        <v>0</v>
      </c>
      <c r="H18" s="91" t="s">
        <v>37</v>
      </c>
      <c r="I18" s="115"/>
      <c r="J18" s="95"/>
      <c r="K18" s="116">
        <v>436</v>
      </c>
      <c r="L18" s="91" t="s">
        <v>17</v>
      </c>
      <c r="M18" s="97">
        <f t="shared" si="2"/>
        <v>0</v>
      </c>
      <c r="N18" s="91" t="s">
        <v>37</v>
      </c>
      <c r="O18" s="97">
        <v>22.6</v>
      </c>
      <c r="P18" s="91" t="s">
        <v>17</v>
      </c>
      <c r="Q18" s="98">
        <f t="shared" si="3"/>
        <v>0</v>
      </c>
      <c r="R18" s="106">
        <f t="shared" si="4"/>
        <v>0</v>
      </c>
      <c r="S18" s="107"/>
      <c r="T18" s="108"/>
      <c r="U18" s="108"/>
      <c r="V18" s="108"/>
      <c r="W18" s="108"/>
      <c r="X18" s="108"/>
      <c r="Y18" s="108"/>
      <c r="Z18" s="108"/>
      <c r="AA18" s="108"/>
      <c r="AB18" s="109"/>
      <c r="AC18" s="109"/>
      <c r="AD18" s="110"/>
      <c r="AE18" s="111">
        <f t="shared" si="5"/>
        <v>0</v>
      </c>
      <c r="AF18" s="105"/>
      <c r="AG18" s="105"/>
    </row>
    <row r="19" spans="1:33" ht="15" customHeight="1">
      <c r="A19" s="112">
        <v>54246</v>
      </c>
      <c r="B19" s="113" t="s">
        <v>57</v>
      </c>
      <c r="C19" s="90">
        <f t="shared" si="0"/>
        <v>0</v>
      </c>
      <c r="D19" s="91" t="s">
        <v>37</v>
      </c>
      <c r="E19" s="114"/>
      <c r="F19" s="93"/>
      <c r="G19" s="90">
        <f t="shared" si="1"/>
        <v>0</v>
      </c>
      <c r="H19" s="91" t="s">
        <v>37</v>
      </c>
      <c r="I19" s="115"/>
      <c r="J19" s="95"/>
      <c r="K19" s="116">
        <v>436</v>
      </c>
      <c r="L19" s="91" t="s">
        <v>17</v>
      </c>
      <c r="M19" s="97">
        <f>SUM((C19*E19)+(G19*I19))/K19</f>
        <v>0</v>
      </c>
      <c r="N19" s="91" t="s">
        <v>37</v>
      </c>
      <c r="O19" s="97">
        <v>24.15</v>
      </c>
      <c r="P19" s="91" t="s">
        <v>17</v>
      </c>
      <c r="Q19" s="98">
        <f>O19*M19</f>
        <v>0</v>
      </c>
      <c r="R19" s="106">
        <f>M19</f>
        <v>0</v>
      </c>
      <c r="S19" s="107"/>
      <c r="T19" s="108"/>
      <c r="U19" s="108"/>
      <c r="V19" s="108"/>
      <c r="W19" s="108"/>
      <c r="X19" s="108"/>
      <c r="Y19" s="108"/>
      <c r="Z19" s="108"/>
      <c r="AA19" s="108"/>
      <c r="AB19" s="109"/>
      <c r="AC19" s="109"/>
      <c r="AD19" s="110"/>
      <c r="AE19" s="111">
        <f>SUM(S19:AD19)</f>
        <v>0</v>
      </c>
      <c r="AF19" s="105"/>
      <c r="AG19" s="105"/>
    </row>
    <row r="20" spans="1:33" ht="15" customHeight="1">
      <c r="A20" s="112">
        <v>61688</v>
      </c>
      <c r="B20" s="113" t="s">
        <v>58</v>
      </c>
      <c r="C20" s="90">
        <f t="shared" si="0"/>
        <v>0</v>
      </c>
      <c r="D20" s="91" t="s">
        <v>37</v>
      </c>
      <c r="E20" s="114"/>
      <c r="F20" s="93"/>
      <c r="G20" s="90">
        <f t="shared" si="1"/>
        <v>0</v>
      </c>
      <c r="H20" s="91" t="s">
        <v>37</v>
      </c>
      <c r="I20" s="115"/>
      <c r="J20" s="95"/>
      <c r="K20" s="116">
        <v>264</v>
      </c>
      <c r="L20" s="91" t="s">
        <v>17</v>
      </c>
      <c r="M20" s="97">
        <f t="shared" si="2"/>
        <v>0</v>
      </c>
      <c r="N20" s="91" t="s">
        <v>37</v>
      </c>
      <c r="O20" s="97">
        <v>13</v>
      </c>
      <c r="P20" s="91" t="s">
        <v>17</v>
      </c>
      <c r="Q20" s="98">
        <f t="shared" si="3"/>
        <v>0</v>
      </c>
      <c r="R20" s="106">
        <f t="shared" si="4"/>
        <v>0</v>
      </c>
      <c r="S20" s="107"/>
      <c r="T20" s="108"/>
      <c r="U20" s="108"/>
      <c r="V20" s="108"/>
      <c r="W20" s="108"/>
      <c r="X20" s="108"/>
      <c r="Y20" s="108"/>
      <c r="Z20" s="108"/>
      <c r="AA20" s="108"/>
      <c r="AB20" s="109"/>
      <c r="AC20" s="109"/>
      <c r="AD20" s="110"/>
      <c r="AE20" s="111">
        <f t="shared" si="5"/>
        <v>0</v>
      </c>
      <c r="AF20" s="105"/>
      <c r="AG20" s="105"/>
    </row>
    <row r="21" spans="1:33" s="118" customFormat="1" ht="15" customHeight="1">
      <c r="A21" s="112">
        <v>64102</v>
      </c>
      <c r="B21" s="113" t="s">
        <v>59</v>
      </c>
      <c r="C21" s="90">
        <f t="shared" si="0"/>
        <v>0</v>
      </c>
      <c r="D21" s="91" t="s">
        <v>37</v>
      </c>
      <c r="E21" s="114"/>
      <c r="F21" s="93"/>
      <c r="G21" s="90">
        <f t="shared" si="1"/>
        <v>0</v>
      </c>
      <c r="H21" s="91" t="s">
        <v>37</v>
      </c>
      <c r="I21" s="115"/>
      <c r="J21" s="95"/>
      <c r="K21" s="116">
        <v>320</v>
      </c>
      <c r="L21" s="91" t="s">
        <v>17</v>
      </c>
      <c r="M21" s="97">
        <f t="shared" si="2"/>
        <v>0</v>
      </c>
      <c r="N21" s="91" t="s">
        <v>37</v>
      </c>
      <c r="O21" s="97">
        <v>20</v>
      </c>
      <c r="P21" s="91" t="s">
        <v>17</v>
      </c>
      <c r="Q21" s="98">
        <f t="shared" si="3"/>
        <v>0</v>
      </c>
      <c r="R21" s="106">
        <f t="shared" si="4"/>
        <v>0</v>
      </c>
      <c r="S21" s="107"/>
      <c r="T21" s="108"/>
      <c r="U21" s="108"/>
      <c r="V21" s="108"/>
      <c r="W21" s="108"/>
      <c r="X21" s="108"/>
      <c r="Y21" s="108"/>
      <c r="Z21" s="108"/>
      <c r="AA21" s="108"/>
      <c r="AB21" s="109"/>
      <c r="AC21" s="109"/>
      <c r="AD21" s="110"/>
      <c r="AE21" s="111">
        <f t="shared" si="5"/>
        <v>0</v>
      </c>
      <c r="AF21" s="105"/>
      <c r="AG21" s="105"/>
    </row>
    <row r="22" spans="1:33" s="118" customFormat="1" ht="15" customHeight="1">
      <c r="A22" s="112">
        <v>65123</v>
      </c>
      <c r="B22" s="113" t="s">
        <v>60</v>
      </c>
      <c r="C22" s="90">
        <f t="shared" si="0"/>
        <v>0</v>
      </c>
      <c r="D22" s="91" t="s">
        <v>37</v>
      </c>
      <c r="E22" s="114"/>
      <c r="F22" s="93"/>
      <c r="G22" s="90">
        <f t="shared" si="1"/>
        <v>0</v>
      </c>
      <c r="H22" s="91" t="s">
        <v>37</v>
      </c>
      <c r="I22" s="115"/>
      <c r="J22" s="95"/>
      <c r="K22" s="116">
        <v>480</v>
      </c>
      <c r="L22" s="91" t="s">
        <v>17</v>
      </c>
      <c r="M22" s="97">
        <f t="shared" si="2"/>
        <v>0</v>
      </c>
      <c r="N22" s="91" t="s">
        <v>37</v>
      </c>
      <c r="O22" s="97">
        <v>29.9</v>
      </c>
      <c r="P22" s="91" t="s">
        <v>17</v>
      </c>
      <c r="Q22" s="98">
        <f t="shared" si="3"/>
        <v>0</v>
      </c>
      <c r="R22" s="106">
        <f t="shared" si="4"/>
        <v>0</v>
      </c>
      <c r="S22" s="107"/>
      <c r="T22" s="108"/>
      <c r="U22" s="108"/>
      <c r="V22" s="108"/>
      <c r="W22" s="108"/>
      <c r="X22" s="108"/>
      <c r="Y22" s="108"/>
      <c r="Z22" s="108"/>
      <c r="AA22" s="108"/>
      <c r="AB22" s="109"/>
      <c r="AC22" s="109"/>
      <c r="AD22" s="110"/>
      <c r="AE22" s="111">
        <f t="shared" si="5"/>
        <v>0</v>
      </c>
      <c r="AF22" s="105"/>
      <c r="AG22" s="105"/>
    </row>
    <row r="23" spans="1:33" ht="15" customHeight="1">
      <c r="A23" s="112">
        <v>85017</v>
      </c>
      <c r="B23" s="113" t="s">
        <v>61</v>
      </c>
      <c r="C23" s="90">
        <f t="shared" si="0"/>
        <v>0</v>
      </c>
      <c r="D23" s="91" t="s">
        <v>37</v>
      </c>
      <c r="E23" s="114"/>
      <c r="F23" s="93"/>
      <c r="G23" s="90">
        <f t="shared" si="1"/>
        <v>0</v>
      </c>
      <c r="H23" s="91" t="s">
        <v>37</v>
      </c>
      <c r="I23" s="115"/>
      <c r="J23" s="95"/>
      <c r="K23" s="116">
        <v>300</v>
      </c>
      <c r="L23" s="91" t="s">
        <v>17</v>
      </c>
      <c r="M23" s="97">
        <f t="shared" si="2"/>
        <v>0</v>
      </c>
      <c r="N23" s="91" t="s">
        <v>37</v>
      </c>
      <c r="O23" s="97">
        <v>15.82</v>
      </c>
      <c r="P23" s="91" t="s">
        <v>17</v>
      </c>
      <c r="Q23" s="98">
        <f t="shared" si="3"/>
        <v>0</v>
      </c>
      <c r="R23" s="106">
        <f t="shared" si="4"/>
        <v>0</v>
      </c>
      <c r="S23" s="107"/>
      <c r="T23" s="108"/>
      <c r="U23" s="108"/>
      <c r="V23" s="108"/>
      <c r="W23" s="108"/>
      <c r="X23" s="108"/>
      <c r="Y23" s="108"/>
      <c r="Z23" s="108"/>
      <c r="AA23" s="108"/>
      <c r="AB23" s="109"/>
      <c r="AC23" s="109"/>
      <c r="AD23" s="110"/>
      <c r="AE23" s="111">
        <f t="shared" si="5"/>
        <v>0</v>
      </c>
      <c r="AF23" s="105"/>
      <c r="AG23" s="105"/>
    </row>
    <row r="24" spans="1:33" ht="15" customHeight="1">
      <c r="A24" s="112">
        <v>85018</v>
      </c>
      <c r="B24" s="113" t="s">
        <v>62</v>
      </c>
      <c r="C24" s="90">
        <f t="shared" si="0"/>
        <v>0</v>
      </c>
      <c r="D24" s="91" t="s">
        <v>37</v>
      </c>
      <c r="E24" s="114"/>
      <c r="F24" s="93"/>
      <c r="G24" s="90">
        <f t="shared" si="1"/>
        <v>0</v>
      </c>
      <c r="H24" s="91" t="s">
        <v>37</v>
      </c>
      <c r="I24" s="115"/>
      <c r="J24" s="95"/>
      <c r="K24" s="116">
        <v>144</v>
      </c>
      <c r="L24" s="91" t="s">
        <v>17</v>
      </c>
      <c r="M24" s="97">
        <f t="shared" si="2"/>
        <v>0</v>
      </c>
      <c r="N24" s="91" t="s">
        <v>37</v>
      </c>
      <c r="O24" s="97">
        <v>15</v>
      </c>
      <c r="P24" s="91" t="s">
        <v>17</v>
      </c>
      <c r="Q24" s="98">
        <f t="shared" si="3"/>
        <v>0</v>
      </c>
      <c r="R24" s="106">
        <f t="shared" si="4"/>
        <v>0</v>
      </c>
      <c r="S24" s="107"/>
      <c r="T24" s="108"/>
      <c r="U24" s="108"/>
      <c r="V24" s="108"/>
      <c r="W24" s="108"/>
      <c r="X24" s="108"/>
      <c r="Y24" s="108"/>
      <c r="Z24" s="108"/>
      <c r="AA24" s="108"/>
      <c r="AB24" s="109"/>
      <c r="AC24" s="109"/>
      <c r="AD24" s="110"/>
      <c r="AE24" s="111">
        <f t="shared" si="5"/>
        <v>0</v>
      </c>
      <c r="AF24" s="105"/>
      <c r="AG24" s="105"/>
    </row>
    <row r="25" spans="1:33" ht="15" customHeight="1">
      <c r="A25" s="112">
        <v>85019</v>
      </c>
      <c r="B25" s="113" t="s">
        <v>63</v>
      </c>
      <c r="C25" s="90">
        <f t="shared" si="0"/>
        <v>0</v>
      </c>
      <c r="D25" s="91" t="s">
        <v>37</v>
      </c>
      <c r="E25" s="114"/>
      <c r="F25" s="93"/>
      <c r="G25" s="90">
        <f t="shared" si="1"/>
        <v>0</v>
      </c>
      <c r="H25" s="91" t="s">
        <v>37</v>
      </c>
      <c r="I25" s="115"/>
      <c r="J25" s="95"/>
      <c r="K25" s="116">
        <v>320</v>
      </c>
      <c r="L25" s="91" t="s">
        <v>17</v>
      </c>
      <c r="M25" s="97">
        <f t="shared" si="2"/>
        <v>0</v>
      </c>
      <c r="N25" s="91" t="s">
        <v>37</v>
      </c>
      <c r="O25" s="97">
        <v>16.809999999999999</v>
      </c>
      <c r="P25" s="91" t="s">
        <v>17</v>
      </c>
      <c r="Q25" s="98">
        <f t="shared" si="3"/>
        <v>0</v>
      </c>
      <c r="R25" s="106">
        <f t="shared" si="4"/>
        <v>0</v>
      </c>
      <c r="S25" s="107"/>
      <c r="T25" s="108"/>
      <c r="U25" s="108"/>
      <c r="V25" s="108"/>
      <c r="W25" s="108"/>
      <c r="X25" s="108"/>
      <c r="Y25" s="108"/>
      <c r="Z25" s="108"/>
      <c r="AA25" s="108"/>
      <c r="AB25" s="109"/>
      <c r="AC25" s="109"/>
      <c r="AD25" s="110"/>
      <c r="AE25" s="111">
        <f t="shared" si="5"/>
        <v>0</v>
      </c>
      <c r="AF25" s="105"/>
      <c r="AG25" s="105"/>
    </row>
    <row r="26" spans="1:33" ht="15" customHeight="1">
      <c r="A26" s="112">
        <v>85037</v>
      </c>
      <c r="B26" s="113" t="s">
        <v>64</v>
      </c>
      <c r="C26" s="90">
        <f t="shared" si="0"/>
        <v>0</v>
      </c>
      <c r="D26" s="91" t="s">
        <v>37</v>
      </c>
      <c r="E26" s="114"/>
      <c r="F26" s="93"/>
      <c r="G26" s="90">
        <f t="shared" si="1"/>
        <v>0</v>
      </c>
      <c r="H26" s="91" t="s">
        <v>37</v>
      </c>
      <c r="I26" s="115"/>
      <c r="J26" s="95"/>
      <c r="K26" s="116">
        <v>144</v>
      </c>
      <c r="L26" s="91" t="s">
        <v>17</v>
      </c>
      <c r="M26" s="97">
        <f t="shared" si="2"/>
        <v>0</v>
      </c>
      <c r="N26" s="91" t="s">
        <v>37</v>
      </c>
      <c r="O26" s="97">
        <v>12.59</v>
      </c>
      <c r="P26" s="91" t="s">
        <v>17</v>
      </c>
      <c r="Q26" s="98">
        <f t="shared" si="3"/>
        <v>0</v>
      </c>
      <c r="R26" s="106">
        <f t="shared" si="4"/>
        <v>0</v>
      </c>
      <c r="S26" s="107"/>
      <c r="T26" s="108"/>
      <c r="U26" s="108"/>
      <c r="V26" s="108"/>
      <c r="W26" s="108"/>
      <c r="X26" s="108"/>
      <c r="Y26" s="108"/>
      <c r="Z26" s="108"/>
      <c r="AA26" s="108"/>
      <c r="AB26" s="109"/>
      <c r="AC26" s="109"/>
      <c r="AD26" s="110"/>
      <c r="AE26" s="111">
        <f t="shared" si="5"/>
        <v>0</v>
      </c>
      <c r="AF26" s="105"/>
      <c r="AG26" s="105"/>
    </row>
    <row r="27" spans="1:33" s="118" customFormat="1" ht="15" customHeight="1">
      <c r="A27" s="112">
        <v>85137</v>
      </c>
      <c r="B27" s="113" t="s">
        <v>65</v>
      </c>
      <c r="C27" s="90">
        <f t="shared" si="0"/>
        <v>0</v>
      </c>
      <c r="D27" s="91" t="s">
        <v>37</v>
      </c>
      <c r="E27" s="114"/>
      <c r="F27" s="93"/>
      <c r="G27" s="90">
        <f t="shared" si="1"/>
        <v>0</v>
      </c>
      <c r="H27" s="91" t="s">
        <v>37</v>
      </c>
      <c r="I27" s="115"/>
      <c r="J27" s="95"/>
      <c r="K27" s="116">
        <v>144</v>
      </c>
      <c r="L27" s="91" t="s">
        <v>17</v>
      </c>
      <c r="M27" s="97">
        <f t="shared" si="2"/>
        <v>0</v>
      </c>
      <c r="N27" s="91" t="s">
        <v>37</v>
      </c>
      <c r="O27" s="97">
        <v>11.81</v>
      </c>
      <c r="P27" s="91" t="s">
        <v>17</v>
      </c>
      <c r="Q27" s="98">
        <f t="shared" si="3"/>
        <v>0</v>
      </c>
      <c r="R27" s="106">
        <f t="shared" si="4"/>
        <v>0</v>
      </c>
      <c r="S27" s="107"/>
      <c r="T27" s="108"/>
      <c r="U27" s="108"/>
      <c r="V27" s="108"/>
      <c r="W27" s="108"/>
      <c r="X27" s="108"/>
      <c r="Y27" s="108"/>
      <c r="Z27" s="108"/>
      <c r="AA27" s="108"/>
      <c r="AB27" s="109"/>
      <c r="AC27" s="109"/>
      <c r="AD27" s="110"/>
      <c r="AE27" s="111">
        <f t="shared" si="5"/>
        <v>0</v>
      </c>
      <c r="AF27" s="105"/>
      <c r="AG27" s="105"/>
    </row>
    <row r="28" spans="1:33" s="118" customFormat="1" ht="15" customHeight="1">
      <c r="A28" s="112">
        <v>85800</v>
      </c>
      <c r="B28" s="113" t="s">
        <v>66</v>
      </c>
      <c r="C28" s="90">
        <f t="shared" si="0"/>
        <v>0</v>
      </c>
      <c r="D28" s="91" t="s">
        <v>37</v>
      </c>
      <c r="E28" s="114"/>
      <c r="F28" s="93"/>
      <c r="G28" s="90">
        <f t="shared" si="1"/>
        <v>0</v>
      </c>
      <c r="H28" s="91" t="s">
        <v>37</v>
      </c>
      <c r="I28" s="115"/>
      <c r="J28" s="95"/>
      <c r="K28" s="116">
        <v>100</v>
      </c>
      <c r="L28" s="91" t="s">
        <v>17</v>
      </c>
      <c r="M28" s="97">
        <f t="shared" si="2"/>
        <v>0</v>
      </c>
      <c r="N28" s="91" t="s">
        <v>37</v>
      </c>
      <c r="O28" s="97">
        <v>5.07</v>
      </c>
      <c r="P28" s="91" t="s">
        <v>17</v>
      </c>
      <c r="Q28" s="98">
        <f t="shared" si="3"/>
        <v>0</v>
      </c>
      <c r="R28" s="106">
        <f t="shared" si="4"/>
        <v>0</v>
      </c>
      <c r="S28" s="107"/>
      <c r="T28" s="108"/>
      <c r="U28" s="108"/>
      <c r="V28" s="108"/>
      <c r="W28" s="108"/>
      <c r="X28" s="108"/>
      <c r="Y28" s="108"/>
      <c r="Z28" s="108"/>
      <c r="AA28" s="108"/>
      <c r="AB28" s="109"/>
      <c r="AC28" s="109"/>
      <c r="AD28" s="110"/>
      <c r="AE28" s="111">
        <f t="shared" si="5"/>
        <v>0</v>
      </c>
      <c r="AF28" s="105"/>
      <c r="AG28" s="105"/>
    </row>
    <row r="29" spans="1:33" ht="15" customHeight="1">
      <c r="A29" s="112">
        <v>85801</v>
      </c>
      <c r="B29" s="113" t="s">
        <v>67</v>
      </c>
      <c r="C29" s="90">
        <f t="shared" si="0"/>
        <v>0</v>
      </c>
      <c r="D29" s="91" t="s">
        <v>37</v>
      </c>
      <c r="E29" s="114"/>
      <c r="F29" s="93"/>
      <c r="G29" s="90">
        <f t="shared" si="1"/>
        <v>0</v>
      </c>
      <c r="H29" s="91" t="s">
        <v>37</v>
      </c>
      <c r="I29" s="115"/>
      <c r="J29" s="95"/>
      <c r="K29" s="116">
        <v>100</v>
      </c>
      <c r="L29" s="91" t="s">
        <v>17</v>
      </c>
      <c r="M29" s="97">
        <f t="shared" si="2"/>
        <v>0</v>
      </c>
      <c r="N29" s="91" t="s">
        <v>37</v>
      </c>
      <c r="O29" s="97">
        <v>5.08</v>
      </c>
      <c r="P29" s="91" t="s">
        <v>17</v>
      </c>
      <c r="Q29" s="98">
        <f t="shared" si="3"/>
        <v>0</v>
      </c>
      <c r="R29" s="106">
        <f t="shared" si="4"/>
        <v>0</v>
      </c>
      <c r="S29" s="107"/>
      <c r="T29" s="108"/>
      <c r="U29" s="108"/>
      <c r="V29" s="108"/>
      <c r="W29" s="108"/>
      <c r="X29" s="108"/>
      <c r="Y29" s="108"/>
      <c r="Z29" s="108"/>
      <c r="AA29" s="108"/>
      <c r="AB29" s="109"/>
      <c r="AC29" s="109"/>
      <c r="AD29" s="110"/>
      <c r="AE29" s="111">
        <f t="shared" si="5"/>
        <v>0</v>
      </c>
      <c r="AF29" s="105"/>
      <c r="AG29" s="105"/>
    </row>
    <row r="30" spans="1:33" s="118" customFormat="1" ht="15" customHeight="1">
      <c r="A30" s="112">
        <v>85803</v>
      </c>
      <c r="B30" s="113" t="s">
        <v>68</v>
      </c>
      <c r="C30" s="90">
        <f t="shared" si="0"/>
        <v>0</v>
      </c>
      <c r="D30" s="91" t="s">
        <v>37</v>
      </c>
      <c r="E30" s="114"/>
      <c r="F30" s="93"/>
      <c r="G30" s="90">
        <f t="shared" si="1"/>
        <v>0</v>
      </c>
      <c r="H30" s="91" t="s">
        <v>37</v>
      </c>
      <c r="I30" s="115"/>
      <c r="J30" s="95"/>
      <c r="K30" s="116">
        <v>100</v>
      </c>
      <c r="L30" s="91" t="s">
        <v>17</v>
      </c>
      <c r="M30" s="97">
        <f t="shared" si="2"/>
        <v>0</v>
      </c>
      <c r="N30" s="91" t="s">
        <v>37</v>
      </c>
      <c r="O30" s="97">
        <v>5.32</v>
      </c>
      <c r="P30" s="91" t="s">
        <v>17</v>
      </c>
      <c r="Q30" s="98">
        <f t="shared" si="3"/>
        <v>0</v>
      </c>
      <c r="R30" s="106">
        <f t="shared" si="4"/>
        <v>0</v>
      </c>
      <c r="S30" s="107"/>
      <c r="T30" s="108"/>
      <c r="U30" s="108"/>
      <c r="V30" s="108"/>
      <c r="W30" s="108"/>
      <c r="X30" s="108"/>
      <c r="Y30" s="108"/>
      <c r="Z30" s="108"/>
      <c r="AA30" s="108"/>
      <c r="AB30" s="109"/>
      <c r="AC30" s="109"/>
      <c r="AD30" s="110"/>
      <c r="AE30" s="111">
        <f t="shared" si="5"/>
        <v>0</v>
      </c>
      <c r="AF30" s="105"/>
      <c r="AG30" s="105"/>
    </row>
    <row r="31" spans="1:33" ht="15" customHeight="1">
      <c r="A31" s="112">
        <v>85805</v>
      </c>
      <c r="B31" s="113" t="s">
        <v>69</v>
      </c>
      <c r="C31" s="90">
        <f t="shared" si="0"/>
        <v>0</v>
      </c>
      <c r="D31" s="91" t="s">
        <v>37</v>
      </c>
      <c r="E31" s="114"/>
      <c r="F31" s="93"/>
      <c r="G31" s="90">
        <f t="shared" si="1"/>
        <v>0</v>
      </c>
      <c r="H31" s="91" t="s">
        <v>37</v>
      </c>
      <c r="I31" s="115"/>
      <c r="J31" s="95"/>
      <c r="K31" s="116">
        <v>144</v>
      </c>
      <c r="L31" s="91" t="s">
        <v>17</v>
      </c>
      <c r="M31" s="97">
        <f t="shared" si="2"/>
        <v>0</v>
      </c>
      <c r="N31" s="91" t="s">
        <v>37</v>
      </c>
      <c r="O31" s="97">
        <v>7.33</v>
      </c>
      <c r="P31" s="91" t="s">
        <v>17</v>
      </c>
      <c r="Q31" s="98">
        <f t="shared" si="3"/>
        <v>0</v>
      </c>
      <c r="R31" s="106">
        <f t="shared" si="4"/>
        <v>0</v>
      </c>
      <c r="S31" s="107"/>
      <c r="T31" s="108"/>
      <c r="U31" s="108"/>
      <c r="V31" s="108"/>
      <c r="W31" s="108"/>
      <c r="X31" s="108"/>
      <c r="Y31" s="108"/>
      <c r="Z31" s="108"/>
      <c r="AA31" s="108"/>
      <c r="AB31" s="109"/>
      <c r="AC31" s="109"/>
      <c r="AD31" s="110"/>
      <c r="AE31" s="111">
        <f t="shared" si="5"/>
        <v>0</v>
      </c>
      <c r="AF31" s="105"/>
      <c r="AG31" s="105"/>
    </row>
    <row r="32" spans="1:33" ht="15" customHeight="1">
      <c r="A32" s="112">
        <v>85806</v>
      </c>
      <c r="B32" s="113" t="s">
        <v>70</v>
      </c>
      <c r="C32" s="90">
        <f t="shared" si="0"/>
        <v>0</v>
      </c>
      <c r="D32" s="91" t="s">
        <v>37</v>
      </c>
      <c r="E32" s="114"/>
      <c r="F32" s="93"/>
      <c r="G32" s="90">
        <f t="shared" si="1"/>
        <v>0</v>
      </c>
      <c r="H32" s="91" t="s">
        <v>37</v>
      </c>
      <c r="I32" s="115"/>
      <c r="J32" s="95"/>
      <c r="K32" s="116">
        <v>85</v>
      </c>
      <c r="L32" s="91" t="s">
        <v>17</v>
      </c>
      <c r="M32" s="97">
        <f t="shared" si="2"/>
        <v>0</v>
      </c>
      <c r="N32" s="91" t="s">
        <v>37</v>
      </c>
      <c r="O32" s="97">
        <v>4.5199999999999996</v>
      </c>
      <c r="P32" s="91" t="s">
        <v>17</v>
      </c>
      <c r="Q32" s="98">
        <f t="shared" si="3"/>
        <v>0</v>
      </c>
      <c r="R32" s="106">
        <f t="shared" si="4"/>
        <v>0</v>
      </c>
      <c r="S32" s="107"/>
      <c r="T32" s="108"/>
      <c r="U32" s="108"/>
      <c r="V32" s="108"/>
      <c r="W32" s="108"/>
      <c r="X32" s="108"/>
      <c r="Y32" s="108"/>
      <c r="Z32" s="108"/>
      <c r="AA32" s="108"/>
      <c r="AB32" s="109"/>
      <c r="AC32" s="109"/>
      <c r="AD32" s="110"/>
      <c r="AE32" s="111">
        <f t="shared" si="5"/>
        <v>0</v>
      </c>
      <c r="AF32" s="105"/>
      <c r="AG32" s="105"/>
    </row>
    <row r="33" spans="1:33" ht="15" customHeight="1">
      <c r="A33" s="119">
        <v>85809</v>
      </c>
      <c r="B33" s="120" t="s">
        <v>71</v>
      </c>
      <c r="C33" s="90">
        <f t="shared" si="0"/>
        <v>0</v>
      </c>
      <c r="D33" s="91" t="s">
        <v>37</v>
      </c>
      <c r="E33" s="121"/>
      <c r="F33" s="93"/>
      <c r="G33" s="90">
        <f t="shared" si="1"/>
        <v>0</v>
      </c>
      <c r="H33" s="91" t="s">
        <v>37</v>
      </c>
      <c r="I33" s="122"/>
      <c r="J33" s="95"/>
      <c r="K33" s="123">
        <v>144</v>
      </c>
      <c r="L33" s="91" t="s">
        <v>17</v>
      </c>
      <c r="M33" s="97">
        <f t="shared" si="2"/>
        <v>0</v>
      </c>
      <c r="N33" s="91" t="s">
        <v>37</v>
      </c>
      <c r="O33" s="124">
        <v>7.33</v>
      </c>
      <c r="P33" s="91" t="s">
        <v>17</v>
      </c>
      <c r="Q33" s="98">
        <f t="shared" si="3"/>
        <v>0</v>
      </c>
      <c r="R33" s="106">
        <f t="shared" si="4"/>
        <v>0</v>
      </c>
      <c r="S33" s="107"/>
      <c r="T33" s="108"/>
      <c r="U33" s="108"/>
      <c r="V33" s="108"/>
      <c r="W33" s="108"/>
      <c r="X33" s="108"/>
      <c r="Y33" s="108"/>
      <c r="Z33" s="108"/>
      <c r="AA33" s="108"/>
      <c r="AB33" s="109"/>
      <c r="AC33" s="109"/>
      <c r="AD33" s="110"/>
      <c r="AE33" s="111">
        <f t="shared" si="5"/>
        <v>0</v>
      </c>
      <c r="AF33" s="105"/>
      <c r="AG33" s="105"/>
    </row>
    <row r="34" spans="1:33" ht="15" customHeight="1">
      <c r="A34" s="119">
        <v>85813</v>
      </c>
      <c r="B34" s="120" t="s">
        <v>72</v>
      </c>
      <c r="C34" s="90">
        <f t="shared" si="0"/>
        <v>0</v>
      </c>
      <c r="D34" s="91" t="s">
        <v>37</v>
      </c>
      <c r="E34" s="121"/>
      <c r="F34" s="93"/>
      <c r="G34" s="90">
        <f t="shared" si="1"/>
        <v>0</v>
      </c>
      <c r="H34" s="91" t="s">
        <v>37</v>
      </c>
      <c r="I34" s="122"/>
      <c r="J34" s="95"/>
      <c r="K34" s="123">
        <v>100</v>
      </c>
      <c r="L34" s="91" t="s">
        <v>17</v>
      </c>
      <c r="M34" s="97">
        <f t="shared" si="2"/>
        <v>0</v>
      </c>
      <c r="N34" s="91" t="s">
        <v>37</v>
      </c>
      <c r="O34" s="124">
        <v>5.31</v>
      </c>
      <c r="P34" s="91" t="s">
        <v>17</v>
      </c>
      <c r="Q34" s="98">
        <f t="shared" si="3"/>
        <v>0</v>
      </c>
      <c r="R34" s="106">
        <f t="shared" si="4"/>
        <v>0</v>
      </c>
      <c r="S34" s="107"/>
      <c r="T34" s="108"/>
      <c r="U34" s="108"/>
      <c r="V34" s="108"/>
      <c r="W34" s="108"/>
      <c r="X34" s="108"/>
      <c r="Y34" s="108"/>
      <c r="Z34" s="108"/>
      <c r="AA34" s="108"/>
      <c r="AB34" s="109"/>
      <c r="AC34" s="109"/>
      <c r="AD34" s="110"/>
      <c r="AE34" s="111">
        <f t="shared" si="5"/>
        <v>0</v>
      </c>
      <c r="AF34" s="105"/>
      <c r="AG34" s="105"/>
    </row>
    <row r="35" spans="1:33" ht="15" customHeight="1">
      <c r="A35" s="119">
        <v>85817</v>
      </c>
      <c r="B35" s="120" t="s">
        <v>73</v>
      </c>
      <c r="C35" s="90">
        <f t="shared" si="0"/>
        <v>0</v>
      </c>
      <c r="D35" s="91" t="s">
        <v>37</v>
      </c>
      <c r="E35" s="121"/>
      <c r="F35" s="93"/>
      <c r="G35" s="90">
        <f t="shared" si="1"/>
        <v>0</v>
      </c>
      <c r="H35" s="91" t="s">
        <v>37</v>
      </c>
      <c r="I35" s="122"/>
      <c r="J35" s="95"/>
      <c r="K35" s="123">
        <v>144</v>
      </c>
      <c r="L35" s="91" t="s">
        <v>17</v>
      </c>
      <c r="M35" s="97">
        <f t="shared" si="2"/>
        <v>0</v>
      </c>
      <c r="N35" s="91" t="s">
        <v>37</v>
      </c>
      <c r="O35" s="124">
        <v>7.33</v>
      </c>
      <c r="P35" s="91" t="s">
        <v>17</v>
      </c>
      <c r="Q35" s="98">
        <f t="shared" si="3"/>
        <v>0</v>
      </c>
      <c r="R35" s="106">
        <f t="shared" si="4"/>
        <v>0</v>
      </c>
      <c r="S35" s="107"/>
      <c r="T35" s="108"/>
      <c r="U35" s="108"/>
      <c r="V35" s="108"/>
      <c r="W35" s="108"/>
      <c r="X35" s="108"/>
      <c r="Y35" s="108"/>
      <c r="Z35" s="108"/>
      <c r="AA35" s="108"/>
      <c r="AB35" s="109"/>
      <c r="AC35" s="109"/>
      <c r="AD35" s="110"/>
      <c r="AE35" s="111">
        <f t="shared" si="5"/>
        <v>0</v>
      </c>
      <c r="AF35" s="105"/>
      <c r="AG35" s="105"/>
    </row>
    <row r="36" spans="1:33" ht="15" customHeight="1">
      <c r="A36" s="119">
        <v>85818</v>
      </c>
      <c r="B36" s="120" t="s">
        <v>74</v>
      </c>
      <c r="C36" s="90">
        <f t="shared" si="0"/>
        <v>0</v>
      </c>
      <c r="D36" s="91" t="s">
        <v>37</v>
      </c>
      <c r="E36" s="121"/>
      <c r="F36" s="93"/>
      <c r="G36" s="90">
        <f t="shared" si="1"/>
        <v>0</v>
      </c>
      <c r="H36" s="91" t="s">
        <v>37</v>
      </c>
      <c r="I36" s="122"/>
      <c r="J36" s="95"/>
      <c r="K36" s="123">
        <v>144</v>
      </c>
      <c r="L36" s="91" t="s">
        <v>17</v>
      </c>
      <c r="M36" s="97">
        <f t="shared" si="2"/>
        <v>0</v>
      </c>
      <c r="N36" s="91" t="s">
        <v>37</v>
      </c>
      <c r="O36" s="124">
        <v>7.34</v>
      </c>
      <c r="P36" s="91" t="s">
        <v>17</v>
      </c>
      <c r="Q36" s="98">
        <f t="shared" si="3"/>
        <v>0</v>
      </c>
      <c r="R36" s="106">
        <f t="shared" si="4"/>
        <v>0</v>
      </c>
      <c r="S36" s="107"/>
      <c r="T36" s="108"/>
      <c r="U36" s="108"/>
      <c r="V36" s="108"/>
      <c r="W36" s="108"/>
      <c r="X36" s="108"/>
      <c r="Y36" s="108"/>
      <c r="Z36" s="108"/>
      <c r="AA36" s="108"/>
      <c r="AB36" s="109"/>
      <c r="AC36" s="109"/>
      <c r="AD36" s="110"/>
      <c r="AE36" s="111">
        <f t="shared" si="5"/>
        <v>0</v>
      </c>
      <c r="AF36" s="105"/>
      <c r="AG36" s="105"/>
    </row>
    <row r="37" spans="1:33" ht="15" customHeight="1">
      <c r="A37" s="119">
        <v>85880</v>
      </c>
      <c r="B37" s="120" t="s">
        <v>75</v>
      </c>
      <c r="C37" s="90">
        <f t="shared" si="0"/>
        <v>0</v>
      </c>
      <c r="D37" s="91" t="s">
        <v>37</v>
      </c>
      <c r="E37" s="121"/>
      <c r="F37" s="93"/>
      <c r="G37" s="90">
        <f t="shared" si="1"/>
        <v>0</v>
      </c>
      <c r="H37" s="91" t="s">
        <v>37</v>
      </c>
      <c r="I37" s="122"/>
      <c r="J37" s="95"/>
      <c r="K37" s="123">
        <v>85</v>
      </c>
      <c r="L37" s="91" t="s">
        <v>17</v>
      </c>
      <c r="M37" s="97">
        <f t="shared" si="2"/>
        <v>0</v>
      </c>
      <c r="N37" s="91" t="s">
        <v>37</v>
      </c>
      <c r="O37" s="124">
        <v>4.5199999999999996</v>
      </c>
      <c r="P37" s="91" t="s">
        <v>17</v>
      </c>
      <c r="Q37" s="98">
        <f t="shared" si="3"/>
        <v>0</v>
      </c>
      <c r="R37" s="106">
        <f t="shared" si="4"/>
        <v>0</v>
      </c>
      <c r="S37" s="107"/>
      <c r="T37" s="108"/>
      <c r="U37" s="108"/>
      <c r="V37" s="108"/>
      <c r="W37" s="108"/>
      <c r="X37" s="108"/>
      <c r="Y37" s="108"/>
      <c r="Z37" s="108"/>
      <c r="AA37" s="108"/>
      <c r="AB37" s="109"/>
      <c r="AC37" s="109"/>
      <c r="AD37" s="110"/>
      <c r="AE37" s="111">
        <f t="shared" si="5"/>
        <v>0</v>
      </c>
      <c r="AF37" s="105"/>
      <c r="AG37" s="105"/>
    </row>
    <row r="38" spans="1:33" ht="15" customHeight="1">
      <c r="A38" s="119">
        <v>85881</v>
      </c>
      <c r="B38" s="120" t="s">
        <v>76</v>
      </c>
      <c r="C38" s="90">
        <f t="shared" si="0"/>
        <v>0</v>
      </c>
      <c r="D38" s="91" t="s">
        <v>37</v>
      </c>
      <c r="E38" s="121"/>
      <c r="F38" s="93"/>
      <c r="G38" s="90">
        <f t="shared" si="1"/>
        <v>0</v>
      </c>
      <c r="H38" s="91" t="s">
        <v>37</v>
      </c>
      <c r="I38" s="122"/>
      <c r="J38" s="95"/>
      <c r="K38" s="123">
        <v>85</v>
      </c>
      <c r="L38" s="91" t="s">
        <v>17</v>
      </c>
      <c r="M38" s="97">
        <f t="shared" si="2"/>
        <v>0</v>
      </c>
      <c r="N38" s="91" t="s">
        <v>37</v>
      </c>
      <c r="O38" s="124">
        <v>4.51</v>
      </c>
      <c r="P38" s="91" t="s">
        <v>17</v>
      </c>
      <c r="Q38" s="98">
        <f t="shared" si="3"/>
        <v>0</v>
      </c>
      <c r="R38" s="106">
        <f t="shared" si="4"/>
        <v>0</v>
      </c>
      <c r="S38" s="107"/>
      <c r="T38" s="108"/>
      <c r="U38" s="108"/>
      <c r="V38" s="108"/>
      <c r="W38" s="108"/>
      <c r="X38" s="108"/>
      <c r="Y38" s="108"/>
      <c r="Z38" s="108"/>
      <c r="AA38" s="108"/>
      <c r="AB38" s="109"/>
      <c r="AC38" s="109"/>
      <c r="AD38" s="110"/>
      <c r="AE38" s="111">
        <f t="shared" si="5"/>
        <v>0</v>
      </c>
      <c r="AF38" s="105"/>
      <c r="AG38" s="105"/>
    </row>
    <row r="39" spans="1:33" ht="15" customHeight="1">
      <c r="A39" s="119">
        <v>85884</v>
      </c>
      <c r="B39" s="120" t="s">
        <v>77</v>
      </c>
      <c r="C39" s="90">
        <f t="shared" si="0"/>
        <v>0</v>
      </c>
      <c r="D39" s="91" t="s">
        <v>37</v>
      </c>
      <c r="E39" s="121"/>
      <c r="F39" s="93"/>
      <c r="G39" s="90">
        <f t="shared" si="1"/>
        <v>0</v>
      </c>
      <c r="H39" s="91" t="s">
        <v>37</v>
      </c>
      <c r="I39" s="122"/>
      <c r="J39" s="95"/>
      <c r="K39" s="123">
        <v>85</v>
      </c>
      <c r="L39" s="91" t="s">
        <v>17</v>
      </c>
      <c r="M39" s="97">
        <f t="shared" si="2"/>
        <v>0</v>
      </c>
      <c r="N39" s="91" t="s">
        <v>37</v>
      </c>
      <c r="O39" s="124">
        <v>4.51</v>
      </c>
      <c r="P39" s="91" t="s">
        <v>17</v>
      </c>
      <c r="Q39" s="98">
        <f t="shared" si="3"/>
        <v>0</v>
      </c>
      <c r="R39" s="106">
        <f t="shared" si="4"/>
        <v>0</v>
      </c>
      <c r="S39" s="107"/>
      <c r="T39" s="108"/>
      <c r="U39" s="108"/>
      <c r="V39" s="108"/>
      <c r="W39" s="108"/>
      <c r="X39" s="108"/>
      <c r="Y39" s="108"/>
      <c r="Z39" s="108"/>
      <c r="AA39" s="108"/>
      <c r="AB39" s="109"/>
      <c r="AC39" s="109"/>
      <c r="AD39" s="110"/>
      <c r="AE39" s="111">
        <f t="shared" si="5"/>
        <v>0</v>
      </c>
      <c r="AF39" s="105"/>
      <c r="AG39" s="105"/>
    </row>
    <row r="40" spans="1:33" ht="15" customHeight="1">
      <c r="A40" s="119">
        <v>85885</v>
      </c>
      <c r="B40" s="120" t="s">
        <v>78</v>
      </c>
      <c r="C40" s="90">
        <f t="shared" si="0"/>
        <v>0</v>
      </c>
      <c r="D40" s="91" t="s">
        <v>37</v>
      </c>
      <c r="E40" s="121"/>
      <c r="F40" s="93"/>
      <c r="G40" s="90">
        <f t="shared" si="1"/>
        <v>0</v>
      </c>
      <c r="H40" s="91" t="s">
        <v>37</v>
      </c>
      <c r="I40" s="122"/>
      <c r="J40" s="95"/>
      <c r="K40" s="123">
        <v>100</v>
      </c>
      <c r="L40" s="91" t="s">
        <v>17</v>
      </c>
      <c r="M40" s="97">
        <f t="shared" si="2"/>
        <v>0</v>
      </c>
      <c r="N40" s="91" t="s">
        <v>37</v>
      </c>
      <c r="O40" s="124">
        <v>5.32</v>
      </c>
      <c r="P40" s="91" t="s">
        <v>17</v>
      </c>
      <c r="Q40" s="98">
        <f t="shared" si="3"/>
        <v>0</v>
      </c>
      <c r="R40" s="106">
        <f t="shared" si="4"/>
        <v>0</v>
      </c>
      <c r="S40" s="107"/>
      <c r="T40" s="108"/>
      <c r="U40" s="108"/>
      <c r="V40" s="108"/>
      <c r="W40" s="108"/>
      <c r="X40" s="108"/>
      <c r="Y40" s="108"/>
      <c r="Z40" s="108"/>
      <c r="AA40" s="108"/>
      <c r="AB40" s="109"/>
      <c r="AC40" s="109"/>
      <c r="AD40" s="110"/>
      <c r="AE40" s="111">
        <f t="shared" si="5"/>
        <v>0</v>
      </c>
      <c r="AF40" s="105"/>
      <c r="AG40" s="105"/>
    </row>
    <row r="41" spans="1:33" ht="15" customHeight="1">
      <c r="A41" s="119">
        <v>86204</v>
      </c>
      <c r="B41" s="120" t="s">
        <v>79</v>
      </c>
      <c r="C41" s="90">
        <f t="shared" si="0"/>
        <v>0</v>
      </c>
      <c r="D41" s="91" t="s">
        <v>37</v>
      </c>
      <c r="E41" s="121"/>
      <c r="F41" s="93"/>
      <c r="G41" s="90">
        <f t="shared" si="1"/>
        <v>0</v>
      </c>
      <c r="H41" s="91" t="s">
        <v>37</v>
      </c>
      <c r="I41" s="122"/>
      <c r="J41" s="95"/>
      <c r="K41" s="123">
        <v>16</v>
      </c>
      <c r="L41" s="91" t="s">
        <v>17</v>
      </c>
      <c r="M41" s="97">
        <f t="shared" si="2"/>
        <v>0</v>
      </c>
      <c r="N41" s="91" t="s">
        <v>37</v>
      </c>
      <c r="O41" s="124">
        <v>3.15</v>
      </c>
      <c r="P41" s="91" t="s">
        <v>17</v>
      </c>
      <c r="Q41" s="98">
        <f t="shared" si="3"/>
        <v>0</v>
      </c>
      <c r="R41" s="106">
        <f t="shared" si="4"/>
        <v>0</v>
      </c>
      <c r="S41" s="107"/>
      <c r="T41" s="108"/>
      <c r="U41" s="108"/>
      <c r="V41" s="108"/>
      <c r="W41" s="108"/>
      <c r="X41" s="108"/>
      <c r="Y41" s="108"/>
      <c r="Z41" s="108"/>
      <c r="AA41" s="108"/>
      <c r="AB41" s="109"/>
      <c r="AC41" s="109"/>
      <c r="AD41" s="110"/>
      <c r="AE41" s="111">
        <f t="shared" si="5"/>
        <v>0</v>
      </c>
      <c r="AF41" s="105"/>
      <c r="AG41" s="105"/>
    </row>
    <row r="42" spans="1:33" ht="15" customHeight="1">
      <c r="A42" s="112">
        <v>89243</v>
      </c>
      <c r="B42" s="120" t="s">
        <v>80</v>
      </c>
      <c r="C42" s="90">
        <f t="shared" si="0"/>
        <v>0</v>
      </c>
      <c r="D42" s="91" t="s">
        <v>37</v>
      </c>
      <c r="E42" s="121"/>
      <c r="F42" s="93"/>
      <c r="G42" s="90">
        <f t="shared" si="1"/>
        <v>0</v>
      </c>
      <c r="H42" s="91" t="s">
        <v>37</v>
      </c>
      <c r="I42" s="122"/>
      <c r="J42" s="95"/>
      <c r="K42" s="123">
        <v>102</v>
      </c>
      <c r="L42" s="91" t="s">
        <v>17</v>
      </c>
      <c r="M42" s="97">
        <f t="shared" si="2"/>
        <v>0</v>
      </c>
      <c r="N42" s="91" t="s">
        <v>37</v>
      </c>
      <c r="O42" s="124">
        <v>3.61</v>
      </c>
      <c r="P42" s="91" t="s">
        <v>17</v>
      </c>
      <c r="Q42" s="98">
        <f t="shared" si="3"/>
        <v>0</v>
      </c>
      <c r="R42" s="106">
        <f t="shared" si="4"/>
        <v>0</v>
      </c>
      <c r="S42" s="107"/>
      <c r="T42" s="108"/>
      <c r="U42" s="108"/>
      <c r="V42" s="108"/>
      <c r="W42" s="108"/>
      <c r="X42" s="108"/>
      <c r="Y42" s="108"/>
      <c r="Z42" s="108"/>
      <c r="AA42" s="108"/>
      <c r="AB42" s="109"/>
      <c r="AC42" s="109"/>
      <c r="AD42" s="110"/>
      <c r="AE42" s="111">
        <f t="shared" si="5"/>
        <v>0</v>
      </c>
      <c r="AF42" s="105"/>
      <c r="AG42" s="105"/>
    </row>
    <row r="43" spans="1:33" ht="15" customHeight="1" thickBot="1">
      <c r="A43" s="119">
        <v>90135</v>
      </c>
      <c r="B43" s="120" t="s">
        <v>81</v>
      </c>
      <c r="C43" s="90">
        <f t="shared" si="0"/>
        <v>0</v>
      </c>
      <c r="D43" s="91" t="s">
        <v>37</v>
      </c>
      <c r="E43" s="121"/>
      <c r="F43" s="93"/>
      <c r="G43" s="90">
        <f t="shared" si="1"/>
        <v>0</v>
      </c>
      <c r="H43" s="91" t="s">
        <v>37</v>
      </c>
      <c r="I43" s="122"/>
      <c r="J43" s="95"/>
      <c r="K43" s="123">
        <v>72</v>
      </c>
      <c r="L43" s="91" t="s">
        <v>17</v>
      </c>
      <c r="M43" s="97">
        <f t="shared" si="2"/>
        <v>0</v>
      </c>
      <c r="N43" s="91" t="s">
        <v>37</v>
      </c>
      <c r="O43" s="124">
        <v>9.39</v>
      </c>
      <c r="P43" s="91" t="s">
        <v>17</v>
      </c>
      <c r="Q43" s="98">
        <f t="shared" si="3"/>
        <v>0</v>
      </c>
      <c r="R43" s="125">
        <f t="shared" si="4"/>
        <v>0</v>
      </c>
      <c r="S43" s="126"/>
      <c r="T43" s="127"/>
      <c r="U43" s="127"/>
      <c r="V43" s="127"/>
      <c r="W43" s="127"/>
      <c r="X43" s="127"/>
      <c r="Y43" s="127"/>
      <c r="Z43" s="127"/>
      <c r="AA43" s="127"/>
      <c r="AB43" s="128"/>
      <c r="AC43" s="128"/>
      <c r="AD43" s="129"/>
      <c r="AE43" s="130">
        <f>SUM(S43:AD43)</f>
        <v>0</v>
      </c>
      <c r="AF43" s="105"/>
      <c r="AG43" s="105"/>
    </row>
    <row r="44" spans="1:33" s="142" customFormat="1" ht="16.5" thickBot="1">
      <c r="A44" s="131"/>
      <c r="B44" s="132" t="s">
        <v>82</v>
      </c>
      <c r="C44" s="133"/>
      <c r="D44" s="134"/>
      <c r="E44" s="135"/>
      <c r="F44" s="136"/>
      <c r="G44" s="134"/>
      <c r="H44" s="134"/>
      <c r="I44" s="135"/>
      <c r="J44" s="136"/>
      <c r="K44" s="134"/>
      <c r="L44" s="134"/>
      <c r="M44" s="137">
        <f>SUM(M15:M43)</f>
        <v>0</v>
      </c>
      <c r="N44" s="134"/>
      <c r="O44" s="134"/>
      <c r="P44" s="134"/>
      <c r="Q44" s="138">
        <f>SUM(Q15:Q42)</f>
        <v>0</v>
      </c>
      <c r="R44" s="139">
        <f t="shared" si="4"/>
        <v>0</v>
      </c>
      <c r="S44" s="140">
        <f>SUM(S15:S43)</f>
        <v>0</v>
      </c>
      <c r="T44" s="140">
        <f>SUM(T15:T43)</f>
        <v>0</v>
      </c>
      <c r="U44" s="140">
        <f>SUM(U15:U43)</f>
        <v>0</v>
      </c>
      <c r="V44" s="140">
        <f>SUM(V15:V43)</f>
        <v>0</v>
      </c>
      <c r="W44" s="140">
        <f t="shared" ref="W44:AD44" si="6">SUM(W15:W43)</f>
        <v>0</v>
      </c>
      <c r="X44" s="140">
        <f t="shared" si="6"/>
        <v>0</v>
      </c>
      <c r="Y44" s="140">
        <f t="shared" si="6"/>
        <v>0</v>
      </c>
      <c r="Z44" s="140">
        <f t="shared" si="6"/>
        <v>0</v>
      </c>
      <c r="AA44" s="140">
        <f t="shared" si="6"/>
        <v>0</v>
      </c>
      <c r="AB44" s="140">
        <f t="shared" si="6"/>
        <v>0</v>
      </c>
      <c r="AC44" s="140">
        <f t="shared" si="6"/>
        <v>0</v>
      </c>
      <c r="AD44" s="140">
        <f t="shared" si="6"/>
        <v>0</v>
      </c>
      <c r="AE44" s="141">
        <f>SUM(AE15:AE43)</f>
        <v>0</v>
      </c>
    </row>
    <row r="45" spans="1:33" s="8" customFormat="1" ht="6" customHeight="1" thickTop="1">
      <c r="A45" s="13"/>
      <c r="B45" s="13"/>
      <c r="C45" s="74"/>
      <c r="D45" s="14"/>
      <c r="F45" s="10"/>
      <c r="G45" s="13"/>
      <c r="H45" s="14"/>
      <c r="J45" s="10"/>
      <c r="K45" s="13"/>
      <c r="L45" s="14"/>
      <c r="M45" s="13"/>
      <c r="N45" s="14"/>
      <c r="O45" s="13"/>
      <c r="P45" s="14"/>
      <c r="Q45" s="13"/>
      <c r="R45" s="13"/>
      <c r="S45" s="13"/>
      <c r="T45" s="13"/>
      <c r="U45" s="13"/>
      <c r="V45" s="13"/>
      <c r="W45" s="13"/>
      <c r="X45" s="13"/>
      <c r="Y45" s="13"/>
      <c r="Z45" s="13"/>
      <c r="AA45" s="13"/>
      <c r="AB45" s="13"/>
      <c r="AC45" s="13"/>
      <c r="AD45" s="13"/>
      <c r="AE45" s="13"/>
    </row>
    <row r="46" spans="1:33" s="8" customFormat="1" ht="15.75" thickBot="1">
      <c r="A46" s="13"/>
      <c r="B46" s="13"/>
      <c r="C46" s="74"/>
      <c r="D46" s="14"/>
      <c r="F46" s="10"/>
      <c r="G46" s="13"/>
      <c r="H46" s="14"/>
      <c r="J46" s="10"/>
      <c r="K46" s="13"/>
      <c r="L46" s="14"/>
      <c r="M46" s="13"/>
      <c r="N46" s="143"/>
      <c r="O46" s="144" t="s">
        <v>83</v>
      </c>
      <c r="P46" s="144" t="s">
        <v>17</v>
      </c>
      <c r="Q46" s="145">
        <f>Q44*0.6608</f>
        <v>0</v>
      </c>
      <c r="R46" s="13"/>
    </row>
    <row r="47" spans="1:33" s="8" customFormat="1" ht="13.5" thickTop="1">
      <c r="A47" s="13"/>
      <c r="B47" s="13"/>
      <c r="C47" s="74"/>
      <c r="D47" s="14"/>
      <c r="F47" s="10"/>
      <c r="G47" s="13"/>
      <c r="H47" s="14"/>
      <c r="J47" s="10"/>
      <c r="L47" s="10"/>
      <c r="N47" s="10"/>
      <c r="P47" s="10"/>
    </row>
    <row r="48" spans="1:33" s="8" customFormat="1">
      <c r="A48" s="146"/>
      <c r="B48" s="13"/>
      <c r="C48" s="74"/>
      <c r="D48" s="14"/>
      <c r="F48" s="10"/>
      <c r="G48" s="13"/>
      <c r="H48" s="14"/>
      <c r="J48" s="10"/>
      <c r="L48" s="10"/>
      <c r="N48" s="10"/>
      <c r="P48" s="10"/>
    </row>
    <row r="49" spans="1:16" s="8" customFormat="1">
      <c r="A49" s="13"/>
      <c r="B49" s="13"/>
      <c r="C49" s="74"/>
      <c r="D49" s="14"/>
      <c r="F49" s="10"/>
      <c r="G49" s="13"/>
      <c r="H49" s="14"/>
      <c r="J49" s="10"/>
      <c r="L49" s="10"/>
      <c r="N49" s="10"/>
      <c r="P49" s="10"/>
    </row>
    <row r="50" spans="1:16" s="8" customFormat="1">
      <c r="A50" s="13"/>
      <c r="B50" s="13"/>
      <c r="C50" s="74"/>
      <c r="D50" s="14"/>
      <c r="F50" s="10"/>
      <c r="G50" s="13"/>
      <c r="H50" s="14"/>
      <c r="J50" s="10"/>
      <c r="L50" s="10"/>
      <c r="N50" s="10"/>
      <c r="P50" s="10"/>
    </row>
    <row r="51" spans="1:16" s="8" customFormat="1">
      <c r="A51" s="13"/>
      <c r="B51" s="13"/>
      <c r="C51" s="74"/>
      <c r="D51" s="14"/>
      <c r="F51" s="10"/>
      <c r="G51" s="13"/>
      <c r="H51" s="14"/>
      <c r="J51" s="10"/>
      <c r="L51" s="10"/>
      <c r="N51" s="10"/>
      <c r="P51" s="10"/>
    </row>
    <row r="52" spans="1:16" s="8" customFormat="1">
      <c r="A52" s="13"/>
      <c r="B52" s="13"/>
      <c r="C52" s="74"/>
      <c r="D52" s="14"/>
      <c r="F52" s="10"/>
      <c r="H52" s="10"/>
      <c r="J52" s="10"/>
      <c r="L52" s="10"/>
      <c r="N52" s="10"/>
      <c r="P52" s="10"/>
    </row>
    <row r="53" spans="1:16" s="8" customFormat="1">
      <c r="A53" s="13"/>
      <c r="B53" s="13"/>
      <c r="C53" s="74"/>
      <c r="D53" s="14"/>
      <c r="F53" s="10"/>
      <c r="H53" s="10"/>
      <c r="J53" s="10"/>
      <c r="L53" s="10"/>
      <c r="N53" s="10"/>
      <c r="P53" s="10"/>
    </row>
    <row r="54" spans="1:16" s="8" customFormat="1">
      <c r="A54" s="13"/>
      <c r="B54" s="13"/>
      <c r="C54" s="74"/>
      <c r="D54" s="14"/>
      <c r="F54" s="10"/>
      <c r="H54" s="10"/>
      <c r="J54" s="10"/>
      <c r="L54" s="10"/>
      <c r="N54" s="10"/>
      <c r="P54" s="10"/>
    </row>
    <row r="55" spans="1:16" s="8" customFormat="1">
      <c r="A55" s="13"/>
      <c r="C55" s="9"/>
      <c r="D55" s="10"/>
      <c r="F55" s="10"/>
      <c r="H55" s="10"/>
      <c r="J55" s="10"/>
      <c r="L55" s="10"/>
      <c r="N55" s="10"/>
      <c r="P55" s="10"/>
    </row>
    <row r="56" spans="1:16" s="8" customFormat="1">
      <c r="A56" s="13"/>
      <c r="C56" s="9"/>
      <c r="D56" s="10"/>
      <c r="F56" s="10"/>
      <c r="H56" s="10"/>
      <c r="J56" s="10"/>
      <c r="L56" s="10"/>
      <c r="N56" s="10"/>
      <c r="P56" s="10"/>
    </row>
    <row r="57" spans="1:16" s="8" customFormat="1">
      <c r="A57" s="13"/>
      <c r="C57" s="9"/>
      <c r="D57" s="10"/>
      <c r="F57" s="10"/>
      <c r="H57" s="10"/>
      <c r="J57" s="10"/>
      <c r="L57" s="10"/>
      <c r="N57" s="10"/>
      <c r="P57" s="10"/>
    </row>
    <row r="58" spans="1:16" s="8" customFormat="1">
      <c r="A58" s="13"/>
      <c r="C58" s="9"/>
      <c r="D58" s="10"/>
      <c r="F58" s="10"/>
      <c r="H58" s="10"/>
      <c r="J58" s="10"/>
      <c r="L58" s="10"/>
      <c r="N58" s="10"/>
      <c r="P58" s="10"/>
    </row>
    <row r="59" spans="1:16" s="8" customFormat="1">
      <c r="A59" s="13"/>
      <c r="C59" s="9"/>
      <c r="D59" s="10"/>
      <c r="F59" s="10"/>
      <c r="H59" s="10"/>
      <c r="J59" s="10"/>
      <c r="L59" s="10"/>
      <c r="N59" s="10"/>
      <c r="P59" s="10"/>
    </row>
    <row r="60" spans="1:16" s="8" customFormat="1">
      <c r="A60" s="13"/>
      <c r="C60" s="9"/>
      <c r="D60" s="10"/>
      <c r="F60" s="10"/>
      <c r="H60" s="10"/>
      <c r="J60" s="10"/>
      <c r="L60" s="10"/>
      <c r="N60" s="10"/>
      <c r="P60" s="10"/>
    </row>
    <row r="61" spans="1:16" s="8" customFormat="1">
      <c r="A61" s="13"/>
      <c r="C61" s="9"/>
      <c r="D61" s="10"/>
      <c r="F61" s="10"/>
      <c r="H61" s="10"/>
      <c r="J61" s="10"/>
      <c r="L61" s="10"/>
      <c r="N61" s="10"/>
      <c r="P61" s="10"/>
    </row>
    <row r="62" spans="1:16" s="8" customFormat="1">
      <c r="A62" s="13"/>
      <c r="C62" s="9"/>
      <c r="D62" s="10"/>
      <c r="F62" s="10"/>
      <c r="H62" s="10"/>
      <c r="J62" s="10"/>
      <c r="L62" s="10"/>
      <c r="N62" s="10"/>
      <c r="P62" s="10"/>
    </row>
    <row r="63" spans="1:16" s="8" customFormat="1">
      <c r="A63" s="13"/>
      <c r="C63" s="9"/>
      <c r="D63" s="10"/>
      <c r="F63" s="10"/>
      <c r="H63" s="10"/>
      <c r="J63" s="10"/>
      <c r="L63" s="10"/>
      <c r="N63" s="10"/>
      <c r="P63" s="10"/>
    </row>
    <row r="64" spans="1:16" s="8" customFormat="1">
      <c r="A64" s="13"/>
      <c r="C64" s="9"/>
      <c r="D64" s="10"/>
      <c r="F64" s="10"/>
      <c r="H64" s="10"/>
      <c r="J64" s="10"/>
      <c r="L64" s="10"/>
      <c r="N64" s="10"/>
      <c r="P64" s="10"/>
    </row>
    <row r="65" spans="1:16" s="8" customFormat="1">
      <c r="A65" s="13"/>
      <c r="C65" s="9"/>
      <c r="D65" s="10"/>
      <c r="F65" s="10"/>
      <c r="H65" s="10"/>
      <c r="J65" s="10"/>
      <c r="L65" s="10"/>
      <c r="N65" s="10"/>
      <c r="P65" s="10"/>
    </row>
    <row r="66" spans="1:16" s="8" customFormat="1">
      <c r="A66" s="13"/>
      <c r="C66" s="9"/>
      <c r="D66" s="10"/>
      <c r="F66" s="10"/>
      <c r="H66" s="10"/>
      <c r="J66" s="10"/>
      <c r="L66" s="10"/>
      <c r="N66" s="10"/>
      <c r="P66" s="10"/>
    </row>
    <row r="67" spans="1:16" s="8" customFormat="1">
      <c r="A67" s="13"/>
      <c r="C67" s="9"/>
      <c r="D67" s="10"/>
      <c r="F67" s="10"/>
      <c r="H67" s="10"/>
      <c r="J67" s="10"/>
      <c r="L67" s="10"/>
      <c r="N67" s="10"/>
      <c r="P67" s="10"/>
    </row>
    <row r="68" spans="1:16" s="8" customFormat="1">
      <c r="A68" s="13"/>
      <c r="C68" s="9"/>
      <c r="D68" s="10"/>
      <c r="F68" s="10"/>
      <c r="H68" s="10"/>
      <c r="J68" s="10"/>
      <c r="L68" s="10"/>
      <c r="N68" s="10"/>
      <c r="P68" s="10"/>
    </row>
    <row r="69" spans="1:16" s="8" customFormat="1">
      <c r="A69" s="13"/>
      <c r="C69" s="9"/>
      <c r="D69" s="10"/>
      <c r="F69" s="10"/>
      <c r="H69" s="10"/>
      <c r="J69" s="10"/>
      <c r="L69" s="10"/>
      <c r="N69" s="10"/>
      <c r="P69" s="10"/>
    </row>
    <row r="70" spans="1:16" s="8" customFormat="1">
      <c r="A70" s="13"/>
      <c r="C70" s="9"/>
      <c r="D70" s="10"/>
      <c r="F70" s="10"/>
      <c r="H70" s="10"/>
      <c r="J70" s="10"/>
      <c r="L70" s="10"/>
      <c r="N70" s="10"/>
      <c r="P70" s="10"/>
    </row>
    <row r="71" spans="1:16" s="8" customFormat="1">
      <c r="A71" s="13"/>
      <c r="C71" s="9"/>
      <c r="D71" s="10"/>
      <c r="F71" s="10"/>
      <c r="H71" s="10"/>
      <c r="J71" s="10"/>
      <c r="L71" s="10"/>
      <c r="N71" s="10"/>
      <c r="P71" s="10"/>
    </row>
    <row r="72" spans="1:16" s="8" customFormat="1">
      <c r="A72" s="13"/>
      <c r="C72" s="9"/>
      <c r="D72" s="10"/>
      <c r="F72" s="10"/>
      <c r="H72" s="10"/>
      <c r="J72" s="10"/>
      <c r="L72" s="10"/>
      <c r="N72" s="10"/>
      <c r="P72" s="10"/>
    </row>
    <row r="73" spans="1:16" s="8" customFormat="1">
      <c r="A73" s="13"/>
      <c r="C73" s="9"/>
      <c r="D73" s="10"/>
      <c r="F73" s="10"/>
      <c r="H73" s="10"/>
      <c r="J73" s="10"/>
      <c r="L73" s="10"/>
      <c r="N73" s="10"/>
      <c r="P73" s="10"/>
    </row>
    <row r="74" spans="1:16" s="8" customFormat="1">
      <c r="A74" s="13"/>
      <c r="C74" s="9"/>
      <c r="D74" s="10"/>
      <c r="F74" s="10"/>
      <c r="H74" s="10"/>
      <c r="J74" s="10"/>
      <c r="L74" s="10"/>
      <c r="N74" s="10"/>
      <c r="P74" s="10"/>
    </row>
    <row r="75" spans="1:16" s="8" customFormat="1">
      <c r="A75" s="13"/>
      <c r="C75" s="9"/>
      <c r="D75" s="10"/>
      <c r="F75" s="10"/>
      <c r="H75" s="10"/>
      <c r="J75" s="10"/>
      <c r="L75" s="10"/>
      <c r="N75" s="10"/>
      <c r="P75" s="10"/>
    </row>
    <row r="76" spans="1:16" s="8" customFormat="1">
      <c r="A76" s="13"/>
      <c r="C76" s="9"/>
      <c r="D76" s="10"/>
      <c r="F76" s="10"/>
      <c r="H76" s="10"/>
      <c r="J76" s="10"/>
      <c r="L76" s="10"/>
      <c r="N76" s="10"/>
      <c r="P76" s="10"/>
    </row>
    <row r="77" spans="1:16" s="8" customFormat="1">
      <c r="A77" s="13"/>
      <c r="C77" s="9"/>
      <c r="D77" s="10"/>
      <c r="F77" s="10"/>
      <c r="H77" s="10"/>
      <c r="J77" s="10"/>
      <c r="L77" s="10"/>
      <c r="N77" s="10"/>
      <c r="P77" s="10"/>
    </row>
    <row r="78" spans="1:16" s="8" customFormat="1">
      <c r="A78" s="13"/>
      <c r="C78" s="9"/>
      <c r="D78" s="10"/>
      <c r="F78" s="10"/>
      <c r="H78" s="10"/>
      <c r="J78" s="10"/>
      <c r="L78" s="10"/>
      <c r="N78" s="10"/>
      <c r="P78" s="10"/>
    </row>
    <row r="79" spans="1:16" s="8" customFormat="1">
      <c r="A79" s="13"/>
      <c r="C79" s="9"/>
      <c r="D79" s="10"/>
      <c r="F79" s="10"/>
      <c r="H79" s="10"/>
      <c r="J79" s="10"/>
      <c r="L79" s="10"/>
      <c r="N79" s="10"/>
      <c r="P79" s="10"/>
    </row>
    <row r="80" spans="1:16" s="8" customFormat="1">
      <c r="A80" s="13"/>
      <c r="C80" s="9"/>
      <c r="D80" s="10"/>
      <c r="F80" s="10"/>
      <c r="H80" s="10"/>
      <c r="J80" s="10"/>
      <c r="L80" s="10"/>
      <c r="N80" s="10"/>
      <c r="P80" s="10"/>
    </row>
    <row r="81" spans="1:16" s="8" customFormat="1">
      <c r="A81" s="13"/>
      <c r="C81" s="9"/>
      <c r="D81" s="10"/>
      <c r="F81" s="10"/>
      <c r="H81" s="10"/>
      <c r="J81" s="10"/>
      <c r="L81" s="10"/>
      <c r="N81" s="10"/>
      <c r="P81" s="10"/>
    </row>
    <row r="82" spans="1:16" s="8" customFormat="1">
      <c r="A82" s="13"/>
      <c r="C82" s="9"/>
      <c r="D82" s="10"/>
      <c r="F82" s="10"/>
      <c r="H82" s="10"/>
      <c r="J82" s="10"/>
      <c r="L82" s="10"/>
      <c r="N82" s="10"/>
      <c r="P82" s="10"/>
    </row>
  </sheetData>
  <sheetProtection password="E5F6" sheet="1" selectLockedCells="1"/>
  <protectedRanges>
    <protectedRange sqref="O5 F5:I10 E11:E12 B5:C9 S15:AD43 I15:I43 E15:E43" name="Range1"/>
  </protectedRanges>
  <mergeCells count="11">
    <mergeCell ref="B9:C9"/>
    <mergeCell ref="F9:I9"/>
    <mergeCell ref="K9:M9"/>
    <mergeCell ref="R13:AE13"/>
    <mergeCell ref="B5:C5"/>
    <mergeCell ref="F5:I5"/>
    <mergeCell ref="K5:M5"/>
    <mergeCell ref="P5:Q5"/>
    <mergeCell ref="B7:C7"/>
    <mergeCell ref="F7:I7"/>
    <mergeCell ref="K7:M7"/>
  </mergeCells>
  <conditionalFormatting sqref="AE14:AE18 AE20:AE44">
    <cfRule type="cellIs" dxfId="3" priority="3" stopIfTrue="1" operator="equal">
      <formula>"Yes"</formula>
    </cfRule>
    <cfRule type="cellIs" dxfId="2" priority="4" stopIfTrue="1" operator="equal">
      <formula>"NO"</formula>
    </cfRule>
  </conditionalFormatting>
  <conditionalFormatting sqref="AE19">
    <cfRule type="cellIs" dxfId="1" priority="1" stopIfTrue="1" operator="equal">
      <formula>"Yes"</formula>
    </cfRule>
    <cfRule type="cellIs" dxfId="0" priority="2" stopIfTrue="1" operator="equal">
      <formula>"NO"</formula>
    </cfRule>
  </conditionalFormatting>
  <printOptions horizontalCentered="1"/>
  <pageMargins left="0.26" right="0.25" top="0.28000000000000003" bottom="0.5" header="0.28000000000000003" footer="0.5"/>
  <pageSetup scale="52"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Total Request</vt:lpstr>
      <vt:lpstr>CafeFavorites</vt:lpstr>
      <vt:lpstr>CarGill</vt:lpstr>
      <vt:lpstr>MichaelFoods</vt:lpstr>
      <vt:lpstr>MichaelFoods!Print_Area</vt:lpstr>
    </vt:vector>
  </TitlesOfParts>
  <Company>Iowa Department of Education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White</dc:creator>
  <cp:lastModifiedBy>Ellen Miller</cp:lastModifiedBy>
  <dcterms:created xsi:type="dcterms:W3CDTF">2013-01-16T15:50:01Z</dcterms:created>
  <dcterms:modified xsi:type="dcterms:W3CDTF">2013-02-13T20:08:24Z</dcterms:modified>
</cp:coreProperties>
</file>