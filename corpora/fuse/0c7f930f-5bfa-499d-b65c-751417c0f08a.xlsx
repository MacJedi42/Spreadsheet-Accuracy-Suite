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515"/>
  <workbookPr showInkAnnotation="0" autoCompressPictures="0"/>
  <bookViews>
    <workbookView xWindow="12020" yWindow="0" windowWidth="14920" windowHeight="17880" tabRatio="50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29" i="1" l="1"/>
  <c r="G29" i="1"/>
  <c r="F29" i="1"/>
  <c r="H28" i="1"/>
  <c r="H27" i="1"/>
  <c r="H26" i="1"/>
  <c r="G28" i="1"/>
  <c r="G27" i="1"/>
  <c r="G26" i="1"/>
  <c r="F28" i="1"/>
  <c r="F27" i="1"/>
  <c r="F26" i="1"/>
  <c r="E28" i="1"/>
  <c r="E27" i="1"/>
  <c r="E26" i="1"/>
  <c r="D27" i="1"/>
  <c r="D26" i="1"/>
  <c r="C28" i="1"/>
  <c r="C27" i="1"/>
  <c r="C26" i="1"/>
</calcChain>
</file>

<file path=xl/sharedStrings.xml><?xml version="1.0" encoding="utf-8"?>
<sst xmlns="http://schemas.openxmlformats.org/spreadsheetml/2006/main" count="213" uniqueCount="79">
  <si>
    <t>C</t>
    <phoneticPr fontId="5" type="noConversion"/>
  </si>
  <si>
    <r>
      <t>C'/A</t>
    </r>
    <r>
      <rPr>
        <vertAlign val="superscript"/>
        <sz val="14"/>
        <color indexed="8"/>
        <rFont val="Calibri"/>
      </rPr>
      <t>†</t>
    </r>
    <phoneticPr fontId="5" type="noConversion"/>
  </si>
  <si>
    <t>ID</t>
  </si>
  <si>
    <t>Window SI [midpoint] (dpi)</t>
  </si>
  <si>
    <t>Initial subtype</t>
  </si>
  <si>
    <t>SI subtype</t>
  </si>
  <si>
    <t>gag</t>
  </si>
  <si>
    <t>pol</t>
  </si>
  <si>
    <t>env</t>
  </si>
  <si>
    <t>QB210</t>
  </si>
  <si>
    <t>17-163 [90]</t>
  </si>
  <si>
    <t>A</t>
  </si>
  <si>
    <t>D</t>
  </si>
  <si>
    <t>C</t>
  </si>
  <si>
    <t>QC369</t>
  </si>
  <si>
    <t>QD149</t>
  </si>
  <si>
    <t>996-1086 [1041]</t>
  </si>
  <si>
    <t>QD151</t>
  </si>
  <si>
    <t>241-801 [521]</t>
  </si>
  <si>
    <t>QD696</t>
  </si>
  <si>
    <t>QF441</t>
  </si>
  <si>
    <t>QF564</t>
  </si>
  <si>
    <t>QG262</t>
  </si>
  <si>
    <t>QG284</t>
  </si>
  <si>
    <t>Cases previously identified</t>
  </si>
  <si>
    <t>QA013</t>
  </si>
  <si>
    <t>QA252</t>
  </si>
  <si>
    <t>QA413</t>
  </si>
  <si>
    <t>QB008</t>
  </si>
  <si>
    <t>QB045</t>
  </si>
  <si>
    <t>1680-2048 [1864]</t>
  </si>
  <si>
    <t>D/A</t>
  </si>
  <si>
    <t>QB609</t>
  </si>
  <si>
    <t>101-485 [293]</t>
  </si>
  <si>
    <t>QB685</t>
  </si>
  <si>
    <t>303-1453 [878]</t>
  </si>
  <si>
    <t>QB726</t>
  </si>
  <si>
    <t>749-1031 [890]</t>
  </si>
  <si>
    <t>QB850</t>
  </si>
  <si>
    <t>QC858</t>
  </si>
  <si>
    <t>QC885</t>
  </si>
  <si>
    <t>58-152 [105]</t>
  </si>
  <si>
    <t>QD022</t>
  </si>
  <si>
    <t>ND</t>
  </si>
  <si>
    <t>-</t>
  </si>
  <si>
    <t>Proportion subtype A (%)</t>
  </si>
  <si>
    <t>Proportion subtype D (%)</t>
  </si>
  <si>
    <t>Proportion subtype C (%)</t>
  </si>
  <si>
    <t>29-143 [86]</t>
  </si>
  <si>
    <t>49-174 [112]</t>
  </si>
  <si>
    <t>255-444 [350]</t>
  </si>
  <si>
    <t>17-1270 [644]</t>
  </si>
  <si>
    <t>155-260 [208]</t>
  </si>
  <si>
    <t>264-385 [325]</t>
  </si>
  <si>
    <t>1046-1487 [1267]</t>
  </si>
  <si>
    <t>714-1007 [861]</t>
  </si>
  <si>
    <t>303.5-591.5 [448]</t>
  </si>
  <si>
    <t>52-73 [63]</t>
  </si>
  <si>
    <t>341-440 [391]</t>
  </si>
  <si>
    <t>1832-1957 [1895]</t>
  </si>
  <si>
    <t>Cases identified using NGS</t>
  </si>
  <si>
    <r>
      <rPr>
        <sz val="14"/>
        <color indexed="8"/>
        <rFont val="Calibri"/>
      </rPr>
      <t>59</t>
    </r>
    <r>
      <rPr>
        <sz val="14"/>
        <color indexed="8"/>
        <rFont val="Calibri"/>
      </rPr>
      <t>-144 [81]</t>
    </r>
  </si>
  <si>
    <r>
      <t>Proportion intr</t>
    </r>
    <r>
      <rPr>
        <sz val="14"/>
        <color indexed="8"/>
        <rFont val="Calibri"/>
      </rPr>
      <t>a</t>
    </r>
    <r>
      <rPr>
        <sz val="14"/>
        <color indexed="8"/>
        <rFont val="Calibri"/>
      </rPr>
      <t>subtype superinfections (%)</t>
    </r>
  </si>
  <si>
    <t>Detection of recombinants</t>
  </si>
  <si>
    <t>Yes</t>
  </si>
  <si>
    <t>No</t>
  </si>
  <si>
    <r>
      <t>ND</t>
    </r>
    <r>
      <rPr>
        <sz val="12"/>
        <color indexed="8"/>
        <rFont val="Calibri"/>
        <family val="2"/>
      </rPr>
      <t xml:space="preserve"> not determined. </t>
    </r>
  </si>
  <si>
    <t xml:space="preserve"> </t>
  </si>
  <si>
    <r>
      <t>C</t>
    </r>
    <r>
      <rPr>
        <vertAlign val="superscript"/>
        <sz val="14"/>
        <color indexed="8"/>
        <rFont val="Calibri"/>
      </rPr>
      <t>†</t>
    </r>
    <phoneticPr fontId="5" type="noConversion"/>
  </si>
  <si>
    <r>
      <t>D</t>
    </r>
    <r>
      <rPr>
        <vertAlign val="superscript"/>
        <sz val="14"/>
        <color indexed="8"/>
        <rFont val="Calibri"/>
      </rPr>
      <t>†</t>
    </r>
    <phoneticPr fontId="5" type="noConversion"/>
  </si>
  <si>
    <r>
      <t>A</t>
    </r>
    <r>
      <rPr>
        <vertAlign val="superscript"/>
        <sz val="14"/>
        <color indexed="8"/>
        <rFont val="Calibri"/>
      </rPr>
      <t>†</t>
    </r>
    <phoneticPr fontId="5" type="noConversion"/>
  </si>
  <si>
    <r>
      <t>Yes</t>
    </r>
    <r>
      <rPr>
        <vertAlign val="superscript"/>
        <sz val="14"/>
        <color indexed="8"/>
        <rFont val="Calibri"/>
      </rPr>
      <t>^</t>
    </r>
    <phoneticPr fontId="5" type="noConversion"/>
  </si>
  <si>
    <r>
      <t>No</t>
    </r>
    <r>
      <rPr>
        <vertAlign val="superscript"/>
        <sz val="14"/>
        <color indexed="8"/>
        <rFont val="Calibri"/>
      </rPr>
      <t>*</t>
    </r>
    <phoneticPr fontId="5" type="noConversion"/>
  </si>
  <si>
    <r>
      <t>D</t>
    </r>
    <r>
      <rPr>
        <vertAlign val="superscript"/>
        <sz val="14"/>
        <color indexed="8"/>
        <rFont val="Calibri"/>
      </rPr>
      <t>†</t>
    </r>
  </si>
  <si>
    <r>
      <rPr>
        <sz val="14"/>
        <color theme="1"/>
        <rFont val="Calibri"/>
        <scheme val="minor"/>
      </rPr>
      <t xml:space="preserve">- </t>
    </r>
    <r>
      <rPr>
        <sz val="12"/>
        <color theme="1"/>
        <rFont val="Calibri"/>
        <family val="2"/>
        <scheme val="minor"/>
      </rPr>
      <t>Superinfecting variant not detected.</t>
    </r>
  </si>
  <si>
    <r>
      <rPr>
        <vertAlign val="superscript"/>
        <sz val="14"/>
        <color indexed="8"/>
        <rFont val="Calibri"/>
      </rPr>
      <t>†</t>
    </r>
    <r>
      <rPr>
        <sz val="12"/>
        <color theme="1"/>
        <rFont val="Calibri"/>
        <family val="2"/>
        <scheme val="minor"/>
      </rPr>
      <t xml:space="preserve"> Intersubtype superinfection. </t>
    </r>
  </si>
  <si>
    <r>
      <rPr>
        <vertAlign val="superscript"/>
        <sz val="14"/>
        <color indexed="8"/>
        <rFont val="Calibri"/>
      </rPr>
      <t>^</t>
    </r>
    <r>
      <rPr>
        <sz val="12"/>
        <color theme="1"/>
        <rFont val="Calibri"/>
        <family val="2"/>
        <scheme val="minor"/>
      </rPr>
      <t xml:space="preserve"> Based on lack of detection of superinfecting variant at any time in one or more genes.</t>
    </r>
  </si>
  <si>
    <r>
      <rPr>
        <vertAlign val="superscript"/>
        <sz val="14"/>
        <color indexed="8"/>
        <rFont val="Calibri"/>
      </rPr>
      <t>*</t>
    </r>
    <r>
      <rPr>
        <sz val="12"/>
        <color theme="1"/>
        <rFont val="Calibri"/>
        <family val="2"/>
        <scheme val="minor"/>
      </rPr>
      <t xml:space="preserve"> Based on only one genome region analyzed.</t>
    </r>
  </si>
  <si>
    <r>
      <rPr>
        <sz val="14"/>
        <color theme="1"/>
        <rFont val="Calibri"/>
        <scheme val="minor"/>
      </rPr>
      <t>'</t>
    </r>
    <r>
      <rPr>
        <sz val="12"/>
        <color theme="1"/>
        <rFont val="Calibri"/>
        <family val="2"/>
        <scheme val="minor"/>
      </rPr>
      <t xml:space="preserve"> Portion of recombinant superinfecting virus is phylogenetically distinct from the initial virus of the same subtype.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</si>
</sst>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8" x14ac:knownFonts="1">
    <font>
      <sz val="12"/>
      <color theme="1"/>
      <name val="Calibri"/>
      <family val="2"/>
      <scheme val="minor"/>
    </font>
    <font>
      <sz val="16"/>
      <color theme="1"/>
      <name val="Calibri"/>
      <scheme val="minor"/>
    </font>
    <font>
      <sz val="16"/>
      <color indexed="8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Verdana"/>
    </font>
    <font>
      <u/>
      <sz val="14"/>
      <color indexed="8"/>
      <name val="Calibri"/>
    </font>
    <font>
      <sz val="14"/>
      <color indexed="8"/>
      <name val="Calibri"/>
    </font>
    <font>
      <b/>
      <sz val="14"/>
      <color indexed="8"/>
      <name val="Calibri"/>
    </font>
    <font>
      <b/>
      <i/>
      <sz val="14"/>
      <color indexed="8"/>
      <name val="Calibri"/>
    </font>
    <font>
      <sz val="14"/>
      <color indexed="8"/>
      <name val="Calibri"/>
    </font>
    <font>
      <u/>
      <sz val="14"/>
      <color indexed="8"/>
      <name val="Calibri"/>
    </font>
    <font>
      <i/>
      <sz val="14"/>
      <color indexed="8"/>
      <name val="Calibri"/>
    </font>
    <font>
      <sz val="12"/>
      <color indexed="8"/>
      <name val="Calibri"/>
      <family val="2"/>
    </font>
    <font>
      <i/>
      <sz val="12"/>
      <color indexed="8"/>
      <name val="Calibri"/>
    </font>
    <font>
      <vertAlign val="superscript"/>
      <sz val="12"/>
      <color indexed="8"/>
      <name val="Calibri"/>
    </font>
    <font>
      <vertAlign val="superscript"/>
      <sz val="14"/>
      <color indexed="8"/>
      <name val="Calibri"/>
    </font>
    <font>
      <sz val="14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1">
    <xf numFmtId="0" fontId="0" fillId="0" borderId="0" xfId="0"/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left" vertical="center"/>
    </xf>
    <xf numFmtId="0" fontId="6" fillId="0" borderId="0" xfId="0" applyFont="1" applyFill="1"/>
    <xf numFmtId="0" fontId="7" fillId="0" borderId="0" xfId="0" applyFont="1" applyFill="1"/>
    <xf numFmtId="0" fontId="0" fillId="0" borderId="0" xfId="0" applyFill="1"/>
    <xf numFmtId="0" fontId="9" fillId="0" borderId="6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0" fontId="0" fillId="0" borderId="0" xfId="0" applyFont="1" applyFill="1"/>
    <xf numFmtId="0" fontId="10" fillId="0" borderId="1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164" fontId="10" fillId="0" borderId="3" xfId="0" applyNumberFormat="1" applyFont="1" applyFill="1" applyBorder="1" applyAlignment="1">
      <alignment horizontal="center"/>
    </xf>
    <xf numFmtId="164" fontId="10" fillId="0" borderId="0" xfId="0" applyNumberFormat="1" applyFont="1" applyFill="1" applyAlignment="1">
      <alignment horizontal="center"/>
    </xf>
    <xf numFmtId="164" fontId="10" fillId="0" borderId="0" xfId="0" applyNumberFormat="1" applyFont="1" applyFill="1" applyBorder="1" applyAlignment="1">
      <alignment horizontal="center"/>
    </xf>
    <xf numFmtId="0" fontId="0" fillId="0" borderId="0" xfId="0" applyFill="1" applyBorder="1"/>
    <xf numFmtId="164" fontId="10" fillId="0" borderId="6" xfId="0" applyNumberFormat="1" applyFont="1" applyFill="1" applyBorder="1" applyAlignment="1">
      <alignment horizontal="center"/>
    </xf>
    <xf numFmtId="164" fontId="10" fillId="0" borderId="7" xfId="0" applyNumberFormat="1" applyFont="1" applyFill="1" applyBorder="1" applyAlignment="1">
      <alignment horizontal="center"/>
    </xf>
    <xf numFmtId="0" fontId="7" fillId="0" borderId="7" xfId="0" applyFont="1" applyFill="1" applyBorder="1"/>
    <xf numFmtId="164" fontId="7" fillId="0" borderId="3" xfId="0" applyNumberFormat="1" applyFont="1" applyFill="1" applyBorder="1" applyAlignment="1">
      <alignment horizontal="center"/>
    </xf>
    <xf numFmtId="164" fontId="7" fillId="0" borderId="0" xfId="0" applyNumberFormat="1" applyFont="1" applyFill="1" applyAlignment="1">
      <alignment horizontal="center"/>
    </xf>
    <xf numFmtId="164" fontId="10" fillId="0" borderId="3" xfId="0" applyNumberFormat="1" applyFont="1" applyFill="1" applyBorder="1" applyAlignment="1">
      <alignment horizontal="center" vertical="center"/>
    </xf>
    <xf numFmtId="164" fontId="7" fillId="0" borderId="0" xfId="0" applyNumberFormat="1" applyFont="1" applyFill="1" applyAlignment="1">
      <alignment horizontal="center" vertical="center"/>
    </xf>
    <xf numFmtId="164" fontId="10" fillId="0" borderId="0" xfId="0" applyNumberFormat="1" applyFont="1" applyFill="1" applyBorder="1" applyAlignment="1">
      <alignment horizontal="center" vertical="center"/>
    </xf>
    <xf numFmtId="0" fontId="14" fillId="0" borderId="0" xfId="0" applyFont="1" applyFill="1"/>
    <xf numFmtId="0" fontId="7" fillId="0" borderId="4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0" fillId="0" borderId="0" xfId="0" quotePrefix="1" applyFill="1"/>
    <xf numFmtId="0" fontId="15" fillId="0" borderId="0" xfId="0" applyFont="1" applyFill="1"/>
    <xf numFmtId="0" fontId="7" fillId="0" borderId="3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10" fillId="0" borderId="7" xfId="0" applyFont="1" applyFill="1" applyBorder="1" applyAlignment="1">
      <alignment horizontal="center"/>
    </xf>
    <xf numFmtId="0" fontId="10" fillId="0" borderId="4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 wrapText="1"/>
    </xf>
    <xf numFmtId="0" fontId="10" fillId="0" borderId="1" xfId="0" applyFont="1" applyFill="1" applyBorder="1" applyAlignment="1">
      <alignment horizont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abSelected="1" topLeftCell="A8" workbookViewId="0">
      <selection activeCell="A38" sqref="A38"/>
    </sheetView>
  </sheetViews>
  <sheetFormatPr baseColWidth="10" defaultRowHeight="15" x14ac:dyDescent="0"/>
  <cols>
    <col min="1" max="1" width="10" style="7" customWidth="1"/>
    <col min="2" max="2" width="23.5" style="7" customWidth="1"/>
    <col min="3" max="3" width="8.6640625" style="7" customWidth="1"/>
    <col min="4" max="4" width="5.33203125" style="7" bestFit="1" customWidth="1"/>
    <col min="5" max="5" width="5.83203125" style="7" bestFit="1" customWidth="1"/>
    <col min="6" max="6" width="5.5" style="7" bestFit="1" customWidth="1"/>
    <col min="7" max="7" width="5.33203125" style="7" bestFit="1" customWidth="1"/>
    <col min="8" max="8" width="6.33203125" style="7" bestFit="1" customWidth="1"/>
    <col min="9" max="9" width="18.1640625" style="7" bestFit="1" customWidth="1"/>
    <col min="10" max="10" width="10.83203125" style="7"/>
    <col min="11" max="11" width="28.83203125" style="7" customWidth="1"/>
    <col min="12" max="12" width="22.1640625" style="7" customWidth="1"/>
    <col min="13" max="13" width="17.6640625" style="7" customWidth="1"/>
    <col min="14" max="16384" width="10.83203125" style="7"/>
  </cols>
  <sheetData>
    <row r="1" spans="1:13" ht="18">
      <c r="A1" s="5" t="s">
        <v>60</v>
      </c>
      <c r="B1" s="6"/>
      <c r="C1" s="6"/>
      <c r="D1" s="6"/>
      <c r="E1" s="6"/>
      <c r="F1" s="6"/>
      <c r="G1" s="6"/>
      <c r="H1" s="6"/>
      <c r="I1" s="6"/>
    </row>
    <row r="2" spans="1:13" ht="18">
      <c r="A2" s="56" t="s">
        <v>2</v>
      </c>
      <c r="B2" s="58" t="s">
        <v>3</v>
      </c>
      <c r="C2" s="60" t="s">
        <v>4</v>
      </c>
      <c r="D2" s="48"/>
      <c r="E2" s="56"/>
      <c r="F2" s="60" t="s">
        <v>5</v>
      </c>
      <c r="G2" s="48"/>
      <c r="H2" s="56"/>
      <c r="I2" s="48" t="s">
        <v>63</v>
      </c>
    </row>
    <row r="3" spans="1:13" ht="20">
      <c r="A3" s="57"/>
      <c r="B3" s="59"/>
      <c r="C3" s="8" t="s">
        <v>6</v>
      </c>
      <c r="D3" s="9" t="s">
        <v>7</v>
      </c>
      <c r="E3" s="10" t="s">
        <v>8</v>
      </c>
      <c r="F3" s="8" t="s">
        <v>6</v>
      </c>
      <c r="G3" s="9" t="s">
        <v>7</v>
      </c>
      <c r="H3" s="10" t="s">
        <v>8</v>
      </c>
      <c r="I3" s="49"/>
      <c r="K3" s="2"/>
      <c r="M3" s="2"/>
    </row>
    <row r="4" spans="1:13" ht="20">
      <c r="A4" s="11" t="s">
        <v>9</v>
      </c>
      <c r="B4" s="12" t="s">
        <v>10</v>
      </c>
      <c r="C4" s="13" t="s">
        <v>11</v>
      </c>
      <c r="D4" s="11" t="s">
        <v>12</v>
      </c>
      <c r="E4" s="11" t="s">
        <v>12</v>
      </c>
      <c r="F4" s="13" t="s">
        <v>68</v>
      </c>
      <c r="G4" s="11" t="s">
        <v>68</v>
      </c>
      <c r="H4" s="11" t="s">
        <v>12</v>
      </c>
      <c r="I4" s="43" t="s">
        <v>64</v>
      </c>
      <c r="K4" s="3"/>
      <c r="L4" s="3"/>
      <c r="M4" s="3"/>
    </row>
    <row r="5" spans="1:13" ht="20">
      <c r="A5" s="11" t="s">
        <v>14</v>
      </c>
      <c r="B5" s="12" t="s">
        <v>48</v>
      </c>
      <c r="C5" s="13" t="s">
        <v>11</v>
      </c>
      <c r="D5" s="11" t="s">
        <v>11</v>
      </c>
      <c r="E5" s="11" t="s">
        <v>11</v>
      </c>
      <c r="F5" s="13" t="s">
        <v>11</v>
      </c>
      <c r="G5" s="11" t="s">
        <v>11</v>
      </c>
      <c r="H5" s="11" t="s">
        <v>11</v>
      </c>
      <c r="I5" s="43" t="s">
        <v>65</v>
      </c>
      <c r="K5" s="3"/>
      <c r="L5" s="3"/>
      <c r="M5" s="3"/>
    </row>
    <row r="6" spans="1:13" ht="20">
      <c r="A6" s="11" t="s">
        <v>15</v>
      </c>
      <c r="B6" s="12" t="s">
        <v>16</v>
      </c>
      <c r="C6" s="13" t="s">
        <v>11</v>
      </c>
      <c r="D6" s="11" t="s">
        <v>11</v>
      </c>
      <c r="E6" s="11" t="s">
        <v>11</v>
      </c>
      <c r="F6" s="13" t="s">
        <v>44</v>
      </c>
      <c r="G6" s="11" t="s">
        <v>44</v>
      </c>
      <c r="H6" s="11" t="s">
        <v>11</v>
      </c>
      <c r="I6" s="47" t="s">
        <v>71</v>
      </c>
      <c r="K6" s="3"/>
      <c r="L6" s="3"/>
      <c r="M6" s="3"/>
    </row>
    <row r="7" spans="1:13" ht="20">
      <c r="A7" s="11" t="s">
        <v>17</v>
      </c>
      <c r="B7" s="12" t="s">
        <v>18</v>
      </c>
      <c r="C7" s="13" t="s">
        <v>11</v>
      </c>
      <c r="D7" s="11" t="s">
        <v>11</v>
      </c>
      <c r="E7" s="11" t="s">
        <v>11</v>
      </c>
      <c r="F7" s="13" t="s">
        <v>11</v>
      </c>
      <c r="G7" s="11" t="s">
        <v>11</v>
      </c>
      <c r="H7" s="11" t="s">
        <v>11</v>
      </c>
      <c r="I7" s="43" t="s">
        <v>64</v>
      </c>
      <c r="K7" s="3"/>
      <c r="L7" s="3"/>
      <c r="M7" s="3"/>
    </row>
    <row r="8" spans="1:13" ht="20">
      <c r="A8" s="11" t="s">
        <v>19</v>
      </c>
      <c r="B8" s="12" t="s">
        <v>49</v>
      </c>
      <c r="C8" s="13" t="s">
        <v>11</v>
      </c>
      <c r="D8" s="11" t="s">
        <v>11</v>
      </c>
      <c r="E8" s="11" t="s">
        <v>11</v>
      </c>
      <c r="F8" s="13" t="s">
        <v>44</v>
      </c>
      <c r="G8" s="11" t="s">
        <v>11</v>
      </c>
      <c r="H8" s="11" t="s">
        <v>11</v>
      </c>
      <c r="I8" s="47" t="s">
        <v>71</v>
      </c>
      <c r="K8" s="3"/>
      <c r="L8" s="3"/>
      <c r="M8" s="3"/>
    </row>
    <row r="9" spans="1:13" ht="20">
      <c r="A9" s="11" t="s">
        <v>20</v>
      </c>
      <c r="B9" s="12" t="s">
        <v>50</v>
      </c>
      <c r="C9" s="13" t="s">
        <v>11</v>
      </c>
      <c r="D9" s="11" t="s">
        <v>11</v>
      </c>
      <c r="E9" s="11" t="s">
        <v>11</v>
      </c>
      <c r="F9" s="13" t="s">
        <v>69</v>
      </c>
      <c r="G9" s="11" t="s">
        <v>69</v>
      </c>
      <c r="H9" s="11" t="s">
        <v>11</v>
      </c>
      <c r="I9" s="43" t="s">
        <v>64</v>
      </c>
      <c r="K9" s="3"/>
      <c r="L9" s="3"/>
      <c r="M9" s="3"/>
    </row>
    <row r="10" spans="1:13" ht="20">
      <c r="A10" s="11" t="s">
        <v>21</v>
      </c>
      <c r="B10" s="12" t="s">
        <v>51</v>
      </c>
      <c r="C10" s="13" t="s">
        <v>11</v>
      </c>
      <c r="D10" s="11" t="s">
        <v>11</v>
      </c>
      <c r="E10" s="11" t="s">
        <v>11</v>
      </c>
      <c r="F10" s="13" t="s">
        <v>69</v>
      </c>
      <c r="G10" s="11" t="s">
        <v>69</v>
      </c>
      <c r="H10" s="11" t="s">
        <v>11</v>
      </c>
      <c r="I10" s="43" t="s">
        <v>64</v>
      </c>
      <c r="K10" s="3"/>
      <c r="L10" s="3"/>
      <c r="M10" s="3"/>
    </row>
    <row r="11" spans="1:13" ht="20">
      <c r="A11" s="11" t="s">
        <v>22</v>
      </c>
      <c r="B11" s="14" t="s">
        <v>61</v>
      </c>
      <c r="C11" s="13" t="s">
        <v>11</v>
      </c>
      <c r="D11" s="11" t="s">
        <v>11</v>
      </c>
      <c r="E11" s="11" t="s">
        <v>11</v>
      </c>
      <c r="F11" s="13" t="s">
        <v>11</v>
      </c>
      <c r="G11" s="11" t="s">
        <v>11</v>
      </c>
      <c r="H11" s="11" t="s">
        <v>11</v>
      </c>
      <c r="I11" s="43" t="s">
        <v>64</v>
      </c>
      <c r="K11" s="3"/>
      <c r="L11" s="3"/>
      <c r="M11" s="3"/>
    </row>
    <row r="12" spans="1:13" ht="20">
      <c r="A12" s="11" t="s">
        <v>23</v>
      </c>
      <c r="B12" s="12" t="s">
        <v>52</v>
      </c>
      <c r="C12" s="13" t="s">
        <v>11</v>
      </c>
      <c r="D12" s="11" t="s">
        <v>11</v>
      </c>
      <c r="E12" s="11" t="s">
        <v>11</v>
      </c>
      <c r="F12" s="13" t="s">
        <v>11</v>
      </c>
      <c r="G12" s="11" t="s">
        <v>11</v>
      </c>
      <c r="H12" s="11" t="s">
        <v>11</v>
      </c>
      <c r="I12" s="43" t="s">
        <v>64</v>
      </c>
      <c r="K12" s="3"/>
      <c r="L12" s="3"/>
      <c r="M12" s="3"/>
    </row>
    <row r="13" spans="1:13" ht="18">
      <c r="A13" s="15" t="s">
        <v>24</v>
      </c>
      <c r="B13" s="16"/>
      <c r="C13" s="16"/>
      <c r="D13" s="16"/>
      <c r="E13" s="16"/>
      <c r="F13" s="16"/>
      <c r="G13" s="16"/>
      <c r="H13" s="16"/>
      <c r="I13" s="16"/>
      <c r="K13" s="17"/>
      <c r="M13" s="17"/>
    </row>
    <row r="14" spans="1:13" ht="20">
      <c r="A14" s="18" t="s">
        <v>25</v>
      </c>
      <c r="B14" s="19" t="s">
        <v>53</v>
      </c>
      <c r="C14" s="20" t="s">
        <v>43</v>
      </c>
      <c r="D14" s="20" t="s">
        <v>43</v>
      </c>
      <c r="E14" s="21" t="s">
        <v>12</v>
      </c>
      <c r="F14" s="20" t="s">
        <v>43</v>
      </c>
      <c r="G14" s="20" t="s">
        <v>43</v>
      </c>
      <c r="H14" s="21" t="s">
        <v>70</v>
      </c>
      <c r="I14" s="16" t="s">
        <v>72</v>
      </c>
      <c r="K14" s="3"/>
      <c r="M14" s="3"/>
    </row>
    <row r="15" spans="1:13" ht="20">
      <c r="A15" s="18" t="s">
        <v>26</v>
      </c>
      <c r="B15" s="23" t="s">
        <v>54</v>
      </c>
      <c r="C15" s="22" t="s">
        <v>12</v>
      </c>
      <c r="D15" s="20" t="s">
        <v>43</v>
      </c>
      <c r="E15" s="21" t="s">
        <v>12</v>
      </c>
      <c r="F15" s="22" t="s">
        <v>70</v>
      </c>
      <c r="G15" s="20" t="s">
        <v>43</v>
      </c>
      <c r="H15" s="21" t="s">
        <v>44</v>
      </c>
      <c r="I15" s="16" t="s">
        <v>71</v>
      </c>
      <c r="K15" s="3"/>
      <c r="M15" s="3"/>
    </row>
    <row r="16" spans="1:13" ht="20">
      <c r="A16" s="18" t="s">
        <v>27</v>
      </c>
      <c r="B16" s="19" t="s">
        <v>55</v>
      </c>
      <c r="C16" s="22" t="s">
        <v>11</v>
      </c>
      <c r="D16" s="20" t="s">
        <v>43</v>
      </c>
      <c r="E16" s="21" t="s">
        <v>11</v>
      </c>
      <c r="F16" s="22" t="s">
        <v>44</v>
      </c>
      <c r="G16" s="20" t="s">
        <v>43</v>
      </c>
      <c r="H16" s="21" t="s">
        <v>11</v>
      </c>
      <c r="I16" s="16" t="s">
        <v>71</v>
      </c>
      <c r="K16" s="3"/>
      <c r="M16" s="3"/>
    </row>
    <row r="17" spans="1:13" ht="20">
      <c r="A17" s="18" t="s">
        <v>28</v>
      </c>
      <c r="B17" s="19" t="s">
        <v>56</v>
      </c>
      <c r="C17" s="20" t="s">
        <v>43</v>
      </c>
      <c r="D17" s="20" t="s">
        <v>43</v>
      </c>
      <c r="E17" s="21" t="s">
        <v>0</v>
      </c>
      <c r="F17" s="20" t="s">
        <v>43</v>
      </c>
      <c r="G17" s="20" t="s">
        <v>43</v>
      </c>
      <c r="H17" s="44" t="s">
        <v>1</v>
      </c>
      <c r="I17" s="16" t="s">
        <v>72</v>
      </c>
      <c r="K17" s="3"/>
      <c r="M17" s="3"/>
    </row>
    <row r="18" spans="1:13" ht="20">
      <c r="A18" s="18" t="s">
        <v>29</v>
      </c>
      <c r="B18" s="19" t="s">
        <v>30</v>
      </c>
      <c r="C18" s="22" t="s">
        <v>31</v>
      </c>
      <c r="D18" s="20" t="s">
        <v>43</v>
      </c>
      <c r="E18" s="21" t="s">
        <v>11</v>
      </c>
      <c r="F18" s="16" t="s">
        <v>11</v>
      </c>
      <c r="G18" s="20" t="s">
        <v>43</v>
      </c>
      <c r="H18" s="21" t="s">
        <v>11</v>
      </c>
      <c r="I18" s="16" t="s">
        <v>64</v>
      </c>
      <c r="K18" s="3"/>
      <c r="M18" s="3"/>
    </row>
    <row r="19" spans="1:13" ht="20">
      <c r="A19" s="18" t="s">
        <v>32</v>
      </c>
      <c r="B19" s="19" t="s">
        <v>33</v>
      </c>
      <c r="C19" s="20" t="s">
        <v>43</v>
      </c>
      <c r="D19" s="20" t="s">
        <v>43</v>
      </c>
      <c r="E19" s="21" t="s">
        <v>12</v>
      </c>
      <c r="F19" s="20" t="s">
        <v>43</v>
      </c>
      <c r="G19" s="20" t="s">
        <v>43</v>
      </c>
      <c r="H19" s="21" t="s">
        <v>11</v>
      </c>
      <c r="I19" s="16" t="s">
        <v>72</v>
      </c>
      <c r="K19" s="3"/>
      <c r="M19" s="3"/>
    </row>
    <row r="20" spans="1:13" ht="20">
      <c r="A20" s="18" t="s">
        <v>34</v>
      </c>
      <c r="B20" s="19" t="s">
        <v>35</v>
      </c>
      <c r="C20" s="22" t="s">
        <v>11</v>
      </c>
      <c r="D20" s="20" t="s">
        <v>43</v>
      </c>
      <c r="E20" s="21" t="s">
        <v>11</v>
      </c>
      <c r="F20" s="22" t="s">
        <v>11</v>
      </c>
      <c r="G20" s="20" t="s">
        <v>43</v>
      </c>
      <c r="H20" s="21" t="s">
        <v>44</v>
      </c>
      <c r="I20" s="16" t="s">
        <v>71</v>
      </c>
      <c r="K20" s="3"/>
      <c r="M20" s="3"/>
    </row>
    <row r="21" spans="1:13" ht="20">
      <c r="A21" s="18" t="s">
        <v>36</v>
      </c>
      <c r="B21" s="19" t="s">
        <v>37</v>
      </c>
      <c r="C21" s="22" t="s">
        <v>12</v>
      </c>
      <c r="D21" s="20" t="s">
        <v>43</v>
      </c>
      <c r="E21" s="21" t="s">
        <v>11</v>
      </c>
      <c r="F21" s="22" t="s">
        <v>70</v>
      </c>
      <c r="G21" s="20" t="s">
        <v>43</v>
      </c>
      <c r="H21" s="21" t="s">
        <v>11</v>
      </c>
      <c r="I21" s="16" t="s">
        <v>64</v>
      </c>
      <c r="K21" s="3"/>
      <c r="M21" s="3"/>
    </row>
    <row r="22" spans="1:13" ht="20">
      <c r="A22" s="18" t="s">
        <v>38</v>
      </c>
      <c r="B22" s="19" t="s">
        <v>57</v>
      </c>
      <c r="C22" s="22" t="s">
        <v>11</v>
      </c>
      <c r="D22" s="20" t="s">
        <v>43</v>
      </c>
      <c r="E22" s="21" t="s">
        <v>11</v>
      </c>
      <c r="F22" s="22" t="s">
        <v>44</v>
      </c>
      <c r="G22" s="20" t="s">
        <v>43</v>
      </c>
      <c r="H22" s="44" t="s">
        <v>73</v>
      </c>
      <c r="I22" s="16" t="s">
        <v>71</v>
      </c>
      <c r="K22" s="3"/>
      <c r="M22" s="3"/>
    </row>
    <row r="23" spans="1:13" ht="20">
      <c r="A23" s="18" t="s">
        <v>39</v>
      </c>
      <c r="B23" s="19" t="s">
        <v>58</v>
      </c>
      <c r="C23" s="22" t="s">
        <v>11</v>
      </c>
      <c r="D23" s="20" t="s">
        <v>43</v>
      </c>
      <c r="E23" s="21" t="s">
        <v>12</v>
      </c>
      <c r="F23" s="22" t="s">
        <v>11</v>
      </c>
      <c r="G23" s="20" t="s">
        <v>43</v>
      </c>
      <c r="H23" s="21" t="s">
        <v>44</v>
      </c>
      <c r="I23" s="16" t="s">
        <v>71</v>
      </c>
      <c r="J23" s="46"/>
      <c r="K23" s="3"/>
      <c r="M23" s="3"/>
    </row>
    <row r="24" spans="1:13" ht="20">
      <c r="A24" s="18" t="s">
        <v>40</v>
      </c>
      <c r="B24" s="19" t="s">
        <v>41</v>
      </c>
      <c r="C24" s="22" t="s">
        <v>13</v>
      </c>
      <c r="D24" s="20" t="s">
        <v>43</v>
      </c>
      <c r="E24" s="21" t="s">
        <v>11</v>
      </c>
      <c r="F24" s="16" t="s">
        <v>70</v>
      </c>
      <c r="G24" s="20" t="s">
        <v>43</v>
      </c>
      <c r="H24" s="21" t="s">
        <v>44</v>
      </c>
      <c r="I24" s="16" t="s">
        <v>71</v>
      </c>
      <c r="K24" s="3"/>
      <c r="M24" s="3"/>
    </row>
    <row r="25" spans="1:13" ht="20">
      <c r="A25" s="24" t="s">
        <v>42</v>
      </c>
      <c r="B25" s="25" t="s">
        <v>59</v>
      </c>
      <c r="C25" s="28" t="s">
        <v>11</v>
      </c>
      <c r="D25" s="26" t="s">
        <v>43</v>
      </c>
      <c r="E25" s="27" t="s">
        <v>11</v>
      </c>
      <c r="F25" s="28" t="s">
        <v>44</v>
      </c>
      <c r="G25" s="26" t="s">
        <v>43</v>
      </c>
      <c r="H25" s="42" t="s">
        <v>68</v>
      </c>
      <c r="I25" s="28" t="s">
        <v>71</v>
      </c>
      <c r="K25" s="3"/>
      <c r="M25" s="3"/>
    </row>
    <row r="26" spans="1:13" s="32" customFormat="1" ht="20">
      <c r="A26" s="50" t="s">
        <v>45</v>
      </c>
      <c r="B26" s="51"/>
      <c r="C26" s="29">
        <f>13/17*100</f>
        <v>76.470588235294116</v>
      </c>
      <c r="D26" s="30">
        <f>8/9*100</f>
        <v>88.888888888888886</v>
      </c>
      <c r="E26" s="31">
        <f>15/21*100</f>
        <v>71.428571428571431</v>
      </c>
      <c r="F26" s="29">
        <f>8/13*100</f>
        <v>61.53846153846154</v>
      </c>
      <c r="G26" s="30">
        <f>5/8*100</f>
        <v>62.5</v>
      </c>
      <c r="H26" s="31">
        <f>13/17*100</f>
        <v>76.470588235294116</v>
      </c>
      <c r="I26" s="6"/>
      <c r="K26" s="3"/>
      <c r="M26" s="3"/>
    </row>
    <row r="27" spans="1:13" ht="18">
      <c r="A27" s="50" t="s">
        <v>46</v>
      </c>
      <c r="B27" s="51"/>
      <c r="C27" s="29">
        <f>2/17*100</f>
        <v>11.76470588235294</v>
      </c>
      <c r="D27" s="30">
        <f>1/9*100</f>
        <v>11.111111111111111</v>
      </c>
      <c r="E27" s="31">
        <f>5/21*100</f>
        <v>23.809523809523807</v>
      </c>
      <c r="F27" s="29">
        <f>2/13*100</f>
        <v>15.384615384615385</v>
      </c>
      <c r="G27" s="30">
        <f>2/8*100</f>
        <v>25</v>
      </c>
      <c r="H27" s="31">
        <f>1/17*100</f>
        <v>5.8823529411764701</v>
      </c>
      <c r="I27" s="6"/>
      <c r="K27" s="17"/>
      <c r="L27" s="17"/>
    </row>
    <row r="28" spans="1:13" ht="18">
      <c r="A28" s="52" t="s">
        <v>47</v>
      </c>
      <c r="B28" s="53"/>
      <c r="C28" s="33">
        <f>1/17*100</f>
        <v>5.8823529411764701</v>
      </c>
      <c r="D28" s="34">
        <v>0</v>
      </c>
      <c r="E28" s="34">
        <f>1/21*100</f>
        <v>4.7619047619047619</v>
      </c>
      <c r="F28" s="33">
        <f>1/13*100</f>
        <v>7.6923076923076925</v>
      </c>
      <c r="G28" s="34">
        <f>1/8*100</f>
        <v>12.5</v>
      </c>
      <c r="H28" s="34">
        <f>1/17*100</f>
        <v>5.8823529411764701</v>
      </c>
      <c r="I28" s="35"/>
    </row>
    <row r="29" spans="1:13" ht="40" customHeight="1">
      <c r="A29" s="54" t="s">
        <v>62</v>
      </c>
      <c r="B29" s="55"/>
      <c r="C29" s="36"/>
      <c r="D29" s="37"/>
      <c r="E29" s="37"/>
      <c r="F29" s="38">
        <f>7/13*100</f>
        <v>53.846153846153847</v>
      </c>
      <c r="G29" s="39">
        <f>5/8*100</f>
        <v>62.5</v>
      </c>
      <c r="H29" s="40">
        <f>12/17*100</f>
        <v>70.588235294117652</v>
      </c>
      <c r="I29" s="6"/>
    </row>
    <row r="30" spans="1:13">
      <c r="K30" s="4"/>
    </row>
    <row r="31" spans="1:13" ht="16" customHeight="1">
      <c r="A31" s="41" t="s">
        <v>66</v>
      </c>
      <c r="I31" s="1"/>
      <c r="J31" s="1"/>
      <c r="K31" s="1"/>
      <c r="L31" s="1"/>
    </row>
    <row r="32" spans="1:13" ht="19" customHeight="1">
      <c r="A32" s="45" t="s">
        <v>74</v>
      </c>
      <c r="J32" s="1"/>
      <c r="K32" s="1"/>
      <c r="L32" s="1"/>
    </row>
    <row r="33" spans="1:1" ht="19" customHeight="1">
      <c r="A33" s="46" t="s">
        <v>75</v>
      </c>
    </row>
    <row r="34" spans="1:1" ht="19" customHeight="1">
      <c r="A34" s="46" t="s">
        <v>76</v>
      </c>
    </row>
    <row r="35" spans="1:1" ht="19" customHeight="1">
      <c r="A35" s="46" t="s">
        <v>77</v>
      </c>
    </row>
    <row r="36" spans="1:1" ht="19" customHeight="1">
      <c r="A36" s="45" t="s">
        <v>78</v>
      </c>
    </row>
    <row r="37" spans="1:1">
      <c r="A37" s="7" t="s">
        <v>67</v>
      </c>
    </row>
  </sheetData>
  <mergeCells count="9">
    <mergeCell ref="I2:I3"/>
    <mergeCell ref="A26:B26"/>
    <mergeCell ref="A27:B27"/>
    <mergeCell ref="A28:B28"/>
    <mergeCell ref="A29:B29"/>
    <mergeCell ref="A2:A3"/>
    <mergeCell ref="B2:B3"/>
    <mergeCell ref="C2:E2"/>
    <mergeCell ref="F2:H2"/>
  </mergeCells>
  <phoneticPr fontId="5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FHCRC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Keshet Ronen</dc:creator>
  <cp:lastModifiedBy>Keshet Ronen</cp:lastModifiedBy>
  <dcterms:created xsi:type="dcterms:W3CDTF">2012-12-11T02:03:21Z</dcterms:created>
  <dcterms:modified xsi:type="dcterms:W3CDTF">2013-07-16T19:43:46Z</dcterms:modified>
</cp:coreProperties>
</file>