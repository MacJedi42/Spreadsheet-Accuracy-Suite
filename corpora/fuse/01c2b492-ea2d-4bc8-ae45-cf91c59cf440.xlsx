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20" yWindow="60" windowWidth="17400" windowHeight="11640" tabRatio="763"/>
  </bookViews>
  <sheets>
    <sheet name="% FTE Reduction" sheetId="2" r:id="rId1"/>
  </sheets>
  <calcPr calcId="125725"/>
</workbook>
</file>

<file path=xl/calcChain.xml><?xml version="1.0" encoding="utf-8"?>
<calcChain xmlns="http://schemas.openxmlformats.org/spreadsheetml/2006/main">
  <c r="E10" i="2"/>
  <c r="E21"/>
  <c r="F21"/>
  <c r="F10"/>
  <c r="D21"/>
  <c r="D10"/>
</calcChain>
</file>

<file path=xl/sharedStrings.xml><?xml version="1.0" encoding="utf-8"?>
<sst xmlns="http://schemas.openxmlformats.org/spreadsheetml/2006/main" count="18" uniqueCount="12">
  <si>
    <t>Instructions:</t>
  </si>
  <si>
    <t>12-Month Employee</t>
  </si>
  <si>
    <t>Days</t>
  </si>
  <si>
    <t>Hours</t>
  </si>
  <si>
    <t>Annual Salary</t>
  </si>
  <si>
    <t>FTE</t>
  </si>
  <si>
    <t>Enter your annual salary rate, FTE, and percentage of monthly FTE reduction in the yellow highlighted fields</t>
  </si>
  <si>
    <t xml:space="preserve">9-month Employee </t>
  </si>
  <si>
    <t>* If you have any questions or need assistance, please contact Payroll at 346-3151.</t>
  </si>
  <si>
    <t>% Monthly Reduction</t>
  </si>
  <si>
    <t>Monthly Gross Salary Reduction Amount</t>
  </si>
  <si>
    <t>Voluntary FTE Reduction Calculator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</si>
</sst>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u/>
      <sz val="11"/>
      <color indexed="8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4" fontId="0" fillId="0" borderId="0" xfId="0" applyNumberFormat="1" applyProtection="1">
      <protection hidden="1"/>
    </xf>
    <xf numFmtId="1" fontId="0" fillId="0" borderId="0" xfId="0" applyNumberFormat="1" applyProtection="1">
      <protection hidden="1"/>
    </xf>
    <xf numFmtId="44" fontId="1" fillId="0" borderId="0" xfId="0" applyNumberFormat="1" applyFont="1" applyProtection="1">
      <protection hidden="1"/>
    </xf>
    <xf numFmtId="1" fontId="1" fillId="0" borderId="0" xfId="0" applyNumberFormat="1" applyFont="1" applyProtection="1"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hidden="1"/>
    </xf>
    <xf numFmtId="3" fontId="0" fillId="0" borderId="0" xfId="0" applyNumberFormat="1" applyFill="1" applyProtection="1">
      <protection hidden="1"/>
    </xf>
    <xf numFmtId="2" fontId="0" fillId="0" borderId="0" xfId="0" applyNumberFormat="1" applyFill="1" applyProtection="1">
      <protection hidden="1"/>
    </xf>
    <xf numFmtId="0" fontId="0" fillId="0" borderId="0" xfId="0" applyFill="1" applyProtection="1">
      <protection hidden="1"/>
    </xf>
    <xf numFmtId="0" fontId="1" fillId="0" borderId="0" xfId="0" applyFont="1" applyProtection="1">
      <protection hidden="1"/>
    </xf>
    <xf numFmtId="0" fontId="1" fillId="2" borderId="0" xfId="0" applyFont="1" applyFill="1" applyProtection="1">
      <protection hidden="1"/>
    </xf>
    <xf numFmtId="3" fontId="0" fillId="3" borderId="1" xfId="0" applyNumberFormat="1" applyFill="1" applyBorder="1" applyProtection="1">
      <protection locked="0" hidden="1"/>
    </xf>
    <xf numFmtId="2" fontId="0" fillId="3" borderId="1" xfId="0" applyNumberFormat="1" applyFill="1" applyBorder="1" applyProtection="1">
      <protection locked="0" hidden="1"/>
    </xf>
    <xf numFmtId="10" fontId="0" fillId="3" borderId="1" xfId="0" applyNumberFormat="1" applyFill="1" applyBorder="1" applyProtection="1">
      <protection locked="0" hidden="1"/>
    </xf>
    <xf numFmtId="2" fontId="0" fillId="0" borderId="0" xfId="0" applyNumberFormat="1" applyProtection="1">
      <protection hidden="1"/>
    </xf>
    <xf numFmtId="2" fontId="1" fillId="0" borderId="0" xfId="0" applyNumberFormat="1" applyFont="1" applyProtection="1">
      <protection hidden="1"/>
    </xf>
    <xf numFmtId="2" fontId="3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0</xdr:col>
      <xdr:colOff>1343025</xdr:colOff>
      <xdr:row>2</xdr:row>
      <xdr:rowOff>171450</xdr:rowOff>
    </xdr:to>
    <xdr:sp macro="" textlink="">
      <xdr:nvSpPr>
        <xdr:cNvPr id="3098" name="TextBox 2"/>
        <xdr:cNvSpPr txBox="1">
          <a:spLocks/>
        </xdr:cNvSpPr>
      </xdr:nvSpPr>
      <xdr:spPr bwMode="auto">
        <a:xfrm>
          <a:off x="28575" y="19050"/>
          <a:ext cx="13144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1">
          <a:gsLst>
            <a:gs pos="0">
              <a:srgbClr val="008000"/>
            </a:gs>
            <a:gs pos="50000">
              <a:srgbClr val="99CC00"/>
            </a:gs>
            <a:gs pos="100000">
              <a:srgbClr val="008000"/>
            </a:gs>
          </a:gsLst>
          <a:lin ang="540000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1">
          <a:gsLst>
            <a:gs pos="0">
              <a:srgbClr val="008000"/>
            </a:gs>
            <a:gs pos="50000">
              <a:srgbClr val="99CC00"/>
            </a:gs>
            <a:gs pos="100000">
              <a:srgbClr val="008000"/>
            </a:gs>
          </a:gsLst>
          <a:lin ang="5400000" scaled="1"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F32"/>
  <sheetViews>
    <sheetView tabSelected="1" workbookViewId="0">
      <selection activeCell="A7" sqref="A7"/>
    </sheetView>
  </sheetViews>
  <sheetFormatPr defaultRowHeight="15"/>
  <cols>
    <col min="1" max="1" width="21.28515625" customWidth="1"/>
    <col min="2" max="2" width="16.140625" customWidth="1"/>
    <col min="4" max="4" width="37.5703125" bestFit="1" customWidth="1"/>
  </cols>
  <sheetData>
    <row r="1" spans="1:6" ht="18.75">
      <c r="A1" s="5"/>
      <c r="B1" s="19" t="s">
        <v>11</v>
      </c>
      <c r="C1" s="19"/>
      <c r="D1" s="19"/>
      <c r="E1" s="5"/>
      <c r="F1" s="5"/>
    </row>
    <row r="2" spans="1:6">
      <c r="A2" s="5"/>
      <c r="B2" s="5"/>
      <c r="C2" s="5"/>
      <c r="D2" s="5"/>
      <c r="E2" s="5"/>
      <c r="F2" s="5"/>
    </row>
    <row r="3" spans="1:6">
      <c r="A3" s="11" t="s">
        <v>0</v>
      </c>
      <c r="B3" s="5" t="s">
        <v>6</v>
      </c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12" t="s">
        <v>1</v>
      </c>
      <c r="B6" s="5"/>
      <c r="C6" s="5"/>
      <c r="D6" s="5"/>
      <c r="E6" s="5"/>
      <c r="F6" s="5"/>
    </row>
    <row r="7" spans="1:6">
      <c r="A7" s="5"/>
      <c r="B7" s="5"/>
      <c r="C7" s="5"/>
      <c r="D7" s="6"/>
      <c r="E7" s="5"/>
      <c r="F7" s="5"/>
    </row>
    <row r="8" spans="1:6">
      <c r="A8" s="11"/>
      <c r="B8" s="11"/>
      <c r="C8" s="11"/>
      <c r="D8" s="7" t="s">
        <v>10</v>
      </c>
      <c r="E8" s="7" t="s">
        <v>2</v>
      </c>
      <c r="F8" s="7" t="s">
        <v>3</v>
      </c>
    </row>
    <row r="9" spans="1:6">
      <c r="A9" s="11"/>
      <c r="B9" s="11"/>
      <c r="C9" s="11"/>
      <c r="D9" s="11"/>
      <c r="E9" s="11"/>
      <c r="F9" s="11"/>
    </row>
    <row r="10" spans="1:6">
      <c r="A10" s="5" t="s">
        <v>4</v>
      </c>
      <c r="B10" s="13">
        <v>50000</v>
      </c>
      <c r="C10" s="8"/>
      <c r="D10" s="1">
        <f>ROUND(B10/12*B11*B12,2)</f>
        <v>191.67</v>
      </c>
      <c r="E10" s="16">
        <f>MROUND(ROUND(B11*65*B12,2)/3,0.25)</f>
        <v>1</v>
      </c>
      <c r="F10" s="2">
        <f>ROUND(ROUND(((65*8)*B11)*B12,2)/3,2)</f>
        <v>7.97</v>
      </c>
    </row>
    <row r="11" spans="1:6">
      <c r="A11" s="5" t="s">
        <v>5</v>
      </c>
      <c r="B11" s="14">
        <v>1</v>
      </c>
      <c r="C11" s="9"/>
      <c r="D11" s="1"/>
      <c r="E11" s="16"/>
      <c r="F11" s="2"/>
    </row>
    <row r="12" spans="1:6">
      <c r="A12" s="5" t="s">
        <v>9</v>
      </c>
      <c r="B12" s="15">
        <v>4.5999999999999999E-2</v>
      </c>
      <c r="C12" s="10"/>
      <c r="D12" s="1"/>
      <c r="E12" s="16"/>
      <c r="F12" s="2"/>
    </row>
    <row r="13" spans="1:6">
      <c r="A13" s="5"/>
      <c r="B13" s="5"/>
      <c r="C13" s="5"/>
      <c r="D13" s="5"/>
      <c r="E13" s="16"/>
      <c r="F13" s="5"/>
    </row>
    <row r="14" spans="1:6">
      <c r="A14" s="5"/>
      <c r="B14" s="5"/>
      <c r="C14" s="5"/>
      <c r="D14" s="3"/>
      <c r="E14" s="17"/>
      <c r="F14" s="4"/>
    </row>
    <row r="15" spans="1:6">
      <c r="A15" s="5"/>
      <c r="B15" s="5"/>
      <c r="C15" s="5"/>
      <c r="D15" s="5"/>
      <c r="E15" s="16"/>
      <c r="F15" s="5"/>
    </row>
    <row r="16" spans="1:6">
      <c r="A16" s="5"/>
      <c r="B16" s="5"/>
      <c r="C16" s="5"/>
      <c r="D16" s="5"/>
      <c r="E16" s="16"/>
      <c r="F16" s="5"/>
    </row>
    <row r="17" spans="1:6">
      <c r="A17" s="12" t="s">
        <v>7</v>
      </c>
      <c r="B17" s="5"/>
      <c r="C17" s="5"/>
      <c r="D17" s="5"/>
      <c r="E17" s="16"/>
      <c r="F17" s="5"/>
    </row>
    <row r="18" spans="1:6">
      <c r="A18" s="5"/>
      <c r="B18" s="11"/>
      <c r="C18" s="11"/>
      <c r="D18" s="6"/>
      <c r="E18" s="16"/>
      <c r="F18" s="5"/>
    </row>
    <row r="19" spans="1:6">
      <c r="A19" s="5"/>
      <c r="B19" s="11"/>
      <c r="C19" s="11"/>
      <c r="D19" s="7" t="s">
        <v>10</v>
      </c>
      <c r="E19" s="18" t="s">
        <v>2</v>
      </c>
      <c r="F19" s="7" t="s">
        <v>3</v>
      </c>
    </row>
    <row r="20" spans="1:6">
      <c r="A20" s="5"/>
      <c r="B20" s="11"/>
      <c r="C20" s="11"/>
      <c r="D20" s="5"/>
      <c r="E20" s="16"/>
      <c r="F20" s="5"/>
    </row>
    <row r="21" spans="1:6">
      <c r="A21" s="5" t="s">
        <v>4</v>
      </c>
      <c r="B21" s="13">
        <v>50000</v>
      </c>
      <c r="C21" s="8"/>
      <c r="D21" s="1">
        <f>ROUND(B21/9*B22*B23,2)</f>
        <v>255.56</v>
      </c>
      <c r="E21" s="16">
        <f>MROUND(ROUND(B22*54*B23,2)/2.5,0.25)</f>
        <v>1</v>
      </c>
      <c r="F21" s="2">
        <f>ROUND(ROUND(((54*8)*B22)*B23,2)/2.5,2)</f>
        <v>7.95</v>
      </c>
    </row>
    <row r="22" spans="1:6">
      <c r="A22" s="5" t="s">
        <v>5</v>
      </c>
      <c r="B22" s="14">
        <v>1</v>
      </c>
      <c r="C22" s="9"/>
      <c r="D22" s="1"/>
      <c r="E22" s="16"/>
      <c r="F22" s="2"/>
    </row>
    <row r="23" spans="1:6">
      <c r="A23" s="5" t="s">
        <v>9</v>
      </c>
      <c r="B23" s="15">
        <v>4.5999999999999999E-2</v>
      </c>
      <c r="C23" s="10"/>
      <c r="D23" s="1"/>
      <c r="E23" s="16"/>
      <c r="F23" s="2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3"/>
      <c r="E25" s="4"/>
      <c r="F25" s="4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11" t="s">
        <v>8</v>
      </c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</sheetData>
  <mergeCells count="1">
    <mergeCell ref="B1:D1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% FTE Reduction</vt:lpstr>
    </vt:vector>
  </TitlesOfParts>
  <Company>University of Oregon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ShelbyC</dc:creator>
  <cp:lastModifiedBy>Jake Vasey</cp:lastModifiedBy>
  <dcterms:created xsi:type="dcterms:W3CDTF">2009-03-13T19:51:13Z</dcterms:created>
  <dcterms:modified xsi:type="dcterms:W3CDTF">2009-10-28T20:20:21Z</dcterms:modified>
</cp:coreProperties>
</file>