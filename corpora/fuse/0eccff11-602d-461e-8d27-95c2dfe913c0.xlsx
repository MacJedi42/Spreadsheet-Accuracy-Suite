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9945" windowHeight="723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C204" i="1"/>
  <c r="AB204"/>
  <c r="AC197"/>
  <c r="AB197"/>
  <c r="AC187"/>
  <c r="AB187"/>
  <c r="AC173"/>
  <c r="AB173"/>
  <c r="AC165"/>
  <c r="AB165"/>
  <c r="AC158"/>
  <c r="AB158"/>
  <c r="AC152"/>
  <c r="AB152"/>
  <c r="AC146"/>
  <c r="AB146"/>
  <c r="AC126"/>
  <c r="AB126"/>
  <c r="AC118"/>
  <c r="AB118"/>
  <c r="AC108"/>
  <c r="AB108"/>
  <c r="AC99"/>
  <c r="AB99"/>
  <c r="AC91"/>
  <c r="AB91"/>
  <c r="AC78"/>
  <c r="AB78"/>
  <c r="AC55"/>
  <c r="AB55"/>
  <c r="AC34"/>
  <c r="AB34"/>
  <c r="AC21"/>
  <c r="AB21"/>
  <c r="AC3"/>
  <c r="AB3"/>
  <c r="O3"/>
  <c r="N3"/>
  <c r="O21"/>
  <c r="N21"/>
  <c r="O34"/>
  <c r="N34"/>
  <c r="O55"/>
  <c r="N55"/>
  <c r="O78"/>
  <c r="N78"/>
  <c r="O91"/>
  <c r="N91"/>
  <c r="O99"/>
  <c r="N99"/>
  <c r="O108"/>
  <c r="N108"/>
  <c r="O118"/>
  <c r="N118"/>
  <c r="O126"/>
  <c r="N126"/>
  <c r="O146"/>
  <c r="N146"/>
  <c r="O152"/>
  <c r="N152"/>
  <c r="O158"/>
  <c r="N158"/>
  <c r="O165"/>
  <c r="N165"/>
  <c r="O173"/>
  <c r="N173"/>
  <c r="O187"/>
  <c r="N187"/>
  <c r="O197"/>
  <c r="N197"/>
  <c r="O204"/>
  <c r="N204"/>
  <c r="V204"/>
  <c r="U204"/>
  <c r="V197"/>
  <c r="U197"/>
  <c r="V187"/>
  <c r="U187"/>
  <c r="V173"/>
  <c r="U173"/>
  <c r="V165"/>
  <c r="U165"/>
  <c r="V158"/>
  <c r="U158"/>
  <c r="V152"/>
  <c r="U152"/>
  <c r="V146"/>
  <c r="U146"/>
  <c r="V126"/>
  <c r="U126"/>
  <c r="V118"/>
  <c r="U118"/>
  <c r="V108"/>
  <c r="U108"/>
  <c r="V99"/>
  <c r="U99"/>
  <c r="V91"/>
  <c r="U91"/>
  <c r="V78"/>
  <c r="U78"/>
  <c r="V55"/>
  <c r="U55"/>
  <c r="V34"/>
  <c r="U34"/>
  <c r="V21"/>
  <c r="U21"/>
  <c r="V3"/>
  <c r="U3"/>
  <c r="M204"/>
  <c r="T204"/>
  <c r="AA204"/>
  <c r="AA197"/>
  <c r="T197"/>
  <c r="M197"/>
  <c r="M187"/>
  <c r="T187"/>
  <c r="AA187"/>
  <c r="AA173"/>
  <c r="T173"/>
  <c r="M173"/>
  <c r="M165"/>
  <c r="T165"/>
  <c r="AA165"/>
  <c r="AA158"/>
  <c r="T158"/>
  <c r="M158"/>
  <c r="AA152"/>
  <c r="T152"/>
  <c r="M152"/>
  <c r="M146"/>
  <c r="T146"/>
  <c r="AA146"/>
  <c r="AA126"/>
  <c r="T126"/>
  <c r="M126"/>
  <c r="AA118"/>
  <c r="T118"/>
  <c r="M118"/>
  <c r="AA108"/>
  <c r="T108"/>
  <c r="M108"/>
  <c r="AA99"/>
  <c r="T99"/>
  <c r="M99"/>
  <c r="AA91"/>
  <c r="T91"/>
  <c r="M91"/>
  <c r="AA78"/>
  <c r="T78"/>
  <c r="M78"/>
  <c r="AA55"/>
  <c r="T55"/>
  <c r="M55"/>
  <c r="AA34"/>
  <c r="T34"/>
  <c r="M34"/>
  <c r="AA21"/>
  <c r="T21"/>
  <c r="M21"/>
  <c r="AA3"/>
  <c r="T3"/>
  <c r="M3"/>
  <c r="H205"/>
  <c r="H198"/>
  <c r="H199" s="1"/>
  <c r="H200" s="1"/>
  <c r="H201" s="1"/>
  <c r="H202" s="1"/>
  <c r="H203" s="1"/>
  <c r="H188"/>
  <c r="H189" s="1"/>
  <c r="H190" s="1"/>
  <c r="H191" s="1"/>
  <c r="H192" s="1"/>
  <c r="H193" s="1"/>
  <c r="H194" s="1"/>
  <c r="H195" s="1"/>
  <c r="H196" s="1"/>
  <c r="H174"/>
  <c r="H175" s="1"/>
  <c r="H176" s="1"/>
  <c r="H177" s="1"/>
  <c r="H178" s="1"/>
  <c r="H179" s="1"/>
  <c r="H180" s="1"/>
  <c r="H181" s="1"/>
  <c r="H182" s="1"/>
  <c r="H183" s="1"/>
  <c r="H184" s="1"/>
  <c r="H185" s="1"/>
  <c r="H166"/>
  <c r="H167" s="1"/>
  <c r="H168" s="1"/>
  <c r="H169" s="1"/>
  <c r="H170" s="1"/>
  <c r="H171" s="1"/>
  <c r="H172" s="1"/>
  <c r="H159"/>
  <c r="H160" s="1"/>
  <c r="H161" s="1"/>
  <c r="H162" s="1"/>
  <c r="H163" s="1"/>
  <c r="H164" s="1"/>
  <c r="H153"/>
  <c r="H154" s="1"/>
  <c r="H155" s="1"/>
  <c r="H156" s="1"/>
  <c r="H157" s="1"/>
  <c r="H147"/>
  <c r="H148" s="1"/>
  <c r="H149" s="1"/>
  <c r="H150" s="1"/>
  <c r="H151" s="1"/>
  <c r="H127"/>
  <c r="H128" s="1"/>
  <c r="H129" s="1"/>
  <c r="H130" s="1"/>
  <c r="H131" s="1"/>
  <c r="H132" s="1"/>
  <c r="H133" s="1"/>
  <c r="H134" s="1"/>
  <c r="H135" s="1"/>
  <c r="H136" s="1"/>
  <c r="H137" s="1"/>
  <c r="H138" s="1"/>
  <c r="H139" s="1"/>
  <c r="H140" s="1"/>
  <c r="H141" s="1"/>
  <c r="H142" s="1"/>
  <c r="H143" s="1"/>
  <c r="H144" s="1"/>
  <c r="H145" s="1"/>
  <c r="H119"/>
  <c r="H120" s="1"/>
  <c r="H121" s="1"/>
  <c r="H122" s="1"/>
  <c r="H123" s="1"/>
  <c r="H124" s="1"/>
  <c r="H125" s="1"/>
  <c r="H111"/>
  <c r="H112" s="1"/>
  <c r="H113" s="1"/>
  <c r="H114" s="1"/>
  <c r="H115" s="1"/>
  <c r="H116" s="1"/>
  <c r="H100"/>
  <c r="H101" s="1"/>
  <c r="H102" s="1"/>
  <c r="H103" s="1"/>
  <c r="H104" s="1"/>
  <c r="H105" s="1"/>
  <c r="H106" s="1"/>
  <c r="H107" s="1"/>
  <c r="H92"/>
  <c r="H93" s="1"/>
  <c r="H94" s="1"/>
  <c r="H95" s="1"/>
  <c r="H96" s="1"/>
  <c r="H97" s="1"/>
  <c r="H98" s="1"/>
  <c r="H82"/>
  <c r="H83" s="1"/>
  <c r="H84" s="1"/>
  <c r="H85" s="1"/>
  <c r="H86" s="1"/>
  <c r="H87" s="1"/>
  <c r="H88" s="1"/>
  <c r="H89" s="1"/>
  <c r="H90" s="1"/>
  <c r="H63"/>
  <c r="H64" s="1"/>
  <c r="H65" s="1"/>
  <c r="H66" s="1"/>
  <c r="H67" s="1"/>
  <c r="H68" s="1"/>
  <c r="H69" s="1"/>
  <c r="H70" s="1"/>
  <c r="H71" s="1"/>
  <c r="H72" s="1"/>
  <c r="H73" s="1"/>
  <c r="H74" s="1"/>
  <c r="H75" s="1"/>
  <c r="H49"/>
  <c r="H50" s="1"/>
  <c r="H51" s="1"/>
  <c r="H52" s="1"/>
  <c r="H53" s="1"/>
  <c r="H54" s="1"/>
</calcChain>
</file>

<file path=xl/sharedStrings.xml><?xml version="1.0" encoding="utf-8"?>
<sst xmlns="http://schemas.openxmlformats.org/spreadsheetml/2006/main" count="148" uniqueCount="129">
  <si>
    <t>Occurrences within extragenic space</t>
  </si>
  <si>
    <t>0 substitution</t>
  </si>
  <si>
    <t xml:space="preserve"> 1 substitution</t>
  </si>
  <si>
    <t>2 substitutions</t>
  </si>
  <si>
    <t>TCGCCGGCAAGCCGGC</t>
  </si>
  <si>
    <t>Clusters formed</t>
  </si>
  <si>
    <t>0 substitutions</t>
  </si>
  <si>
    <t>1 substitution</t>
  </si>
  <si>
    <t>Cluster size</t>
  </si>
  <si>
    <t>TCGCTGGCAAGCCAGC</t>
  </si>
  <si>
    <t>PFL_3160</t>
  </si>
  <si>
    <t>PSPPH_4464</t>
  </si>
  <si>
    <t>GCAAGCTCGCTCCCAC</t>
  </si>
  <si>
    <t>4 inverted</t>
  </si>
  <si>
    <t>7 inverted</t>
  </si>
  <si>
    <t xml:space="preserve">11 inverted, 1 others </t>
  </si>
  <si>
    <t>PSPPH_5043</t>
  </si>
  <si>
    <t>GGAGCGGACTTGTCCG</t>
  </si>
  <si>
    <t>5 inverted, 1 direct</t>
  </si>
  <si>
    <t>5 inverted, 1 direct, 1 other</t>
  </si>
  <si>
    <t>12 inverted, 1 direct, 1 other</t>
  </si>
  <si>
    <r>
      <t>P. syringae</t>
    </r>
    <r>
      <rPr>
        <sz val="12"/>
        <color rgb="FF000000"/>
        <rFont val="Times New Roman"/>
        <family val="1"/>
      </rPr>
      <t xml:space="preserve"> B728a</t>
    </r>
  </si>
  <si>
    <t>Psyr_4421</t>
  </si>
  <si>
    <t>TCGCGAGCAAGCTCGC</t>
  </si>
  <si>
    <t>4 inverted, 1 direct</t>
  </si>
  <si>
    <t>Psyr_4707</t>
  </si>
  <si>
    <t>23 inverted, 3 direct</t>
  </si>
  <si>
    <t>TTCGCGAACAAGTTCG</t>
  </si>
  <si>
    <t>12 inverted, 3 direct</t>
  </si>
  <si>
    <t>13 inverted, 3 direct</t>
  </si>
  <si>
    <t>19 inverted, 3 direct, 1 other</t>
  </si>
  <si>
    <t>PSPTO_0262</t>
  </si>
  <si>
    <t>GAGCGGACTTGTCCGC</t>
  </si>
  <si>
    <t>2 inverted</t>
  </si>
  <si>
    <t>3 inverted, 2 others</t>
  </si>
  <si>
    <t>12 inverted, 2 others</t>
  </si>
  <si>
    <t>PSEEN5170</t>
  </si>
  <si>
    <t>GTAGGAGCCAGCTTGC</t>
  </si>
  <si>
    <t>27 inverted</t>
  </si>
  <si>
    <t>194 inverted, 3 direct</t>
  </si>
  <si>
    <t>218 inverted, 3 direct, 9 others</t>
  </si>
  <si>
    <t>PSEEN4846</t>
  </si>
  <si>
    <t>CAAGGCCGCTCCCACA</t>
  </si>
  <si>
    <t>75 inverted</t>
  </si>
  <si>
    <t>126 inverted, 5 others</t>
  </si>
  <si>
    <t>133 inverted, 11 others</t>
  </si>
  <si>
    <t>PSEEN3227</t>
  </si>
  <si>
    <t>GCGGATTCATCCGCGA</t>
  </si>
  <si>
    <t>57 inverted</t>
  </si>
  <si>
    <t>60 inverted, 22 others</t>
  </si>
  <si>
    <t>165 inverte, 23 others</t>
  </si>
  <si>
    <t>Tgr7_2777</t>
  </si>
  <si>
    <t>TCGGCCTGAAGGCCGA</t>
  </si>
  <si>
    <t>TCGGGCTGAAGCCCGA</t>
  </si>
  <si>
    <t>45 inverted, 1 direct</t>
  </si>
  <si>
    <t>53 inverted, 1 direct, 5 others</t>
  </si>
  <si>
    <t>54 inverted, 1 direct, 6 others</t>
  </si>
  <si>
    <t>PputW619_5047</t>
  </si>
  <si>
    <t>GATCGCCGGCAAGCCG</t>
  </si>
  <si>
    <t>55 inverted</t>
  </si>
  <si>
    <t>90 inverted, 5 others</t>
  </si>
  <si>
    <t>103 inverted, 2 direct, 11 others</t>
  </si>
  <si>
    <t>PputW619_4597</t>
  </si>
  <si>
    <t>CAAGGCCGCTCCTACA</t>
  </si>
  <si>
    <t>24 inverted</t>
  </si>
  <si>
    <t>105 inverted, 9 others</t>
  </si>
  <si>
    <t>149 inverted, 1 direct, 14 others</t>
  </si>
  <si>
    <r>
      <t>P. putida</t>
    </r>
    <r>
      <rPr>
        <sz val="12"/>
        <color rgb="FF000000"/>
        <rFont val="Times New Roman"/>
        <family val="1"/>
      </rPr>
      <t xml:space="preserve"> W619</t>
    </r>
  </si>
  <si>
    <t>PP_0568</t>
  </si>
  <si>
    <t>TGTGGGAGCGGCCTTG</t>
  </si>
  <si>
    <t>15 inverted</t>
  </si>
  <si>
    <t>29 inverted</t>
  </si>
  <si>
    <t>42 inverted, 34 others (contains gcgggcacgcccgc palindrome, which is associated with PP_5176)</t>
  </si>
  <si>
    <t>PP_5176</t>
  </si>
  <si>
    <t>CCTGTGGGAGCGGGCG</t>
  </si>
  <si>
    <t>9 inverted</t>
  </si>
  <si>
    <t>81 inverted, 16 others</t>
  </si>
  <si>
    <t>47 inverted, 3 others</t>
  </si>
  <si>
    <r>
      <rPr>
        <i/>
        <sz val="12"/>
        <color rgb="FF000000"/>
        <rFont val="Times New Roman"/>
        <family val="1"/>
      </rPr>
      <t>P. putida</t>
    </r>
    <r>
      <rPr>
        <sz val="12"/>
        <color rgb="FF000000"/>
        <rFont val="Times New Roman"/>
        <family val="1"/>
      </rPr>
      <t xml:space="preserve"> F1</t>
    </r>
  </si>
  <si>
    <t>Pput_0607</t>
  </si>
  <si>
    <t>48 inverted</t>
  </si>
  <si>
    <t>68 inverted, 1 direct</t>
  </si>
  <si>
    <t>81 inverted, 3 direct, 34 others</t>
  </si>
  <si>
    <t>Pput_5083</t>
  </si>
  <si>
    <t>GCCCGCTCCCACAGGG</t>
  </si>
  <si>
    <t>7 inverted, 1 direct</t>
  </si>
  <si>
    <t>53 inverted, 2 direct, 6 others</t>
  </si>
  <si>
    <t>109 inverted, 3 direct, 36 others</t>
  </si>
  <si>
    <t>Pput_3919</t>
  </si>
  <si>
    <t>CGGGTTTACCCGCGAA</t>
  </si>
  <si>
    <t>78 inverted, 10 direct</t>
  </si>
  <si>
    <t>81 inverted, 4 direct, 52 others</t>
  </si>
  <si>
    <t>86 inverted, 3 direct, 116 others</t>
  </si>
  <si>
    <r>
      <rPr>
        <i/>
        <sz val="12"/>
        <color rgb="FF000000"/>
        <rFont val="Times New Roman"/>
        <family val="1"/>
      </rPr>
      <t>P. putida</t>
    </r>
    <r>
      <rPr>
        <sz val="12"/>
        <color rgb="FF000000"/>
        <rFont val="Times New Roman"/>
        <family val="1"/>
      </rPr>
      <t xml:space="preserve"> GB1</t>
    </r>
  </si>
  <si>
    <t>PputGB1_0613</t>
  </si>
  <si>
    <t>TCGCGACACAAGGCCG</t>
  </si>
  <si>
    <t>79 inverted</t>
  </si>
  <si>
    <t>120 inverted, 5 others</t>
  </si>
  <si>
    <t>127 inverted, 8 others</t>
  </si>
  <si>
    <t>PputGB1_5236</t>
  </si>
  <si>
    <t>TCGCGGGTAAACCCGC</t>
  </si>
  <si>
    <t>25 inverted</t>
  </si>
  <si>
    <t>29 inverted, 15 others</t>
  </si>
  <si>
    <t>36 inverted, 25 others</t>
  </si>
  <si>
    <t>PputGB1_1364</t>
  </si>
  <si>
    <t>GCCGCCCGCGCGGCGC</t>
  </si>
  <si>
    <t>10 inverted, 1 other</t>
  </si>
  <si>
    <r>
      <rPr>
        <i/>
        <sz val="12"/>
        <color theme="1"/>
        <rFont val="Times New Roman"/>
        <family val="1"/>
      </rPr>
      <t xml:space="preserve">P. syringae tomatoe </t>
    </r>
    <r>
      <rPr>
        <sz val="12"/>
        <color theme="1"/>
        <rFont val="Times New Roman"/>
        <family val="1"/>
      </rPr>
      <t>DC3000</t>
    </r>
  </si>
  <si>
    <r>
      <rPr>
        <i/>
        <sz val="12"/>
        <color theme="1"/>
        <rFont val="Times New Roman"/>
        <family val="1"/>
      </rPr>
      <t>P. syringae phaseolicola</t>
    </r>
    <r>
      <rPr>
        <sz val="12"/>
        <color theme="1"/>
        <rFont val="Times New Roman"/>
        <family val="1"/>
      </rPr>
      <t xml:space="preserve"> 1448A</t>
    </r>
  </si>
  <si>
    <r>
      <t xml:space="preserve">P. entomophila </t>
    </r>
    <r>
      <rPr>
        <sz val="12"/>
        <color theme="1"/>
        <rFont val="Times New Roman"/>
        <family val="1"/>
      </rPr>
      <t>L48</t>
    </r>
  </si>
  <si>
    <r>
      <rPr>
        <i/>
        <sz val="12"/>
        <color theme="1"/>
        <rFont val="Times New Roman"/>
        <family val="1"/>
      </rPr>
      <t>T.</t>
    </r>
    <r>
      <rPr>
        <sz val="12"/>
        <color theme="1"/>
        <rFont val="Times New Roman"/>
        <family val="1"/>
      </rPr>
      <t xml:space="preserve"> sp HL-EbGR7</t>
    </r>
  </si>
  <si>
    <r>
      <rPr>
        <i/>
        <sz val="11"/>
        <color theme="1"/>
        <rFont val="Times New Roman"/>
        <family val="1"/>
      </rPr>
      <t>P. fluorescens</t>
    </r>
    <r>
      <rPr>
        <sz val="11"/>
        <color theme="1"/>
        <rFont val="Times New Roman"/>
        <family val="1"/>
      </rPr>
      <t xml:space="preserve"> Pf-5</t>
    </r>
  </si>
  <si>
    <t xml:space="preserve"> 100 inverted, 3 direct</t>
  </si>
  <si>
    <t xml:space="preserve"> 139 inverted, 1 direct, 41 others</t>
  </si>
  <si>
    <t>173 inverted, 1 direct, 69 others</t>
  </si>
  <si>
    <t>Bin</t>
  </si>
  <si>
    <t>More</t>
  </si>
  <si>
    <t>Frequency</t>
  </si>
  <si>
    <t>Null model (distribution of 16 bp long segments in extragenic space, repeated 10,000 times, average is shown)</t>
  </si>
  <si>
    <t>Standard deviation for 10,000 simulations</t>
  </si>
  <si>
    <t>Ratio between actual singlets and doublets found within extragenic space</t>
  </si>
  <si>
    <t>Ratio between actual singlet frequency and singlet frequency expected under the null model</t>
  </si>
  <si>
    <t>Ratio between actual doublet frequency and doublet frequency expected under the null model</t>
  </si>
  <si>
    <t>Occurrences within the genome</t>
  </si>
  <si>
    <t>Most abundant 16-mers found flanking the respective RAYT</t>
  </si>
  <si>
    <r>
      <t>P. putida</t>
    </r>
    <r>
      <rPr>
        <sz val="12"/>
        <color rgb="FF000000"/>
        <rFont val="Times New Roman"/>
        <family val="1"/>
      </rPr>
      <t xml:space="preserve"> KT2440 </t>
    </r>
  </si>
  <si>
    <t>Orientation of 16-mers within doublets (inverted, direct or other, other applies if center motif, which determines directionality, does not exist)</t>
  </si>
  <si>
    <t>RAYT gene</t>
  </si>
  <si>
    <t>Organism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</si>
</sst>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i/>
      <sz val="12"/>
      <color rgb="FF000000"/>
      <name val="Times New Roman"/>
      <family val="1"/>
    </font>
    <font>
      <i/>
      <sz val="11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7" fillId="0" borderId="2" xfId="0" applyFont="1" applyFill="1" applyBorder="1" applyAlignment="1">
      <alignment horizontal="center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top"/>
    </xf>
    <xf numFmtId="0" fontId="3" fillId="0" borderId="0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wrapText="1"/>
    </xf>
    <xf numFmtId="0" fontId="0" fillId="0" borderId="0" xfId="0" applyBorder="1"/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3" xfId="0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NZ"/>
  <c:chart>
    <c:title>
      <c:tx>
        <c:rich>
          <a:bodyPr/>
          <a:lstStyle/>
          <a:p>
            <a:pPr>
              <a:defRPr/>
            </a:pPr>
            <a:r>
              <a:rPr lang="en-NZ"/>
              <a:t>Histogram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v>Frequency</c:v>
          </c:tx>
          <c:cat>
            <c:strRef>
              <c:f>Sheet2!$A$2:$A$13</c:f>
              <c:strCache>
                <c:ptCount val="12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8</c:v>
                </c:pt>
                <c:pt idx="9">
                  <c:v>10</c:v>
                </c:pt>
                <c:pt idx="10">
                  <c:v>12</c:v>
                </c:pt>
                <c:pt idx="11">
                  <c:v>More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7</c:v>
                </c:pt>
                <c:pt idx="7">
                  <c:v>5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</c:ser>
        <c:axId val="104245120"/>
        <c:axId val="104254464"/>
      </c:barChart>
      <c:catAx>
        <c:axId val="104245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Bin</a:t>
                </a:r>
              </a:p>
            </c:rich>
          </c:tx>
        </c:title>
        <c:numFmt formatCode="General" sourceLinked="1"/>
        <c:tickLblPos val="nextTo"/>
        <c:crossAx val="104254464"/>
        <c:crosses val="autoZero"/>
        <c:auto val="1"/>
        <c:lblAlgn val="ctr"/>
        <c:lblOffset val="100"/>
      </c:catAx>
      <c:valAx>
        <c:axId val="104254464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Frequency</a:t>
                </a:r>
              </a:p>
            </c:rich>
          </c:tx>
        </c:title>
        <c:numFmt formatCode="General" sourceLinked="1"/>
        <c:tickLblPos val="nextTo"/>
        <c:crossAx val="10424512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0</xdr:colOff>
      <xdr:row>10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69"/>
  <sheetViews>
    <sheetView tabSelected="1" zoomScale="110" zoomScaleNormal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7" sqref="C7"/>
    </sheetView>
  </sheetViews>
  <sheetFormatPr defaultRowHeight="15"/>
  <cols>
    <col min="1" max="1" width="31" customWidth="1"/>
    <col min="2" max="2" width="20.28515625" customWidth="1"/>
    <col min="3" max="3" width="26" customWidth="1"/>
    <col min="4" max="4" width="14.42578125" customWidth="1"/>
    <col min="5" max="5" width="14.140625" customWidth="1"/>
    <col min="6" max="6" width="14" customWidth="1"/>
    <col min="7" max="7" width="13.5703125" customWidth="1"/>
    <col min="9" max="9" width="12.7109375" customWidth="1"/>
    <col min="10" max="10" width="16.28515625" customWidth="1"/>
    <col min="11" max="11" width="16.85546875" customWidth="1"/>
    <col min="12" max="12" width="12.85546875" customWidth="1"/>
    <col min="13" max="13" width="13.5703125" customWidth="1"/>
    <col min="14" max="14" width="12.85546875" customWidth="1"/>
    <col min="15" max="15" width="15.42578125" customWidth="1"/>
    <col min="16" max="16" width="11.28515625" customWidth="1"/>
    <col min="17" max="17" width="16.42578125" customWidth="1"/>
    <col min="18" max="18" width="17" customWidth="1"/>
    <col min="20" max="20" width="13.85546875" customWidth="1"/>
    <col min="21" max="21" width="16.42578125" customWidth="1"/>
    <col min="22" max="22" width="16.140625" customWidth="1"/>
    <col min="23" max="23" width="14.85546875" customWidth="1"/>
    <col min="24" max="24" width="15.5703125" customWidth="1"/>
    <col min="25" max="25" width="18.85546875" customWidth="1"/>
    <col min="26" max="26" width="14.140625" customWidth="1"/>
    <col min="27" max="27" width="13.140625" customWidth="1"/>
    <col min="28" max="28" width="15.42578125" customWidth="1"/>
    <col min="29" max="29" width="15.5703125" customWidth="1"/>
  </cols>
  <sheetData>
    <row r="1" spans="1:30">
      <c r="A1" s="28" t="s">
        <v>128</v>
      </c>
      <c r="B1" s="21" t="s">
        <v>127</v>
      </c>
      <c r="C1" s="21" t="s">
        <v>124</v>
      </c>
      <c r="D1" s="21" t="s">
        <v>123</v>
      </c>
      <c r="E1" s="22" t="s">
        <v>0</v>
      </c>
      <c r="F1" s="22"/>
      <c r="G1" s="22"/>
      <c r="H1" s="23" t="s">
        <v>5</v>
      </c>
      <c r="I1" s="23"/>
      <c r="J1" s="23"/>
      <c r="K1" s="23"/>
      <c r="L1" s="24"/>
      <c r="M1" s="24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30" ht="133.5" customHeight="1">
      <c r="A2" s="29"/>
      <c r="B2" s="25"/>
      <c r="C2" s="25"/>
      <c r="D2" s="25"/>
      <c r="E2" s="26" t="s">
        <v>1</v>
      </c>
      <c r="F2" s="26" t="s">
        <v>2</v>
      </c>
      <c r="G2" s="26" t="s">
        <v>3</v>
      </c>
      <c r="H2" s="26" t="s">
        <v>8</v>
      </c>
      <c r="I2" s="26" t="s">
        <v>6</v>
      </c>
      <c r="J2" s="26" t="s">
        <v>126</v>
      </c>
      <c r="K2" s="26" t="s">
        <v>118</v>
      </c>
      <c r="L2" s="26" t="s">
        <v>119</v>
      </c>
      <c r="M2" s="27" t="s">
        <v>120</v>
      </c>
      <c r="N2" s="27" t="s">
        <v>121</v>
      </c>
      <c r="O2" s="27" t="s">
        <v>122</v>
      </c>
      <c r="P2" s="27" t="s">
        <v>7</v>
      </c>
      <c r="Q2" s="26" t="s">
        <v>126</v>
      </c>
      <c r="R2" s="26" t="s">
        <v>118</v>
      </c>
      <c r="S2" s="26" t="s">
        <v>119</v>
      </c>
      <c r="T2" s="27" t="s">
        <v>120</v>
      </c>
      <c r="U2" s="27" t="s">
        <v>121</v>
      </c>
      <c r="V2" s="27" t="s">
        <v>122</v>
      </c>
      <c r="W2" s="27" t="s">
        <v>3</v>
      </c>
      <c r="X2" s="26" t="s">
        <v>126</v>
      </c>
      <c r="Y2" s="26" t="s">
        <v>118</v>
      </c>
      <c r="Z2" s="26" t="s">
        <v>119</v>
      </c>
      <c r="AA2" s="27" t="s">
        <v>120</v>
      </c>
      <c r="AB2" s="27" t="s">
        <v>121</v>
      </c>
      <c r="AC2" s="27" t="s">
        <v>122</v>
      </c>
      <c r="AD2" s="19"/>
    </row>
    <row r="3" spans="1:30" ht="15.75">
      <c r="A3" s="16" t="s">
        <v>111</v>
      </c>
      <c r="B3" s="18" t="s">
        <v>10</v>
      </c>
      <c r="C3" s="1" t="s">
        <v>4</v>
      </c>
      <c r="D3" s="2">
        <v>358</v>
      </c>
      <c r="E3">
        <v>582</v>
      </c>
      <c r="F3">
        <v>805</v>
      </c>
      <c r="G3">
        <v>944</v>
      </c>
      <c r="H3" s="2">
        <v>1</v>
      </c>
      <c r="I3">
        <v>212</v>
      </c>
      <c r="K3">
        <v>458.20600000000002</v>
      </c>
      <c r="L3">
        <v>13.003276308636901</v>
      </c>
      <c r="M3">
        <f>I3/I4</f>
        <v>2.058252427184466</v>
      </c>
      <c r="N3">
        <f>I3/K3</f>
        <v>0.46267399379318469</v>
      </c>
      <c r="O3">
        <f>I4/K4</f>
        <v>2.1098775041992708</v>
      </c>
      <c r="P3" s="1">
        <v>208</v>
      </c>
      <c r="R3">
        <v>583.04300000000001</v>
      </c>
      <c r="S3">
        <v>15.8078592340824</v>
      </c>
      <c r="T3">
        <f>P3/P4</f>
        <v>1.149171270718232</v>
      </c>
      <c r="U3">
        <f>P3/R3</f>
        <v>0.3567489876389906</v>
      </c>
      <c r="V3">
        <f>P4/R4</f>
        <v>2.2328037106483767</v>
      </c>
      <c r="W3" s="2">
        <v>188</v>
      </c>
      <c r="Y3">
        <v>650.69299999999998</v>
      </c>
      <c r="Z3">
        <v>18.658189804956798</v>
      </c>
      <c r="AA3">
        <f>W3/W4</f>
        <v>0.77366255144032925</v>
      </c>
      <c r="AB3">
        <f>W3/Y3</f>
        <v>0.28892273314758266</v>
      </c>
      <c r="AC3">
        <f>W4/Y4</f>
        <v>2.3831473236176768</v>
      </c>
    </row>
    <row r="4" spans="1:30" ht="15.75">
      <c r="A4" s="10"/>
      <c r="B4" s="10"/>
      <c r="C4" s="1" t="s">
        <v>9</v>
      </c>
      <c r="D4">
        <v>266</v>
      </c>
      <c r="H4">
        <v>2</v>
      </c>
      <c r="I4">
        <v>103</v>
      </c>
      <c r="J4" t="s">
        <v>112</v>
      </c>
      <c r="K4">
        <v>48.817999999999998</v>
      </c>
      <c r="L4">
        <v>6.0043080026419897</v>
      </c>
      <c r="P4" s="1">
        <v>181</v>
      </c>
      <c r="Q4" t="s">
        <v>113</v>
      </c>
      <c r="R4">
        <v>81.063999999999993</v>
      </c>
      <c r="S4">
        <v>7.3116504385901697</v>
      </c>
      <c r="W4">
        <v>243</v>
      </c>
      <c r="X4" t="s">
        <v>114</v>
      </c>
      <c r="Y4">
        <v>101.96599999999999</v>
      </c>
      <c r="Z4">
        <v>8.6816478766334306</v>
      </c>
    </row>
    <row r="5" spans="1:30" ht="15.75">
      <c r="A5" s="10"/>
      <c r="B5" s="10"/>
      <c r="H5">
        <v>3</v>
      </c>
      <c r="I5">
        <v>17</v>
      </c>
      <c r="K5">
        <v>6.76</v>
      </c>
      <c r="L5">
        <v>2.3909713390051199</v>
      </c>
      <c r="P5" s="1">
        <v>22</v>
      </c>
      <c r="R5">
        <v>14.129</v>
      </c>
      <c r="S5">
        <v>3.43170088001999</v>
      </c>
      <c r="W5">
        <v>23</v>
      </c>
      <c r="Y5">
        <v>19.89</v>
      </c>
      <c r="Z5">
        <v>4.1626380404084298</v>
      </c>
    </row>
    <row r="6" spans="1:30" ht="15.75">
      <c r="A6" s="10"/>
      <c r="B6" s="10"/>
      <c r="H6">
        <v>4</v>
      </c>
      <c r="I6">
        <v>10</v>
      </c>
      <c r="K6">
        <v>1.1160000000000001</v>
      </c>
      <c r="L6">
        <v>0.82637449065105695</v>
      </c>
      <c r="P6" s="1">
        <v>17</v>
      </c>
      <c r="R6">
        <v>2.9769999999999999</v>
      </c>
      <c r="S6">
        <v>1.5457157378192601</v>
      </c>
      <c r="W6">
        <v>22</v>
      </c>
      <c r="Y6">
        <v>4.7629999999999999</v>
      </c>
      <c r="Z6">
        <v>2.09384709916332</v>
      </c>
    </row>
    <row r="7" spans="1:30" ht="15.75">
      <c r="A7" s="10"/>
      <c r="B7" s="10"/>
      <c r="H7">
        <v>5</v>
      </c>
      <c r="I7">
        <v>6</v>
      </c>
      <c r="K7">
        <v>0.20499999999999999</v>
      </c>
      <c r="L7">
        <v>0.40131506173925102</v>
      </c>
      <c r="P7" s="1">
        <v>7</v>
      </c>
      <c r="R7">
        <v>0.75800000000000001</v>
      </c>
      <c r="S7">
        <v>0.71925912555190397</v>
      </c>
      <c r="W7">
        <v>6</v>
      </c>
      <c r="Y7">
        <v>1.327</v>
      </c>
      <c r="Z7">
        <v>0.91388034352549397</v>
      </c>
    </row>
    <row r="8" spans="1:30" ht="15.75">
      <c r="A8" s="10"/>
      <c r="B8" s="10"/>
      <c r="H8">
        <v>6</v>
      </c>
      <c r="I8">
        <v>2</v>
      </c>
      <c r="K8">
        <v>4.3999999999999997E-2</v>
      </c>
      <c r="L8">
        <v>0.21036531454963101</v>
      </c>
      <c r="P8" s="1">
        <v>4</v>
      </c>
      <c r="R8">
        <v>0.18099999999999999</v>
      </c>
      <c r="S8">
        <v>0.36152991422409098</v>
      </c>
      <c r="W8">
        <v>5</v>
      </c>
      <c r="Y8">
        <v>0.41799999999999998</v>
      </c>
      <c r="Z8">
        <v>0.54294368386034597</v>
      </c>
    </row>
    <row r="9" spans="1:30" ht="15.75">
      <c r="A9" s="10"/>
      <c r="B9" s="10"/>
      <c r="H9">
        <v>7</v>
      </c>
      <c r="I9">
        <v>2</v>
      </c>
      <c r="K9">
        <v>1.2999999999999999E-2</v>
      </c>
      <c r="L9">
        <v>0.112591624350454</v>
      </c>
      <c r="P9" s="1">
        <v>0</v>
      </c>
      <c r="R9">
        <v>6.9000000000000006E-2</v>
      </c>
      <c r="S9">
        <v>0.25662829946068699</v>
      </c>
      <c r="W9">
        <v>0</v>
      </c>
      <c r="Y9">
        <v>0.122</v>
      </c>
      <c r="Z9">
        <v>0.32448875628125001</v>
      </c>
    </row>
    <row r="10" spans="1:30" ht="15.75">
      <c r="A10" s="10"/>
      <c r="B10" s="10"/>
      <c r="H10">
        <v>8</v>
      </c>
      <c r="I10">
        <v>1</v>
      </c>
      <c r="K10">
        <v>3.0000000000000001E-3</v>
      </c>
      <c r="L10">
        <v>5.4635263447813699E-2</v>
      </c>
      <c r="P10" s="1">
        <v>4</v>
      </c>
      <c r="R10">
        <v>1.4E-2</v>
      </c>
      <c r="S10">
        <v>0.116723469655285</v>
      </c>
      <c r="W10">
        <v>4</v>
      </c>
      <c r="Y10">
        <v>4.9000000000000002E-2</v>
      </c>
      <c r="Z10">
        <v>0.21990726728829599</v>
      </c>
    </row>
    <row r="11" spans="1:30" ht="15.75">
      <c r="A11" s="10"/>
      <c r="B11" s="10"/>
      <c r="H11">
        <v>9</v>
      </c>
      <c r="I11">
        <v>1</v>
      </c>
      <c r="K11">
        <v>0</v>
      </c>
      <c r="L11">
        <v>0</v>
      </c>
      <c r="P11" s="1">
        <v>0</v>
      </c>
      <c r="R11">
        <v>7.0000000000000001E-3</v>
      </c>
      <c r="S11">
        <v>8.3121911986264202E-2</v>
      </c>
      <c r="W11">
        <v>0</v>
      </c>
      <c r="Y11">
        <v>1.2999999999999999E-2</v>
      </c>
      <c r="Z11">
        <v>0.121155712645779</v>
      </c>
    </row>
    <row r="12" spans="1:30" ht="15.75">
      <c r="A12" s="10"/>
      <c r="B12" s="10"/>
      <c r="H12">
        <v>10</v>
      </c>
      <c r="I12">
        <v>0</v>
      </c>
      <c r="K12">
        <v>1E-3</v>
      </c>
      <c r="L12">
        <v>3.1606961258558199E-2</v>
      </c>
      <c r="P12" s="1">
        <v>1</v>
      </c>
      <c r="R12">
        <v>0</v>
      </c>
      <c r="S12">
        <v>0</v>
      </c>
      <c r="W12">
        <v>1</v>
      </c>
      <c r="Y12">
        <v>8.0000000000000002E-3</v>
      </c>
      <c r="Z12">
        <v>8.8771574236308201E-2</v>
      </c>
    </row>
    <row r="13" spans="1:30" ht="15.75">
      <c r="A13" s="10"/>
      <c r="B13" s="10"/>
      <c r="H13">
        <v>11</v>
      </c>
      <c r="I13">
        <v>0</v>
      </c>
      <c r="K13">
        <v>0</v>
      </c>
      <c r="L13">
        <v>0</v>
      </c>
      <c r="P13" s="1">
        <v>0</v>
      </c>
      <c r="R13">
        <v>0</v>
      </c>
      <c r="S13">
        <v>0</v>
      </c>
      <c r="W13">
        <v>1</v>
      </c>
      <c r="Y13">
        <v>5.0000000000000001E-3</v>
      </c>
      <c r="Z13">
        <v>7.0392329696353104E-2</v>
      </c>
    </row>
    <row r="14" spans="1:30" ht="15.75">
      <c r="A14" s="10"/>
      <c r="B14" s="10"/>
      <c r="H14">
        <v>12</v>
      </c>
      <c r="I14">
        <v>0</v>
      </c>
      <c r="K14">
        <v>0</v>
      </c>
      <c r="L14">
        <v>0</v>
      </c>
      <c r="P14" s="1">
        <v>0</v>
      </c>
      <c r="R14">
        <v>0</v>
      </c>
      <c r="S14">
        <v>0</v>
      </c>
      <c r="W14">
        <v>0</v>
      </c>
      <c r="Y14">
        <v>1E-3</v>
      </c>
      <c r="Z14">
        <v>3.1606961258558199E-2</v>
      </c>
    </row>
    <row r="15" spans="1:30" ht="15.75">
      <c r="A15" s="17" t="s">
        <v>108</v>
      </c>
      <c r="B15" s="9" t="s">
        <v>11</v>
      </c>
      <c r="C15" s="4" t="s">
        <v>12</v>
      </c>
      <c r="D15">
        <v>28</v>
      </c>
      <c r="E15">
        <v>26</v>
      </c>
      <c r="F15">
        <v>38</v>
      </c>
      <c r="G15">
        <v>76</v>
      </c>
      <c r="H15">
        <v>1</v>
      </c>
      <c r="I15">
        <v>13</v>
      </c>
      <c r="K15">
        <v>25.673999999999999</v>
      </c>
      <c r="L15">
        <v>0.796399382204662</v>
      </c>
      <c r="P15">
        <v>19</v>
      </c>
      <c r="R15">
        <v>37.262999999999998</v>
      </c>
      <c r="S15">
        <v>1.1788237597098501</v>
      </c>
      <c r="W15">
        <v>36</v>
      </c>
      <c r="Y15">
        <v>73.284999999999997</v>
      </c>
      <c r="Z15">
        <v>2.22516406813748</v>
      </c>
    </row>
    <row r="16" spans="1:30">
      <c r="A16" s="10"/>
      <c r="B16" s="10"/>
      <c r="H16">
        <v>2</v>
      </c>
      <c r="I16">
        <v>4</v>
      </c>
      <c r="J16" t="s">
        <v>13</v>
      </c>
      <c r="K16">
        <v>0.16300000000000001</v>
      </c>
      <c r="L16">
        <v>0.368831295478738</v>
      </c>
      <c r="P16">
        <v>7</v>
      </c>
      <c r="Q16" t="s">
        <v>14</v>
      </c>
      <c r="R16">
        <v>0.36699999999999999</v>
      </c>
      <c r="S16">
        <v>0.50375333688664004</v>
      </c>
      <c r="W16">
        <v>12</v>
      </c>
      <c r="X16" t="s">
        <v>15</v>
      </c>
      <c r="Y16">
        <v>1.3169999999999999</v>
      </c>
      <c r="Z16">
        <v>0.86535602965372105</v>
      </c>
    </row>
    <row r="17" spans="1:29" ht="15.75">
      <c r="A17" s="10"/>
      <c r="B17" s="10"/>
      <c r="H17">
        <v>3</v>
      </c>
      <c r="I17">
        <v>0</v>
      </c>
      <c r="P17" s="1">
        <v>0</v>
      </c>
      <c r="R17">
        <v>1E-3</v>
      </c>
      <c r="S17">
        <v>3.1606961258558199E-2</v>
      </c>
      <c r="W17">
        <v>0</v>
      </c>
      <c r="Y17">
        <v>2.7E-2</v>
      </c>
      <c r="Z17">
        <v>0.166097990784183</v>
      </c>
    </row>
    <row r="18" spans="1:29" ht="15.75">
      <c r="A18" s="10"/>
      <c r="B18" s="10"/>
      <c r="H18">
        <v>4</v>
      </c>
      <c r="I18">
        <v>0</v>
      </c>
      <c r="P18" s="1">
        <v>0</v>
      </c>
      <c r="W18">
        <v>0</v>
      </c>
    </row>
    <row r="19" spans="1:29">
      <c r="A19" s="10"/>
      <c r="B19" s="10"/>
      <c r="H19">
        <v>5</v>
      </c>
      <c r="I19">
        <v>1</v>
      </c>
      <c r="P19">
        <v>1</v>
      </c>
      <c r="W19">
        <v>2</v>
      </c>
    </row>
    <row r="20" spans="1:29">
      <c r="A20" s="10"/>
      <c r="B20" s="10"/>
      <c r="H20">
        <v>6</v>
      </c>
      <c r="I20">
        <v>0</v>
      </c>
      <c r="P20">
        <v>0</v>
      </c>
      <c r="W20">
        <v>1</v>
      </c>
    </row>
    <row r="21" spans="1:29" ht="15.75">
      <c r="A21" s="10"/>
      <c r="B21" s="9" t="s">
        <v>16</v>
      </c>
      <c r="C21" s="1" t="s">
        <v>17</v>
      </c>
      <c r="D21">
        <v>42</v>
      </c>
      <c r="E21">
        <v>36</v>
      </c>
      <c r="F21">
        <v>41</v>
      </c>
      <c r="G21">
        <v>85</v>
      </c>
      <c r="H21">
        <v>1</v>
      </c>
      <c r="I21">
        <v>14</v>
      </c>
      <c r="K21">
        <v>35.387</v>
      </c>
      <c r="L21">
        <v>1.0592342555866501</v>
      </c>
      <c r="M21">
        <f>I21/I22</f>
        <v>2.3333333333333335</v>
      </c>
      <c r="N21">
        <f>I21/K21</f>
        <v>0.39562551219374348</v>
      </c>
      <c r="O21">
        <f>I22/K22</f>
        <v>20.066889632107024</v>
      </c>
      <c r="P21">
        <v>15</v>
      </c>
      <c r="R21">
        <v>40.195</v>
      </c>
      <c r="S21">
        <v>1.25455206184354</v>
      </c>
      <c r="T21">
        <f>P21/P22</f>
        <v>2.1428571428571428</v>
      </c>
      <c r="U21">
        <f>P21/R21</f>
        <v>0.37318074387361611</v>
      </c>
      <c r="V21">
        <f>P22/R22</f>
        <v>17.721518987341771</v>
      </c>
      <c r="W21">
        <v>33</v>
      </c>
      <c r="Y21">
        <v>81.572000000000003</v>
      </c>
      <c r="Z21">
        <v>2.5497603993501299</v>
      </c>
      <c r="AA21">
        <f>W21/W22</f>
        <v>2.3571428571428572</v>
      </c>
      <c r="AB21">
        <f>W21/Y21</f>
        <v>0.40455058108174374</v>
      </c>
      <c r="AC21">
        <f>W22/Y22</f>
        <v>8.4337349397590362</v>
      </c>
    </row>
    <row r="22" spans="1:29">
      <c r="A22" s="10"/>
      <c r="B22" s="10"/>
      <c r="H22">
        <v>2</v>
      </c>
      <c r="I22">
        <v>6</v>
      </c>
      <c r="J22" t="s">
        <v>18</v>
      </c>
      <c r="K22">
        <v>0.29899999999999999</v>
      </c>
      <c r="L22">
        <v>0.45666707218149</v>
      </c>
      <c r="P22">
        <v>7</v>
      </c>
      <c r="Q22" t="s">
        <v>19</v>
      </c>
      <c r="R22">
        <v>0.39500000000000002</v>
      </c>
      <c r="S22">
        <v>0.52953432996039496</v>
      </c>
      <c r="W22">
        <v>14</v>
      </c>
      <c r="X22" t="s">
        <v>20</v>
      </c>
      <c r="Y22">
        <v>1.66</v>
      </c>
      <c r="Z22">
        <v>1.04154655163329</v>
      </c>
    </row>
    <row r="23" spans="1:29">
      <c r="A23" s="10"/>
      <c r="B23" s="10"/>
      <c r="H23">
        <v>3</v>
      </c>
      <c r="I23">
        <v>1</v>
      </c>
      <c r="K23">
        <v>5.0000000000000001E-3</v>
      </c>
      <c r="L23">
        <v>7.0392329696353104E-2</v>
      </c>
      <c r="P23">
        <v>0</v>
      </c>
      <c r="R23">
        <v>5.0000000000000001E-3</v>
      </c>
      <c r="S23">
        <v>7.0392329696353104E-2</v>
      </c>
      <c r="W23">
        <v>0</v>
      </c>
      <c r="Y23">
        <v>3.5999999999999997E-2</v>
      </c>
      <c r="Z23">
        <v>0.18299766158108099</v>
      </c>
    </row>
    <row r="24" spans="1:29">
      <c r="A24" s="10"/>
      <c r="B24" s="10"/>
      <c r="H24">
        <v>4</v>
      </c>
      <c r="I24">
        <v>1</v>
      </c>
      <c r="K24">
        <v>0</v>
      </c>
      <c r="L24">
        <v>0</v>
      </c>
      <c r="P24">
        <v>0</v>
      </c>
      <c r="R24">
        <v>0</v>
      </c>
      <c r="S24">
        <v>0</v>
      </c>
      <c r="W24">
        <v>0</v>
      </c>
    </row>
    <row r="25" spans="1:29">
      <c r="A25" s="10"/>
      <c r="B25" s="10"/>
      <c r="H25">
        <v>5</v>
      </c>
      <c r="I25">
        <v>0</v>
      </c>
      <c r="K25">
        <v>0</v>
      </c>
      <c r="L25">
        <v>0</v>
      </c>
      <c r="P25">
        <v>1</v>
      </c>
      <c r="R25">
        <v>0</v>
      </c>
      <c r="S25">
        <v>0</v>
      </c>
      <c r="W25">
        <v>1</v>
      </c>
    </row>
    <row r="26" spans="1:29">
      <c r="A26" s="10"/>
      <c r="B26" s="10"/>
      <c r="H26">
        <v>6</v>
      </c>
      <c r="I26">
        <v>0</v>
      </c>
      <c r="K26">
        <v>0</v>
      </c>
      <c r="L26">
        <v>0</v>
      </c>
      <c r="P26">
        <v>0</v>
      </c>
      <c r="R26">
        <v>0</v>
      </c>
      <c r="S26">
        <v>0</v>
      </c>
      <c r="W26">
        <v>1</v>
      </c>
    </row>
    <row r="27" spans="1:29">
      <c r="A27" s="10"/>
      <c r="B27" s="10"/>
      <c r="H27">
        <v>7</v>
      </c>
      <c r="I27">
        <v>1</v>
      </c>
      <c r="K27">
        <v>0</v>
      </c>
      <c r="L27">
        <v>0</v>
      </c>
      <c r="P27">
        <v>1</v>
      </c>
      <c r="R27">
        <v>0</v>
      </c>
      <c r="S27">
        <v>0</v>
      </c>
      <c r="W27">
        <v>0</v>
      </c>
    </row>
    <row r="28" spans="1:29">
      <c r="A28" s="10"/>
      <c r="B28" s="10"/>
      <c r="H28">
        <v>8</v>
      </c>
      <c r="I28">
        <v>0</v>
      </c>
      <c r="K28">
        <v>0</v>
      </c>
      <c r="L28">
        <v>0</v>
      </c>
      <c r="P28">
        <v>0</v>
      </c>
      <c r="R28">
        <v>0</v>
      </c>
      <c r="S28">
        <v>0</v>
      </c>
      <c r="W28">
        <v>0</v>
      </c>
    </row>
    <row r="29" spans="1:29">
      <c r="A29" s="10"/>
      <c r="B29" s="10"/>
      <c r="H29">
        <v>9</v>
      </c>
      <c r="I29">
        <v>0</v>
      </c>
      <c r="K29">
        <v>0</v>
      </c>
      <c r="L29">
        <v>0</v>
      </c>
      <c r="P29">
        <v>0</v>
      </c>
      <c r="R29">
        <v>0</v>
      </c>
      <c r="S29">
        <v>0</v>
      </c>
      <c r="W29">
        <v>0</v>
      </c>
    </row>
    <row r="30" spans="1:29">
      <c r="A30" s="10"/>
      <c r="B30" s="10"/>
      <c r="H30">
        <v>10</v>
      </c>
      <c r="I30">
        <v>0</v>
      </c>
      <c r="K30">
        <v>0</v>
      </c>
      <c r="L30">
        <v>0</v>
      </c>
      <c r="P30">
        <v>0</v>
      </c>
      <c r="R30">
        <v>0</v>
      </c>
      <c r="S30">
        <v>0</v>
      </c>
      <c r="W30">
        <v>0</v>
      </c>
    </row>
    <row r="31" spans="1:29">
      <c r="A31" s="10"/>
      <c r="B31" s="10"/>
      <c r="H31">
        <v>11</v>
      </c>
      <c r="I31">
        <v>0</v>
      </c>
      <c r="K31">
        <v>0</v>
      </c>
      <c r="L31">
        <v>0</v>
      </c>
      <c r="P31">
        <v>0</v>
      </c>
      <c r="R31">
        <v>0</v>
      </c>
      <c r="S31">
        <v>0</v>
      </c>
      <c r="W31">
        <v>0</v>
      </c>
    </row>
    <row r="32" spans="1:29">
      <c r="A32" s="10"/>
      <c r="B32" s="10"/>
      <c r="H32">
        <v>12</v>
      </c>
      <c r="I32">
        <v>0</v>
      </c>
      <c r="K32">
        <v>0</v>
      </c>
      <c r="L32">
        <v>0</v>
      </c>
      <c r="P32">
        <v>0</v>
      </c>
      <c r="R32">
        <v>0</v>
      </c>
      <c r="S32">
        <v>0</v>
      </c>
      <c r="W32">
        <v>0</v>
      </c>
    </row>
    <row r="33" spans="1:29">
      <c r="A33" s="10"/>
      <c r="B33" s="10"/>
      <c r="H33">
        <v>13</v>
      </c>
      <c r="I33">
        <v>0</v>
      </c>
      <c r="K33">
        <v>0</v>
      </c>
      <c r="L33">
        <v>0</v>
      </c>
      <c r="P33">
        <v>0</v>
      </c>
      <c r="R33">
        <v>0</v>
      </c>
      <c r="S33">
        <v>0</v>
      </c>
      <c r="W33">
        <v>1</v>
      </c>
    </row>
    <row r="34" spans="1:29" ht="15.75">
      <c r="A34" s="9" t="s">
        <v>21</v>
      </c>
      <c r="B34" s="15" t="s">
        <v>22</v>
      </c>
      <c r="C34" s="1" t="s">
        <v>23</v>
      </c>
      <c r="D34">
        <v>82</v>
      </c>
      <c r="E34">
        <v>74</v>
      </c>
      <c r="F34">
        <v>87</v>
      </c>
      <c r="G34">
        <v>276</v>
      </c>
      <c r="H34">
        <v>1</v>
      </c>
      <c r="I34">
        <v>22</v>
      </c>
      <c r="K34">
        <v>73.382000000000005</v>
      </c>
      <c r="L34">
        <v>2.22735879534555</v>
      </c>
      <c r="M34">
        <f>I34/I35</f>
        <v>3.6666666666666665</v>
      </c>
      <c r="N34">
        <f>I34/K34</f>
        <v>0.29980104112725192</v>
      </c>
      <c r="O34">
        <f>I35/K35</f>
        <v>4.713275726630008</v>
      </c>
      <c r="P34">
        <v>26</v>
      </c>
      <c r="R34">
        <v>83.480999999999995</v>
      </c>
      <c r="S34">
        <v>2.60424917255486</v>
      </c>
      <c r="T34">
        <f>P34/P35</f>
        <v>5.2</v>
      </c>
      <c r="U34">
        <f>P34/R34</f>
        <v>0.31144811394209465</v>
      </c>
      <c r="V34">
        <f>P35/R35</f>
        <v>2.9568302779420459</v>
      </c>
      <c r="W34">
        <v>46</v>
      </c>
      <c r="Y34">
        <v>242.54300000000001</v>
      </c>
      <c r="Z34">
        <v>7.2862869919547801</v>
      </c>
      <c r="AA34">
        <f>W34/W35</f>
        <v>1.7692307692307692</v>
      </c>
      <c r="AB34">
        <f>W34/Y34</f>
        <v>0.1896570917321877</v>
      </c>
      <c r="AC34">
        <f>W35/Y35</f>
        <v>1.7402945113788488</v>
      </c>
    </row>
    <row r="35" spans="1:29">
      <c r="A35" s="10"/>
      <c r="B35" s="11"/>
      <c r="H35">
        <v>2</v>
      </c>
      <c r="I35">
        <v>6</v>
      </c>
      <c r="J35" t="s">
        <v>18</v>
      </c>
      <c r="K35">
        <v>1.2729999999999999</v>
      </c>
      <c r="L35">
        <v>0.88126194267743496</v>
      </c>
      <c r="P35">
        <v>5</v>
      </c>
      <c r="Q35" t="s">
        <v>24</v>
      </c>
      <c r="R35">
        <v>1.6910000000000001</v>
      </c>
      <c r="S35">
        <v>1.05209131073596</v>
      </c>
      <c r="W35">
        <v>26</v>
      </c>
      <c r="X35" t="s">
        <v>26</v>
      </c>
      <c r="Y35">
        <v>14.94</v>
      </c>
      <c r="Z35">
        <v>3.4700024952897799</v>
      </c>
    </row>
    <row r="36" spans="1:29">
      <c r="A36" s="10"/>
      <c r="B36" s="11"/>
      <c r="H36">
        <v>3</v>
      </c>
      <c r="I36">
        <v>8</v>
      </c>
      <c r="K36">
        <v>2.4E-2</v>
      </c>
      <c r="L36">
        <v>0.15127692721862299</v>
      </c>
      <c r="P36">
        <v>6</v>
      </c>
      <c r="R36">
        <v>4.2999999999999997E-2</v>
      </c>
      <c r="S36">
        <v>0.21312292551807099</v>
      </c>
      <c r="W36">
        <v>0</v>
      </c>
      <c r="Y36">
        <v>1.08</v>
      </c>
      <c r="Z36">
        <v>0.85220552348260104</v>
      </c>
    </row>
    <row r="37" spans="1:29">
      <c r="A37" s="10"/>
      <c r="B37" s="11"/>
      <c r="H37">
        <v>4</v>
      </c>
      <c r="I37">
        <v>1</v>
      </c>
      <c r="P37">
        <v>2</v>
      </c>
      <c r="R37">
        <v>2E-3</v>
      </c>
      <c r="S37">
        <v>4.46542495402397E-2</v>
      </c>
      <c r="W37">
        <v>5</v>
      </c>
      <c r="Y37">
        <v>7.4999999999999997E-2</v>
      </c>
      <c r="Z37">
        <v>0.26120653486054601</v>
      </c>
    </row>
    <row r="38" spans="1:29">
      <c r="A38" s="10"/>
      <c r="B38" s="11"/>
      <c r="H38">
        <v>5</v>
      </c>
      <c r="I38">
        <v>1</v>
      </c>
      <c r="P38">
        <v>1</v>
      </c>
      <c r="W38">
        <v>5</v>
      </c>
      <c r="Y38">
        <v>5.0000000000000001E-3</v>
      </c>
      <c r="Z38">
        <v>7.0392329696353104E-2</v>
      </c>
    </row>
    <row r="39" spans="1:29">
      <c r="A39" s="10"/>
      <c r="B39" s="11"/>
      <c r="H39">
        <v>6</v>
      </c>
      <c r="I39">
        <v>0</v>
      </c>
      <c r="P39">
        <v>2</v>
      </c>
      <c r="W39">
        <v>3</v>
      </c>
      <c r="Y39">
        <v>2E-3</v>
      </c>
      <c r="Z39">
        <v>4.46542495402397E-2</v>
      </c>
    </row>
    <row r="40" spans="1:29">
      <c r="A40" s="10"/>
      <c r="B40" s="11"/>
      <c r="H40">
        <v>7</v>
      </c>
      <c r="I40">
        <v>1</v>
      </c>
      <c r="P40">
        <v>0</v>
      </c>
      <c r="W40">
        <v>4</v>
      </c>
    </row>
    <row r="41" spans="1:29">
      <c r="A41" s="10"/>
      <c r="B41" s="11"/>
      <c r="H41">
        <v>8</v>
      </c>
      <c r="I41">
        <v>0</v>
      </c>
      <c r="P41">
        <v>1</v>
      </c>
      <c r="W41">
        <v>1</v>
      </c>
    </row>
    <row r="42" spans="1:29">
      <c r="A42" s="10"/>
      <c r="B42" s="11"/>
      <c r="H42">
        <v>9</v>
      </c>
      <c r="W42">
        <v>2</v>
      </c>
    </row>
    <row r="43" spans="1:29">
      <c r="A43" s="10"/>
      <c r="B43" s="11"/>
      <c r="H43">
        <v>10</v>
      </c>
      <c r="W43">
        <v>1</v>
      </c>
    </row>
    <row r="44" spans="1:29">
      <c r="A44" s="10"/>
      <c r="B44" s="11"/>
      <c r="H44">
        <v>11</v>
      </c>
    </row>
    <row r="45" spans="1:29">
      <c r="A45" s="10"/>
      <c r="B45" s="11"/>
      <c r="H45">
        <v>12</v>
      </c>
    </row>
    <row r="46" spans="1:29">
      <c r="A46" s="10"/>
      <c r="B46" s="11"/>
      <c r="H46">
        <v>13</v>
      </c>
    </row>
    <row r="47" spans="1:29">
      <c r="A47" s="10"/>
      <c r="B47" s="11"/>
      <c r="H47">
        <v>14</v>
      </c>
    </row>
    <row r="48" spans="1:29">
      <c r="A48" s="10"/>
      <c r="B48" s="11"/>
      <c r="H48">
        <v>15</v>
      </c>
      <c r="W48">
        <v>2</v>
      </c>
    </row>
    <row r="49" spans="1:29">
      <c r="A49" s="10"/>
      <c r="B49" s="11"/>
      <c r="H49">
        <f t="shared" ref="H49:H54" si="0">H48+1</f>
        <v>16</v>
      </c>
    </row>
    <row r="50" spans="1:29">
      <c r="A50" s="10"/>
      <c r="B50" s="11"/>
      <c r="H50">
        <f t="shared" si="0"/>
        <v>17</v>
      </c>
    </row>
    <row r="51" spans="1:29">
      <c r="A51" s="10"/>
      <c r="B51" s="11"/>
      <c r="H51">
        <f t="shared" si="0"/>
        <v>18</v>
      </c>
    </row>
    <row r="52" spans="1:29">
      <c r="A52" s="10"/>
      <c r="B52" s="11"/>
      <c r="H52">
        <f t="shared" si="0"/>
        <v>19</v>
      </c>
    </row>
    <row r="53" spans="1:29">
      <c r="A53" s="10"/>
      <c r="B53" s="11"/>
      <c r="H53">
        <f t="shared" si="0"/>
        <v>20</v>
      </c>
    </row>
    <row r="54" spans="1:29">
      <c r="A54" s="10"/>
      <c r="B54" s="11"/>
      <c r="H54">
        <f t="shared" si="0"/>
        <v>21</v>
      </c>
      <c r="W54">
        <v>1</v>
      </c>
    </row>
    <row r="55" spans="1:29" ht="15.75">
      <c r="A55" s="10"/>
      <c r="B55" s="9" t="s">
        <v>25</v>
      </c>
      <c r="C55" s="4" t="s">
        <v>27</v>
      </c>
      <c r="D55">
        <v>201</v>
      </c>
      <c r="E55">
        <v>144</v>
      </c>
      <c r="F55">
        <v>162</v>
      </c>
      <c r="G55">
        <v>276</v>
      </c>
      <c r="H55">
        <v>1</v>
      </c>
      <c r="I55">
        <v>22</v>
      </c>
      <c r="K55">
        <v>134.488</v>
      </c>
      <c r="L55">
        <v>3.9445061775823098</v>
      </c>
      <c r="M55">
        <f>I55/I56</f>
        <v>1.4666666666666666</v>
      </c>
      <c r="N55">
        <f>I55/K55</f>
        <v>0.16358336803283566</v>
      </c>
      <c r="O55">
        <f>I56/K56</f>
        <v>3.3185840707964607</v>
      </c>
      <c r="P55">
        <v>27</v>
      </c>
      <c r="R55">
        <v>150.04300000000001</v>
      </c>
      <c r="S55">
        <v>4.7678323561526703</v>
      </c>
      <c r="T55">
        <f>P55/P56</f>
        <v>1.6875</v>
      </c>
      <c r="U55">
        <f>P55/R55</f>
        <v>0.17994841478776083</v>
      </c>
      <c r="V55">
        <f>P56/R56</f>
        <v>2.8715003589375447</v>
      </c>
      <c r="W55">
        <v>46</v>
      </c>
      <c r="Y55">
        <v>242.54300000000001</v>
      </c>
      <c r="Z55">
        <v>7.2862869919547801</v>
      </c>
      <c r="AA55">
        <f>W55/W56</f>
        <v>2</v>
      </c>
      <c r="AB55">
        <f>W55/Y55</f>
        <v>0.1896570917321877</v>
      </c>
      <c r="AC55">
        <f>W56/Y56</f>
        <v>1.5394912985274432</v>
      </c>
    </row>
    <row r="56" spans="1:29">
      <c r="A56" s="10"/>
      <c r="B56" s="10"/>
      <c r="H56">
        <v>2</v>
      </c>
      <c r="I56">
        <v>15</v>
      </c>
      <c r="J56" t="s">
        <v>28</v>
      </c>
      <c r="K56">
        <v>4.5199999999999996</v>
      </c>
      <c r="L56">
        <v>1.82469019131859</v>
      </c>
      <c r="P56">
        <v>16</v>
      </c>
      <c r="Q56" t="s">
        <v>29</v>
      </c>
      <c r="R56">
        <v>5.5720000000000001</v>
      </c>
      <c r="S56">
        <v>2.2325293842302401</v>
      </c>
      <c r="W56">
        <v>23</v>
      </c>
      <c r="X56" t="s">
        <v>30</v>
      </c>
      <c r="Y56">
        <v>14.94</v>
      </c>
      <c r="Z56">
        <v>3.4700024952897799</v>
      </c>
    </row>
    <row r="57" spans="1:29">
      <c r="A57" s="10"/>
      <c r="B57" s="10"/>
      <c r="H57">
        <v>3</v>
      </c>
      <c r="I57">
        <v>1</v>
      </c>
      <c r="K57">
        <v>0.14799999999999999</v>
      </c>
      <c r="L57">
        <v>0.362386771519287</v>
      </c>
      <c r="P57">
        <v>3</v>
      </c>
      <c r="R57">
        <v>0.248</v>
      </c>
      <c r="S57">
        <v>0.43462200621722802</v>
      </c>
      <c r="W57">
        <v>4</v>
      </c>
      <c r="Y57">
        <v>1.08</v>
      </c>
      <c r="Z57">
        <v>0.85220552348260104</v>
      </c>
    </row>
    <row r="58" spans="1:29">
      <c r="A58" s="10"/>
      <c r="B58" s="10"/>
      <c r="H58">
        <v>4</v>
      </c>
      <c r="I58">
        <v>2</v>
      </c>
      <c r="K58">
        <v>7.0000000000000001E-3</v>
      </c>
      <c r="L58">
        <v>8.3121911986264202E-2</v>
      </c>
      <c r="P58">
        <v>2</v>
      </c>
      <c r="R58">
        <v>1.6E-2</v>
      </c>
      <c r="S58">
        <v>0.124529529042727</v>
      </c>
      <c r="W58">
        <v>6</v>
      </c>
      <c r="Y58">
        <v>7.4999999999999997E-2</v>
      </c>
      <c r="Z58">
        <v>0.26120653486054601</v>
      </c>
    </row>
    <row r="59" spans="1:29">
      <c r="A59" s="10"/>
      <c r="B59" s="10"/>
      <c r="H59">
        <v>5</v>
      </c>
      <c r="I59">
        <v>2</v>
      </c>
      <c r="P59">
        <v>2</v>
      </c>
      <c r="R59">
        <v>1E-3</v>
      </c>
      <c r="S59">
        <v>3.1606961258558199E-2</v>
      </c>
      <c r="W59">
        <v>2</v>
      </c>
      <c r="Y59">
        <v>5.0000000000000001E-3</v>
      </c>
      <c r="Z59">
        <v>7.0392329696353104E-2</v>
      </c>
    </row>
    <row r="60" spans="1:29">
      <c r="A60" s="10"/>
      <c r="B60" s="10"/>
      <c r="H60">
        <v>6</v>
      </c>
      <c r="I60">
        <v>2</v>
      </c>
      <c r="P60">
        <v>2</v>
      </c>
      <c r="W60">
        <v>4</v>
      </c>
      <c r="Y60">
        <v>2E-3</v>
      </c>
      <c r="Z60">
        <v>4.46542495402397E-2</v>
      </c>
    </row>
    <row r="61" spans="1:29">
      <c r="A61" s="10"/>
      <c r="B61" s="10"/>
      <c r="H61">
        <v>7</v>
      </c>
      <c r="I61">
        <v>1</v>
      </c>
      <c r="P61">
        <v>1</v>
      </c>
      <c r="W61">
        <v>2</v>
      </c>
    </row>
    <row r="62" spans="1:29">
      <c r="A62" s="10"/>
      <c r="B62" s="10"/>
      <c r="H62">
        <v>8</v>
      </c>
      <c r="I62">
        <v>2</v>
      </c>
      <c r="P62">
        <v>0</v>
      </c>
      <c r="W62">
        <v>0</v>
      </c>
    </row>
    <row r="63" spans="1:29">
      <c r="A63" s="10"/>
      <c r="B63" s="10"/>
      <c r="H63">
        <f>H62+1</f>
        <v>9</v>
      </c>
      <c r="P63">
        <v>1</v>
      </c>
      <c r="W63">
        <v>0</v>
      </c>
    </row>
    <row r="64" spans="1:29">
      <c r="A64" s="10"/>
      <c r="B64" s="10"/>
      <c r="H64">
        <f t="shared" ref="H64:H75" si="1">H63+1</f>
        <v>10</v>
      </c>
      <c r="P64">
        <v>1</v>
      </c>
      <c r="W64">
        <v>1</v>
      </c>
    </row>
    <row r="65" spans="1:29">
      <c r="A65" s="10"/>
      <c r="B65" s="10"/>
      <c r="H65">
        <f t="shared" si="1"/>
        <v>11</v>
      </c>
    </row>
    <row r="66" spans="1:29">
      <c r="A66" s="10"/>
      <c r="B66" s="10"/>
      <c r="H66">
        <f t="shared" si="1"/>
        <v>12</v>
      </c>
      <c r="W66">
        <v>1</v>
      </c>
    </row>
    <row r="67" spans="1:29">
      <c r="A67" s="10"/>
      <c r="B67" s="10"/>
      <c r="H67">
        <f t="shared" si="1"/>
        <v>13</v>
      </c>
    </row>
    <row r="68" spans="1:29">
      <c r="A68" s="10"/>
      <c r="B68" s="10"/>
      <c r="H68">
        <f t="shared" si="1"/>
        <v>14</v>
      </c>
    </row>
    <row r="69" spans="1:29">
      <c r="A69" s="10"/>
      <c r="B69" s="10"/>
      <c r="H69">
        <f t="shared" si="1"/>
        <v>15</v>
      </c>
      <c r="I69">
        <v>1</v>
      </c>
    </row>
    <row r="70" spans="1:29">
      <c r="A70" s="10"/>
      <c r="B70" s="10"/>
      <c r="H70">
        <f t="shared" si="1"/>
        <v>16</v>
      </c>
      <c r="P70">
        <v>1</v>
      </c>
      <c r="W70">
        <v>1</v>
      </c>
    </row>
    <row r="71" spans="1:29">
      <c r="A71" s="10"/>
      <c r="B71" s="10"/>
      <c r="H71">
        <f t="shared" si="1"/>
        <v>17</v>
      </c>
      <c r="W71">
        <v>1</v>
      </c>
    </row>
    <row r="72" spans="1:29">
      <c r="A72" s="10"/>
      <c r="B72" s="10"/>
      <c r="H72">
        <f t="shared" si="1"/>
        <v>18</v>
      </c>
    </row>
    <row r="73" spans="1:29">
      <c r="A73" s="10"/>
      <c r="B73" s="10"/>
      <c r="H73">
        <f t="shared" si="1"/>
        <v>19</v>
      </c>
    </row>
    <row r="74" spans="1:29">
      <c r="A74" s="10"/>
      <c r="B74" s="10"/>
      <c r="H74">
        <f t="shared" si="1"/>
        <v>20</v>
      </c>
    </row>
    <row r="75" spans="1:29">
      <c r="A75" s="10"/>
      <c r="B75" s="10"/>
      <c r="H75">
        <f t="shared" si="1"/>
        <v>21</v>
      </c>
      <c r="I75">
        <v>1</v>
      </c>
    </row>
    <row r="76" spans="1:29">
      <c r="A76" s="10"/>
      <c r="B76" s="10"/>
      <c r="H76">
        <v>22</v>
      </c>
      <c r="P76">
        <v>1</v>
      </c>
      <c r="W76">
        <v>1</v>
      </c>
    </row>
    <row r="77" spans="1:29">
      <c r="A77" s="10"/>
      <c r="B77" s="10"/>
      <c r="H77">
        <v>23</v>
      </c>
      <c r="W77">
        <v>1</v>
      </c>
    </row>
    <row r="78" spans="1:29" ht="15.75">
      <c r="A78" s="14" t="s">
        <v>107</v>
      </c>
      <c r="B78" s="9" t="s">
        <v>31</v>
      </c>
      <c r="C78" s="1" t="s">
        <v>32</v>
      </c>
      <c r="D78">
        <v>39</v>
      </c>
      <c r="E78">
        <v>31</v>
      </c>
      <c r="F78">
        <v>40</v>
      </c>
      <c r="G78">
        <v>65</v>
      </c>
      <c r="H78">
        <v>1</v>
      </c>
      <c r="I78">
        <v>21</v>
      </c>
      <c r="K78">
        <v>30.518999999999998</v>
      </c>
      <c r="L78">
        <v>0.95091317946218901</v>
      </c>
      <c r="M78">
        <f>I78/I79</f>
        <v>10.5</v>
      </c>
      <c r="N78">
        <f>I78/K78</f>
        <v>0.68809594023395271</v>
      </c>
      <c r="O78">
        <f>I79/K79</f>
        <v>8.3682008368200833</v>
      </c>
      <c r="P78">
        <v>24</v>
      </c>
      <c r="R78">
        <v>39.234999999999999</v>
      </c>
      <c r="S78">
        <v>1.21929342303295</v>
      </c>
      <c r="T78">
        <f>P78/P79</f>
        <v>4.8</v>
      </c>
      <c r="U78">
        <f>P78/R78</f>
        <v>0.61169873837135214</v>
      </c>
      <c r="V78">
        <f>P79/R79</f>
        <v>13.227513227513228</v>
      </c>
      <c r="W78">
        <v>31</v>
      </c>
      <c r="Y78">
        <v>63.109000000000002</v>
      </c>
      <c r="Z78">
        <v>1.93722997575894</v>
      </c>
      <c r="AA78">
        <f>W78/W79</f>
        <v>2.2142857142857144</v>
      </c>
      <c r="AB78">
        <f>W78/Y78</f>
        <v>0.49121361453992296</v>
      </c>
      <c r="AC78">
        <f>W79/Y79</f>
        <v>15.217391304347826</v>
      </c>
    </row>
    <row r="79" spans="1:29">
      <c r="A79" s="10"/>
      <c r="B79" s="10"/>
      <c r="H79">
        <v>2</v>
      </c>
      <c r="I79">
        <v>2</v>
      </c>
      <c r="J79" t="s">
        <v>33</v>
      </c>
      <c r="K79">
        <v>0.23899999999999999</v>
      </c>
      <c r="L79">
        <v>0.42055349629178301</v>
      </c>
      <c r="P79">
        <v>5</v>
      </c>
      <c r="Q79" t="s">
        <v>34</v>
      </c>
      <c r="R79">
        <v>0.378</v>
      </c>
      <c r="S79">
        <v>0.51734997341741096</v>
      </c>
      <c r="W79">
        <v>14</v>
      </c>
      <c r="X79" t="s">
        <v>35</v>
      </c>
      <c r="Y79">
        <v>0.92</v>
      </c>
      <c r="Z79">
        <v>0.75298485123286896</v>
      </c>
    </row>
    <row r="80" spans="1:29">
      <c r="A80" s="10"/>
      <c r="B80" s="10"/>
      <c r="H80">
        <v>3</v>
      </c>
      <c r="I80">
        <v>2</v>
      </c>
      <c r="K80">
        <v>1E-3</v>
      </c>
      <c r="L80">
        <v>3.1606961258558199E-2</v>
      </c>
      <c r="P80">
        <v>2</v>
      </c>
      <c r="R80">
        <v>3.0000000000000001E-3</v>
      </c>
      <c r="S80">
        <v>5.4635263447813699E-2</v>
      </c>
      <c r="W80">
        <v>2</v>
      </c>
      <c r="Y80">
        <v>1.7000000000000001E-2</v>
      </c>
      <c r="Z80">
        <v>0.128231651148834</v>
      </c>
    </row>
    <row r="81" spans="1:29" ht="15.75">
      <c r="A81" s="14" t="s">
        <v>109</v>
      </c>
      <c r="B81" s="9" t="s">
        <v>36</v>
      </c>
      <c r="C81" s="1" t="s">
        <v>37</v>
      </c>
      <c r="D81">
        <v>95</v>
      </c>
      <c r="E81">
        <v>87</v>
      </c>
      <c r="F81">
        <v>562</v>
      </c>
      <c r="G81">
        <v>638</v>
      </c>
      <c r="H81">
        <v>1</v>
      </c>
      <c r="I81">
        <v>33</v>
      </c>
      <c r="K81">
        <v>83.613</v>
      </c>
      <c r="L81">
        <v>2.5600509940413301</v>
      </c>
      <c r="P81">
        <v>168</v>
      </c>
      <c r="R81">
        <v>436.98399999999998</v>
      </c>
      <c r="S81">
        <v>13.154378945029199</v>
      </c>
      <c r="W81">
        <v>171</v>
      </c>
      <c r="Y81">
        <v>480.25700000000001</v>
      </c>
      <c r="Z81">
        <v>14.6046091889019</v>
      </c>
    </row>
    <row r="82" spans="1:29">
      <c r="A82" s="10"/>
      <c r="B82" s="10"/>
      <c r="H82">
        <f>H81+1</f>
        <v>2</v>
      </c>
      <c r="I82">
        <v>27</v>
      </c>
      <c r="J82" t="s">
        <v>38</v>
      </c>
      <c r="K82">
        <v>1.641</v>
      </c>
      <c r="L82">
        <v>1.0446198364010699</v>
      </c>
      <c r="P82">
        <v>197</v>
      </c>
      <c r="Q82" t="s">
        <v>39</v>
      </c>
      <c r="R82">
        <v>49.189</v>
      </c>
      <c r="S82">
        <v>5.8845337127096098</v>
      </c>
      <c r="W82">
        <v>230</v>
      </c>
      <c r="X82" t="s">
        <v>40</v>
      </c>
      <c r="Y82">
        <v>60.512</v>
      </c>
      <c r="Z82">
        <v>6.7264140894314899</v>
      </c>
    </row>
    <row r="83" spans="1:29">
      <c r="A83" s="10"/>
      <c r="B83" s="10"/>
      <c r="H83">
        <f t="shared" ref="H83:H90" si="2">H82+1</f>
        <v>3</v>
      </c>
      <c r="K83">
        <v>3.5000000000000003E-2</v>
      </c>
      <c r="L83">
        <v>0.18608137004083999</v>
      </c>
      <c r="R83">
        <v>6.7949999999999999</v>
      </c>
      <c r="S83">
        <v>2.4154430888173102</v>
      </c>
      <c r="W83">
        <v>1</v>
      </c>
      <c r="Y83">
        <v>9.0429999999999993</v>
      </c>
      <c r="Z83">
        <v>2.8331264985448099</v>
      </c>
    </row>
    <row r="84" spans="1:29">
      <c r="A84" s="10"/>
      <c r="B84" s="10"/>
      <c r="H84">
        <f t="shared" si="2"/>
        <v>4</v>
      </c>
      <c r="R84">
        <v>1.143</v>
      </c>
      <c r="S84">
        <v>0.80820098727719403</v>
      </c>
      <c r="W84">
        <v>1</v>
      </c>
      <c r="Y84">
        <v>1.6719999999999999</v>
      </c>
      <c r="Z84">
        <v>1.03891496490535</v>
      </c>
    </row>
    <row r="85" spans="1:29">
      <c r="A85" s="10"/>
      <c r="B85" s="10"/>
      <c r="H85">
        <f t="shared" si="2"/>
        <v>5</v>
      </c>
      <c r="R85">
        <v>0.223</v>
      </c>
      <c r="S85">
        <v>0.419241005891625</v>
      </c>
      <c r="Y85">
        <v>0.42199999999999999</v>
      </c>
      <c r="Z85">
        <v>0.53352245895952</v>
      </c>
    </row>
    <row r="86" spans="1:29">
      <c r="A86" s="10"/>
      <c r="B86" s="10"/>
      <c r="H86">
        <f t="shared" si="2"/>
        <v>6</v>
      </c>
      <c r="R86">
        <v>5.8000000000000003E-2</v>
      </c>
      <c r="S86">
        <v>0.226977158830201</v>
      </c>
      <c r="Y86">
        <v>8.3000000000000004E-2</v>
      </c>
      <c r="Z86">
        <v>0.26806483685249799</v>
      </c>
    </row>
    <row r="87" spans="1:29">
      <c r="A87" s="10"/>
      <c r="B87" s="10"/>
      <c r="H87">
        <f t="shared" si="2"/>
        <v>7</v>
      </c>
      <c r="R87">
        <v>0.02</v>
      </c>
      <c r="S87">
        <v>0.13866227759281599</v>
      </c>
      <c r="Y87">
        <v>2.9000000000000001E-2</v>
      </c>
      <c r="Z87">
        <v>0.16543808134392299</v>
      </c>
    </row>
    <row r="88" spans="1:29">
      <c r="A88" s="10"/>
      <c r="B88" s="10"/>
      <c r="H88">
        <f t="shared" si="2"/>
        <v>8</v>
      </c>
      <c r="R88">
        <v>4.0000000000000001E-3</v>
      </c>
      <c r="S88">
        <v>6.3024090917965903E-2</v>
      </c>
      <c r="Y88">
        <v>8.9999999999999993E-3</v>
      </c>
      <c r="Z88">
        <v>9.4061557379072597E-2</v>
      </c>
    </row>
    <row r="89" spans="1:29">
      <c r="A89" s="10"/>
      <c r="B89" s="10"/>
      <c r="H89">
        <f t="shared" si="2"/>
        <v>9</v>
      </c>
      <c r="R89">
        <v>4.0000000000000001E-3</v>
      </c>
      <c r="S89">
        <v>6.3024090917965903E-2</v>
      </c>
      <c r="Y89">
        <v>1E-3</v>
      </c>
      <c r="Z89">
        <v>3.1606961258558199E-2</v>
      </c>
    </row>
    <row r="90" spans="1:29">
      <c r="A90" s="10"/>
      <c r="B90" s="10"/>
      <c r="H90">
        <f t="shared" si="2"/>
        <v>10</v>
      </c>
      <c r="R90">
        <v>1E-3</v>
      </c>
      <c r="S90">
        <v>3.1606961258558199E-2</v>
      </c>
      <c r="Y90">
        <v>1E-3</v>
      </c>
      <c r="Z90">
        <v>3.1606961258558199E-2</v>
      </c>
    </row>
    <row r="91" spans="1:29" ht="15.75">
      <c r="A91" s="10"/>
      <c r="B91" s="9" t="s">
        <v>41</v>
      </c>
      <c r="C91" s="1" t="s">
        <v>42</v>
      </c>
      <c r="D91">
        <v>181</v>
      </c>
      <c r="E91">
        <v>180</v>
      </c>
      <c r="F91">
        <v>286</v>
      </c>
      <c r="G91">
        <v>341</v>
      </c>
      <c r="H91">
        <v>1</v>
      </c>
      <c r="I91">
        <v>30</v>
      </c>
      <c r="K91">
        <v>165.63900000000001</v>
      </c>
      <c r="L91">
        <v>5.1522201089482698</v>
      </c>
      <c r="M91">
        <f>I91/I92</f>
        <v>0.4</v>
      </c>
      <c r="N91">
        <f>I91/K91</f>
        <v>0.18111676597902668</v>
      </c>
      <c r="O91">
        <f>I92/K92</f>
        <v>11.284983448690943</v>
      </c>
      <c r="P91">
        <v>24</v>
      </c>
      <c r="R91">
        <v>250.44800000000001</v>
      </c>
      <c r="S91">
        <v>7.5381710858350397</v>
      </c>
      <c r="T91">
        <f>P91/P92</f>
        <v>0.18320610687022901</v>
      </c>
      <c r="U91">
        <f>P91/R91</f>
        <v>9.5828275729892026E-2</v>
      </c>
      <c r="V91">
        <f>P92/R92</f>
        <v>8.3690027470772375</v>
      </c>
      <c r="W91">
        <v>47</v>
      </c>
      <c r="Y91">
        <v>291.44200000000001</v>
      </c>
      <c r="Z91">
        <v>8.8067628393018307</v>
      </c>
      <c r="AA91">
        <f>W91/W92</f>
        <v>0.3263888888888889</v>
      </c>
      <c r="AB91">
        <f>W91/Y91</f>
        <v>0.16126707886989522</v>
      </c>
      <c r="AC91">
        <f>W92/Y92</f>
        <v>6.7475750902019582</v>
      </c>
    </row>
    <row r="92" spans="1:29">
      <c r="A92" s="10"/>
      <c r="B92" s="10"/>
      <c r="H92">
        <f>H91+1</f>
        <v>2</v>
      </c>
      <c r="I92">
        <v>75</v>
      </c>
      <c r="J92" t="s">
        <v>43</v>
      </c>
      <c r="K92">
        <v>6.6459999999999999</v>
      </c>
      <c r="L92">
        <v>2.4090328954772402</v>
      </c>
      <c r="P92">
        <v>131</v>
      </c>
      <c r="Q92" t="s">
        <v>44</v>
      </c>
      <c r="R92">
        <v>15.653</v>
      </c>
      <c r="S92">
        <v>3.5630705947346901</v>
      </c>
      <c r="W92">
        <v>144</v>
      </c>
      <c r="X92" t="s">
        <v>45</v>
      </c>
      <c r="Y92">
        <v>21.341000000000001</v>
      </c>
      <c r="Z92">
        <v>3.9901727026780698</v>
      </c>
    </row>
    <row r="93" spans="1:29">
      <c r="A93" s="10"/>
      <c r="B93" s="10"/>
      <c r="H93">
        <f t="shared" ref="H93:H98" si="3">H92+1</f>
        <v>3</v>
      </c>
      <c r="K93">
        <v>0.32700000000000001</v>
      </c>
      <c r="L93">
        <v>0.504224016543102</v>
      </c>
      <c r="R93">
        <v>1.2190000000000001</v>
      </c>
      <c r="S93">
        <v>0.88200028770262195</v>
      </c>
      <c r="W93">
        <v>2</v>
      </c>
      <c r="Y93">
        <v>1.92</v>
      </c>
      <c r="Z93">
        <v>1.1800246006156201</v>
      </c>
    </row>
    <row r="94" spans="1:29">
      <c r="A94" s="10"/>
      <c r="B94" s="10"/>
      <c r="H94">
        <f t="shared" si="3"/>
        <v>4</v>
      </c>
      <c r="K94">
        <v>2.1999999999999999E-2</v>
      </c>
      <c r="L94">
        <v>0.145133427271982</v>
      </c>
      <c r="R94">
        <v>0.114</v>
      </c>
      <c r="S94">
        <v>0.32173759973475702</v>
      </c>
      <c r="Y94">
        <v>0.22900000000000001</v>
      </c>
      <c r="Z94">
        <v>0.41629786681403202</v>
      </c>
    </row>
    <row r="95" spans="1:29">
      <c r="A95" s="10"/>
      <c r="B95" s="10"/>
      <c r="H95">
        <f t="shared" si="3"/>
        <v>5</v>
      </c>
      <c r="R95">
        <v>2.4E-2</v>
      </c>
      <c r="S95">
        <v>0.15127692721862299</v>
      </c>
      <c r="Y95">
        <v>3.1E-2</v>
      </c>
      <c r="Z95">
        <v>0.170695424449303</v>
      </c>
    </row>
    <row r="96" spans="1:29">
      <c r="A96" s="10"/>
      <c r="B96" s="10"/>
      <c r="H96">
        <f t="shared" si="3"/>
        <v>6</v>
      </c>
      <c r="R96">
        <v>1E-3</v>
      </c>
      <c r="S96">
        <v>3.1606961258558199E-2</v>
      </c>
      <c r="Y96">
        <v>5.0000000000000001E-3</v>
      </c>
      <c r="Z96">
        <v>7.0392329696353104E-2</v>
      </c>
    </row>
    <row r="97" spans="1:29">
      <c r="A97" s="10"/>
      <c r="B97" s="10"/>
      <c r="H97">
        <f t="shared" si="3"/>
        <v>7</v>
      </c>
      <c r="R97">
        <v>1E-3</v>
      </c>
      <c r="S97">
        <v>3.1606961258558199E-2</v>
      </c>
      <c r="Y97">
        <v>1E-3</v>
      </c>
      <c r="Z97">
        <v>3.1606961258558199E-2</v>
      </c>
    </row>
    <row r="98" spans="1:29">
      <c r="A98" s="10"/>
      <c r="B98" s="10"/>
      <c r="H98">
        <f t="shared" si="3"/>
        <v>8</v>
      </c>
      <c r="Y98">
        <v>1E-3</v>
      </c>
      <c r="Z98">
        <v>3.1606961258558199E-2</v>
      </c>
    </row>
    <row r="99" spans="1:29" ht="15.75">
      <c r="A99" s="10"/>
      <c r="B99" s="9" t="s">
        <v>46</v>
      </c>
      <c r="C99" s="1" t="s">
        <v>47</v>
      </c>
      <c r="D99">
        <v>151</v>
      </c>
      <c r="E99">
        <v>149</v>
      </c>
      <c r="F99">
        <v>187</v>
      </c>
      <c r="G99">
        <v>502</v>
      </c>
      <c r="H99">
        <v>1</v>
      </c>
      <c r="I99">
        <v>32</v>
      </c>
      <c r="K99">
        <v>138.89099999999999</v>
      </c>
      <c r="L99">
        <v>4.2427712909402997</v>
      </c>
      <c r="M99">
        <f>I99/I100</f>
        <v>0.56140350877192979</v>
      </c>
      <c r="N99">
        <f>I99/K99</f>
        <v>0.23039649797323083</v>
      </c>
      <c r="O99">
        <f>I100/K100</f>
        <v>12.012644889357217</v>
      </c>
      <c r="P99">
        <v>20</v>
      </c>
      <c r="R99">
        <v>171.38900000000001</v>
      </c>
      <c r="S99">
        <v>5.4112976097069998</v>
      </c>
      <c r="T99">
        <f>P99/P100</f>
        <v>0.24390243902439024</v>
      </c>
      <c r="U99">
        <f>P99/R99</f>
        <v>0.11669360344012743</v>
      </c>
      <c r="V99">
        <f>P100/R100</f>
        <v>11.455713886560492</v>
      </c>
      <c r="W99">
        <v>123</v>
      </c>
      <c r="Y99">
        <v>400.04399999999998</v>
      </c>
      <c r="Z99">
        <v>11.4432863665499</v>
      </c>
      <c r="AA99">
        <f>W99/W100</f>
        <v>0.6542553191489362</v>
      </c>
      <c r="AB99">
        <f>W99/Y99</f>
        <v>0.30746617872034077</v>
      </c>
      <c r="AC99">
        <f>W100/Y100</f>
        <v>4.5798923238081315</v>
      </c>
    </row>
    <row r="100" spans="1:29">
      <c r="A100" s="10"/>
      <c r="B100" s="10"/>
      <c r="H100">
        <f>H99+1</f>
        <v>2</v>
      </c>
      <c r="I100">
        <v>57</v>
      </c>
      <c r="J100" t="s">
        <v>48</v>
      </c>
      <c r="K100">
        <v>4.7450000000000001</v>
      </c>
      <c r="L100">
        <v>1.9631858798388799</v>
      </c>
      <c r="P100">
        <v>82</v>
      </c>
      <c r="Q100" t="s">
        <v>49</v>
      </c>
      <c r="R100">
        <v>7.1580000000000004</v>
      </c>
      <c r="S100">
        <v>2.5002578589740301</v>
      </c>
      <c r="W100">
        <v>188</v>
      </c>
      <c r="X100" t="s">
        <v>50</v>
      </c>
      <c r="Y100">
        <v>41.048999999999999</v>
      </c>
      <c r="Z100">
        <v>5.4044899028594804</v>
      </c>
    </row>
    <row r="101" spans="1:29">
      <c r="A101" s="10"/>
      <c r="B101" s="10"/>
      <c r="H101">
        <f>H100+1</f>
        <v>3</v>
      </c>
      <c r="I101">
        <v>1</v>
      </c>
      <c r="K101">
        <v>0.183</v>
      </c>
      <c r="L101">
        <v>0.39967601243371398</v>
      </c>
      <c r="P101">
        <v>1</v>
      </c>
      <c r="R101">
        <v>0.38700000000000001</v>
      </c>
      <c r="S101">
        <v>0.51657824681754105</v>
      </c>
      <c r="W101">
        <v>1</v>
      </c>
      <c r="Y101">
        <v>5.12</v>
      </c>
      <c r="Z101">
        <v>2.1803240614672301</v>
      </c>
    </row>
    <row r="102" spans="1:29">
      <c r="A102" s="10"/>
      <c r="B102" s="10"/>
      <c r="H102">
        <f t="shared" ref="H102:H107" si="4">H101+1</f>
        <v>4</v>
      </c>
      <c r="K102">
        <v>1.4999999999999999E-2</v>
      </c>
      <c r="L102">
        <v>0.120697733793733</v>
      </c>
      <c r="R102">
        <v>3.1E-2</v>
      </c>
      <c r="S102">
        <v>0.170695424449303</v>
      </c>
      <c r="Y102">
        <v>0.85799999999999998</v>
      </c>
      <c r="Z102">
        <v>0.76224644810431696</v>
      </c>
    </row>
    <row r="103" spans="1:29">
      <c r="A103" s="10"/>
      <c r="B103" s="10"/>
      <c r="H103">
        <f t="shared" si="4"/>
        <v>5</v>
      </c>
      <c r="K103">
        <v>2E-3</v>
      </c>
      <c r="L103">
        <v>4.46542495402397E-2</v>
      </c>
      <c r="R103">
        <v>2E-3</v>
      </c>
      <c r="S103">
        <v>4.46542495402397E-2</v>
      </c>
      <c r="Y103">
        <v>0.153</v>
      </c>
      <c r="Z103">
        <v>0.34215435347457002</v>
      </c>
    </row>
    <row r="104" spans="1:29">
      <c r="A104" s="10"/>
      <c r="B104" s="10"/>
      <c r="H104">
        <f t="shared" si="4"/>
        <v>6</v>
      </c>
      <c r="Y104">
        <v>3.9E-2</v>
      </c>
      <c r="Z104">
        <v>0.19507396507953501</v>
      </c>
    </row>
    <row r="105" spans="1:29">
      <c r="A105" s="10"/>
      <c r="B105" s="10"/>
      <c r="H105">
        <f t="shared" si="4"/>
        <v>7</v>
      </c>
      <c r="Y105">
        <v>6.0000000000000001E-3</v>
      </c>
      <c r="Z105">
        <v>7.7033435274237505E-2</v>
      </c>
    </row>
    <row r="106" spans="1:29">
      <c r="A106" s="10"/>
      <c r="B106" s="10"/>
      <c r="H106">
        <f t="shared" si="4"/>
        <v>8</v>
      </c>
      <c r="Y106">
        <v>2E-3</v>
      </c>
      <c r="Z106">
        <v>4.46542495402397E-2</v>
      </c>
    </row>
    <row r="107" spans="1:29">
      <c r="A107" s="10"/>
      <c r="B107" s="10"/>
      <c r="H107">
        <f t="shared" si="4"/>
        <v>9</v>
      </c>
      <c r="Y107">
        <v>1E-3</v>
      </c>
      <c r="Z107">
        <v>3.1606961258558199E-2</v>
      </c>
    </row>
    <row r="108" spans="1:29" ht="15.75">
      <c r="A108" s="17" t="s">
        <v>110</v>
      </c>
      <c r="B108" s="9" t="s">
        <v>51</v>
      </c>
      <c r="C108" s="1" t="s">
        <v>52</v>
      </c>
      <c r="D108">
        <v>50</v>
      </c>
      <c r="E108">
        <v>125</v>
      </c>
      <c r="F108">
        <v>144</v>
      </c>
      <c r="G108">
        <v>148</v>
      </c>
      <c r="H108">
        <v>1</v>
      </c>
      <c r="I108">
        <v>20</v>
      </c>
      <c r="K108">
        <v>114.17100000000001</v>
      </c>
      <c r="L108">
        <v>4.2846308850145798</v>
      </c>
      <c r="M108">
        <f>I108/I109</f>
        <v>0.43478260869565216</v>
      </c>
      <c r="N108">
        <f>I108/K108</f>
        <v>0.1751758327421149</v>
      </c>
      <c r="O108">
        <f>I109/K109</f>
        <v>9.2092092092092095</v>
      </c>
      <c r="P108">
        <v>12</v>
      </c>
      <c r="R108">
        <v>129.70099999999999</v>
      </c>
      <c r="S108">
        <v>4.9515275647242696</v>
      </c>
      <c r="T108">
        <f>P108/P109</f>
        <v>0.20338983050847459</v>
      </c>
      <c r="U108">
        <f>P108/R108</f>
        <v>9.2520489433389114E-2</v>
      </c>
      <c r="V108">
        <f>P109/R109</f>
        <v>9.1743119266055047</v>
      </c>
      <c r="W108">
        <v>12</v>
      </c>
      <c r="Y108">
        <v>133.13900000000001</v>
      </c>
      <c r="Z108">
        <v>4.8851274445145298</v>
      </c>
      <c r="AA108">
        <f>W108/W109</f>
        <v>0.19672131147540983</v>
      </c>
      <c r="AB108">
        <f>W108/Y108</f>
        <v>9.0131366466625104E-2</v>
      </c>
      <c r="AC108">
        <f>W109/Y109</f>
        <v>9.0612002376708265</v>
      </c>
    </row>
    <row r="109" spans="1:29" ht="15.75">
      <c r="A109" s="10"/>
      <c r="B109" s="10"/>
      <c r="C109" s="1" t="s">
        <v>53</v>
      </c>
      <c r="D109">
        <v>80</v>
      </c>
      <c r="H109">
        <v>2</v>
      </c>
      <c r="I109">
        <v>46</v>
      </c>
      <c r="J109" t="s">
        <v>54</v>
      </c>
      <c r="K109">
        <v>4.9950000000000001</v>
      </c>
      <c r="L109">
        <v>2.0550372632030598</v>
      </c>
      <c r="P109">
        <v>59</v>
      </c>
      <c r="Q109" t="s">
        <v>55</v>
      </c>
      <c r="R109">
        <v>6.431</v>
      </c>
      <c r="S109">
        <v>2.3231643442878802</v>
      </c>
      <c r="W109">
        <v>61</v>
      </c>
      <c r="X109" t="s">
        <v>56</v>
      </c>
      <c r="Y109">
        <v>6.7320000000000002</v>
      </c>
      <c r="Z109">
        <v>2.31705872025573</v>
      </c>
    </row>
    <row r="110" spans="1:29">
      <c r="A110" s="10"/>
      <c r="B110" s="10"/>
      <c r="H110">
        <v>3</v>
      </c>
      <c r="I110">
        <v>1</v>
      </c>
      <c r="K110">
        <v>0.26100000000000001</v>
      </c>
      <c r="L110">
        <v>0.45683985558798801</v>
      </c>
      <c r="P110">
        <v>0</v>
      </c>
      <c r="R110">
        <v>0.433</v>
      </c>
      <c r="S110">
        <v>0.55565758372431995</v>
      </c>
      <c r="Y110">
        <v>0.42</v>
      </c>
      <c r="Z110">
        <v>0.54772730916506596</v>
      </c>
    </row>
    <row r="111" spans="1:29">
      <c r="A111" s="10"/>
      <c r="B111" s="10"/>
      <c r="H111">
        <f>H110+1</f>
        <v>4</v>
      </c>
      <c r="K111">
        <v>1.4E-2</v>
      </c>
      <c r="L111">
        <v>0.116723469655285</v>
      </c>
      <c r="P111">
        <v>1</v>
      </c>
      <c r="R111">
        <v>3.2000000000000001E-2</v>
      </c>
      <c r="S111">
        <v>0.173247749719246</v>
      </c>
      <c r="W111">
        <v>1</v>
      </c>
      <c r="Y111">
        <v>3.3000000000000002E-2</v>
      </c>
      <c r="Z111">
        <v>0.18135528042419299</v>
      </c>
    </row>
    <row r="112" spans="1:29">
      <c r="A112" s="10"/>
      <c r="B112" s="10"/>
      <c r="H112">
        <f t="shared" ref="H112:H116" si="5">H111+1</f>
        <v>5</v>
      </c>
      <c r="R112">
        <v>2E-3</v>
      </c>
      <c r="S112">
        <v>4.46542495402397E-2</v>
      </c>
      <c r="Y112">
        <v>1E-3</v>
      </c>
      <c r="Z112">
        <v>3.1606961258558199E-2</v>
      </c>
    </row>
    <row r="113" spans="1:29">
      <c r="A113" s="10"/>
      <c r="B113" s="10"/>
      <c r="H113">
        <f t="shared" si="5"/>
        <v>6</v>
      </c>
    </row>
    <row r="114" spans="1:29">
      <c r="A114" s="10"/>
      <c r="B114" s="10"/>
      <c r="H114">
        <f t="shared" si="5"/>
        <v>7</v>
      </c>
    </row>
    <row r="115" spans="1:29">
      <c r="A115" s="10"/>
      <c r="B115" s="10"/>
      <c r="H115">
        <f t="shared" si="5"/>
        <v>8</v>
      </c>
    </row>
    <row r="116" spans="1:29">
      <c r="A116" s="10"/>
      <c r="B116" s="10"/>
      <c r="H116">
        <f t="shared" si="5"/>
        <v>9</v>
      </c>
    </row>
    <row r="117" spans="1:29">
      <c r="A117" s="10"/>
      <c r="B117" s="10"/>
      <c r="H117">
        <v>10</v>
      </c>
      <c r="I117">
        <v>1</v>
      </c>
      <c r="P117">
        <v>1</v>
      </c>
      <c r="W117">
        <v>1</v>
      </c>
    </row>
    <row r="118" spans="1:29" ht="15.75">
      <c r="A118" s="9" t="s">
        <v>67</v>
      </c>
      <c r="B118" s="9" t="s">
        <v>57</v>
      </c>
      <c r="C118" s="4" t="s">
        <v>4</v>
      </c>
      <c r="D118">
        <v>229</v>
      </c>
      <c r="E118">
        <v>225</v>
      </c>
      <c r="F118">
        <v>336</v>
      </c>
      <c r="G118">
        <v>402</v>
      </c>
      <c r="H118">
        <v>1</v>
      </c>
      <c r="I118">
        <v>108</v>
      </c>
      <c r="K118">
        <v>201.261</v>
      </c>
      <c r="L118">
        <v>6.1966466179949498</v>
      </c>
      <c r="M118">
        <f>I118/I119</f>
        <v>1.9636363636363636</v>
      </c>
      <c r="N118">
        <f>I118/K118</f>
        <v>0.5366166321343927</v>
      </c>
      <c r="O118">
        <f>I119/K119</f>
        <v>5.1445140772612472</v>
      </c>
      <c r="P118">
        <v>139</v>
      </c>
      <c r="R118">
        <v>284.29000000000002</v>
      </c>
      <c r="S118">
        <v>8.8163759212265909</v>
      </c>
      <c r="T118">
        <f>P118/P119</f>
        <v>1.4631578947368422</v>
      </c>
      <c r="U118">
        <f>P118/R118</f>
        <v>0.48893735270322553</v>
      </c>
      <c r="V118">
        <f>P119/R119</f>
        <v>4.3054611375481526</v>
      </c>
      <c r="W118">
        <v>163</v>
      </c>
      <c r="Y118">
        <v>330.41899999999998</v>
      </c>
      <c r="Z118">
        <v>10.0096653710221</v>
      </c>
      <c r="AA118">
        <f>W118/W119</f>
        <v>1.4051724137931034</v>
      </c>
      <c r="AB118">
        <f>W118/Y118</f>
        <v>0.49331303587263448</v>
      </c>
      <c r="AC118">
        <f>W119/Y119</f>
        <v>3.9390132092770549</v>
      </c>
    </row>
    <row r="119" spans="1:29" ht="15.75">
      <c r="A119" s="10"/>
      <c r="B119" s="10"/>
      <c r="C119" s="1" t="s">
        <v>58</v>
      </c>
      <c r="D119">
        <v>20</v>
      </c>
      <c r="H119">
        <f>H118+1</f>
        <v>2</v>
      </c>
      <c r="I119">
        <v>55</v>
      </c>
      <c r="J119" t="s">
        <v>59</v>
      </c>
      <c r="K119">
        <v>10.691000000000001</v>
      </c>
      <c r="L119">
        <v>2.9210320003291499</v>
      </c>
      <c r="P119">
        <v>95</v>
      </c>
      <c r="Q119" t="s">
        <v>60</v>
      </c>
      <c r="R119">
        <v>22.065000000000001</v>
      </c>
      <c r="S119">
        <v>4.1661622247198498</v>
      </c>
      <c r="W119">
        <v>116</v>
      </c>
      <c r="X119" t="s">
        <v>61</v>
      </c>
      <c r="Y119">
        <v>29.449000000000002</v>
      </c>
      <c r="Z119">
        <v>4.6338502313914898</v>
      </c>
    </row>
    <row r="120" spans="1:29">
      <c r="A120" s="10"/>
      <c r="B120" s="10"/>
      <c r="H120">
        <f t="shared" ref="H120:H125" si="6">H119+1</f>
        <v>3</v>
      </c>
      <c r="I120">
        <v>1</v>
      </c>
      <c r="K120">
        <v>0.70399999999999996</v>
      </c>
      <c r="L120">
        <v>0.66479815025357902</v>
      </c>
      <c r="P120">
        <v>1</v>
      </c>
      <c r="R120">
        <v>2.101</v>
      </c>
      <c r="S120">
        <v>1.24830659308935</v>
      </c>
      <c r="W120">
        <v>1</v>
      </c>
      <c r="Y120">
        <v>3.3969999999999998</v>
      </c>
      <c r="Z120">
        <v>1.6709842855282799</v>
      </c>
    </row>
    <row r="121" spans="1:29">
      <c r="A121" s="10"/>
      <c r="B121" s="10"/>
      <c r="H121">
        <f t="shared" si="6"/>
        <v>4</v>
      </c>
      <c r="I121">
        <v>1</v>
      </c>
      <c r="K121">
        <v>5.5E-2</v>
      </c>
      <c r="L121">
        <v>0.23057208956959299</v>
      </c>
      <c r="P121">
        <v>1</v>
      </c>
      <c r="R121">
        <v>0.27</v>
      </c>
      <c r="S121">
        <v>0.46434902823201701</v>
      </c>
      <c r="W121">
        <v>1</v>
      </c>
      <c r="Y121">
        <v>0.49399999999999999</v>
      </c>
      <c r="Z121">
        <v>0.58408170956077998</v>
      </c>
    </row>
    <row r="122" spans="1:29">
      <c r="A122" s="10"/>
      <c r="B122" s="10"/>
      <c r="H122">
        <f t="shared" si="6"/>
        <v>5</v>
      </c>
      <c r="K122">
        <v>5.0000000000000001E-3</v>
      </c>
      <c r="L122">
        <v>7.0392329696353104E-2</v>
      </c>
      <c r="R122">
        <v>3.4000000000000002E-2</v>
      </c>
      <c r="S122">
        <v>0.18373869463971801</v>
      </c>
      <c r="Y122">
        <v>7.6999999999999999E-2</v>
      </c>
      <c r="Z122">
        <v>0.26011586699827399</v>
      </c>
    </row>
    <row r="123" spans="1:29">
      <c r="A123" s="10"/>
      <c r="B123" s="10"/>
      <c r="H123">
        <f t="shared" si="6"/>
        <v>6</v>
      </c>
      <c r="R123">
        <v>2E-3</v>
      </c>
      <c r="S123">
        <v>4.46542495402397E-2</v>
      </c>
      <c r="Y123">
        <v>1.7000000000000001E-2</v>
      </c>
      <c r="Z123">
        <v>0.128231651148834</v>
      </c>
    </row>
    <row r="124" spans="1:29">
      <c r="A124" s="10"/>
      <c r="B124" s="10"/>
      <c r="H124">
        <f t="shared" si="6"/>
        <v>7</v>
      </c>
      <c r="R124">
        <v>1E-3</v>
      </c>
      <c r="S124">
        <v>3.1606961258558199E-2</v>
      </c>
      <c r="Y124">
        <v>3.0000000000000001E-3</v>
      </c>
      <c r="Z124">
        <v>5.4635263447813699E-2</v>
      </c>
    </row>
    <row r="125" spans="1:29">
      <c r="A125" s="10"/>
      <c r="B125" s="10"/>
      <c r="H125">
        <f t="shared" si="6"/>
        <v>8</v>
      </c>
      <c r="R125">
        <v>1E-3</v>
      </c>
      <c r="S125">
        <v>3.1606961258558199E-2</v>
      </c>
      <c r="Y125">
        <v>1E-3</v>
      </c>
      <c r="Z125">
        <v>3.1606961258558199E-2</v>
      </c>
    </row>
    <row r="126" spans="1:29" ht="15.75">
      <c r="A126" s="10"/>
      <c r="B126" s="9" t="s">
        <v>62</v>
      </c>
      <c r="C126" s="4" t="s">
        <v>58</v>
      </c>
      <c r="D126">
        <v>148</v>
      </c>
      <c r="E126">
        <v>129</v>
      </c>
      <c r="F126">
        <v>431</v>
      </c>
      <c r="G126">
        <v>566</v>
      </c>
      <c r="H126">
        <v>1</v>
      </c>
      <c r="I126">
        <v>63</v>
      </c>
      <c r="K126">
        <v>120.95099999999999</v>
      </c>
      <c r="L126">
        <v>3.8733062233833402</v>
      </c>
      <c r="M126">
        <f>I126/I127</f>
        <v>2.625</v>
      </c>
      <c r="N126">
        <f>I126/K126</f>
        <v>0.52087208869707569</v>
      </c>
      <c r="O126">
        <f>I127/K127</f>
        <v>6.3609859528226869</v>
      </c>
      <c r="P126">
        <v>164</v>
      </c>
      <c r="R126">
        <v>349.17500000000001</v>
      </c>
      <c r="S126">
        <v>10.7627031992503</v>
      </c>
      <c r="T126">
        <f>P126/P127</f>
        <v>1.4385964912280702</v>
      </c>
      <c r="U126">
        <f>P126/R126</f>
        <v>0.46967852795875992</v>
      </c>
      <c r="V126">
        <f>P127/R127</f>
        <v>3.4177784440113927</v>
      </c>
      <c r="W126">
        <v>197</v>
      </c>
      <c r="Y126">
        <v>431.98399999999998</v>
      </c>
      <c r="Z126">
        <v>13.0647807574501</v>
      </c>
      <c r="AA126">
        <f>W126/W127</f>
        <v>1.2012195121951219</v>
      </c>
      <c r="AB126">
        <f>W126/Y126</f>
        <v>0.45603540871884146</v>
      </c>
      <c r="AC126">
        <f>W127/Y127</f>
        <v>3.1806369031457278</v>
      </c>
    </row>
    <row r="127" spans="1:29" ht="15.75">
      <c r="A127" s="10"/>
      <c r="B127" s="10"/>
      <c r="C127" s="1" t="s">
        <v>63</v>
      </c>
      <c r="D127">
        <v>119</v>
      </c>
      <c r="H127">
        <f>H126+1</f>
        <v>2</v>
      </c>
      <c r="I127">
        <v>24</v>
      </c>
      <c r="J127" t="s">
        <v>64</v>
      </c>
      <c r="K127">
        <v>3.7730000000000001</v>
      </c>
      <c r="L127">
        <v>1.7921737253016601</v>
      </c>
      <c r="P127">
        <v>114</v>
      </c>
      <c r="Q127" t="s">
        <v>65</v>
      </c>
      <c r="R127">
        <v>33.354999999999997</v>
      </c>
      <c r="S127">
        <v>4.8439408272332898</v>
      </c>
      <c r="W127">
        <v>164</v>
      </c>
      <c r="X127" t="s">
        <v>66</v>
      </c>
      <c r="Y127">
        <v>51.561999999999998</v>
      </c>
      <c r="Z127">
        <v>6.1187442492056396</v>
      </c>
    </row>
    <row r="128" spans="1:29">
      <c r="A128" s="10"/>
      <c r="B128" s="10"/>
      <c r="H128">
        <f t="shared" ref="H128:H145" si="7">H127+1</f>
        <v>3</v>
      </c>
      <c r="K128">
        <v>0.161</v>
      </c>
      <c r="L128">
        <v>0.37736835171072902</v>
      </c>
      <c r="P128">
        <v>2</v>
      </c>
      <c r="R128">
        <v>3.9820000000000002</v>
      </c>
      <c r="S128">
        <v>1.8328682161840999</v>
      </c>
      <c r="W128">
        <v>2</v>
      </c>
      <c r="Y128">
        <v>7.6</v>
      </c>
      <c r="Z128">
        <v>2.6017319248933002</v>
      </c>
    </row>
    <row r="129" spans="1:26">
      <c r="A129" s="10"/>
      <c r="B129" s="10"/>
      <c r="H129">
        <f t="shared" si="7"/>
        <v>4</v>
      </c>
      <c r="I129">
        <v>2</v>
      </c>
      <c r="K129">
        <v>5.0000000000000001E-3</v>
      </c>
      <c r="L129">
        <v>7.0392329696353104E-2</v>
      </c>
      <c r="P129">
        <v>2</v>
      </c>
      <c r="R129">
        <v>0.58799999999999997</v>
      </c>
      <c r="S129">
        <v>0.62684688482676199</v>
      </c>
      <c r="W129">
        <v>2</v>
      </c>
      <c r="Y129">
        <v>1.472</v>
      </c>
      <c r="Z129">
        <v>0.92309205767732205</v>
      </c>
    </row>
    <row r="130" spans="1:26">
      <c r="A130" s="10"/>
      <c r="B130" s="10"/>
      <c r="H130">
        <f t="shared" si="7"/>
        <v>5</v>
      </c>
      <c r="P130">
        <v>1</v>
      </c>
      <c r="R130">
        <v>0.13400000000000001</v>
      </c>
      <c r="S130">
        <v>0.32641504680817401</v>
      </c>
      <c r="Y130">
        <v>0.32200000000000001</v>
      </c>
      <c r="Z130">
        <v>0.49547379171685502</v>
      </c>
    </row>
    <row r="131" spans="1:26">
      <c r="A131" s="10"/>
      <c r="B131" s="10"/>
      <c r="H131">
        <f t="shared" si="7"/>
        <v>6</v>
      </c>
      <c r="R131">
        <v>1.4E-2</v>
      </c>
      <c r="S131">
        <v>0.125004696608464</v>
      </c>
      <c r="Y131">
        <v>7.1999999999999995E-2</v>
      </c>
      <c r="Z131">
        <v>0.26087881047289702</v>
      </c>
    </row>
    <row r="132" spans="1:26">
      <c r="A132" s="10"/>
      <c r="B132" s="10"/>
      <c r="H132">
        <f t="shared" si="7"/>
        <v>7</v>
      </c>
      <c r="R132">
        <v>8.9999999999999993E-3</v>
      </c>
      <c r="S132">
        <v>9.4061557379072597E-2</v>
      </c>
      <c r="W132">
        <v>1</v>
      </c>
      <c r="Y132">
        <v>1.6E-2</v>
      </c>
      <c r="Z132">
        <v>0.124529529042727</v>
      </c>
    </row>
    <row r="133" spans="1:26">
      <c r="A133" s="10"/>
      <c r="B133" s="10"/>
      <c r="H133">
        <f t="shared" si="7"/>
        <v>8</v>
      </c>
      <c r="Y133">
        <v>5.0000000000000001E-3</v>
      </c>
      <c r="Z133">
        <v>7.0392329696353104E-2</v>
      </c>
    </row>
    <row r="134" spans="1:26">
      <c r="A134" s="10"/>
      <c r="B134" s="10"/>
      <c r="H134">
        <f t="shared" si="7"/>
        <v>9</v>
      </c>
      <c r="Y134">
        <v>0</v>
      </c>
      <c r="Z134">
        <v>0</v>
      </c>
    </row>
    <row r="135" spans="1:26">
      <c r="A135" s="10"/>
      <c r="B135" s="10"/>
      <c r="H135">
        <f t="shared" si="7"/>
        <v>10</v>
      </c>
      <c r="I135">
        <v>1</v>
      </c>
      <c r="Y135">
        <v>1E-3</v>
      </c>
      <c r="Z135">
        <v>3.1606961258558199E-2</v>
      </c>
    </row>
    <row r="136" spans="1:26">
      <c r="A136" s="10"/>
      <c r="B136" s="10"/>
      <c r="H136">
        <f t="shared" si="7"/>
        <v>11</v>
      </c>
    </row>
    <row r="137" spans="1:26">
      <c r="A137" s="10"/>
      <c r="B137" s="10"/>
      <c r="H137">
        <f t="shared" si="7"/>
        <v>12</v>
      </c>
    </row>
    <row r="138" spans="1:26">
      <c r="A138" s="10"/>
      <c r="B138" s="10"/>
      <c r="H138">
        <f t="shared" si="7"/>
        <v>13</v>
      </c>
    </row>
    <row r="139" spans="1:26">
      <c r="A139" s="10"/>
      <c r="B139" s="10"/>
      <c r="H139">
        <f t="shared" si="7"/>
        <v>14</v>
      </c>
    </row>
    <row r="140" spans="1:26">
      <c r="A140" s="10"/>
      <c r="B140" s="10"/>
      <c r="H140">
        <f t="shared" si="7"/>
        <v>15</v>
      </c>
    </row>
    <row r="141" spans="1:26">
      <c r="A141" s="10"/>
      <c r="B141" s="10"/>
      <c r="H141">
        <f t="shared" si="7"/>
        <v>16</v>
      </c>
    </row>
    <row r="142" spans="1:26">
      <c r="A142" s="10"/>
      <c r="B142" s="10"/>
      <c r="H142">
        <f t="shared" si="7"/>
        <v>17</v>
      </c>
    </row>
    <row r="143" spans="1:26">
      <c r="A143" s="10"/>
      <c r="B143" s="10"/>
      <c r="H143">
        <f t="shared" si="7"/>
        <v>18</v>
      </c>
    </row>
    <row r="144" spans="1:26">
      <c r="A144" s="10"/>
      <c r="B144" s="10"/>
      <c r="H144">
        <f t="shared" si="7"/>
        <v>19</v>
      </c>
    </row>
    <row r="145" spans="1:29">
      <c r="A145" s="10"/>
      <c r="B145" s="10"/>
      <c r="H145">
        <f t="shared" si="7"/>
        <v>20</v>
      </c>
      <c r="P145">
        <v>1</v>
      </c>
      <c r="W145">
        <v>1</v>
      </c>
    </row>
    <row r="146" spans="1:29" ht="15.75">
      <c r="A146" s="12" t="s">
        <v>125</v>
      </c>
      <c r="B146" s="9" t="s">
        <v>68</v>
      </c>
      <c r="C146" s="1" t="s">
        <v>69</v>
      </c>
      <c r="D146">
        <v>54</v>
      </c>
      <c r="E146">
        <v>52</v>
      </c>
      <c r="F146">
        <v>105</v>
      </c>
      <c r="G146">
        <v>276</v>
      </c>
      <c r="H146">
        <v>1</v>
      </c>
      <c r="I146">
        <v>22</v>
      </c>
      <c r="K146">
        <v>50.715000000000003</v>
      </c>
      <c r="L146">
        <v>1.5730856217553399</v>
      </c>
      <c r="M146">
        <f>I146/I147</f>
        <v>1.4666666666666666</v>
      </c>
      <c r="N146">
        <f>I146/K146</f>
        <v>0.43379670708863255</v>
      </c>
      <c r="O146">
        <f>I147/K147</f>
        <v>23.847376788553259</v>
      </c>
      <c r="P146">
        <v>47</v>
      </c>
      <c r="R146">
        <v>99.503</v>
      </c>
      <c r="S146">
        <v>3.1795986914764698</v>
      </c>
      <c r="T146">
        <f>P146/P147</f>
        <v>1.6206896551724137</v>
      </c>
      <c r="U146">
        <f>P146/R146</f>
        <v>0.47234756741002781</v>
      </c>
      <c r="V146">
        <f>P147/R147</f>
        <v>11.051829268292682</v>
      </c>
      <c r="W146">
        <v>124</v>
      </c>
      <c r="Y146">
        <v>241.06</v>
      </c>
      <c r="Z146">
        <v>7.4773623255361397</v>
      </c>
      <c r="AA146">
        <f>W146/W147</f>
        <v>1.631578947368421</v>
      </c>
      <c r="AB146">
        <f>W146/Y146</f>
        <v>0.5143947564921596</v>
      </c>
      <c r="AC146">
        <f>W147/Y147</f>
        <v>4.9360264986685713</v>
      </c>
    </row>
    <row r="147" spans="1:29">
      <c r="A147" s="13"/>
      <c r="B147" s="10"/>
      <c r="H147">
        <f>H146+1</f>
        <v>2</v>
      </c>
      <c r="I147">
        <v>15</v>
      </c>
      <c r="J147" t="s">
        <v>70</v>
      </c>
      <c r="K147">
        <v>0.629</v>
      </c>
      <c r="L147">
        <v>0.62869026113376902</v>
      </c>
      <c r="P147">
        <v>29</v>
      </c>
      <c r="Q147" t="s">
        <v>71</v>
      </c>
      <c r="R147">
        <v>2.6240000000000001</v>
      </c>
      <c r="S147">
        <v>1.38722712166648</v>
      </c>
      <c r="W147">
        <v>76</v>
      </c>
      <c r="X147" t="s">
        <v>72</v>
      </c>
      <c r="Y147">
        <v>15.397</v>
      </c>
      <c r="Z147">
        <v>3.55410453561091</v>
      </c>
    </row>
    <row r="148" spans="1:29">
      <c r="A148" s="13"/>
      <c r="B148" s="10"/>
      <c r="H148">
        <f t="shared" ref="H148:H151" si="8">H147+1</f>
        <v>3</v>
      </c>
      <c r="K148">
        <v>8.9999999999999993E-3</v>
      </c>
      <c r="L148">
        <v>9.4061557379072597E-2</v>
      </c>
      <c r="R148">
        <v>7.5999999999999998E-2</v>
      </c>
      <c r="S148">
        <v>0.26257259637739799</v>
      </c>
      <c r="Y148">
        <v>1.1990000000000001</v>
      </c>
      <c r="Z148">
        <v>0.89835010987917396</v>
      </c>
    </row>
    <row r="149" spans="1:29">
      <c r="A149" s="13"/>
      <c r="B149" s="10"/>
      <c r="H149">
        <f t="shared" si="8"/>
        <v>4</v>
      </c>
      <c r="R149">
        <v>4.0000000000000001E-3</v>
      </c>
      <c r="S149">
        <v>6.3024090917965903E-2</v>
      </c>
      <c r="Y149">
        <v>0.108</v>
      </c>
      <c r="Z149">
        <v>0.30978922086050897</v>
      </c>
    </row>
    <row r="150" spans="1:29">
      <c r="A150" s="13"/>
      <c r="B150" s="10"/>
      <c r="H150">
        <f t="shared" si="8"/>
        <v>5</v>
      </c>
      <c r="R150">
        <v>1E-3</v>
      </c>
      <c r="S150">
        <v>3.1606961258558199E-2</v>
      </c>
      <c r="Y150">
        <v>2.1000000000000001E-2</v>
      </c>
      <c r="Z150">
        <v>0.14194156688020701</v>
      </c>
    </row>
    <row r="151" spans="1:29">
      <c r="A151" s="13"/>
      <c r="B151" s="10"/>
      <c r="H151">
        <f t="shared" si="8"/>
        <v>6</v>
      </c>
      <c r="Y151">
        <v>2E-3</v>
      </c>
      <c r="Z151">
        <v>4.46542495402397E-2</v>
      </c>
    </row>
    <row r="152" spans="1:29" ht="15.75">
      <c r="A152" s="13"/>
      <c r="B152" s="9" t="s">
        <v>73</v>
      </c>
      <c r="C152" s="1" t="s">
        <v>74</v>
      </c>
      <c r="D152">
        <v>86</v>
      </c>
      <c r="E152">
        <v>80</v>
      </c>
      <c r="F152">
        <v>194</v>
      </c>
      <c r="G152">
        <v>297</v>
      </c>
      <c r="H152">
        <v>1</v>
      </c>
      <c r="I152">
        <v>62</v>
      </c>
      <c r="K152">
        <v>76.799000000000007</v>
      </c>
      <c r="L152">
        <v>2.5338877611658699</v>
      </c>
      <c r="M152">
        <f>I152/I153</f>
        <v>6.8888888888888893</v>
      </c>
      <c r="N152">
        <f>I152/K152</f>
        <v>0.80730217841378138</v>
      </c>
      <c r="O152">
        <f>I153/K153</f>
        <v>5.8631921824104234</v>
      </c>
      <c r="P152">
        <v>94</v>
      </c>
      <c r="R152">
        <v>176.17</v>
      </c>
      <c r="S152">
        <v>5.5447737208668402</v>
      </c>
      <c r="T152">
        <f>P152/P153</f>
        <v>1.88</v>
      </c>
      <c r="U152">
        <f>P152/R152</f>
        <v>0.53357552364193683</v>
      </c>
      <c r="V152">
        <f>P153/R153</f>
        <v>6.1417516275641812</v>
      </c>
      <c r="W152">
        <v>103</v>
      </c>
      <c r="Y152">
        <v>256.517</v>
      </c>
      <c r="Z152">
        <v>8.0738385282081993</v>
      </c>
      <c r="AA152">
        <f>W152/W153</f>
        <v>1.0618556701030928</v>
      </c>
      <c r="AB152">
        <f>W152/Y152</f>
        <v>0.40153284187792621</v>
      </c>
      <c r="AC152">
        <f>W153/Y153</f>
        <v>5.5160648279783908</v>
      </c>
    </row>
    <row r="153" spans="1:29">
      <c r="A153" s="13"/>
      <c r="B153" s="10"/>
      <c r="H153">
        <f>H152+1</f>
        <v>2</v>
      </c>
      <c r="I153">
        <v>9</v>
      </c>
      <c r="J153" t="s">
        <v>75</v>
      </c>
      <c r="K153">
        <v>1.5349999999999999</v>
      </c>
      <c r="L153">
        <v>1.00197879793511</v>
      </c>
      <c r="P153">
        <v>50</v>
      </c>
      <c r="Q153" t="s">
        <v>77</v>
      </c>
      <c r="R153">
        <v>8.141</v>
      </c>
      <c r="S153">
        <v>2.6279572443779</v>
      </c>
      <c r="W153">
        <v>97</v>
      </c>
      <c r="X153" t="s">
        <v>76</v>
      </c>
      <c r="Y153">
        <v>17.585000000000001</v>
      </c>
      <c r="Z153">
        <v>3.7627225324033402</v>
      </c>
    </row>
    <row r="154" spans="1:29">
      <c r="A154" s="13"/>
      <c r="B154" s="10"/>
      <c r="H154">
        <f t="shared" ref="H154:H157" si="9">H153+1</f>
        <v>3</v>
      </c>
      <c r="K154">
        <v>4.1000000000000002E-2</v>
      </c>
      <c r="L154">
        <v>0.19703904025188301</v>
      </c>
      <c r="R154">
        <v>0.46600000000000003</v>
      </c>
      <c r="S154">
        <v>0.58585421835569595</v>
      </c>
      <c r="Y154">
        <v>1.544</v>
      </c>
      <c r="Z154">
        <v>0.95820021480463602</v>
      </c>
    </row>
    <row r="155" spans="1:29">
      <c r="A155" s="13"/>
      <c r="B155" s="10"/>
      <c r="H155">
        <f t="shared" si="9"/>
        <v>4</v>
      </c>
      <c r="K155">
        <v>2E-3</v>
      </c>
      <c r="L155">
        <v>4.46542495402397E-2</v>
      </c>
      <c r="R155">
        <v>2.5999999999999999E-2</v>
      </c>
      <c r="S155">
        <v>0.157131366271239</v>
      </c>
      <c r="Y155">
        <v>0.15</v>
      </c>
      <c r="Z155">
        <v>0.37712693449914803</v>
      </c>
    </row>
    <row r="156" spans="1:29">
      <c r="A156" s="13"/>
      <c r="B156" s="10"/>
      <c r="H156">
        <f t="shared" si="9"/>
        <v>5</v>
      </c>
      <c r="R156">
        <v>8.0000000000000002E-3</v>
      </c>
      <c r="S156">
        <v>8.8771574236308201E-2</v>
      </c>
      <c r="Y156">
        <v>1.4999999999999999E-2</v>
      </c>
      <c r="Z156">
        <v>0.120697733793733</v>
      </c>
    </row>
    <row r="157" spans="1:29">
      <c r="A157" s="13"/>
      <c r="B157" s="10"/>
      <c r="H157">
        <f t="shared" si="9"/>
        <v>6</v>
      </c>
      <c r="R157">
        <v>1E-3</v>
      </c>
      <c r="S157">
        <v>3.1606961258558199E-2</v>
      </c>
      <c r="Y157">
        <v>1E-3</v>
      </c>
      <c r="Z157">
        <v>3.1606961258558199E-2</v>
      </c>
    </row>
    <row r="158" spans="1:29" ht="15.75">
      <c r="A158" s="9" t="s">
        <v>78</v>
      </c>
      <c r="B158" s="9" t="s">
        <v>79</v>
      </c>
      <c r="C158" s="1" t="s">
        <v>42</v>
      </c>
      <c r="D158">
        <v>140</v>
      </c>
      <c r="E158">
        <v>140</v>
      </c>
      <c r="F158">
        <v>208</v>
      </c>
      <c r="G158">
        <v>407</v>
      </c>
      <c r="H158">
        <v>1</v>
      </c>
      <c r="I158">
        <v>41</v>
      </c>
      <c r="K158">
        <v>130.977</v>
      </c>
      <c r="L158">
        <v>4.1149057000033196</v>
      </c>
      <c r="M158">
        <f>I158/I159</f>
        <v>0.85416666666666663</v>
      </c>
      <c r="N158">
        <f>I158/K158</f>
        <v>0.3130320590638051</v>
      </c>
      <c r="O158">
        <f>I159/K159</f>
        <v>11.420413990007138</v>
      </c>
      <c r="P158">
        <v>64</v>
      </c>
      <c r="R158">
        <v>188.74600000000001</v>
      </c>
      <c r="S158">
        <v>5.8129305557219304</v>
      </c>
      <c r="T158">
        <f>P158/P159</f>
        <v>0.92753623188405798</v>
      </c>
      <c r="U158">
        <f>P158/R158</f>
        <v>0.33908003348415328</v>
      </c>
      <c r="V158">
        <f>P159/R159</f>
        <v>7.860560492139439</v>
      </c>
      <c r="W158">
        <v>150</v>
      </c>
      <c r="Y158">
        <v>337.053</v>
      </c>
      <c r="Z158">
        <v>10.4696182880799</v>
      </c>
      <c r="AA158">
        <f>W158/W159</f>
        <v>1.271186440677966</v>
      </c>
      <c r="AB158">
        <f>W158/Y158</f>
        <v>0.4450338670772846</v>
      </c>
      <c r="AC158">
        <f>W159/Y159</f>
        <v>4.0310183445495849</v>
      </c>
    </row>
    <row r="159" spans="1:29">
      <c r="A159" s="10"/>
      <c r="B159" s="10"/>
      <c r="H159">
        <f>H158+1</f>
        <v>2</v>
      </c>
      <c r="I159">
        <v>48</v>
      </c>
      <c r="J159" t="s">
        <v>80</v>
      </c>
      <c r="K159">
        <v>4.2030000000000003</v>
      </c>
      <c r="L159">
        <v>1.88548982810618</v>
      </c>
      <c r="P159">
        <v>69</v>
      </c>
      <c r="Q159" t="s">
        <v>81</v>
      </c>
      <c r="R159">
        <v>8.7780000000000005</v>
      </c>
      <c r="S159">
        <v>2.70883378901262</v>
      </c>
      <c r="W159">
        <v>118</v>
      </c>
      <c r="X159" t="s">
        <v>82</v>
      </c>
      <c r="Y159">
        <v>29.273</v>
      </c>
      <c r="Z159">
        <v>4.7160175245955296</v>
      </c>
    </row>
    <row r="160" spans="1:29">
      <c r="A160" s="10"/>
      <c r="B160" s="10"/>
      <c r="H160">
        <f t="shared" ref="H160:H164" si="10">H159+1</f>
        <v>3</v>
      </c>
      <c r="I160">
        <v>1</v>
      </c>
      <c r="K160">
        <v>0.192</v>
      </c>
      <c r="L160">
        <v>0.415585841423395</v>
      </c>
      <c r="P160">
        <v>2</v>
      </c>
      <c r="R160">
        <v>0.505</v>
      </c>
      <c r="S160">
        <v>0.59376551136158295</v>
      </c>
      <c r="W160">
        <v>7</v>
      </c>
      <c r="Y160">
        <v>3.0880000000000001</v>
      </c>
      <c r="Z160">
        <v>1.5538853805142001</v>
      </c>
    </row>
    <row r="161" spans="1:29">
      <c r="A161" s="10"/>
      <c r="B161" s="10"/>
      <c r="H161">
        <f t="shared" si="10"/>
        <v>4</v>
      </c>
      <c r="K161">
        <v>8.9999999999999993E-3</v>
      </c>
      <c r="L161">
        <v>9.4061557379072597E-2</v>
      </c>
      <c r="R161">
        <v>4.2999999999999997E-2</v>
      </c>
      <c r="S161">
        <v>0.19854704210319499</v>
      </c>
      <c r="Y161">
        <v>0.44</v>
      </c>
      <c r="Z161">
        <v>0.55680484160218102</v>
      </c>
    </row>
    <row r="162" spans="1:29">
      <c r="A162" s="10"/>
      <c r="B162" s="10"/>
      <c r="H162">
        <f t="shared" si="10"/>
        <v>5</v>
      </c>
      <c r="K162">
        <v>1E-3</v>
      </c>
      <c r="L162">
        <v>3.1606961258558199E-2</v>
      </c>
      <c r="R162">
        <v>1E-3</v>
      </c>
      <c r="S162">
        <v>3.1606961258558199E-2</v>
      </c>
      <c r="Y162">
        <v>6.2E-2</v>
      </c>
      <c r="Z162">
        <v>0.24207693248478099</v>
      </c>
    </row>
    <row r="163" spans="1:29">
      <c r="A163" s="10"/>
      <c r="B163" s="10"/>
      <c r="H163">
        <f t="shared" si="10"/>
        <v>6</v>
      </c>
      <c r="R163">
        <v>1E-3</v>
      </c>
      <c r="S163">
        <v>3.1606961258558199E-2</v>
      </c>
      <c r="Y163">
        <v>0.01</v>
      </c>
      <c r="Z163">
        <v>9.9049537155964595E-2</v>
      </c>
    </row>
    <row r="164" spans="1:29">
      <c r="A164" s="10"/>
      <c r="B164" s="10"/>
      <c r="H164">
        <f t="shared" si="10"/>
        <v>7</v>
      </c>
      <c r="Y164">
        <v>1E-3</v>
      </c>
      <c r="Z164">
        <v>3.1606961258558199E-2</v>
      </c>
    </row>
    <row r="165" spans="1:29" ht="15.75">
      <c r="A165" s="10"/>
      <c r="B165" s="9" t="s">
        <v>83</v>
      </c>
      <c r="C165" s="4" t="s">
        <v>84</v>
      </c>
      <c r="D165">
        <v>70</v>
      </c>
      <c r="E165">
        <v>69</v>
      </c>
      <c r="F165">
        <v>272</v>
      </c>
      <c r="G165">
        <v>508</v>
      </c>
      <c r="H165">
        <v>1</v>
      </c>
      <c r="I165">
        <v>53</v>
      </c>
      <c r="K165">
        <v>66.760999999999996</v>
      </c>
      <c r="L165">
        <v>2.01219154003631</v>
      </c>
      <c r="M165">
        <f>I165/I166</f>
        <v>6.625</v>
      </c>
      <c r="N165">
        <f>I165/K165</f>
        <v>0.79387666451970462</v>
      </c>
      <c r="O165">
        <f>I166/K166</f>
        <v>7.3327222731439052</v>
      </c>
      <c r="P165">
        <v>150</v>
      </c>
      <c r="R165">
        <v>239.608</v>
      </c>
      <c r="S165">
        <v>7.5058414579573798</v>
      </c>
      <c r="T165">
        <f>P165/P166</f>
        <v>2.459016393442623</v>
      </c>
      <c r="U165">
        <f>P165/R165</f>
        <v>0.62602250342225629</v>
      </c>
      <c r="V165">
        <f>P166/R166</f>
        <v>4.2396441479010285</v>
      </c>
      <c r="W165">
        <v>199</v>
      </c>
      <c r="Y165">
        <v>403.87400000000002</v>
      </c>
      <c r="Z165">
        <v>11.7458745818987</v>
      </c>
      <c r="AA165">
        <f>W165/W166</f>
        <v>1.3445945945945945</v>
      </c>
      <c r="AB165">
        <f>W165/Y165</f>
        <v>0.49272792999796966</v>
      </c>
      <c r="AC165">
        <f>W166/Y166</f>
        <v>3.5348348420072129</v>
      </c>
    </row>
    <row r="166" spans="1:29">
      <c r="A166" s="10"/>
      <c r="B166" s="10"/>
      <c r="H166">
        <f>H165+1</f>
        <v>2</v>
      </c>
      <c r="I166">
        <v>8</v>
      </c>
      <c r="J166" t="s">
        <v>85</v>
      </c>
      <c r="K166">
        <v>1.091</v>
      </c>
      <c r="L166">
        <v>0.768108008624384</v>
      </c>
      <c r="P166">
        <v>61</v>
      </c>
      <c r="Q166" t="s">
        <v>86</v>
      </c>
      <c r="R166">
        <v>14.388</v>
      </c>
      <c r="S166">
        <v>3.58855614296212</v>
      </c>
      <c r="W166">
        <v>148</v>
      </c>
      <c r="X166" t="s">
        <v>87</v>
      </c>
      <c r="Y166">
        <v>41.869</v>
      </c>
      <c r="Z166">
        <v>5.4946587804989298</v>
      </c>
    </row>
    <row r="167" spans="1:29">
      <c r="A167" s="10"/>
      <c r="B167" s="10"/>
      <c r="H167">
        <f t="shared" ref="H167:H172" si="11">H166+1</f>
        <v>3</v>
      </c>
      <c r="K167">
        <v>1.9E-2</v>
      </c>
      <c r="L167">
        <v>0.13528917976749699</v>
      </c>
      <c r="R167">
        <v>1.0640000000000001</v>
      </c>
      <c r="S167">
        <v>0.75873617059988296</v>
      </c>
      <c r="W167">
        <v>3</v>
      </c>
      <c r="Y167">
        <v>5.3460000000000001</v>
      </c>
      <c r="Z167">
        <v>2.1822777183575899</v>
      </c>
    </row>
    <row r="168" spans="1:29">
      <c r="A168" s="10"/>
      <c r="B168" s="10"/>
      <c r="H168">
        <f t="shared" si="11"/>
        <v>4</v>
      </c>
      <c r="R168">
        <v>9.0999999999999998E-2</v>
      </c>
      <c r="S168">
        <v>0.28707939769440199</v>
      </c>
      <c r="W168">
        <v>1</v>
      </c>
      <c r="Y168">
        <v>0.82599999999999996</v>
      </c>
      <c r="Z168">
        <v>0.70762891311666798</v>
      </c>
    </row>
    <row r="169" spans="1:29">
      <c r="A169" s="10"/>
      <c r="B169" s="10"/>
      <c r="H169">
        <f t="shared" si="11"/>
        <v>5</v>
      </c>
      <c r="R169">
        <v>1.2E-2</v>
      </c>
      <c r="S169">
        <v>0.108284132971795</v>
      </c>
      <c r="Y169">
        <v>0.159</v>
      </c>
      <c r="Z169">
        <v>0.379766621343539</v>
      </c>
    </row>
    <row r="170" spans="1:29">
      <c r="A170" s="10"/>
      <c r="B170" s="10"/>
      <c r="H170">
        <f t="shared" si="11"/>
        <v>6</v>
      </c>
      <c r="Y170">
        <v>0.03</v>
      </c>
      <c r="Z170">
        <v>0.173943543589166</v>
      </c>
    </row>
    <row r="171" spans="1:29">
      <c r="A171" s="10"/>
      <c r="B171" s="10"/>
      <c r="H171">
        <f t="shared" si="11"/>
        <v>7</v>
      </c>
      <c r="Y171">
        <v>8.9999999999999993E-3</v>
      </c>
      <c r="Z171">
        <v>9.4061557379072597E-2</v>
      </c>
    </row>
    <row r="172" spans="1:29">
      <c r="A172" s="10"/>
      <c r="B172" s="10"/>
      <c r="H172">
        <f t="shared" si="11"/>
        <v>8</v>
      </c>
      <c r="Y172">
        <v>1E-3</v>
      </c>
      <c r="Z172">
        <v>3.1606961258558199E-2</v>
      </c>
    </row>
    <row r="173" spans="1:29" ht="15.75">
      <c r="A173" s="10"/>
      <c r="B173" s="9" t="s">
        <v>88</v>
      </c>
      <c r="C173" s="1" t="s">
        <v>89</v>
      </c>
      <c r="D173">
        <v>404</v>
      </c>
      <c r="E173">
        <v>387</v>
      </c>
      <c r="F173">
        <v>583</v>
      </c>
      <c r="G173">
        <v>798</v>
      </c>
      <c r="H173">
        <v>1</v>
      </c>
      <c r="I173">
        <v>112</v>
      </c>
      <c r="K173">
        <v>323.54899999999998</v>
      </c>
      <c r="L173">
        <v>9.7028999720118208</v>
      </c>
      <c r="M173">
        <f>I173/I174</f>
        <v>1.2727272727272727</v>
      </c>
      <c r="N173">
        <f>I173/K173</f>
        <v>0.34616085971522093</v>
      </c>
      <c r="O173">
        <f>I174/K174</f>
        <v>3.2792994223961243</v>
      </c>
      <c r="P173">
        <v>133</v>
      </c>
      <c r="R173">
        <v>447.65300000000002</v>
      </c>
      <c r="S173">
        <v>12.9002359931777</v>
      </c>
      <c r="T173">
        <f>P173/P174</f>
        <v>0.97080291970802923</v>
      </c>
      <c r="U173">
        <f>P173/R173</f>
        <v>0.2971051238347559</v>
      </c>
      <c r="V173">
        <f>P174/R174</f>
        <v>2.5883242017759307</v>
      </c>
      <c r="W173">
        <v>174</v>
      </c>
      <c r="Y173">
        <v>560.33699999999999</v>
      </c>
      <c r="Z173">
        <v>16.537033800470901</v>
      </c>
      <c r="AA173">
        <f>W173/W174</f>
        <v>0.84878048780487803</v>
      </c>
      <c r="AB173">
        <f>W173/Y173</f>
        <v>0.31052741475219375</v>
      </c>
      <c r="AC173">
        <f>W174/Y174</f>
        <v>2.3942444698792364</v>
      </c>
    </row>
    <row r="174" spans="1:29">
      <c r="A174" s="10"/>
      <c r="B174" s="10"/>
      <c r="H174">
        <f>H173+1</f>
        <v>2</v>
      </c>
      <c r="I174">
        <v>88</v>
      </c>
      <c r="J174" t="s">
        <v>90</v>
      </c>
      <c r="K174">
        <v>26.835000000000001</v>
      </c>
      <c r="L174">
        <v>4.4179119186240898</v>
      </c>
      <c r="P174">
        <v>137</v>
      </c>
      <c r="Q174" t="s">
        <v>91</v>
      </c>
      <c r="R174">
        <v>52.93</v>
      </c>
      <c r="S174">
        <v>5.9776456358124301</v>
      </c>
      <c r="W174">
        <v>205</v>
      </c>
      <c r="X174" t="s">
        <v>92</v>
      </c>
      <c r="Y174">
        <v>85.622</v>
      </c>
      <c r="Z174">
        <v>7.8697058004340601</v>
      </c>
    </row>
    <row r="175" spans="1:29">
      <c r="A175" s="10"/>
      <c r="B175" s="10"/>
      <c r="H175">
        <f t="shared" ref="H175:H185" si="12">H174+1</f>
        <v>3</v>
      </c>
      <c r="I175">
        <v>17</v>
      </c>
      <c r="K175">
        <v>2.6619999999999999</v>
      </c>
      <c r="L175">
        <v>1.4857618127291301</v>
      </c>
      <c r="P175">
        <v>24</v>
      </c>
      <c r="R175">
        <v>7.4589999999999996</v>
      </c>
      <c r="S175">
        <v>2.6368813895324199</v>
      </c>
      <c r="W175">
        <v>28</v>
      </c>
      <c r="Y175">
        <v>15.175000000000001</v>
      </c>
      <c r="Z175">
        <v>3.61378663299715</v>
      </c>
    </row>
    <row r="176" spans="1:29">
      <c r="A176" s="10"/>
      <c r="B176" s="10"/>
      <c r="H176">
        <f t="shared" si="12"/>
        <v>4</v>
      </c>
      <c r="I176">
        <v>5</v>
      </c>
      <c r="K176">
        <v>0.35499999999999998</v>
      </c>
      <c r="L176">
        <v>0.52160473204956104</v>
      </c>
      <c r="P176">
        <v>13</v>
      </c>
      <c r="R176">
        <v>1.274</v>
      </c>
      <c r="S176">
        <v>0.86084703264495199</v>
      </c>
      <c r="W176">
        <v>14</v>
      </c>
      <c r="Y176">
        <v>3.4620000000000002</v>
      </c>
      <c r="Z176">
        <v>1.73940596213222</v>
      </c>
    </row>
    <row r="177" spans="1:29">
      <c r="A177" s="10"/>
      <c r="B177" s="10"/>
      <c r="H177">
        <f t="shared" si="12"/>
        <v>5</v>
      </c>
      <c r="I177">
        <v>4</v>
      </c>
      <c r="K177">
        <v>5.8999999999999997E-2</v>
      </c>
      <c r="L177">
        <v>0.23301114177693699</v>
      </c>
      <c r="P177">
        <v>5</v>
      </c>
      <c r="R177">
        <v>0.28599999999999998</v>
      </c>
      <c r="S177">
        <v>0.48435609299855398</v>
      </c>
      <c r="W177">
        <v>7</v>
      </c>
      <c r="Y177">
        <v>0.91600000000000004</v>
      </c>
      <c r="Z177">
        <v>0.69888724940965197</v>
      </c>
    </row>
    <row r="178" spans="1:29">
      <c r="A178" s="10"/>
      <c r="B178" s="10"/>
      <c r="H178">
        <f t="shared" si="12"/>
        <v>6</v>
      </c>
      <c r="K178">
        <v>1.0999999999999999E-2</v>
      </c>
      <c r="L178">
        <v>0.103779097611711</v>
      </c>
      <c r="P178">
        <v>2</v>
      </c>
      <c r="R178">
        <v>6.5000000000000002E-2</v>
      </c>
      <c r="S178">
        <v>0.25470099645976502</v>
      </c>
      <c r="W178">
        <v>4</v>
      </c>
      <c r="Y178">
        <v>0.26200000000000001</v>
      </c>
      <c r="Z178">
        <v>0.46530710149179899</v>
      </c>
    </row>
    <row r="179" spans="1:29">
      <c r="A179" s="10"/>
      <c r="B179" s="10"/>
      <c r="H179">
        <f t="shared" si="12"/>
        <v>7</v>
      </c>
      <c r="K179">
        <v>2E-3</v>
      </c>
      <c r="L179">
        <v>4.46542495402397E-2</v>
      </c>
      <c r="P179">
        <v>1</v>
      </c>
      <c r="R179">
        <v>2.1999999999999999E-2</v>
      </c>
      <c r="S179">
        <v>0.15187241102066301</v>
      </c>
      <c r="W179">
        <v>1</v>
      </c>
      <c r="Y179">
        <v>7.6999999999999999E-2</v>
      </c>
      <c r="Z179">
        <v>0.25847143455802302</v>
      </c>
    </row>
    <row r="180" spans="1:29">
      <c r="A180" s="10"/>
      <c r="B180" s="10"/>
      <c r="H180">
        <f t="shared" si="12"/>
        <v>8</v>
      </c>
      <c r="I180">
        <v>1</v>
      </c>
      <c r="P180">
        <v>1</v>
      </c>
      <c r="R180">
        <v>5.0000000000000001E-3</v>
      </c>
      <c r="S180">
        <v>7.0392329696353104E-2</v>
      </c>
      <c r="W180">
        <v>1</v>
      </c>
      <c r="Y180">
        <v>2.8000000000000001E-2</v>
      </c>
      <c r="Z180">
        <v>0.16272809355619</v>
      </c>
    </row>
    <row r="181" spans="1:29">
      <c r="A181" s="10"/>
      <c r="B181" s="10"/>
      <c r="H181">
        <f t="shared" si="12"/>
        <v>9</v>
      </c>
      <c r="Y181">
        <v>8.9999999999999993E-3</v>
      </c>
      <c r="Z181">
        <v>9.4061557379072597E-2</v>
      </c>
    </row>
    <row r="182" spans="1:29">
      <c r="A182" s="10"/>
      <c r="B182" s="10"/>
      <c r="H182">
        <f t="shared" si="12"/>
        <v>10</v>
      </c>
      <c r="Y182">
        <v>5.0000000000000001E-3</v>
      </c>
      <c r="Z182">
        <v>7.0392329696353104E-2</v>
      </c>
    </row>
    <row r="183" spans="1:29">
      <c r="A183" s="10"/>
      <c r="B183" s="10"/>
      <c r="H183">
        <f t="shared" si="12"/>
        <v>11</v>
      </c>
    </row>
    <row r="184" spans="1:29">
      <c r="A184" s="10"/>
      <c r="B184" s="10"/>
      <c r="H184">
        <f t="shared" si="12"/>
        <v>12</v>
      </c>
    </row>
    <row r="185" spans="1:29">
      <c r="A185" s="10"/>
      <c r="B185" s="10"/>
      <c r="H185">
        <f t="shared" si="12"/>
        <v>13</v>
      </c>
      <c r="P185">
        <v>1</v>
      </c>
      <c r="W185">
        <v>1</v>
      </c>
    </row>
    <row r="186" spans="1:29">
      <c r="A186" s="10"/>
      <c r="B186" s="10"/>
    </row>
    <row r="187" spans="1:29" ht="15.75">
      <c r="A187" s="9" t="s">
        <v>93</v>
      </c>
      <c r="B187" s="9" t="s">
        <v>94</v>
      </c>
      <c r="C187" s="1" t="s">
        <v>95</v>
      </c>
      <c r="D187">
        <v>235</v>
      </c>
      <c r="E187">
        <v>234</v>
      </c>
      <c r="F187">
        <v>313</v>
      </c>
      <c r="G187">
        <v>338</v>
      </c>
      <c r="H187">
        <v>1</v>
      </c>
      <c r="I187">
        <v>73</v>
      </c>
      <c r="K187">
        <v>209.196</v>
      </c>
      <c r="L187">
        <v>6.36423137739546</v>
      </c>
      <c r="M187">
        <f>I187/I188</f>
        <v>0.92405063291139244</v>
      </c>
      <c r="N187">
        <f>I187/K187</f>
        <v>0.3489550469416241</v>
      </c>
      <c r="O187">
        <f>I188/K188</f>
        <v>7.1435030292069808</v>
      </c>
      <c r="P187">
        <v>60</v>
      </c>
      <c r="R187">
        <v>269.49200000000002</v>
      </c>
      <c r="S187">
        <v>8.23805070483394</v>
      </c>
      <c r="T187">
        <f>P187/P188</f>
        <v>0.48</v>
      </c>
      <c r="U187">
        <f>P187/R187</f>
        <v>0.22264111736155431</v>
      </c>
      <c r="V187">
        <f>P188/R188</f>
        <v>6.7078078883820762</v>
      </c>
      <c r="W187">
        <v>65</v>
      </c>
      <c r="Y187">
        <v>287.327</v>
      </c>
      <c r="Z187">
        <v>8.8498356856306994</v>
      </c>
      <c r="AA187">
        <f>W187/W188</f>
        <v>0.48148148148148145</v>
      </c>
      <c r="AB187">
        <f>W187/Y187</f>
        <v>0.22622308380347131</v>
      </c>
      <c r="AC187">
        <f>W188/Y188</f>
        <v>6.29546726357023</v>
      </c>
    </row>
    <row r="188" spans="1:29">
      <c r="A188" s="10"/>
      <c r="B188" s="10"/>
      <c r="H188">
        <f>H187+1</f>
        <v>2</v>
      </c>
      <c r="I188">
        <v>79</v>
      </c>
      <c r="J188" t="s">
        <v>96</v>
      </c>
      <c r="K188">
        <v>11.058999999999999</v>
      </c>
      <c r="L188">
        <v>3.0420202836940899</v>
      </c>
      <c r="P188">
        <v>125</v>
      </c>
      <c r="Q188" t="s">
        <v>97</v>
      </c>
      <c r="R188">
        <v>18.635000000000002</v>
      </c>
      <c r="S188">
        <v>3.9058696333329599</v>
      </c>
      <c r="W188">
        <v>135</v>
      </c>
      <c r="X188" t="s">
        <v>98</v>
      </c>
      <c r="Y188">
        <v>21.443999999999999</v>
      </c>
      <c r="Z188">
        <v>4.0933798532047501</v>
      </c>
    </row>
    <row r="189" spans="1:29">
      <c r="A189" s="10"/>
      <c r="B189" s="10"/>
      <c r="H189">
        <f>H188+1</f>
        <v>3</v>
      </c>
      <c r="I189">
        <v>1</v>
      </c>
      <c r="K189">
        <v>0.78</v>
      </c>
      <c r="L189">
        <v>0.70758057510807004</v>
      </c>
      <c r="P189">
        <v>1</v>
      </c>
      <c r="R189">
        <v>1.752</v>
      </c>
      <c r="S189">
        <v>1.03463583124851</v>
      </c>
      <c r="W189">
        <v>1</v>
      </c>
      <c r="Y189">
        <v>2.1309999999999998</v>
      </c>
      <c r="Z189">
        <v>1.1478792574960901</v>
      </c>
    </row>
    <row r="190" spans="1:29">
      <c r="A190" s="10"/>
      <c r="B190" s="10"/>
      <c r="H190">
        <f t="shared" ref="H190:H196" si="13">H189+1</f>
        <v>4</v>
      </c>
      <c r="K190">
        <v>7.9000000000000001E-2</v>
      </c>
      <c r="L190">
        <v>0.27030608831726499</v>
      </c>
      <c r="R190">
        <v>0.188</v>
      </c>
      <c r="S190">
        <v>0.39439411090267801</v>
      </c>
      <c r="Y190">
        <v>0.29199999999999998</v>
      </c>
      <c r="Z190">
        <v>0.45954328199640598</v>
      </c>
    </row>
    <row r="191" spans="1:29">
      <c r="A191" s="10"/>
      <c r="B191" s="10"/>
      <c r="H191">
        <f t="shared" si="13"/>
        <v>5</v>
      </c>
      <c r="K191">
        <v>6.0000000000000001E-3</v>
      </c>
      <c r="L191">
        <v>7.7033435274237505E-2</v>
      </c>
      <c r="R191">
        <v>3.4000000000000002E-2</v>
      </c>
      <c r="S191">
        <v>0.178210726565667</v>
      </c>
      <c r="Y191">
        <v>3.5000000000000003E-2</v>
      </c>
      <c r="Z191">
        <v>0.201565382949562</v>
      </c>
    </row>
    <row r="192" spans="1:29">
      <c r="A192" s="10"/>
      <c r="B192" s="10"/>
      <c r="H192">
        <f t="shared" si="13"/>
        <v>6</v>
      </c>
      <c r="R192">
        <v>0.01</v>
      </c>
      <c r="S192">
        <v>9.9049537155964595E-2</v>
      </c>
      <c r="Y192">
        <v>7.0000000000000001E-3</v>
      </c>
      <c r="Z192">
        <v>8.3121911986264202E-2</v>
      </c>
    </row>
    <row r="193" spans="1:29">
      <c r="A193" s="10"/>
      <c r="B193" s="10"/>
      <c r="H193">
        <f t="shared" si="13"/>
        <v>7</v>
      </c>
      <c r="Y193">
        <v>1E-3</v>
      </c>
      <c r="Z193">
        <v>3.1606961258558199E-2</v>
      </c>
    </row>
    <row r="194" spans="1:29">
      <c r="A194" s="10"/>
      <c r="B194" s="10"/>
      <c r="H194">
        <f t="shared" si="13"/>
        <v>8</v>
      </c>
    </row>
    <row r="195" spans="1:29">
      <c r="A195" s="10"/>
      <c r="B195" s="10"/>
      <c r="H195">
        <f t="shared" si="13"/>
        <v>9</v>
      </c>
    </row>
    <row r="196" spans="1:29">
      <c r="A196" s="10"/>
      <c r="B196" s="10"/>
      <c r="H196">
        <f t="shared" si="13"/>
        <v>10</v>
      </c>
    </row>
    <row r="197" spans="1:29" ht="15.75">
      <c r="A197" s="10"/>
      <c r="B197" s="9" t="s">
        <v>99</v>
      </c>
      <c r="C197" s="1" t="s">
        <v>100</v>
      </c>
      <c r="D197">
        <v>90</v>
      </c>
      <c r="E197">
        <v>87</v>
      </c>
      <c r="F197">
        <v>135</v>
      </c>
      <c r="G197">
        <v>217</v>
      </c>
      <c r="H197">
        <v>1</v>
      </c>
      <c r="I197">
        <v>37</v>
      </c>
      <c r="K197">
        <v>83.296999999999997</v>
      </c>
      <c r="L197">
        <v>2.5342283054421202</v>
      </c>
      <c r="M197">
        <f>I197/I198</f>
        <v>1.48</v>
      </c>
      <c r="N197">
        <f>I197/K197</f>
        <v>0.44419366843943964</v>
      </c>
      <c r="O197">
        <f>I198/K198</f>
        <v>14.116318464144552</v>
      </c>
      <c r="P197">
        <v>47</v>
      </c>
      <c r="R197">
        <v>126.19799999999999</v>
      </c>
      <c r="S197">
        <v>4.1057518183633501</v>
      </c>
      <c r="T197">
        <f>P197/P198</f>
        <v>1.0681818181818181</v>
      </c>
      <c r="U197">
        <f>P197/R197</f>
        <v>0.37243062489104423</v>
      </c>
      <c r="V197">
        <f>P198/R198</f>
        <v>10.700389105058365</v>
      </c>
      <c r="W197">
        <v>95</v>
      </c>
      <c r="Y197">
        <v>195.88800000000001</v>
      </c>
      <c r="Z197">
        <v>5.9739906277144499</v>
      </c>
      <c r="AA197">
        <f>W197/W198</f>
        <v>1.5573770491803278</v>
      </c>
      <c r="AB197">
        <f>W197/Y197</f>
        <v>0.48497100383892833</v>
      </c>
      <c r="AC197">
        <f>W198/Y198</f>
        <v>6.4407137577869289</v>
      </c>
    </row>
    <row r="198" spans="1:29" ht="15.75">
      <c r="A198" s="10"/>
      <c r="B198" s="9"/>
      <c r="C198" s="1"/>
      <c r="H198">
        <f>H197+1</f>
        <v>2</v>
      </c>
      <c r="I198">
        <v>25</v>
      </c>
      <c r="J198" t="s">
        <v>101</v>
      </c>
      <c r="K198">
        <v>1.7709999999999999</v>
      </c>
      <c r="L198">
        <v>1.03933436242477</v>
      </c>
      <c r="P198">
        <v>44</v>
      </c>
      <c r="Q198" t="s">
        <v>102</v>
      </c>
      <c r="R198">
        <v>4.1120000000000001</v>
      </c>
      <c r="S198">
        <v>1.8781120245546501</v>
      </c>
      <c r="W198">
        <v>61</v>
      </c>
      <c r="X198" t="s">
        <v>103</v>
      </c>
      <c r="Y198">
        <v>9.4710000000000001</v>
      </c>
      <c r="Z198">
        <v>2.8058734976982</v>
      </c>
    </row>
    <row r="199" spans="1:29" ht="15.75">
      <c r="A199" s="10"/>
      <c r="B199" s="9"/>
      <c r="C199" s="1"/>
      <c r="H199">
        <f t="shared" ref="H199:H203" si="14">H198+1</f>
        <v>3</v>
      </c>
      <c r="K199">
        <v>5.0999999999999997E-2</v>
      </c>
      <c r="L199">
        <v>0.21442161184830999</v>
      </c>
      <c r="R199">
        <v>0.17599999999999999</v>
      </c>
      <c r="S199">
        <v>0.38795188705130201</v>
      </c>
      <c r="Y199">
        <v>0.65200000000000002</v>
      </c>
      <c r="Z199">
        <v>0.63466159434720804</v>
      </c>
    </row>
    <row r="200" spans="1:29" ht="15.75">
      <c r="A200" s="10"/>
      <c r="B200" s="9"/>
      <c r="C200" s="1"/>
      <c r="H200">
        <f t="shared" si="14"/>
        <v>4</v>
      </c>
      <c r="K200">
        <v>2E-3</v>
      </c>
      <c r="L200">
        <v>4.46542495402397E-2</v>
      </c>
      <c r="R200">
        <v>0.01</v>
      </c>
      <c r="S200">
        <v>0.10868630416346201</v>
      </c>
      <c r="Y200">
        <v>4.8000000000000001E-2</v>
      </c>
      <c r="Z200">
        <v>0.208677114552933</v>
      </c>
    </row>
    <row r="201" spans="1:29" ht="15.75">
      <c r="A201" s="10"/>
      <c r="B201" s="9"/>
      <c r="C201" s="1"/>
      <c r="H201">
        <f t="shared" si="14"/>
        <v>5</v>
      </c>
      <c r="R201">
        <v>2E-3</v>
      </c>
      <c r="S201">
        <v>4.46542495402397E-2</v>
      </c>
      <c r="Y201">
        <v>3.0000000000000001E-3</v>
      </c>
      <c r="Z201">
        <v>5.4635263447813699E-2</v>
      </c>
    </row>
    <row r="202" spans="1:29" ht="15.75">
      <c r="A202" s="10"/>
      <c r="B202" s="9"/>
      <c r="C202" s="1"/>
      <c r="H202">
        <f t="shared" si="14"/>
        <v>6</v>
      </c>
      <c r="Y202">
        <v>0</v>
      </c>
      <c r="Z202">
        <v>0</v>
      </c>
    </row>
    <row r="203" spans="1:29">
      <c r="A203" s="10"/>
      <c r="B203" s="10"/>
      <c r="H203">
        <f t="shared" si="14"/>
        <v>7</v>
      </c>
      <c r="Y203">
        <v>1E-3</v>
      </c>
      <c r="Z203">
        <v>3.1606961258558199E-2</v>
      </c>
    </row>
    <row r="204" spans="1:29" ht="15.75">
      <c r="A204" s="10"/>
      <c r="B204" s="9" t="s">
        <v>104</v>
      </c>
      <c r="C204" s="4" t="s">
        <v>105</v>
      </c>
      <c r="D204">
        <v>35</v>
      </c>
      <c r="E204">
        <v>35</v>
      </c>
      <c r="F204">
        <v>44</v>
      </c>
      <c r="G204">
        <v>51</v>
      </c>
      <c r="H204">
        <v>1</v>
      </c>
      <c r="I204">
        <v>17</v>
      </c>
      <c r="K204">
        <v>34.411999999999999</v>
      </c>
      <c r="L204">
        <v>1.12657864147844</v>
      </c>
      <c r="M204">
        <f>I204/I205</f>
        <v>1.8888888888888888</v>
      </c>
      <c r="N204">
        <f>I204/K204</f>
        <v>0.49401371614553063</v>
      </c>
      <c r="O204">
        <f>I205/K205</f>
        <v>31.578947368421055</v>
      </c>
      <c r="P204">
        <v>22</v>
      </c>
      <c r="R204">
        <v>43.11</v>
      </c>
      <c r="S204">
        <v>1.3041505697996301</v>
      </c>
      <c r="T204">
        <f>P204/P205</f>
        <v>2</v>
      </c>
      <c r="U204">
        <f>P204/R204</f>
        <v>0.51032243099048946</v>
      </c>
      <c r="V204">
        <f>P205/R205</f>
        <v>25.404157043879909</v>
      </c>
      <c r="W204">
        <v>29</v>
      </c>
      <c r="Y204">
        <v>49.74</v>
      </c>
      <c r="Z204">
        <v>1.56150270274845</v>
      </c>
      <c r="AA204">
        <f>W204/W205</f>
        <v>2.6363636363636362</v>
      </c>
      <c r="AB204">
        <f>W204/Y204</f>
        <v>0.58303176517893041</v>
      </c>
      <c r="AC204">
        <f>W205/Y205</f>
        <v>17.628205128205128</v>
      </c>
    </row>
    <row r="205" spans="1:29">
      <c r="A205" s="10"/>
      <c r="B205" s="10"/>
      <c r="H205">
        <f>H204+1</f>
        <v>2</v>
      </c>
      <c r="I205">
        <v>9</v>
      </c>
      <c r="J205" t="s">
        <v>75</v>
      </c>
      <c r="K205">
        <v>0.28499999999999998</v>
      </c>
      <c r="L205">
        <v>0.49458418243360103</v>
      </c>
      <c r="P205">
        <v>11</v>
      </c>
      <c r="Q205" t="s">
        <v>106</v>
      </c>
      <c r="R205">
        <v>0.433</v>
      </c>
      <c r="S205">
        <v>0.53984673426491603</v>
      </c>
      <c r="W205">
        <v>11</v>
      </c>
      <c r="X205" t="s">
        <v>106</v>
      </c>
      <c r="Y205">
        <v>0.624</v>
      </c>
      <c r="Z205">
        <v>0.62743537288484397</v>
      </c>
    </row>
    <row r="206" spans="1:29">
      <c r="A206" s="11"/>
      <c r="B206" s="11"/>
      <c r="K206">
        <v>6.0000000000000001E-3</v>
      </c>
      <c r="L206">
        <v>7.7033435274237505E-2</v>
      </c>
      <c r="R206">
        <v>8.0000000000000002E-3</v>
      </c>
      <c r="S206">
        <v>8.8771574236308201E-2</v>
      </c>
      <c r="Y206">
        <v>4.0000000000000001E-3</v>
      </c>
      <c r="Z206">
        <v>6.3024090917965903E-2</v>
      </c>
    </row>
    <row r="269" spans="2:2">
      <c r="B269" s="3"/>
    </row>
  </sheetData>
  <mergeCells count="35">
    <mergeCell ref="B118:B125"/>
    <mergeCell ref="B126:B145"/>
    <mergeCell ref="A118:A145"/>
    <mergeCell ref="B81:B90"/>
    <mergeCell ref="B91:B98"/>
    <mergeCell ref="B99:B107"/>
    <mergeCell ref="A81:A107"/>
    <mergeCell ref="B108:B117"/>
    <mergeCell ref="A108:A117"/>
    <mergeCell ref="H1:K1"/>
    <mergeCell ref="A15:A33"/>
    <mergeCell ref="B15:B20"/>
    <mergeCell ref="B21:B33"/>
    <mergeCell ref="A3:A14"/>
    <mergeCell ref="B3:B14"/>
    <mergeCell ref="D1:D2"/>
    <mergeCell ref="C1:C2"/>
    <mergeCell ref="B1:B2"/>
    <mergeCell ref="A1:A2"/>
    <mergeCell ref="A78:A80"/>
    <mergeCell ref="B78:B80"/>
    <mergeCell ref="A34:A77"/>
    <mergeCell ref="B34:B54"/>
    <mergeCell ref="B55:B77"/>
    <mergeCell ref="B197:B203"/>
    <mergeCell ref="B187:B196"/>
    <mergeCell ref="A187:A206"/>
    <mergeCell ref="B204:B206"/>
    <mergeCell ref="B152:B157"/>
    <mergeCell ref="A146:A157"/>
    <mergeCell ref="B158:B164"/>
    <mergeCell ref="B165:B172"/>
    <mergeCell ref="B173:B186"/>
    <mergeCell ref="A158:A186"/>
    <mergeCell ref="B146:B15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selection activeCell="J19" sqref="A1:J19"/>
    </sheetView>
  </sheetViews>
  <sheetFormatPr defaultRowHeight="15"/>
  <sheetData>
    <row r="1" spans="1:2">
      <c r="A1" s="8" t="s">
        <v>115</v>
      </c>
      <c r="B1" s="8" t="s">
        <v>117</v>
      </c>
    </row>
    <row r="2" spans="1:2">
      <c r="A2" s="5">
        <v>0</v>
      </c>
      <c r="B2" s="6">
        <v>0</v>
      </c>
    </row>
    <row r="3" spans="1:2">
      <c r="A3" s="5">
        <v>0.2</v>
      </c>
      <c r="B3" s="6">
        <v>0</v>
      </c>
    </row>
    <row r="4" spans="1:2">
      <c r="A4" s="5">
        <v>0.4</v>
      </c>
      <c r="B4" s="6">
        <v>1</v>
      </c>
    </row>
    <row r="5" spans="1:2">
      <c r="A5" s="5">
        <v>0.6</v>
      </c>
      <c r="B5" s="6">
        <v>2</v>
      </c>
    </row>
    <row r="6" spans="1:2">
      <c r="A6" s="5">
        <v>0.8</v>
      </c>
      <c r="B6" s="6">
        <v>0</v>
      </c>
    </row>
    <row r="7" spans="1:2">
      <c r="A7" s="5">
        <v>1</v>
      </c>
      <c r="B7" s="6">
        <v>2</v>
      </c>
    </row>
    <row r="8" spans="1:2">
      <c r="A8" s="5">
        <v>2</v>
      </c>
      <c r="B8" s="6">
        <v>7</v>
      </c>
    </row>
    <row r="9" spans="1:2">
      <c r="A9" s="5">
        <v>4</v>
      </c>
      <c r="B9" s="6">
        <v>5</v>
      </c>
    </row>
    <row r="10" spans="1:2">
      <c r="A10" s="5">
        <v>8</v>
      </c>
      <c r="B10" s="6">
        <v>2</v>
      </c>
    </row>
    <row r="11" spans="1:2">
      <c r="A11" s="5">
        <v>10</v>
      </c>
      <c r="B11" s="6">
        <v>0</v>
      </c>
    </row>
    <row r="12" spans="1:2">
      <c r="A12" s="5">
        <v>12</v>
      </c>
      <c r="B12" s="6">
        <v>1</v>
      </c>
    </row>
    <row r="13" spans="1:2" ht="15.75" thickBot="1">
      <c r="A13" s="7" t="s">
        <v>116</v>
      </c>
      <c r="B13" s="7">
        <v>0</v>
      </c>
    </row>
  </sheetData>
  <sortState ref="A2:A12">
    <sortCondition ref="A2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Bertels</dc:creator>
  <cp:lastModifiedBy>Frederic Bertels</cp:lastModifiedBy>
  <cp:lastPrinted>2010-10-05T23:25:41Z</cp:lastPrinted>
  <dcterms:created xsi:type="dcterms:W3CDTF">2010-09-10T01:44:45Z</dcterms:created>
  <dcterms:modified xsi:type="dcterms:W3CDTF">2010-12-01T01:02:18Z</dcterms:modified>
</cp:coreProperties>
</file>