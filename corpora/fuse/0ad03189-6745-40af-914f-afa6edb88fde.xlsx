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19155" windowHeight="84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Sheet1!$A$1:$I$33</definedName>
  </definedNames>
  <calcPr calcId="125725"/>
</workbook>
</file>

<file path=xl/calcChain.xml><?xml version="1.0" encoding="utf-8"?>
<calcChain xmlns="http://schemas.openxmlformats.org/spreadsheetml/2006/main">
  <c r="H3" i="1"/>
  <c r="I3" s="1"/>
  <c r="H4"/>
  <c r="I4" s="1"/>
  <c r="H5"/>
  <c r="I5" s="1"/>
  <c r="H6"/>
  <c r="I6" s="1"/>
  <c r="H7"/>
  <c r="I7" s="1"/>
  <c r="H8"/>
  <c r="I8" s="1"/>
  <c r="H9"/>
  <c r="I9" s="1"/>
  <c r="H10"/>
  <c r="I10" s="1"/>
  <c r="H11"/>
  <c r="I11" s="1"/>
  <c r="H12"/>
  <c r="I12" s="1"/>
  <c r="H13"/>
  <c r="I13" s="1"/>
  <c r="H14"/>
  <c r="I14" s="1"/>
  <c r="H15"/>
  <c r="I15" s="1"/>
  <c r="H16"/>
  <c r="I16" s="1"/>
  <c r="H2"/>
  <c r="I2" s="1"/>
  <c r="I17" l="1"/>
  <c r="H17"/>
</calcChain>
</file>

<file path=xl/sharedStrings.xml><?xml version="1.0" encoding="utf-8"?>
<sst xmlns="http://schemas.openxmlformats.org/spreadsheetml/2006/main" count="30" uniqueCount="30">
  <si>
    <t xml:space="preserve"> Scouts Name</t>
  </si>
  <si>
    <t>Scout Signature</t>
  </si>
  <si>
    <t>Quantity for Pre-Order</t>
  </si>
  <si>
    <t>$</t>
  </si>
  <si>
    <t>Gave to another scout</t>
  </si>
  <si>
    <t>Got from scout</t>
  </si>
  <si>
    <t>Returned not sold</t>
  </si>
  <si>
    <t>2nd Order    /need</t>
  </si>
  <si>
    <t>Parent Signature</t>
  </si>
  <si>
    <t>Total Amount Parent/scout owes</t>
  </si>
  <si>
    <t>$50 Military Donation</t>
  </si>
  <si>
    <t>$30 Military Donation</t>
  </si>
  <si>
    <t>Chocolate Lover’s Collection Tin</t>
  </si>
  <si>
    <t>Sweet &amp; Savory Collection</t>
  </si>
  <si>
    <t>Cheese Lovers Collection</t>
  </si>
  <si>
    <t>White Chocolatey Pretzels</t>
  </si>
  <si>
    <t>Unbelievable Butter Microwave</t>
  </si>
  <si>
    <t>Butter Light Microwave</t>
  </si>
  <si>
    <t>Caramel Corn with Almonds &amp; Pecans</t>
  </si>
  <si>
    <t>Dark &amp; White Chocolatey Drizzle</t>
  </si>
  <si>
    <t>Bacon Ranch</t>
  </si>
  <si>
    <t>Buffalo Cheddar</t>
  </si>
  <si>
    <t>Kettle Corn</t>
  </si>
  <si>
    <t>Caramel Corn</t>
  </si>
  <si>
    <t>Popping Corn</t>
  </si>
  <si>
    <t>Price</t>
  </si>
  <si>
    <r>
      <t xml:space="preserve">Total Dollars </t>
    </r>
    <r>
      <rPr>
        <sz val="10"/>
        <color theme="1"/>
        <rFont val="Calibri"/>
        <family val="2"/>
        <scheme val="minor"/>
      </rPr>
      <t>(completed by kernel)</t>
    </r>
  </si>
  <si>
    <r>
      <t xml:space="preserve">Total Containers </t>
    </r>
    <r>
      <rPr>
        <sz val="10"/>
        <color theme="1"/>
        <rFont val="Calibri"/>
        <family val="2"/>
        <scheme val="minor"/>
      </rPr>
      <t>(completed by kernel)</t>
    </r>
  </si>
  <si>
    <t>I am responsible for cost of all product.  Any un-sold product will be returned by October 24, 2013.
(This date is subject to change.)</t>
  </si>
  <si>
    <t>Total Quantities - Containers and Dollars:</t>
  </si>
</sst>
</file>

<file path=xl/styles.xml><?xml version="1.0" encoding="utf-8"?>
<styleSheet xmlns="http://schemas.openxmlformats.org/spreadsheetml/2006/main">
  <numFmts count="2">
    <numFmt numFmtId="6" formatCode="&quot;$&quot;#,##0_);[Red]\(&quot;$&quot;#,##0\)"/>
    <numFmt numFmtId="44" formatCode="_(&quot;$&quot;* #,##0.00_);_(&quot;$&quot;* \(#,##0.00\);_(&quot;$&quot;* &quot;-&quot;??_);_(@_)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top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horizontal="center" vertical="center" wrapText="1"/>
    </xf>
    <xf numFmtId="0" fontId="0" fillId="0" borderId="0" xfId="0" applyBorder="1"/>
    <xf numFmtId="0" fontId="0" fillId="0" borderId="0" xfId="0" applyBorder="1" applyAlignment="1">
      <alignment vertical="top" wrapText="1"/>
    </xf>
    <xf numFmtId="6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0" fontId="4" fillId="0" borderId="1" xfId="0" applyFont="1" applyFill="1" applyBorder="1" applyAlignment="1">
      <alignment horizontal="center" wrapText="1"/>
    </xf>
    <xf numFmtId="44" fontId="0" fillId="0" borderId="1" xfId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5" xfId="0" applyFont="1" applyBorder="1" applyAlignment="1">
      <alignment horizontal="right" vertical="center" wrapText="1"/>
    </xf>
    <xf numFmtId="0" fontId="6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17</xdr:row>
      <xdr:rowOff>74544</xdr:rowOff>
    </xdr:from>
    <xdr:ext cx="4476750" cy="3421131"/>
    <xdr:sp macro="" textlink="">
      <xdr:nvSpPr>
        <xdr:cNvPr id="2" name="TextBox 1"/>
        <xdr:cNvSpPr txBox="1"/>
      </xdr:nvSpPr>
      <xdr:spPr>
        <a:xfrm>
          <a:off x="2828925" y="6618219"/>
          <a:ext cx="4476750" cy="3421131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800" b="1"/>
            <a:t>Important</a:t>
          </a:r>
          <a:r>
            <a:rPr lang="en-US" sz="1800" b="1" baseline="0"/>
            <a:t> Dates:</a:t>
          </a:r>
        </a:p>
        <a:p>
          <a:endParaRPr lang="en-US" sz="1100" baseline="0"/>
        </a:p>
        <a:p>
          <a:r>
            <a:rPr lang="en-US" sz="1100" baseline="0"/>
            <a:t>Friday, August 31, 2013, Pre-Order Forms Due</a:t>
          </a:r>
        </a:p>
        <a:p>
          <a:endParaRPr lang="en-US" sz="1100" baseline="0"/>
        </a:p>
        <a:p>
          <a:r>
            <a:rPr lang="en-US" sz="1100"/>
            <a:t>Friday, Sept. 20, 2013,</a:t>
          </a:r>
          <a:r>
            <a:rPr lang="en-US" sz="1100" baseline="0"/>
            <a:t> 6:00 PM - 7:30 PM </a:t>
          </a:r>
        </a:p>
        <a:p>
          <a:r>
            <a:rPr lang="en-US" sz="1100" baseline="0"/>
            <a:t>Pre-order</a:t>
          </a:r>
          <a:r>
            <a:rPr lang="en-US" sz="1100"/>
            <a:t> Pick-up</a:t>
          </a:r>
          <a:endParaRPr lang="en-US" sz="1100" baseline="0"/>
        </a:p>
        <a:p>
          <a:endParaRPr lang="en-US" sz="1100" baseline="0"/>
        </a:p>
        <a:p>
          <a:r>
            <a:rPr lang="en-US" sz="1100" baseline="0"/>
            <a:t>Sept. 21, 2013 Face to Face Sale Begins</a:t>
          </a:r>
        </a:p>
        <a:p>
          <a:r>
            <a:rPr lang="en-US" sz="1100" baseline="0"/>
            <a:t>October 24, 2013 All Pre-ordered Popcorn not Sold needs to be returned.</a:t>
          </a:r>
        </a:p>
        <a:p>
          <a:r>
            <a:rPr lang="en-US" sz="1100" baseline="0"/>
            <a:t>October 24, 2013 All additional Popcorn Orders Due</a:t>
          </a:r>
        </a:p>
        <a:p>
          <a:endParaRPr lang="en-US" sz="1100" baseline="0"/>
        </a:p>
        <a:p>
          <a:r>
            <a:rPr lang="en-US" sz="1100" baseline="0"/>
            <a:t>November 22, 2013, Final Popcorn Orders Pick-up, </a:t>
          </a:r>
        </a:p>
        <a:p>
          <a:r>
            <a:rPr lang="en-US" sz="1100" baseline="0"/>
            <a:t>May have available at Yorktown Parking lot for Belzer</a:t>
          </a:r>
        </a:p>
        <a:p>
          <a:endParaRPr lang="en-US" sz="1100" baseline="0"/>
        </a:p>
        <a:p>
          <a:r>
            <a:rPr lang="en-US" sz="1100" baseline="0"/>
            <a:t>November 25, 2013 - All Popcorn money Must be turned in. 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9"/>
  <sheetViews>
    <sheetView tabSelected="1" topLeftCell="A10" zoomScaleNormal="100" workbookViewId="0">
      <selection activeCell="J31" sqref="J31"/>
    </sheetView>
  </sheetViews>
  <sheetFormatPr defaultRowHeight="15"/>
  <cols>
    <col min="1" max="1" width="35.7109375" style="8" customWidth="1"/>
    <col min="2" max="2" width="6.7109375" style="8" bestFit="1" customWidth="1"/>
    <col min="3" max="3" width="9.140625" style="4"/>
    <col min="4" max="5" width="9.140625" style="5"/>
    <col min="6" max="7" width="9.140625" style="6"/>
    <col min="8" max="8" width="10.5703125" style="7" customWidth="1"/>
    <col min="9" max="9" width="11.140625" style="7" customWidth="1"/>
    <col min="10" max="16384" width="9.140625" style="7"/>
  </cols>
  <sheetData>
    <row r="1" spans="1:9" ht="57.75" customHeight="1">
      <c r="A1" s="21" t="s">
        <v>0</v>
      </c>
      <c r="B1" s="22" t="s">
        <v>25</v>
      </c>
      <c r="C1" s="22" t="s">
        <v>2</v>
      </c>
      <c r="D1" s="22" t="s">
        <v>4</v>
      </c>
      <c r="E1" s="22" t="s">
        <v>5</v>
      </c>
      <c r="F1" s="22" t="s">
        <v>6</v>
      </c>
      <c r="G1" s="22" t="s">
        <v>7</v>
      </c>
      <c r="H1" s="22" t="s">
        <v>27</v>
      </c>
      <c r="I1" s="12" t="s">
        <v>26</v>
      </c>
    </row>
    <row r="2" spans="1:9" ht="27.75" customHeight="1">
      <c r="A2" s="10" t="s">
        <v>10</v>
      </c>
      <c r="B2" s="9">
        <v>50</v>
      </c>
      <c r="C2" s="16"/>
      <c r="D2" s="16"/>
      <c r="E2" s="16"/>
      <c r="F2" s="16"/>
      <c r="G2" s="16"/>
      <c r="H2" s="11" t="str">
        <f>IF((C2-D2+E2-F2+G2)=0,"",C2-D2+E2-F2+G2)</f>
        <v/>
      </c>
      <c r="I2" s="13" t="str">
        <f>IF(H2&lt;&gt;"",H2*B2,"")</f>
        <v/>
      </c>
    </row>
    <row r="3" spans="1:9" ht="27.75" customHeight="1">
      <c r="A3" s="10" t="s">
        <v>11</v>
      </c>
      <c r="B3" s="9">
        <v>30</v>
      </c>
      <c r="C3" s="16"/>
      <c r="D3" s="16"/>
      <c r="E3" s="16"/>
      <c r="F3" s="16"/>
      <c r="G3" s="16"/>
      <c r="H3" s="11" t="str">
        <f t="shared" ref="H3:H16" si="0">IF((C3-D3+E3-F3+G3)=0,"",C3-D3+E3-F3+G3)</f>
        <v/>
      </c>
      <c r="I3" s="13" t="str">
        <f t="shared" ref="I3:I16" si="1">IF(H3&lt;&gt;"",H3*B3,"")</f>
        <v/>
      </c>
    </row>
    <row r="4" spans="1:9" ht="27.75" customHeight="1">
      <c r="A4" s="10" t="s">
        <v>12</v>
      </c>
      <c r="B4" s="9">
        <v>55</v>
      </c>
      <c r="C4" s="16"/>
      <c r="D4" s="16"/>
      <c r="E4" s="16"/>
      <c r="F4" s="16"/>
      <c r="G4" s="16"/>
      <c r="H4" s="11" t="str">
        <f t="shared" si="0"/>
        <v/>
      </c>
      <c r="I4" s="13" t="str">
        <f t="shared" si="1"/>
        <v/>
      </c>
    </row>
    <row r="5" spans="1:9" ht="27" customHeight="1">
      <c r="A5" s="10" t="s">
        <v>13</v>
      </c>
      <c r="B5" s="9">
        <v>40</v>
      </c>
      <c r="C5" s="16"/>
      <c r="D5" s="16"/>
      <c r="E5" s="16"/>
      <c r="F5" s="16"/>
      <c r="G5" s="16"/>
      <c r="H5" s="11" t="str">
        <f t="shared" si="0"/>
        <v/>
      </c>
      <c r="I5" s="13" t="str">
        <f t="shared" si="1"/>
        <v/>
      </c>
    </row>
    <row r="6" spans="1:9" ht="28.5" customHeight="1">
      <c r="A6" s="10" t="s">
        <v>14</v>
      </c>
      <c r="B6" s="9">
        <v>30</v>
      </c>
      <c r="C6" s="16"/>
      <c r="D6" s="16"/>
      <c r="E6" s="16"/>
      <c r="F6" s="16"/>
      <c r="G6" s="16"/>
      <c r="H6" s="11" t="str">
        <f t="shared" si="0"/>
        <v/>
      </c>
      <c r="I6" s="13" t="str">
        <f t="shared" si="1"/>
        <v/>
      </c>
    </row>
    <row r="7" spans="1:9" ht="27.75" customHeight="1">
      <c r="A7" s="10" t="s">
        <v>15</v>
      </c>
      <c r="B7" s="9">
        <v>25</v>
      </c>
      <c r="C7" s="16"/>
      <c r="D7" s="16"/>
      <c r="E7" s="16"/>
      <c r="F7" s="16"/>
      <c r="G7" s="16"/>
      <c r="H7" s="11" t="str">
        <f t="shared" si="0"/>
        <v/>
      </c>
      <c r="I7" s="13" t="str">
        <f t="shared" si="1"/>
        <v/>
      </c>
    </row>
    <row r="8" spans="1:9" ht="28.5" customHeight="1">
      <c r="A8" s="10" t="s">
        <v>16</v>
      </c>
      <c r="B8" s="9">
        <v>20</v>
      </c>
      <c r="C8" s="16"/>
      <c r="D8" s="16"/>
      <c r="E8" s="16"/>
      <c r="F8" s="16"/>
      <c r="G8" s="16"/>
      <c r="H8" s="11" t="str">
        <f t="shared" si="0"/>
        <v/>
      </c>
      <c r="I8" s="13" t="str">
        <f t="shared" si="1"/>
        <v/>
      </c>
    </row>
    <row r="9" spans="1:9" ht="30" customHeight="1">
      <c r="A9" s="10" t="s">
        <v>17</v>
      </c>
      <c r="B9" s="9">
        <v>20</v>
      </c>
      <c r="C9" s="16"/>
      <c r="D9" s="16"/>
      <c r="E9" s="16"/>
      <c r="F9" s="16"/>
      <c r="G9" s="16"/>
      <c r="H9" s="11" t="str">
        <f t="shared" si="0"/>
        <v/>
      </c>
      <c r="I9" s="13" t="str">
        <f t="shared" si="1"/>
        <v/>
      </c>
    </row>
    <row r="10" spans="1:9" ht="30.75" customHeight="1">
      <c r="A10" s="10" t="s">
        <v>18</v>
      </c>
      <c r="B10" s="9">
        <v>20</v>
      </c>
      <c r="C10" s="16"/>
      <c r="D10" s="16"/>
      <c r="E10" s="16"/>
      <c r="F10" s="16"/>
      <c r="G10" s="16"/>
      <c r="H10" s="11" t="str">
        <f t="shared" si="0"/>
        <v/>
      </c>
      <c r="I10" s="13" t="str">
        <f t="shared" si="1"/>
        <v/>
      </c>
    </row>
    <row r="11" spans="1:9" ht="28.5" customHeight="1">
      <c r="A11" s="10" t="s">
        <v>19</v>
      </c>
      <c r="B11" s="9">
        <v>20</v>
      </c>
      <c r="C11" s="16"/>
      <c r="D11" s="16"/>
      <c r="E11" s="16"/>
      <c r="F11" s="16"/>
      <c r="G11" s="16"/>
      <c r="H11" s="11" t="str">
        <f t="shared" si="0"/>
        <v/>
      </c>
      <c r="I11" s="13" t="str">
        <f t="shared" si="1"/>
        <v/>
      </c>
    </row>
    <row r="12" spans="1:9" ht="30.75" customHeight="1">
      <c r="A12" s="10" t="s">
        <v>20</v>
      </c>
      <c r="B12" s="9">
        <v>15</v>
      </c>
      <c r="C12" s="16"/>
      <c r="D12" s="16"/>
      <c r="E12" s="16"/>
      <c r="F12" s="16"/>
      <c r="G12" s="16"/>
      <c r="H12" s="11" t="str">
        <f t="shared" si="0"/>
        <v/>
      </c>
      <c r="I12" s="13" t="str">
        <f t="shared" si="1"/>
        <v/>
      </c>
    </row>
    <row r="13" spans="1:9" ht="28.5" customHeight="1">
      <c r="A13" s="10" t="s">
        <v>21</v>
      </c>
      <c r="B13" s="9">
        <v>15</v>
      </c>
      <c r="C13" s="16"/>
      <c r="D13" s="16"/>
      <c r="E13" s="16"/>
      <c r="F13" s="16"/>
      <c r="G13" s="16"/>
      <c r="H13" s="11" t="str">
        <f t="shared" si="0"/>
        <v/>
      </c>
      <c r="I13" s="13" t="str">
        <f t="shared" si="1"/>
        <v/>
      </c>
    </row>
    <row r="14" spans="1:9" ht="28.5" customHeight="1">
      <c r="A14" s="10" t="s">
        <v>22</v>
      </c>
      <c r="B14" s="9">
        <v>15</v>
      </c>
      <c r="C14" s="16"/>
      <c r="D14" s="16"/>
      <c r="E14" s="16"/>
      <c r="F14" s="16"/>
      <c r="G14" s="16"/>
      <c r="H14" s="11" t="str">
        <f t="shared" si="0"/>
        <v/>
      </c>
      <c r="I14" s="13" t="str">
        <f t="shared" si="1"/>
        <v/>
      </c>
    </row>
    <row r="15" spans="1:9" ht="28.5" customHeight="1">
      <c r="A15" s="10" t="s">
        <v>23</v>
      </c>
      <c r="B15" s="9">
        <v>10</v>
      </c>
      <c r="C15" s="16"/>
      <c r="D15" s="16"/>
      <c r="E15" s="16"/>
      <c r="F15" s="16"/>
      <c r="G15" s="16"/>
      <c r="H15" s="11" t="str">
        <f t="shared" si="0"/>
        <v/>
      </c>
      <c r="I15" s="13" t="str">
        <f t="shared" si="1"/>
        <v/>
      </c>
    </row>
    <row r="16" spans="1:9" ht="28.5" customHeight="1">
      <c r="A16" s="10" t="s">
        <v>24</v>
      </c>
      <c r="B16" s="9">
        <v>10</v>
      </c>
      <c r="C16" s="16"/>
      <c r="D16" s="16"/>
      <c r="E16" s="16"/>
      <c r="F16" s="16"/>
      <c r="G16" s="17"/>
      <c r="H16" s="11" t="str">
        <f t="shared" si="0"/>
        <v/>
      </c>
      <c r="I16" s="13" t="str">
        <f t="shared" si="1"/>
        <v/>
      </c>
    </row>
    <row r="17" spans="1:9" ht="28.5" customHeight="1">
      <c r="A17" s="18" t="s">
        <v>29</v>
      </c>
      <c r="B17" s="19"/>
      <c r="C17" s="19"/>
      <c r="D17" s="19"/>
      <c r="E17" s="19"/>
      <c r="F17" s="19"/>
      <c r="G17" s="20"/>
      <c r="H17" s="11" t="str">
        <f>IF(SUM(H2:H16)&lt;&gt;0,SUM(H2:H16),"")</f>
        <v/>
      </c>
      <c r="I17" s="13" t="str">
        <f>IF(SUM(I2:I16)&lt;&gt;0,SUM(I2:I16),"")</f>
        <v/>
      </c>
    </row>
    <row r="18" spans="1:9" ht="34.5" customHeight="1">
      <c r="A18" s="3"/>
    </row>
    <row r="19" spans="1:9">
      <c r="A19" s="1" t="s">
        <v>1</v>
      </c>
      <c r="B19" s="1"/>
    </row>
    <row r="20" spans="1:9" ht="15" customHeight="1">
      <c r="A20" s="14" t="s">
        <v>28</v>
      </c>
      <c r="B20" s="1"/>
    </row>
    <row r="21" spans="1:9" ht="21" customHeight="1">
      <c r="A21" s="14"/>
      <c r="B21" s="2"/>
    </row>
    <row r="22" spans="1:9" ht="27" customHeight="1">
      <c r="A22" s="14"/>
      <c r="B22" s="1"/>
    </row>
    <row r="23" spans="1:9">
      <c r="A23" s="15"/>
      <c r="B23" s="1"/>
    </row>
    <row r="24" spans="1:9">
      <c r="A24" s="3"/>
    </row>
    <row r="25" spans="1:9">
      <c r="A25" s="1" t="s">
        <v>8</v>
      </c>
      <c r="B25" s="1"/>
    </row>
    <row r="26" spans="1:9">
      <c r="A26" s="1"/>
      <c r="B26" s="1"/>
    </row>
    <row r="27" spans="1:9">
      <c r="A27" s="1" t="s">
        <v>9</v>
      </c>
      <c r="B27" s="1"/>
    </row>
    <row r="28" spans="1:9">
      <c r="A28" s="1" t="s">
        <v>3</v>
      </c>
      <c r="B28" s="1"/>
    </row>
    <row r="29" spans="1:9">
      <c r="A29" s="1"/>
      <c r="B29" s="1"/>
    </row>
  </sheetData>
  <mergeCells count="2">
    <mergeCell ref="A20:A22"/>
    <mergeCell ref="A17:G17"/>
  </mergeCells>
  <pageMargins left="0.25" right="0.25" top="0.75" bottom="0.75" header="0.3" footer="0.3"/>
  <pageSetup scale="89" orientation="portrait" horizontalDpi="300" verticalDpi="300" r:id="rId1"/>
  <headerFooter>
    <oddHeader>&amp;CPopcorn Tracking Form</oddHeader>
  </headerFooter>
  <rowBreaks count="1" manualBreakCount="1">
    <brk id="33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Tauscha Snyder</dc:creator>
  <cp:lastModifiedBy>Nat Baker</cp:lastModifiedBy>
  <cp:lastPrinted>2013-08-14T21:24:24Z</cp:lastPrinted>
  <dcterms:created xsi:type="dcterms:W3CDTF">2011-08-22T19:28:48Z</dcterms:created>
  <dcterms:modified xsi:type="dcterms:W3CDTF">2013-08-14T21:24:36Z</dcterms:modified>
</cp:coreProperties>
</file>