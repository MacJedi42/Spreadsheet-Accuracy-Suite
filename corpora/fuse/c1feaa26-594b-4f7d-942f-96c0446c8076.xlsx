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ThisWorkbook" showPivotChartFilter="1" defaultThemeVersion="124226"/>
  <bookViews>
    <workbookView xWindow="-345" yWindow="-180" windowWidth="20730" windowHeight="6915"/>
  </bookViews>
  <sheets>
    <sheet name="Metadata_PF_CHN" sheetId="8" r:id="rId1"/>
    <sheet name="PF_CHN_Data" sheetId="1" r:id="rId2"/>
    <sheet name="PF_CHN_QAQC" sheetId="5" r:id="rId3"/>
    <sheet name="Duplicates" sheetId="3" r:id="rId4"/>
    <sheet name="Sites(Do NOT Edit)" sheetId="9" r:id="rId5"/>
  </sheets>
  <definedNames>
    <definedName name="_xlnm._FilterDatabase" localSheetId="4" hidden="1">'Sites(Do NOT Edit)'!$A$2:$N$638</definedName>
    <definedName name="ABSTRACT" localSheetId="0">Metadata_PF_CHN!$A$6</definedName>
    <definedName name="ABSTRACT" localSheetId="4">Metadata_PF_CHN!$A$6</definedName>
    <definedName name="ABSTRACT">#REF!</definedName>
    <definedName name="Address_line_2" localSheetId="0">Metadata_PF_CHN!$A$23</definedName>
    <definedName name="Address_line_2" localSheetId="4">Metadata_PF_CHN!$A$23</definedName>
    <definedName name="Address_line_2">#REF!</definedName>
    <definedName name="Address_line_3" localSheetId="0">Metadata_PF_CHN!$A$24</definedName>
    <definedName name="Address_line_3" localSheetId="4">Metadata_PF_CHN!$A$24</definedName>
    <definedName name="Address_line_3">#REF!</definedName>
    <definedName name="Availability_Status" localSheetId="0">Metadata_PF_CHN!$A$38</definedName>
    <definedName name="Availability_Status" localSheetId="4">Metadata_PF_CHN!$A$38</definedName>
    <definedName name="Availability_Status">#REF!</definedName>
    <definedName name="Beginning_Date" localSheetId="0">Metadata_PF_CHN!$A$34</definedName>
    <definedName name="Beginning_Date" localSheetId="4">Metadata_PF_CHN!$A$34</definedName>
    <definedName name="Beginning_Date">#REF!</definedName>
    <definedName name="City" localSheetId="0">Metadata_PF_CHN!$A$25</definedName>
    <definedName name="City" localSheetId="4">Metadata_PF_CHN!$A$25</definedName>
    <definedName name="City">#REF!</definedName>
    <definedName name="Code_Information" localSheetId="0">Metadata_PF_CHN!$F$172</definedName>
    <definedName name="Code_Information" localSheetId="4">Metadata_PF_CHN!$F$172</definedName>
    <definedName name="Code_Information">#REF!</definedName>
    <definedName name="Country" localSheetId="0">Metadata_PF_CHN!$A$28</definedName>
    <definedName name="Country" localSheetId="4">Metadata_PF_CHN!$A$28</definedName>
    <definedName name="Country">#REF!</definedName>
    <definedName name="DATA_FILE_INFORMATION" localSheetId="0">Metadata_PF_CHN!$A$31</definedName>
    <definedName name="DATA_FILE_INFORMATION" localSheetId="4">Metadata_PF_CHN!$A$31</definedName>
    <definedName name="DATA_FILE_INFORMATION">#REF!</definedName>
    <definedName name="Data_File_Name" localSheetId="0">Metadata_PF_CHN!$A$33</definedName>
    <definedName name="Data_File_Name" localSheetId="4">Metadata_PF_CHN!$A$33</definedName>
    <definedName name="Data_File_Name">#REF!</definedName>
    <definedName name="Data_File_URL" localSheetId="0">Metadata_PF_CHN!$A$32</definedName>
    <definedName name="Data_File_URL" localSheetId="4">Metadata_PF_CHN!$A$32</definedName>
    <definedName name="Data_File_URL">#REF!</definedName>
    <definedName name="Data_Type" localSheetId="0">Metadata_PF_CHN!$C$172</definedName>
    <definedName name="Data_Type" localSheetId="4">Metadata_PF_CHN!$C$172</definedName>
    <definedName name="Data_Type">#REF!</definedName>
    <definedName name="DATASET_ID" localSheetId="0">Metadata_PF_CHN!$A$15</definedName>
    <definedName name="DATASET_ID" localSheetId="4">Metadata_PF_CHN!$A$15</definedName>
    <definedName name="DATASET_ID">#REF!</definedName>
    <definedName name="DATASET_TITLE" localSheetId="0">Metadata_PF_CHN!$A$5</definedName>
    <definedName name="DATASET_TITLE" localSheetId="4">Metadata_PF_CHN!$A$5</definedName>
    <definedName name="DATASET_TITLE">#REF!</definedName>
    <definedName name="DateTime_Format" localSheetId="0">Metadata_PF_CHN!$E$172</definedName>
    <definedName name="DateTime_Format" localSheetId="4">Metadata_PF_CHN!$E$172</definedName>
    <definedName name="DateTime_Format">#REF!</definedName>
    <definedName name="Distribution_URL_for_file" localSheetId="0">Metadata_PF_CHN!$A$4</definedName>
    <definedName name="Distribution_URL_for_file" localSheetId="4">Metadata_PF_CHN!$A$4</definedName>
    <definedName name="Distribution_URL_for_file">#REF!</definedName>
    <definedName name="East_Bounding_Coordinate" localSheetId="0">Metadata_PF_CHN!$A$51</definedName>
    <definedName name="East_Bounding_Coordinate" localSheetId="4">Metadata_PF_CHN!$A$51</definedName>
    <definedName name="East_Bounding_Coordinate">#REF!</definedName>
    <definedName name="Elevation" localSheetId="0">Metadata_PF_CHN!$A$57</definedName>
    <definedName name="Elevation" localSheetId="4">Metadata_PF_CHN!$A$57</definedName>
    <definedName name="Elevation">#REF!</definedName>
    <definedName name="Email" localSheetId="0">Metadata_PF_CHN!$A$19</definedName>
    <definedName name="Email" localSheetId="4">Metadata_PF_CHN!$A$19</definedName>
    <definedName name="Email">#REF!</definedName>
    <definedName name="End_Date" localSheetId="0">Metadata_PF_CHN!$A$35</definedName>
    <definedName name="End_Date" localSheetId="4">Metadata_PF_CHN!$A$35</definedName>
    <definedName name="End_Date">#REF!</definedName>
    <definedName name="First_Name" localSheetId="0">Metadata_PF_CHN!$A$20</definedName>
    <definedName name="First_Name" localSheetId="4">Metadata_PF_CHN!$A$20</definedName>
    <definedName name="First_Name">#REF!</definedName>
    <definedName name="Geographic_Description" localSheetId="0">Metadata_PF_CHN!$A$48</definedName>
    <definedName name="Geographic_Description" localSheetId="4">Metadata_PF_CHN!$A$48</definedName>
    <definedName name="Geographic_Description">#REF!</definedName>
    <definedName name="INVESTIGATOR_INFORMATION" localSheetId="0">Metadata_PF_CHN!$A$17</definedName>
    <definedName name="INVESTIGATOR_INFORMATION" localSheetId="4">Metadata_PF_CHN!$A$17</definedName>
    <definedName name="INVESTIGATOR_INFORMATION">#REF!</definedName>
    <definedName name="KEYWORD_INFORMATION" localSheetId="0">Metadata_PF_CHN!$A$63</definedName>
    <definedName name="KEYWORD_INFORMATION" localSheetId="4">Metadata_PF_CHN!$A$63</definedName>
    <definedName name="KEYWORD_INFORMATION">#REF!</definedName>
    <definedName name="KEYWORDS" localSheetId="0">Metadata_PF_CHN!$A$64</definedName>
    <definedName name="KEYWORDS" localSheetId="4">Metadata_PF_CHN!$A$64</definedName>
    <definedName name="KEYWORDS">#REF!</definedName>
    <definedName name="Last_Name" localSheetId="0">Metadata_PF_CHN!$A$21</definedName>
    <definedName name="Last_Name" localSheetId="4">Metadata_PF_CHN!$A$21</definedName>
    <definedName name="Last_Name">#REF!</definedName>
    <definedName name="Latitude" localSheetId="0">Metadata_PF_CHN!$A$55</definedName>
    <definedName name="Latitude" localSheetId="4">Metadata_PF_CHN!$A$55</definedName>
    <definedName name="Latitude">#REF!</definedName>
    <definedName name="Link_to_Google_Map">Metadata_PF_CHN!$A$58</definedName>
    <definedName name="Location_Bounding_Box" localSheetId="0">Metadata_PF_CHN!$A$49</definedName>
    <definedName name="Location_Bounding_Box" localSheetId="4">Metadata_PF_CHN!$A$49</definedName>
    <definedName name="Location_Bounding_Box">#REF!</definedName>
    <definedName name="Location_Name" localSheetId="0">Metadata_PF_CHN!$A$47</definedName>
    <definedName name="Location_Name" localSheetId="4">Metadata_PF_CHN!$A$47</definedName>
    <definedName name="Location_Name">#REF!</definedName>
    <definedName name="Log_of_Changes" localSheetId="0">Metadata_PF_CHN!$A$41</definedName>
    <definedName name="Log_of_Changes" localSheetId="4">Metadata_PF_CHN!$A$41</definedName>
    <definedName name="Log_of_Changes">#REF!</definedName>
    <definedName name="Longitude" localSheetId="0">Metadata_PF_CHN!$A$56</definedName>
    <definedName name="Longitude" localSheetId="4">Metadata_PF_CHN!$A$56</definedName>
    <definedName name="Longitude">#REF!</definedName>
    <definedName name="LTER_Sites_number">'Sites(Do NOT Edit)'!$A$2:$A$638</definedName>
    <definedName name="Maintenance_Description" localSheetId="0">Metadata_PF_CHN!$A$40</definedName>
    <definedName name="Maintenance_Description" localSheetId="4">Metadata_PF_CHN!$A$40</definedName>
    <definedName name="Maintenance_Description">#REF!</definedName>
    <definedName name="Metacat_Package_ID" localSheetId="0">Metadata_PF_CHN!$A$2</definedName>
    <definedName name="Metacat_Package_ID" localSheetId="4">Metadata_PF_CHN!$A$2</definedName>
    <definedName name="Metacat_Package_ID">#REF!</definedName>
    <definedName name="METHODS" localSheetId="0">Metadata_PF_CHN!$A$67</definedName>
    <definedName name="METHODS" localSheetId="4">Metadata_PF_CHN!$A$67</definedName>
    <definedName name="METHODS">#REF!</definedName>
    <definedName name="Missing_Value_Code" localSheetId="0">Metadata_PF_CHN!$G$172</definedName>
    <definedName name="Missing_Value_Code" localSheetId="4">Metadata_PF_CHN!$G$172</definedName>
    <definedName name="Missing_Value_Code">#REF!</definedName>
    <definedName name="North_Bounding_Coordinate" localSheetId="0">Metadata_PF_CHN!$A$52</definedName>
    <definedName name="North_Bounding_Coordinate" localSheetId="4">Metadata_PF_CHN!$A$52</definedName>
    <definedName name="North_Bounding_Coordinate">#REF!</definedName>
    <definedName name="Number_of_Data_Records" localSheetId="0">Metadata_PF_CHN!$A$36</definedName>
    <definedName name="Number_of_Data_Records" localSheetId="4">Metadata_PF_CHN!$A$36</definedName>
    <definedName name="Number_of_Data_Records">#REF!</definedName>
    <definedName name="OR" localSheetId="0">Metadata_PF_CHN!$A$163</definedName>
    <definedName name="OR" localSheetId="4">Metadata_PF_CHN!$A$163</definedName>
    <definedName name="OR">#REF!</definedName>
    <definedName name="OR_if_single_point_location" localSheetId="0">Metadata_PF_CHN!$A$54</definedName>
    <definedName name="OR_if_single_point_location" localSheetId="4">Metadata_PF_CHN!$A$54</definedName>
    <definedName name="OR_if_single_point_location">#REF!</definedName>
    <definedName name="Organisms_studied" localSheetId="0">Metadata_PF_CHN!$A$61</definedName>
    <definedName name="Organisms_studied" localSheetId="4">Metadata_PF_CHN!$A$61</definedName>
    <definedName name="Organisms_studied">#REF!</definedName>
    <definedName name="Organization" localSheetId="0">Metadata_PF_CHN!$A$22</definedName>
    <definedName name="Organization" localSheetId="4">Metadata_PF_CHN!$A$22</definedName>
    <definedName name="Organization">#REF!</definedName>
    <definedName name="Other_Files_to_Reference" localSheetId="0">Metadata_PF_CHN!$A$37</definedName>
    <definedName name="Other_Files_to_Reference" localSheetId="4">Metadata_PF_CHN!$A$37</definedName>
    <definedName name="Other_Files_to_Reference">#REF!</definedName>
    <definedName name="Protocol_Document" localSheetId="0">Metadata_PF_CHN!$A$164</definedName>
    <definedName name="Protocol_Document" localSheetId="4">Metadata_PF_CHN!$A$164</definedName>
    <definedName name="Protocol_Document">#REF!</definedName>
    <definedName name="Protocol_Title" localSheetId="0">Metadata_PF_CHN!$A$161</definedName>
    <definedName name="Protocol_Title" localSheetId="4">Metadata_PF_CHN!$A$161</definedName>
    <definedName name="Protocol_Title">#REF!</definedName>
    <definedName name="Quality_Control_Information" localSheetId="0">Metadata_PF_CHN!$A$39</definedName>
    <definedName name="Quality_Control_Information" localSheetId="4">Metadata_PF_CHN!$A$39</definedName>
    <definedName name="Quality_Control_Information">#REF!</definedName>
    <definedName name="RESEARCH_LOCATION" localSheetId="0">Metadata_PF_CHN!$A$46</definedName>
    <definedName name="RESEARCH_LOCATION" localSheetId="4">Metadata_PF_CHN!$A$46</definedName>
    <definedName name="RESEARCH_LOCATION">#REF!</definedName>
    <definedName name="Role" localSheetId="0">Metadata_PF_CHN!$A$18</definedName>
    <definedName name="Role" localSheetId="4">Metadata_PF_CHN!$A$18</definedName>
    <definedName name="Role">#REF!</definedName>
    <definedName name="Sampling_and_or_Lab_Protocols" localSheetId="0">Metadata_PF_CHN!$A$160</definedName>
    <definedName name="Sampling_and_or_Lab_Protocols" localSheetId="4">Metadata_PF_CHN!$A$160</definedName>
    <definedName name="Sampling_and_or_Lab_Protocols">#REF!</definedName>
    <definedName name="Site_name">'Sites(Do NOT Edit)'!$B$3:$B$638</definedName>
    <definedName name="Site_name_list">'Sites(Do NOT Edit)'!$B$2:$B$638</definedName>
    <definedName name="Sites">'Sites(Do NOT Edit)'!$A$3:$M$638</definedName>
    <definedName name="South_Bounding_Coordinate" localSheetId="0">Metadata_PF_CHN!$A$53</definedName>
    <definedName name="South_Bounding_Coordinate" localSheetId="4">Metadata_PF_CHN!$A$53</definedName>
    <definedName name="South_Bounding_Coordinate">#REF!</definedName>
    <definedName name="State" localSheetId="0">Metadata_PF_CHN!$A$26</definedName>
    <definedName name="State" localSheetId="4">Metadata_PF_CHN!$A$26</definedName>
    <definedName name="State">#REF!</definedName>
    <definedName name="TAXONOMIC_COVERAGE" localSheetId="0">Metadata_PF_CHN!$A$60</definedName>
    <definedName name="TAXONOMIC_COVERAGE" localSheetId="4">Metadata_PF_CHN!$A$60</definedName>
    <definedName name="TAXONOMIC_COVERAGE">#REF!</definedName>
    <definedName name="Units" localSheetId="0">Metadata_PF_CHN!$D$172</definedName>
    <definedName name="Units" localSheetId="4">Metadata_PF_CHN!$D$172</definedName>
    <definedName name="Units">#REF!</definedName>
    <definedName name="URL_of_online_Protocol" localSheetId="0">Metadata_PF_CHN!$A$162</definedName>
    <definedName name="URL_of_online_Protocol" localSheetId="4">Metadata_PF_CHN!$A$162</definedName>
    <definedName name="URL_of_online_Protocol">#REF!</definedName>
    <definedName name="Variable_Description" localSheetId="0">Metadata_PF_CHN!$B$172</definedName>
    <definedName name="Variable_Description" localSheetId="4">Metadata_PF_CHN!$B$172</definedName>
    <definedName name="Variable_Description">#REF!</definedName>
    <definedName name="VARIABLE_DESCRIPTIONS" localSheetId="0">Metadata_PF_CHN!$A$171</definedName>
    <definedName name="VARIABLE_DESCRIPTIONS" localSheetId="4">Metadata_PF_CHN!$A$171</definedName>
    <definedName name="VARIABLE_DESCRIPTIONS">#REF!</definedName>
    <definedName name="Variable_Name" localSheetId="0">Metadata_PF_CHN!$A$172</definedName>
    <definedName name="Variable_Name" localSheetId="4">Metadata_PF_CHN!$A$172</definedName>
    <definedName name="Variable_Name">#REF!</definedName>
    <definedName name="West_Bounding_Coordinate" localSheetId="0">Metadata_PF_CHN!$A$50</definedName>
    <definedName name="West_Bounding_Coordinate" localSheetId="4">Metadata_PF_CHN!$A$50</definedName>
    <definedName name="West_Bounding_Coordinate">#REF!</definedName>
    <definedName name="Year_Released_to_Public" localSheetId="0">Metadata_PF_CHN!$A$3</definedName>
    <definedName name="Year_Released_to_Public" localSheetId="4">Metadata_PF_CHN!$A$3</definedName>
    <definedName name="Year_Released_to_Public">#REF!</definedName>
    <definedName name="Zip_Code" localSheetId="0">Metadata_PF_CHN!$A$27</definedName>
    <definedName name="Zip_Code" localSheetId="4">Metadata_PF_CHN!$A$27</definedName>
    <definedName name="Zip_Code">#REF!</definedName>
  </definedNames>
  <calcPr calcId="145621"/>
</workbook>
</file>

<file path=xl/calcChain.xml><?xml version="1.0" encoding="utf-8"?>
<calcChain xmlns="http://schemas.openxmlformats.org/spreadsheetml/2006/main">
  <c r="M638" i="9" l="1"/>
  <c r="M637" i="9"/>
  <c r="M636" i="9"/>
  <c r="M635" i="9"/>
  <c r="M634" i="9"/>
  <c r="M633" i="9"/>
  <c r="M632" i="9"/>
  <c r="M631" i="9"/>
  <c r="M630" i="9"/>
  <c r="M629" i="9"/>
  <c r="M628" i="9"/>
  <c r="M627" i="9"/>
  <c r="M626" i="9"/>
  <c r="M625" i="9"/>
  <c r="M624" i="9"/>
  <c r="M623" i="9"/>
  <c r="M622" i="9"/>
  <c r="M621" i="9"/>
  <c r="M620" i="9"/>
  <c r="M619" i="9"/>
  <c r="M618" i="9"/>
  <c r="M617" i="9"/>
  <c r="M616" i="9"/>
  <c r="M615" i="9"/>
  <c r="M614" i="9"/>
  <c r="M613" i="9"/>
  <c r="M612" i="9"/>
  <c r="M611" i="9"/>
  <c r="M610" i="9"/>
  <c r="M609" i="9"/>
  <c r="M608" i="9"/>
  <c r="M607" i="9"/>
  <c r="M606" i="9"/>
  <c r="M605" i="9"/>
  <c r="M604" i="9"/>
  <c r="M603" i="9"/>
  <c r="M602" i="9"/>
  <c r="M601" i="9"/>
  <c r="M600" i="9"/>
  <c r="M599" i="9"/>
  <c r="M598" i="9"/>
  <c r="M597" i="9"/>
  <c r="M596" i="9"/>
  <c r="M595" i="9"/>
  <c r="M594" i="9"/>
  <c r="M593" i="9"/>
  <c r="M592" i="9"/>
  <c r="M591" i="9"/>
  <c r="M590" i="9"/>
  <c r="M589" i="9"/>
  <c r="M588" i="9"/>
  <c r="M587" i="9"/>
  <c r="M586" i="9"/>
  <c r="M585" i="9"/>
  <c r="M584" i="9"/>
  <c r="M583" i="9"/>
  <c r="M582" i="9"/>
  <c r="M581" i="9"/>
  <c r="M580" i="9"/>
  <c r="M579" i="9"/>
  <c r="M578" i="9"/>
  <c r="M577" i="9"/>
  <c r="M576" i="9"/>
  <c r="M575" i="9"/>
  <c r="M574" i="9"/>
  <c r="M573" i="9"/>
  <c r="M572" i="9"/>
  <c r="M571" i="9"/>
  <c r="M570" i="9"/>
  <c r="M569" i="9"/>
  <c r="M568" i="9"/>
  <c r="M567" i="9"/>
  <c r="M566" i="9"/>
  <c r="M565" i="9"/>
  <c r="M564" i="9"/>
  <c r="M563" i="9"/>
  <c r="M562" i="9"/>
  <c r="M561" i="9"/>
  <c r="M560" i="9"/>
  <c r="M559" i="9"/>
  <c r="M558" i="9"/>
  <c r="M557" i="9"/>
  <c r="M556" i="9"/>
  <c r="M555" i="9"/>
  <c r="M554" i="9"/>
  <c r="M553" i="9"/>
  <c r="M552" i="9"/>
  <c r="M551" i="9"/>
  <c r="M550" i="9"/>
  <c r="M549" i="9"/>
  <c r="M548" i="9"/>
  <c r="M547" i="9"/>
  <c r="M546" i="9"/>
  <c r="M545" i="9"/>
  <c r="M544" i="9"/>
  <c r="M543" i="9"/>
  <c r="M542" i="9"/>
  <c r="M541" i="9"/>
  <c r="M540" i="9"/>
  <c r="M539" i="9"/>
  <c r="M538" i="9"/>
  <c r="M537" i="9"/>
  <c r="M536" i="9"/>
  <c r="M535" i="9"/>
  <c r="M534" i="9"/>
  <c r="M533" i="9"/>
  <c r="M532" i="9"/>
  <c r="M531" i="9"/>
  <c r="M530" i="9"/>
  <c r="M529" i="9"/>
  <c r="M528" i="9"/>
  <c r="M527" i="9"/>
  <c r="M526" i="9"/>
  <c r="M525" i="9"/>
  <c r="M524" i="9"/>
  <c r="M523" i="9"/>
  <c r="M522" i="9"/>
  <c r="M521" i="9"/>
  <c r="M520" i="9"/>
  <c r="M519" i="9"/>
  <c r="M518" i="9"/>
  <c r="M517" i="9"/>
  <c r="M516" i="9"/>
  <c r="M515" i="9"/>
  <c r="M514" i="9"/>
  <c r="M513" i="9"/>
  <c r="M512" i="9"/>
  <c r="M511" i="9"/>
  <c r="M510" i="9"/>
  <c r="M509" i="9"/>
  <c r="M508" i="9"/>
  <c r="M507" i="9"/>
  <c r="M506" i="9"/>
  <c r="M505" i="9"/>
  <c r="M504" i="9"/>
  <c r="M503" i="9"/>
  <c r="M502" i="9"/>
  <c r="M501" i="9"/>
  <c r="M500" i="9"/>
  <c r="M499" i="9"/>
  <c r="M498" i="9"/>
  <c r="M497" i="9"/>
  <c r="M496" i="9"/>
  <c r="M495" i="9"/>
  <c r="M494" i="9"/>
  <c r="M493" i="9"/>
  <c r="M492" i="9"/>
  <c r="M491" i="9"/>
  <c r="M490" i="9"/>
  <c r="M489" i="9"/>
  <c r="M488" i="9"/>
  <c r="M487" i="9"/>
  <c r="M486" i="9"/>
  <c r="M485" i="9"/>
  <c r="M484" i="9"/>
  <c r="M483" i="9"/>
  <c r="M482" i="9"/>
  <c r="M481" i="9"/>
  <c r="M480" i="9"/>
  <c r="M479" i="9"/>
  <c r="M478" i="9"/>
  <c r="M477" i="9"/>
  <c r="M476" i="9"/>
  <c r="M475" i="9"/>
  <c r="M474" i="9"/>
  <c r="M473" i="9"/>
  <c r="M472" i="9"/>
  <c r="M471" i="9"/>
  <c r="M470" i="9"/>
  <c r="M469" i="9"/>
  <c r="M468" i="9"/>
  <c r="M467" i="9"/>
  <c r="M466" i="9"/>
  <c r="M465" i="9"/>
  <c r="M464" i="9"/>
  <c r="M463" i="9"/>
  <c r="M462" i="9"/>
  <c r="M461" i="9"/>
  <c r="M460" i="9"/>
  <c r="M459" i="9"/>
  <c r="M458" i="9"/>
  <c r="M457" i="9"/>
  <c r="M456" i="9"/>
  <c r="M455" i="9"/>
  <c r="M454" i="9"/>
  <c r="M453" i="9"/>
  <c r="M452" i="9"/>
  <c r="M451" i="9"/>
  <c r="M450" i="9"/>
  <c r="M449" i="9"/>
  <c r="M448" i="9"/>
  <c r="M447" i="9"/>
  <c r="M446" i="9"/>
  <c r="M445" i="9"/>
  <c r="M444" i="9"/>
  <c r="M443" i="9"/>
  <c r="M442" i="9"/>
  <c r="M441" i="9"/>
  <c r="M440" i="9"/>
  <c r="M439" i="9"/>
  <c r="M438" i="9"/>
  <c r="M437" i="9"/>
  <c r="M436" i="9"/>
  <c r="M435" i="9"/>
  <c r="N434" i="9"/>
  <c r="M434" i="9"/>
  <c r="N433" i="9"/>
  <c r="M433" i="9"/>
  <c r="N432" i="9"/>
  <c r="M432" i="9"/>
  <c r="N431" i="9"/>
  <c r="M431" i="9"/>
  <c r="N430" i="9"/>
  <c r="M430" i="9"/>
  <c r="N429" i="9"/>
  <c r="M429" i="9"/>
  <c r="N428" i="9"/>
  <c r="M428" i="9"/>
  <c r="N427" i="9"/>
  <c r="M427" i="9"/>
  <c r="N426" i="9"/>
  <c r="M426" i="9"/>
  <c r="N425" i="9"/>
  <c r="M425" i="9"/>
  <c r="N424" i="9"/>
  <c r="M424" i="9"/>
  <c r="N423" i="9"/>
  <c r="M423" i="9"/>
  <c r="N422" i="9"/>
  <c r="M422" i="9"/>
  <c r="N421" i="9"/>
  <c r="M421" i="9"/>
  <c r="N420" i="9"/>
  <c r="M420" i="9"/>
  <c r="N419" i="9"/>
  <c r="M419" i="9"/>
  <c r="N418" i="9"/>
  <c r="M418" i="9"/>
  <c r="N417" i="9"/>
  <c r="M417" i="9"/>
  <c r="N416" i="9"/>
  <c r="M416" i="9"/>
  <c r="N415" i="9"/>
  <c r="M415" i="9"/>
  <c r="N414" i="9"/>
  <c r="M414" i="9"/>
  <c r="N413" i="9"/>
  <c r="M413" i="9"/>
  <c r="N412" i="9"/>
  <c r="M412" i="9"/>
  <c r="N411" i="9"/>
  <c r="M411" i="9"/>
  <c r="N410" i="9"/>
  <c r="M410" i="9"/>
  <c r="N409" i="9"/>
  <c r="M409" i="9"/>
  <c r="N408" i="9"/>
  <c r="M408" i="9"/>
  <c r="N407" i="9"/>
  <c r="M407" i="9"/>
  <c r="N406" i="9"/>
  <c r="M406" i="9"/>
  <c r="N405" i="9"/>
  <c r="M405" i="9"/>
  <c r="N404" i="9"/>
  <c r="M404" i="9"/>
  <c r="N403" i="9"/>
  <c r="M403" i="9"/>
  <c r="N402" i="9"/>
  <c r="M402" i="9"/>
  <c r="N401" i="9"/>
  <c r="M401" i="9"/>
  <c r="N400" i="9"/>
  <c r="M400" i="9"/>
  <c r="N399" i="9"/>
  <c r="M399" i="9"/>
  <c r="N398" i="9"/>
  <c r="M398" i="9"/>
  <c r="N397" i="9"/>
  <c r="M397" i="9"/>
  <c r="N396" i="9"/>
  <c r="M396" i="9"/>
  <c r="N395" i="9"/>
  <c r="M395" i="9"/>
  <c r="N394" i="9"/>
  <c r="M394" i="9"/>
  <c r="N393" i="9"/>
  <c r="M393" i="9"/>
  <c r="N392" i="9"/>
  <c r="M392" i="9"/>
  <c r="N391" i="9"/>
  <c r="M391" i="9"/>
  <c r="N390" i="9"/>
  <c r="M390" i="9"/>
  <c r="N389" i="9"/>
  <c r="M389" i="9"/>
  <c r="N388" i="9"/>
  <c r="M388" i="9"/>
  <c r="N387" i="9"/>
  <c r="M387" i="9"/>
  <c r="N386" i="9"/>
  <c r="M386" i="9"/>
  <c r="N385" i="9"/>
  <c r="M385" i="9"/>
  <c r="N384" i="9"/>
  <c r="M384" i="9"/>
  <c r="N383" i="9"/>
  <c r="M383" i="9"/>
  <c r="N382" i="9"/>
  <c r="M382" i="9"/>
  <c r="N381" i="9"/>
  <c r="M381" i="9"/>
  <c r="N380" i="9"/>
  <c r="M380" i="9"/>
  <c r="N379" i="9"/>
  <c r="M379" i="9"/>
  <c r="N378" i="9"/>
  <c r="M378" i="9"/>
  <c r="N377" i="9"/>
  <c r="M377" i="9"/>
  <c r="N376" i="9"/>
  <c r="M376" i="9"/>
  <c r="N375" i="9"/>
  <c r="M375" i="9"/>
  <c r="N374" i="9"/>
  <c r="M374" i="9"/>
  <c r="N373" i="9"/>
  <c r="M373" i="9"/>
  <c r="N372" i="9"/>
  <c r="M372" i="9"/>
  <c r="N371" i="9"/>
  <c r="M371" i="9"/>
  <c r="N370" i="9"/>
  <c r="M370" i="9"/>
  <c r="N369" i="9"/>
  <c r="M369" i="9"/>
  <c r="N368" i="9"/>
  <c r="M368" i="9"/>
  <c r="N367" i="9"/>
  <c r="M367" i="9"/>
  <c r="N366" i="9"/>
  <c r="M366" i="9"/>
  <c r="N365" i="9"/>
  <c r="M365" i="9"/>
  <c r="N364" i="9"/>
  <c r="M364" i="9"/>
  <c r="N363" i="9"/>
  <c r="M363" i="9"/>
  <c r="N362" i="9"/>
  <c r="M362" i="9"/>
  <c r="N361" i="9"/>
  <c r="M361" i="9"/>
  <c r="N360" i="9"/>
  <c r="M360" i="9"/>
  <c r="N359" i="9"/>
  <c r="M359" i="9"/>
  <c r="N358" i="9"/>
  <c r="M358" i="9"/>
  <c r="N357" i="9"/>
  <c r="M357" i="9"/>
  <c r="N356" i="9"/>
  <c r="M356" i="9"/>
  <c r="M355" i="9"/>
  <c r="M354" i="9"/>
  <c r="M353" i="9"/>
  <c r="M352" i="9"/>
  <c r="M351" i="9"/>
  <c r="M350" i="9"/>
  <c r="M349" i="9"/>
  <c r="M348" i="9"/>
  <c r="M347" i="9"/>
  <c r="M346" i="9"/>
  <c r="M345" i="9"/>
  <c r="M344" i="9"/>
  <c r="M343" i="9"/>
  <c r="M342" i="9"/>
  <c r="M341" i="9"/>
  <c r="M340" i="9"/>
  <c r="M339" i="9"/>
  <c r="M338" i="9"/>
  <c r="M337" i="9"/>
  <c r="M336" i="9"/>
  <c r="M335" i="9"/>
  <c r="M334" i="9"/>
  <c r="M333" i="9"/>
  <c r="M332" i="9"/>
  <c r="M331" i="9"/>
  <c r="M330" i="9"/>
  <c r="M329" i="9"/>
  <c r="M328" i="9"/>
  <c r="M327" i="9"/>
  <c r="M326" i="9"/>
  <c r="M325" i="9"/>
  <c r="M324" i="9"/>
  <c r="M323" i="9"/>
  <c r="M322" i="9"/>
  <c r="M321" i="9"/>
  <c r="M320" i="9"/>
  <c r="M319" i="9"/>
  <c r="M318" i="9"/>
  <c r="M317" i="9"/>
  <c r="M316" i="9"/>
  <c r="M315" i="9"/>
  <c r="M314" i="9"/>
  <c r="M313" i="9"/>
  <c r="M312" i="9"/>
  <c r="M311" i="9"/>
  <c r="M310" i="9"/>
  <c r="M309" i="9"/>
  <c r="M308" i="9"/>
  <c r="M307" i="9"/>
  <c r="M306" i="9"/>
  <c r="M305" i="9"/>
  <c r="M304" i="9"/>
  <c r="M303" i="9"/>
  <c r="M302" i="9"/>
  <c r="M301" i="9"/>
  <c r="M300" i="9"/>
  <c r="M299" i="9"/>
  <c r="M298" i="9"/>
  <c r="M297" i="9"/>
  <c r="M296" i="9"/>
  <c r="M295" i="9"/>
  <c r="M294" i="9"/>
  <c r="M293" i="9"/>
  <c r="M292" i="9"/>
  <c r="M291" i="9"/>
  <c r="M290" i="9"/>
  <c r="M289" i="9"/>
  <c r="M288" i="9"/>
  <c r="M287" i="9"/>
  <c r="M286" i="9"/>
  <c r="M285" i="9"/>
  <c r="M284" i="9"/>
  <c r="M283" i="9"/>
  <c r="M282" i="9"/>
  <c r="M281" i="9"/>
  <c r="M280" i="9"/>
  <c r="M279" i="9"/>
  <c r="M278" i="9"/>
  <c r="M277" i="9"/>
  <c r="M276" i="9"/>
  <c r="M275" i="9"/>
  <c r="M274" i="9"/>
  <c r="M273" i="9"/>
  <c r="M272" i="9"/>
  <c r="M271" i="9"/>
  <c r="M270" i="9"/>
  <c r="M269" i="9"/>
  <c r="M268" i="9"/>
  <c r="M267" i="9"/>
  <c r="M266" i="9"/>
  <c r="M265" i="9"/>
  <c r="M264" i="9"/>
  <c r="M263" i="9"/>
  <c r="M262" i="9"/>
  <c r="M261" i="9"/>
  <c r="M260" i="9"/>
  <c r="M259" i="9"/>
  <c r="M258" i="9"/>
  <c r="M257" i="9"/>
  <c r="M256" i="9"/>
  <c r="M255" i="9"/>
  <c r="M254" i="9"/>
  <c r="M253" i="9"/>
  <c r="M252" i="9"/>
  <c r="M251" i="9"/>
  <c r="M250" i="9"/>
  <c r="M249" i="9"/>
  <c r="M248" i="9"/>
  <c r="M247" i="9"/>
  <c r="M246" i="9"/>
  <c r="M245" i="9"/>
  <c r="M244" i="9"/>
  <c r="M243" i="9"/>
  <c r="M242" i="9"/>
  <c r="M241" i="9"/>
  <c r="M240" i="9"/>
  <c r="M239" i="9"/>
  <c r="M238" i="9"/>
  <c r="M237" i="9"/>
  <c r="M236" i="9"/>
  <c r="M235" i="9"/>
  <c r="M234" i="9"/>
  <c r="M233" i="9"/>
  <c r="M232" i="9"/>
  <c r="M231" i="9"/>
  <c r="M230" i="9"/>
  <c r="M229" i="9"/>
  <c r="M228" i="9"/>
  <c r="M227" i="9"/>
  <c r="M226" i="9"/>
  <c r="M225" i="9"/>
  <c r="M224" i="9"/>
  <c r="M223" i="9"/>
  <c r="M222" i="9"/>
  <c r="M221" i="9"/>
  <c r="M220" i="9"/>
  <c r="M219" i="9"/>
  <c r="M218" i="9"/>
  <c r="M217" i="9"/>
  <c r="M216" i="9"/>
  <c r="M215" i="9"/>
  <c r="M214" i="9"/>
  <c r="M213" i="9"/>
  <c r="M212" i="9"/>
  <c r="M211" i="9"/>
  <c r="M210" i="9"/>
  <c r="M209" i="9"/>
  <c r="M208" i="9"/>
  <c r="M207" i="9"/>
  <c r="M206" i="9"/>
  <c r="M205" i="9"/>
  <c r="M204" i="9"/>
  <c r="M203" i="9"/>
  <c r="M202" i="9"/>
  <c r="M201" i="9"/>
  <c r="M200" i="9"/>
  <c r="N199" i="9"/>
  <c r="M199" i="9"/>
  <c r="N198" i="9"/>
  <c r="M198" i="9"/>
  <c r="N197" i="9"/>
  <c r="M197" i="9"/>
  <c r="N196" i="9"/>
  <c r="M196" i="9"/>
  <c r="N195" i="9"/>
  <c r="M195" i="9"/>
  <c r="N194" i="9"/>
  <c r="M194" i="9"/>
  <c r="N193" i="9"/>
  <c r="M193" i="9"/>
  <c r="N192" i="9"/>
  <c r="M192" i="9"/>
  <c r="N191" i="9"/>
  <c r="M191" i="9"/>
  <c r="N190" i="9"/>
  <c r="M190" i="9"/>
  <c r="N189" i="9"/>
  <c r="M189" i="9"/>
  <c r="N188" i="9"/>
  <c r="M188" i="9"/>
  <c r="N187" i="9"/>
  <c r="M187" i="9"/>
  <c r="N186" i="9"/>
  <c r="M186" i="9"/>
  <c r="N185" i="9"/>
  <c r="M185" i="9"/>
  <c r="N184" i="9"/>
  <c r="M184" i="9"/>
  <c r="N183" i="9"/>
  <c r="M183" i="9"/>
  <c r="N182" i="9"/>
  <c r="M182" i="9"/>
  <c r="N181" i="9"/>
  <c r="M181" i="9"/>
  <c r="N180" i="9"/>
  <c r="M180" i="9"/>
  <c r="N179" i="9"/>
  <c r="M179" i="9"/>
  <c r="N178" i="9"/>
  <c r="M178" i="9"/>
  <c r="N177" i="9"/>
  <c r="M177" i="9"/>
  <c r="N176" i="9"/>
  <c r="M176" i="9"/>
  <c r="N175" i="9"/>
  <c r="M175" i="9"/>
  <c r="N174" i="9"/>
  <c r="M174" i="9"/>
  <c r="N173" i="9"/>
  <c r="M173" i="9"/>
  <c r="N172" i="9"/>
  <c r="M172" i="9"/>
  <c r="N171" i="9"/>
  <c r="M171" i="9"/>
  <c r="N170" i="9"/>
  <c r="M170" i="9"/>
  <c r="N169" i="9"/>
  <c r="M169" i="9"/>
  <c r="N168" i="9"/>
  <c r="M168" i="9"/>
  <c r="N167" i="9"/>
  <c r="M167" i="9"/>
  <c r="M166" i="9"/>
  <c r="M165" i="9"/>
  <c r="M164" i="9"/>
  <c r="M163" i="9"/>
  <c r="M162" i="9"/>
  <c r="M161" i="9"/>
  <c r="M160" i="9"/>
  <c r="M159" i="9"/>
  <c r="M158" i="9"/>
  <c r="M157" i="9"/>
  <c r="M156" i="9"/>
  <c r="M155" i="9"/>
  <c r="M154" i="9"/>
  <c r="M153" i="9"/>
  <c r="M152" i="9"/>
  <c r="M151" i="9"/>
  <c r="M150" i="9"/>
  <c r="M149" i="9"/>
  <c r="M148" i="9"/>
  <c r="M147" i="9"/>
  <c r="M146" i="9"/>
  <c r="M145" i="9"/>
  <c r="M144" i="9"/>
  <c r="M143" i="9"/>
  <c r="M142" i="9"/>
  <c r="M141" i="9"/>
  <c r="M140" i="9"/>
  <c r="M139" i="9"/>
  <c r="M138" i="9"/>
  <c r="M137" i="9"/>
  <c r="M136" i="9"/>
  <c r="M135" i="9"/>
  <c r="M134" i="9"/>
  <c r="M133" i="9"/>
  <c r="M132" i="9"/>
  <c r="M131" i="9"/>
  <c r="M130" i="9"/>
  <c r="M129" i="9"/>
  <c r="M128" i="9"/>
  <c r="M127" i="9"/>
  <c r="M126" i="9"/>
  <c r="M125" i="9"/>
  <c r="M124" i="9"/>
  <c r="M123" i="9"/>
  <c r="M122" i="9"/>
  <c r="M121" i="9"/>
  <c r="M120" i="9"/>
  <c r="M119" i="9"/>
  <c r="M118" i="9"/>
  <c r="M117" i="9"/>
  <c r="M116" i="9"/>
  <c r="M115" i="9"/>
  <c r="M114" i="9"/>
  <c r="M113" i="9"/>
  <c r="M112" i="9"/>
  <c r="M111" i="9"/>
  <c r="M110" i="9"/>
  <c r="M109" i="9"/>
  <c r="M108" i="9"/>
  <c r="M107" i="9"/>
  <c r="M106" i="9"/>
  <c r="M105" i="9"/>
  <c r="M104" i="9"/>
  <c r="M103" i="9"/>
  <c r="M102" i="9"/>
  <c r="M101" i="9"/>
  <c r="M100" i="9"/>
  <c r="M99" i="9"/>
  <c r="M98" i="9"/>
  <c r="M97" i="9"/>
  <c r="M96" i="9"/>
  <c r="M95" i="9"/>
  <c r="M94" i="9"/>
  <c r="M93" i="9"/>
  <c r="M92" i="9"/>
  <c r="M91" i="9"/>
  <c r="M90" i="9"/>
  <c r="M89" i="9"/>
  <c r="M88" i="9"/>
  <c r="M87" i="9"/>
  <c r="M86" i="9"/>
  <c r="M85" i="9"/>
  <c r="M84" i="9"/>
  <c r="M83" i="9"/>
  <c r="M82" i="9"/>
  <c r="M81" i="9"/>
  <c r="M80" i="9"/>
  <c r="M79" i="9"/>
  <c r="M78" i="9"/>
  <c r="M77" i="9"/>
  <c r="M76" i="9"/>
  <c r="M75" i="9"/>
  <c r="M74" i="9"/>
  <c r="M73" i="9"/>
  <c r="M72" i="9"/>
  <c r="M71" i="9"/>
  <c r="M70" i="9"/>
  <c r="M69" i="9"/>
  <c r="M68" i="9"/>
  <c r="M67" i="9"/>
  <c r="M66" i="9"/>
  <c r="M65" i="9"/>
  <c r="M64" i="9"/>
  <c r="M63" i="9"/>
  <c r="M62" i="9"/>
  <c r="M61" i="9"/>
  <c r="M60" i="9"/>
  <c r="M59" i="9"/>
  <c r="M58" i="9"/>
  <c r="M57" i="9"/>
  <c r="M56" i="9"/>
  <c r="M55" i="9"/>
  <c r="M54" i="9"/>
  <c r="M53" i="9"/>
  <c r="M52" i="9"/>
  <c r="M51" i="9"/>
  <c r="M50" i="9"/>
  <c r="M49" i="9"/>
  <c r="M48" i="9"/>
  <c r="M47" i="9"/>
  <c r="M46" i="9"/>
  <c r="M45" i="9"/>
  <c r="M44" i="9"/>
  <c r="M43" i="9"/>
  <c r="M42" i="9"/>
  <c r="M41" i="9"/>
  <c r="M40" i="9"/>
  <c r="M39" i="9"/>
  <c r="M38" i="9"/>
  <c r="M37" i="9"/>
  <c r="M36" i="9"/>
  <c r="M35" i="9"/>
  <c r="M34" i="9"/>
  <c r="M33" i="9"/>
  <c r="M32" i="9"/>
  <c r="M31" i="9"/>
  <c r="M30" i="9"/>
  <c r="M29" i="9"/>
  <c r="M28" i="9"/>
  <c r="M27" i="9"/>
  <c r="M26" i="9"/>
  <c r="M25" i="9"/>
  <c r="M24" i="9"/>
  <c r="M23" i="9"/>
  <c r="M22" i="9"/>
  <c r="M21" i="9"/>
  <c r="M20" i="9"/>
  <c r="M19" i="9"/>
  <c r="M18" i="9"/>
  <c r="M17" i="9"/>
  <c r="M16" i="9"/>
  <c r="M15" i="9"/>
  <c r="M14" i="9"/>
  <c r="M13" i="9"/>
  <c r="M12" i="9"/>
  <c r="M11" i="9"/>
  <c r="M10" i="9"/>
  <c r="M9" i="9"/>
  <c r="M8" i="9"/>
  <c r="M7" i="9"/>
  <c r="M6" i="9"/>
  <c r="M5" i="9"/>
  <c r="M4" i="9"/>
  <c r="M3" i="9"/>
  <c r="D48" i="8"/>
  <c r="E48" i="8"/>
  <c r="F48" i="8"/>
  <c r="G48" i="8"/>
  <c r="H48" i="8"/>
  <c r="I48" i="8"/>
  <c r="D55" i="8"/>
  <c r="D58" i="8" s="1"/>
  <c r="E55" i="8"/>
  <c r="E58" i="8" s="1"/>
  <c r="F55" i="8"/>
  <c r="F58" i="8" s="1"/>
  <c r="G55" i="8"/>
  <c r="G58" i="8" s="1"/>
  <c r="H55" i="8"/>
  <c r="H58" i="8" s="1"/>
  <c r="I55" i="8"/>
  <c r="I58" i="8" s="1"/>
  <c r="D56" i="8"/>
  <c r="E56" i="8"/>
  <c r="F56" i="8"/>
  <c r="G56" i="8"/>
  <c r="H56" i="8"/>
  <c r="I56" i="8"/>
  <c r="D57" i="8"/>
  <c r="E57" i="8"/>
  <c r="F57" i="8"/>
  <c r="G57" i="8"/>
  <c r="H57" i="8"/>
  <c r="I57" i="8"/>
  <c r="B58" i="8"/>
  <c r="C58" i="8"/>
</calcChain>
</file>

<file path=xl/comments1.xml><?xml version="1.0" encoding="utf-8"?>
<comments xmlns="http://schemas.openxmlformats.org/spreadsheetml/2006/main">
  <authors>
    <author>J Laundre</author>
    <author>jiml</author>
    <author xml:space="preserve"> Jim Laundre</author>
    <author>James Laundre</author>
    <author>powell</author>
    <author>Jim Laundre</author>
    <author>ruggem</author>
    <author>Field Description</author>
  </authors>
  <commentList>
    <comment ref="A2" authorId="0">
      <text>
        <r>
          <rPr>
            <sz val="8"/>
            <color indexed="81"/>
            <rFont val="Tahoma"/>
            <family val="2"/>
          </rPr>
          <t>A unique number assigned by the Information Manager 
for use with  Metacat server.  You DO NOT need to enter anything.</t>
        </r>
      </text>
    </comment>
    <comment ref="A3" authorId="0">
      <text>
        <r>
          <rPr>
            <sz val="8"/>
            <color indexed="81"/>
            <rFont val="Tahoma"/>
            <family val="2"/>
          </rPr>
          <t>Year of public release of the data. Filled out by the Information Manager.
  You DO NOT need to enter anything.</t>
        </r>
      </text>
    </comment>
    <comment ref="A4" authorId="1">
      <text>
        <r>
          <rPr>
            <b/>
            <sz val="8"/>
            <color indexed="81"/>
            <rFont val="Tahoma"/>
            <family val="2"/>
          </rPr>
          <t xml:space="preserve">This is the URL for the metadata file.  It is filled in by the Information Manager. You DO NOT need to enter anything.
</t>
        </r>
        <r>
          <rPr>
            <sz val="8"/>
            <color indexed="81"/>
            <rFont val="Tahoma"/>
            <family val="2"/>
          </rPr>
          <t xml:space="preserve">
</t>
        </r>
      </text>
    </comment>
    <comment ref="A5" authorId="0">
      <text>
        <r>
          <rPr>
            <b/>
            <sz val="8"/>
            <color indexed="81"/>
            <rFont val="Tahoma"/>
            <family val="2"/>
          </rPr>
          <t>A title for the dataset.  It should be less then 200 characters 
long and should describe the data collected, geographic context, 
research site, and time frame (</t>
        </r>
        <r>
          <rPr>
            <b/>
            <sz val="10"/>
            <color indexed="81"/>
            <rFont val="Tahoma"/>
            <family val="2"/>
          </rPr>
          <t>what, where, and when).</t>
        </r>
        <r>
          <rPr>
            <sz val="8"/>
            <color indexed="81"/>
            <rFont val="Tahoma"/>
            <family val="2"/>
          </rPr>
          <t xml:space="preserve">
For example: Soluble reactive phosphorus, ammonium, and nitrate data from the Kuparuk River, near Toolik Field Station, Alaska, summers 1990-2010.</t>
        </r>
      </text>
    </comment>
    <comment ref="B5" authorId="0">
      <text>
        <r>
          <rPr>
            <b/>
            <sz val="8"/>
            <color indexed="81"/>
            <rFont val="Tahoma"/>
            <family val="2"/>
          </rPr>
          <t>A title for the dataset.  It should be less then 200 characters 
long and should describe the data collected, geographic context, 
research site, and time frame (</t>
        </r>
        <r>
          <rPr>
            <b/>
            <sz val="10"/>
            <color indexed="81"/>
            <rFont val="Tahoma"/>
            <family val="2"/>
          </rPr>
          <t>what, where, and when).</t>
        </r>
        <r>
          <rPr>
            <sz val="8"/>
            <color indexed="81"/>
            <rFont val="Tahoma"/>
            <family val="2"/>
          </rPr>
          <t xml:space="preserve">
For example: Soluble reactive phosphorus, ammonium, and nitrate data from the Kuparuk River, near Toolik Field Station, Alaska, summers 1990-2010.</t>
        </r>
      </text>
    </comment>
    <comment ref="A6" authorId="0">
      <text>
        <r>
          <rPr>
            <b/>
            <sz val="8"/>
            <color indexed="81"/>
            <rFont val="Tahoma"/>
            <family val="2"/>
          </rPr>
          <t xml:space="preserve">Short, accurate explanation of the data set. Be informative since this is
used as the description in the web page index. Double click on the box 
to write or paste the information.  </t>
        </r>
        <r>
          <rPr>
            <sz val="8"/>
            <color indexed="81"/>
            <rFont val="Tahoma"/>
            <family val="2"/>
          </rPr>
          <t xml:space="preserve">
</t>
        </r>
      </text>
    </comment>
    <comment ref="B7" authorId="2">
      <text>
        <r>
          <rPr>
            <b/>
            <sz val="8"/>
            <color indexed="81"/>
            <rFont val="Tahoma"/>
            <family val="2"/>
          </rPr>
          <t xml:space="preserve"> Enter a short, accurate explanation of the dataset in the box below. Be informative since it is used as the description in the web page index. </t>
        </r>
      </text>
    </comment>
    <comment ref="A15" authorId="0">
      <text>
        <r>
          <rPr>
            <sz val="8"/>
            <color indexed="81"/>
            <rFont val="Tahoma"/>
            <family val="2"/>
          </rPr>
          <t xml:space="preserve">The dataset identifier is a unique label for the data set that 
is constructed from the file name without the file extension, 
followed by a version number, e.g. 1998dltlh.01.  If there are 
any changes made to the metadata or data files the version
 number is incremented and a note is added in the </t>
        </r>
        <r>
          <rPr>
            <b/>
            <sz val="8"/>
            <color indexed="81"/>
            <rFont val="Tahoma"/>
            <family val="2"/>
          </rPr>
          <t>Log of Changes</t>
        </r>
        <r>
          <rPr>
            <sz val="8"/>
            <color indexed="81"/>
            <rFont val="Tahoma"/>
            <family val="2"/>
          </rPr>
          <t xml:space="preserve"> section.
</t>
        </r>
      </text>
    </comment>
    <comment ref="B15" authorId="0">
      <text>
        <r>
          <rPr>
            <sz val="8"/>
            <color indexed="81"/>
            <rFont val="Tahoma"/>
            <family val="2"/>
          </rPr>
          <t xml:space="preserve">The dataset identifier is a unique label for the data set that 
is constructed from the file name without the file extension, 
followed by a version number, e.g. 1998dltlh.01.  If there are 
any changes made to the metadata or data files the version
 number is incremented and a note is added in the </t>
        </r>
        <r>
          <rPr>
            <b/>
            <sz val="8"/>
            <color indexed="81"/>
            <rFont val="Tahoma"/>
            <family val="2"/>
          </rPr>
          <t>Log of Changes</t>
        </r>
        <r>
          <rPr>
            <sz val="8"/>
            <color indexed="81"/>
            <rFont val="Tahoma"/>
            <family val="2"/>
          </rPr>
          <t xml:space="preserve"> section.
</t>
        </r>
      </text>
    </comment>
    <comment ref="A17" authorId="3">
      <text>
        <r>
          <rPr>
            <b/>
            <sz val="8"/>
            <color indexed="81"/>
            <rFont val="Tahoma"/>
            <family val="2"/>
          </rPr>
          <t xml:space="preserve">List here the name and address of the  persons associated with the data set.  The Owner role  identifies the person to be contacted for more information.
</t>
        </r>
        <r>
          <rPr>
            <b/>
            <sz val="8"/>
            <color indexed="10"/>
            <rFont val="Tahoma"/>
            <family val="2"/>
          </rPr>
          <t xml:space="preserve">
</t>
        </r>
      </text>
    </comment>
    <comment ref="A31" authorId="3">
      <text>
        <r>
          <rPr>
            <b/>
            <sz val="8"/>
            <color indexed="81"/>
            <rFont val="Tahoma"/>
            <family val="2"/>
          </rPr>
          <t xml:space="preserve">The format of the data file should always be ASCII comma delimited with a .csv extension. The first line of the data file MUST be  a comma delimited list of the variable names. A spreadsheet or database file may also be included, but it must have the first row with the variable names and only data below the names. </t>
        </r>
        <r>
          <rPr>
            <b/>
            <sz val="8"/>
            <color indexed="10"/>
            <rFont val="Tahoma"/>
            <family val="2"/>
          </rPr>
          <t>There can not be any other stray data on the sheet.</t>
        </r>
        <r>
          <rPr>
            <sz val="8"/>
            <color indexed="81"/>
            <rFont val="Tahoma"/>
            <family val="2"/>
          </rPr>
          <t xml:space="preserve">
NOTE: Change in file extension from .data to .csv starting in 2010.</t>
        </r>
      </text>
    </comment>
    <comment ref="A32" authorId="1">
      <text>
        <r>
          <rPr>
            <b/>
            <sz val="8"/>
            <color indexed="81"/>
            <rFont val="Tahoma"/>
            <family val="2"/>
          </rPr>
          <t>The URL for the data file that this metadata describes.  This will be fill in by the Information Manager.  You Do NOT need to fill in.</t>
        </r>
      </text>
    </comment>
    <comment ref="A33" authorId="3">
      <text>
        <r>
          <rPr>
            <b/>
            <sz val="8"/>
            <color indexed="81"/>
            <rFont val="Tahoma"/>
            <family val="2"/>
          </rPr>
          <t xml:space="preserve">File naming convention is as follows: First four characters
 are for the year the data were collected. If the file is a 
multiyear collection then use eight or nine characters to
 indicate the span of years. Next characters are for the 
data type identifier. This can either be a PI's initials or a 
data type code, e.g. a lake code, dl for data logger, etc. 
The next four to ten characters are for briefly describing 
the data file. File extensions are .txt for document files and 
.csv for data files. Please do not create excessively long 
names and do not use spaces in the filename. Note that 
we are no longer limiting the name to eight characters.
</t>
        </r>
      </text>
    </comment>
    <comment ref="B33" authorId="3">
      <text>
        <r>
          <rPr>
            <b/>
            <sz val="8"/>
            <color indexed="81"/>
            <rFont val="Tahoma"/>
            <family val="2"/>
          </rPr>
          <t xml:space="preserve">File naming convention is as follows: First four characters
 are for the year the data were collected. If the file is a 
multiyear collection then use eight or nine characters to
 indicate the span of years. Next characters are for the 
data type identifier. This can either be a PI's initials or a 
data type code, e.g. a lake code, dl for data logger, etc. 
The next four to ten characters are for briefly describing 
the data file. File extensions are .txt for document files and 
.csv for data files. Please do not create excessively long 
names and do not use spaces in the filename. Note that 
we are no longer limiting the name to eight characters.
</t>
        </r>
      </text>
    </comment>
    <comment ref="A34" authorId="3">
      <text>
        <r>
          <rPr>
            <b/>
            <sz val="8"/>
            <color indexed="81"/>
            <rFont val="Tahoma"/>
            <family val="2"/>
          </rPr>
          <t xml:space="preserve"> The date that data collection began for the dataset.</t>
        </r>
      </text>
    </comment>
    <comment ref="B34" authorId="3">
      <text>
        <r>
          <rPr>
            <b/>
            <sz val="8"/>
            <color indexed="81"/>
            <rFont val="Tahoma"/>
            <family val="2"/>
          </rPr>
          <t xml:space="preserve"> The date that data collection began for the dataset.</t>
        </r>
      </text>
    </comment>
    <comment ref="A35" authorId="0">
      <text>
        <r>
          <rPr>
            <b/>
            <sz val="8"/>
            <color indexed="81"/>
            <rFont val="Tahoma"/>
            <family val="2"/>
          </rPr>
          <t>The ending date of data collection.</t>
        </r>
        <r>
          <rPr>
            <sz val="8"/>
            <color indexed="81"/>
            <rFont val="Tahoma"/>
            <family val="2"/>
          </rPr>
          <t xml:space="preserve">
</t>
        </r>
      </text>
    </comment>
    <comment ref="B35" authorId="0">
      <text>
        <r>
          <rPr>
            <b/>
            <sz val="8"/>
            <color indexed="81"/>
            <rFont val="Tahoma"/>
            <family val="2"/>
          </rPr>
          <t>The ending date of data collection.</t>
        </r>
        <r>
          <rPr>
            <sz val="8"/>
            <color indexed="81"/>
            <rFont val="Tahoma"/>
            <family val="2"/>
          </rPr>
          <t xml:space="preserve">
</t>
        </r>
      </text>
    </comment>
    <comment ref="A36" authorId="4">
      <text>
        <r>
          <rPr>
            <b/>
            <sz val="8"/>
            <color indexed="81"/>
            <rFont val="Tahoma"/>
            <family val="2"/>
          </rPr>
          <t xml:space="preserve">Number of Data Records field:
</t>
        </r>
        <r>
          <rPr>
            <sz val="8"/>
            <color indexed="81"/>
            <rFont val="Tahoma"/>
            <family val="2"/>
          </rPr>
          <t>Total number of Data Records found in the dataset.</t>
        </r>
        <r>
          <rPr>
            <sz val="8"/>
            <color indexed="81"/>
            <rFont val="Tahoma"/>
            <family val="2"/>
          </rPr>
          <t xml:space="preserve"> This is typically an integer value.</t>
        </r>
      </text>
    </comment>
    <comment ref="B36" authorId="4">
      <text>
        <r>
          <rPr>
            <b/>
            <sz val="8"/>
            <color indexed="81"/>
            <rFont val="Tahoma"/>
            <family val="2"/>
          </rPr>
          <t xml:space="preserve">Number of Data Records field:
</t>
        </r>
        <r>
          <rPr>
            <sz val="8"/>
            <color indexed="81"/>
            <rFont val="Tahoma"/>
            <family val="2"/>
          </rPr>
          <t>Total number of Data Records found in the dataset.</t>
        </r>
        <r>
          <rPr>
            <sz val="8"/>
            <color indexed="81"/>
            <rFont val="Tahoma"/>
            <family val="2"/>
          </rPr>
          <t xml:space="preserve"> This is typically an integer value.</t>
        </r>
      </text>
    </comment>
    <comment ref="A37" authorId="0">
      <text>
        <r>
          <rPr>
            <b/>
            <sz val="8"/>
            <color indexed="81"/>
            <rFont val="Tahoma"/>
            <family val="2"/>
          </rPr>
          <t>Any other files that are related to this data file. 
If not part of the Arctic LTER database then list full reference to the file.</t>
        </r>
        <r>
          <rPr>
            <sz val="8"/>
            <color indexed="81"/>
            <rFont val="Tahoma"/>
            <family val="2"/>
          </rPr>
          <t xml:space="preserve">
</t>
        </r>
      </text>
    </comment>
    <comment ref="B37" authorId="0">
      <text>
        <r>
          <rPr>
            <b/>
            <sz val="8"/>
            <color indexed="81"/>
            <rFont val="Tahoma"/>
            <family val="2"/>
          </rPr>
          <t>Any other files that are related to this data file. 
If not part of the Arctic LTER database then list full reference to the file.</t>
        </r>
        <r>
          <rPr>
            <sz val="8"/>
            <color indexed="81"/>
            <rFont val="Tahoma"/>
            <family val="2"/>
          </rPr>
          <t xml:space="preserve">
</t>
        </r>
      </text>
    </comment>
    <comment ref="A38" authorId="3">
      <text>
        <r>
          <rPr>
            <b/>
            <sz val="8"/>
            <color indexed="81"/>
            <rFont val="Tahoma"/>
            <family val="2"/>
          </rPr>
          <t xml:space="preserve">Type of Availability Status 
Type 1: data available within 2-3 years with few or no restrictions. 
Type 2: in exceptional cases, data sets are available only with
 permission from the ARC LTER investigator. This status is 
rare and needs written justification.
</t>
        </r>
      </text>
    </comment>
    <comment ref="B38" authorId="3">
      <text>
        <r>
          <rPr>
            <b/>
            <sz val="8"/>
            <color indexed="81"/>
            <rFont val="Tahoma"/>
            <family val="2"/>
          </rPr>
          <t xml:space="preserve">Type of Availability Status 
Type 1: data available within 2-3 years with few or no restrictions. 
Type 2: in exceptional cases, data sets are available only with
 permission from the ARC LTER investigator. This status is 
rare and needs written justification.
</t>
        </r>
      </text>
    </comment>
    <comment ref="A39" authorId="4">
      <text>
        <r>
          <rPr>
            <sz val="8"/>
            <color indexed="81"/>
            <rFont val="Tahoma"/>
            <family val="2"/>
          </rPr>
          <t xml:space="preserve">A description of the Quality Control procedures that relate to the dataset. </t>
        </r>
      </text>
    </comment>
    <comment ref="B39" authorId="4">
      <text>
        <r>
          <rPr>
            <sz val="8"/>
            <color indexed="81"/>
            <rFont val="Tahoma"/>
            <family val="2"/>
          </rPr>
          <t xml:space="preserve">A description of the Quality Control procedures that relate to the dataset. </t>
        </r>
      </text>
    </comment>
    <comment ref="A40" authorId="4">
      <text>
        <r>
          <rPr>
            <sz val="8"/>
            <color indexed="81"/>
            <rFont val="Tahoma"/>
            <family val="2"/>
          </rPr>
          <t xml:space="preserve">A description of the maintenance of this data resource. 
This includes information about the frequency of update, 
and whether there is ongoing data collection. </t>
        </r>
      </text>
    </comment>
    <comment ref="B40" authorId="4">
      <text>
        <r>
          <rPr>
            <sz val="8"/>
            <color indexed="81"/>
            <rFont val="Tahoma"/>
            <family val="2"/>
          </rPr>
          <t xml:space="preserve">A description of the maintenance of this data resource. 
This includes information about the frequency of update, 
and whether there is ongoing data collection. </t>
        </r>
      </text>
    </comment>
    <comment ref="A41" authorId="0">
      <text>
        <r>
          <rPr>
            <sz val="10"/>
            <color indexed="81"/>
            <rFont val="Tahoma"/>
            <family val="2"/>
          </rPr>
          <t xml:space="preserve">The log should list a date and the reason for any changes.  
</t>
        </r>
        <r>
          <rPr>
            <sz val="10"/>
            <color indexed="10"/>
            <rFont val="Tahoma"/>
            <family val="2"/>
          </rPr>
          <t xml:space="preserve">This log should be filled in whenever there is a change in the dataset. </t>
        </r>
        <r>
          <rPr>
            <sz val="10"/>
            <color indexed="81"/>
            <rFont val="Tahoma"/>
            <family val="2"/>
          </rPr>
          <t xml:space="preserve">
Insert more rows when need.</t>
        </r>
      </text>
    </comment>
    <comment ref="B41" authorId="0">
      <text>
        <r>
          <rPr>
            <sz val="10"/>
            <color indexed="81"/>
            <rFont val="Tahoma"/>
            <family val="2"/>
          </rPr>
          <t xml:space="preserve">The log should list a date and the reason for any changes.  
</t>
        </r>
        <r>
          <rPr>
            <sz val="10"/>
            <color indexed="10"/>
            <rFont val="Tahoma"/>
            <family val="2"/>
          </rPr>
          <t xml:space="preserve">This log should be filled in whenever there is a change in the dataset. </t>
        </r>
        <r>
          <rPr>
            <sz val="10"/>
            <color indexed="81"/>
            <rFont val="Tahoma"/>
            <family val="2"/>
          </rPr>
          <t xml:space="preserve">
Insert more rows when need.</t>
        </r>
      </text>
    </comment>
    <comment ref="A46" authorId="3">
      <text>
        <r>
          <rPr>
            <b/>
            <sz val="8"/>
            <color indexed="81"/>
            <rFont val="Tahoma"/>
            <family val="2"/>
          </rPr>
          <t xml:space="preserve">The name of the sampling location or site number (from the official ARC 
LTER site list),  a description, latitude and longitude if you have it. 
Remember to include not only the name, but, when necessary, details 
and descriptions of the sampling location. Examples would be: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
If the location is best described by a bounding box then enter the coordinates in decimal 
degrees below.  If the location is known by a single latitude and longitude 
then enter the coordinates in the latitude and longitude cells below.
</t>
        </r>
      </text>
    </comment>
    <comment ref="A47" authorId="3">
      <text>
        <r>
          <rPr>
            <b/>
            <sz val="8"/>
            <color indexed="81"/>
            <rFont val="Tahoma"/>
            <family val="2"/>
          </rPr>
          <t xml:space="preserve">The name of the sampling location or site number (from the official ARC 
LTER site list).  If the site is not in the Arctic LTER site list then enter a 
new name. The description, latitude and longitude should also be filled in.  
If the location is best described by a bounding box  enter the coordinates in  below.  If the location is known by a single latitude and longitude 
then enter the coordinates in the latitude and longitude cells below. ALL in </t>
        </r>
        <r>
          <rPr>
            <b/>
            <sz val="8"/>
            <color indexed="39"/>
            <rFont val="Tahoma"/>
            <family val="2"/>
          </rPr>
          <t>decimal 
degrees.</t>
        </r>
        <r>
          <rPr>
            <b/>
            <sz val="8"/>
            <color indexed="81"/>
            <rFont val="Tahoma"/>
            <family val="2"/>
          </rPr>
          <t xml:space="preserve">
</t>
        </r>
      </text>
    </comment>
    <comment ref="B47" authorId="1">
      <text>
        <r>
          <rPr>
            <b/>
            <sz val="9"/>
            <color indexed="81"/>
            <rFont val="Tahoma"/>
            <family val="2"/>
          </rPr>
          <t xml:space="preserve">The name of the sampling location or site number (from the official ARC LTER site list) see the "ARC LTER sites" worksheet Or enter a new site here.
</t>
        </r>
      </text>
    </comment>
    <comment ref="A48"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B48"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C48"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D48"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E48"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F48"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G48"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H48"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I48"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A50"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B50"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C50"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D50"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E50"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F50"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G50"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H50"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A51"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B51"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C51"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D51"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E51"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F51"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G51"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H51"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A52"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B52"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C52"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D52"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E52"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F52"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G52"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H52"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A53"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B53"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C53"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D53"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E53"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F53"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G53"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H53"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A55" authorId="4">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B55" authorId="4">
      <text>
        <r>
          <rPr>
            <sz val="8"/>
            <color indexed="81"/>
            <rFont val="Tahoma"/>
            <family val="2"/>
          </rPr>
          <t xml:space="preserve">This field is </t>
        </r>
        <r>
          <rPr>
            <sz val="8"/>
            <color indexed="10"/>
            <rFont val="Tahoma"/>
            <family val="2"/>
          </rPr>
          <t xml:space="preserve">REQURIED: </t>
        </r>
        <r>
          <rPr>
            <sz val="8"/>
            <color indexed="81"/>
            <rFont val="Tahoma"/>
            <family val="2"/>
          </rPr>
          <t>The name of the sampling location, latitude and longitude and datum if you have it. Include not only the name, but details and descriptions of the sampling location. 
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C55" authorId="4">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D55" authorId="4">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E55" authorId="4">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F55" authorId="4">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G55" authorId="4">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H55" authorId="4">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A56" authorId="4">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B56" authorId="4">
      <text>
        <r>
          <rPr>
            <sz val="8"/>
            <color indexed="81"/>
            <rFont val="Tahoma"/>
            <family val="2"/>
          </rPr>
          <t xml:space="preserve">This field is </t>
        </r>
        <r>
          <rPr>
            <sz val="8"/>
            <color indexed="10"/>
            <rFont val="Tahoma"/>
            <family val="2"/>
          </rPr>
          <t xml:space="preserve">REQURIED: </t>
        </r>
        <r>
          <rPr>
            <sz val="8"/>
            <color indexed="81"/>
            <rFont val="Tahoma"/>
            <family val="2"/>
          </rPr>
          <t>The name of the sampling location, latitude and longitude and datum if you have it. Include not only the name, but details and descriptions of the sampling location. 
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C56" authorId="4">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D56" authorId="4">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E56" authorId="4">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F56" authorId="4">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G56" authorId="4">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H56" authorId="4">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B57" authorId="4">
      <text>
        <r>
          <rPr>
            <sz val="8"/>
            <color indexed="81"/>
            <rFont val="Tahoma"/>
            <family val="2"/>
          </rPr>
          <t xml:space="preserve">This field is </t>
        </r>
        <r>
          <rPr>
            <sz val="8"/>
            <color indexed="10"/>
            <rFont val="Tahoma"/>
            <family val="2"/>
          </rPr>
          <t xml:space="preserve">REQURIED: </t>
        </r>
        <r>
          <rPr>
            <sz val="8"/>
            <color indexed="81"/>
            <rFont val="Tahoma"/>
            <family val="2"/>
          </rPr>
          <t>The name of the sampling location, latitude and longitude and datum if you have it. Include not only the name, but details and descriptions of the sampling location. 
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A58" authorId="1">
      <text>
        <r>
          <rPr>
            <b/>
            <sz val="9"/>
            <color indexed="81"/>
            <rFont val="Tahoma"/>
            <family val="2"/>
          </rPr>
          <t>This link is generated by a formula using the lat long.  It's a way oc checking the values entered.</t>
        </r>
      </text>
    </comment>
    <comment ref="A61" authorId="5">
      <text>
        <r>
          <rPr>
            <b/>
            <sz val="8"/>
            <color indexed="81"/>
            <rFont val="Tahoma"/>
            <family val="2"/>
          </rPr>
          <t xml:space="preserve">Genus and /or species names for all organisms relevant to the study.
Separate the organisms with a semicolon or comma. For subspecies and variety use ssp. and var. For example  </t>
        </r>
        <r>
          <rPr>
            <sz val="8"/>
            <color indexed="81"/>
            <rFont val="Tahoma"/>
            <family val="2"/>
          </rPr>
          <t xml:space="preserve">
 Carex aquatilis var. aquatilis; Carex atlantica ssp. atlantica 
</t>
        </r>
        <r>
          <rPr>
            <sz val="8"/>
            <color indexed="10"/>
            <rFont val="Tahoma"/>
            <family val="2"/>
          </rPr>
          <t>Note:  It is good practice to check the taxonomic name with a source such as Integrated Taxonomic Information System (www.itis.gov)</t>
        </r>
      </text>
    </comment>
    <comment ref="B61" authorId="5">
      <text>
        <r>
          <rPr>
            <b/>
            <sz val="8"/>
            <color indexed="81"/>
            <rFont val="Tahoma"/>
            <family val="2"/>
          </rPr>
          <t xml:space="preserve">Genus and /or species names for all organisms relevant to the study.
Separate the organisms with a semicolon or comma. For subspecies and variety use ssp. and var. For example  </t>
        </r>
        <r>
          <rPr>
            <sz val="8"/>
            <color indexed="81"/>
            <rFont val="Tahoma"/>
            <family val="2"/>
          </rPr>
          <t xml:space="preserve">
 Carex aquatilis var. aquatilis; Carex atlantica ssp. atlantica 
</t>
        </r>
        <r>
          <rPr>
            <sz val="8"/>
            <color indexed="10"/>
            <rFont val="Tahoma"/>
            <family val="2"/>
          </rPr>
          <t>Note:  It is good practice to check the taxonomic name with a source such as Integrated Taxonomic Information System (www.itis.gov)</t>
        </r>
      </text>
    </comment>
    <comment ref="A64" authorId="3">
      <text>
        <r>
          <rPr>
            <b/>
            <sz val="8"/>
            <color indexed="81"/>
            <rFont val="Tahoma"/>
            <family val="2"/>
          </rPr>
          <t xml:space="preserve">Words that may be helpful in cross-referencing or cataloging the data. 
These should be in lower case format, unless the word is a proper name.  
</t>
        </r>
        <r>
          <rPr>
            <b/>
            <sz val="8"/>
            <color indexed="10"/>
            <rFont val="Tahoma"/>
            <family val="2"/>
          </rPr>
          <t xml:space="preserve">Please separated keywords by a semicolon or comma. 
</t>
        </r>
      </text>
    </comment>
    <comment ref="B64" authorId="3">
      <text>
        <r>
          <rPr>
            <b/>
            <sz val="8"/>
            <color indexed="81"/>
            <rFont val="Tahoma"/>
            <family val="2"/>
          </rPr>
          <t xml:space="preserve">Words that may be helpful in cross-referencing or cataloging the data. 
These should be in lower case format, unless the word is a proper name.  
</t>
        </r>
        <r>
          <rPr>
            <b/>
            <sz val="8"/>
            <color indexed="10"/>
            <rFont val="Tahoma"/>
            <family val="2"/>
          </rPr>
          <t xml:space="preserve">Please separated keywords by a semicolon or comma. 
</t>
        </r>
      </text>
    </comment>
    <comment ref="A67" authorId="3">
      <text>
        <r>
          <rPr>
            <b/>
            <sz val="8"/>
            <color indexed="81"/>
            <rFont val="Tahoma"/>
            <family val="2"/>
          </rPr>
          <t xml:space="preserve">The description of methods and research site should be fairly detailed and 
include any literature references (including author, title, journal and page 
numbers) pertaining to the methods. 
Include a Notes: section if appropriate.  Click on the box and paste or type 
the needed information. </t>
        </r>
      </text>
    </comment>
    <comment ref="A161" authorId="5">
      <text>
        <r>
          <rPr>
            <b/>
            <sz val="8"/>
            <color indexed="81"/>
            <rFont val="Tahoma"/>
            <family val="2"/>
          </rPr>
          <t>Enter a title of the protocols used. 
Then enter below the URL for online protocol documents or enter the protocol  document in the textbox . 
Be as complete as possible  including the version used.  
Note any deviation from the protocols in the methods section.</t>
        </r>
      </text>
    </comment>
    <comment ref="A162" authorId="0">
      <text>
        <r>
          <rPr>
            <b/>
            <sz val="8"/>
            <color indexed="81"/>
            <rFont val="Tahoma"/>
            <family val="2"/>
          </rPr>
          <t>List the URL to an online protocol document.</t>
        </r>
      </text>
    </comment>
    <comment ref="A164" authorId="0">
      <text>
        <r>
          <rPr>
            <b/>
            <sz val="8"/>
            <color indexed="81"/>
            <rFont val="Tahoma"/>
            <family val="2"/>
          </rPr>
          <t>Describe the protocol used. Be as complete as possible.  Include any references and deviations used from references.</t>
        </r>
      </text>
    </comment>
    <comment ref="A171" authorId="3">
      <text>
        <r>
          <rPr>
            <b/>
            <sz val="8"/>
            <color indexed="81"/>
            <rFont val="Tahoma"/>
            <family val="2"/>
          </rPr>
          <t>This section describes the variables in the data set. Please be as complete as necessary.</t>
        </r>
      </text>
    </comment>
    <comment ref="A172" authorId="3">
      <text>
        <r>
          <rPr>
            <sz val="8"/>
            <color indexed="81"/>
            <rFont val="Tahoma"/>
            <family val="2"/>
          </rPr>
          <t xml:space="preserve">   Add rows as needed with a separated row for each variable name. The variables </t>
        </r>
        <r>
          <rPr>
            <sz val="8"/>
            <color indexed="10"/>
            <rFont val="Tahoma"/>
            <family val="2"/>
          </rPr>
          <t>Date</t>
        </r>
        <r>
          <rPr>
            <sz val="8"/>
            <color indexed="81"/>
            <rFont val="Tahoma"/>
            <family val="2"/>
          </rPr>
          <t xml:space="preserve"> and </t>
        </r>
        <r>
          <rPr>
            <sz val="8"/>
            <color indexed="10"/>
            <rFont val="Tahoma"/>
            <family val="2"/>
          </rPr>
          <t>Comments</t>
        </r>
        <r>
          <rPr>
            <sz val="8"/>
            <color indexed="81"/>
            <rFont val="Tahoma"/>
            <family val="2"/>
          </rPr>
          <t xml:space="preserve"> must be
 included in every data file.
    </t>
        </r>
        <r>
          <rPr>
            <sz val="8"/>
            <color indexed="10"/>
            <rFont val="Tahoma"/>
            <family val="2"/>
          </rPr>
          <t>Date</t>
        </r>
        <r>
          <rPr>
            <sz val="8"/>
            <color indexed="81"/>
            <rFont val="Tahoma"/>
            <family val="2"/>
          </rPr>
          <t xml:space="preserve"> should be in the format DD-MMM-YYYY (i.e. 01-Jun-1988). This format avoids confusion between Canadian 
and USA forms of dates.  
    Comments must be the last column in the file, and includes any additional information about individual data points. 
All Comments for a data point must be entered on a single line, which can be no longer than 250 characters. </t>
        </r>
        <r>
          <rPr>
            <sz val="8"/>
            <color indexed="81"/>
            <rFont val="Tahoma"/>
            <family val="2"/>
          </rPr>
          <t xml:space="preserve">
     The variable </t>
        </r>
        <r>
          <rPr>
            <sz val="8"/>
            <color indexed="10"/>
            <rFont val="Tahoma"/>
            <family val="2"/>
          </rPr>
          <t>Site</t>
        </r>
        <r>
          <rPr>
            <sz val="8"/>
            <color indexed="81"/>
            <rFont val="Tahoma"/>
            <family val="2"/>
          </rPr>
          <t xml:space="preserve">, a numerical 3-digit code, should be taken from the Site Name Code List (code for streams, code 
for lakes, code for terrestrial/landwater). If you have a new site that is not on the list, do not code it yourself; ask the 
data manager to add it to the master list. The variable D/D (for depth/distance) must be included in every aquatic file, 
as it corresponds to the depth in a lake or the distance along a river from which a sample was taken. For those working 
on the Kuparuk River, D/D needs to be relative to the 1984 phosphorous dripper, and Oksrukuyik Creek should be relative 
to the 0.0 K dripper site set in 1989. 
     Variables for time in Hours are to be in 24 hour format (not AM or PM) and based on Alaska Standard Time, not Alaska 
Daylight Savings Time. Entries should be 4 places, hours and minutes, without any punctuation (examples 0458 or 2133).
Individual PIs need to be responsible for making these time corrections.
   Missing data shall be designated by a Missing Data Value. The value used should be noted , i.e. BLANK, period, N/A. 
The value -9999 should be used with caution since it can be a real value in rare cases. </t>
        </r>
      </text>
    </comment>
    <comment ref="B172" authorId="3">
      <text>
        <r>
          <rPr>
            <b/>
            <sz val="8"/>
            <color indexed="81"/>
            <rFont val="Tahoma"/>
            <family val="2"/>
          </rPr>
          <t>Variable Description is an explanation of what the Variable represents. 
Include details about the units, e.g. microgram of NH4-N per gram of oven dried soil.</t>
        </r>
      </text>
    </comment>
    <comment ref="C172" authorId="2">
      <text>
        <r>
          <rPr>
            <b/>
            <sz val="8"/>
            <color indexed="81"/>
            <rFont val="Tahoma"/>
            <family val="2"/>
          </rPr>
          <t xml:space="preserve"> Please select from the drop-down list. 
For </t>
        </r>
        <r>
          <rPr>
            <b/>
            <sz val="8"/>
            <color indexed="10"/>
            <rFont val="Tahoma"/>
            <family val="2"/>
          </rPr>
          <t>Number</t>
        </r>
        <r>
          <rPr>
            <b/>
            <sz val="8"/>
            <color indexed="81"/>
            <rFont val="Tahoma"/>
            <family val="2"/>
          </rPr>
          <t xml:space="preserve"> type remember to enter a unit.
And for </t>
        </r>
        <r>
          <rPr>
            <b/>
            <sz val="8"/>
            <color indexed="10"/>
            <rFont val="Tahoma"/>
            <family val="2"/>
          </rPr>
          <t>DateTime</t>
        </r>
        <r>
          <rPr>
            <b/>
            <sz val="8"/>
            <color indexed="81"/>
            <rFont val="Tahoma"/>
            <family val="2"/>
          </rPr>
          <t xml:space="preserve"> enter a Datetime format.</t>
        </r>
        <r>
          <rPr>
            <sz val="8"/>
            <color indexed="81"/>
            <rFont val="Tahoma"/>
            <family val="2"/>
          </rPr>
          <t xml:space="preserve">
</t>
        </r>
      </text>
    </comment>
    <comment ref="D172" authorId="4">
      <text>
        <r>
          <rPr>
            <b/>
            <sz val="8"/>
            <color indexed="81"/>
            <rFont val="Tahoma"/>
            <family val="2"/>
          </rPr>
          <t xml:space="preserve">Units field:  </t>
        </r>
        <r>
          <rPr>
            <b/>
            <sz val="8"/>
            <color indexed="10"/>
            <rFont val="Tahoma"/>
            <family val="2"/>
          </rPr>
          <t xml:space="preserve">If variable is a number use drop-down list to choose a unit.  
If it's not listed then enter the unit using a format similar to other units.  
For DataTime or Text leave blank.
</t>
        </r>
      </text>
    </comment>
    <comment ref="E172" authorId="6">
      <text>
        <r>
          <rPr>
            <b/>
            <sz val="8"/>
            <color indexed="81"/>
            <rFont val="Tahoma"/>
            <family val="2"/>
          </rPr>
          <t xml:space="preserve">Date Time format field: </t>
        </r>
        <r>
          <rPr>
            <sz val="8"/>
            <color indexed="81"/>
            <rFont val="Tahoma"/>
            <family val="2"/>
          </rPr>
          <t>Enter the datetime format 
(ex. DDMMMYYYY for 12Mar2002) for variables that are dates and or time.</t>
        </r>
      </text>
    </comment>
    <comment ref="F172" authorId="7">
      <text>
        <r>
          <rPr>
            <b/>
            <sz val="8"/>
            <color indexed="81"/>
            <rFont val="Tahoma"/>
            <family val="2"/>
          </rPr>
          <t xml:space="preserve">Codes Definitions:
</t>
        </r>
        <r>
          <rPr>
            <sz val="8"/>
            <color indexed="81"/>
            <rFont val="Tahoma"/>
            <family val="2"/>
          </rPr>
          <t>For any variables that are coded, list the values/definitions 
for codes used. Format the list as a vertical-line separated list, e.g.:
MAT=Moist Acidic Tussock | MNT = Moist Non-acidic Tussock.</t>
        </r>
        <r>
          <rPr>
            <sz val="8"/>
            <color indexed="81"/>
            <rFont val="Tahoma"/>
            <family val="2"/>
          </rPr>
          <t xml:space="preserve">
</t>
        </r>
      </text>
    </comment>
    <comment ref="G172" authorId="0">
      <text>
        <r>
          <rPr>
            <b/>
            <sz val="8"/>
            <color indexed="81"/>
            <rFont val="Tahoma"/>
            <family val="2"/>
          </rPr>
          <t>Indicate the code used for missing valuesused code=reason for missing , e.g. or -99999=not measured
If more then one code separate the codes with a | bar,e.g.  -9999=missing  | -7777=not measured</t>
        </r>
      </text>
    </comment>
    <comment ref="A173" authorId="3">
      <text>
        <r>
          <rPr>
            <sz val="8"/>
            <color indexed="81"/>
            <rFont val="Tahoma"/>
            <family val="2"/>
          </rPr>
          <t xml:space="preserve">   Add rows as needed with a separated row for each variable name. The variables </t>
        </r>
        <r>
          <rPr>
            <sz val="8"/>
            <color indexed="10"/>
            <rFont val="Tahoma"/>
            <family val="2"/>
          </rPr>
          <t>Date</t>
        </r>
        <r>
          <rPr>
            <sz val="8"/>
            <color indexed="81"/>
            <rFont val="Tahoma"/>
            <family val="2"/>
          </rPr>
          <t xml:space="preserve"> and </t>
        </r>
        <r>
          <rPr>
            <sz val="8"/>
            <color indexed="10"/>
            <rFont val="Tahoma"/>
            <family val="2"/>
          </rPr>
          <t>Comments</t>
        </r>
        <r>
          <rPr>
            <sz val="8"/>
            <color indexed="81"/>
            <rFont val="Tahoma"/>
            <family val="2"/>
          </rPr>
          <t xml:space="preserve"> must be
 included in every data file.
    </t>
        </r>
        <r>
          <rPr>
            <sz val="8"/>
            <color indexed="10"/>
            <rFont val="Tahoma"/>
            <family val="2"/>
          </rPr>
          <t>Date</t>
        </r>
        <r>
          <rPr>
            <sz val="8"/>
            <color indexed="81"/>
            <rFont val="Tahoma"/>
            <family val="2"/>
          </rPr>
          <t xml:space="preserve"> should be in the format DD-MMM-YYYY (i.e. 01-Jun-1988). This format avoids confusion between Canadian 
and USA forms of dates.  
    Comments must be the last column in the file, and includes any additional information about individual data points. 
All Comments for a data point must be entered on a single line, which can be no longer than 250 characters. </t>
        </r>
        <r>
          <rPr>
            <sz val="8"/>
            <color indexed="81"/>
            <rFont val="Tahoma"/>
            <family val="2"/>
          </rPr>
          <t xml:space="preserve">
     The variable </t>
        </r>
        <r>
          <rPr>
            <sz val="8"/>
            <color indexed="10"/>
            <rFont val="Tahoma"/>
            <family val="2"/>
          </rPr>
          <t>Site</t>
        </r>
        <r>
          <rPr>
            <sz val="8"/>
            <color indexed="81"/>
            <rFont val="Tahoma"/>
            <family val="2"/>
          </rPr>
          <t xml:space="preserve">, a numerical 3-digit code, should be taken from the Site Name Code List (code for streams, code 
for lakes, code for terrestrial/landwater). If you have a new site that is not on the list, do not code it yourself; ask the 
data manager to add it to the master list. The variable D/D (for depth/distance) must be included in every aquatic file, 
as it corresponds to the depth in a lake or the distance along a river from which a sample was taken. For those working 
on the Kuparuk River, D/D needs to be relative to the 1984 phosphorous dripper, and Oksrukuyik Creek should be relative 
to the 0.0 K dripper site set in 1989. 
     Variables for time in Hours are to be in 24 hour format (not AM or PM) and based on Alaska Standard Time, not Alaska 
Daylight Savings Time. Entries should be 4 places, hours and minutes, without any punctuation (examples 0458 or 2133).
Individual PIs need to be responsible for making these time corrections.
   Missing data shall be designated by a Missing Data Value. The value used should be noted , i.e. BLANK, period, N/A. 
The value -9999 should be used with caution since it can be a real value in rare cases. </t>
        </r>
      </text>
    </comment>
    <comment ref="B173" authorId="3">
      <text>
        <r>
          <rPr>
            <b/>
            <sz val="8"/>
            <color indexed="81"/>
            <rFont val="Tahoma"/>
            <family val="2"/>
          </rPr>
          <t>Variable Description is an explanation of what the Variable represents. 
Include details about the units, e.g. microgram of NH4-N per gram of oven dried soil.</t>
        </r>
      </text>
    </comment>
    <comment ref="C173" authorId="2">
      <text>
        <r>
          <rPr>
            <b/>
            <sz val="8"/>
            <color indexed="81"/>
            <rFont val="Tahoma"/>
            <family val="2"/>
          </rPr>
          <t xml:space="preserve"> Please select from the drop-down list. 
For </t>
        </r>
        <r>
          <rPr>
            <b/>
            <sz val="8"/>
            <color indexed="10"/>
            <rFont val="Tahoma"/>
            <family val="2"/>
          </rPr>
          <t>Number</t>
        </r>
        <r>
          <rPr>
            <b/>
            <sz val="8"/>
            <color indexed="81"/>
            <rFont val="Tahoma"/>
            <family val="2"/>
          </rPr>
          <t xml:space="preserve"> type remember to enter a unit.
And for </t>
        </r>
        <r>
          <rPr>
            <b/>
            <sz val="8"/>
            <color indexed="10"/>
            <rFont val="Tahoma"/>
            <family val="2"/>
          </rPr>
          <t>DateTime</t>
        </r>
        <r>
          <rPr>
            <b/>
            <sz val="8"/>
            <color indexed="81"/>
            <rFont val="Tahoma"/>
            <family val="2"/>
          </rPr>
          <t xml:space="preserve"> enter a Datetime format.</t>
        </r>
        <r>
          <rPr>
            <sz val="8"/>
            <color indexed="81"/>
            <rFont val="Tahoma"/>
            <family val="2"/>
          </rPr>
          <t xml:space="preserve">
</t>
        </r>
      </text>
    </comment>
    <comment ref="D173" authorId="4">
      <text>
        <r>
          <rPr>
            <b/>
            <sz val="8"/>
            <color indexed="81"/>
            <rFont val="Tahoma"/>
            <family val="2"/>
          </rPr>
          <t xml:space="preserve">Units field:  </t>
        </r>
        <r>
          <rPr>
            <b/>
            <sz val="8"/>
            <color indexed="10"/>
            <rFont val="Tahoma"/>
            <family val="2"/>
          </rPr>
          <t xml:space="preserve">If variable is a number use drop-down list to choose a unit.  
If it's not listed then enter the unit using a format similar to other units.  
For DataTime or Text leave blank.
</t>
        </r>
      </text>
    </comment>
    <comment ref="E173" authorId="6">
      <text>
        <r>
          <rPr>
            <b/>
            <sz val="8"/>
            <color indexed="81"/>
            <rFont val="Tahoma"/>
            <family val="2"/>
          </rPr>
          <t xml:space="preserve">Date Time format field: </t>
        </r>
        <r>
          <rPr>
            <sz val="8"/>
            <color indexed="81"/>
            <rFont val="Tahoma"/>
            <family val="2"/>
          </rPr>
          <t>Enter the datetime format 
(ex. DD-MMM-YY) for variables that are dates and or time.</t>
        </r>
      </text>
    </comment>
    <comment ref="F173" authorId="7">
      <text>
        <r>
          <rPr>
            <b/>
            <sz val="8"/>
            <color indexed="81"/>
            <rFont val="Tahoma"/>
            <family val="2"/>
          </rPr>
          <t xml:space="preserve">Codes Definitions:
</t>
        </r>
        <r>
          <rPr>
            <sz val="8"/>
            <color indexed="81"/>
            <rFont val="Tahoma"/>
            <family val="2"/>
          </rPr>
          <t>For any variables that are coded, list the values/definitions 
for codes used. Format the list as a vertical-line separated list, e.g.:
MAT=Moist Acidic Tussock | MNT = Moist Non-acidic Tussock.</t>
        </r>
        <r>
          <rPr>
            <sz val="8"/>
            <color indexed="81"/>
            <rFont val="Tahoma"/>
            <family val="2"/>
          </rPr>
          <t xml:space="preserve">
</t>
        </r>
      </text>
    </comment>
    <comment ref="G173" authorId="0">
      <text>
        <r>
          <rPr>
            <b/>
            <sz val="8"/>
            <color indexed="81"/>
            <rFont val="Tahoma"/>
            <family val="2"/>
          </rPr>
          <t>Indicate the code used for missing valuesused code=reason for missing , e.g. or -99999=not measured
If more then one code separate the codes with a | bar,e.g.  -9999=missing  | -7777=not measured</t>
        </r>
      </text>
    </comment>
  </commentList>
</comments>
</file>

<file path=xl/comments2.xml><?xml version="1.0" encoding="utf-8"?>
<comments xmlns="http://schemas.openxmlformats.org/spreadsheetml/2006/main">
  <authors>
    <author>powell</author>
  </authors>
  <commentList>
    <comment ref="C579" authorId="0">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List>
</comments>
</file>

<file path=xl/sharedStrings.xml><?xml version="1.0" encoding="utf-8"?>
<sst xmlns="http://schemas.openxmlformats.org/spreadsheetml/2006/main" count="7044" uniqueCount="1907">
  <si>
    <t>%N</t>
  </si>
  <si>
    <t>%C</t>
  </si>
  <si>
    <t>PF012_Mid-SALP-10</t>
  </si>
  <si>
    <t>PF012_Up-BET-7</t>
  </si>
  <si>
    <t>PF016_Mid-BET-10</t>
  </si>
  <si>
    <t>PF019_Mid-BET-10</t>
  </si>
  <si>
    <t>PF011_Mid-VUL-4</t>
  </si>
  <si>
    <t>PF015_Mid-BET-4</t>
  </si>
  <si>
    <t>PF011_Mid-BET-3</t>
  </si>
  <si>
    <t>PF015_Mid-SALP-3B</t>
  </si>
  <si>
    <t>PF017_Up-BET-2</t>
  </si>
  <si>
    <t>PF013_Mid-SALP-3</t>
  </si>
  <si>
    <t>PF013_Up-SALP-1</t>
  </si>
  <si>
    <t>PF011_Up-BET-1</t>
  </si>
  <si>
    <t>PF014_Mid-SALP-9</t>
  </si>
  <si>
    <t>PF014_Up-SALP-8</t>
  </si>
  <si>
    <t>PF016_Up-SALP-8</t>
  </si>
  <si>
    <t>PF016_Up-BET-7</t>
  </si>
  <si>
    <t>PF012_Up-BET-8</t>
  </si>
  <si>
    <t>PF011_Up-BET-2</t>
  </si>
  <si>
    <t>PF015_Up-SALP-2</t>
  </si>
  <si>
    <t>PF019_Up-BET-8</t>
  </si>
  <si>
    <t>PF013_Up-SALP-2</t>
  </si>
  <si>
    <t>PF015_Mid-SALP-3A</t>
  </si>
  <si>
    <t>PF020_Up-BET-2</t>
  </si>
  <si>
    <t>PF015_Up-SALP-1</t>
  </si>
  <si>
    <t>Sample Code</t>
  </si>
  <si>
    <t>PF007_Up-SALP-3</t>
  </si>
  <si>
    <t>PF018_Mid-SALG-4</t>
  </si>
  <si>
    <t>PF014_Up-SALP-7</t>
  </si>
  <si>
    <t>PF020_Up-BET-1</t>
  </si>
  <si>
    <t>PF018_Up-SALP-3</t>
  </si>
  <si>
    <t>PF017_Up-BET-1</t>
  </si>
  <si>
    <t>PF006_Up-SALP-7</t>
  </si>
  <si>
    <t>PF008_Up-BET-7</t>
  </si>
  <si>
    <t>PF007_Up-SALP-1</t>
  </si>
  <si>
    <t>PF008_Up-BET-8</t>
  </si>
  <si>
    <t>PF010_Up-BET-1</t>
  </si>
  <si>
    <t>PF009_Up-SALP-1</t>
  </si>
  <si>
    <t>PF008_Mid-BET-9</t>
  </si>
  <si>
    <t>PF009_Mid-SALP-7</t>
  </si>
  <si>
    <t>PF002_Up-SALG-2</t>
  </si>
  <si>
    <t>PF002_Mid-SALP-3</t>
  </si>
  <si>
    <t>PF006_Mid-BET-9</t>
  </si>
  <si>
    <t>PF010_Up-BET-2</t>
  </si>
  <si>
    <t>PF010_Mid-BET-4</t>
  </si>
  <si>
    <t>PF006_Up-SALP-8</t>
  </si>
  <si>
    <t>PF009_Up-SALP-5</t>
  </si>
  <si>
    <t>PF010_Mid-BET-6</t>
  </si>
  <si>
    <t>PF007_Mid-SALP-4</t>
  </si>
  <si>
    <t>PF003_Up-SALP-7</t>
  </si>
  <si>
    <t>PF007_Mid-BET-2</t>
  </si>
  <si>
    <t>PF004_Up-BET-6</t>
  </si>
  <si>
    <t>PF004_Up-BET-1</t>
  </si>
  <si>
    <t>PF002_Mid-BET-4</t>
  </si>
  <si>
    <t>PF005_Mid-BET-4</t>
  </si>
  <si>
    <t>PF003_Mid-BET-10</t>
  </si>
  <si>
    <t>PF009_Mid-SALP-8</t>
  </si>
  <si>
    <t>PF004_Mid-BET-4</t>
  </si>
  <si>
    <t>PF006_Mid-BET-10</t>
  </si>
  <si>
    <t>PF008_Mid-SALP-10</t>
  </si>
  <si>
    <t>PF003_Up-SALP-8</t>
  </si>
  <si>
    <t>PF005_Up-BET-1</t>
  </si>
  <si>
    <t>PF003_Mid-SALP-9</t>
  </si>
  <si>
    <t>PF005_Up-BET-2</t>
  </si>
  <si>
    <t>PF004_Mid-BET-5</t>
  </si>
  <si>
    <t>PF005_Mid-BET-3</t>
  </si>
  <si>
    <t>PF017_Mid-BET-4</t>
  </si>
  <si>
    <t>PF020_Mid-BET-3</t>
  </si>
  <si>
    <t>PF020_Mid-SALP-4</t>
  </si>
  <si>
    <t>PF018_Mid-SALG-2</t>
  </si>
  <si>
    <t>PF014_Mid-SALP-10</t>
  </si>
  <si>
    <t>PF017_Mid-SALP-3</t>
  </si>
  <si>
    <t>PF018_Up-SALP-1</t>
  </si>
  <si>
    <t>PF016_Mid-BET-9</t>
  </si>
  <si>
    <t>PF013_Mid-SALP-4</t>
  </si>
  <si>
    <t>PF012_Mid-BET-9</t>
  </si>
  <si>
    <t>PF019_Up-BET-7</t>
  </si>
  <si>
    <t>PF019_Mid-BET-9</t>
  </si>
  <si>
    <t>Avg</t>
  </si>
  <si>
    <t>6 &amp; 3</t>
  </si>
  <si>
    <t>Mass</t>
  </si>
  <si>
    <t>`</t>
  </si>
  <si>
    <t>PF002_Up-BET-1</t>
  </si>
  <si>
    <t>Run #</t>
  </si>
  <si>
    <t>Asp3</t>
  </si>
  <si>
    <t>Asp4</t>
  </si>
  <si>
    <t>Asp5</t>
  </si>
  <si>
    <t>Asp6</t>
  </si>
  <si>
    <t>Asp7</t>
  </si>
  <si>
    <t>31Asp</t>
  </si>
  <si>
    <t>% Err</t>
  </si>
  <si>
    <t>41Asp</t>
  </si>
  <si>
    <t>52Asp</t>
  </si>
  <si>
    <t>63Asp</t>
  </si>
  <si>
    <t>74Asp</t>
  </si>
  <si>
    <t>85Asp</t>
  </si>
  <si>
    <t>96Asp</t>
  </si>
  <si>
    <t>107Asp</t>
  </si>
  <si>
    <t>MEAN</t>
  </si>
  <si>
    <t>STDEV</t>
  </si>
  <si>
    <t>Aspartic Acid Run 4</t>
  </si>
  <si>
    <t>Asp22</t>
  </si>
  <si>
    <t>Aspartic Acid Run 3</t>
  </si>
  <si>
    <t>Aspartic Acid Run 6</t>
  </si>
  <si>
    <t>Asp .2</t>
  </si>
  <si>
    <t>Asp .8</t>
  </si>
  <si>
    <t>Asp 1.4</t>
  </si>
  <si>
    <t>Asp 2.0</t>
  </si>
  <si>
    <t>Asp 5.0</t>
  </si>
  <si>
    <t>Asp</t>
  </si>
  <si>
    <t>79</t>
  </si>
  <si>
    <t>Asp 4.0</t>
  </si>
  <si>
    <t>Aspartic Acid Run 8</t>
  </si>
  <si>
    <t>DOM VEG</t>
  </si>
  <si>
    <t>RUN</t>
  </si>
  <si>
    <t>SAMPLE NAME</t>
  </si>
  <si>
    <t>SAMPLE CODE</t>
  </si>
  <si>
    <t>MASS (MG)</t>
  </si>
  <si>
    <t>Outlet</t>
  </si>
  <si>
    <t>BET</t>
  </si>
  <si>
    <t>PF002</t>
  </si>
  <si>
    <t>V. uliginosum</t>
  </si>
  <si>
    <t>Low-VUL-5</t>
  </si>
  <si>
    <t>Low</t>
  </si>
  <si>
    <t>PF002_Low-VUL-5</t>
  </si>
  <si>
    <t>Low-VUL-6</t>
  </si>
  <si>
    <t>PF002_Low-VUL-6</t>
  </si>
  <si>
    <t>Betula nana</t>
  </si>
  <si>
    <t>Mid-BET-4</t>
  </si>
  <si>
    <t>Mid</t>
  </si>
  <si>
    <t>S. pulchra</t>
  </si>
  <si>
    <t>Mid-SALP-3</t>
  </si>
  <si>
    <t>Up-BET-1</t>
  </si>
  <si>
    <t>Up</t>
  </si>
  <si>
    <t>S. glauca</t>
  </si>
  <si>
    <t>Up-SALG-2</t>
  </si>
  <si>
    <t>SAL-P</t>
  </si>
  <si>
    <t>PF003</t>
  </si>
  <si>
    <t>Low-BET-11</t>
  </si>
  <si>
    <t>PF003_Low-BET-11</t>
  </si>
  <si>
    <t>Low-BET-12</t>
  </si>
  <si>
    <t>PF003_Low-BET-12</t>
  </si>
  <si>
    <t>Mid-BET-10</t>
  </si>
  <si>
    <t>Mid-SALP-9</t>
  </si>
  <si>
    <t>Up-SALP-7</t>
  </si>
  <si>
    <t>Up-SALP-8</t>
  </si>
  <si>
    <t>PF004</t>
  </si>
  <si>
    <t>Low-VUL-2</t>
  </si>
  <si>
    <t>PF004_Low-VUL-2</t>
  </si>
  <si>
    <t>Low-VUL-3</t>
  </si>
  <si>
    <t>PF004_Low-VUL-3</t>
  </si>
  <si>
    <t>Mid-BET-5</t>
  </si>
  <si>
    <t>Up-BET-6</t>
  </si>
  <si>
    <t>Upland</t>
  </si>
  <si>
    <t>PF005</t>
  </si>
  <si>
    <t>Ledum palustre</t>
  </si>
  <si>
    <t>Low-LED-5</t>
  </si>
  <si>
    <t>PF005_Low-LED-5</t>
  </si>
  <si>
    <t>V. vitis-idaea</t>
  </si>
  <si>
    <t>Low-VVI-6</t>
  </si>
  <si>
    <t>PF005_Low-VVI-6</t>
  </si>
  <si>
    <t>Mid-BET-3</t>
  </si>
  <si>
    <t>Up-BET-2</t>
  </si>
  <si>
    <t>PF006</t>
  </si>
  <si>
    <t>Low-LED-11</t>
  </si>
  <si>
    <t>PF006_Low-LED-11</t>
  </si>
  <si>
    <t>Low-LED-12</t>
  </si>
  <si>
    <t>PF006_Low-LED-12</t>
  </si>
  <si>
    <t>Mid-BET-9</t>
  </si>
  <si>
    <t>PF007</t>
  </si>
  <si>
    <t>Low-BET-5</t>
  </si>
  <si>
    <t>PF007_Low-BET-5</t>
  </si>
  <si>
    <t>Low-BET-6</t>
  </si>
  <si>
    <t>PF007_Low-BET-6</t>
  </si>
  <si>
    <t>Mid-BET-2</t>
  </si>
  <si>
    <t>Mid-SALP-4</t>
  </si>
  <si>
    <t>Up-SALP-1</t>
  </si>
  <si>
    <t>Up-SALP-3</t>
  </si>
  <si>
    <t>PF008</t>
  </si>
  <si>
    <t>Low-VUL-11</t>
  </si>
  <si>
    <t>PF008_Low-VUL-11</t>
  </si>
  <si>
    <t>Low-VUL-12</t>
  </si>
  <si>
    <t>PF008_Low-VUL-12</t>
  </si>
  <si>
    <t>Mid-SALP-10</t>
  </si>
  <si>
    <t>Up-BET-7</t>
  </si>
  <si>
    <t>Up-BET-8</t>
  </si>
  <si>
    <t>PF009</t>
  </si>
  <si>
    <t>Low-SALP-10</t>
  </si>
  <si>
    <t>PF009_Low-SALP-10</t>
  </si>
  <si>
    <t>Low-SALP-9</t>
  </si>
  <si>
    <t>PF009_Low-SALP-9</t>
  </si>
  <si>
    <t>Mid-SALP-7</t>
  </si>
  <si>
    <t>Mid-SALP-8</t>
  </si>
  <si>
    <t>Up-SALP-5</t>
  </si>
  <si>
    <t>PF010</t>
  </si>
  <si>
    <t>PF010_Low-BET-11</t>
  </si>
  <si>
    <t>Low-VVI-12</t>
  </si>
  <si>
    <t>PF010_Low-VVI-12</t>
  </si>
  <si>
    <t>Mid-BET-6</t>
  </si>
  <si>
    <t>PF011</t>
  </si>
  <si>
    <t>PF011_Low-BET-6</t>
  </si>
  <si>
    <t>PF011_Low-VUL-5</t>
  </si>
  <si>
    <t>Mid-VUL-4</t>
  </si>
  <si>
    <t>PF012</t>
  </si>
  <si>
    <t>PF012_Low-BET-11</t>
  </si>
  <si>
    <t>PF012_Low-BET-12</t>
  </si>
  <si>
    <t>Sal-P</t>
  </si>
  <si>
    <t>PF013</t>
  </si>
  <si>
    <t>PF013_Low-VUL-5</t>
  </si>
  <si>
    <t>PF013_Low-VUL-6</t>
  </si>
  <si>
    <t>Up-SALP-2</t>
  </si>
  <si>
    <t>PF014</t>
  </si>
  <si>
    <t>PF014_Low-VUL-11</t>
  </si>
  <si>
    <t>PF014_Low-VUL-12</t>
  </si>
  <si>
    <t>PF015</t>
  </si>
  <si>
    <t>Low-BET-5A</t>
  </si>
  <si>
    <t>PF015_Low-BET-5A</t>
  </si>
  <si>
    <t>Low-SALP-6</t>
  </si>
  <si>
    <t>PF015_Low-SALP-6</t>
  </si>
  <si>
    <t>Mid-SALP-3A</t>
  </si>
  <si>
    <t>Mid-SALP-3B</t>
  </si>
  <si>
    <t>PF016</t>
  </si>
  <si>
    <t>PF016_Low-BET-12</t>
  </si>
  <si>
    <t>Low-SALP-11</t>
  </si>
  <si>
    <t>PF016_Low-SALP-11</t>
  </si>
  <si>
    <t>PF017</t>
  </si>
  <si>
    <t>PF017_Low-BET-5</t>
  </si>
  <si>
    <t>PF017_Low-BET-6</t>
  </si>
  <si>
    <t>PF018</t>
  </si>
  <si>
    <t>Low-SALG-6</t>
  </si>
  <si>
    <t>PF018_Low-SALG-6</t>
  </si>
  <si>
    <t>Low-SALP-5</t>
  </si>
  <si>
    <t>PF018_Low-SALG-5</t>
  </si>
  <si>
    <t>Mid-SALG-2</t>
  </si>
  <si>
    <t>Mid-SALG-4</t>
  </si>
  <si>
    <t>PF019</t>
  </si>
  <si>
    <t>PF019_Low-BET-11</t>
  </si>
  <si>
    <t>PF019_Low-BET-12</t>
  </si>
  <si>
    <t>PF020</t>
  </si>
  <si>
    <t>PF020_Low-BET-5</t>
  </si>
  <si>
    <t>PF020_Low-SALP-6</t>
  </si>
  <si>
    <t>Low-BET-5B</t>
  </si>
  <si>
    <t>PF015_Low-BET-5B</t>
  </si>
  <si>
    <t>C:N</t>
  </si>
  <si>
    <t xml:space="preserve">TREATMENT </t>
  </si>
  <si>
    <t>COMMENTS</t>
  </si>
  <si>
    <t>Toolik</t>
  </si>
  <si>
    <t>None</t>
  </si>
  <si>
    <t>1m x 1m</t>
  </si>
  <si>
    <t>DUPLICATE SAMPLE; VALUES ARE AVG</t>
  </si>
  <si>
    <t>Fert</t>
  </si>
  <si>
    <t>ARCTIC LTER DATABASE</t>
  </si>
  <si>
    <t>Metacat Package ID</t>
  </si>
  <si>
    <t>Year Released to Public</t>
  </si>
  <si>
    <t>Distribution URL for file</t>
  </si>
  <si>
    <t>DATASET TITLE:</t>
  </si>
  <si>
    <t>ABSTRACT:</t>
  </si>
  <si>
    <t xml:space="preserve">DATASET ID: </t>
  </si>
  <si>
    <r>
      <t>INVESTIGATOR INFORMATION :</t>
    </r>
    <r>
      <rPr>
        <b/>
        <sz val="9"/>
        <color indexed="48"/>
        <rFont val="Arial"/>
        <family val="2"/>
      </rPr>
      <t xml:space="preserve"> </t>
    </r>
  </si>
  <si>
    <t>Investigator 1</t>
  </si>
  <si>
    <t>Investigator 2</t>
  </si>
  <si>
    <t>Investigator 3</t>
  </si>
  <si>
    <t>Investigator 4</t>
  </si>
  <si>
    <t>Investigator 5</t>
  </si>
  <si>
    <t>Investigator 6</t>
  </si>
  <si>
    <t>Investigator 7</t>
  </si>
  <si>
    <t>Investigator 8</t>
  </si>
  <si>
    <t>Role</t>
  </si>
  <si>
    <t xml:space="preserve">Owner </t>
  </si>
  <si>
    <t xml:space="preserve">Associated Researcher </t>
  </si>
  <si>
    <t xml:space="preserve">Data Manager </t>
  </si>
  <si>
    <t xml:space="preserve">Field Crew </t>
  </si>
  <si>
    <t>Email</t>
  </si>
  <si>
    <t>gshaver@mbl.edu</t>
  </si>
  <si>
    <t>erastetter@mbl.edu</t>
  </si>
  <si>
    <t>mat.williams@ed.ac.uk</t>
  </si>
  <si>
    <t>jlaundre@mbl.edu</t>
  </si>
  <si>
    <t>lvanderpol@mbl.edu</t>
  </si>
  <si>
    <t xml:space="preserve">First Name  </t>
  </si>
  <si>
    <t>Gaius</t>
  </si>
  <si>
    <t>Edward</t>
  </si>
  <si>
    <t>Mathew</t>
  </si>
  <si>
    <t>James</t>
  </si>
  <si>
    <t>Laura</t>
  </si>
  <si>
    <t xml:space="preserve">Last Name  </t>
  </si>
  <si>
    <t>Shaver</t>
  </si>
  <si>
    <t>Rastetter</t>
  </si>
  <si>
    <t>Williams</t>
  </si>
  <si>
    <t>Laundre</t>
  </si>
  <si>
    <t>van der Pol</t>
  </si>
  <si>
    <t>Organization</t>
  </si>
  <si>
    <t>Ecosystems Center at the Marine Biological Laboratory</t>
  </si>
  <si>
    <t>University of Edinburgh</t>
  </si>
  <si>
    <t>Address line 2</t>
  </si>
  <si>
    <t>7 MBL Street</t>
  </si>
  <si>
    <t>School of Geosciences</t>
  </si>
  <si>
    <t>Address line 3</t>
  </si>
  <si>
    <t>Darwin Building</t>
  </si>
  <si>
    <t xml:space="preserve"> City  </t>
  </si>
  <si>
    <t>Woods Hole</t>
  </si>
  <si>
    <t>Edinburgh</t>
  </si>
  <si>
    <t xml:space="preserve">State  </t>
  </si>
  <si>
    <t>MA</t>
  </si>
  <si>
    <t xml:space="preserve">Zip Code  </t>
  </si>
  <si>
    <t>02543</t>
  </si>
  <si>
    <t>EH9 EJU</t>
  </si>
  <si>
    <t>Country</t>
  </si>
  <si>
    <t>United States</t>
  </si>
  <si>
    <t>United Kingdom</t>
  </si>
  <si>
    <t xml:space="preserve">DATA FILE INFORMATION: </t>
  </si>
  <si>
    <t>Data File URL</t>
  </si>
  <si>
    <t>Data File Name</t>
  </si>
  <si>
    <t>Beginning Date</t>
  </si>
  <si>
    <t>End Date</t>
  </si>
  <si>
    <t>Number of Data Records</t>
  </si>
  <si>
    <t>Other Files to Reference</t>
  </si>
  <si>
    <t>Availability Status</t>
  </si>
  <si>
    <t>Quality Control Information</t>
  </si>
  <si>
    <t>See "PF_CHN_QAQC" for the standard curves and replicate samples run.</t>
  </si>
  <si>
    <t>Maintenance Description</t>
  </si>
  <si>
    <t>Log of Changes:</t>
  </si>
  <si>
    <t>Note you can add more sites.</t>
  </si>
  <si>
    <t xml:space="preserve">RESEARCH LOCATION: </t>
  </si>
  <si>
    <t xml:space="preserve">Geographic Description </t>
  </si>
  <si>
    <t>Outlet site; co-located in Block 2 of the Shrub LTER sites; IVO 68° 38'008.1" N, 149° 35' 017.1" W +/- 50m. Except for plots marked "FERT", plots are outside of the designated LTER treatments, though are exposed to the same environmental conditions. All plots were chosen by the dominant shrub canopy (either Salix pulchraor Betula nana) and preferentially selected to be 90cm+ in height.</t>
  </si>
  <si>
    <t>Location Bounding Box</t>
  </si>
  <si>
    <t xml:space="preserve">West Bounding Coordinate  </t>
  </si>
  <si>
    <t xml:space="preserve">East Bounding Coordinate </t>
  </si>
  <si>
    <t xml:space="preserve">North Bounding Coordinate  </t>
  </si>
  <si>
    <t xml:space="preserve">South Bounding Coordinate  </t>
  </si>
  <si>
    <t>OR if single point location</t>
  </si>
  <si>
    <t>Latitude</t>
  </si>
  <si>
    <t>Longitude</t>
  </si>
  <si>
    <t>Elevation</t>
  </si>
  <si>
    <t>TAXONOMIC COVERAGE:</t>
  </si>
  <si>
    <t>Organisms studied</t>
  </si>
  <si>
    <t>Betula nana; Salix pulchra; Salix glauca</t>
  </si>
  <si>
    <t xml:space="preserve">Example:  Eriophorum; Betula nana; Carex aquatilis var. aquatilis; Carex atlantica ssp. atlantica </t>
  </si>
  <si>
    <t>KEYWORD INFORMATION</t>
  </si>
  <si>
    <t xml:space="preserve">KEYWORDS: </t>
  </si>
  <si>
    <t>shoot photosynthesis; shrub canopy; point frame; percent carbon; percent nitrogen; CHN Analysis</t>
  </si>
  <si>
    <t xml:space="preserve">METHODS: </t>
  </si>
  <si>
    <t>Sampling and/or Lab Protocols</t>
  </si>
  <si>
    <t>Protocol Title</t>
  </si>
  <si>
    <t>ITEX Manual, updated 2011</t>
  </si>
  <si>
    <t>URL of online Protocol</t>
  </si>
  <si>
    <t>OR</t>
  </si>
  <si>
    <t>Protocol Document</t>
  </si>
  <si>
    <t xml:space="preserve">VARIABLE DESCRIPTIONS: </t>
  </si>
  <si>
    <t>Do Not Modify. These are the lists for the drop-downs.</t>
  </si>
  <si>
    <t>Variable Name</t>
  </si>
  <si>
    <t>Variable Description</t>
  </si>
  <si>
    <t>Data Type</t>
  </si>
  <si>
    <t>Units</t>
  </si>
  <si>
    <t>DateTime Format</t>
  </si>
  <si>
    <t>Code Information</t>
  </si>
  <si>
    <t>Missing Value Code</t>
  </si>
  <si>
    <t>MeasurementScale</t>
  </si>
  <si>
    <t>Number Type</t>
  </si>
  <si>
    <t>Unit Name</t>
  </si>
  <si>
    <t xml:space="preserve"> </t>
  </si>
  <si>
    <t xml:space="preserve">YEAR </t>
  </si>
  <si>
    <t xml:space="preserve"> year of measurement </t>
  </si>
  <si>
    <t>datetime</t>
  </si>
  <si>
    <t>YYYY</t>
  </si>
  <si>
    <t>text</t>
  </si>
  <si>
    <t>ampere</t>
  </si>
  <si>
    <t xml:space="preserve">DATE </t>
  </si>
  <si>
    <t xml:space="preserve"> date of measurement </t>
  </si>
  <si>
    <t>DD-MMM-YY</t>
  </si>
  <si>
    <t>interval</t>
  </si>
  <si>
    <t>number</t>
  </si>
  <si>
    <t>amperePerMeter</t>
  </si>
  <si>
    <t xml:space="preserve">SITE </t>
  </si>
  <si>
    <t>nominal</t>
  </si>
  <si>
    <t>amperePerMeterSquared</t>
  </si>
  <si>
    <t xml:space="preserve">GROUP  </t>
  </si>
  <si>
    <t>Measurement location in relation to Toolik Lake LTER Shrub plots; In vicinity of Block1 = Upland, IVO Block 2 = Outlet</t>
  </si>
  <si>
    <t>ordinal</t>
  </si>
  <si>
    <t>angstrom</t>
  </si>
  <si>
    <t xml:space="preserve">PLOT </t>
  </si>
  <si>
    <t xml:space="preserve"> Individual plot identifier </t>
  </si>
  <si>
    <t xml:space="preserve">Lab Crew </t>
  </si>
  <si>
    <t>ratio</t>
  </si>
  <si>
    <t>atmosphere</t>
  </si>
  <si>
    <t xml:space="preserve"> control or fertilized annually (with N and P) </t>
  </si>
  <si>
    <t>bar</t>
  </si>
  <si>
    <t xml:space="preserve">PLOT SIZE </t>
  </si>
  <si>
    <t xml:space="preserve"> 1m x 1m point frame size </t>
  </si>
  <si>
    <t>becquerel</t>
  </si>
  <si>
    <t xml:space="preserve"> Dominant canopy vegetation</t>
  </si>
  <si>
    <t>becquerelPerGram</t>
  </si>
  <si>
    <t xml:space="preserve">SPP </t>
  </si>
  <si>
    <t xml:space="preserve"> Shoot species sampled </t>
  </si>
  <si>
    <t>becquerelPerMilligram</t>
  </si>
  <si>
    <t xml:space="preserve">SHOOT ID </t>
  </si>
  <si>
    <t xml:space="preserve"> Identification for each shoot sampled (NOT unique); consists of canopy position (up/mid/low), species abbreviation, and a number </t>
  </si>
  <si>
    <t>becquerelPerMilliliter</t>
  </si>
  <si>
    <t xml:space="preserve">CANOPY POSN </t>
  </si>
  <si>
    <t xml:space="preserve"> Relative position of shoot in the canopy </t>
  </si>
  <si>
    <t>calorie</t>
  </si>
  <si>
    <t>Number of the tray run through the CHN analysis (ThermoScientific2000)</t>
  </si>
  <si>
    <t>candela</t>
  </si>
  <si>
    <t>Unique sample ID created by combining the PLOT with the SHOOT ID</t>
  </si>
  <si>
    <t>candelaPerMeterSquared</t>
  </si>
  <si>
    <t>Sample location on the tray run through the CHN analysis (ThermoScientific 2000)</t>
  </si>
  <si>
    <t>celsius</t>
  </si>
  <si>
    <t>milligram</t>
  </si>
  <si>
    <t>centigram</t>
  </si>
  <si>
    <t>percent</t>
  </si>
  <si>
    <t>centimeter</t>
  </si>
  <si>
    <t>centimeterCubedPerCentimeterCubed</t>
  </si>
  <si>
    <t>Notes about samples</t>
  </si>
  <si>
    <t>centimeterPerSecond</t>
  </si>
  <si>
    <t>centimeterPerYear</t>
  </si>
  <si>
    <t>centimeterSquared</t>
  </si>
  <si>
    <t>centimeterSquaredPerFourHundredthMeterSquared</t>
  </si>
  <si>
    <t>centimeterSquaredPerGram</t>
  </si>
  <si>
    <t>centimolePerKilogram</t>
  </si>
  <si>
    <t>centisecond</t>
  </si>
  <si>
    <t>coulomb</t>
  </si>
  <si>
    <t>decibar</t>
  </si>
  <si>
    <t>decigram</t>
  </si>
  <si>
    <t>decimeter</t>
  </si>
  <si>
    <t>decisecond</t>
  </si>
  <si>
    <t>degree</t>
  </si>
  <si>
    <t>dimensionless</t>
  </si>
  <si>
    <t>disintegrationPerMinute</t>
  </si>
  <si>
    <t>gram</t>
  </si>
  <si>
    <t>gramPerCentimeterCubed</t>
  </si>
  <si>
    <t>gramPerCentimeterSquaredPerSecond</t>
  </si>
  <si>
    <t>gramPerFourHundredthMeterSquared</t>
  </si>
  <si>
    <t>gramPerGram</t>
  </si>
  <si>
    <t>gramPerHectarePerDay</t>
  </si>
  <si>
    <t>gramPerKilogram</t>
  </si>
  <si>
    <t>gramPerLiter</t>
  </si>
  <si>
    <t>gramPerLiterPerDay</t>
  </si>
  <si>
    <t>gramPerMeterCubed</t>
  </si>
  <si>
    <t>gramPerMeterSquared</t>
  </si>
  <si>
    <t>gramPerMeterSquaredPerDay</t>
  </si>
  <si>
    <t>gramPerMeterSquaredPerYear</t>
  </si>
  <si>
    <t>gramPerMilliliter</t>
  </si>
  <si>
    <t>gramPerNumber</t>
  </si>
  <si>
    <t>gramPerYear</t>
  </si>
  <si>
    <t>hectare</t>
  </si>
  <si>
    <t>hectogram</t>
  </si>
  <si>
    <t>hectometer</t>
  </si>
  <si>
    <t>hectoPascal</t>
  </si>
  <si>
    <t>hectosecond</t>
  </si>
  <si>
    <t>henry</t>
  </si>
  <si>
    <t>hertz</t>
  </si>
  <si>
    <t>hour</t>
  </si>
  <si>
    <t>joule</t>
  </si>
  <si>
    <t>joulePerCentimeterSquaredPerDay</t>
  </si>
  <si>
    <t>joulePerCentimeterSquaredPerHour</t>
  </si>
  <si>
    <t>joulePerMeterCubed</t>
  </si>
  <si>
    <t>kelvin</t>
  </si>
  <si>
    <t>kilogram</t>
  </si>
  <si>
    <t>kilogramPerHectare</t>
  </si>
  <si>
    <t>kilogramPerHectarePerYear</t>
  </si>
  <si>
    <t>kilogramPerMeterCubed</t>
  </si>
  <si>
    <t>kilogramPerMeterSquared</t>
  </si>
  <si>
    <t>kilogramPerMeterSquaredPerSecond</t>
  </si>
  <si>
    <t>kilogramPerMeterSquaredPerYear</t>
  </si>
  <si>
    <t>kilogramPerSecond</t>
  </si>
  <si>
    <t>kilohertz</t>
  </si>
  <si>
    <t>kiloliter</t>
  </si>
  <si>
    <t>kilometer</t>
  </si>
  <si>
    <t>kilometerPerHour</t>
  </si>
  <si>
    <t>kilometerSquared</t>
  </si>
  <si>
    <t>kilopascal</t>
  </si>
  <si>
    <t>kilosecond</t>
  </si>
  <si>
    <t>kilovolt</t>
  </si>
  <si>
    <t>kilowatt</t>
  </si>
  <si>
    <t>kilowattPerMeterSquared</t>
  </si>
  <si>
    <t>liter</t>
  </si>
  <si>
    <t>literPerHectare</t>
  </si>
  <si>
    <t>literPerMeterSquared</t>
  </si>
  <si>
    <t>literPerSecond</t>
  </si>
  <si>
    <t>lumen</t>
  </si>
  <si>
    <t>lux</t>
  </si>
  <si>
    <t>megagram</t>
  </si>
  <si>
    <t>megahertz</t>
  </si>
  <si>
    <t>megameter</t>
  </si>
  <si>
    <t>megapascal</t>
  </si>
  <si>
    <t>megasecond</t>
  </si>
  <si>
    <t>megavolt</t>
  </si>
  <si>
    <t>megawatt</t>
  </si>
  <si>
    <t>meter</t>
  </si>
  <si>
    <t>meterCubed</t>
  </si>
  <si>
    <t>meterCubedPerKilogram</t>
  </si>
  <si>
    <t>meterCubedPerMeterCubed</t>
  </si>
  <si>
    <t>meterCubedPerSecond</t>
  </si>
  <si>
    <t>meterPerDay</t>
  </si>
  <si>
    <t>meterPerGram</t>
  </si>
  <si>
    <t>meterPerSecond</t>
  </si>
  <si>
    <t>meterPerSecondSquared</t>
  </si>
  <si>
    <t>meterSquared</t>
  </si>
  <si>
    <t>meterSquaredPerDay</t>
  </si>
  <si>
    <t>meterSquaredPerKilogram</t>
  </si>
  <si>
    <t>meterSquaredPerMeterSquared</t>
  </si>
  <si>
    <t>meterSquaredPerNumber</t>
  </si>
  <si>
    <t>meterSquaredPerSecond</t>
  </si>
  <si>
    <t>microatmosphere</t>
  </si>
  <si>
    <t>microCuriePerMicromole</t>
  </si>
  <si>
    <t>microEinsteinPerMeterSquared</t>
  </si>
  <si>
    <t>microEinsteinPerMeterSquaredPerSecond</t>
  </si>
  <si>
    <t>microequivalentPerLiter</t>
  </si>
  <si>
    <t>microgram</t>
  </si>
  <si>
    <t>microgramPerCentimeterCubed</t>
  </si>
  <si>
    <t>microgramPerCentimeterSquared</t>
  </si>
  <si>
    <t>microgramPerGram</t>
  </si>
  <si>
    <t>microgramPerLiter</t>
  </si>
  <si>
    <t>microgramPerLiterPerDay</t>
  </si>
  <si>
    <t>microgramPerLiterPerHour</t>
  </si>
  <si>
    <t>microgramPerMilliliter</t>
  </si>
  <si>
    <t>microliter</t>
  </si>
  <si>
    <t>micrometer</t>
  </si>
  <si>
    <t>micrometerCubedPerGram</t>
  </si>
  <si>
    <t>micromole</t>
  </si>
  <si>
    <t>micromolePerGram</t>
  </si>
  <si>
    <t>micromolePerKilogram</t>
  </si>
  <si>
    <t>micromolePerLiter</t>
  </si>
  <si>
    <t>micromolePerMeterSquaredPerSecond</t>
  </si>
  <si>
    <t>micromolePerMeterSquaredPerMinute</t>
  </si>
  <si>
    <t>micromolePerMole</t>
  </si>
  <si>
    <t>micron</t>
  </si>
  <si>
    <t>microsecond</t>
  </si>
  <si>
    <t>microsiemenPerCentimeter</t>
  </si>
  <si>
    <t>millibar</t>
  </si>
  <si>
    <t>milliequivalentPerLiter</t>
  </si>
  <si>
    <t>milligramPerKilogram</t>
  </si>
  <si>
    <t>milligramPerLiter</t>
  </si>
  <si>
    <t>milligramPerMeterCubed</t>
  </si>
  <si>
    <t>milligramPerMeterSquared</t>
  </si>
  <si>
    <t>milligramPerMeterSquaredPerDay</t>
  </si>
  <si>
    <t>milligramPerMeterSquarePerHour</t>
  </si>
  <si>
    <t>milligramPerMilliliter</t>
  </si>
  <si>
    <t>milligramPerMillimeter</t>
  </si>
  <si>
    <t>milligramPerUnit</t>
  </si>
  <si>
    <t>millihertz</t>
  </si>
  <si>
    <t>milliliter</t>
  </si>
  <si>
    <t>milliliterPerLiter</t>
  </si>
  <si>
    <t>millimeter</t>
  </si>
  <si>
    <t>millimeterPerNumber</t>
  </si>
  <si>
    <t>millimeterPerSecond</t>
  </si>
  <si>
    <t>millimeterPerUnit</t>
  </si>
  <si>
    <t>millimeterSquared</t>
  </si>
  <si>
    <t>millimolePerGram</t>
  </si>
  <si>
    <t>millimolePerMeterCubed</t>
  </si>
  <si>
    <t>millimolePerMeterSquaredPerHour</t>
  </si>
  <si>
    <t>millimolePerMeterSquaredPerSecond</t>
  </si>
  <si>
    <t>millimolePerMole</t>
  </si>
  <si>
    <t>millisecond</t>
  </si>
  <si>
    <t>millisiemenPerCentimeter</t>
  </si>
  <si>
    <t>millivolt</t>
  </si>
  <si>
    <t>milliwatt</t>
  </si>
  <si>
    <t>minute</t>
  </si>
  <si>
    <t>molality</t>
  </si>
  <si>
    <t>molarity</t>
  </si>
  <si>
    <t>mole</t>
  </si>
  <si>
    <t>molePerGram</t>
  </si>
  <si>
    <t>molePerKilogram</t>
  </si>
  <si>
    <t>molePerKilogramPerSecond</t>
  </si>
  <si>
    <t>molePerMeterCubed</t>
  </si>
  <si>
    <t>molePerMeterSquaredPerDay</t>
  </si>
  <si>
    <t>nanogram</t>
  </si>
  <si>
    <t>nanometer</t>
  </si>
  <si>
    <t>nanomolePerGramPerSecond</t>
  </si>
  <si>
    <t>nanosecond</t>
  </si>
  <si>
    <t>newton</t>
  </si>
  <si>
    <t>numberPerCentimeterSquaredPerHour</t>
  </si>
  <si>
    <t>numberPerGram</t>
  </si>
  <si>
    <t>numberPerKilometerSquared</t>
  </si>
  <si>
    <t>numberPerLiter</t>
  </si>
  <si>
    <t>numberPerMeterCubed</t>
  </si>
  <si>
    <t>numberPerMeterSquared</t>
  </si>
  <si>
    <t>numberPerMilliliter</t>
  </si>
  <si>
    <t>ohm</t>
  </si>
  <si>
    <t>ohmMeter</t>
  </si>
  <si>
    <t>partPerMillion</t>
  </si>
  <si>
    <t>partPerThousand</t>
  </si>
  <si>
    <t>pascal</t>
  </si>
  <si>
    <t>picomolePerLiter</t>
  </si>
  <si>
    <t>picomolePerLiterPerHour</t>
  </si>
  <si>
    <t>radian</t>
  </si>
  <si>
    <t>second</t>
  </si>
  <si>
    <t>siemenPerMeter</t>
  </si>
  <si>
    <t>siemens</t>
  </si>
  <si>
    <t>tesla</t>
  </si>
  <si>
    <t>tonne</t>
  </si>
  <si>
    <t>tonnePerHectare</t>
  </si>
  <si>
    <t>tonnePerYear</t>
  </si>
  <si>
    <t>volt</t>
  </si>
  <si>
    <t>watt</t>
  </si>
  <si>
    <t>wattPerMeterSquared</t>
  </si>
  <si>
    <t>waveNumber</t>
  </si>
  <si>
    <t>weber</t>
  </si>
  <si>
    <t>Ratio of carbon to nitrogen (%C / %N)</t>
  </si>
  <si>
    <t>This was a season-long project, though it followed similar methods to ITEX projects performed starting in 2003 that are likely to be replicated in the future for reasearch at the Toolik Field Station, AK.</t>
  </si>
  <si>
    <t>2012_GS_ITEX_PF_CHN_Data</t>
  </si>
  <si>
    <t>Mass of the ground sample used for the run (mg leaf)</t>
  </si>
  <si>
    <t>percent Nitrogen in sample (%)</t>
  </si>
  <si>
    <t>percent Carbon in sample (%)</t>
  </si>
  <si>
    <t>747 m</t>
  </si>
  <si>
    <t>730 m</t>
  </si>
  <si>
    <t>LTER Shrub Block 1</t>
  </si>
  <si>
    <t>LTER Shrub Block 2</t>
  </si>
  <si>
    <t>Location Name</t>
  </si>
  <si>
    <t xml:space="preserve"> 2012_GS_ITEX_BF3_DiffuseLightData; 012_GS_ITEX_CH_SoilData; 2012_GS_ITEX_CHFluxData; 2012_GS_ITEX_LC_ParameterSummary; 2012_GS_ITEX_MaxCanopyHeight; 2012_GS_ITEX_PercentCover; 2012_GS_ITEX_CHN_Data; 2012_GS_ITEX_PF_LAISummary; 2012_GS_ITEX_RawPinDrop_Data; 2012_GS_ITEX_ShootACiData; 2012_GS_ITEX_ShootHarvestData; 2012_GS_ITEX_ShrubCanopy_DailyLogger; 2012_GS_ITEX_InstantLogger; 2012_GS_ITEX_SunScan_LAI; 2012_GS_ITEX_SunScan_PAR; 2012_GS_PFandCH_GPS; 2012_GS_ITEX_PF_ShootLightCurve; 2003-2004gsfluxleafN; 2003-2009gscurveparameters; 2003-2009gsflux; 2003-2009gsGPSandveg; 2003-2009gsharvestLAI-N; 2003-2009gsspecieslist; 2004-2009gscoverft; 2004-2009gscoversp; </t>
  </si>
  <si>
    <t>http://ecosystems.mbl.edu/ARC/meta_template.php?FileName=./terrest/tracegas/xlsfiles/2012_GS_ITEX_PF_CHN_Data.html</t>
  </si>
  <si>
    <t>http://metacat.lternet.edu/das/dataAccessServlet?docid=knb-lter-arc.10147&amp;amp;urlTail=terrest/tracegas/data/2012_GS_ITEX_PF_CHN_Data.csv</t>
  </si>
  <si>
    <t>Percent carbon and nitrogen of leaves from shoots harvested at three levels in the canopy from 19 plots dominated by S. pulchra and  B. nana shrubs near LTER Shrub plots at Toolik Field Station, AK the summer of 2012.</t>
  </si>
  <si>
    <t>Updated Metadata sheet</t>
  </si>
  <si>
    <t>sievert</t>
  </si>
  <si>
    <t>serialDateNumberYear0000</t>
  </si>
  <si>
    <t>PSU</t>
  </si>
  <si>
    <t>nominalYear</t>
  </si>
  <si>
    <t>nominalWeek</t>
  </si>
  <si>
    <t>nominalMinute</t>
  </si>
  <si>
    <t>nominalLeapYear</t>
  </si>
  <si>
    <t>nominalHour</t>
  </si>
  <si>
    <t>nominalDay</t>
  </si>
  <si>
    <t>millimolePerMeterSquaredPerDay</t>
  </si>
  <si>
    <t>millimolePerLiter</t>
  </si>
  <si>
    <t>micromolePerCentimeterCubed</t>
  </si>
  <si>
    <t>meterCubedPerYear</t>
  </si>
  <si>
    <t>meterCubedPerDay</t>
  </si>
  <si>
    <t>megaJoulePerMeterSquaredPerDay</t>
  </si>
  <si>
    <t>kilogramPerYear</t>
  </si>
  <si>
    <t>gramPerCentimeter</t>
  </si>
  <si>
    <t>Link to Google Map</t>
  </si>
  <si>
    <t>Upland site; co-located in Block 1 of the Shrub LTER sites; IVO 68° 38'18.8" N, 149° 34' 07.2" W +/- 50m. Except for plots marked "FERT", plots are outside of the designated LTER treatments, though are exposed to the same environmental conditions. All plots were chosen by the dominant shrub canopy (either Salix pulchraor Betula nana) and preferentially selected to be 90cm+ in height.</t>
  </si>
  <si>
    <t>Select Site or enter New One</t>
  </si>
  <si>
    <t>LTER_Site_number</t>
  </si>
  <si>
    <t>Description</t>
  </si>
  <si>
    <t>Latitude_decimal_degrees</t>
  </si>
  <si>
    <t>Longitude_decimal_degrees</t>
  </si>
  <si>
    <t>Elevation_m_asl</t>
  </si>
  <si>
    <t>Environment</t>
  </si>
  <si>
    <t>Alternate_Name_1</t>
  </si>
  <si>
    <t>Alternate_Name_2</t>
  </si>
  <si>
    <t>Project_PI</t>
  </si>
  <si>
    <t>OLD_LTER_number_DO_NOT_USE</t>
  </si>
  <si>
    <t>Survey/series</t>
  </si>
  <si>
    <t>Google Map Link</t>
  </si>
  <si>
    <t>GTH</t>
  </si>
  <si>
    <t xml:space="preserve">Severe burn flux Tower </t>
  </si>
  <si>
    <t>Anaktuvuk River Fire - Severe burn flux tower (Station 2304 ) North Slope, Alaska</t>
  </si>
  <si>
    <t/>
  </si>
  <si>
    <t>Terrestrial</t>
  </si>
  <si>
    <t>Landscapes_Shaver</t>
  </si>
  <si>
    <t>Moderate burn flux tower</t>
  </si>
  <si>
    <t>Anaktuvuk River Fire - Moderate burn flux tower (Station 2308 ) North Slope, Alaska</t>
  </si>
  <si>
    <t>Unburned flux tower</t>
  </si>
  <si>
    <t>Anaktuvuk River Fire - Unburned flux tower (Station 2309) North Slope, Alaska</t>
  </si>
  <si>
    <t>NSF_Burn_Shaver</t>
  </si>
  <si>
    <t>Anaktuvuk Burn</t>
  </si>
  <si>
    <t>Ahaliorak Lake</t>
  </si>
  <si>
    <t>Lakes sampled by LTREB on 1 July 2010 - Kling, Crump, Nannen.</t>
  </si>
  <si>
    <t>Lake</t>
  </si>
  <si>
    <t>LTREB_Kling_Crump</t>
  </si>
  <si>
    <t>Far Lakes Survey</t>
  </si>
  <si>
    <t>Airstrip Lakes B1</t>
  </si>
  <si>
    <t>Airstrip Lakes B2</t>
  </si>
  <si>
    <t>Airstrip Lakes B3</t>
  </si>
  <si>
    <t xml:space="preserve">AK BURN REF SITE 1 </t>
  </si>
  <si>
    <t>1 time site visit, 2011, nutrients</t>
  </si>
  <si>
    <t>Burn Streams</t>
  </si>
  <si>
    <t>AK BURN REF SITE 2 - Shrew River, Lower</t>
  </si>
  <si>
    <t>AK BURN REF SITE 4</t>
  </si>
  <si>
    <t>AK BURN REF SITE 5</t>
  </si>
  <si>
    <t>Alexa Creek</t>
  </si>
  <si>
    <t>At the Haul Road</t>
  </si>
  <si>
    <t>Stream</t>
  </si>
  <si>
    <t>LTER</t>
  </si>
  <si>
    <t>Lake and stream survey 1988</t>
  </si>
  <si>
    <t>Anaktuvik_1 lake</t>
  </si>
  <si>
    <t>Anaktuvik_2 lake</t>
  </si>
  <si>
    <t>Anaktuvik_3 lake</t>
  </si>
  <si>
    <t>AR101</t>
  </si>
  <si>
    <t>CALM Grid (Thaw depth)</t>
  </si>
  <si>
    <t>AR102</t>
  </si>
  <si>
    <t>AR103</t>
  </si>
  <si>
    <t>Vegetation and Soils Transect</t>
  </si>
  <si>
    <t>AR104</t>
  </si>
  <si>
    <t>AR105</t>
  </si>
  <si>
    <t>AR106</t>
  </si>
  <si>
    <t>AR107</t>
  </si>
  <si>
    <t>AR108</t>
  </si>
  <si>
    <t>AR109</t>
  </si>
  <si>
    <t>AR110</t>
  </si>
  <si>
    <t>AR111</t>
  </si>
  <si>
    <t>AR112</t>
  </si>
  <si>
    <t>AR113</t>
  </si>
  <si>
    <t>ARFB</t>
  </si>
  <si>
    <t>ARFC</t>
  </si>
  <si>
    <t>Atigun River</t>
  </si>
  <si>
    <t>Confluence with the West Fork of the Atigun</t>
  </si>
  <si>
    <t>Atigun River West Fork</t>
  </si>
  <si>
    <t>Confluence with the main fork of the Atigun</t>
  </si>
  <si>
    <t>Atigun tributary station 01</t>
  </si>
  <si>
    <t>Atigun trib sta 1</t>
  </si>
  <si>
    <t>Atigun tributary station 02</t>
  </si>
  <si>
    <t>Atigun trib sta 2</t>
  </si>
  <si>
    <t>Atigun tributary station 03</t>
  </si>
  <si>
    <t>Atigun trib sta 3</t>
  </si>
  <si>
    <t>Bern Lake</t>
  </si>
  <si>
    <t>Lake and stream survey 1988 #21</t>
  </si>
  <si>
    <t>Birthday Creek</t>
  </si>
  <si>
    <t>LTER_Shaver_Kling_Bowden_Giblin_Luecke</t>
  </si>
  <si>
    <t>Borrow Pit  1</t>
  </si>
  <si>
    <t>Lake and stream survey 1988 #14</t>
  </si>
  <si>
    <t>Borrow Pit  2</t>
  </si>
  <si>
    <t>Lake and stream survey 1988 #15</t>
  </si>
  <si>
    <t>Camp Pond</t>
  </si>
  <si>
    <t>Near old camp by the south end of the runway</t>
  </si>
  <si>
    <t>Lake and stream survey 1988 #27</t>
  </si>
  <si>
    <t>C Pond</t>
  </si>
  <si>
    <t>Campsite Lake</t>
  </si>
  <si>
    <t>Oil Can</t>
  </si>
  <si>
    <t>Gas Can</t>
  </si>
  <si>
    <t>Clem Lake</t>
  </si>
  <si>
    <t>Cobblestone Creek</t>
  </si>
  <si>
    <t>Conflict Lakes A1</t>
  </si>
  <si>
    <t>Conflict Lakes A2</t>
  </si>
  <si>
    <t>Conflict Lakes B1</t>
  </si>
  <si>
    <t>Conflict Lakes B2</t>
  </si>
  <si>
    <t>Conflict Lakes B3</t>
  </si>
  <si>
    <t>Conflict Lakes B4</t>
  </si>
  <si>
    <t>GTH154 or 153</t>
  </si>
  <si>
    <t>Conflict Lakes C1</t>
  </si>
  <si>
    <t>Conflict Lakes C2</t>
  </si>
  <si>
    <t>Control CALM grid, NW corner</t>
  </si>
  <si>
    <t>Costal Plain Lake  00</t>
  </si>
  <si>
    <t>Costal plain Survey #1 in 1995</t>
  </si>
  <si>
    <t>Costal Plain Lake  01</t>
  </si>
  <si>
    <t>LH-1</t>
  </si>
  <si>
    <t>Coastal Plain Lakes Helicopter Survey 1994, 1995 #1 and #2</t>
  </si>
  <si>
    <t>LS-1</t>
  </si>
  <si>
    <t>Costal Plain Lakes Helicopter Survey (#1 and #2 1996 &amp; 1997)</t>
  </si>
  <si>
    <t>Costal Plain Lake  02</t>
  </si>
  <si>
    <t>LH-2</t>
  </si>
  <si>
    <t>LS-2</t>
  </si>
  <si>
    <t>Costal Plain Lake  03</t>
  </si>
  <si>
    <t>LH-3</t>
  </si>
  <si>
    <t>LS-3</t>
  </si>
  <si>
    <t>Costal Plain Lake  04</t>
  </si>
  <si>
    <t>LH-4</t>
  </si>
  <si>
    <t>LS-4</t>
  </si>
  <si>
    <t>Costal Plain Lake  05</t>
  </si>
  <si>
    <t>LH-5</t>
  </si>
  <si>
    <t>LS-5</t>
  </si>
  <si>
    <t>Costal Plain Lake  06</t>
  </si>
  <si>
    <t>LH-6</t>
  </si>
  <si>
    <t>LS-6</t>
  </si>
  <si>
    <t>Costal Plain Lake  07</t>
  </si>
  <si>
    <t>LH-7</t>
  </si>
  <si>
    <t>LS-7</t>
  </si>
  <si>
    <t>Costal Plain Lake  08</t>
  </si>
  <si>
    <t>LH-8</t>
  </si>
  <si>
    <t>LS-8</t>
  </si>
  <si>
    <t>Costal Plain Lake  09</t>
  </si>
  <si>
    <t>LH-9</t>
  </si>
  <si>
    <t>LS-9</t>
  </si>
  <si>
    <t>Costal Plain Lake  10</t>
  </si>
  <si>
    <t>LH-10</t>
  </si>
  <si>
    <t>LS-10</t>
  </si>
  <si>
    <t>Costal Plain Lake  11</t>
  </si>
  <si>
    <t>LH-11</t>
  </si>
  <si>
    <t>LS-11</t>
  </si>
  <si>
    <t>Costal Plain Lake  12</t>
  </si>
  <si>
    <t>LH-12</t>
  </si>
  <si>
    <t>LS-12</t>
  </si>
  <si>
    <t>Costal Plain Lake  13</t>
  </si>
  <si>
    <t>LH-13</t>
  </si>
  <si>
    <t>LS-13</t>
  </si>
  <si>
    <t>Costal Plain Lake  14</t>
  </si>
  <si>
    <t>LH-14</t>
  </si>
  <si>
    <t>LS-14</t>
  </si>
  <si>
    <t>Costal Plain Lake  15</t>
  </si>
  <si>
    <t>LS-15</t>
  </si>
  <si>
    <t>Costal Plain Lake  16</t>
  </si>
  <si>
    <t>LH-16</t>
  </si>
  <si>
    <t>LS-16</t>
  </si>
  <si>
    <t>Costal Plain Lake  17</t>
  </si>
  <si>
    <t>LH-17</t>
  </si>
  <si>
    <t>LS-17</t>
  </si>
  <si>
    <t>Costal Plain Lake  18</t>
  </si>
  <si>
    <t>LH-18</t>
  </si>
  <si>
    <t>LS-18</t>
  </si>
  <si>
    <t>Costal Plain Lake  19</t>
  </si>
  <si>
    <t>LH-19</t>
  </si>
  <si>
    <t>LS-19</t>
  </si>
  <si>
    <t>Costal Plain Lake  20</t>
  </si>
  <si>
    <t>LH-20</t>
  </si>
  <si>
    <t>LS-20</t>
  </si>
  <si>
    <t>Costal Plain Lake  21</t>
  </si>
  <si>
    <t>LH-21</t>
  </si>
  <si>
    <t>LS-21</t>
  </si>
  <si>
    <t>Costal Plain Lake  22</t>
  </si>
  <si>
    <t>LH-22</t>
  </si>
  <si>
    <t>LS-22</t>
  </si>
  <si>
    <t>Costal Plain Lake  23</t>
  </si>
  <si>
    <t>LH-23</t>
  </si>
  <si>
    <t>LS-23</t>
  </si>
  <si>
    <t>Costal Plain Lake  24</t>
  </si>
  <si>
    <t>LH-24</t>
  </si>
  <si>
    <t>LS-24</t>
  </si>
  <si>
    <t>Costal Plain Lake  25</t>
  </si>
  <si>
    <t>LH-25</t>
  </si>
  <si>
    <t>LS-25</t>
  </si>
  <si>
    <t>Costal Plain Lake  26</t>
  </si>
  <si>
    <t>LH-26</t>
  </si>
  <si>
    <t>LS-26</t>
  </si>
  <si>
    <t>Costal Plain Lake  27</t>
  </si>
  <si>
    <t>LH-27</t>
  </si>
  <si>
    <t>LS-27</t>
  </si>
  <si>
    <t>Costal Plain Lake  28</t>
  </si>
  <si>
    <t>LH-28</t>
  </si>
  <si>
    <t>LS-28</t>
  </si>
  <si>
    <t>Costal Plain Lake  29</t>
  </si>
  <si>
    <t>LH-29</t>
  </si>
  <si>
    <t>Costal Plain Lake  30</t>
  </si>
  <si>
    <t>Colville river</t>
  </si>
  <si>
    <t>Coastal Plain survey #3 in 1995</t>
  </si>
  <si>
    <t>Dam Pond</t>
  </si>
  <si>
    <t>Behind kitchen at new camp, just north of main Toolik Inlet</t>
  </si>
  <si>
    <t>Dennis Lake</t>
  </si>
  <si>
    <t>Lakes north of Toolik Lake, flowing into Toolik outlet stream</t>
  </si>
  <si>
    <t>Desert Lake</t>
  </si>
  <si>
    <t>Far South survey 1999</t>
  </si>
  <si>
    <t>Dimple Flux Star</t>
  </si>
  <si>
    <t>Surface Reflectance Sampling</t>
  </si>
  <si>
    <t>Dimple Lake</t>
  </si>
  <si>
    <t>Dimple Lake Inlet</t>
  </si>
  <si>
    <t>Dimple Inlet</t>
  </si>
  <si>
    <t>Dimple Lake Outlet</t>
  </si>
  <si>
    <t>Dimple Outlet</t>
  </si>
  <si>
    <t>Dimple Lake Outlet - NEW</t>
  </si>
  <si>
    <t>Dimple Lake Outlet Stream</t>
  </si>
  <si>
    <t>Dimple Outlet Stream</t>
  </si>
  <si>
    <t>Drill Hole Lake</t>
  </si>
  <si>
    <t>Duckling pond</t>
  </si>
  <si>
    <t>Dune Pond</t>
  </si>
  <si>
    <t>Lake and stream survey 1988 #20</t>
  </si>
  <si>
    <t>E 01</t>
  </si>
  <si>
    <t>E 1</t>
  </si>
  <si>
    <t>E1</t>
  </si>
  <si>
    <t>E 01 Outlet</t>
  </si>
  <si>
    <t>E1 Outlet</t>
  </si>
  <si>
    <t>E1-Out</t>
  </si>
  <si>
    <t>E 02</t>
  </si>
  <si>
    <t>E 2</t>
  </si>
  <si>
    <t>E2</t>
  </si>
  <si>
    <t>E 03</t>
  </si>
  <si>
    <t>E 3</t>
  </si>
  <si>
    <t>E3</t>
  </si>
  <si>
    <t>E 04</t>
  </si>
  <si>
    <t>E 4</t>
  </si>
  <si>
    <t>E4</t>
  </si>
  <si>
    <t>E 05</t>
  </si>
  <si>
    <t>Oil Spill Lake</t>
  </si>
  <si>
    <t>Oil</t>
  </si>
  <si>
    <t>E 06</t>
  </si>
  <si>
    <t>E 6</t>
  </si>
  <si>
    <t>E6</t>
  </si>
  <si>
    <t>E 5 Inlet South</t>
  </si>
  <si>
    <t xml:space="preserve">E 05 In South        </t>
  </si>
  <si>
    <t>E5InS</t>
  </si>
  <si>
    <t>E 5 Inlet West</t>
  </si>
  <si>
    <t xml:space="preserve">E 05 In West        </t>
  </si>
  <si>
    <t>E5InWest</t>
  </si>
  <si>
    <t>E 5 Outlet</t>
  </si>
  <si>
    <t>E5 Out</t>
  </si>
  <si>
    <t>E5Out</t>
  </si>
  <si>
    <t>Echooka River</t>
  </si>
  <si>
    <t>Elusive Lake</t>
  </si>
  <si>
    <t>On accomplishment Creek</t>
  </si>
  <si>
    <t>Escher Lakes 01</t>
  </si>
  <si>
    <t>Escher Lakes 02</t>
  </si>
  <si>
    <t>Escher Lakes 03</t>
  </si>
  <si>
    <t>Escher Lakes 04</t>
  </si>
  <si>
    <t>Escher Lakes 05</t>
  </si>
  <si>
    <t>Escher Lakes 06</t>
  </si>
  <si>
    <t>Far South Lake  04</t>
  </si>
  <si>
    <t>Far South Lake  05</t>
  </si>
  <si>
    <t>Fog Lake 1</t>
  </si>
  <si>
    <t>Foggy Lake</t>
  </si>
  <si>
    <t>Fog 01</t>
  </si>
  <si>
    <t>Fog Lake 2</t>
  </si>
  <si>
    <t>Hanging Lake</t>
  </si>
  <si>
    <t>Fog 02</t>
  </si>
  <si>
    <t>Fog Lake 3</t>
  </si>
  <si>
    <t>Moose Lake</t>
  </si>
  <si>
    <t>Fog 03</t>
  </si>
  <si>
    <t>Fog Lake 4</t>
  </si>
  <si>
    <t>Fog 04</t>
  </si>
  <si>
    <t>F4</t>
  </si>
  <si>
    <t>Fog Lake 5</t>
  </si>
  <si>
    <t>Fog 05</t>
  </si>
  <si>
    <t>F5</t>
  </si>
  <si>
    <t>Galbraith Lake</t>
  </si>
  <si>
    <t>Lake and stream survey 1988 #04</t>
  </si>
  <si>
    <t>Galbraith lake survey lake 03</t>
  </si>
  <si>
    <t>GS03</t>
  </si>
  <si>
    <t>Galbraith lake survey</t>
  </si>
  <si>
    <t>Galbraith lake survey lake 04</t>
  </si>
  <si>
    <t>GS04</t>
  </si>
  <si>
    <t>Galbraith lake survey lake 05</t>
  </si>
  <si>
    <t>GS05</t>
  </si>
  <si>
    <t>Galbraith lake survey lake 06</t>
  </si>
  <si>
    <t>GS06</t>
  </si>
  <si>
    <t>Galbraith lake survey lake 07</t>
  </si>
  <si>
    <t>GS07</t>
  </si>
  <si>
    <t>Galbraith lake survey lake 08</t>
  </si>
  <si>
    <t>GS08</t>
  </si>
  <si>
    <t>Galbraith lake survey lake 09</t>
  </si>
  <si>
    <t>GS09</t>
  </si>
  <si>
    <t>Galbraith lake survey lake 14</t>
  </si>
  <si>
    <t>GS14</t>
  </si>
  <si>
    <t>Galbraith lake survey lake 17</t>
  </si>
  <si>
    <t>GS17</t>
  </si>
  <si>
    <t>Galbraith lake survey lake 18</t>
  </si>
  <si>
    <t>GS18</t>
  </si>
  <si>
    <t>Galbraith lake survey lake 19</t>
  </si>
  <si>
    <t>GS19</t>
  </si>
  <si>
    <t>Galbraith lake survey lake 20</t>
  </si>
  <si>
    <t>GS20</t>
  </si>
  <si>
    <t>Gates River Station 04</t>
  </si>
  <si>
    <t>Gates River Sta. 4</t>
  </si>
  <si>
    <t>Gates River Station 05</t>
  </si>
  <si>
    <t>Gates River Sta. 5</t>
  </si>
  <si>
    <t>Gates River Station 06</t>
  </si>
  <si>
    <t>Gates River Sta. 6</t>
  </si>
  <si>
    <t>Green Cabin Lake</t>
  </si>
  <si>
    <t>Headwater Lake of the Kupurak River</t>
  </si>
  <si>
    <t>GTH#46</t>
  </si>
  <si>
    <t>GTH 046</t>
  </si>
  <si>
    <t>GTH 100</t>
  </si>
  <si>
    <t>Lake is called GTH 100 and Airstrip Lakes A2</t>
  </si>
  <si>
    <t>Airstrip Lakes A2</t>
  </si>
  <si>
    <t>GTH_Hershey</t>
  </si>
  <si>
    <t>Geomorphic Trophic Hypothesis</t>
  </si>
  <si>
    <t>GTH 101</t>
  </si>
  <si>
    <t>Lake is called GTH 101 and Airstrip Lakes A3</t>
  </si>
  <si>
    <t>Airstrip Lakes A3</t>
  </si>
  <si>
    <t>GTH 102</t>
  </si>
  <si>
    <t xml:space="preserve">Lake is called GTH 102 and </t>
  </si>
  <si>
    <t>GTH 103</t>
  </si>
  <si>
    <t>Lake is called GTH 103 and Airstrip Lakes A4</t>
  </si>
  <si>
    <t>Airstrip Lakes A4</t>
  </si>
  <si>
    <t>GTH 104</t>
  </si>
  <si>
    <t>Lake is called GTH 104</t>
  </si>
  <si>
    <t>GTH 105</t>
  </si>
  <si>
    <t>Lake is called GTH 105</t>
  </si>
  <si>
    <t>GTH 106</t>
  </si>
  <si>
    <t>Lake is called GTH 106</t>
  </si>
  <si>
    <t>GTH 107</t>
  </si>
  <si>
    <t>Lake is called GTH 107</t>
  </si>
  <si>
    <t>GTH 108</t>
  </si>
  <si>
    <t>Lake is called GTH 108</t>
  </si>
  <si>
    <t>GTH 109</t>
  </si>
  <si>
    <t>Lake is called GTH 109</t>
  </si>
  <si>
    <t>GTH 110</t>
  </si>
  <si>
    <t>Lake is called GTH 110</t>
  </si>
  <si>
    <t>GTH 111</t>
  </si>
  <si>
    <t>Lake is called GTH 111</t>
  </si>
  <si>
    <t>GTH 112</t>
  </si>
  <si>
    <t>Lake is called GTH 112</t>
  </si>
  <si>
    <t>GTH 113</t>
  </si>
  <si>
    <t>Lake is called GTH 113</t>
  </si>
  <si>
    <t>GTH 114</t>
  </si>
  <si>
    <t>Lake is called GTH 114</t>
  </si>
  <si>
    <t>GTH 82</t>
  </si>
  <si>
    <t>Lake is called GTH 82</t>
  </si>
  <si>
    <t>GTH 83</t>
  </si>
  <si>
    <t>Lake is called GTH 83</t>
  </si>
  <si>
    <t>GTH 84</t>
  </si>
  <si>
    <t>Lake is called GTH 84</t>
  </si>
  <si>
    <t>GTH 85</t>
  </si>
  <si>
    <t>Lake is called GTH 85</t>
  </si>
  <si>
    <t>GTH 86</t>
  </si>
  <si>
    <t>Lake is called GTH 86</t>
  </si>
  <si>
    <t>GTH 87</t>
  </si>
  <si>
    <t>Lake is called GTH 87</t>
  </si>
  <si>
    <t>GTH 88</t>
  </si>
  <si>
    <t>Lake is called GTH 88</t>
  </si>
  <si>
    <t>GTH 89</t>
  </si>
  <si>
    <t>Lake is called GTH 89</t>
  </si>
  <si>
    <t>GTH 90</t>
  </si>
  <si>
    <t>Lake is called GTH 90</t>
  </si>
  <si>
    <t>GTH 91</t>
  </si>
  <si>
    <t>Lake is called GTH 91</t>
  </si>
  <si>
    <t>GTH 92</t>
  </si>
  <si>
    <t>Lake is called GTH 92</t>
  </si>
  <si>
    <t>GTH 93</t>
  </si>
  <si>
    <t>Lake is called GTH 93</t>
  </si>
  <si>
    <t>GTH 94</t>
  </si>
  <si>
    <t>Lake is called GTH 94</t>
  </si>
  <si>
    <t>GTH 95</t>
  </si>
  <si>
    <t>Lake is called GTH 95</t>
  </si>
  <si>
    <t>GTH 96</t>
  </si>
  <si>
    <t>Lake is called GTH 96</t>
  </si>
  <si>
    <t>GTH 97</t>
  </si>
  <si>
    <t>Lake is called GTH 97</t>
  </si>
  <si>
    <t>GTH 98</t>
  </si>
  <si>
    <t>Lake is called GTH 98</t>
  </si>
  <si>
    <t>GTH 99</t>
  </si>
  <si>
    <t>Lake is called GTH 99 and Airstrip Lakes A1</t>
  </si>
  <si>
    <t>Airstrip Lakes A1</t>
  </si>
  <si>
    <t>Gypsy Pool</t>
  </si>
  <si>
    <t>Happy Valley Stream</t>
  </si>
  <si>
    <t>Helicopter Survey Lake  01</t>
  </si>
  <si>
    <t>LH2-1</t>
  </si>
  <si>
    <t>Lakes Helicopter Survey #2 1994, 1995</t>
  </si>
  <si>
    <t>Helicopter Survey Lake  02</t>
  </si>
  <si>
    <t>LH2-2</t>
  </si>
  <si>
    <t>Helicopter Survey Lake  03</t>
  </si>
  <si>
    <t>LH2-3</t>
  </si>
  <si>
    <t>Helicopter Survey Lake  04</t>
  </si>
  <si>
    <t>LH2-4</t>
  </si>
  <si>
    <t>Helicopter Survey Lake  05</t>
  </si>
  <si>
    <t>LH2-5</t>
  </si>
  <si>
    <t>Helicopter Survey Lake  06</t>
  </si>
  <si>
    <t>LH2-6</t>
  </si>
  <si>
    <t>Helicopter Survey Lake  07</t>
  </si>
  <si>
    <t>LH2-7</t>
  </si>
  <si>
    <t>Helicopter Survey Lake  08</t>
  </si>
  <si>
    <t>LH2-8</t>
  </si>
  <si>
    <t>Helicopter Survey Lake  09</t>
  </si>
  <si>
    <t>LH2-9</t>
  </si>
  <si>
    <t>Helicopter Survey Lake  10</t>
  </si>
  <si>
    <t>LH2-10</t>
  </si>
  <si>
    <t>Helicopter Survey Lake  11</t>
  </si>
  <si>
    <t>LH2-11</t>
  </si>
  <si>
    <t>Helicopter Survey Lake  12</t>
  </si>
  <si>
    <t>LH2-12</t>
  </si>
  <si>
    <t>Helicopter Survey Lake  13</t>
  </si>
  <si>
    <t>LH2-13</t>
  </si>
  <si>
    <t>Helicopter Survey Lake  14</t>
  </si>
  <si>
    <t>LH2-14</t>
  </si>
  <si>
    <t>Coastal plain survey #2 in 1995</t>
  </si>
  <si>
    <t>Helicopter Survey Lake  15</t>
  </si>
  <si>
    <t>LH2-15</t>
  </si>
  <si>
    <t>Hershey Creek</t>
  </si>
  <si>
    <t>nutrients</t>
  </si>
  <si>
    <t>Horn Lake</t>
  </si>
  <si>
    <t>I Minus</t>
  </si>
  <si>
    <t>Toolik Inlet Lakes</t>
  </si>
  <si>
    <t>I Minus 01</t>
  </si>
  <si>
    <t>I Minus 1</t>
  </si>
  <si>
    <t>I Minus 02</t>
  </si>
  <si>
    <t>I Minus 2</t>
  </si>
  <si>
    <t>I Minus Inlet</t>
  </si>
  <si>
    <t>Surveyed by Kling, Crump, Nannen in 2010</t>
  </si>
  <si>
    <t>Thermokarst</t>
  </si>
  <si>
    <t>I Minus Outlet</t>
  </si>
  <si>
    <t>I Swamp</t>
  </si>
  <si>
    <t>Swamp</t>
  </si>
  <si>
    <t>I Swamp Inlet</t>
  </si>
  <si>
    <t>Swamp between I8 an I9</t>
  </si>
  <si>
    <t>I-swamp In</t>
  </si>
  <si>
    <t>Swamp In</t>
  </si>
  <si>
    <t>ISeries</t>
  </si>
  <si>
    <t>I Swamp Outlet</t>
  </si>
  <si>
    <t>I-swamp Out</t>
  </si>
  <si>
    <t>Swamp Out</t>
  </si>
  <si>
    <t>I1</t>
  </si>
  <si>
    <t>I 1</t>
  </si>
  <si>
    <t>I-1</t>
  </si>
  <si>
    <t>I1 into I3</t>
  </si>
  <si>
    <t>I1-I3</t>
  </si>
  <si>
    <t>IS4</t>
  </si>
  <si>
    <t>I1 Outlet</t>
  </si>
  <si>
    <t>I1 Out</t>
  </si>
  <si>
    <t>IS3</t>
  </si>
  <si>
    <t>I2</t>
  </si>
  <si>
    <t>I 2</t>
  </si>
  <si>
    <t>I-2</t>
  </si>
  <si>
    <t>I2 into I3</t>
  </si>
  <si>
    <t>I2-I3</t>
  </si>
  <si>
    <t>IS5</t>
  </si>
  <si>
    <t>I2 Outlet</t>
  </si>
  <si>
    <t>I2 Out</t>
  </si>
  <si>
    <t>IS2</t>
  </si>
  <si>
    <t>I3</t>
  </si>
  <si>
    <t>I 3</t>
  </si>
  <si>
    <t>I-3</t>
  </si>
  <si>
    <t>I3 Outlet</t>
  </si>
  <si>
    <t>I3 Out</t>
  </si>
  <si>
    <t>IS6</t>
  </si>
  <si>
    <t>I4</t>
  </si>
  <si>
    <t>I 4</t>
  </si>
  <si>
    <t>I-4</t>
  </si>
  <si>
    <t>I4 into I5</t>
  </si>
  <si>
    <t>I4-I5</t>
  </si>
  <si>
    <t>IS8</t>
  </si>
  <si>
    <t>I4 Outlet</t>
  </si>
  <si>
    <t>I4 Out</t>
  </si>
  <si>
    <t>IS7</t>
  </si>
  <si>
    <t>I5</t>
  </si>
  <si>
    <t>I 5</t>
  </si>
  <si>
    <t>I-5</t>
  </si>
  <si>
    <t>I5 into I6</t>
  </si>
  <si>
    <t>I5-I6</t>
  </si>
  <si>
    <t>IS10</t>
  </si>
  <si>
    <t>I5 Outlet</t>
  </si>
  <si>
    <t>I5 Out</t>
  </si>
  <si>
    <t>IS9</t>
  </si>
  <si>
    <t>I6</t>
  </si>
  <si>
    <t>I 6</t>
  </si>
  <si>
    <t>I-6</t>
  </si>
  <si>
    <t>I6 Headwater Lake</t>
  </si>
  <si>
    <t>I6 West Headwater</t>
  </si>
  <si>
    <t>I6 HW</t>
  </si>
  <si>
    <t>I6 Headwater Lake Inlet</t>
  </si>
  <si>
    <t>I6 West Headwaters Inlet</t>
  </si>
  <si>
    <t>I6 HW Inlet</t>
  </si>
  <si>
    <t>I6 Headwater Lake into I6 station 2</t>
  </si>
  <si>
    <t>Surveyed by LTREB in 2008, 2009, 2010</t>
  </si>
  <si>
    <t>Stream Survey</t>
  </si>
  <si>
    <t>I6 Headwater Lake into I6 station 3</t>
  </si>
  <si>
    <t>I6 Headwater Lake Outlet</t>
  </si>
  <si>
    <t>I6 West Headwaters Outlet</t>
  </si>
  <si>
    <t>I6 HW Outlet</t>
  </si>
  <si>
    <t>I6 Inlet West</t>
  </si>
  <si>
    <t>I6 West Inlet</t>
  </si>
  <si>
    <t>IS11</t>
  </si>
  <si>
    <t>I6 Outlet</t>
  </si>
  <si>
    <t>I6 Out</t>
  </si>
  <si>
    <t>IS12</t>
  </si>
  <si>
    <t>I7</t>
  </si>
  <si>
    <t>I 7</t>
  </si>
  <si>
    <t>I-7</t>
  </si>
  <si>
    <t>I7 into I9</t>
  </si>
  <si>
    <t>I7-I9</t>
  </si>
  <si>
    <t>IS16</t>
  </si>
  <si>
    <t>I7 Outlet</t>
  </si>
  <si>
    <t>I7 Out</t>
  </si>
  <si>
    <t>IS13</t>
  </si>
  <si>
    <t>I8</t>
  </si>
  <si>
    <t>I 8</t>
  </si>
  <si>
    <t>I-8</t>
  </si>
  <si>
    <t>I8 Headwater</t>
  </si>
  <si>
    <t>I8 HW</t>
  </si>
  <si>
    <t>IS1</t>
  </si>
  <si>
    <t>I8 Headwater stream station 2</t>
  </si>
  <si>
    <t>I8 Headwater stream station 3</t>
  </si>
  <si>
    <t>I8 Inlet</t>
  </si>
  <si>
    <t>I8 In</t>
  </si>
  <si>
    <t>IS14</t>
  </si>
  <si>
    <t>I8 Inlet East</t>
  </si>
  <si>
    <t>Surveyed by Ashley Larsen for her REU project in 2007.  Mentored by GWK and HEA</t>
  </si>
  <si>
    <t>REU_Kling_Larsen_Adams</t>
  </si>
  <si>
    <t>I8 Mass Balance Survey</t>
  </si>
  <si>
    <t>I8 Inlet East Northeast</t>
  </si>
  <si>
    <t>I8 Inlet South</t>
  </si>
  <si>
    <t>I8 Inlet Southeast</t>
  </si>
  <si>
    <t>I8 Inlet-0.42k</t>
  </si>
  <si>
    <t>I8 Headwaters Habitat Survey</t>
  </si>
  <si>
    <t>I8 into I9</t>
  </si>
  <si>
    <t>I8-I9</t>
  </si>
  <si>
    <t>IS17</t>
  </si>
  <si>
    <t>I8 Lake Center</t>
  </si>
  <si>
    <t>I8 Lake East</t>
  </si>
  <si>
    <t>I8 Lake Northeast</t>
  </si>
  <si>
    <t>I8 Lake Northwest</t>
  </si>
  <si>
    <t>I8 Lake Southeast</t>
  </si>
  <si>
    <t>I8 Lake Southwest</t>
  </si>
  <si>
    <t>I8 Lake West</t>
  </si>
  <si>
    <t>I8 Northeast Inlet</t>
  </si>
  <si>
    <t>I8 Outlet</t>
  </si>
  <si>
    <t>I8 Out</t>
  </si>
  <si>
    <t xml:space="preserve">Blueberry Creek </t>
  </si>
  <si>
    <t>I8 Outlet Tributary</t>
  </si>
  <si>
    <t>"NA" is the same as Blueberry Creek, and should be called I-8 Outlet</t>
  </si>
  <si>
    <t>NA Trib</t>
  </si>
  <si>
    <t>Blueberry Creek Trib</t>
  </si>
  <si>
    <t>I9</t>
  </si>
  <si>
    <t>I 9</t>
  </si>
  <si>
    <t>I-9</t>
  </si>
  <si>
    <t>I9 Outlet</t>
  </si>
  <si>
    <t>I9 Out</t>
  </si>
  <si>
    <t>IS22</t>
  </si>
  <si>
    <t>Im2 HIGH SIDE</t>
  </si>
  <si>
    <t>Streams</t>
  </si>
  <si>
    <t>Im2 IMP</t>
  </si>
  <si>
    <t>Im2 REF</t>
  </si>
  <si>
    <t>Im2 TK HIGH</t>
  </si>
  <si>
    <t>Im2 TK LOW</t>
  </si>
  <si>
    <t>Imnavait A</t>
  </si>
  <si>
    <t>Imnavait AA</t>
  </si>
  <si>
    <t>Imnavait B</t>
  </si>
  <si>
    <t>Imnavait C</t>
  </si>
  <si>
    <t>Imnavait Creek</t>
  </si>
  <si>
    <t>IMN</t>
  </si>
  <si>
    <t>Imnaviat</t>
  </si>
  <si>
    <t>Imnavait D</t>
  </si>
  <si>
    <t>Imnavait E</t>
  </si>
  <si>
    <t>Imnavait Site 02</t>
  </si>
  <si>
    <t>Imnavait Site2</t>
  </si>
  <si>
    <t>Imnavait Site 03</t>
  </si>
  <si>
    <t>Imnavait Site3</t>
  </si>
  <si>
    <t>Biocomplexity_Kling_Stieglitz</t>
  </si>
  <si>
    <t>Imnavait Upper</t>
  </si>
  <si>
    <t>Imnavait Weir</t>
  </si>
  <si>
    <t>IMN Weir</t>
  </si>
  <si>
    <t>Imnavait</t>
  </si>
  <si>
    <t>Imnavait WT 07 Weir</t>
  </si>
  <si>
    <t>WT7 weir</t>
  </si>
  <si>
    <t>Imnavait WT 07-01</t>
  </si>
  <si>
    <t>Imnavait WT 07-02</t>
  </si>
  <si>
    <t>Imnavait WT 07-03</t>
  </si>
  <si>
    <t>Imnavait WT 07-04</t>
  </si>
  <si>
    <t>Imnavait WT 08-01</t>
  </si>
  <si>
    <t>IMN WT 8-1</t>
  </si>
  <si>
    <t>Imnavait WT 08-02</t>
  </si>
  <si>
    <t>IMN WT 8-2</t>
  </si>
  <si>
    <t>Imnavait WT 08-03</t>
  </si>
  <si>
    <t>IMN WT 8-3</t>
  </si>
  <si>
    <t>Imnavait WT 08-04</t>
  </si>
  <si>
    <t>IMN WT 8-4</t>
  </si>
  <si>
    <t>Imnavait WT 08-05</t>
  </si>
  <si>
    <t>IMN WT 8-5</t>
  </si>
  <si>
    <t>Imnavait WT 08-06</t>
  </si>
  <si>
    <t>IMN WT 8-6</t>
  </si>
  <si>
    <t>Imnavait WT 08-07</t>
  </si>
  <si>
    <t>IMN WT 8-7</t>
  </si>
  <si>
    <t>Imnavait WT 08-08</t>
  </si>
  <si>
    <t>IMN WT 8-8</t>
  </si>
  <si>
    <t>Imnavait WT 08-09</t>
  </si>
  <si>
    <t>IMN WT 8-9</t>
  </si>
  <si>
    <t>Imnavait WT 08-10</t>
  </si>
  <si>
    <t>IMN WT 8-10</t>
  </si>
  <si>
    <t>Imnavait WT 08-11</t>
  </si>
  <si>
    <t>IMN WT 8-11</t>
  </si>
  <si>
    <t>Imnavait WT 08-12</t>
  </si>
  <si>
    <t>IMN WT 8-12</t>
  </si>
  <si>
    <t>Imnavait WT 08-13</t>
  </si>
  <si>
    <t>IMN WT 8-13</t>
  </si>
  <si>
    <t>Imnavait WT 08-14</t>
  </si>
  <si>
    <t>IMN WT 8-14</t>
  </si>
  <si>
    <t>Imnavait WT 08-15</t>
  </si>
  <si>
    <t>IMN WT 8-15</t>
  </si>
  <si>
    <t>Imnavait WT 08-16</t>
  </si>
  <si>
    <t>IMN WT 8-16</t>
  </si>
  <si>
    <t>Imnavait WT 08-17</t>
  </si>
  <si>
    <t>IMN WT 8-17</t>
  </si>
  <si>
    <t>Imnavait WT 12 CR5</t>
  </si>
  <si>
    <t>Imnavait WT 12 FS5</t>
  </si>
  <si>
    <t>Imnavait WT 12 LB5</t>
  </si>
  <si>
    <t>Yuriko Yano and Kei Koba sites on Water Track 12 - FS=Footslope, CR=Crest, UB=Upper Back Slope, LB=Lower Back Slope</t>
  </si>
  <si>
    <t>Imnavait WT 12 UB5</t>
  </si>
  <si>
    <t>Island Lake</t>
  </si>
  <si>
    <t>Lake and stream survey 1988 #28</t>
  </si>
  <si>
    <t>Itigaknit Lake</t>
  </si>
  <si>
    <t>Has been called NE15, which is incorrect.  Delete this reference if you find it, and change to Itigaknit.</t>
  </si>
  <si>
    <t>Itkillik Lake</t>
  </si>
  <si>
    <t>Itkillik</t>
  </si>
  <si>
    <t>Itkillik Trib East</t>
  </si>
  <si>
    <t>nutrients and YOY</t>
  </si>
  <si>
    <t>Itkillik Trib West</t>
  </si>
  <si>
    <t>Itkillik Tributary-Burned</t>
  </si>
  <si>
    <t>Angie 1a</t>
  </si>
  <si>
    <t>Itkillik Tributary-Unburned</t>
  </si>
  <si>
    <t>Angie 2a</t>
  </si>
  <si>
    <t>Kuparuk 0.0k</t>
  </si>
  <si>
    <t>1985-1995, 2011-present phosphorus addition</t>
  </si>
  <si>
    <t>Kuparuk -0.177k</t>
  </si>
  <si>
    <t>Kuparuk 0.3k</t>
  </si>
  <si>
    <t>YOY</t>
  </si>
  <si>
    <t>Kuparuk -0.3k</t>
  </si>
  <si>
    <t>Kuparuk -0.47k</t>
  </si>
  <si>
    <t>Kuparuk 0.56k</t>
  </si>
  <si>
    <t>Kuparuk 0.5k</t>
  </si>
  <si>
    <t>high-flow discharge measurements</t>
  </si>
  <si>
    <t>Kuparuk 0.74k</t>
  </si>
  <si>
    <t>Kuparuk -0.7k</t>
  </si>
  <si>
    <t>Kuparuk 0.85k</t>
  </si>
  <si>
    <t>Kuparuk 1.0k</t>
  </si>
  <si>
    <t>Kuparuk 1.39k</t>
  </si>
  <si>
    <t>Kuparuk 1.4k</t>
  </si>
  <si>
    <t>1996-2010 phosphoric addition, 2011-present half-rate phosphoric addition</t>
  </si>
  <si>
    <t>Kuparuk 1.8k</t>
  </si>
  <si>
    <t>Kuparuk 2.0k</t>
  </si>
  <si>
    <t>Kuparuk 2.4k</t>
  </si>
  <si>
    <t>Kuparuk 2.5k</t>
  </si>
  <si>
    <t>Kuparuk 3.0k</t>
  </si>
  <si>
    <t>Kuparuk 4.0k</t>
  </si>
  <si>
    <t>Kuparuk game camera</t>
  </si>
  <si>
    <t>game camera</t>
  </si>
  <si>
    <t>Kuparuk River at haul Rd.</t>
  </si>
  <si>
    <t>Kup</t>
  </si>
  <si>
    <t>Kuparuk River Ice Field</t>
  </si>
  <si>
    <t>Kuparuk aufeis</t>
  </si>
  <si>
    <t>Kuparuk Spring</t>
  </si>
  <si>
    <t>KUPB</t>
  </si>
  <si>
    <t>Lake Africa</t>
  </si>
  <si>
    <t>Lake and stream survey 1988 #18</t>
  </si>
  <si>
    <t>Lake Anne</t>
  </si>
  <si>
    <t>Lake and stream survey 1988 #05</t>
  </si>
  <si>
    <t>Lake Carolyn</t>
  </si>
  <si>
    <t>Lake and stream survey 1988 #17</t>
  </si>
  <si>
    <t>Lake Charles</t>
  </si>
  <si>
    <t>Lake and stream survey 1988 #10</t>
  </si>
  <si>
    <t>Lake Colleen</t>
  </si>
  <si>
    <t>Lake and stream survey 1988 #22</t>
  </si>
  <si>
    <t>Colleen Lake</t>
  </si>
  <si>
    <t>Lake George</t>
  </si>
  <si>
    <t>Lake and stream survey 1988 #06</t>
  </si>
  <si>
    <t>Lake Maxine</t>
  </si>
  <si>
    <t>Lake and stream survey 1988 #16</t>
  </si>
  <si>
    <t>Lake William</t>
  </si>
  <si>
    <t>Lake and stream survey 1988 #26</t>
  </si>
  <si>
    <t>William Lake</t>
  </si>
  <si>
    <t>LTER 247</t>
  </si>
  <si>
    <t>Lake is called LTER 247 and GTH 01</t>
  </si>
  <si>
    <t>GTH 01</t>
  </si>
  <si>
    <t>LTER 248</t>
  </si>
  <si>
    <t>Lake is called LTER 248 and GTH 02</t>
  </si>
  <si>
    <t>GTH 02</t>
  </si>
  <si>
    <t>LTER 249</t>
  </si>
  <si>
    <t>Lake is called LTER 249 and GTH 03</t>
  </si>
  <si>
    <t>GTH 03</t>
  </si>
  <si>
    <t>LTER 250</t>
  </si>
  <si>
    <t>Lake is called LTER 250 and GTH 04</t>
  </si>
  <si>
    <t>GTH 04</t>
  </si>
  <si>
    <t>LTER 251</t>
  </si>
  <si>
    <t>Lake is called LTER 251 and GTH 05</t>
  </si>
  <si>
    <t>GTH 05</t>
  </si>
  <si>
    <t>LTER 252</t>
  </si>
  <si>
    <t>Lake is called LTER 252 and GTH 06</t>
  </si>
  <si>
    <t>GTH 06</t>
  </si>
  <si>
    <t>LTER 253</t>
  </si>
  <si>
    <t>Lake is called LTER 253 and GTH 07</t>
  </si>
  <si>
    <t>GTH 07</t>
  </si>
  <si>
    <t>LTER 254</t>
  </si>
  <si>
    <t>Lake is called LTER 254 and GTH 08</t>
  </si>
  <si>
    <t>GTH 08</t>
  </si>
  <si>
    <t>LTER 255</t>
  </si>
  <si>
    <t>Lake is called LTER 255 and GTH 09</t>
  </si>
  <si>
    <t>GTH 09</t>
  </si>
  <si>
    <t>LTER 256</t>
  </si>
  <si>
    <t>Lake is called LTER 256 and GTH 10</t>
  </si>
  <si>
    <t>GTH 10</t>
  </si>
  <si>
    <t>LTER 257</t>
  </si>
  <si>
    <t>Lake is called LTER 257 and GTH 11</t>
  </si>
  <si>
    <t>GTH 11</t>
  </si>
  <si>
    <t>LTER 258</t>
  </si>
  <si>
    <t>Lake is called LTER 258 and GTH 12</t>
  </si>
  <si>
    <t>GTH 12</t>
  </si>
  <si>
    <t>LTER 259</t>
  </si>
  <si>
    <t>Lake is called LTER 259 and GTH 13</t>
  </si>
  <si>
    <t>GTH 13</t>
  </si>
  <si>
    <t>LTER 260</t>
  </si>
  <si>
    <t>Lake is called LTER 260 and GTH 14</t>
  </si>
  <si>
    <t>GTH 14</t>
  </si>
  <si>
    <t>LTER 261</t>
  </si>
  <si>
    <t>Lake is called LTER 261 and GTH 15</t>
  </si>
  <si>
    <t>GTH 15</t>
  </si>
  <si>
    <t>LTER 262</t>
  </si>
  <si>
    <t>Lake is called LTER 262 and GTH 16</t>
  </si>
  <si>
    <t>GTH 16</t>
  </si>
  <si>
    <t>LTER 263</t>
  </si>
  <si>
    <t>Lake is called LTER 263 and GTH 17</t>
  </si>
  <si>
    <t>GTH 17</t>
  </si>
  <si>
    <t>LTER 264</t>
  </si>
  <si>
    <t>Lake is called LTER 264 and GTH 18</t>
  </si>
  <si>
    <t>GTH 18</t>
  </si>
  <si>
    <t>LTER 265</t>
  </si>
  <si>
    <t>Lake is called LTER 265 and GTH 19</t>
  </si>
  <si>
    <t>GTH 19</t>
  </si>
  <si>
    <t>LTER 266</t>
  </si>
  <si>
    <t>Lake is called LTER 266 and GTH 20</t>
  </si>
  <si>
    <t>GTH 20</t>
  </si>
  <si>
    <t>LTER 267</t>
  </si>
  <si>
    <t>Lake is called LTER 267 and GTH 21</t>
  </si>
  <si>
    <t>GTH 21</t>
  </si>
  <si>
    <t>LTER 268</t>
  </si>
  <si>
    <t>Lake is called LTER 268 and GTH 22</t>
  </si>
  <si>
    <t>GTH 22</t>
  </si>
  <si>
    <t>LTER 269</t>
  </si>
  <si>
    <t>Lake is called LTER 269 and GTH 23</t>
  </si>
  <si>
    <t>GTH 23</t>
  </si>
  <si>
    <t>LTER 270</t>
  </si>
  <si>
    <t>Lake is called LTER 270 and GTH 24</t>
  </si>
  <si>
    <t>GTH 24</t>
  </si>
  <si>
    <t>LTER 271</t>
  </si>
  <si>
    <t>Lake is called LTER 271 and GTH 25</t>
  </si>
  <si>
    <t>GTH 25</t>
  </si>
  <si>
    <t>LTER 272</t>
  </si>
  <si>
    <t>Lake is called LTER 272 and GTH 26</t>
  </si>
  <si>
    <t>GTH 26</t>
  </si>
  <si>
    <t>LTER 315</t>
  </si>
  <si>
    <t>Lake is called LTER 315 and GTH 27</t>
  </si>
  <si>
    <t>GTH 27</t>
  </si>
  <si>
    <t>LTER 316</t>
  </si>
  <si>
    <t>Lake is called LTER 316 and GTH 28</t>
  </si>
  <si>
    <t>GTH 28</t>
  </si>
  <si>
    <t>LTER 317</t>
  </si>
  <si>
    <t>Lake is called LTER 317 and GTH 29</t>
  </si>
  <si>
    <t>GTH 29</t>
  </si>
  <si>
    <t>LTER 318</t>
  </si>
  <si>
    <t>Lake is called LTER 318 and GTH 30</t>
  </si>
  <si>
    <t>GTH 30</t>
  </si>
  <si>
    <t>LTER 319</t>
  </si>
  <si>
    <t>Lake is called LTER 319 and GTH 31</t>
  </si>
  <si>
    <t>GTH 31</t>
  </si>
  <si>
    <t>LTER 320</t>
  </si>
  <si>
    <t>Lake is called LTER 320 and GTH 32</t>
  </si>
  <si>
    <t>GTH 32</t>
  </si>
  <si>
    <t>LTER 321</t>
  </si>
  <si>
    <t>Lake is called LTER 321 and GTH 33</t>
  </si>
  <si>
    <t>GTH 33</t>
  </si>
  <si>
    <t>LTER 322</t>
  </si>
  <si>
    <t>Lake is called LTER 322 and GTH 34</t>
  </si>
  <si>
    <t>GTH 34</t>
  </si>
  <si>
    <t>LTER 323</t>
  </si>
  <si>
    <t>Lake is called LTER 323 and GTH 35</t>
  </si>
  <si>
    <t>GTH 35</t>
  </si>
  <si>
    <t>LTER 324</t>
  </si>
  <si>
    <t>Lake is called LTER 324 and GTH 36</t>
  </si>
  <si>
    <t>GTH 36</t>
  </si>
  <si>
    <t>LTER 325</t>
  </si>
  <si>
    <t>Lake is called LTER 325 and GTH 37</t>
  </si>
  <si>
    <t>GTH 37</t>
  </si>
  <si>
    <t>LTER 326</t>
  </si>
  <si>
    <t>Lake is called LTER 326 and GTH 38</t>
  </si>
  <si>
    <t>GTH 38</t>
  </si>
  <si>
    <t>LTER 327</t>
  </si>
  <si>
    <t>Lake is called LTER 327 and GTH 39</t>
  </si>
  <si>
    <t>GTH 39</t>
  </si>
  <si>
    <t>LTER 328</t>
  </si>
  <si>
    <t>Lake is called LTER 328 and GTH 40</t>
  </si>
  <si>
    <t>GTH 40</t>
  </si>
  <si>
    <t>LTER 329</t>
  </si>
  <si>
    <t>Lake is called LTER 329 and GTH 41</t>
  </si>
  <si>
    <t>GTH 41</t>
  </si>
  <si>
    <t>LTER 330</t>
  </si>
  <si>
    <t>Lake is called LTER 330 and GTH 42</t>
  </si>
  <si>
    <t>GTH 42</t>
  </si>
  <si>
    <t>LTER 331</t>
  </si>
  <si>
    <t>Lake is called LTER 331 and GTH 43</t>
  </si>
  <si>
    <t>GTH 43</t>
  </si>
  <si>
    <t>LTER 332</t>
  </si>
  <si>
    <t>Lake is called LTER 332 and GTH 44</t>
  </si>
  <si>
    <t>GTH 44</t>
  </si>
  <si>
    <t>LTER 333</t>
  </si>
  <si>
    <t>Lake is called LTER 333 and GTH 45</t>
  </si>
  <si>
    <t>GTH 45</t>
  </si>
  <si>
    <t>LTER 335</t>
  </si>
  <si>
    <t>Lake is called LTER 335 and GTH 47</t>
  </si>
  <si>
    <t>GTH 47</t>
  </si>
  <si>
    <t>LTER 336</t>
  </si>
  <si>
    <t>Lake is called LTER 336 and GTH 48</t>
  </si>
  <si>
    <t>GTH 48</t>
  </si>
  <si>
    <t>LTER 337</t>
  </si>
  <si>
    <t>Lake is called LTER 337 and GTH 49</t>
  </si>
  <si>
    <t>GTH 49</t>
  </si>
  <si>
    <t>LTER 338</t>
  </si>
  <si>
    <t>Lake is called LTER 338 and GTH 50</t>
  </si>
  <si>
    <t>GTH 50</t>
  </si>
  <si>
    <t>LTER 339</t>
  </si>
  <si>
    <t>Lake is called LTER 339 and GTH 51</t>
  </si>
  <si>
    <t>GTH 51</t>
  </si>
  <si>
    <t>LTER 340</t>
  </si>
  <si>
    <t>Lake is called LTER 340 and GTH 52</t>
  </si>
  <si>
    <t>GTH 52</t>
  </si>
  <si>
    <t>LTER 341</t>
  </si>
  <si>
    <t>Lake is called LTER 341 and GTH 53</t>
  </si>
  <si>
    <t>GTH 53</t>
  </si>
  <si>
    <t>LTER 342</t>
  </si>
  <si>
    <t>Lake is called LTER 342 and GTH 54</t>
  </si>
  <si>
    <t>GTH 54</t>
  </si>
  <si>
    <t>LTER 343</t>
  </si>
  <si>
    <t>Lake is called LTER 343 and GTH 55</t>
  </si>
  <si>
    <t>GTH 55</t>
  </si>
  <si>
    <t>LTER 344</t>
  </si>
  <si>
    <t>Lake is called LTER 344 and GTH 56</t>
  </si>
  <si>
    <t>GTH 56</t>
  </si>
  <si>
    <t>LTER 345</t>
  </si>
  <si>
    <t>Lake is called LTER 345 and GTH 57</t>
  </si>
  <si>
    <t>GTH 57</t>
  </si>
  <si>
    <t>LTER 346</t>
  </si>
  <si>
    <t>Lake is called LTER 346 and GTH 58</t>
  </si>
  <si>
    <t>GTH 58</t>
  </si>
  <si>
    <t>LTER 347</t>
  </si>
  <si>
    <t>Lake is called LTER 347 and GTH 59</t>
  </si>
  <si>
    <t>GTH 59</t>
  </si>
  <si>
    <t>LTER 348</t>
  </si>
  <si>
    <t>Lake is called LTER 348 and GTH 60</t>
  </si>
  <si>
    <t>GTH 60</t>
  </si>
  <si>
    <t>LTER 349</t>
  </si>
  <si>
    <t>Lake is called LTER 349 and GTH 61</t>
  </si>
  <si>
    <t>GTH 61</t>
  </si>
  <si>
    <t>LTER 350</t>
  </si>
  <si>
    <t>Lake is called LTER 350 and GTH 62</t>
  </si>
  <si>
    <t>GTH 62</t>
  </si>
  <si>
    <t>LTER 351</t>
  </si>
  <si>
    <t>Lake is called LTER 351 and GTH 63</t>
  </si>
  <si>
    <t>GTH 63</t>
  </si>
  <si>
    <t>LTER 352</t>
  </si>
  <si>
    <t>Lake is called LTER 352 and GTH 64</t>
  </si>
  <si>
    <t>GTH 64</t>
  </si>
  <si>
    <t>LTER 353</t>
  </si>
  <si>
    <t>Lake is called LTER 353 and GTH 65</t>
  </si>
  <si>
    <t>GTH 65</t>
  </si>
  <si>
    <t>LTER 354</t>
  </si>
  <si>
    <t>Lake is called LTER 354 and GTH 66</t>
  </si>
  <si>
    <t>GTH 66</t>
  </si>
  <si>
    <t>LTER 355</t>
  </si>
  <si>
    <t>Lake is called LTER 355 and GTH 67</t>
  </si>
  <si>
    <t>GTH 67</t>
  </si>
  <si>
    <t>LTER 357</t>
  </si>
  <si>
    <t>Lake is called LTER 357 and GTH 69</t>
  </si>
  <si>
    <t>GTH 69</t>
  </si>
  <si>
    <t>LTER 358</t>
  </si>
  <si>
    <t>Lake is called LTER 358 and GTH 70</t>
  </si>
  <si>
    <t>GTH 70</t>
  </si>
  <si>
    <t>LTER 359</t>
  </si>
  <si>
    <t>Lake is called LTER 359 and GTH 71</t>
  </si>
  <si>
    <t>GTH 71</t>
  </si>
  <si>
    <t>LTER 360</t>
  </si>
  <si>
    <t>Lake is called LTER 360 and GTH 72</t>
  </si>
  <si>
    <t>GTH 72</t>
  </si>
  <si>
    <t>LTER 361</t>
  </si>
  <si>
    <t>Lake is called LTER 361 and GTH 73</t>
  </si>
  <si>
    <t>GTH 73</t>
  </si>
  <si>
    <t>LTER 362</t>
  </si>
  <si>
    <t>Lake is called LTER 362 and GTH 74</t>
  </si>
  <si>
    <t>GTH 74</t>
  </si>
  <si>
    <t>LTER 363</t>
  </si>
  <si>
    <t>Lake is called LTER 363 and GTH 75</t>
  </si>
  <si>
    <t>GTH 75</t>
  </si>
  <si>
    <t>LTER 364</t>
  </si>
  <si>
    <t>Lake is called LTER 364 and GTH 76</t>
  </si>
  <si>
    <t>GTH 76</t>
  </si>
  <si>
    <t>LTER 365</t>
  </si>
  <si>
    <t>Lake is called LTER 365 and GTH 77</t>
  </si>
  <si>
    <t>GTH 77</t>
  </si>
  <si>
    <t>LTER 366</t>
  </si>
  <si>
    <t>Lake is called LTER 366 and GTH 78</t>
  </si>
  <si>
    <t>GTH 78</t>
  </si>
  <si>
    <t>LTER 367</t>
  </si>
  <si>
    <t>Lake is called LTER 367 and GTH 79</t>
  </si>
  <si>
    <t>GTH 79</t>
  </si>
  <si>
    <t>LTER 368</t>
  </si>
  <si>
    <t>Lake is called LTER 368 and GTH 80</t>
  </si>
  <si>
    <t>GTH 80</t>
  </si>
  <si>
    <t>LTER 369</t>
  </si>
  <si>
    <t>Lake is called LTER 369 and GTH 81</t>
  </si>
  <si>
    <t>GTH 81</t>
  </si>
  <si>
    <t>LTER Heath Tundra</t>
  </si>
  <si>
    <t>Arctic LTER Experimental Plots: Heath Tundra - Block 1, Northeast corner near Toolik Field Station, North Slope, Alaska.</t>
  </si>
  <si>
    <t>LTER Low Nutrient Moist Acidic Tussock Tundra</t>
  </si>
  <si>
    <t>Low Nutrient Moist Acidic Tussock Tundra (LMAT) Northeast corner Block 1</t>
  </si>
  <si>
    <t>LTER Moist Acidic Tussock Tundra</t>
  </si>
  <si>
    <t>Arctic LTER Experimental Plots: Moist Acidic Tussock Tundra (MAT) Northeast corner block 1 near Toolik Field Station, North Slope, Alaska.</t>
  </si>
  <si>
    <t>LTER Moist Acidic Tussock Tundra 1981 plots</t>
  </si>
  <si>
    <t>Arctic LTER Experimental Plots: 1981 Moist Acidic Tussock Tundra Northeast corner Block 3 near Toolik Field Station, North Slope, Alaska.</t>
  </si>
  <si>
    <t>LTER Moist NonAcidic NonTussock Tundra</t>
  </si>
  <si>
    <t>Arctic LTER Experimental Plots: Moist NonAcidic NonTussock Tundra (MNNT) Northeast corner Block 1 near Toolik Field Station, North Slope, Alaska.</t>
  </si>
  <si>
    <t>LTER Moist NonAcidic Tussock Tundra</t>
  </si>
  <si>
    <t>Arctic LTER Experimental Plots: Moist NonAcidic Tussock Tundra (MNT) Northeast corner block 1 near Toolik Field Station, North Slope, Alaska.</t>
  </si>
  <si>
    <t>LTER Shrub Tundra Block 1</t>
  </si>
  <si>
    <t>Arctic LTER Experimental Plots: Shrub Tundra - Northeast corner Block 1 near Toolik Field Station, North Slope, Alaska.</t>
  </si>
  <si>
    <t>LTER Shrub Tundra Block 2</t>
  </si>
  <si>
    <t>Arctic LTER Experimental Plots: Shrub Tundra - Block 2 Northeast corner near Toolik Field Station, North Slope, Alaska.</t>
  </si>
  <si>
    <t>LTER Wet Sedge Tundra Block 1</t>
  </si>
  <si>
    <t>Arctic LTER Experimental Plots: Wet Sedge Tundra - Block 1 Northeast corner near Toolik Field Station, North Slope, Alaska.</t>
  </si>
  <si>
    <t>LTER Wet Sedge Tundra Block 2</t>
  </si>
  <si>
    <t>Arctic LTER Experimental Plots: Wet Sedge Tundra Block 2 Northeast corner near Toolik Field Station, North Slope, Alaska.</t>
  </si>
  <si>
    <t>Luna Lake</t>
  </si>
  <si>
    <t>May Creek</t>
  </si>
  <si>
    <t>Milake</t>
  </si>
  <si>
    <t>Milake into NE 14</t>
  </si>
  <si>
    <t>LTER_Bowden_Kling</t>
  </si>
  <si>
    <t>Milkyway Lower</t>
  </si>
  <si>
    <t>MWL</t>
  </si>
  <si>
    <t>IS18</t>
  </si>
  <si>
    <t>Milkyway Upper</t>
  </si>
  <si>
    <t>MWU</t>
  </si>
  <si>
    <t>IS24</t>
  </si>
  <si>
    <t>Moderate CALM grid, NW corner</t>
  </si>
  <si>
    <t>N 01</t>
  </si>
  <si>
    <t>N1</t>
  </si>
  <si>
    <t>N1S and N1D for Shallow and Deep ends of the lake</t>
  </si>
  <si>
    <t>N 02</t>
  </si>
  <si>
    <t>N2</t>
  </si>
  <si>
    <t>N2F, N2C, N2 Reference, and N2 Treatment</t>
  </si>
  <si>
    <t>N 03</t>
  </si>
  <si>
    <t>N3</t>
  </si>
  <si>
    <t>N 04</t>
  </si>
  <si>
    <t>N4</t>
  </si>
  <si>
    <t>N 05</t>
  </si>
  <si>
    <t>N5</t>
  </si>
  <si>
    <t>Nanushuk Lake</t>
  </si>
  <si>
    <t>Natvakruak Lake</t>
  </si>
  <si>
    <t>Natvakruak_1 lake</t>
  </si>
  <si>
    <t>Natvakruak_2 lake</t>
  </si>
  <si>
    <t>Natvakruak_3 lake</t>
  </si>
  <si>
    <t>NE 01</t>
  </si>
  <si>
    <t>NE1</t>
  </si>
  <si>
    <t>NE 02</t>
  </si>
  <si>
    <t>NE2</t>
  </si>
  <si>
    <t>NE 03</t>
  </si>
  <si>
    <t>NE3</t>
  </si>
  <si>
    <t>NE 04</t>
  </si>
  <si>
    <t>NE4</t>
  </si>
  <si>
    <t>NE 05</t>
  </si>
  <si>
    <t>NE5</t>
  </si>
  <si>
    <t>NE 06</t>
  </si>
  <si>
    <t>NE6</t>
  </si>
  <si>
    <t>NE 07</t>
  </si>
  <si>
    <t>NE7</t>
  </si>
  <si>
    <t>NE 08</t>
  </si>
  <si>
    <t>NE8</t>
  </si>
  <si>
    <t>NE 09</t>
  </si>
  <si>
    <t>NE9</t>
  </si>
  <si>
    <t>NE 10</t>
  </si>
  <si>
    <t>NE10</t>
  </si>
  <si>
    <t>NE 11</t>
  </si>
  <si>
    <t>NE 12</t>
  </si>
  <si>
    <t>Dog Bone Lake</t>
  </si>
  <si>
    <t>NE 13</t>
  </si>
  <si>
    <t>NE13</t>
  </si>
  <si>
    <t>NE 14</t>
  </si>
  <si>
    <t>Lunker Lake</t>
  </si>
  <si>
    <t>NE 14 Lake</t>
  </si>
  <si>
    <t>This site is near the NE 14 Lake Slump Inlet and is different than the NE 14 site (which is out in the lake).</t>
  </si>
  <si>
    <t>NE 14 Lake Slump Inlet</t>
  </si>
  <si>
    <t>NE 14 Outlet</t>
  </si>
  <si>
    <t>NE 15</t>
  </si>
  <si>
    <t>NE15</t>
  </si>
  <si>
    <t>NE 16</t>
  </si>
  <si>
    <t>NE16</t>
  </si>
  <si>
    <t>NE 9B</t>
  </si>
  <si>
    <t>NE9B</t>
  </si>
  <si>
    <t>bedrock lake</t>
  </si>
  <si>
    <t>North Itigaknit A1</t>
  </si>
  <si>
    <t>Bacterial Survey 21</t>
  </si>
  <si>
    <t>BS21</t>
  </si>
  <si>
    <t>North Itigaknit A2</t>
  </si>
  <si>
    <t>Bacterial Survey 22</t>
  </si>
  <si>
    <t>BS22</t>
  </si>
  <si>
    <t>North Itigaknit B1</t>
  </si>
  <si>
    <t>Bacterial Survey 23</t>
  </si>
  <si>
    <t>BS23</t>
  </si>
  <si>
    <t>North Itigaknit B2</t>
  </si>
  <si>
    <t>Bacterial Survey 24</t>
  </si>
  <si>
    <t>BS24</t>
  </si>
  <si>
    <t>North Itigaknit B3</t>
  </si>
  <si>
    <t>Bacterial Survey 25</t>
  </si>
  <si>
    <t>BS25</t>
  </si>
  <si>
    <t>North Lake</t>
  </si>
  <si>
    <t>North Lake Inlet</t>
  </si>
  <si>
    <t>North Lake Outlet</t>
  </si>
  <si>
    <t>North River</t>
  </si>
  <si>
    <t>North River - mouth</t>
  </si>
  <si>
    <t>Thermokarst sampling</t>
  </si>
  <si>
    <t>North River Main/ISCO</t>
  </si>
  <si>
    <t>nutrients, ISCO</t>
  </si>
  <si>
    <t>North River Mid</t>
  </si>
  <si>
    <t>North River Thermokarst</t>
  </si>
  <si>
    <t>O1</t>
  </si>
  <si>
    <t>These are lakes near Campsite Lake</t>
  </si>
  <si>
    <t>O 1</t>
  </si>
  <si>
    <t>O2</t>
  </si>
  <si>
    <t>O 2</t>
  </si>
  <si>
    <t>O3</t>
  </si>
  <si>
    <t>O 3</t>
  </si>
  <si>
    <t>Oksrukuyik -0.1k</t>
  </si>
  <si>
    <t>Oksrukuyik -0.3k</t>
  </si>
  <si>
    <t>Oksrukuyik -0.7k</t>
  </si>
  <si>
    <t>Oksrukuyik 0.8k</t>
  </si>
  <si>
    <t>Oksrukuyik 1.37k</t>
  </si>
  <si>
    <t>Oksrukuyik Creek</t>
  </si>
  <si>
    <t>Ox</t>
  </si>
  <si>
    <t>Oxy</t>
  </si>
  <si>
    <t>Oksrukuyik game camera</t>
  </si>
  <si>
    <t>Oksrukuyik HOBO pressure transducer</t>
  </si>
  <si>
    <t>stage</t>
  </si>
  <si>
    <t xml:space="preserve">Perched Lake </t>
  </si>
  <si>
    <t xml:space="preserve">Perch Lake </t>
  </si>
  <si>
    <t>Perched Lake Outlet</t>
  </si>
  <si>
    <t>Perch Lake Outlet</t>
  </si>
  <si>
    <t>Phenology Station at 2304 Tower</t>
  </si>
  <si>
    <t>Phenology Station @ 2304 Tower</t>
  </si>
  <si>
    <t xml:space="preserve">Reba Lake </t>
  </si>
  <si>
    <t>Reds Lake</t>
  </si>
  <si>
    <t>REF1</t>
  </si>
  <si>
    <t>REF2</t>
  </si>
  <si>
    <t>REF3</t>
  </si>
  <si>
    <t>Ribdon River</t>
  </si>
  <si>
    <t>Roche Moutonnee</t>
  </si>
  <si>
    <t>Mt. Roche</t>
  </si>
  <si>
    <t>Roche Moutanee</t>
  </si>
  <si>
    <t>S 01</t>
  </si>
  <si>
    <t>S 02</t>
  </si>
  <si>
    <t>S 03</t>
  </si>
  <si>
    <t>S 04</t>
  </si>
  <si>
    <t>S 05</t>
  </si>
  <si>
    <t>S5</t>
  </si>
  <si>
    <t>S 06</t>
  </si>
  <si>
    <t>S6</t>
  </si>
  <si>
    <t>S 06 Outlet</t>
  </si>
  <si>
    <t xml:space="preserve">S6 Out         </t>
  </si>
  <si>
    <t>S6Out</t>
  </si>
  <si>
    <t>S 07</t>
  </si>
  <si>
    <t>S 07 Inlet</t>
  </si>
  <si>
    <t xml:space="preserve">S7 In         </t>
  </si>
  <si>
    <t>S7In</t>
  </si>
  <si>
    <t xml:space="preserve">S 07 into S 06        </t>
  </si>
  <si>
    <t>S7 into S6</t>
  </si>
  <si>
    <t>S7-S6</t>
  </si>
  <si>
    <t>S 08</t>
  </si>
  <si>
    <t>S 09</t>
  </si>
  <si>
    <t>S 10</t>
  </si>
  <si>
    <t>S 11</t>
  </si>
  <si>
    <t>S 12</t>
  </si>
  <si>
    <t>S 13</t>
  </si>
  <si>
    <t>Sag 1</t>
  </si>
  <si>
    <t>Sag 2</t>
  </si>
  <si>
    <t>Sag C Pit</t>
  </si>
  <si>
    <t>Lake and stream survey 1988 #19</t>
  </si>
  <si>
    <t>Sagavanirktok River</t>
  </si>
  <si>
    <t>Sag R</t>
  </si>
  <si>
    <t>Sag</t>
  </si>
  <si>
    <t>Section Creek</t>
  </si>
  <si>
    <t>Severe CALM grid, NW corner</t>
  </si>
  <si>
    <t>Shainin Lake</t>
  </si>
  <si>
    <t>Shrew River</t>
  </si>
  <si>
    <t>Shrew River North</t>
  </si>
  <si>
    <t>Silhouette Lake</t>
  </si>
  <si>
    <t>South of Dead Horse</t>
  </si>
  <si>
    <t>Lake and stream survey 1988 #12</t>
  </si>
  <si>
    <t>Sitchiak Lake</t>
  </si>
  <si>
    <t>Slope Mtn. North 01</t>
  </si>
  <si>
    <t>Slope Mtn. North 02</t>
  </si>
  <si>
    <t>Slope Mtn. North 03</t>
  </si>
  <si>
    <t>Slope Mtn. North 04</t>
  </si>
  <si>
    <t>Slope Mtn. North 05</t>
  </si>
  <si>
    <t>Slope Mtn. North 06</t>
  </si>
  <si>
    <t>South River</t>
  </si>
  <si>
    <t>South Main</t>
  </si>
  <si>
    <t>South River Main</t>
  </si>
  <si>
    <t>South River Flux Star</t>
  </si>
  <si>
    <t>South River Harvest Transect</t>
  </si>
  <si>
    <t>South River Main/ISCO</t>
  </si>
  <si>
    <t>South River Mid</t>
  </si>
  <si>
    <t>South River Tributary</t>
  </si>
  <si>
    <t>South River Trib</t>
  </si>
  <si>
    <t>Stinking Hills Feature</t>
  </si>
  <si>
    <t>Test area 1 (Nanushuk River)</t>
  </si>
  <si>
    <t>Test area 2 (North R headwater)</t>
  </si>
  <si>
    <t>Toolik Lake Main Station</t>
  </si>
  <si>
    <t>TM</t>
  </si>
  <si>
    <t>Tlk</t>
  </si>
  <si>
    <t>Toolik Camp Shoal</t>
  </si>
  <si>
    <t>Surveyed by Sarah Barbrow in 2009, Kling,Cory,Nannen, and Crump in 2010.</t>
  </si>
  <si>
    <t>Toolik Lake Survey</t>
  </si>
  <si>
    <t>Toolik Central</t>
  </si>
  <si>
    <t>Toolik Dock</t>
  </si>
  <si>
    <t>Toolik Inlet</t>
  </si>
  <si>
    <t>Toolik Inlet Stream</t>
  </si>
  <si>
    <t>IS19</t>
  </si>
  <si>
    <t>Toolik Inlet Bay</t>
  </si>
  <si>
    <t>Toolik Lake Limno Corrals</t>
  </si>
  <si>
    <t>Experiments done in Limno Bay</t>
  </si>
  <si>
    <t>Toolik Limno Bay</t>
  </si>
  <si>
    <t>Western bay of Toolik where limno corral experiments were done in the 1980s</t>
  </si>
  <si>
    <t>TLB</t>
  </si>
  <si>
    <t>Toolik Bay</t>
  </si>
  <si>
    <t>Toolik Morraine</t>
  </si>
  <si>
    <t>Toolik Outlet</t>
  </si>
  <si>
    <t>Toolik Outlet Stream</t>
  </si>
  <si>
    <t>Toolik Outlet Bay</t>
  </si>
  <si>
    <t>Toolik River</t>
  </si>
  <si>
    <t>Toolik River Ice Field</t>
  </si>
  <si>
    <t>Toolik aufeis</t>
  </si>
  <si>
    <t>Toolik Rock Shoal</t>
  </si>
  <si>
    <t>Toolik Sauna Shoal</t>
  </si>
  <si>
    <t>Toolik Southwest Basin</t>
  </si>
  <si>
    <t>TR IMP</t>
  </si>
  <si>
    <t>TR REF</t>
  </si>
  <si>
    <t>TR TK ABOVE</t>
  </si>
  <si>
    <t>TR TK LOW</t>
  </si>
  <si>
    <t>TFS Weather Station</t>
  </si>
  <si>
    <t>University of Alaska Fairbanks Toolik Field Station, North Slope of Alaska  
Coords in WGS84(ITRF00 - Ep. 1997.0) 
Accuracy should be good to ~ 90cm 
68.628228973N, 149.596001285W,  
Height (above ellipsoid) is 726.5m, give or take ~1.5m
Was the SRC LTER Toolik Main weather station.</t>
  </si>
  <si>
    <t>TW 01</t>
  </si>
  <si>
    <t>Tussock Watershed soil water sites</t>
  </si>
  <si>
    <t>TW1</t>
  </si>
  <si>
    <t>TW 02</t>
  </si>
  <si>
    <t>TW2</t>
  </si>
  <si>
    <t>TW 03</t>
  </si>
  <si>
    <t>TW3</t>
  </si>
  <si>
    <t>TW 04</t>
  </si>
  <si>
    <t>TW4</t>
  </si>
  <si>
    <t>TW 05</t>
  </si>
  <si>
    <t>TW5</t>
  </si>
  <si>
    <t>TW 06</t>
  </si>
  <si>
    <t>TW6</t>
  </si>
  <si>
    <t>TW 07</t>
  </si>
  <si>
    <t>TW7</t>
  </si>
  <si>
    <t>TW 08</t>
  </si>
  <si>
    <t>TW8</t>
  </si>
  <si>
    <t>TW 09</t>
  </si>
  <si>
    <t>TW9</t>
  </si>
  <si>
    <t>TW 10</t>
  </si>
  <si>
    <t>TW10</t>
  </si>
  <si>
    <t>TW 11</t>
  </si>
  <si>
    <t>TW11</t>
  </si>
  <si>
    <t>TW 12</t>
  </si>
  <si>
    <t>TW12</t>
  </si>
  <si>
    <t>TW 13</t>
  </si>
  <si>
    <t>TW13</t>
  </si>
  <si>
    <t>TW 14</t>
  </si>
  <si>
    <t>TW14</t>
  </si>
  <si>
    <t>TW Lower</t>
  </si>
  <si>
    <t>Tussock Watershed stream where it enters Toolik Lake</t>
  </si>
  <si>
    <t>TWLower</t>
  </si>
  <si>
    <t>TWL</t>
  </si>
  <si>
    <t>TW Weir</t>
  </si>
  <si>
    <t xml:space="preserve">Tussock watershed (TW) Weir       </t>
  </si>
  <si>
    <t>Weir</t>
  </si>
  <si>
    <t>Upper Kup WS1</t>
  </si>
  <si>
    <t>Upper Kup WS1-WS2</t>
  </si>
  <si>
    <t>Upper Kup WS2</t>
  </si>
  <si>
    <t>Valley of Thermokarst</t>
  </si>
  <si>
    <t>VTK</t>
  </si>
  <si>
    <t>Valley of Thermokarst – Ref 1</t>
  </si>
  <si>
    <t>VTK1</t>
  </si>
  <si>
    <t>Valley of Thermokarst – Ref 2</t>
  </si>
  <si>
    <t>VTK2</t>
  </si>
  <si>
    <t>VTK IMPACTED</t>
  </si>
  <si>
    <t>VTK IMP-Upper</t>
  </si>
  <si>
    <t>VTK REFERENCE</t>
  </si>
  <si>
    <t>VTK REF-Upper</t>
  </si>
  <si>
    <t>Watering Plots Barrel Water</t>
  </si>
  <si>
    <t>WP Barrel</t>
  </si>
  <si>
    <t>WPBarrel</t>
  </si>
  <si>
    <t>Watering Plots C1</t>
  </si>
  <si>
    <t>WP C1</t>
  </si>
  <si>
    <t>WPC1</t>
  </si>
  <si>
    <t>Watering Plots C2</t>
  </si>
  <si>
    <t>WP C2</t>
  </si>
  <si>
    <t>WPC2</t>
  </si>
  <si>
    <t>Watering Plots C3</t>
  </si>
  <si>
    <t>WP C3</t>
  </si>
  <si>
    <t>WPC3</t>
  </si>
  <si>
    <t>Watering Plots C4</t>
  </si>
  <si>
    <t>WP C4</t>
  </si>
  <si>
    <t>WPC4</t>
  </si>
  <si>
    <t>Watering Plots C5</t>
  </si>
  <si>
    <t>WP C5</t>
  </si>
  <si>
    <t>WPC5</t>
  </si>
  <si>
    <t>Watering Plots C6</t>
  </si>
  <si>
    <t>WP C6</t>
  </si>
  <si>
    <t>WPC6</t>
  </si>
  <si>
    <t>Watering Plots W1</t>
  </si>
  <si>
    <t>WP W1</t>
  </si>
  <si>
    <t>WPW1</t>
  </si>
  <si>
    <t>Watering Plots W2</t>
  </si>
  <si>
    <t>WP W2</t>
  </si>
  <si>
    <t>WPW2</t>
  </si>
  <si>
    <t>Watering Plots W3</t>
  </si>
  <si>
    <t>WP W3</t>
  </si>
  <si>
    <t>WPW3</t>
  </si>
  <si>
    <t>Watering Plots W4</t>
  </si>
  <si>
    <t>WP W4</t>
  </si>
  <si>
    <t>WPW4</t>
  </si>
  <si>
    <t>Watering Plots W5</t>
  </si>
  <si>
    <t>WP W5</t>
  </si>
  <si>
    <t>WPW5</t>
  </si>
  <si>
    <t>Watering Plots W6</t>
  </si>
  <si>
    <t>WP W6</t>
  </si>
  <si>
    <t>WPW6</t>
  </si>
  <si>
    <t>West Lake Survey  01</t>
  </si>
  <si>
    <t>West Lakes Survey 1997</t>
  </si>
  <si>
    <t>West Lake Survey  02</t>
  </si>
  <si>
    <t>West Lake Survey  03</t>
  </si>
  <si>
    <t>West Lake Survey  04</t>
  </si>
  <si>
    <t>West Lake Survey  05</t>
  </si>
  <si>
    <t>West Lake Survey  06</t>
  </si>
  <si>
    <t>West Lake Survey  07</t>
  </si>
  <si>
    <t>West Lake Survey  08</t>
  </si>
  <si>
    <t>West Lake Survey  09</t>
  </si>
  <si>
    <t>West Lake Survey  10</t>
  </si>
  <si>
    <t>West Sag Lakes  A1</t>
  </si>
  <si>
    <t>West Sag Lakes  A2</t>
  </si>
  <si>
    <t>West Sag Lakes  A3</t>
  </si>
  <si>
    <t>West Sag Lakes  B1</t>
  </si>
  <si>
    <t>West Sag Lakes  B2</t>
  </si>
  <si>
    <t>West Sag Lakes  B3</t>
  </si>
  <si>
    <t>Windy Lake</t>
  </si>
  <si>
    <t>Lake and stream survey 1988 #11</t>
  </si>
  <si>
    <t>Wolf Creek</t>
  </si>
  <si>
    <t>Oksrukuyik Creek Tributary</t>
  </si>
  <si>
    <t>Yurlake</t>
  </si>
  <si>
    <t>Yurlake into NE 14</t>
  </si>
  <si>
    <t>Yurlake into NE14</t>
  </si>
  <si>
    <t>2012_GS_ITEX_PF_CHN_Data.02</t>
  </si>
  <si>
    <t xml:space="preserve">Version 2: Updated metadata to newer version (with sites sheet). CH April 2013. </t>
  </si>
  <si>
    <t>Version 3: Corrected eml excel file name wrong extension. JimL 16May13</t>
  </si>
  <si>
    <t>knb-lter-arc.10147.3</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</si>
</sst>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0.000"/>
    <numFmt numFmtId="165" formatCode="[$-409]d\-mmm\-yy;@"/>
    <numFmt numFmtId="166" formatCode="dd\-mmm\-yyyy"/>
    <numFmt numFmtId="167" formatCode="0.00000"/>
  </numFmts>
  <fonts count="45" x14ac:knownFonts="1">
    <font>
      <sz val="11"/>
      <color theme="1"/>
      <name val="Calibri"/>
      <family val="2"/>
      <scheme val="minor"/>
    </font>
    <font>
      <sz val="11"/>
      <color indexed="8"/>
      <name val="Calibri"/>
      <family val="2"/>
    </font>
    <font>
      <sz val="8"/>
      <name val="MS Sans Serif"/>
      <family val="2"/>
    </font>
    <font>
      <sz val="10"/>
      <color indexed="8"/>
      <name val="MS Sans Serif"/>
      <family val="2"/>
    </font>
    <font>
      <b/>
      <sz val="10"/>
      <color indexed="8"/>
      <name val="MS Sans Serif"/>
      <family val="2"/>
    </font>
    <font>
      <sz val="11"/>
      <color theme="1"/>
      <name val="Calibri"/>
      <family val="2"/>
      <scheme val="minor"/>
    </font>
    <font>
      <sz val="12"/>
      <color theme="1"/>
      <name val="Calibri"/>
      <family val="2"/>
      <scheme val="minor"/>
    </font>
    <font>
      <b/>
      <sz val="11"/>
      <color theme="1"/>
      <name val="Calibri"/>
      <family val="2"/>
      <scheme val="minor"/>
    </font>
    <font>
      <sz val="11"/>
      <name val="Calibri"/>
      <family val="2"/>
      <scheme val="minor"/>
    </font>
    <font>
      <sz val="11"/>
      <color rgb="FF002060"/>
      <name val="Calibri"/>
      <family val="2"/>
      <scheme val="minor"/>
    </font>
    <font>
      <sz val="8"/>
      <color rgb="FF002060"/>
      <name val="MS Sans Serif"/>
      <family val="2"/>
    </font>
    <font>
      <b/>
      <sz val="11"/>
      <color rgb="FF002060"/>
      <name val="Calibri"/>
      <family val="2"/>
      <scheme val="minor"/>
    </font>
    <font>
      <sz val="11"/>
      <color indexed="8"/>
      <name val="Calibri"/>
      <family val="2"/>
      <scheme val="minor"/>
    </font>
    <font>
      <b/>
      <sz val="11"/>
      <color indexed="8"/>
      <name val="Calibri"/>
      <family val="2"/>
      <scheme val="minor"/>
    </font>
    <font>
      <b/>
      <sz val="14"/>
      <color indexed="8"/>
      <name val="Calibri"/>
      <family val="2"/>
      <scheme val="minor"/>
    </font>
    <font>
      <b/>
      <sz val="14"/>
      <name val="Calibri"/>
      <family val="2"/>
      <scheme val="minor"/>
    </font>
    <font>
      <b/>
      <sz val="12"/>
      <name val="Calibri"/>
      <family val="2"/>
      <scheme val="minor"/>
    </font>
    <font>
      <b/>
      <sz val="11"/>
      <name val="Calibri"/>
      <family val="2"/>
      <scheme val="minor"/>
    </font>
    <font>
      <b/>
      <sz val="11"/>
      <color rgb="FF0070C0"/>
      <name val="Calibri"/>
      <family val="2"/>
      <scheme val="minor"/>
    </font>
    <font>
      <sz val="11"/>
      <color rgb="FF00B0F0"/>
      <name val="Calibri"/>
      <family val="2"/>
      <scheme val="minor"/>
    </font>
    <font>
      <sz val="11"/>
      <color rgb="FF0070C0"/>
      <name val="Calibri"/>
      <family val="2"/>
      <scheme val="minor"/>
    </font>
    <font>
      <sz val="10"/>
      <name val="Arial"/>
      <family val="2"/>
    </font>
    <font>
      <b/>
      <sz val="14"/>
      <name val="Arial"/>
      <family val="2"/>
    </font>
    <font>
      <b/>
      <sz val="12"/>
      <color indexed="10"/>
      <name val="Arial"/>
      <family val="2"/>
    </font>
    <font>
      <b/>
      <sz val="10"/>
      <name val="Arial"/>
      <family val="2"/>
    </font>
    <font>
      <sz val="10"/>
      <color indexed="22"/>
      <name val="Arial"/>
      <family val="2"/>
    </font>
    <font>
      <u/>
      <sz val="10"/>
      <color indexed="12"/>
      <name val="Arial"/>
      <family val="2"/>
    </font>
    <font>
      <sz val="12"/>
      <name val="Arial"/>
      <family val="2"/>
    </font>
    <font>
      <b/>
      <sz val="9"/>
      <name val="Arial"/>
      <family val="2"/>
    </font>
    <font>
      <b/>
      <sz val="9"/>
      <color indexed="48"/>
      <name val="Arial"/>
      <family val="2"/>
    </font>
    <font>
      <b/>
      <u/>
      <sz val="10"/>
      <color indexed="10"/>
      <name val="Arial"/>
      <family val="2"/>
    </font>
    <font>
      <b/>
      <sz val="10"/>
      <color indexed="12"/>
      <name val="Arial"/>
      <family val="2"/>
    </font>
    <font>
      <sz val="8"/>
      <color indexed="81"/>
      <name val="Tahoma"/>
      <family val="2"/>
    </font>
    <font>
      <b/>
      <sz val="8"/>
      <color indexed="81"/>
      <name val="Tahoma"/>
      <family val="2"/>
    </font>
    <font>
      <b/>
      <sz val="10"/>
      <color indexed="81"/>
      <name val="Tahoma"/>
      <family val="2"/>
    </font>
    <font>
      <b/>
      <sz val="8"/>
      <color indexed="10"/>
      <name val="Tahoma"/>
      <family val="2"/>
    </font>
    <font>
      <sz val="10"/>
      <color indexed="81"/>
      <name val="Tahoma"/>
      <family val="2"/>
    </font>
    <font>
      <sz val="10"/>
      <color indexed="10"/>
      <name val="Tahoma"/>
      <family val="2"/>
    </font>
    <font>
      <sz val="8"/>
      <color indexed="10"/>
      <name val="Tahoma"/>
      <family val="2"/>
    </font>
    <font>
      <b/>
      <sz val="11"/>
      <color rgb="FF000000"/>
      <name val="Calibri"/>
      <family val="2"/>
      <scheme val="minor"/>
    </font>
    <font>
      <sz val="10"/>
      <color indexed="10"/>
      <name val="Arial"/>
      <family val="2"/>
    </font>
    <font>
      <b/>
      <sz val="9"/>
      <color indexed="81"/>
      <name val="Tahoma"/>
      <family val="2"/>
    </font>
    <font>
      <b/>
      <sz val="8"/>
      <color indexed="39"/>
      <name val="Tahoma"/>
      <family val="2"/>
    </font>
    <font>
      <b/>
      <sz val="8"/>
      <color indexed="12"/>
      <name val="Arial"/>
      <family val="2"/>
    </font>
    <font>
      <b/>
      <sz val="8"/>
      <color indexed="10"/>
      <name val="Arial"/>
      <family val="2"/>
    </font>
  </fonts>
  <fills count="10">
    <fill>
      <patternFill patternType="none"/>
    </fill>
    <fill>
      <patternFill patternType="gray125"/>
    </fill>
    <fill>
      <patternFill patternType="solid">
        <fgColor rgb="FFFFFFCC"/>
      </patternFill>
    </fill>
    <fill>
      <patternFill patternType="solid">
        <fgColor rgb="FF66FF99"/>
        <bgColor indexed="64"/>
      </patternFill>
    </fill>
    <fill>
      <patternFill patternType="solid">
        <fgColor indexed="27"/>
        <bgColor indexed="31"/>
      </patternFill>
    </fill>
    <fill>
      <patternFill patternType="solid">
        <fgColor rgb="FFCCFFFF"/>
        <bgColor indexed="31"/>
      </patternFill>
    </fill>
    <fill>
      <patternFill patternType="solid">
        <fgColor theme="0" tint="-0.14999847407452621"/>
        <bgColor indexed="64"/>
      </patternFill>
    </fill>
    <fill>
      <patternFill patternType="solid">
        <fgColor indexed="41"/>
        <bgColor indexed="64"/>
      </patternFill>
    </fill>
    <fill>
      <patternFill patternType="solid">
        <fgColor indexed="22"/>
        <bgColor indexed="64"/>
      </patternFill>
    </fill>
    <fill>
      <patternFill patternType="solid">
        <fgColor rgb="FF00FFFF"/>
        <bgColor indexed="64"/>
      </patternFill>
    </fill>
  </fills>
  <borders count="19">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thin">
        <color auto="1"/>
      </right>
      <top style="medium">
        <color indexed="64"/>
      </top>
      <bottom style="medium">
        <color auto="1"/>
      </bottom>
      <diagonal/>
    </border>
    <border>
      <left style="thin">
        <color indexed="64"/>
      </left>
      <right style="medium">
        <color indexed="64"/>
      </right>
      <top style="medium">
        <color indexed="64"/>
      </top>
      <bottom/>
      <diagonal/>
    </border>
  </borders>
  <cellStyleXfs count="12">
    <xf numFmtId="0" fontId="0" fillId="0" borderId="0"/>
    <xf numFmtId="0" fontId="3" fillId="0" borderId="0"/>
    <xf numFmtId="0" fontId="5" fillId="0" borderId="0"/>
    <xf numFmtId="0" fontId="6" fillId="0" borderId="0"/>
    <xf numFmtId="0" fontId="1" fillId="0" borderId="0"/>
    <xf numFmtId="0" fontId="21" fillId="0" borderId="0"/>
    <xf numFmtId="0" fontId="26" fillId="0" borderId="0" applyNumberFormat="0" applyFill="0" applyBorder="0" applyAlignment="0" applyProtection="0">
      <alignment vertical="top"/>
      <protection locked="0"/>
    </xf>
    <xf numFmtId="0" fontId="5" fillId="0" borderId="0"/>
    <xf numFmtId="0" fontId="5" fillId="0" borderId="0"/>
    <xf numFmtId="0" fontId="5" fillId="0" borderId="0"/>
    <xf numFmtId="0" fontId="5" fillId="0" borderId="0"/>
    <xf numFmtId="0" fontId="5" fillId="2" borderId="12" applyNumberFormat="0" applyFont="0" applyAlignment="0" applyProtection="0"/>
  </cellStyleXfs>
  <cellXfs count="206">
    <xf numFmtId="0" fontId="0" fillId="0" borderId="0" xfId="0"/>
    <xf numFmtId="0" fontId="0" fillId="0" borderId="0" xfId="0" applyAlignment="1">
      <alignment horizontal="center"/>
    </xf>
    <xf numFmtId="0" fontId="7" fillId="0" borderId="0" xfId="0" applyFont="1"/>
    <xf numFmtId="0" fontId="2" fillId="0" borderId="0" xfId="0" applyFont="1" applyAlignment="1">
      <alignment vertical="top"/>
    </xf>
    <xf numFmtId="2" fontId="7" fillId="0" borderId="0" xfId="3" applyNumberFormat="1" applyFont="1"/>
    <xf numFmtId="0" fontId="7" fillId="0" borderId="0" xfId="0" applyFont="1" applyFill="1"/>
    <xf numFmtId="0" fontId="0" fillId="0" borderId="0" xfId="0" applyFill="1"/>
    <xf numFmtId="0" fontId="8" fillId="0" borderId="0" xfId="0" applyFont="1" applyAlignment="1">
      <alignment vertical="top"/>
    </xf>
    <xf numFmtId="0" fontId="9" fillId="0" borderId="0" xfId="0" applyFont="1" applyFill="1"/>
    <xf numFmtId="0" fontId="10" fillId="0" borderId="0" xfId="0" applyFont="1" applyFill="1" applyAlignment="1">
      <alignment vertical="top"/>
    </xf>
    <xf numFmtId="164" fontId="7" fillId="0" borderId="0" xfId="3" applyNumberFormat="1" applyFont="1"/>
    <xf numFmtId="164" fontId="11" fillId="0" borderId="0" xfId="3" applyNumberFormat="1" applyFont="1" applyFill="1"/>
    <xf numFmtId="0" fontId="0" fillId="0" borderId="0" xfId="0" applyBorder="1"/>
    <xf numFmtId="0" fontId="8" fillId="0" borderId="0" xfId="0" applyFont="1"/>
    <xf numFmtId="0" fontId="0" fillId="0" borderId="0" xfId="0" applyFont="1"/>
    <xf numFmtId="0" fontId="0" fillId="0" borderId="0" xfId="0" applyFont="1" applyFill="1"/>
    <xf numFmtId="164" fontId="5" fillId="0" borderId="0" xfId="3" applyNumberFormat="1" applyFont="1"/>
    <xf numFmtId="0" fontId="4" fillId="0" borderId="0" xfId="1" applyFont="1"/>
    <xf numFmtId="0" fontId="3" fillId="0" borderId="0" xfId="1"/>
    <xf numFmtId="0" fontId="12" fillId="0" borderId="0" xfId="1" applyFont="1"/>
    <xf numFmtId="0" fontId="13" fillId="0" borderId="0" xfId="1" applyFont="1"/>
    <xf numFmtId="0" fontId="9" fillId="0" borderId="0" xfId="1" applyFont="1" applyFill="1" applyAlignment="1">
      <alignment vertical="top"/>
    </xf>
    <xf numFmtId="0" fontId="8" fillId="0" borderId="0" xfId="1" applyFont="1" applyAlignment="1">
      <alignment vertical="top"/>
    </xf>
    <xf numFmtId="0" fontId="14" fillId="0" borderId="0" xfId="1" applyFont="1"/>
    <xf numFmtId="0" fontId="15" fillId="0" borderId="0" xfId="1" applyFont="1" applyFill="1" applyAlignment="1">
      <alignment vertical="top"/>
    </xf>
    <xf numFmtId="0" fontId="16" fillId="0" borderId="1" xfId="0" applyFont="1" applyBorder="1" applyAlignment="1">
      <alignment horizontal="left"/>
    </xf>
    <xf numFmtId="0" fontId="16" fillId="0" borderId="2" xfId="0" applyFont="1" applyBorder="1" applyAlignment="1">
      <alignment horizontal="left"/>
    </xf>
    <xf numFmtId="0" fontId="16" fillId="0" borderId="3" xfId="0" applyFont="1" applyBorder="1" applyAlignment="1">
      <alignment horizontal="left"/>
    </xf>
    <xf numFmtId="2" fontId="5" fillId="0" borderId="0" xfId="3" applyNumberFormat="1" applyFont="1" applyFill="1"/>
    <xf numFmtId="2" fontId="12" fillId="0" borderId="0" xfId="1" applyNumberFormat="1" applyFont="1" applyFill="1"/>
    <xf numFmtId="2" fontId="17" fillId="0" borderId="0" xfId="1" applyNumberFormat="1" applyFont="1" applyFill="1" applyAlignment="1">
      <alignment vertical="top"/>
    </xf>
    <xf numFmtId="2" fontId="13" fillId="0" borderId="0" xfId="1" applyNumberFormat="1" applyFont="1" applyFill="1"/>
    <xf numFmtId="0" fontId="17" fillId="0" borderId="0" xfId="1" applyFont="1" applyFill="1" applyAlignment="1">
      <alignment vertical="top"/>
    </xf>
    <xf numFmtId="164" fontId="13" fillId="0" borderId="0" xfId="1" applyNumberFormat="1" applyFont="1"/>
    <xf numFmtId="0" fontId="0" fillId="0" borderId="4" xfId="0" applyFont="1" applyBorder="1" applyAlignment="1"/>
    <xf numFmtId="0" fontId="0" fillId="0" borderId="5" xfId="0" applyFont="1" applyFill="1" applyBorder="1" applyAlignment="1"/>
    <xf numFmtId="0" fontId="0" fillId="0" borderId="6" xfId="0" applyFont="1" applyFill="1" applyBorder="1" applyAlignment="1"/>
    <xf numFmtId="0" fontId="8" fillId="0" borderId="7" xfId="0" applyFont="1" applyFill="1" applyBorder="1" applyAlignment="1">
      <alignment vertical="top"/>
    </xf>
    <xf numFmtId="0" fontId="0" fillId="0" borderId="5" xfId="0" applyFont="1" applyBorder="1" applyAlignment="1"/>
    <xf numFmtId="0" fontId="8" fillId="0" borderId="0" xfId="0" applyFont="1" applyFill="1" applyBorder="1" applyAlignment="1">
      <alignment vertical="top"/>
    </xf>
    <xf numFmtId="0" fontId="0" fillId="0" borderId="6" xfId="0" applyFont="1" applyBorder="1" applyAlignment="1"/>
    <xf numFmtId="0" fontId="0" fillId="0" borderId="4" xfId="0" applyFont="1" applyFill="1" applyBorder="1" applyAlignment="1"/>
    <xf numFmtId="0" fontId="8" fillId="0" borderId="7" xfId="0" applyFont="1" applyFill="1" applyBorder="1" applyAlignment="1"/>
    <xf numFmtId="0" fontId="8" fillId="0" borderId="0" xfId="0" applyFont="1" applyFill="1" applyBorder="1" applyAlignment="1"/>
    <xf numFmtId="164" fontId="8" fillId="0" borderId="7" xfId="3" applyNumberFormat="1" applyFont="1" applyFill="1" applyBorder="1" applyAlignment="1"/>
    <xf numFmtId="164" fontId="8" fillId="0" borderId="8" xfId="3" applyNumberFormat="1" applyFont="1" applyFill="1" applyBorder="1" applyAlignment="1"/>
    <xf numFmtId="164" fontId="8" fillId="0" borderId="0" xfId="3" applyNumberFormat="1" applyFont="1" applyFill="1" applyBorder="1" applyAlignment="1"/>
    <xf numFmtId="164" fontId="8" fillId="0" borderId="9" xfId="3" applyNumberFormat="1" applyFont="1" applyFill="1" applyBorder="1" applyAlignment="1"/>
    <xf numFmtId="0" fontId="8" fillId="0" borderId="7" xfId="0" applyFont="1" applyBorder="1" applyAlignment="1">
      <alignment vertical="top"/>
    </xf>
    <xf numFmtId="0" fontId="8" fillId="0" borderId="0" xfId="0" applyFont="1" applyBorder="1" applyAlignment="1">
      <alignment vertical="top"/>
    </xf>
    <xf numFmtId="0" fontId="17" fillId="0" borderId="0" xfId="0" applyFont="1" applyBorder="1" applyAlignment="1">
      <alignment vertical="top"/>
    </xf>
    <xf numFmtId="0" fontId="17" fillId="0" borderId="10" xfId="0" applyFont="1" applyBorder="1" applyAlignment="1"/>
    <xf numFmtId="164" fontId="8" fillId="0" borderId="7" xfId="0" applyNumberFormat="1" applyFont="1" applyBorder="1" applyAlignment="1"/>
    <xf numFmtId="164" fontId="8" fillId="0" borderId="7" xfId="3" applyNumberFormat="1" applyFont="1" applyBorder="1" applyAlignment="1"/>
    <xf numFmtId="164" fontId="8" fillId="0" borderId="8" xfId="3" applyNumberFormat="1" applyFont="1" applyBorder="1" applyAlignment="1"/>
    <xf numFmtId="164" fontId="8" fillId="0" borderId="0" xfId="0" applyNumberFormat="1" applyFont="1" applyBorder="1" applyAlignment="1"/>
    <xf numFmtId="164" fontId="8" fillId="0" borderId="0" xfId="3" applyNumberFormat="1" applyFont="1" applyBorder="1" applyAlignment="1"/>
    <xf numFmtId="164" fontId="8" fillId="0" borderId="9" xfId="3" applyNumberFormat="1" applyFont="1" applyBorder="1" applyAlignment="1"/>
    <xf numFmtId="164" fontId="8" fillId="0" borderId="7" xfId="0" applyNumberFormat="1" applyFont="1" applyFill="1" applyBorder="1" applyAlignment="1"/>
    <xf numFmtId="164" fontId="8" fillId="0" borderId="0" xfId="0" applyNumberFormat="1" applyFont="1" applyFill="1" applyBorder="1" applyAlignment="1"/>
    <xf numFmtId="164" fontId="8" fillId="0" borderId="7" xfId="0" applyNumberFormat="1" applyFont="1" applyBorder="1" applyAlignment="1">
      <alignment vertical="top"/>
    </xf>
    <xf numFmtId="164" fontId="8" fillId="0" borderId="0" xfId="0" applyNumberFormat="1" applyFont="1" applyBorder="1" applyAlignment="1">
      <alignment vertical="top"/>
    </xf>
    <xf numFmtId="164" fontId="8" fillId="0" borderId="10" xfId="0" applyNumberFormat="1" applyFont="1" applyBorder="1" applyAlignment="1"/>
    <xf numFmtId="164" fontId="8" fillId="0" borderId="11" xfId="0" applyNumberFormat="1" applyFont="1" applyBorder="1" applyAlignment="1"/>
    <xf numFmtId="164" fontId="8" fillId="0" borderId="7" xfId="0" applyNumberFormat="1" applyFont="1" applyFill="1" applyBorder="1" applyAlignment="1">
      <alignment vertical="top"/>
    </xf>
    <xf numFmtId="164" fontId="8" fillId="0" borderId="0" xfId="0" applyNumberFormat="1" applyFont="1" applyFill="1" applyBorder="1" applyAlignment="1">
      <alignment vertical="top"/>
    </xf>
    <xf numFmtId="164" fontId="18" fillId="0" borderId="0" xfId="0" applyNumberFormat="1" applyFont="1" applyBorder="1" applyAlignment="1"/>
    <xf numFmtId="164" fontId="18" fillId="0" borderId="9" xfId="0" applyNumberFormat="1" applyFont="1" applyBorder="1" applyAlignment="1"/>
    <xf numFmtId="2" fontId="7" fillId="0" borderId="0" xfId="0" applyNumberFormat="1" applyFont="1"/>
    <xf numFmtId="2" fontId="0" fillId="0" borderId="0" xfId="0" applyNumberFormat="1"/>
    <xf numFmtId="164" fontId="7" fillId="0" borderId="0" xfId="0" applyNumberFormat="1" applyFont="1"/>
    <xf numFmtId="164" fontId="0" fillId="0" borderId="0" xfId="0" applyNumberFormat="1" applyFont="1" applyFill="1" applyAlignment="1"/>
    <xf numFmtId="0" fontId="19" fillId="0" borderId="0" xfId="0" applyFont="1"/>
    <xf numFmtId="0" fontId="19" fillId="0" borderId="0" xfId="0" applyFont="1" applyFill="1"/>
    <xf numFmtId="0" fontId="0" fillId="0" borderId="0" xfId="0" applyFont="1" applyBorder="1"/>
    <xf numFmtId="0" fontId="0" fillId="0" borderId="0" xfId="0" applyFill="1" applyBorder="1"/>
    <xf numFmtId="0" fontId="0" fillId="0" borderId="4" xfId="0" applyFont="1" applyBorder="1"/>
    <xf numFmtId="0" fontId="8" fillId="0" borderId="7" xfId="0" applyFont="1" applyBorder="1" applyAlignment="1">
      <alignment horizontal="right" vertical="top"/>
    </xf>
    <xf numFmtId="164" fontId="8" fillId="0" borderId="7" xfId="3" applyNumberFormat="1" applyFont="1" applyBorder="1"/>
    <xf numFmtId="164" fontId="8" fillId="0" borderId="8" xfId="3" applyNumberFormat="1" applyFont="1" applyBorder="1"/>
    <xf numFmtId="0" fontId="0" fillId="0" borderId="5" xfId="0" applyFont="1" applyBorder="1"/>
    <xf numFmtId="0" fontId="8" fillId="0" borderId="0" xfId="0" applyFont="1" applyBorder="1" applyAlignment="1">
      <alignment horizontal="right" vertical="top"/>
    </xf>
    <xf numFmtId="164" fontId="8" fillId="0" borderId="0" xfId="3" applyNumberFormat="1" applyFont="1" applyBorder="1"/>
    <xf numFmtId="164" fontId="8" fillId="0" borderId="9" xfId="3" applyNumberFormat="1" applyFont="1" applyBorder="1"/>
    <xf numFmtId="0" fontId="0" fillId="0" borderId="6" xfId="0" applyFont="1" applyBorder="1"/>
    <xf numFmtId="164" fontId="0" fillId="0" borderId="0" xfId="0" applyNumberFormat="1" applyFont="1"/>
    <xf numFmtId="164" fontId="0" fillId="0" borderId="0" xfId="0" applyNumberFormat="1" applyFont="1" applyFill="1"/>
    <xf numFmtId="0" fontId="0" fillId="0" borderId="0" xfId="0" applyFont="1" applyFill="1" applyBorder="1" applyAlignment="1">
      <alignment horizontal="center"/>
    </xf>
    <xf numFmtId="0" fontId="7" fillId="0" borderId="0" xfId="0" applyFont="1" applyAlignment="1">
      <alignment horizontal="left"/>
    </xf>
    <xf numFmtId="165" fontId="0" fillId="0" borderId="0" xfId="0" applyNumberFormat="1" applyFill="1" applyBorder="1"/>
    <xf numFmtId="0" fontId="8" fillId="0" borderId="0" xfId="4" applyFont="1" applyFill="1" applyBorder="1" applyAlignment="1">
      <alignment horizontal="left"/>
    </xf>
    <xf numFmtId="0" fontId="0" fillId="0" borderId="0" xfId="0" applyFont="1" applyFill="1" applyBorder="1" applyAlignment="1">
      <alignment horizontal="left"/>
    </xf>
    <xf numFmtId="2" fontId="5" fillId="0" borderId="0" xfId="3" applyNumberFormat="1" applyFont="1"/>
    <xf numFmtId="2" fontId="0" fillId="0" borderId="0" xfId="0" applyNumberFormat="1" applyFont="1"/>
    <xf numFmtId="0" fontId="20" fillId="0" borderId="0" xfId="0" applyFont="1" applyFill="1"/>
    <xf numFmtId="164" fontId="20" fillId="0" borderId="0" xfId="0" applyNumberFormat="1" applyFont="1" applyFill="1"/>
    <xf numFmtId="2" fontId="20" fillId="0" borderId="0" xfId="0" applyNumberFormat="1" applyFont="1"/>
    <xf numFmtId="0" fontId="20" fillId="0" borderId="0" xfId="0" applyFont="1" applyFill="1" applyBorder="1"/>
    <xf numFmtId="0" fontId="20" fillId="0" borderId="0" xfId="0" applyFont="1" applyAlignment="1">
      <alignment horizontal="right"/>
    </xf>
    <xf numFmtId="164" fontId="20" fillId="0" borderId="0" xfId="0" applyNumberFormat="1" applyFont="1" applyFill="1" applyAlignment="1">
      <alignment horizontal="right"/>
    </xf>
    <xf numFmtId="2" fontId="20" fillId="0" borderId="0" xfId="0" applyNumberFormat="1" applyFont="1" applyAlignment="1">
      <alignment horizontal="right"/>
    </xf>
    <xf numFmtId="2" fontId="20" fillId="0" borderId="0" xfId="3" applyNumberFormat="1" applyFont="1" applyFill="1"/>
    <xf numFmtId="2" fontId="20" fillId="0" borderId="0" xfId="0" applyNumberFormat="1" applyFont="1" applyFill="1"/>
    <xf numFmtId="16" fontId="20" fillId="0" borderId="0" xfId="0" quotePrefix="1" applyNumberFormat="1" applyFont="1" applyFill="1" applyAlignment="1">
      <alignment horizontal="right"/>
    </xf>
    <xf numFmtId="0" fontId="12" fillId="0" borderId="0" xfId="4" applyNumberFormat="1" applyFont="1" applyFill="1" applyBorder="1"/>
    <xf numFmtId="0" fontId="8" fillId="0" borderId="0" xfId="0" applyFont="1" applyFill="1"/>
    <xf numFmtId="0" fontId="22" fillId="0" borderId="0" xfId="5" applyFont="1" applyAlignment="1" applyProtection="1">
      <alignment vertical="top"/>
    </xf>
    <xf numFmtId="0" fontId="21" fillId="0" borderId="0" xfId="5" applyFont="1" applyAlignment="1" applyProtection="1">
      <alignment horizontal="left" wrapText="1"/>
      <protection locked="0"/>
    </xf>
    <xf numFmtId="0" fontId="23" fillId="0" borderId="0" xfId="5" applyFont="1" applyProtection="1">
      <protection locked="0"/>
    </xf>
    <xf numFmtId="0" fontId="24" fillId="0" borderId="0" xfId="5" applyFont="1" applyProtection="1">
      <protection locked="0"/>
    </xf>
    <xf numFmtId="0" fontId="21" fillId="0" borderId="0" xfId="5" applyFont="1"/>
    <xf numFmtId="0" fontId="25" fillId="0" borderId="13" xfId="5" applyFont="1" applyFill="1" applyBorder="1" applyAlignment="1" applyProtection="1"/>
    <xf numFmtId="0" fontId="25" fillId="0" borderId="13" xfId="5" applyFont="1" applyFill="1" applyBorder="1" applyAlignment="1" applyProtection="1">
      <alignment horizontal="left"/>
    </xf>
    <xf numFmtId="0" fontId="21" fillId="0" borderId="0" xfId="5" applyFont="1" applyProtection="1">
      <protection locked="0"/>
    </xf>
    <xf numFmtId="0" fontId="25" fillId="0" borderId="3" xfId="5" applyFont="1" applyBorder="1" applyAlignment="1" applyProtection="1"/>
    <xf numFmtId="0" fontId="24" fillId="3" borderId="13" xfId="5" applyFont="1" applyFill="1" applyBorder="1" applyAlignment="1" applyProtection="1">
      <alignment vertical="top"/>
    </xf>
    <xf numFmtId="0" fontId="21" fillId="0" borderId="0" xfId="5" applyFont="1" applyFill="1" applyBorder="1"/>
    <xf numFmtId="0" fontId="21" fillId="0" borderId="0" xfId="5" applyFont="1" applyAlignment="1" applyProtection="1">
      <alignment vertical="top"/>
    </xf>
    <xf numFmtId="0" fontId="21" fillId="0" borderId="0" xfId="5" applyFont="1" applyAlignment="1" applyProtection="1">
      <protection locked="0"/>
    </xf>
    <xf numFmtId="0" fontId="21" fillId="0" borderId="0" xfId="5" applyNumberFormat="1" applyFont="1" applyAlignment="1" applyProtection="1">
      <alignment horizontal="left"/>
      <protection locked="0"/>
    </xf>
    <xf numFmtId="0" fontId="27" fillId="0" borderId="0" xfId="5" applyFont="1" applyAlignment="1" applyProtection="1">
      <protection locked="0"/>
    </xf>
    <xf numFmtId="0" fontId="21" fillId="5" borderId="13" xfId="5" applyFont="1" applyFill="1" applyBorder="1" applyAlignment="1" applyProtection="1">
      <alignment horizontal="left" wrapText="1"/>
      <protection locked="0"/>
    </xf>
    <xf numFmtId="0" fontId="21" fillId="0" borderId="0" xfId="5" applyFont="1" applyAlignment="1" applyProtection="1">
      <alignment vertical="top" wrapText="1"/>
    </xf>
    <xf numFmtId="0" fontId="28" fillId="3" borderId="13" xfId="5" applyFont="1" applyFill="1" applyBorder="1" applyAlignment="1" applyProtection="1">
      <alignment vertical="top" wrapText="1"/>
    </xf>
    <xf numFmtId="0" fontId="24" fillId="3" borderId="13" xfId="5" applyFont="1" applyFill="1" applyBorder="1" applyAlignment="1" applyProtection="1">
      <alignment horizontal="left" wrapText="1"/>
    </xf>
    <xf numFmtId="49" fontId="24" fillId="6" borderId="0" xfId="5" applyNumberFormat="1" applyFont="1" applyFill="1" applyBorder="1" applyAlignment="1" applyProtection="1">
      <alignment horizontal="right" vertical="top"/>
    </xf>
    <xf numFmtId="49" fontId="21" fillId="7" borderId="13" xfId="5" applyNumberFormat="1" applyFont="1" applyFill="1" applyBorder="1" applyAlignment="1" applyProtection="1">
      <alignment horizontal="left" wrapText="1"/>
      <protection locked="0"/>
    </xf>
    <xf numFmtId="49" fontId="21" fillId="0" borderId="0" xfId="5" applyNumberFormat="1" applyFont="1"/>
    <xf numFmtId="0" fontId="21" fillId="0" borderId="0" xfId="5" applyFont="1" applyFill="1" applyBorder="1" applyAlignment="1" applyProtection="1">
      <alignment horizontal="right" vertical="top"/>
    </xf>
    <xf numFmtId="0" fontId="21" fillId="0" borderId="0" xfId="5" applyFont="1" applyFill="1" applyAlignment="1" applyProtection="1">
      <alignment horizontal="left" wrapText="1"/>
      <protection locked="0"/>
    </xf>
    <xf numFmtId="0" fontId="21" fillId="0" borderId="0" xfId="5" applyFont="1" applyFill="1" applyProtection="1">
      <protection locked="0"/>
    </xf>
    <xf numFmtId="0" fontId="21" fillId="0" borderId="0" xfId="5" applyFont="1" applyFill="1" applyAlignment="1" applyProtection="1">
      <alignment horizontal="right" vertical="top" wrapText="1"/>
    </xf>
    <xf numFmtId="0" fontId="24" fillId="3" borderId="13" xfId="5" applyNumberFormat="1" applyFont="1" applyFill="1" applyBorder="1" applyAlignment="1" applyProtection="1">
      <alignment vertical="top" wrapText="1"/>
    </xf>
    <xf numFmtId="0" fontId="21" fillId="0" borderId="0" xfId="5" applyFont="1" applyBorder="1" applyAlignment="1" applyProtection="1">
      <alignment horizontal="left" wrapText="1"/>
      <protection locked="0"/>
    </xf>
    <xf numFmtId="0" fontId="25" fillId="0" borderId="13" xfId="5" applyFont="1" applyFill="1" applyBorder="1" applyAlignment="1" applyProtection="1">
      <alignment horizontal="right"/>
    </xf>
    <xf numFmtId="0" fontId="25" fillId="0" borderId="3" xfId="5" applyFont="1" applyBorder="1" applyAlignment="1"/>
    <xf numFmtId="0" fontId="24" fillId="8" borderId="0" xfId="5" applyNumberFormat="1" applyFont="1" applyFill="1" applyAlignment="1" applyProtection="1">
      <alignment horizontal="right" vertical="top" wrapText="1"/>
    </xf>
    <xf numFmtId="0" fontId="24" fillId="8" borderId="0" xfId="5" applyFont="1" applyFill="1" applyAlignment="1" applyProtection="1">
      <alignment horizontal="right" vertical="top" wrapText="1"/>
    </xf>
    <xf numFmtId="166" fontId="21" fillId="4" borderId="13" xfId="5" applyNumberFormat="1" applyFont="1" applyFill="1" applyBorder="1" applyAlignment="1" applyProtection="1">
      <alignment horizontal="left" wrapText="1"/>
      <protection locked="0"/>
    </xf>
    <xf numFmtId="0" fontId="24" fillId="8" borderId="0" xfId="5" applyFont="1" applyFill="1" applyAlignment="1" applyProtection="1">
      <alignment horizontal="right" vertical="top"/>
    </xf>
    <xf numFmtId="0" fontId="24" fillId="8" borderId="0" xfId="5" applyFont="1" applyFill="1" applyBorder="1" applyAlignment="1" applyProtection="1">
      <alignment horizontal="right" vertical="top"/>
    </xf>
    <xf numFmtId="0" fontId="21" fillId="4" borderId="13" xfId="5" applyFont="1" applyFill="1" applyBorder="1" applyAlignment="1" applyProtection="1">
      <alignment horizontal="left" vertical="top" wrapText="1"/>
      <protection locked="0"/>
    </xf>
    <xf numFmtId="0" fontId="24" fillId="3" borderId="14" xfId="5" applyFont="1" applyFill="1" applyBorder="1" applyAlignment="1" applyProtection="1">
      <alignment horizontal="left" vertical="top"/>
    </xf>
    <xf numFmtId="0" fontId="24" fillId="8" borderId="0" xfId="5" applyFont="1" applyFill="1" applyBorder="1" applyAlignment="1" applyProtection="1">
      <alignment horizontal="left" vertical="top"/>
    </xf>
    <xf numFmtId="0" fontId="21" fillId="4" borderId="15" xfId="5" applyFont="1" applyFill="1" applyBorder="1" applyAlignment="1" applyProtection="1">
      <alignment horizontal="left" wrapText="1"/>
      <protection locked="0"/>
    </xf>
    <xf numFmtId="0" fontId="21" fillId="4" borderId="16" xfId="5" applyFont="1" applyFill="1" applyBorder="1" applyAlignment="1" applyProtection="1">
      <alignment horizontal="left" wrapText="1"/>
      <protection locked="0"/>
    </xf>
    <xf numFmtId="0" fontId="24" fillId="3" borderId="13" xfId="5" applyFont="1" applyFill="1" applyBorder="1" applyAlignment="1" applyProtection="1">
      <alignment horizontal="left" vertical="top"/>
    </xf>
    <xf numFmtId="0" fontId="21" fillId="0" borderId="13" xfId="5" applyFont="1" applyBorder="1" applyAlignment="1" applyProtection="1">
      <alignment horizontal="left" wrapText="1"/>
      <protection locked="0"/>
    </xf>
    <xf numFmtId="0" fontId="24" fillId="0" borderId="0" xfId="5" applyFont="1" applyFill="1" applyBorder="1" applyAlignment="1" applyProtection="1">
      <alignment horizontal="right" vertical="top"/>
    </xf>
    <xf numFmtId="0" fontId="21" fillId="0" borderId="0" xfId="5" applyFont="1" applyFill="1" applyBorder="1" applyAlignment="1" applyProtection="1">
      <alignment horizontal="left" wrapText="1"/>
      <protection locked="0"/>
    </xf>
    <xf numFmtId="0" fontId="24" fillId="3" borderId="13" xfId="5" applyFont="1" applyFill="1" applyBorder="1" applyAlignment="1" applyProtection="1">
      <alignment wrapText="1"/>
    </xf>
    <xf numFmtId="0" fontId="24" fillId="8" borderId="0" xfId="5" applyFont="1" applyFill="1" applyBorder="1" applyAlignment="1" applyProtection="1">
      <alignment horizontal="right" wrapText="1"/>
    </xf>
    <xf numFmtId="0" fontId="24" fillId="8" borderId="1" xfId="5" applyFont="1" applyFill="1" applyBorder="1" applyAlignment="1" applyProtection="1">
      <alignment horizontal="right" wrapText="1"/>
    </xf>
    <xf numFmtId="0" fontId="24" fillId="3" borderId="13" xfId="5" applyFont="1" applyFill="1" applyBorder="1" applyAlignment="1" applyProtection="1">
      <alignment vertical="top" wrapText="1"/>
    </xf>
    <xf numFmtId="0" fontId="27" fillId="0" borderId="0" xfId="5" applyFont="1"/>
    <xf numFmtId="0" fontId="21" fillId="0" borderId="0" xfId="5" applyFont="1" applyAlignment="1" applyProtection="1"/>
    <xf numFmtId="0" fontId="21" fillId="0" borderId="0" xfId="5" applyNumberFormat="1" applyFont="1" applyAlignment="1" applyProtection="1">
      <protection locked="0"/>
    </xf>
    <xf numFmtId="0" fontId="21" fillId="0" borderId="0" xfId="5" applyFont="1" applyFill="1" applyAlignment="1" applyProtection="1">
      <alignment vertical="center"/>
      <protection locked="0"/>
    </xf>
    <xf numFmtId="0" fontId="21" fillId="0" borderId="0" xfId="5" applyFont="1" applyAlignment="1" applyProtection="1">
      <alignment vertical="center"/>
      <protection locked="0"/>
    </xf>
    <xf numFmtId="0" fontId="21" fillId="0" borderId="0" xfId="5" applyFont="1" applyAlignment="1" applyProtection="1">
      <alignment horizontal="left"/>
      <protection locked="0"/>
    </xf>
    <xf numFmtId="0" fontId="24" fillId="3" borderId="17" xfId="5" applyFont="1" applyFill="1" applyBorder="1" applyAlignment="1" applyProtection="1">
      <alignment horizontal="left"/>
    </xf>
    <xf numFmtId="0" fontId="21" fillId="3" borderId="18" xfId="5" applyNumberFormat="1" applyFont="1" applyFill="1" applyBorder="1" applyAlignment="1" applyProtection="1">
      <alignment horizontal="left"/>
    </xf>
    <xf numFmtId="0" fontId="24" fillId="3" borderId="6" xfId="5" applyFont="1" applyFill="1" applyBorder="1" applyAlignment="1" applyProtection="1">
      <alignment horizontal="right" wrapText="1"/>
    </xf>
    <xf numFmtId="0" fontId="21" fillId="4" borderId="1" xfId="5" applyFont="1" applyFill="1" applyBorder="1" applyAlignment="1" applyProtection="1">
      <alignment horizontal="left"/>
      <protection locked="0"/>
    </xf>
    <xf numFmtId="0" fontId="21" fillId="7" borderId="3" xfId="5" applyFont="1" applyFill="1" applyBorder="1" applyAlignment="1" applyProtection="1">
      <protection locked="0"/>
    </xf>
    <xf numFmtId="0" fontId="24" fillId="3" borderId="1" xfId="5" applyFont="1" applyFill="1" applyBorder="1" applyAlignment="1" applyProtection="1">
      <alignment horizontal="right"/>
    </xf>
    <xf numFmtId="0" fontId="21" fillId="7" borderId="11" xfId="5" applyFont="1" applyFill="1" applyBorder="1" applyAlignment="1" applyProtection="1">
      <protection locked="0"/>
    </xf>
    <xf numFmtId="0" fontId="24" fillId="0" borderId="0" xfId="5" applyFont="1" applyAlignment="1" applyProtection="1">
      <alignment horizontal="center" vertical="top"/>
    </xf>
    <xf numFmtId="0" fontId="24" fillId="3" borderId="13" xfId="5" applyFont="1" applyFill="1" applyBorder="1" applyAlignment="1" applyProtection="1">
      <alignment horizontal="right" vertical="top"/>
    </xf>
    <xf numFmtId="0" fontId="30" fillId="0" borderId="0" xfId="5" applyFont="1"/>
    <xf numFmtId="0" fontId="24" fillId="8" borderId="13" xfId="5" applyFont="1" applyFill="1" applyBorder="1" applyAlignment="1" applyProtection="1">
      <alignment vertical="center" wrapText="1"/>
    </xf>
    <xf numFmtId="0" fontId="24" fillId="8" borderId="13" xfId="5" applyFont="1" applyFill="1" applyBorder="1" applyAlignment="1" applyProtection="1">
      <alignment horizontal="left" vertical="center" wrapText="1"/>
    </xf>
    <xf numFmtId="0" fontId="24" fillId="0" borderId="0" xfId="5" applyFont="1" applyFill="1" applyBorder="1" applyAlignment="1" applyProtection="1">
      <alignment vertical="center" wrapText="1"/>
    </xf>
    <xf numFmtId="0" fontId="31" fillId="0" borderId="0" xfId="5" applyFont="1"/>
    <xf numFmtId="0" fontId="21" fillId="0" borderId="0" xfId="5" applyFont="1" applyAlignment="1" applyProtection="1">
      <alignment vertical="top" wrapText="1"/>
      <protection locked="0"/>
    </xf>
    <xf numFmtId="0" fontId="21" fillId="0" borderId="0" xfId="5" applyFont="1" applyAlignment="1" applyProtection="1">
      <alignment wrapText="1"/>
      <protection locked="0"/>
    </xf>
    <xf numFmtId="0" fontId="21" fillId="0" borderId="0" xfId="5" applyFont="1" applyAlignment="1">
      <alignment vertical="center" wrapText="1"/>
    </xf>
    <xf numFmtId="0" fontId="21" fillId="0" borderId="0" xfId="5" applyFont="1" applyAlignment="1">
      <alignment vertical="top"/>
    </xf>
    <xf numFmtId="0" fontId="39" fillId="0" borderId="0" xfId="0" applyFont="1" applyAlignment="1">
      <alignment horizontal="left" readingOrder="1"/>
    </xf>
    <xf numFmtId="0" fontId="7" fillId="0" borderId="0" xfId="0" applyFont="1" applyAlignment="1">
      <alignment horizontal="right"/>
    </xf>
    <xf numFmtId="165" fontId="0" fillId="0" borderId="0" xfId="0" applyNumberFormat="1" applyFont="1" applyFill="1" applyBorder="1" applyAlignment="1">
      <alignment horizontal="right"/>
    </xf>
    <xf numFmtId="15" fontId="0" fillId="0" borderId="0" xfId="0" applyNumberFormat="1" applyFont="1" applyFill="1" applyBorder="1" applyAlignment="1">
      <alignment horizontal="right"/>
    </xf>
    <xf numFmtId="0" fontId="0" fillId="0" borderId="0" xfId="0" applyFont="1" applyFill="1" applyBorder="1"/>
    <xf numFmtId="0" fontId="20" fillId="0" borderId="0" xfId="0" applyFont="1" applyFill="1" applyAlignment="1">
      <alignment horizontal="right"/>
    </xf>
    <xf numFmtId="0" fontId="26" fillId="0" borderId="1" xfId="6" applyFill="1" applyBorder="1" applyAlignment="1" applyProtection="1">
      <alignment horizontal="left"/>
    </xf>
    <xf numFmtId="0" fontId="24" fillId="0" borderId="0" xfId="5" applyFont="1" applyFill="1" applyBorder="1" applyAlignment="1" applyProtection="1">
      <alignment horizontal="left" wrapText="1"/>
      <protection locked="0"/>
    </xf>
    <xf numFmtId="0" fontId="21" fillId="0" borderId="0" xfId="5" applyFont="1" applyFill="1" applyBorder="1" applyAlignment="1"/>
    <xf numFmtId="0" fontId="40" fillId="0" borderId="0" xfId="5" applyFont="1"/>
    <xf numFmtId="0" fontId="21" fillId="4" borderId="6" xfId="5" applyFont="1" applyFill="1" applyBorder="1" applyAlignment="1" applyProtection="1">
      <alignment horizontal="left"/>
      <protection locked="0"/>
    </xf>
    <xf numFmtId="0" fontId="26" fillId="4" borderId="13" xfId="6" applyFill="1" applyBorder="1" applyAlignment="1" applyProtection="1">
      <alignment horizontal="left" vertical="top" wrapText="1"/>
    </xf>
    <xf numFmtId="0" fontId="24" fillId="8" borderId="0" xfId="5" applyFont="1" applyFill="1" applyBorder="1" applyAlignment="1" applyProtection="1">
      <alignment horizontal="right" vertical="top" wrapText="1"/>
    </xf>
    <xf numFmtId="0" fontId="21" fillId="9" borderId="13" xfId="5" applyFont="1" applyFill="1" applyBorder="1" applyAlignment="1" applyProtection="1">
      <alignment horizontal="center" wrapText="1"/>
      <protection locked="0"/>
    </xf>
    <xf numFmtId="0" fontId="21" fillId="0" borderId="0" xfId="5" applyFont="1" applyAlignment="1" applyProtection="1">
      <alignment horizontal="right" vertical="top"/>
    </xf>
    <xf numFmtId="0" fontId="21" fillId="0" borderId="0" xfId="5"/>
    <xf numFmtId="0" fontId="43" fillId="0" borderId="0" xfId="5" applyFont="1" applyAlignment="1">
      <alignment horizontal="center" wrapText="1"/>
    </xf>
    <xf numFmtId="0" fontId="43" fillId="0" borderId="0" xfId="5" applyFont="1" applyAlignment="1">
      <alignment wrapText="1"/>
    </xf>
    <xf numFmtId="167" fontId="43" fillId="0" borderId="0" xfId="5" applyNumberFormat="1" applyFont="1" applyAlignment="1">
      <alignment wrapText="1"/>
    </xf>
    <xf numFmtId="1" fontId="43" fillId="0" borderId="0" xfId="5" applyNumberFormat="1" applyFont="1" applyAlignment="1">
      <alignment wrapText="1"/>
    </xf>
    <xf numFmtId="0" fontId="44" fillId="0" borderId="0" xfId="5" applyFont="1" applyAlignment="1">
      <alignment horizontal="center" wrapText="1"/>
    </xf>
    <xf numFmtId="0" fontId="26" fillId="0" borderId="0" xfId="6" applyAlignment="1" applyProtection="1"/>
    <xf numFmtId="0" fontId="21" fillId="0" borderId="0" xfId="5" applyAlignment="1"/>
    <xf numFmtId="1" fontId="21" fillId="0" borderId="0" xfId="5" applyNumberFormat="1"/>
    <xf numFmtId="0" fontId="21" fillId="4" borderId="1" xfId="5" applyFont="1" applyFill="1" applyBorder="1" applyAlignment="1" applyProtection="1">
      <alignment horizontal="left" wrapText="1"/>
      <protection locked="0"/>
    </xf>
    <xf numFmtId="0" fontId="21" fillId="0" borderId="3" xfId="5" applyFont="1" applyBorder="1" applyAlignment="1"/>
    <xf numFmtId="0" fontId="24" fillId="0" borderId="0" xfId="5" applyFont="1" applyFill="1" applyBorder="1" applyAlignment="1" applyProtection="1">
      <alignment horizontal="left" wrapText="1"/>
      <protection locked="0"/>
    </xf>
    <xf numFmtId="0" fontId="21" fillId="0" borderId="0" xfId="5" applyFont="1" applyFill="1" applyBorder="1" applyAlignment="1"/>
  </cellXfs>
  <cellStyles count="12">
    <cellStyle name="Hyperlink" xfId="6" builtinId="8"/>
    <cellStyle name="Normal" xfId="0" builtinId="0"/>
    <cellStyle name="Normal 2" xfId="1"/>
    <cellStyle name="Normal 2 2" xfId="5"/>
    <cellStyle name="Normal 3" xfId="2"/>
    <cellStyle name="Normal 3 2" xfId="3"/>
    <cellStyle name="Normal 4" xfId="4"/>
    <cellStyle name="Normal 5" xfId="7"/>
    <cellStyle name="Normal 5 2" xfId="8"/>
    <cellStyle name="Normal 6" xfId="9"/>
    <cellStyle name="Normal 7" xfId="10"/>
    <cellStyle name="Note 2" xfId="11"/>
  </cellStyles>
  <dxfs count="11">
    <dxf>
      <font>
        <condense val="0"/>
        <extend val="0"/>
        <color auto="1"/>
      </font>
      <fill>
        <patternFill>
          <bgColor indexed="26"/>
        </patternFill>
      </fill>
      <border>
        <left style="thin">
          <color indexed="8"/>
        </left>
        <right style="thin">
          <color indexed="8"/>
        </right>
        <top style="thin">
          <color indexed="8"/>
        </top>
        <bottom style="thin">
          <color indexed="8"/>
        </bottom>
      </border>
    </dxf>
    <dxf>
      <border>
        <left style="thin">
          <color rgb="FFC00000"/>
        </left>
        <right style="thin">
          <color rgb="FFC00000"/>
        </right>
        <top style="thin">
          <color rgb="FFC00000"/>
        </top>
        <bottom style="thin">
          <color rgb="FFC00000"/>
        </bottom>
      </border>
    </dxf>
    <dxf>
      <border>
        <left style="thin">
          <color rgb="FFC00000"/>
        </left>
        <right style="thin">
          <color rgb="FFC00000"/>
        </right>
        <top style="thin">
          <color rgb="FFC00000"/>
        </top>
        <bottom style="thin">
          <color rgb="FFC00000"/>
        </bottom>
      </border>
    </dxf>
    <dxf>
      <fill>
        <patternFill patternType="darkGrid">
          <fgColor indexed="22"/>
        </patternFill>
      </fill>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indexed="41"/>
        </patternFill>
      </fill>
      <border>
        <left style="thin">
          <color indexed="64"/>
        </left>
        <right style="thin">
          <color indexed="64"/>
        </right>
        <top style="thin">
          <color indexed="64"/>
        </top>
        <bottom style="thin">
          <color indexed="64"/>
        </bottom>
      </border>
    </dxf>
    <dxf>
      <fill>
        <patternFill patternType="darkGrid">
          <fgColor indexed="22"/>
        </patternFill>
      </fill>
      <border>
        <left style="thin">
          <color indexed="64"/>
        </left>
        <right style="thin">
          <color indexed="64"/>
        </right>
        <top style="thin">
          <color indexed="64"/>
        </top>
        <bottom style="thin">
          <color indexed="64"/>
        </bottom>
      </border>
    </dxf>
    <dxf>
      <fill>
        <patternFill>
          <bgColor indexed="41"/>
        </patternFill>
      </fill>
      <border>
        <left style="thin">
          <color indexed="64"/>
        </left>
        <right style="thin">
          <color indexed="64"/>
        </right>
        <top style="thin">
          <color indexed="64"/>
        </top>
        <bottom style="thin">
          <color indexed="64"/>
        </bottom>
      </border>
    </dxf>
    <dxf>
      <fill>
        <patternFill patternType="darkGrid">
          <fgColor indexed="22"/>
        </patternFill>
      </fill>
      <border>
        <left style="thin">
          <color indexed="64"/>
        </left>
        <right style="thin">
          <color indexed="64"/>
        </right>
        <top style="thin">
          <color indexed="64"/>
        </top>
        <bottom style="thin">
          <color indexed="64"/>
        </bottom>
      </border>
    </dxf>
    <dxf>
      <fill>
        <patternFill>
          <bgColor indexed="41"/>
        </patternFill>
      </fill>
      <border>
        <left style="thin">
          <color indexed="64"/>
        </left>
        <right style="thin">
          <color indexed="64"/>
        </right>
        <top style="thin">
          <color indexed="64"/>
        </top>
        <bottom style="thin">
          <color indexed="64"/>
        </bottom>
      </border>
    </dxf>
    <dxf>
      <fill>
        <patternFill>
          <bgColor indexed="41"/>
        </patternFill>
      </fill>
      <border>
        <left style="thin">
          <color indexed="64"/>
        </left>
        <right style="thin">
          <color indexed="64"/>
        </right>
        <top style="thin">
          <color indexed="64"/>
        </top>
        <bottom style="thin">
          <color indexed="64"/>
        </bottom>
      </border>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US"/>
              <a:t>Run 4 %N Aspartic</a:t>
            </a:r>
          </a:p>
        </c:rich>
      </c:tx>
      <c:overlay val="0"/>
    </c:title>
    <c:autoTitleDeleted val="0"/>
    <c:plotArea>
      <c:layout/>
      <c:scatterChart>
        <c:scatterStyle val="lineMarker"/>
        <c:varyColors val="0"/>
        <c:ser>
          <c:idx val="0"/>
          <c:order val="0"/>
          <c:spPr>
            <a:ln w="28575">
              <a:noFill/>
            </a:ln>
          </c:spPr>
          <c:trendline>
            <c:trendlineType val="linear"/>
            <c:dispRSqr val="0"/>
            <c:dispEq val="0"/>
          </c:trendline>
          <c:trendline>
            <c:trendlineType val="linear"/>
            <c:dispRSqr val="1"/>
            <c:dispEq val="0"/>
            <c:trendlineLbl>
              <c:layout>
                <c:manualLayout>
                  <c:x val="-7.6807507814838933E-3"/>
                  <c:y val="0.18295382605071361"/>
                </c:manualLayout>
              </c:layout>
              <c:numFmt formatCode="General" sourceLinked="0"/>
              <c:txPr>
                <a:bodyPr/>
                <a:lstStyle/>
                <a:p>
                  <a:pPr>
                    <a:defRPr sz="1000" b="0" i="0" u="none" strike="noStrike" baseline="0">
                      <a:solidFill>
                        <a:srgbClr val="000000"/>
                      </a:solidFill>
                      <a:latin typeface="Calibri"/>
                      <a:ea typeface="Calibri"/>
                      <a:cs typeface="Calibri"/>
                    </a:defRPr>
                  </a:pPr>
                  <a:endParaRPr lang="en-US"/>
                </a:p>
              </c:txPr>
            </c:trendlineLbl>
          </c:trendline>
          <c:xVal>
            <c:strRef>
              <c:f>PF_CHN_QAQC!$G$3:$G$15</c:f>
              <c:strCache>
                <c:ptCount val="13"/>
                <c:pt idx="0">
                  <c:v>Asp3</c:v>
                </c:pt>
                <c:pt idx="1">
                  <c:v>Asp4</c:v>
                </c:pt>
                <c:pt idx="2">
                  <c:v>Asp5</c:v>
                </c:pt>
                <c:pt idx="3">
                  <c:v>Asp6</c:v>
                </c:pt>
                <c:pt idx="4">
                  <c:v>Asp7</c:v>
                </c:pt>
                <c:pt idx="5">
                  <c:v>31Asp</c:v>
                </c:pt>
                <c:pt idx="6">
                  <c:v>41Asp</c:v>
                </c:pt>
                <c:pt idx="7">
                  <c:v>52Asp</c:v>
                </c:pt>
                <c:pt idx="8">
                  <c:v>63Asp</c:v>
                </c:pt>
                <c:pt idx="9">
                  <c:v>74Asp</c:v>
                </c:pt>
                <c:pt idx="10">
                  <c:v>85Asp</c:v>
                </c:pt>
                <c:pt idx="11">
                  <c:v>96Asp</c:v>
                </c:pt>
                <c:pt idx="12">
                  <c:v>107Asp</c:v>
                </c:pt>
              </c:strCache>
            </c:strRef>
          </c:xVal>
          <c:yVal>
            <c:numRef>
              <c:f>PF_CHN_QAQC!$H$3:$H$15</c:f>
              <c:numCache>
                <c:formatCode>0.000</c:formatCode>
                <c:ptCount val="13"/>
                <c:pt idx="0">
                  <c:v>9.4507150147552039</c:v>
                </c:pt>
                <c:pt idx="1">
                  <c:v>10.407161673159788</c:v>
                </c:pt>
                <c:pt idx="2">
                  <c:v>10.565420366295866</c:v>
                </c:pt>
                <c:pt idx="3">
                  <c:v>10.693641762555272</c:v>
                </c:pt>
                <c:pt idx="4">
                  <c:v>10.442972786858908</c:v>
                </c:pt>
                <c:pt idx="5">
                  <c:v>10.498760658639107</c:v>
                </c:pt>
                <c:pt idx="6">
                  <c:v>10.604798629836552</c:v>
                </c:pt>
                <c:pt idx="7">
                  <c:v>10.600089616886375</c:v>
                </c:pt>
                <c:pt idx="8">
                  <c:v>10.696589836840383</c:v>
                </c:pt>
                <c:pt idx="9">
                  <c:v>10.694876700789189</c:v>
                </c:pt>
                <c:pt idx="10">
                  <c:v>10.887801506711808</c:v>
                </c:pt>
                <c:pt idx="11">
                  <c:v>10.599959349666621</c:v>
                </c:pt>
                <c:pt idx="12">
                  <c:v>10.189347400424264</c:v>
                </c:pt>
              </c:numCache>
            </c:numRef>
          </c:yVal>
          <c:smooth val="0"/>
        </c:ser>
        <c:dLbls>
          <c:showLegendKey val="0"/>
          <c:showVal val="0"/>
          <c:showCatName val="0"/>
          <c:showSerName val="0"/>
          <c:showPercent val="0"/>
          <c:showBubbleSize val="0"/>
        </c:dLbls>
        <c:axId val="153959424"/>
        <c:axId val="153993600"/>
      </c:scatterChart>
      <c:valAx>
        <c:axId val="153959424"/>
        <c:scaling>
          <c:orientation val="minMax"/>
        </c:scaling>
        <c:delete val="1"/>
        <c:axPos val="b"/>
        <c:majorTickMark val="out"/>
        <c:minorTickMark val="none"/>
        <c:tickLblPos val="none"/>
        <c:crossAx val="153993600"/>
        <c:crosses val="autoZero"/>
        <c:crossBetween val="midCat"/>
      </c:valAx>
      <c:valAx>
        <c:axId val="153993600"/>
        <c:scaling>
          <c:orientation val="minMax"/>
        </c:scaling>
        <c:delete val="0"/>
        <c:axPos val="l"/>
        <c:numFmt formatCode="0.00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53959424"/>
        <c:crosses val="autoZero"/>
        <c:crossBetween val="midCat"/>
      </c:valAx>
    </c:plotArea>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1" l="0.70000000000000062" r="0.70000000000000062" t="0.750000000000001"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a:lstStyle/>
          <a:p>
            <a:pPr>
              <a:defRPr sz="1800" b="1" i="0" u="none" strike="noStrike" baseline="0">
                <a:solidFill>
                  <a:srgbClr val="000000"/>
                </a:solidFill>
                <a:latin typeface="Calibri"/>
                <a:ea typeface="Calibri"/>
                <a:cs typeface="Calibri"/>
              </a:defRPr>
            </a:pPr>
            <a:r>
              <a:rPr lang="en-US"/>
              <a:t>Run 4 %C Aspartic</a:t>
            </a:r>
          </a:p>
        </c:rich>
      </c:tx>
      <c:overlay val="0"/>
    </c:title>
    <c:autoTitleDeleted val="0"/>
    <c:plotArea>
      <c:layout/>
      <c:scatterChart>
        <c:scatterStyle val="lineMarker"/>
        <c:varyColors val="0"/>
        <c:ser>
          <c:idx val="0"/>
          <c:order val="0"/>
          <c:spPr>
            <a:ln w="28575">
              <a:noFill/>
            </a:ln>
          </c:spPr>
          <c:marker>
            <c:spPr>
              <a:solidFill>
                <a:schemeClr val="accent6">
                  <a:lumMod val="75000"/>
                </a:schemeClr>
              </a:solidFill>
            </c:spPr>
          </c:marker>
          <c:trendline>
            <c:trendlineType val="linear"/>
            <c:dispRSqr val="1"/>
            <c:dispEq val="1"/>
            <c:trendlineLbl>
              <c:layout>
                <c:manualLayout>
                  <c:x val="0.11982245849842019"/>
                  <c:y val="0.33910180046682381"/>
                </c:manualLayout>
              </c:layout>
              <c:numFmt formatCode="General" sourceLinked="0"/>
              <c:txPr>
                <a:bodyPr/>
                <a:lstStyle/>
                <a:p>
                  <a:pPr>
                    <a:defRPr sz="1000" b="0" i="0" u="none" strike="noStrike" baseline="0">
                      <a:solidFill>
                        <a:srgbClr val="000000"/>
                      </a:solidFill>
                      <a:latin typeface="Calibri"/>
                      <a:ea typeface="Calibri"/>
                      <a:cs typeface="Calibri"/>
                    </a:defRPr>
                  </a:pPr>
                  <a:endParaRPr lang="en-US"/>
                </a:p>
              </c:txPr>
            </c:trendlineLbl>
          </c:trendline>
          <c:xVal>
            <c:strRef>
              <c:f>PF_CHN_QAQC!$G$3:$G$15</c:f>
              <c:strCache>
                <c:ptCount val="13"/>
                <c:pt idx="0">
                  <c:v>Asp3</c:v>
                </c:pt>
                <c:pt idx="1">
                  <c:v>Asp4</c:v>
                </c:pt>
                <c:pt idx="2">
                  <c:v>Asp5</c:v>
                </c:pt>
                <c:pt idx="3">
                  <c:v>Asp6</c:v>
                </c:pt>
                <c:pt idx="4">
                  <c:v>Asp7</c:v>
                </c:pt>
                <c:pt idx="5">
                  <c:v>31Asp</c:v>
                </c:pt>
                <c:pt idx="6">
                  <c:v>41Asp</c:v>
                </c:pt>
                <c:pt idx="7">
                  <c:v>52Asp</c:v>
                </c:pt>
                <c:pt idx="8">
                  <c:v>63Asp</c:v>
                </c:pt>
                <c:pt idx="9">
                  <c:v>74Asp</c:v>
                </c:pt>
                <c:pt idx="10">
                  <c:v>85Asp</c:v>
                </c:pt>
                <c:pt idx="11">
                  <c:v>96Asp</c:v>
                </c:pt>
                <c:pt idx="12">
                  <c:v>107Asp</c:v>
                </c:pt>
              </c:strCache>
            </c:strRef>
          </c:xVal>
          <c:yVal>
            <c:numRef>
              <c:f>PF_CHN_QAQC!$I$3:$I$15</c:f>
              <c:numCache>
                <c:formatCode>0.000</c:formatCode>
                <c:ptCount val="13"/>
                <c:pt idx="0">
                  <c:v>35.530575665209227</c:v>
                </c:pt>
                <c:pt idx="1">
                  <c:v>36.50048612562496</c:v>
                </c:pt>
                <c:pt idx="2">
                  <c:v>36.416512039374801</c:v>
                </c:pt>
                <c:pt idx="3">
                  <c:v>35.700813008985051</c:v>
                </c:pt>
                <c:pt idx="4">
                  <c:v>36.2310015662094</c:v>
                </c:pt>
                <c:pt idx="5">
                  <c:v>35.823586446209646</c:v>
                </c:pt>
                <c:pt idx="6">
                  <c:v>36.825012244258893</c:v>
                </c:pt>
                <c:pt idx="7">
                  <c:v>36.400022505285406</c:v>
                </c:pt>
                <c:pt idx="8">
                  <c:v>36.820750264452919</c:v>
                </c:pt>
                <c:pt idx="9">
                  <c:v>36.980018326252214</c:v>
                </c:pt>
                <c:pt idx="10">
                  <c:v>36.783966975936089</c:v>
                </c:pt>
                <c:pt idx="11">
                  <c:v>37.07142794619692</c:v>
                </c:pt>
                <c:pt idx="12">
                  <c:v>37.051900423919868</c:v>
                </c:pt>
              </c:numCache>
            </c:numRef>
          </c:yVal>
          <c:smooth val="0"/>
        </c:ser>
        <c:dLbls>
          <c:showLegendKey val="0"/>
          <c:showVal val="0"/>
          <c:showCatName val="0"/>
          <c:showSerName val="0"/>
          <c:showPercent val="0"/>
          <c:showBubbleSize val="0"/>
        </c:dLbls>
        <c:axId val="154092288"/>
        <c:axId val="154093824"/>
      </c:scatterChart>
      <c:valAx>
        <c:axId val="154092288"/>
        <c:scaling>
          <c:orientation val="minMax"/>
        </c:scaling>
        <c:delete val="1"/>
        <c:axPos val="b"/>
        <c:majorTickMark val="out"/>
        <c:minorTickMark val="none"/>
        <c:tickLblPos val="none"/>
        <c:crossAx val="154093824"/>
        <c:crosses val="autoZero"/>
        <c:crossBetween val="midCat"/>
      </c:valAx>
      <c:valAx>
        <c:axId val="154093824"/>
        <c:scaling>
          <c:orientation val="minMax"/>
        </c:scaling>
        <c:delete val="0"/>
        <c:axPos val="l"/>
        <c:numFmt formatCode="0.00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54092288"/>
        <c:crosses val="autoZero"/>
        <c:crossBetween val="midCat"/>
      </c:valAx>
    </c:plotArea>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1" l="0.70000000000000062" r="0.70000000000000062" t="0.750000000000001"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a:lstStyle/>
          <a:p>
            <a:pPr>
              <a:defRPr sz="1800" b="1" i="0" u="none" strike="noStrike" baseline="0">
                <a:solidFill>
                  <a:srgbClr val="000000"/>
                </a:solidFill>
                <a:latin typeface="Calibri"/>
                <a:ea typeface="Calibri"/>
                <a:cs typeface="Calibri"/>
              </a:defRPr>
            </a:pPr>
            <a:r>
              <a:rPr lang="en-US"/>
              <a:t>Run 3 %C Asp</a:t>
            </a:r>
          </a:p>
        </c:rich>
      </c:tx>
      <c:overlay val="0"/>
    </c:title>
    <c:autoTitleDeleted val="0"/>
    <c:plotArea>
      <c:layout/>
      <c:scatterChart>
        <c:scatterStyle val="lineMarker"/>
        <c:varyColors val="0"/>
        <c:ser>
          <c:idx val="0"/>
          <c:order val="0"/>
          <c:spPr>
            <a:ln w="28575">
              <a:noFill/>
            </a:ln>
          </c:spPr>
          <c:trendline>
            <c:trendlineType val="linear"/>
            <c:dispRSqr val="1"/>
            <c:dispEq val="0"/>
            <c:trendlineLbl>
              <c:layout>
                <c:manualLayout>
                  <c:x val="-2.3765181061335475E-3"/>
                  <c:y val="-6.0149987880418983E-2"/>
                </c:manualLayout>
              </c:layout>
              <c:numFmt formatCode="General" sourceLinked="0"/>
              <c:txPr>
                <a:bodyPr/>
                <a:lstStyle/>
                <a:p>
                  <a:pPr>
                    <a:defRPr sz="1000" b="0" i="0" u="none" strike="noStrike" baseline="0">
                      <a:solidFill>
                        <a:srgbClr val="000000"/>
                      </a:solidFill>
                      <a:latin typeface="Calibri"/>
                      <a:ea typeface="Calibri"/>
                      <a:cs typeface="Calibri"/>
                    </a:defRPr>
                  </a:pPr>
                  <a:endParaRPr lang="en-US"/>
                </a:p>
              </c:txPr>
            </c:trendlineLbl>
          </c:trendline>
          <c:xVal>
            <c:strRef>
              <c:f>PF_CHN_QAQC!$B$3:$B$7</c:f>
              <c:strCache>
                <c:ptCount val="5"/>
                <c:pt idx="0">
                  <c:v>Asp3</c:v>
                </c:pt>
                <c:pt idx="1">
                  <c:v>Asp4</c:v>
                </c:pt>
                <c:pt idx="2">
                  <c:v>Asp5</c:v>
                </c:pt>
                <c:pt idx="3">
                  <c:v>Asp6</c:v>
                </c:pt>
                <c:pt idx="4">
                  <c:v>Asp22</c:v>
                </c:pt>
              </c:strCache>
            </c:strRef>
          </c:xVal>
          <c:yVal>
            <c:numRef>
              <c:f>PF_CHN_QAQC!$D$3:$D$7</c:f>
              <c:numCache>
                <c:formatCode>General</c:formatCode>
                <c:ptCount val="5"/>
                <c:pt idx="0">
                  <c:v>35.508983895420776</c:v>
                </c:pt>
                <c:pt idx="1">
                  <c:v>35.896227996398196</c:v>
                </c:pt>
                <c:pt idx="2">
                  <c:v>36.910438876333515</c:v>
                </c:pt>
                <c:pt idx="3">
                  <c:v>35.761953297796303</c:v>
                </c:pt>
                <c:pt idx="4">
                  <c:v>35.757974402510492</c:v>
                </c:pt>
              </c:numCache>
            </c:numRef>
          </c:yVal>
          <c:smooth val="0"/>
        </c:ser>
        <c:dLbls>
          <c:showLegendKey val="0"/>
          <c:showVal val="0"/>
          <c:showCatName val="0"/>
          <c:showSerName val="0"/>
          <c:showPercent val="0"/>
          <c:showBubbleSize val="0"/>
        </c:dLbls>
        <c:axId val="154135168"/>
        <c:axId val="154141056"/>
      </c:scatterChart>
      <c:valAx>
        <c:axId val="154135168"/>
        <c:scaling>
          <c:orientation val="minMax"/>
        </c:scaling>
        <c:delete val="1"/>
        <c:axPos val="b"/>
        <c:majorTickMark val="out"/>
        <c:minorTickMark val="none"/>
        <c:tickLblPos val="none"/>
        <c:crossAx val="154141056"/>
        <c:crosses val="autoZero"/>
        <c:crossBetween val="midCat"/>
      </c:valAx>
      <c:valAx>
        <c:axId val="154141056"/>
        <c:scaling>
          <c:orientation val="minMax"/>
        </c:scaling>
        <c:delete val="0"/>
        <c:axPos val="l"/>
        <c:numFmt formatCode="General" sourceLinked="1"/>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54135168"/>
        <c:crosses val="autoZero"/>
        <c:crossBetween val="midCat"/>
      </c:valAx>
    </c:plotArea>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1" l="0.70000000000000062" r="0.70000000000000062" t="0.750000000000001"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US"/>
              <a:t>Run 3 %N Asp</a:t>
            </a:r>
          </a:p>
        </c:rich>
      </c:tx>
      <c:overlay val="0"/>
    </c:title>
    <c:autoTitleDeleted val="0"/>
    <c:plotArea>
      <c:layout/>
      <c:scatterChart>
        <c:scatterStyle val="lineMarker"/>
        <c:varyColors val="0"/>
        <c:ser>
          <c:idx val="0"/>
          <c:order val="0"/>
          <c:spPr>
            <a:ln w="28575">
              <a:noFill/>
            </a:ln>
          </c:spPr>
          <c:trendline>
            <c:trendlineType val="linear"/>
            <c:dispRSqr val="1"/>
            <c:dispEq val="0"/>
            <c:trendlineLbl>
              <c:layout>
                <c:manualLayout>
                  <c:x val="-1.6677851733100147E-3"/>
                  <c:y val="-7.2566824963596746E-2"/>
                </c:manualLayout>
              </c:layout>
              <c:numFmt formatCode="General" sourceLinked="0"/>
              <c:txPr>
                <a:bodyPr/>
                <a:lstStyle/>
                <a:p>
                  <a:pPr>
                    <a:defRPr sz="1000" b="0" i="0" u="none" strike="noStrike" baseline="0">
                      <a:solidFill>
                        <a:srgbClr val="000000"/>
                      </a:solidFill>
                      <a:latin typeface="Calibri"/>
                      <a:ea typeface="Calibri"/>
                      <a:cs typeface="Calibri"/>
                    </a:defRPr>
                  </a:pPr>
                  <a:endParaRPr lang="en-US"/>
                </a:p>
              </c:txPr>
            </c:trendlineLbl>
          </c:trendline>
          <c:xVal>
            <c:strRef>
              <c:f>PF_CHN_QAQC!$B$3:$B$10</c:f>
              <c:strCache>
                <c:ptCount val="8"/>
                <c:pt idx="0">
                  <c:v>Asp3</c:v>
                </c:pt>
                <c:pt idx="1">
                  <c:v>Asp4</c:v>
                </c:pt>
                <c:pt idx="2">
                  <c:v>Asp5</c:v>
                </c:pt>
                <c:pt idx="3">
                  <c:v>Asp6</c:v>
                </c:pt>
                <c:pt idx="4">
                  <c:v>Asp22</c:v>
                </c:pt>
                <c:pt idx="5">
                  <c:v>MEAN</c:v>
                </c:pt>
                <c:pt idx="6">
                  <c:v>STDEV</c:v>
                </c:pt>
                <c:pt idx="7">
                  <c:v>% Err</c:v>
                </c:pt>
              </c:strCache>
            </c:strRef>
          </c:xVal>
          <c:yVal>
            <c:numRef>
              <c:f>PF_CHN_QAQC!$C$3:$C$7</c:f>
              <c:numCache>
                <c:formatCode>General</c:formatCode>
                <c:ptCount val="5"/>
                <c:pt idx="0">
                  <c:v>10.079399766951088</c:v>
                </c:pt>
                <c:pt idx="1">
                  <c:v>10.244673762125943</c:v>
                </c:pt>
                <c:pt idx="2">
                  <c:v>10.689733375614349</c:v>
                </c:pt>
                <c:pt idx="3">
                  <c:v>10.490270095754337</c:v>
                </c:pt>
                <c:pt idx="4">
                  <c:v>10.361280843580314</c:v>
                </c:pt>
              </c:numCache>
            </c:numRef>
          </c:yVal>
          <c:smooth val="0"/>
        </c:ser>
        <c:dLbls>
          <c:showLegendKey val="0"/>
          <c:showVal val="0"/>
          <c:showCatName val="0"/>
          <c:showSerName val="0"/>
          <c:showPercent val="0"/>
          <c:showBubbleSize val="0"/>
        </c:dLbls>
        <c:axId val="154166016"/>
        <c:axId val="154167552"/>
      </c:scatterChart>
      <c:valAx>
        <c:axId val="154166016"/>
        <c:scaling>
          <c:orientation val="minMax"/>
        </c:scaling>
        <c:delete val="1"/>
        <c:axPos val="b"/>
        <c:majorTickMark val="out"/>
        <c:minorTickMark val="none"/>
        <c:tickLblPos val="none"/>
        <c:crossAx val="154167552"/>
        <c:crosses val="autoZero"/>
        <c:crossBetween val="midCat"/>
      </c:valAx>
      <c:valAx>
        <c:axId val="154167552"/>
        <c:scaling>
          <c:orientation val="minMax"/>
        </c:scaling>
        <c:delete val="0"/>
        <c:axPos val="l"/>
        <c:numFmt formatCode="General" sourceLinked="1"/>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54166016"/>
        <c:crosses val="autoZero"/>
        <c:crossBetween val="midCat"/>
      </c:valAx>
    </c:plotArea>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1" l="0.70000000000000062" r="0.70000000000000062" t="0.750000000000001"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a:lstStyle/>
          <a:p>
            <a:pPr>
              <a:defRPr sz="1800" b="1" i="0" u="none" strike="noStrike" baseline="0">
                <a:solidFill>
                  <a:srgbClr val="000000"/>
                </a:solidFill>
                <a:latin typeface="Calibri"/>
                <a:ea typeface="Calibri"/>
                <a:cs typeface="Calibri"/>
              </a:defRPr>
            </a:pPr>
            <a:r>
              <a:rPr lang="en-US"/>
              <a:t>Run 6 %C Aspartic</a:t>
            </a:r>
          </a:p>
        </c:rich>
      </c:tx>
      <c:overlay val="0"/>
    </c:title>
    <c:autoTitleDeleted val="0"/>
    <c:plotArea>
      <c:layout/>
      <c:scatterChart>
        <c:scatterStyle val="lineMarker"/>
        <c:varyColors val="0"/>
        <c:ser>
          <c:idx val="0"/>
          <c:order val="0"/>
          <c:tx>
            <c:v>%C Aspartic</c:v>
          </c:tx>
          <c:spPr>
            <a:ln w="28575">
              <a:noFill/>
            </a:ln>
          </c:spPr>
          <c:marker>
            <c:spPr>
              <a:solidFill>
                <a:schemeClr val="accent6">
                  <a:lumMod val="75000"/>
                </a:schemeClr>
              </a:solidFill>
            </c:spPr>
          </c:marker>
          <c:trendline>
            <c:trendlineType val="linear"/>
            <c:dispRSqr val="1"/>
            <c:dispEq val="0"/>
            <c:trendlineLbl>
              <c:layout>
                <c:manualLayout>
                  <c:x val="-8.8529182939897661E-3"/>
                  <c:y val="0.13778118866885111"/>
                </c:manualLayout>
              </c:layout>
              <c:numFmt formatCode="General" sourceLinked="0"/>
              <c:txPr>
                <a:bodyPr/>
                <a:lstStyle/>
                <a:p>
                  <a:pPr>
                    <a:defRPr sz="1000" b="0" i="0" u="none" strike="noStrike" baseline="0">
                      <a:solidFill>
                        <a:srgbClr val="000000"/>
                      </a:solidFill>
                      <a:latin typeface="Calibri"/>
                      <a:ea typeface="Calibri"/>
                      <a:cs typeface="Calibri"/>
                    </a:defRPr>
                  </a:pPr>
                  <a:endParaRPr lang="en-US"/>
                </a:p>
              </c:txPr>
            </c:trendlineLbl>
          </c:trendline>
          <c:yVal>
            <c:numLit>
              <c:formatCode>General</c:formatCode>
              <c:ptCount val="12"/>
              <c:pt idx="0">
                <c:v>37.151270540353224</c:v>
              </c:pt>
              <c:pt idx="1">
                <c:v>36.266218632709915</c:v>
              </c:pt>
              <c:pt idx="2">
                <c:v>36.260377402032518</c:v>
              </c:pt>
              <c:pt idx="3">
                <c:v>35.324588842915929</c:v>
              </c:pt>
              <c:pt idx="4">
                <c:v>36.173097635187396</c:v>
              </c:pt>
              <c:pt idx="5">
                <c:v>36.456658511941093</c:v>
              </c:pt>
              <c:pt idx="6">
                <c:v>36.425118376132417</c:v>
              </c:pt>
              <c:pt idx="7">
                <c:v>36.129628206479133</c:v>
              </c:pt>
              <c:pt idx="8">
                <c:v>36.584848706110186</c:v>
              </c:pt>
              <c:pt idx="9">
                <c:v>35.087277768516842</c:v>
              </c:pt>
              <c:pt idx="10">
                <c:v>36.564299904706949</c:v>
              </c:pt>
              <c:pt idx="11">
                <c:v>36.271668051055457</c:v>
              </c:pt>
            </c:numLit>
          </c:yVal>
          <c:smooth val="0"/>
        </c:ser>
        <c:dLbls>
          <c:showLegendKey val="0"/>
          <c:showVal val="0"/>
          <c:showCatName val="0"/>
          <c:showSerName val="0"/>
          <c:showPercent val="0"/>
          <c:showBubbleSize val="0"/>
        </c:dLbls>
        <c:axId val="154483712"/>
        <c:axId val="154497792"/>
      </c:scatterChart>
      <c:valAx>
        <c:axId val="154483712"/>
        <c:scaling>
          <c:orientation val="minMax"/>
        </c:scaling>
        <c:delete val="1"/>
        <c:axPos val="b"/>
        <c:majorTickMark val="out"/>
        <c:minorTickMark val="none"/>
        <c:tickLblPos val="none"/>
        <c:crossAx val="154497792"/>
        <c:crosses val="autoZero"/>
        <c:crossBetween val="midCat"/>
      </c:valAx>
      <c:valAx>
        <c:axId val="154497792"/>
        <c:scaling>
          <c:orientation val="minMax"/>
        </c:scaling>
        <c:delete val="0"/>
        <c:axPos val="l"/>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54483712"/>
        <c:crosses val="autoZero"/>
        <c:crossBetween val="midCat"/>
      </c:valAx>
    </c:plotArea>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1" l="0.70000000000000062" r="0.70000000000000062" t="0.750000000000001"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a:lstStyle/>
          <a:p>
            <a:pPr>
              <a:defRPr sz="1800" b="1" i="0" u="none" strike="noStrike" baseline="0">
                <a:solidFill>
                  <a:srgbClr val="000000"/>
                </a:solidFill>
                <a:latin typeface="Calibri"/>
                <a:ea typeface="Calibri"/>
                <a:cs typeface="Calibri"/>
              </a:defRPr>
            </a:pPr>
            <a:r>
              <a:rPr lang="en-US"/>
              <a:t>Run 6 % N Aspartic</a:t>
            </a:r>
          </a:p>
        </c:rich>
      </c:tx>
      <c:overlay val="0"/>
    </c:title>
    <c:autoTitleDeleted val="0"/>
    <c:plotArea>
      <c:layout/>
      <c:scatterChart>
        <c:scatterStyle val="lineMarker"/>
        <c:varyColors val="0"/>
        <c:ser>
          <c:idx val="1"/>
          <c:order val="0"/>
          <c:tx>
            <c:v>%N Aspartic</c:v>
          </c:tx>
          <c:spPr>
            <a:ln w="28575">
              <a:noFill/>
            </a:ln>
          </c:spPr>
          <c:marker>
            <c:symbol val="diamond"/>
            <c:size val="7"/>
            <c:spPr>
              <a:solidFill>
                <a:schemeClr val="tx2">
                  <a:lumMod val="60000"/>
                  <a:lumOff val="40000"/>
                </a:schemeClr>
              </a:solidFill>
            </c:spPr>
          </c:marker>
          <c:trendline>
            <c:trendlineType val="linear"/>
            <c:dispRSqr val="1"/>
            <c:dispEq val="0"/>
            <c:trendlineLbl>
              <c:layout>
                <c:manualLayout>
                  <c:x val="-6.4822730049925465E-3"/>
                  <c:y val="-0.19728313148673701"/>
                </c:manualLayout>
              </c:layout>
              <c:numFmt formatCode="General" sourceLinked="0"/>
              <c:txPr>
                <a:bodyPr/>
                <a:lstStyle/>
                <a:p>
                  <a:pPr>
                    <a:defRPr sz="1000" b="0" i="0" u="none" strike="noStrike" baseline="0">
                      <a:solidFill>
                        <a:srgbClr val="000000"/>
                      </a:solidFill>
                      <a:latin typeface="Calibri"/>
                      <a:ea typeface="Calibri"/>
                      <a:cs typeface="Calibri"/>
                    </a:defRPr>
                  </a:pPr>
                  <a:endParaRPr lang="en-US"/>
                </a:p>
              </c:txPr>
            </c:trendlineLbl>
          </c:trendline>
          <c:yVal>
            <c:numLit>
              <c:formatCode>General</c:formatCode>
              <c:ptCount val="12"/>
              <c:pt idx="0">
                <c:v>10.206521110717002</c:v>
              </c:pt>
              <c:pt idx="1">
                <c:v>10.522400287774499</c:v>
              </c:pt>
              <c:pt idx="2">
                <c:v>10.683005969248034</c:v>
              </c:pt>
              <c:pt idx="3">
                <c:v>10.437948839666781</c:v>
              </c:pt>
              <c:pt idx="4">
                <c:v>10.504510480546196</c:v>
              </c:pt>
              <c:pt idx="5">
                <c:v>10.835025055416311</c:v>
              </c:pt>
              <c:pt idx="6">
                <c:v>10.779778163380367</c:v>
              </c:pt>
              <c:pt idx="7">
                <c:v>10.529938266300015</c:v>
              </c:pt>
              <c:pt idx="8">
                <c:v>10.614306130710705</c:v>
              </c:pt>
              <c:pt idx="9">
                <c:v>10.119477657306648</c:v>
              </c:pt>
              <c:pt idx="10">
                <c:v>10.771169371043127</c:v>
              </c:pt>
              <c:pt idx="11">
                <c:v>11.024947601664621</c:v>
              </c:pt>
            </c:numLit>
          </c:yVal>
          <c:smooth val="0"/>
        </c:ser>
        <c:dLbls>
          <c:showLegendKey val="0"/>
          <c:showVal val="0"/>
          <c:showCatName val="0"/>
          <c:showSerName val="0"/>
          <c:showPercent val="0"/>
          <c:showBubbleSize val="0"/>
        </c:dLbls>
        <c:axId val="154653824"/>
        <c:axId val="154655360"/>
      </c:scatterChart>
      <c:valAx>
        <c:axId val="154653824"/>
        <c:scaling>
          <c:orientation val="minMax"/>
        </c:scaling>
        <c:delete val="1"/>
        <c:axPos val="b"/>
        <c:majorTickMark val="out"/>
        <c:minorTickMark val="none"/>
        <c:tickLblPos val="none"/>
        <c:crossAx val="154655360"/>
        <c:crosses val="autoZero"/>
        <c:crossBetween val="midCat"/>
      </c:valAx>
      <c:valAx>
        <c:axId val="154655360"/>
        <c:scaling>
          <c:orientation val="minMax"/>
        </c:scaling>
        <c:delete val="0"/>
        <c:axPos val="l"/>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54653824"/>
        <c:crosses val="autoZero"/>
        <c:crossBetween val="midCat"/>
      </c:valAx>
    </c:plotArea>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1" l="0.70000000000000062" r="0.70000000000000062" t="0.750000000000001" header="0.30000000000000032" footer="0.3000000000000003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a:lstStyle/>
          <a:p>
            <a:pPr>
              <a:defRPr sz="1800" b="1" i="0" u="none" strike="noStrike" baseline="0">
                <a:solidFill>
                  <a:srgbClr val="000000"/>
                </a:solidFill>
                <a:latin typeface="Calibri"/>
                <a:ea typeface="Calibri"/>
                <a:cs typeface="Calibri"/>
              </a:defRPr>
            </a:pPr>
            <a:r>
              <a:rPr lang="en-US"/>
              <a:t>Run 8 % N Aspartic</a:t>
            </a:r>
          </a:p>
        </c:rich>
      </c:tx>
      <c:overlay val="0"/>
    </c:title>
    <c:autoTitleDeleted val="0"/>
    <c:plotArea>
      <c:layout/>
      <c:scatterChart>
        <c:scatterStyle val="lineMarker"/>
        <c:varyColors val="0"/>
        <c:ser>
          <c:idx val="1"/>
          <c:order val="0"/>
          <c:tx>
            <c:v>%N Aspartic</c:v>
          </c:tx>
          <c:spPr>
            <a:ln w="28575">
              <a:noFill/>
            </a:ln>
          </c:spPr>
          <c:marker>
            <c:symbol val="diamond"/>
            <c:size val="7"/>
            <c:spPr>
              <a:solidFill>
                <a:schemeClr val="tx2">
                  <a:lumMod val="60000"/>
                  <a:lumOff val="40000"/>
                </a:schemeClr>
              </a:solidFill>
            </c:spPr>
          </c:marker>
          <c:trendline>
            <c:trendlineType val="linear"/>
            <c:dispRSqr val="1"/>
            <c:dispEq val="0"/>
            <c:trendlineLbl>
              <c:layout>
                <c:manualLayout>
                  <c:x val="-6.4822730049925465E-3"/>
                  <c:y val="-0.19728313148673701"/>
                </c:manualLayout>
              </c:layout>
              <c:numFmt formatCode="General" sourceLinked="0"/>
              <c:txPr>
                <a:bodyPr/>
                <a:lstStyle/>
                <a:p>
                  <a:pPr>
                    <a:defRPr sz="1000" b="0" i="0" u="none" strike="noStrike" baseline="0">
                      <a:solidFill>
                        <a:srgbClr val="000000"/>
                      </a:solidFill>
                      <a:latin typeface="Calibri"/>
                      <a:ea typeface="Calibri"/>
                      <a:cs typeface="Calibri"/>
                    </a:defRPr>
                  </a:pPr>
                  <a:endParaRPr lang="en-US"/>
                </a:p>
              </c:txPr>
            </c:trendlineLbl>
          </c:trendline>
          <c:yVal>
            <c:numLit>
              <c:formatCode>General</c:formatCode>
              <c:ptCount val="6"/>
              <c:pt idx="0">
                <c:v>10.696087747677376</c:v>
              </c:pt>
              <c:pt idx="1">
                <c:v>10.348779426101661</c:v>
              </c:pt>
              <c:pt idx="2">
                <c:v>10.117097160201398</c:v>
              </c:pt>
              <c:pt idx="3">
                <c:v>10.107529049663576</c:v>
              </c:pt>
              <c:pt idx="4">
                <c:v>10.573776119173099</c:v>
              </c:pt>
              <c:pt idx="5">
                <c:v>11.305302563148057</c:v>
              </c:pt>
            </c:numLit>
          </c:yVal>
          <c:smooth val="0"/>
        </c:ser>
        <c:dLbls>
          <c:showLegendKey val="0"/>
          <c:showVal val="0"/>
          <c:showCatName val="0"/>
          <c:showSerName val="0"/>
          <c:showPercent val="0"/>
          <c:showBubbleSize val="0"/>
        </c:dLbls>
        <c:axId val="154679936"/>
        <c:axId val="154681728"/>
      </c:scatterChart>
      <c:valAx>
        <c:axId val="154679936"/>
        <c:scaling>
          <c:orientation val="minMax"/>
        </c:scaling>
        <c:delete val="1"/>
        <c:axPos val="b"/>
        <c:majorTickMark val="out"/>
        <c:minorTickMark val="none"/>
        <c:tickLblPos val="none"/>
        <c:crossAx val="154681728"/>
        <c:crosses val="autoZero"/>
        <c:crossBetween val="midCat"/>
      </c:valAx>
      <c:valAx>
        <c:axId val="154681728"/>
        <c:scaling>
          <c:orientation val="minMax"/>
        </c:scaling>
        <c:delete val="0"/>
        <c:axPos val="l"/>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54679936"/>
        <c:crosses val="autoZero"/>
        <c:crossBetween val="midCat"/>
      </c:valAx>
    </c:plotArea>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1" l="0.70000000000000062" r="0.70000000000000062" t="0.750000000000001" header="0.30000000000000032" footer="0.3000000000000003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a:lstStyle/>
          <a:p>
            <a:pPr>
              <a:defRPr sz="1800" b="1" i="0" u="none" strike="noStrike" baseline="0">
                <a:solidFill>
                  <a:srgbClr val="000000"/>
                </a:solidFill>
                <a:latin typeface="Calibri"/>
                <a:ea typeface="Calibri"/>
                <a:cs typeface="Calibri"/>
              </a:defRPr>
            </a:pPr>
            <a:r>
              <a:rPr lang="en-US"/>
              <a:t>Run 8 % C Aspartic</a:t>
            </a:r>
          </a:p>
        </c:rich>
      </c:tx>
      <c:overlay val="0"/>
    </c:title>
    <c:autoTitleDeleted val="0"/>
    <c:plotArea>
      <c:layout/>
      <c:scatterChart>
        <c:scatterStyle val="lineMarker"/>
        <c:varyColors val="0"/>
        <c:ser>
          <c:idx val="1"/>
          <c:order val="0"/>
          <c:spPr>
            <a:ln w="28575">
              <a:noFill/>
            </a:ln>
          </c:spPr>
          <c:marker>
            <c:symbol val="diamond"/>
            <c:size val="7"/>
            <c:spPr>
              <a:solidFill>
                <a:schemeClr val="accent6">
                  <a:lumMod val="75000"/>
                </a:schemeClr>
              </a:solidFill>
              <a:ln>
                <a:solidFill>
                  <a:schemeClr val="accent6">
                    <a:lumMod val="75000"/>
                  </a:schemeClr>
                </a:solidFill>
              </a:ln>
            </c:spPr>
          </c:marker>
          <c:trendline>
            <c:trendlineType val="linear"/>
            <c:dispRSqr val="1"/>
            <c:dispEq val="0"/>
            <c:trendlineLbl>
              <c:layout>
                <c:manualLayout>
                  <c:x val="-6.4822730049925465E-3"/>
                  <c:y val="-0.19728313148673701"/>
                </c:manualLayout>
              </c:layout>
              <c:numFmt formatCode="General" sourceLinked="0"/>
              <c:txPr>
                <a:bodyPr/>
                <a:lstStyle/>
                <a:p>
                  <a:pPr>
                    <a:defRPr sz="1000" b="0" i="0" u="none" strike="noStrike" baseline="0">
                      <a:solidFill>
                        <a:srgbClr val="000000"/>
                      </a:solidFill>
                      <a:latin typeface="Calibri"/>
                      <a:ea typeface="Calibri"/>
                      <a:cs typeface="Calibri"/>
                    </a:defRPr>
                  </a:pPr>
                  <a:endParaRPr lang="en-US"/>
                </a:p>
              </c:txPr>
            </c:trendlineLbl>
          </c:trendline>
          <c:yVal>
            <c:numLit>
              <c:formatCode>General</c:formatCode>
              <c:ptCount val="6"/>
              <c:pt idx="0">
                <c:v>36.901453642899874</c:v>
              </c:pt>
              <c:pt idx="1">
                <c:v>36.684562163977773</c:v>
              </c:pt>
              <c:pt idx="2">
                <c:v>35.560083311459394</c:v>
              </c:pt>
              <c:pt idx="3">
                <c:v>35.460846770067619</c:v>
              </c:pt>
              <c:pt idx="4">
                <c:v>36.275117188758202</c:v>
              </c:pt>
              <c:pt idx="5">
                <c:v>36.951671998298778</c:v>
              </c:pt>
            </c:numLit>
          </c:yVal>
          <c:smooth val="0"/>
        </c:ser>
        <c:dLbls>
          <c:showLegendKey val="0"/>
          <c:showVal val="0"/>
          <c:showCatName val="0"/>
          <c:showSerName val="0"/>
          <c:showPercent val="0"/>
          <c:showBubbleSize val="0"/>
        </c:dLbls>
        <c:axId val="154698496"/>
        <c:axId val="154700032"/>
      </c:scatterChart>
      <c:valAx>
        <c:axId val="154698496"/>
        <c:scaling>
          <c:orientation val="minMax"/>
        </c:scaling>
        <c:delete val="1"/>
        <c:axPos val="b"/>
        <c:majorTickMark val="out"/>
        <c:minorTickMark val="none"/>
        <c:tickLblPos val="none"/>
        <c:crossAx val="154700032"/>
        <c:crosses val="autoZero"/>
        <c:crossBetween val="midCat"/>
      </c:valAx>
      <c:valAx>
        <c:axId val="154700032"/>
        <c:scaling>
          <c:orientation val="minMax"/>
        </c:scaling>
        <c:delete val="0"/>
        <c:axPos val="l"/>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54698496"/>
        <c:crosses val="autoZero"/>
        <c:crossBetween val="midCat"/>
      </c:valAx>
    </c:plotArea>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1" l="0.70000000000000062" r="0.70000000000000062" t="0.750000000000001" header="0.30000000000000032" footer="0.30000000000000032"/>
    <c:pageSetup/>
  </c:printSettings>
</c:chartSpace>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0</xdr:colOff>
      <xdr:row>6</xdr:row>
      <xdr:rowOff>0</xdr:rowOff>
    </xdr:from>
    <xdr:to>
      <xdr:col>3</xdr:col>
      <xdr:colOff>2076446</xdr:colOff>
      <xdr:row>13</xdr:row>
      <xdr:rowOff>22860</xdr:rowOff>
    </xdr:to>
    <xdr:sp macro="" textlink="">
      <xdr:nvSpPr>
        <xdr:cNvPr id="2" name="abstract" descr="Abstract of dsatset"/>
        <xdr:cNvSpPr txBox="1">
          <a:spLocks noChangeArrowheads="1"/>
        </xdr:cNvSpPr>
      </xdr:nvSpPr>
      <xdr:spPr bwMode="auto">
        <a:xfrm>
          <a:off x="590550" y="971550"/>
          <a:ext cx="1771646" cy="994410"/>
        </a:xfrm>
        <a:prstGeom prst="rect">
          <a:avLst/>
        </a:prstGeom>
        <a:solidFill>
          <a:srgbClr val="CCFFFF"/>
        </a:solidFill>
        <a:ln w="9525">
          <a:solidFill>
            <a:srgbClr val="000000"/>
          </a:solidFill>
          <a:miter lim="800000"/>
          <a:headEnd/>
          <a:tailEnd/>
        </a:ln>
      </xdr:spPr>
      <xdr:txBody>
        <a:bodyPr/>
        <a:lstStyle/>
        <a:p>
          <a:r>
            <a:rPr lang="en-US"/>
            <a:t>The percent carbon and nitrogen from leaves of shoots harvested from 1m x 1m point frame plots the summer of 2012 at Toolik Lake, Alaska. were measured on a ThermoScientific 2000.  For each point frame plot, six shoots were harvested from upper, middle, and low sections of the canopy.  The photosynthetic capacity of each shoot was analyzed with a LiCor 6400 infra-red gas analyzer by being run through a light response and A/Ci curve. The area of the shoot as viewed from the stop of the LiCor opaque, confer chamber ("silhouette area") as well as the area of each shoot organ type was measured. These data are published separately, though methods are described below. 
 </a:t>
          </a:r>
        </a:p>
      </xdr:txBody>
    </xdr:sp>
    <xdr:clientData fLocksWithSheet="0"/>
  </xdr:twoCellAnchor>
  <xdr:twoCellAnchor>
    <xdr:from>
      <xdr:col>1</xdr:col>
      <xdr:colOff>30480</xdr:colOff>
      <xdr:row>66</xdr:row>
      <xdr:rowOff>17145</xdr:rowOff>
    </xdr:from>
    <xdr:to>
      <xdr:col>6</xdr:col>
      <xdr:colOff>817247</xdr:colOff>
      <xdr:row>157</xdr:row>
      <xdr:rowOff>6</xdr:rowOff>
    </xdr:to>
    <xdr:sp macro="" textlink="">
      <xdr:nvSpPr>
        <xdr:cNvPr id="3" name="method"/>
        <xdr:cNvSpPr txBox="1">
          <a:spLocks noChangeArrowheads="1"/>
        </xdr:cNvSpPr>
      </xdr:nvSpPr>
      <xdr:spPr bwMode="auto">
        <a:xfrm>
          <a:off x="621030" y="10542270"/>
          <a:ext cx="3510917" cy="6621786"/>
        </a:xfrm>
        <a:prstGeom prst="rect">
          <a:avLst/>
        </a:prstGeom>
        <a:solidFill>
          <a:srgbClr val="FFFFFF"/>
        </a:solidFill>
        <a:ln w="9525">
          <a:solidFill>
            <a:srgbClr val="000000"/>
          </a:solidFill>
          <a:miter lim="800000"/>
          <a:headEnd/>
          <a:tailEnd/>
        </a:ln>
      </xdr:spPr>
      <xdr:txBody>
        <a:bodyPr/>
        <a:lstStyle/>
        <a:p>
          <a:r>
            <a:rPr lang="en-US"/>
            <a:t>HARVEST METHOD: 
The methods for setting up each point frame plot are described in  both the "PinDropData" and "PF_LAI" datasets.    The methods here describe how each shoot was harvested from the plots which were used for the point frame method.
Six shoots were harvested from each of 19 1m x 1m point frame plots which were dominated either by Salix pulchra or Betula nana tall, shrub species.  The "shoots" described here are branch clippings between eight to ten inches long.  Whenever possible they were selected for appearing relatively healthy, intact leaves, and each shoot was taken from a different plant.  As these shoots were used for shoot-level and leaf-level measurements, shoots with bi-furcated stems -- or two stems from the same branch/height were cut -- one for leaf-level and the second for shoot-level analyses.
Before being cut, we measured the distance from the point frame to the highest tip on the shoot as well as the distance from the point frame to the shoot five inches from the tip.  This way, we could approximate the angle of the shoot relative to the ground.  Using the same criteria as for the pin-drop measurements, we measured the distance from the top of the shoot to the soil.  In addition, the row number and pin-hole number nearest to the shoot's location with respect to the point frame was also recorded .  
We then measured the leaf area index (LAI) of the shoot by holding an LAI-2000 (Li-Cor Inc., Lincoln, Nebraska, USA) in the exact location where the shoot had been and taking the average of three readings (one above, three below).  For these measurements we used the one-quarter cut out and took care to always hold the instrument level and with the technician's body casting a uniform shadow over the instrument's eye, with the technician standing between the instrument and the sun.  On occasion when it was raining during the shoot harvest, the area near where the shoot had been was marked with flagging tape, and the the LAI measurement was taken at a later date, using the height from frame/distance from ground meausrements as well as the row number and pin hole measurements as a guide.  
Once cut, the shoot was placed immediately into water and transported to the lab.  Once in the lab, the end of each shoot was clipped under water to ensure that there were no air bubbles in the stem that would inhibit the flow of water.  Shoots were then allowed to sit at ambient room conditions (~20-25 degrees Celsius) until the the photosynthetic rates could be measured.
AREA CALCULATIONS:
Area calculations were made using the open source software Image J, available at http://rsbweb.nih.gov/ij/download.html.  The procedures for  each kind of area calculation are outlined here: 
SHOOT SILHOUETTE AREA: Digital image capture of intact stem and leaves
1.  Arrange the shoot on a white background (e.g.  blank paper or foam board) as it sat in the LiCor conifer chamber.  Add a note of sample number and date. 
2.  Place a ruler that you can later use as a reference.  Ensure ruler/stem do not overlap.
3. Use a tripod to hold the camera in a steady position and as close as possible to the stem, keep this distance constant throughout the samples if possible to avoid the need to re-calibrate Image J.
4. Take a digital image of the shoot in very bright light conditions, using diffuser or reflector panels as needed to minimize shadows. [Shadows can be mistakenly analyzed in the software as plant tissue if not careful.]
5. Download the images in the computer, save them as TIFF files.
SHOOT TISSUE AREA: Image capture of shoot tissues (leaf, petiole, stipule, organ, green/brown stem) using a scanner
 1. Pluck the sample with forceps, arrange leaves, petioles, stipules, green and brown stems and inflorescences separately, grouped by type onto the white background of a plastic board. Place a ruler that you can later use as a reference. Add a note of sample number and date.
2. Press flat with the clear plastic cover. Ensure ruler/plant parts are not overlapping. 
3. Place plastic side down on scanner (ensure no parts have overlapped when inverting plastic board).
4. Scan the images to the computer, save them as TIFF files.
BOTH SILHOUETTE AND TISSUE AREA ANALYSES: 
In the Image J software program:  
1. Open leaf image via Select File → Open→ your file name 
2. Convert scanned colour image of leaf to greyscale:
3. Image→Type→8 bit
4. Set measurement scale:  Draw a line over a 50 mm section of the ruler then Analyze →Set Scale
 5. In  Set Scale  window enter 50 into the 'Known Distance' box and change the 'Unit of Measurement' box to mm , check 'Global' (the Global option will apply the same scale to all the images you open after this, if you took the photos from different heights you might need to repeat this procedure every time)
6. Draw a new line and confirm that the measurement scale is correct.
7. Threshold the leaf image:  Image→ adjust→ threshold 
8.  Play with sliders to include all of leaf in red and click ‘Apply’
 9. Calculate area of entire silhouette area and area of each tissue type:
Enclose the region of the shoot or tissues that you wish to calculate the area for with the rectangular selection tool, then Analyze → Analyze Particles
 10. Select the options of display masks and display results.
Area of measured pixels is displayed. Check that only your leaf is included in the outline (not the ruler or extraneous tissue types).
The data of the leaf area is displayed on a new window ‘summary’, this data can be copied into Excel or the data can be saved directly as an Excel file. Keep summary window open between picture analyses to maintain a record of measured areas.
 11. Save new black and white image as well as its original colour photo with an appropriate file name.
DRYING AND WEIGHING: 
Once digital images of each shoot and tissue had been made, each plant tissue was separated, counted, and placed in a labeled coin envelope.  These samples were then dried for a minimum of three days at 60 degrees Celsius prior to being weighed on a four-point balance with glass enclosure.  
Plant tissues were weighed in aggregate, thus the average mass included in these data are the total tissue mass divided by the count of that tissue (e.g. number of leaves, petioles, etc).  In the same manner, plant tissure area was calculated in aggregate, thus the average area per leaf/petiole/stipule is based on the total area of that tissue divided by the count of that tissue.
At the start of this project, we did not take care to distinguish leaves, petioles, or stipules.  While not thought to make a significant difference in the area or mass calculations for most samples, we did not want to include the petioles in the CHN analyses.  Thus, for those samples that had removeable petioles (all B. nana, most S. pulchra, but no Vaccinium spp.  or L. palustre samples), the petioles were clipped after drying and the leaves re-weighed.  In some cases the mass of the leaves with petioles removed was greater than the original mass; in these cases, the original mass was preserved.  [The original mass of all samples weighed is listed in the ORIGINAL LEAF MASS W/ PETIOLE data-column.]
NOTE: The area used for correcting the LiCor A/Ci and light curve data included leaves, petioles, and stipules.    
CHN ANALYSIS:
Grinding: All leaf samples were dried in an oven at 60°C before grinding. Samples were small enough to grind the entire sample without subsampling. Leaves were ground using the Retsch MM 200 for 3 minutes or until a talcum powder consistency was achieved.  
Weighing: After grinding, samples were stored in glass scintillation vials and dried again at 60°C for at least 36 hours. Once samples were removed, vials were tightly re-capped. When not in use, vials were stored in dessicators. 3.5-4.5 mg of each sample was weighed into a 10x12 mm tin capsule. A standard calibration curve was created using increasing amounts of aspartic acid (from about 0.2 mg to 5.0 mg). A chemical standard, acetanilide, and an organic sample, apple leaf, were run after the standard curve. Every ten samples, an aspartic  acid check standard and a duplicate  of an already-packed sample were run. 
CN analysis: CN analysis was run between 10/4/2012 and 11/15/2012 by Rachel Rubin using the ThermoScientific 2000 at the Ecosystems Center, MBL, Woods Hole, MA. Duplicate sample values were averaged (mass, %N and %C) before inclusion into final results.  The CHN data is available in the file "PF_CHN". </a:t>
          </a:r>
        </a:p>
      </xdr:txBody>
    </xdr:sp>
    <xdr:clientData fLocksWithSheet="0"/>
  </xdr:twoCellAnchor>
  <xdr:twoCellAnchor>
    <xdr:from>
      <xdr:col>1</xdr:col>
      <xdr:colOff>19050</xdr:colOff>
      <xdr:row>162</xdr:row>
      <xdr:rowOff>152400</xdr:rowOff>
    </xdr:from>
    <xdr:to>
      <xdr:col>3</xdr:col>
      <xdr:colOff>2076450</xdr:colOff>
      <xdr:row>169</xdr:row>
      <xdr:rowOff>19050</xdr:rowOff>
    </xdr:to>
    <xdr:sp macro="" textlink="">
      <xdr:nvSpPr>
        <xdr:cNvPr id="4" name="protocol1"/>
        <xdr:cNvSpPr txBox="1">
          <a:spLocks noChangeArrowheads="1"/>
        </xdr:cNvSpPr>
      </xdr:nvSpPr>
      <xdr:spPr bwMode="auto">
        <a:xfrm>
          <a:off x="609600" y="18126075"/>
          <a:ext cx="1752600" cy="1000125"/>
        </a:xfrm>
        <a:prstGeom prst="rect">
          <a:avLst/>
        </a:prstGeom>
        <a:solidFill>
          <a:srgbClr val="FFFFFF"/>
        </a:solidFill>
        <a:ln w="9525">
          <a:solidFill>
            <a:srgbClr val="000000"/>
          </a:solidFill>
          <a:miter lim="800000"/>
          <a:headEnd/>
          <a:tailEnd/>
        </a:ln>
      </xdr:spPr>
      <xdr:txBody>
        <a:bodyPr/>
        <a:lstStyle/>
        <a:p>
          <a:r>
            <a:rPr lang="en-US"/>
            <a:t>ITEX Manual, updated 2011
 </a:t>
          </a:r>
        </a:p>
      </xdr:txBody>
    </xdr:sp>
    <xdr:clientData fLocksWithSheet="0"/>
  </xdr:twoCellAnchor>
  <xdr:twoCellAnchor>
    <xdr:from>
      <xdr:col>0</xdr:col>
      <xdr:colOff>60960</xdr:colOff>
      <xdr:row>6</xdr:row>
      <xdr:rowOff>38099</xdr:rowOff>
    </xdr:from>
    <xdr:to>
      <xdr:col>0</xdr:col>
      <xdr:colOff>1590790</xdr:colOff>
      <xdr:row>12</xdr:row>
      <xdr:rowOff>128984</xdr:rowOff>
    </xdr:to>
    <xdr:sp macro="" textlink="">
      <xdr:nvSpPr>
        <xdr:cNvPr id="5" name="Note1"/>
        <xdr:cNvSpPr txBox="1"/>
      </xdr:nvSpPr>
      <xdr:spPr>
        <a:xfrm>
          <a:off x="60960" y="1009649"/>
          <a:ext cx="529705" cy="9005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900"/>
            </a:lnSpc>
          </a:pPr>
          <a:r>
            <a:rPr lang="en-US" sz="900">
              <a:latin typeface="Arial" pitchFamily="34" charset="0"/>
              <a:cs typeface="Arial" pitchFamily="34" charset="0"/>
            </a:rPr>
            <a:t>Note:</a:t>
          </a:r>
          <a:r>
            <a:rPr lang="en-US" sz="900" baseline="0">
              <a:latin typeface="Arial" pitchFamily="34" charset="0"/>
              <a:cs typeface="Arial" pitchFamily="34" charset="0"/>
            </a:rPr>
            <a:t> cells with a small red triangle in the upper right corner have comments about entering metadata.</a:t>
          </a:r>
          <a:endParaRPr lang="en-US" sz="900">
            <a:latin typeface="Arial" pitchFamily="34" charset="0"/>
            <a:cs typeface="Arial" pitchFamily="34" charset="0"/>
          </a:endParaRPr>
        </a:p>
      </xdr:txBody>
    </xdr:sp>
    <xdr:clientData/>
  </xdr:twoCellAnchor>
  <xdr:twoCellAnchor>
    <xdr:from>
      <xdr:col>0</xdr:col>
      <xdr:colOff>15240</xdr:colOff>
      <xdr:row>67</xdr:row>
      <xdr:rowOff>121920</xdr:rowOff>
    </xdr:from>
    <xdr:to>
      <xdr:col>0</xdr:col>
      <xdr:colOff>1727751</xdr:colOff>
      <xdr:row>81</xdr:row>
      <xdr:rowOff>61622</xdr:rowOff>
    </xdr:to>
    <xdr:sp macro="" textlink="">
      <xdr:nvSpPr>
        <xdr:cNvPr id="6" name="Note2"/>
        <xdr:cNvSpPr txBox="1"/>
      </xdr:nvSpPr>
      <xdr:spPr>
        <a:xfrm>
          <a:off x="15240" y="10808970"/>
          <a:ext cx="579036" cy="220665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latin typeface="Arial" pitchFamily="34" charset="0"/>
              <a:cs typeface="Arial" pitchFamily="34" charset="0"/>
            </a:rPr>
            <a:t>The Methods description  should be fairly detailed and include any literature references (including author, title, journal and page </a:t>
          </a:r>
        </a:p>
        <a:p>
          <a:r>
            <a:rPr lang="en-US" sz="900">
              <a:latin typeface="Arial" pitchFamily="34" charset="0"/>
              <a:cs typeface="Arial" pitchFamily="34" charset="0"/>
            </a:rPr>
            <a:t>numbers) pertaining to the methods</a:t>
          </a:r>
          <a:r>
            <a:rPr lang="en-US" sz="900" baseline="0">
              <a:latin typeface="Arial" pitchFamily="34" charset="0"/>
              <a:cs typeface="Arial" pitchFamily="34" charset="0"/>
            </a:rPr>
            <a:t> or research.</a:t>
          </a:r>
          <a:r>
            <a:rPr lang="en-US" sz="900">
              <a:latin typeface="Arial" pitchFamily="34" charset="0"/>
              <a:cs typeface="Arial" pitchFamily="34" charset="0"/>
            </a:rPr>
            <a:t> </a:t>
          </a:r>
        </a:p>
        <a:p>
          <a:endParaRPr lang="en-US" sz="900">
            <a:latin typeface="Arial" pitchFamily="34" charset="0"/>
            <a:cs typeface="Arial" pitchFamily="34" charset="0"/>
          </a:endParaRPr>
        </a:p>
        <a:p>
          <a:r>
            <a:rPr lang="en-US" sz="900">
              <a:latin typeface="Arial" pitchFamily="34" charset="0"/>
              <a:cs typeface="Arial" pitchFamily="34" charset="0"/>
            </a:rPr>
            <a:t>Include a Notes  section to detail a timeline of changes or</a:t>
          </a:r>
          <a:r>
            <a:rPr lang="en-US" sz="900" baseline="0">
              <a:latin typeface="Arial" pitchFamily="34" charset="0"/>
              <a:cs typeface="Arial" pitchFamily="34" charset="0"/>
            </a:rPr>
            <a:t> problems with the data </a:t>
          </a:r>
          <a:r>
            <a:rPr lang="en-US" sz="900">
              <a:latin typeface="Arial" pitchFamily="34" charset="0"/>
              <a:cs typeface="Arial" pitchFamily="34" charset="0"/>
            </a:rPr>
            <a:t>.  </a:t>
          </a:r>
        </a:p>
        <a:p>
          <a:r>
            <a:rPr lang="en-US" sz="900">
              <a:latin typeface="Arial" pitchFamily="34" charset="0"/>
              <a:cs typeface="Arial" pitchFamily="34" charset="0"/>
            </a:rPr>
            <a:t>Click on the box to paste or type the needed information. </a:t>
          </a:r>
        </a:p>
        <a:p>
          <a:endParaRPr lang="en-US" sz="900">
            <a:latin typeface="Arial" pitchFamily="34" charset="0"/>
            <a:cs typeface="Arial" pitchFamily="34" charset="0"/>
          </a:endParaRPr>
        </a:p>
        <a:p>
          <a:r>
            <a:rPr lang="en-US" sz="900">
              <a:latin typeface="Arial" pitchFamily="34" charset="0"/>
              <a:cs typeface="Arial" pitchFamily="34" charset="0"/>
            </a:rPr>
            <a:t>If</a:t>
          </a:r>
          <a:r>
            <a:rPr lang="en-US" sz="900" baseline="0">
              <a:latin typeface="Arial" pitchFamily="34" charset="0"/>
              <a:cs typeface="Arial" pitchFamily="34" charset="0"/>
            </a:rPr>
            <a:t> needed insert more row to make text box longer.</a:t>
          </a:r>
          <a:endParaRPr lang="en-US" sz="900">
            <a:latin typeface="Arial" pitchFamily="34" charset="0"/>
            <a:cs typeface="Arial"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428625</xdr:colOff>
      <xdr:row>19</xdr:row>
      <xdr:rowOff>180975</xdr:rowOff>
    </xdr:from>
    <xdr:to>
      <xdr:col>9</xdr:col>
      <xdr:colOff>1047750</xdr:colOff>
      <xdr:row>34</xdr:row>
      <xdr:rowOff>142875</xdr:rowOff>
    </xdr:to>
    <xdr:graphicFrame macro="">
      <xdr:nvGraphicFramePr>
        <xdr:cNvPr id="2137"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514350</xdr:colOff>
      <xdr:row>35</xdr:row>
      <xdr:rowOff>57150</xdr:rowOff>
    </xdr:from>
    <xdr:to>
      <xdr:col>9</xdr:col>
      <xdr:colOff>1066800</xdr:colOff>
      <xdr:row>50</xdr:row>
      <xdr:rowOff>133350</xdr:rowOff>
    </xdr:to>
    <xdr:graphicFrame macro="">
      <xdr:nvGraphicFramePr>
        <xdr:cNvPr id="2138"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304800</xdr:colOff>
      <xdr:row>35</xdr:row>
      <xdr:rowOff>66675</xdr:rowOff>
    </xdr:from>
    <xdr:to>
      <xdr:col>5</xdr:col>
      <xdr:colOff>257175</xdr:colOff>
      <xdr:row>50</xdr:row>
      <xdr:rowOff>114300</xdr:rowOff>
    </xdr:to>
    <xdr:graphicFrame macro="">
      <xdr:nvGraphicFramePr>
        <xdr:cNvPr id="2139"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152400</xdr:colOff>
      <xdr:row>20</xdr:row>
      <xdr:rowOff>28575</xdr:rowOff>
    </xdr:from>
    <xdr:to>
      <xdr:col>5</xdr:col>
      <xdr:colOff>333375</xdr:colOff>
      <xdr:row>34</xdr:row>
      <xdr:rowOff>123825</xdr:rowOff>
    </xdr:to>
    <xdr:graphicFrame macro="">
      <xdr:nvGraphicFramePr>
        <xdr:cNvPr id="2140"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190500</xdr:colOff>
      <xdr:row>35</xdr:row>
      <xdr:rowOff>57150</xdr:rowOff>
    </xdr:from>
    <xdr:to>
      <xdr:col>13</xdr:col>
      <xdr:colOff>962025</xdr:colOff>
      <xdr:row>51</xdr:row>
      <xdr:rowOff>47625</xdr:rowOff>
    </xdr:to>
    <xdr:graphicFrame macro="">
      <xdr:nvGraphicFramePr>
        <xdr:cNvPr id="2141"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180975</xdr:colOff>
      <xdr:row>19</xdr:row>
      <xdr:rowOff>142875</xdr:rowOff>
    </xdr:from>
    <xdr:to>
      <xdr:col>13</xdr:col>
      <xdr:colOff>962025</xdr:colOff>
      <xdr:row>34</xdr:row>
      <xdr:rowOff>114300</xdr:rowOff>
    </xdr:to>
    <xdr:graphicFrame macro="">
      <xdr:nvGraphicFramePr>
        <xdr:cNvPr id="214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323850</xdr:colOff>
      <xdr:row>19</xdr:row>
      <xdr:rowOff>123825</xdr:rowOff>
    </xdr:from>
    <xdr:to>
      <xdr:col>19</xdr:col>
      <xdr:colOff>285750</xdr:colOff>
      <xdr:row>34</xdr:row>
      <xdr:rowOff>9525</xdr:rowOff>
    </xdr:to>
    <xdr:graphicFrame macro="">
      <xdr:nvGraphicFramePr>
        <xdr:cNvPr id="2143"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238125</xdr:colOff>
      <xdr:row>35</xdr:row>
      <xdr:rowOff>66675</xdr:rowOff>
    </xdr:from>
    <xdr:to>
      <xdr:col>19</xdr:col>
      <xdr:colOff>257175</xdr:colOff>
      <xdr:row>50</xdr:row>
      <xdr:rowOff>133350</xdr:rowOff>
    </xdr:to>
    <xdr:graphicFrame macro="">
      <xdr:nvGraphicFramePr>
        <xdr:cNvPr id="2144"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metacat.lternet.edu/das/dataAccessServlet?docid=knb-lter-arc.10147&amp;amp;urlTail=terrest/tracegas/data/2012_GS_ITEX_PF_CHN_Data.csv" TargetMode="External"/><Relationship Id="rId1" Type="http://schemas.openxmlformats.org/officeDocument/2006/relationships/hyperlink" Target="http://ecosystems.mbl.edu/ARC/meta_template.php?FileName=./terrest/tracegas/xlsfiles/2012_GS_ITEX_PF_CHN_Data.html"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S396"/>
  <sheetViews>
    <sheetView tabSelected="1" zoomScale="96" zoomScaleNormal="96" workbookViewId="0">
      <selection activeCell="B4" sqref="B4"/>
    </sheetView>
  </sheetViews>
  <sheetFormatPr defaultColWidth="8.85546875" defaultRowHeight="12.75" x14ac:dyDescent="0.2"/>
  <cols>
    <col min="1" max="1" width="26.140625" style="177" customWidth="1"/>
    <col min="2" max="2" width="46" style="107" bestFit="1" customWidth="1"/>
    <col min="3" max="4" width="30.7109375" style="113" customWidth="1"/>
    <col min="5" max="9" width="30.7109375" style="110" customWidth="1"/>
    <col min="10" max="16384" width="8.85546875" style="110"/>
  </cols>
  <sheetData>
    <row r="1" spans="1:6" ht="18" x14ac:dyDescent="0.25">
      <c r="A1" s="106" t="s">
        <v>252</v>
      </c>
      <c r="C1" s="108"/>
      <c r="D1" s="109"/>
    </row>
    <row r="2" spans="1:6" hidden="1" x14ac:dyDescent="0.2">
      <c r="A2" s="111" t="s">
        <v>253</v>
      </c>
      <c r="B2" s="112" t="s">
        <v>1906</v>
      </c>
    </row>
    <row r="3" spans="1:6" hidden="1" x14ac:dyDescent="0.2">
      <c r="A3" s="111" t="s">
        <v>254</v>
      </c>
      <c r="B3" s="112">
        <v>2013</v>
      </c>
    </row>
    <row r="4" spans="1:6" hidden="1" x14ac:dyDescent="0.2">
      <c r="A4" s="111" t="s">
        <v>255</v>
      </c>
      <c r="B4" s="184" t="s">
        <v>611</v>
      </c>
      <c r="C4" s="114"/>
    </row>
    <row r="5" spans="1:6" ht="22.5" customHeight="1" x14ac:dyDescent="0.2">
      <c r="A5" s="115" t="s">
        <v>256</v>
      </c>
      <c r="B5" s="202" t="s">
        <v>613</v>
      </c>
      <c r="C5" s="203"/>
      <c r="D5" s="110"/>
    </row>
    <row r="6" spans="1:6" ht="12.75" customHeight="1" x14ac:dyDescent="0.2">
      <c r="A6" s="115" t="s">
        <v>257</v>
      </c>
      <c r="B6" s="110"/>
      <c r="C6" s="110"/>
      <c r="D6" s="110"/>
      <c r="E6" s="116"/>
      <c r="F6" s="116"/>
    </row>
    <row r="7" spans="1:6" s="118" customFormat="1" x14ac:dyDescent="0.2">
      <c r="A7" s="117"/>
      <c r="B7" s="204"/>
      <c r="C7" s="205"/>
      <c r="D7" s="205"/>
    </row>
    <row r="8" spans="1:6" s="118" customFormat="1" x14ac:dyDescent="0.2">
      <c r="A8" s="117"/>
      <c r="B8" s="185"/>
      <c r="C8" s="186"/>
      <c r="D8" s="186"/>
    </row>
    <row r="9" spans="1:6" s="118" customFormat="1" x14ac:dyDescent="0.2">
      <c r="A9" s="117"/>
      <c r="B9" s="119"/>
    </row>
    <row r="10" spans="1:6" s="118" customFormat="1" x14ac:dyDescent="0.2">
      <c r="A10" s="117"/>
      <c r="B10" s="119"/>
    </row>
    <row r="11" spans="1:6" s="118" customFormat="1" x14ac:dyDescent="0.2">
      <c r="A11" s="117"/>
      <c r="B11" s="119"/>
    </row>
    <row r="12" spans="1:6" s="118" customFormat="1" x14ac:dyDescent="0.2">
      <c r="A12" s="117"/>
      <c r="B12" s="119"/>
    </row>
    <row r="13" spans="1:6" s="118" customFormat="1" ht="15" x14ac:dyDescent="0.2">
      <c r="A13" s="117"/>
      <c r="B13" s="120"/>
    </row>
    <row r="14" spans="1:6" s="118" customFormat="1" ht="15" x14ac:dyDescent="0.2">
      <c r="A14" s="117"/>
      <c r="B14" s="120"/>
    </row>
    <row r="15" spans="1:6" x14ac:dyDescent="0.2">
      <c r="A15" s="115" t="s">
        <v>258</v>
      </c>
      <c r="B15" s="121" t="s">
        <v>1903</v>
      </c>
    </row>
    <row r="16" spans="1:6" x14ac:dyDescent="0.2">
      <c r="A16" s="122"/>
    </row>
    <row r="17" spans="1:9" x14ac:dyDescent="0.2">
      <c r="A17" s="123" t="s">
        <v>259</v>
      </c>
      <c r="B17" s="124" t="s">
        <v>260</v>
      </c>
      <c r="C17" s="124" t="s">
        <v>261</v>
      </c>
      <c r="D17" s="124" t="s">
        <v>262</v>
      </c>
      <c r="E17" s="124" t="s">
        <v>263</v>
      </c>
      <c r="F17" s="124" t="s">
        <v>264</v>
      </c>
      <c r="G17" s="124" t="s">
        <v>265</v>
      </c>
      <c r="H17" s="124" t="s">
        <v>266</v>
      </c>
      <c r="I17" s="124" t="s">
        <v>267</v>
      </c>
    </row>
    <row r="18" spans="1:9" x14ac:dyDescent="0.2">
      <c r="A18" s="125" t="s">
        <v>268</v>
      </c>
      <c r="B18" s="126" t="s">
        <v>269</v>
      </c>
      <c r="C18" s="126" t="s">
        <v>270</v>
      </c>
      <c r="D18" s="126" t="s">
        <v>270</v>
      </c>
      <c r="E18" s="126" t="s">
        <v>271</v>
      </c>
      <c r="F18" s="126" t="s">
        <v>272</v>
      </c>
      <c r="G18" s="126"/>
      <c r="H18" s="126"/>
      <c r="I18" s="126"/>
    </row>
    <row r="19" spans="1:9" s="127" customFormat="1" x14ac:dyDescent="0.2">
      <c r="A19" s="125" t="s">
        <v>273</v>
      </c>
      <c r="B19" s="126" t="s">
        <v>274</v>
      </c>
      <c r="C19" s="126" t="s">
        <v>275</v>
      </c>
      <c r="D19" s="126" t="s">
        <v>276</v>
      </c>
      <c r="E19" s="126" t="s">
        <v>277</v>
      </c>
      <c r="F19" s="126" t="s">
        <v>278</v>
      </c>
      <c r="G19" s="126"/>
      <c r="H19" s="126"/>
      <c r="I19" s="126"/>
    </row>
    <row r="20" spans="1:9" s="127" customFormat="1" x14ac:dyDescent="0.2">
      <c r="A20" s="125" t="s">
        <v>279</v>
      </c>
      <c r="B20" s="126" t="s">
        <v>280</v>
      </c>
      <c r="C20" s="126" t="s">
        <v>281</v>
      </c>
      <c r="D20" s="126" t="s">
        <v>282</v>
      </c>
      <c r="E20" s="126" t="s">
        <v>283</v>
      </c>
      <c r="F20" s="126" t="s">
        <v>284</v>
      </c>
      <c r="G20" s="126"/>
      <c r="H20" s="126"/>
      <c r="I20" s="126"/>
    </row>
    <row r="21" spans="1:9" s="127" customFormat="1" x14ac:dyDescent="0.2">
      <c r="A21" s="125" t="s">
        <v>285</v>
      </c>
      <c r="B21" s="126" t="s">
        <v>286</v>
      </c>
      <c r="C21" s="126" t="s">
        <v>287</v>
      </c>
      <c r="D21" s="126" t="s">
        <v>288</v>
      </c>
      <c r="E21" s="126" t="s">
        <v>289</v>
      </c>
      <c r="F21" s="126" t="s">
        <v>290</v>
      </c>
      <c r="G21" s="126"/>
      <c r="H21" s="126"/>
      <c r="I21" s="126"/>
    </row>
    <row r="22" spans="1:9" s="127" customFormat="1" ht="25.5" x14ac:dyDescent="0.2">
      <c r="A22" s="125" t="s">
        <v>291</v>
      </c>
      <c r="B22" s="126" t="s">
        <v>292</v>
      </c>
      <c r="C22" s="126" t="s">
        <v>292</v>
      </c>
      <c r="D22" s="126" t="s">
        <v>293</v>
      </c>
      <c r="E22" s="126" t="s">
        <v>292</v>
      </c>
      <c r="F22" s="126" t="s">
        <v>292</v>
      </c>
      <c r="G22" s="126"/>
      <c r="H22" s="126"/>
      <c r="I22" s="126"/>
    </row>
    <row r="23" spans="1:9" s="127" customFormat="1" x14ac:dyDescent="0.2">
      <c r="A23" s="125" t="s">
        <v>294</v>
      </c>
      <c r="B23" s="126" t="s">
        <v>295</v>
      </c>
      <c r="C23" s="126" t="s">
        <v>295</v>
      </c>
      <c r="D23" s="126" t="s">
        <v>296</v>
      </c>
      <c r="E23" s="126" t="s">
        <v>295</v>
      </c>
      <c r="F23" s="126" t="s">
        <v>295</v>
      </c>
      <c r="G23" s="126"/>
      <c r="H23" s="126"/>
      <c r="I23" s="126"/>
    </row>
    <row r="24" spans="1:9" s="127" customFormat="1" x14ac:dyDescent="0.2">
      <c r="A24" s="125" t="s">
        <v>297</v>
      </c>
      <c r="B24" s="126"/>
      <c r="C24" s="126"/>
      <c r="D24" s="126" t="s">
        <v>298</v>
      </c>
      <c r="E24" s="126"/>
      <c r="F24" s="126"/>
      <c r="G24" s="126"/>
      <c r="H24" s="126"/>
      <c r="I24" s="126"/>
    </row>
    <row r="25" spans="1:9" s="127" customFormat="1" x14ac:dyDescent="0.2">
      <c r="A25" s="125" t="s">
        <v>299</v>
      </c>
      <c r="B25" s="126" t="s">
        <v>300</v>
      </c>
      <c r="C25" s="126" t="s">
        <v>300</v>
      </c>
      <c r="D25" s="126" t="s">
        <v>301</v>
      </c>
      <c r="E25" s="126" t="s">
        <v>300</v>
      </c>
      <c r="F25" s="126" t="s">
        <v>300</v>
      </c>
      <c r="G25" s="126"/>
      <c r="H25" s="126"/>
      <c r="I25" s="126"/>
    </row>
    <row r="26" spans="1:9" s="127" customFormat="1" x14ac:dyDescent="0.2">
      <c r="A26" s="125" t="s">
        <v>302</v>
      </c>
      <c r="B26" s="126" t="s">
        <v>303</v>
      </c>
      <c r="C26" s="126" t="s">
        <v>303</v>
      </c>
      <c r="D26" s="126"/>
      <c r="E26" s="126" t="s">
        <v>303</v>
      </c>
      <c r="F26" s="126" t="s">
        <v>303</v>
      </c>
      <c r="G26" s="126"/>
      <c r="H26" s="126"/>
      <c r="I26" s="126"/>
    </row>
    <row r="27" spans="1:9" s="127" customFormat="1" x14ac:dyDescent="0.2">
      <c r="A27" s="125" t="s">
        <v>304</v>
      </c>
      <c r="B27" s="126" t="s">
        <v>305</v>
      </c>
      <c r="C27" s="126" t="s">
        <v>305</v>
      </c>
      <c r="D27" s="126" t="s">
        <v>306</v>
      </c>
      <c r="E27" s="126" t="s">
        <v>305</v>
      </c>
      <c r="F27" s="126" t="s">
        <v>305</v>
      </c>
      <c r="G27" s="126"/>
      <c r="H27" s="126"/>
      <c r="I27" s="126"/>
    </row>
    <row r="28" spans="1:9" s="127" customFormat="1" x14ac:dyDescent="0.2">
      <c r="A28" s="125" t="s">
        <v>307</v>
      </c>
      <c r="B28" s="126" t="s">
        <v>308</v>
      </c>
      <c r="C28" s="126" t="s">
        <v>308</v>
      </c>
      <c r="D28" s="126" t="s">
        <v>309</v>
      </c>
      <c r="E28" s="126" t="s">
        <v>308</v>
      </c>
      <c r="F28" s="126" t="s">
        <v>308</v>
      </c>
      <c r="G28" s="126"/>
      <c r="H28" s="126"/>
      <c r="I28" s="126"/>
    </row>
    <row r="29" spans="1:9" x14ac:dyDescent="0.2">
      <c r="A29" s="128"/>
      <c r="B29" s="129"/>
      <c r="C29" s="130"/>
    </row>
    <row r="30" spans="1:9" x14ac:dyDescent="0.2">
      <c r="A30" s="131"/>
    </row>
    <row r="31" spans="1:9" x14ac:dyDescent="0.2">
      <c r="A31" s="132" t="s">
        <v>310</v>
      </c>
      <c r="B31" s="133"/>
    </row>
    <row r="32" spans="1:9" hidden="1" x14ac:dyDescent="0.2">
      <c r="A32" s="134" t="s">
        <v>311</v>
      </c>
      <c r="B32" s="184" t="s">
        <v>612</v>
      </c>
      <c r="C32" s="135"/>
    </row>
    <row r="33" spans="1:17" x14ac:dyDescent="0.2">
      <c r="A33" s="136" t="s">
        <v>312</v>
      </c>
      <c r="B33" s="121" t="s">
        <v>601</v>
      </c>
    </row>
    <row r="34" spans="1:17" x14ac:dyDescent="0.2">
      <c r="A34" s="137" t="s">
        <v>313</v>
      </c>
      <c r="B34" s="138">
        <v>41083</v>
      </c>
    </row>
    <row r="35" spans="1:17" x14ac:dyDescent="0.2">
      <c r="A35" s="137" t="s">
        <v>314</v>
      </c>
      <c r="B35" s="138">
        <v>41128</v>
      </c>
    </row>
    <row r="36" spans="1:17" x14ac:dyDescent="0.2">
      <c r="A36" s="139" t="s">
        <v>315</v>
      </c>
      <c r="B36" s="121">
        <v>116</v>
      </c>
    </row>
    <row r="37" spans="1:17" ht="267.75" x14ac:dyDescent="0.2">
      <c r="A37" s="139" t="s">
        <v>316</v>
      </c>
      <c r="B37" s="121" t="s">
        <v>610</v>
      </c>
    </row>
    <row r="38" spans="1:17" x14ac:dyDescent="0.2">
      <c r="A38" s="139" t="s">
        <v>317</v>
      </c>
      <c r="B38" s="121">
        <v>1</v>
      </c>
    </row>
    <row r="39" spans="1:17" ht="25.5" x14ac:dyDescent="0.2">
      <c r="A39" s="140" t="s">
        <v>318</v>
      </c>
      <c r="B39" s="121" t="s">
        <v>319</v>
      </c>
    </row>
    <row r="40" spans="1:17" ht="51" x14ac:dyDescent="0.2">
      <c r="A40" s="140" t="s">
        <v>320</v>
      </c>
      <c r="B40" s="121" t="s">
        <v>600</v>
      </c>
    </row>
    <row r="41" spans="1:17" x14ac:dyDescent="0.2">
      <c r="A41" s="139" t="s">
        <v>321</v>
      </c>
      <c r="B41" s="121" t="s">
        <v>614</v>
      </c>
    </row>
    <row r="42" spans="1:17" ht="25.5" x14ac:dyDescent="0.2">
      <c r="A42" s="139"/>
      <c r="B42" s="121" t="s">
        <v>1904</v>
      </c>
    </row>
    <row r="43" spans="1:17" ht="25.5" x14ac:dyDescent="0.2">
      <c r="A43" s="139"/>
      <c r="B43" s="121" t="s">
        <v>1905</v>
      </c>
    </row>
    <row r="44" spans="1:17" x14ac:dyDescent="0.2">
      <c r="A44" s="139"/>
      <c r="B44" s="121"/>
    </row>
    <row r="45" spans="1:17" x14ac:dyDescent="0.2">
      <c r="A45" s="192"/>
      <c r="I45" s="110" t="s">
        <v>322</v>
      </c>
    </row>
    <row r="46" spans="1:17" x14ac:dyDescent="0.2">
      <c r="A46" s="132" t="s">
        <v>323</v>
      </c>
    </row>
    <row r="47" spans="1:17" x14ac:dyDescent="0.2">
      <c r="A47" s="140" t="s">
        <v>609</v>
      </c>
      <c r="B47" s="191" t="s">
        <v>607</v>
      </c>
      <c r="C47" s="191" t="s">
        <v>608</v>
      </c>
      <c r="D47" s="191" t="s">
        <v>634</v>
      </c>
      <c r="E47" s="191" t="s">
        <v>634</v>
      </c>
      <c r="F47" s="191" t="s">
        <v>634</v>
      </c>
      <c r="G47" s="191" t="s">
        <v>634</v>
      </c>
      <c r="H47" s="191" t="s">
        <v>634</v>
      </c>
      <c r="I47" s="191" t="s">
        <v>634</v>
      </c>
      <c r="J47" s="113"/>
      <c r="K47" s="113"/>
      <c r="L47" s="113"/>
      <c r="M47" s="113"/>
      <c r="N47" s="113"/>
      <c r="O47" s="113"/>
      <c r="P47" s="113"/>
      <c r="Q47" s="113"/>
    </row>
    <row r="48" spans="1:17" ht="165.75" x14ac:dyDescent="0.2">
      <c r="A48" s="190" t="s">
        <v>324</v>
      </c>
      <c r="B48" s="141" t="s">
        <v>633</v>
      </c>
      <c r="C48" s="141" t="s">
        <v>325</v>
      </c>
      <c r="D48" s="141" t="str">
        <f t="shared" ref="D48:I48" si="0">IF(ISNA(INDEX(Sites,MATCH(D47,Site_name,0),3)),"Enter Description", INDEX(Sites,MATCH(D47,Site_name,0),3))</f>
        <v>Enter Description</v>
      </c>
      <c r="E48" s="141" t="str">
        <f t="shared" si="0"/>
        <v>Enter Description</v>
      </c>
      <c r="F48" s="141" t="str">
        <f t="shared" si="0"/>
        <v>Enter Description</v>
      </c>
      <c r="G48" s="141" t="str">
        <f t="shared" si="0"/>
        <v>Enter Description</v>
      </c>
      <c r="H48" s="141" t="str">
        <f t="shared" si="0"/>
        <v>Enter Description</v>
      </c>
      <c r="I48" s="141" t="str">
        <f t="shared" si="0"/>
        <v>Enter Description</v>
      </c>
      <c r="J48" s="113"/>
      <c r="K48" s="113"/>
      <c r="L48" s="113"/>
      <c r="M48" s="113"/>
      <c r="N48" s="113"/>
      <c r="O48" s="113"/>
    </row>
    <row r="49" spans="1:19" x14ac:dyDescent="0.2">
      <c r="A49" s="142" t="s">
        <v>326</v>
      </c>
      <c r="C49" s="107"/>
      <c r="D49" s="107"/>
      <c r="E49" s="107"/>
      <c r="F49" s="107"/>
      <c r="G49" s="107"/>
      <c r="H49" s="107"/>
      <c r="I49" s="107"/>
    </row>
    <row r="50" spans="1:19" x14ac:dyDescent="0.2">
      <c r="A50" s="143" t="s">
        <v>327</v>
      </c>
      <c r="B50" s="121"/>
      <c r="C50" s="121"/>
      <c r="D50" s="121"/>
      <c r="E50" s="121"/>
      <c r="F50" s="121"/>
      <c r="G50" s="121"/>
      <c r="H50" s="121"/>
      <c r="I50" s="121"/>
      <c r="J50" s="113"/>
      <c r="K50" s="113"/>
      <c r="L50" s="113"/>
      <c r="M50" s="113"/>
      <c r="N50" s="113"/>
      <c r="O50" s="113"/>
      <c r="P50" s="113"/>
      <c r="Q50" s="113"/>
      <c r="R50" s="113"/>
      <c r="S50" s="113"/>
    </row>
    <row r="51" spans="1:19" x14ac:dyDescent="0.2">
      <c r="A51" s="143" t="s">
        <v>328</v>
      </c>
      <c r="B51" s="144"/>
      <c r="C51" s="144"/>
      <c r="D51" s="144"/>
      <c r="E51" s="144"/>
      <c r="F51" s="144"/>
      <c r="G51" s="144"/>
      <c r="H51" s="144"/>
      <c r="I51" s="144"/>
      <c r="J51" s="113"/>
      <c r="K51" s="113"/>
      <c r="L51" s="113"/>
      <c r="M51" s="113"/>
      <c r="N51" s="113"/>
      <c r="O51" s="113"/>
      <c r="P51" s="113"/>
      <c r="Q51" s="113"/>
      <c r="R51" s="113"/>
      <c r="S51" s="113"/>
    </row>
    <row r="52" spans="1:19" x14ac:dyDescent="0.2">
      <c r="A52" s="143" t="s">
        <v>329</v>
      </c>
      <c r="B52" s="121"/>
      <c r="C52" s="121"/>
      <c r="D52" s="121"/>
      <c r="E52" s="121"/>
      <c r="F52" s="121"/>
      <c r="G52" s="121"/>
      <c r="H52" s="121"/>
      <c r="I52" s="121"/>
      <c r="J52" s="113"/>
      <c r="K52" s="113"/>
      <c r="L52" s="113"/>
      <c r="M52" s="113"/>
      <c r="N52" s="113"/>
      <c r="O52" s="113"/>
      <c r="P52" s="113"/>
      <c r="Q52" s="113"/>
      <c r="R52" s="113"/>
      <c r="S52" s="113"/>
    </row>
    <row r="53" spans="1:19" x14ac:dyDescent="0.2">
      <c r="A53" s="143" t="s">
        <v>330</v>
      </c>
      <c r="B53" s="145"/>
      <c r="C53" s="145"/>
      <c r="D53" s="145"/>
      <c r="E53" s="145"/>
      <c r="F53" s="145"/>
      <c r="G53" s="145"/>
      <c r="H53" s="145"/>
      <c r="I53" s="145"/>
      <c r="J53" s="113"/>
      <c r="K53" s="113"/>
      <c r="L53" s="113"/>
      <c r="M53" s="113"/>
      <c r="N53" s="113"/>
      <c r="O53" s="113"/>
      <c r="P53" s="113"/>
      <c r="Q53" s="113"/>
      <c r="R53" s="113"/>
      <c r="S53" s="113"/>
    </row>
    <row r="54" spans="1:19" x14ac:dyDescent="0.2">
      <c r="A54" s="146" t="s">
        <v>331</v>
      </c>
      <c r="B54" s="147"/>
      <c r="C54" s="147"/>
      <c r="D54" s="147"/>
      <c r="E54" s="147"/>
      <c r="F54" s="147"/>
      <c r="G54" s="147"/>
      <c r="H54" s="147"/>
      <c r="I54" s="147"/>
    </row>
    <row r="55" spans="1:19" x14ac:dyDescent="0.2">
      <c r="A55" s="140" t="s">
        <v>332</v>
      </c>
      <c r="B55" s="141">
        <v>68.638555555555499</v>
      </c>
      <c r="C55" s="141">
        <v>68.635583333333301</v>
      </c>
      <c r="D55" s="141" t="str">
        <f t="shared" ref="D55:I55" si="1">IF(ISNA(INDEX(Sites,MATCH(D47,Site_name,0),4)),"In Decimal Degrees", INDEX(Sites,MATCH(D47,Site_name,0),4))</f>
        <v>In Decimal Degrees</v>
      </c>
      <c r="E55" s="141" t="str">
        <f t="shared" si="1"/>
        <v>In Decimal Degrees</v>
      </c>
      <c r="F55" s="141" t="str">
        <f t="shared" si="1"/>
        <v>In Decimal Degrees</v>
      </c>
      <c r="G55" s="141" t="str">
        <f t="shared" si="1"/>
        <v>In Decimal Degrees</v>
      </c>
      <c r="H55" s="141" t="str">
        <f t="shared" si="1"/>
        <v>In Decimal Degrees</v>
      </c>
      <c r="I55" s="141" t="str">
        <f t="shared" si="1"/>
        <v>In Decimal Degrees</v>
      </c>
      <c r="J55" s="113"/>
      <c r="K55" s="113"/>
      <c r="L55" s="113"/>
      <c r="M55" s="113"/>
      <c r="N55" s="113"/>
      <c r="O55" s="113"/>
      <c r="P55" s="113"/>
      <c r="Q55" s="113"/>
    </row>
    <row r="56" spans="1:19" x14ac:dyDescent="0.2">
      <c r="A56" s="140" t="s">
        <v>333</v>
      </c>
      <c r="B56" s="141">
        <v>-149.56866666666599</v>
      </c>
      <c r="C56" s="141">
        <v>-149.588083333333</v>
      </c>
      <c r="D56" s="141" t="str">
        <f t="shared" ref="D56:I56" si="2">IF(ISNA(INDEX(Sites,MATCH(D47,Site_name,0),5)),"In Decimal Degrees", INDEX(Sites,MATCH(D47,Site_name,0),5))</f>
        <v>In Decimal Degrees</v>
      </c>
      <c r="E56" s="141" t="str">
        <f t="shared" si="2"/>
        <v>In Decimal Degrees</v>
      </c>
      <c r="F56" s="141" t="str">
        <f t="shared" si="2"/>
        <v>In Decimal Degrees</v>
      </c>
      <c r="G56" s="141" t="str">
        <f t="shared" si="2"/>
        <v>In Decimal Degrees</v>
      </c>
      <c r="H56" s="141" t="str">
        <f t="shared" si="2"/>
        <v>In Decimal Degrees</v>
      </c>
      <c r="I56" s="141" t="str">
        <f t="shared" si="2"/>
        <v>In Decimal Degrees</v>
      </c>
      <c r="J56" s="113"/>
      <c r="K56" s="113"/>
      <c r="L56" s="113"/>
      <c r="M56" s="113"/>
      <c r="N56" s="113"/>
      <c r="O56" s="113"/>
      <c r="P56" s="113"/>
      <c r="Q56" s="113"/>
    </row>
    <row r="57" spans="1:19" x14ac:dyDescent="0.2">
      <c r="A57" s="140" t="s">
        <v>334</v>
      </c>
      <c r="B57" s="141" t="s">
        <v>605</v>
      </c>
      <c r="C57" s="141" t="s">
        <v>606</v>
      </c>
      <c r="D57" s="141" t="str">
        <f t="shared" ref="D57:I57" si="3">IF(ISNA(INDEX(Sites,MATCH(D47,Site_name,0),6)),"In Meters", INDEX(Sites,MATCH(D47,Site_name,0),6))</f>
        <v>In Meters</v>
      </c>
      <c r="E57" s="141" t="str">
        <f t="shared" si="3"/>
        <v>In Meters</v>
      </c>
      <c r="F57" s="141" t="str">
        <f t="shared" si="3"/>
        <v>In Meters</v>
      </c>
      <c r="G57" s="141" t="str">
        <f t="shared" si="3"/>
        <v>In Meters</v>
      </c>
      <c r="H57" s="141" t="str">
        <f t="shared" si="3"/>
        <v>In Meters</v>
      </c>
      <c r="I57" s="141" t="str">
        <f t="shared" si="3"/>
        <v>In Meters</v>
      </c>
      <c r="J57" s="113"/>
      <c r="K57" s="113"/>
      <c r="L57" s="113"/>
      <c r="M57" s="113"/>
      <c r="N57" s="113"/>
      <c r="O57" s="113"/>
      <c r="P57" s="113"/>
      <c r="Q57" s="113"/>
    </row>
    <row r="58" spans="1:19" x14ac:dyDescent="0.2">
      <c r="A58" s="140" t="s">
        <v>632</v>
      </c>
      <c r="B58" s="189" t="str">
        <f t="shared" ref="B58:I58" si="4">IF(ISNUMBER(B$55),HYPERLINK("http://maps.google.com/maps?q="&amp;B55&amp;","&amp;B56,"View on Google Map"),"")</f>
        <v>View on Google Map</v>
      </c>
      <c r="C58" s="189" t="str">
        <f t="shared" si="4"/>
        <v>View on Google Map</v>
      </c>
      <c r="D58" s="189" t="str">
        <f t="shared" si="4"/>
        <v/>
      </c>
      <c r="E58" s="189" t="str">
        <f t="shared" si="4"/>
        <v/>
      </c>
      <c r="F58" s="189" t="str">
        <f t="shared" si="4"/>
        <v/>
      </c>
      <c r="G58" s="189" t="str">
        <f t="shared" si="4"/>
        <v/>
      </c>
      <c r="H58" s="189" t="str">
        <f t="shared" si="4"/>
        <v/>
      </c>
      <c r="I58" s="189" t="str">
        <f t="shared" si="4"/>
        <v/>
      </c>
    </row>
    <row r="59" spans="1:19" x14ac:dyDescent="0.2">
      <c r="A59" s="148"/>
      <c r="B59" s="149"/>
      <c r="C59" s="149"/>
      <c r="D59" s="149"/>
    </row>
    <row r="60" spans="1:19" x14ac:dyDescent="0.2">
      <c r="A60" s="150" t="s">
        <v>335</v>
      </c>
      <c r="B60" s="149"/>
      <c r="C60" s="130"/>
    </row>
    <row r="61" spans="1:19" x14ac:dyDescent="0.2">
      <c r="A61" s="151" t="s">
        <v>336</v>
      </c>
      <c r="B61" s="121" t="s">
        <v>337</v>
      </c>
      <c r="C61" s="113" t="s">
        <v>338</v>
      </c>
    </row>
    <row r="62" spans="1:19" x14ac:dyDescent="0.2">
      <c r="A62" s="128"/>
    </row>
    <row r="63" spans="1:19" x14ac:dyDescent="0.2">
      <c r="A63" s="150" t="s">
        <v>339</v>
      </c>
    </row>
    <row r="64" spans="1:19" ht="25.5" x14ac:dyDescent="0.2">
      <c r="A64" s="152" t="s">
        <v>340</v>
      </c>
      <c r="B64" s="121" t="s">
        <v>341</v>
      </c>
    </row>
    <row r="65" spans="1:2" x14ac:dyDescent="0.2">
      <c r="A65" s="148"/>
      <c r="B65" s="149"/>
    </row>
    <row r="66" spans="1:2" s="118" customFormat="1" ht="15" x14ac:dyDescent="0.2">
      <c r="A66" s="117"/>
      <c r="B66" s="120"/>
    </row>
    <row r="67" spans="1:2" ht="15" x14ac:dyDescent="0.2">
      <c r="A67" s="153" t="s">
        <v>342</v>
      </c>
      <c r="B67" s="154"/>
    </row>
    <row r="68" spans="1:2" s="118" customFormat="1" x14ac:dyDescent="0.2">
      <c r="A68" s="155"/>
    </row>
    <row r="69" spans="1:2" s="118" customFormat="1" x14ac:dyDescent="0.2">
      <c r="A69" s="117"/>
      <c r="B69" s="156"/>
    </row>
    <row r="70" spans="1:2" s="118" customFormat="1" x14ac:dyDescent="0.2">
      <c r="A70" s="117"/>
    </row>
    <row r="71" spans="1:2" s="118" customFormat="1" x14ac:dyDescent="0.2">
      <c r="A71" s="117"/>
    </row>
    <row r="72" spans="1:2" s="118" customFormat="1" x14ac:dyDescent="0.2">
      <c r="A72" s="117"/>
    </row>
    <row r="73" spans="1:2" s="118" customFormat="1" x14ac:dyDescent="0.2">
      <c r="A73" s="117"/>
    </row>
    <row r="74" spans="1:2" s="118" customFormat="1" x14ac:dyDescent="0.2">
      <c r="A74" s="117"/>
    </row>
    <row r="75" spans="1:2" s="118" customFormat="1" x14ac:dyDescent="0.2">
      <c r="A75" s="117"/>
    </row>
    <row r="76" spans="1:2" s="118" customFormat="1" x14ac:dyDescent="0.2">
      <c r="A76" s="117"/>
    </row>
    <row r="77" spans="1:2" s="118" customFormat="1" x14ac:dyDescent="0.2">
      <c r="A77" s="117"/>
    </row>
    <row r="78" spans="1:2" s="118" customFormat="1" x14ac:dyDescent="0.2">
      <c r="A78" s="117"/>
    </row>
    <row r="79" spans="1:2" s="118" customFormat="1" x14ac:dyDescent="0.2">
      <c r="A79" s="117"/>
    </row>
    <row r="80" spans="1:2" s="118" customFormat="1" x14ac:dyDescent="0.2">
      <c r="A80" s="117"/>
    </row>
    <row r="81" spans="1:10" s="118" customFormat="1" x14ac:dyDescent="0.2">
      <c r="A81" s="117"/>
    </row>
    <row r="82" spans="1:10" s="118" customFormat="1" x14ac:dyDescent="0.2">
      <c r="A82" s="117"/>
    </row>
    <row r="83" spans="1:10" s="118" customFormat="1" x14ac:dyDescent="0.2">
      <c r="A83" s="117"/>
    </row>
    <row r="84" spans="1:10" s="118" customFormat="1" x14ac:dyDescent="0.2">
      <c r="A84" s="117"/>
    </row>
    <row r="85" spans="1:10" s="118" customFormat="1" x14ac:dyDescent="0.2">
      <c r="A85" s="117"/>
    </row>
    <row r="86" spans="1:10" s="118" customFormat="1" x14ac:dyDescent="0.2">
      <c r="A86" s="117"/>
    </row>
    <row r="87" spans="1:10" s="118" customFormat="1" x14ac:dyDescent="0.2">
      <c r="A87" s="117"/>
    </row>
    <row r="88" spans="1:10" s="118" customFormat="1" x14ac:dyDescent="0.2">
      <c r="A88" s="117"/>
    </row>
    <row r="89" spans="1:10" s="118" customFormat="1" x14ac:dyDescent="0.2">
      <c r="A89" s="117"/>
    </row>
    <row r="90" spans="1:10" s="118" customFormat="1" x14ac:dyDescent="0.2">
      <c r="A90" s="117"/>
    </row>
    <row r="91" spans="1:10" s="118" customFormat="1" x14ac:dyDescent="0.2">
      <c r="A91" s="117"/>
    </row>
    <row r="92" spans="1:10" s="118" customFormat="1" x14ac:dyDescent="0.2">
      <c r="A92" s="117"/>
      <c r="B92" s="119"/>
    </row>
    <row r="93" spans="1:10" s="118" customFormat="1" x14ac:dyDescent="0.2">
      <c r="A93" s="117"/>
      <c r="B93" s="119"/>
    </row>
    <row r="94" spans="1:10" s="118" customFormat="1" x14ac:dyDescent="0.2">
      <c r="A94" s="117"/>
      <c r="B94" s="119"/>
    </row>
    <row r="95" spans="1:10" s="158" customFormat="1" x14ac:dyDescent="0.2">
      <c r="A95" s="117"/>
      <c r="B95" s="119"/>
      <c r="C95" s="118"/>
      <c r="D95" s="118"/>
      <c r="E95" s="118"/>
      <c r="F95" s="118"/>
      <c r="G95" s="118"/>
      <c r="H95" s="118"/>
      <c r="I95" s="118"/>
      <c r="J95" s="157"/>
    </row>
    <row r="96" spans="1:10" s="118" customFormat="1" x14ac:dyDescent="0.2">
      <c r="A96" s="117"/>
      <c r="B96" s="119"/>
    </row>
    <row r="97" spans="1:2" s="118" customFormat="1" x14ac:dyDescent="0.2">
      <c r="A97" s="117"/>
      <c r="B97" s="119"/>
    </row>
    <row r="98" spans="1:2" s="118" customFormat="1" x14ac:dyDescent="0.2">
      <c r="A98" s="117"/>
      <c r="B98" s="119"/>
    </row>
    <row r="99" spans="1:2" s="118" customFormat="1" x14ac:dyDescent="0.2">
      <c r="A99" s="117"/>
      <c r="B99" s="119"/>
    </row>
    <row r="100" spans="1:2" s="118" customFormat="1" x14ac:dyDescent="0.2">
      <c r="A100" s="117"/>
      <c r="B100" s="119"/>
    </row>
    <row r="101" spans="1:2" s="118" customFormat="1" x14ac:dyDescent="0.2">
      <c r="A101" s="117"/>
      <c r="B101" s="119"/>
    </row>
    <row r="102" spans="1:2" s="118" customFormat="1" x14ac:dyDescent="0.2">
      <c r="A102" s="117"/>
      <c r="B102" s="119"/>
    </row>
    <row r="103" spans="1:2" s="118" customFormat="1" x14ac:dyDescent="0.2">
      <c r="A103" s="117"/>
      <c r="B103" s="119"/>
    </row>
    <row r="104" spans="1:2" s="118" customFormat="1" x14ac:dyDescent="0.2">
      <c r="A104" s="117"/>
      <c r="B104" s="119"/>
    </row>
    <row r="105" spans="1:2" s="118" customFormat="1" x14ac:dyDescent="0.2">
      <c r="A105" s="117"/>
      <c r="B105" s="119"/>
    </row>
    <row r="106" spans="1:2" s="118" customFormat="1" x14ac:dyDescent="0.2">
      <c r="A106" s="117"/>
      <c r="B106" s="119"/>
    </row>
    <row r="107" spans="1:2" s="118" customFormat="1" x14ac:dyDescent="0.2">
      <c r="A107" s="117"/>
      <c r="B107" s="119"/>
    </row>
    <row r="108" spans="1:2" s="118" customFormat="1" x14ac:dyDescent="0.2">
      <c r="A108" s="117"/>
      <c r="B108" s="119"/>
    </row>
    <row r="109" spans="1:2" s="118" customFormat="1" x14ac:dyDescent="0.2">
      <c r="A109" s="117"/>
      <c r="B109" s="119"/>
    </row>
    <row r="110" spans="1:2" s="118" customFormat="1" x14ac:dyDescent="0.2">
      <c r="A110" s="117"/>
      <c r="B110" s="119"/>
    </row>
    <row r="111" spans="1:2" s="118" customFormat="1" x14ac:dyDescent="0.2">
      <c r="A111" s="117"/>
      <c r="B111" s="119"/>
    </row>
    <row r="112" spans="1:2" s="118" customFormat="1" x14ac:dyDescent="0.2">
      <c r="A112" s="117"/>
      <c r="B112" s="119"/>
    </row>
    <row r="113" spans="1:2" s="118" customFormat="1" x14ac:dyDescent="0.2">
      <c r="A113" s="117"/>
      <c r="B113" s="119"/>
    </row>
    <row r="114" spans="1:2" s="118" customFormat="1" x14ac:dyDescent="0.2">
      <c r="A114" s="117"/>
      <c r="B114" s="119"/>
    </row>
    <row r="115" spans="1:2" s="118" customFormat="1" x14ac:dyDescent="0.2">
      <c r="A115" s="117"/>
      <c r="B115" s="119"/>
    </row>
    <row r="116" spans="1:2" s="118" customFormat="1" x14ac:dyDescent="0.2">
      <c r="A116" s="117"/>
      <c r="B116" s="119"/>
    </row>
    <row r="117" spans="1:2" s="118" customFormat="1" x14ac:dyDescent="0.2">
      <c r="A117" s="117"/>
      <c r="B117" s="119"/>
    </row>
    <row r="118" spans="1:2" s="118" customFormat="1" x14ac:dyDescent="0.2">
      <c r="A118" s="117"/>
      <c r="B118" s="119"/>
    </row>
    <row r="119" spans="1:2" s="118" customFormat="1" x14ac:dyDescent="0.2">
      <c r="A119" s="117"/>
      <c r="B119" s="119"/>
    </row>
    <row r="120" spans="1:2" s="118" customFormat="1" x14ac:dyDescent="0.2">
      <c r="A120" s="117"/>
      <c r="B120" s="119"/>
    </row>
    <row r="121" spans="1:2" s="118" customFormat="1" x14ac:dyDescent="0.2">
      <c r="A121" s="117"/>
      <c r="B121" s="119"/>
    </row>
    <row r="122" spans="1:2" s="118" customFormat="1" x14ac:dyDescent="0.2">
      <c r="A122" s="117"/>
      <c r="B122" s="119"/>
    </row>
    <row r="123" spans="1:2" s="118" customFormat="1" x14ac:dyDescent="0.2">
      <c r="A123" s="117"/>
      <c r="B123" s="119"/>
    </row>
    <row r="124" spans="1:2" s="118" customFormat="1" x14ac:dyDescent="0.2">
      <c r="A124" s="117"/>
      <c r="B124" s="119"/>
    </row>
    <row r="125" spans="1:2" s="118" customFormat="1" x14ac:dyDescent="0.2">
      <c r="A125" s="117"/>
      <c r="B125" s="119"/>
    </row>
    <row r="126" spans="1:2" s="118" customFormat="1" x14ac:dyDescent="0.2">
      <c r="A126" s="117"/>
      <c r="B126" s="119"/>
    </row>
    <row r="127" spans="1:2" s="118" customFormat="1" x14ac:dyDescent="0.2">
      <c r="A127" s="117"/>
      <c r="B127" s="119"/>
    </row>
    <row r="128" spans="1:2" s="118" customFormat="1" x14ac:dyDescent="0.2">
      <c r="A128" s="117"/>
      <c r="B128" s="119"/>
    </row>
    <row r="129" spans="1:2" s="118" customFormat="1" x14ac:dyDescent="0.2">
      <c r="A129" s="117"/>
      <c r="B129" s="119"/>
    </row>
    <row r="130" spans="1:2" s="118" customFormat="1" x14ac:dyDescent="0.2">
      <c r="A130" s="117"/>
      <c r="B130" s="119"/>
    </row>
    <row r="131" spans="1:2" s="118" customFormat="1" x14ac:dyDescent="0.2">
      <c r="A131" s="117"/>
      <c r="B131" s="119"/>
    </row>
    <row r="132" spans="1:2" s="118" customFormat="1" x14ac:dyDescent="0.2">
      <c r="A132" s="117"/>
      <c r="B132" s="119"/>
    </row>
    <row r="133" spans="1:2" s="118" customFormat="1" x14ac:dyDescent="0.2">
      <c r="A133" s="117"/>
      <c r="B133" s="119"/>
    </row>
    <row r="134" spans="1:2" s="118" customFormat="1" x14ac:dyDescent="0.2">
      <c r="A134" s="117"/>
      <c r="B134" s="119"/>
    </row>
    <row r="135" spans="1:2" s="118" customFormat="1" x14ac:dyDescent="0.2">
      <c r="A135" s="117"/>
      <c r="B135" s="119"/>
    </row>
    <row r="136" spans="1:2" s="118" customFormat="1" x14ac:dyDescent="0.2">
      <c r="A136" s="117"/>
      <c r="B136" s="119"/>
    </row>
    <row r="137" spans="1:2" s="118" customFormat="1" x14ac:dyDescent="0.2">
      <c r="A137" s="117"/>
      <c r="B137" s="119"/>
    </row>
    <row r="138" spans="1:2" s="118" customFormat="1" x14ac:dyDescent="0.2">
      <c r="A138" s="117"/>
      <c r="B138" s="119"/>
    </row>
    <row r="139" spans="1:2" s="118" customFormat="1" x14ac:dyDescent="0.2">
      <c r="A139" s="117"/>
      <c r="B139" s="119"/>
    </row>
    <row r="140" spans="1:2" s="118" customFormat="1" x14ac:dyDescent="0.2">
      <c r="A140" s="117"/>
      <c r="B140" s="119"/>
    </row>
    <row r="141" spans="1:2" s="118" customFormat="1" x14ac:dyDescent="0.2">
      <c r="A141" s="117"/>
      <c r="B141" s="119"/>
    </row>
    <row r="142" spans="1:2" s="118" customFormat="1" x14ac:dyDescent="0.2">
      <c r="A142" s="117"/>
      <c r="B142" s="119"/>
    </row>
    <row r="143" spans="1:2" s="118" customFormat="1" x14ac:dyDescent="0.2">
      <c r="A143" s="117"/>
      <c r="B143" s="119"/>
    </row>
    <row r="144" spans="1:2" s="118" customFormat="1" x14ac:dyDescent="0.2">
      <c r="A144" s="117"/>
      <c r="B144" s="119"/>
    </row>
    <row r="145" spans="1:2" s="118" customFormat="1" x14ac:dyDescent="0.2">
      <c r="A145" s="117"/>
      <c r="B145" s="119"/>
    </row>
    <row r="146" spans="1:2" s="118" customFormat="1" x14ac:dyDescent="0.2">
      <c r="A146" s="117"/>
      <c r="B146" s="119"/>
    </row>
    <row r="147" spans="1:2" s="118" customFormat="1" x14ac:dyDescent="0.2">
      <c r="A147" s="117"/>
      <c r="B147" s="119"/>
    </row>
    <row r="148" spans="1:2" s="118" customFormat="1" x14ac:dyDescent="0.2">
      <c r="A148" s="117"/>
      <c r="B148" s="119"/>
    </row>
    <row r="149" spans="1:2" s="118" customFormat="1" x14ac:dyDescent="0.2">
      <c r="A149" s="117"/>
      <c r="B149" s="119"/>
    </row>
    <row r="150" spans="1:2" s="118" customFormat="1" x14ac:dyDescent="0.2">
      <c r="A150" s="117"/>
      <c r="B150" s="119"/>
    </row>
    <row r="151" spans="1:2" s="118" customFormat="1" x14ac:dyDescent="0.2">
      <c r="A151" s="117"/>
      <c r="B151" s="119"/>
    </row>
    <row r="152" spans="1:2" s="118" customFormat="1" x14ac:dyDescent="0.2">
      <c r="A152" s="117"/>
      <c r="B152" s="119"/>
    </row>
    <row r="153" spans="1:2" s="118" customFormat="1" x14ac:dyDescent="0.2">
      <c r="A153" s="117"/>
      <c r="B153" s="119"/>
    </row>
    <row r="154" spans="1:2" s="118" customFormat="1" x14ac:dyDescent="0.2">
      <c r="A154" s="117"/>
      <c r="B154" s="119"/>
    </row>
    <row r="155" spans="1:2" s="118" customFormat="1" x14ac:dyDescent="0.2">
      <c r="A155" s="117"/>
      <c r="B155" s="119"/>
    </row>
    <row r="156" spans="1:2" s="118" customFormat="1" x14ac:dyDescent="0.2">
      <c r="A156" s="117"/>
      <c r="B156" s="119"/>
    </row>
    <row r="157" spans="1:2" s="118" customFormat="1" x14ac:dyDescent="0.2">
      <c r="A157" s="117"/>
      <c r="B157" s="119"/>
    </row>
    <row r="158" spans="1:2" s="118" customFormat="1" x14ac:dyDescent="0.2">
      <c r="A158" s="117"/>
      <c r="B158" s="159"/>
    </row>
    <row r="159" spans="1:2" s="118" customFormat="1" ht="13.5" thickBot="1" x14ac:dyDescent="0.25">
      <c r="A159" s="117"/>
      <c r="B159" s="119"/>
    </row>
    <row r="160" spans="1:2" s="118" customFormat="1" ht="13.5" thickBot="1" x14ac:dyDescent="0.25">
      <c r="A160" s="160" t="s">
        <v>343</v>
      </c>
      <c r="B160" s="161"/>
    </row>
    <row r="161" spans="1:14" s="118" customFormat="1" x14ac:dyDescent="0.2">
      <c r="A161" s="162" t="s">
        <v>344</v>
      </c>
      <c r="B161" s="163" t="s">
        <v>345</v>
      </c>
      <c r="C161" s="164"/>
    </row>
    <row r="162" spans="1:14" s="118" customFormat="1" x14ac:dyDescent="0.2">
      <c r="A162" s="165" t="s">
        <v>346</v>
      </c>
      <c r="B162" s="188"/>
      <c r="C162" s="166"/>
    </row>
    <row r="163" spans="1:14" s="118" customFormat="1" x14ac:dyDescent="0.2">
      <c r="A163" s="167" t="s">
        <v>347</v>
      </c>
      <c r="B163" s="107"/>
    </row>
    <row r="164" spans="1:14" s="118" customFormat="1" x14ac:dyDescent="0.2">
      <c r="A164" s="168" t="s">
        <v>348</v>
      </c>
      <c r="B164" s="107"/>
    </row>
    <row r="165" spans="1:14" s="118" customFormat="1" x14ac:dyDescent="0.2">
      <c r="A165" s="167"/>
      <c r="B165" s="107"/>
    </row>
    <row r="166" spans="1:14" s="118" customFormat="1" x14ac:dyDescent="0.2">
      <c r="A166" s="167"/>
      <c r="B166" s="107"/>
    </row>
    <row r="167" spans="1:14" s="118" customFormat="1" x14ac:dyDescent="0.2">
      <c r="A167" s="167"/>
      <c r="B167" s="107"/>
    </row>
    <row r="168" spans="1:14" x14ac:dyDescent="0.2">
      <c r="A168" s="117"/>
      <c r="C168" s="148"/>
      <c r="D168" s="149"/>
    </row>
    <row r="169" spans="1:14" x14ac:dyDescent="0.2">
      <c r="A169" s="117"/>
      <c r="C169" s="148"/>
      <c r="D169" s="149"/>
    </row>
    <row r="170" spans="1:14" x14ac:dyDescent="0.2">
      <c r="A170" s="117"/>
      <c r="C170" s="148"/>
      <c r="D170" s="149"/>
    </row>
    <row r="171" spans="1:14" x14ac:dyDescent="0.2">
      <c r="A171" s="153" t="s">
        <v>349</v>
      </c>
      <c r="K171" s="169" t="s">
        <v>350</v>
      </c>
    </row>
    <row r="172" spans="1:14" ht="28.15" customHeight="1" x14ac:dyDescent="0.2">
      <c r="A172" s="170" t="s">
        <v>351</v>
      </c>
      <c r="B172" s="170" t="s">
        <v>352</v>
      </c>
      <c r="C172" s="170" t="s">
        <v>353</v>
      </c>
      <c r="D172" s="171" t="s">
        <v>354</v>
      </c>
      <c r="E172" s="170" t="s">
        <v>355</v>
      </c>
      <c r="F172" s="170" t="s">
        <v>356</v>
      </c>
      <c r="G172" s="170" t="s">
        <v>357</v>
      </c>
      <c r="H172" s="172"/>
      <c r="I172" s="172"/>
      <c r="K172" s="173" t="s">
        <v>268</v>
      </c>
      <c r="L172" s="173" t="s">
        <v>358</v>
      </c>
      <c r="M172" s="173" t="s">
        <v>359</v>
      </c>
      <c r="N172" s="173" t="s">
        <v>360</v>
      </c>
    </row>
    <row r="173" spans="1:14" x14ac:dyDescent="0.2">
      <c r="A173" s="174" t="s">
        <v>362</v>
      </c>
      <c r="B173" s="175" t="s">
        <v>363</v>
      </c>
      <c r="C173" s="175" t="s">
        <v>364</v>
      </c>
      <c r="D173" s="175"/>
      <c r="E173" s="175" t="s">
        <v>365</v>
      </c>
      <c r="F173" s="175"/>
      <c r="G173" s="175"/>
      <c r="H173" s="175"/>
      <c r="I173" s="175"/>
      <c r="L173" s="110" t="s">
        <v>361</v>
      </c>
      <c r="M173" s="187"/>
    </row>
    <row r="174" spans="1:14" x14ac:dyDescent="0.2">
      <c r="A174" s="174" t="s">
        <v>368</v>
      </c>
      <c r="B174" s="175" t="s">
        <v>369</v>
      </c>
      <c r="C174" s="175" t="s">
        <v>364</v>
      </c>
      <c r="D174" s="175"/>
      <c r="E174" s="175" t="s">
        <v>370</v>
      </c>
      <c r="F174" s="175"/>
      <c r="G174" s="175"/>
      <c r="H174" s="175"/>
      <c r="I174" s="175"/>
      <c r="K174" s="110" t="s">
        <v>269</v>
      </c>
      <c r="L174" s="110" t="s">
        <v>364</v>
      </c>
      <c r="M174" s="110" t="s">
        <v>366</v>
      </c>
      <c r="N174" s="110" t="s">
        <v>367</v>
      </c>
    </row>
    <row r="175" spans="1:14" x14ac:dyDescent="0.2">
      <c r="A175" s="174" t="s">
        <v>374</v>
      </c>
      <c r="B175" s="175" t="s">
        <v>247</v>
      </c>
      <c r="C175" s="175" t="s">
        <v>366</v>
      </c>
      <c r="D175" s="175"/>
      <c r="E175" s="175"/>
      <c r="F175" s="175"/>
      <c r="G175" s="175"/>
      <c r="H175" s="175"/>
      <c r="I175" s="175"/>
      <c r="K175" s="110" t="s">
        <v>270</v>
      </c>
      <c r="L175" s="110" t="s">
        <v>371</v>
      </c>
      <c r="M175" s="110" t="s">
        <v>372</v>
      </c>
      <c r="N175" s="110" t="s">
        <v>373</v>
      </c>
    </row>
    <row r="176" spans="1:14" ht="38.25" x14ac:dyDescent="0.2">
      <c r="A176" s="174" t="s">
        <v>377</v>
      </c>
      <c r="B176" s="175" t="s">
        <v>378</v>
      </c>
      <c r="C176" s="175" t="s">
        <v>366</v>
      </c>
      <c r="D176" s="175"/>
      <c r="E176" s="175"/>
      <c r="F176" s="175"/>
      <c r="G176" s="175"/>
      <c r="H176" s="175"/>
      <c r="I176" s="175"/>
      <c r="K176" s="110" t="s">
        <v>271</v>
      </c>
      <c r="L176" s="110" t="s">
        <v>375</v>
      </c>
      <c r="M176" s="110" t="s">
        <v>364</v>
      </c>
      <c r="N176" s="110" t="s">
        <v>376</v>
      </c>
    </row>
    <row r="177" spans="1:14" x14ac:dyDescent="0.2">
      <c r="A177" s="174" t="s">
        <v>381</v>
      </c>
      <c r="B177" s="175" t="s">
        <v>382</v>
      </c>
      <c r="C177" s="175" t="s">
        <v>366</v>
      </c>
      <c r="D177" s="175"/>
      <c r="E177" s="175"/>
      <c r="F177" s="175"/>
      <c r="G177" s="175"/>
      <c r="H177" s="175"/>
      <c r="I177" s="175"/>
      <c r="K177" s="110" t="s">
        <v>272</v>
      </c>
      <c r="L177" s="110" t="s">
        <v>379</v>
      </c>
      <c r="N177" s="110" t="s">
        <v>380</v>
      </c>
    </row>
    <row r="178" spans="1:14" x14ac:dyDescent="0.2">
      <c r="A178" s="174" t="s">
        <v>245</v>
      </c>
      <c r="B178" s="175" t="s">
        <v>386</v>
      </c>
      <c r="C178" s="175" t="s">
        <v>366</v>
      </c>
      <c r="D178" s="175"/>
      <c r="E178" s="175"/>
      <c r="F178" s="175"/>
      <c r="G178" s="175"/>
      <c r="H178" s="175"/>
      <c r="I178" s="175"/>
      <c r="K178" s="110" t="s">
        <v>383</v>
      </c>
      <c r="L178" s="110" t="s">
        <v>384</v>
      </c>
      <c r="N178" s="110" t="s">
        <v>385</v>
      </c>
    </row>
    <row r="179" spans="1:14" x14ac:dyDescent="0.2">
      <c r="A179" s="174" t="s">
        <v>388</v>
      </c>
      <c r="B179" s="175" t="s">
        <v>389</v>
      </c>
      <c r="C179" s="175" t="s">
        <v>366</v>
      </c>
      <c r="D179" s="175"/>
      <c r="E179" s="175"/>
      <c r="F179" s="175"/>
      <c r="G179" s="175"/>
      <c r="H179" s="175"/>
      <c r="I179" s="175"/>
      <c r="N179" s="110" t="s">
        <v>387</v>
      </c>
    </row>
    <row r="180" spans="1:14" x14ac:dyDescent="0.2">
      <c r="A180" s="174" t="s">
        <v>114</v>
      </c>
      <c r="B180" s="175" t="s">
        <v>391</v>
      </c>
      <c r="C180" s="175" t="s">
        <v>366</v>
      </c>
      <c r="D180" s="175"/>
      <c r="E180" s="175"/>
      <c r="F180" s="175"/>
      <c r="G180" s="175"/>
      <c r="H180" s="175"/>
      <c r="I180" s="175"/>
      <c r="N180" s="110" t="s">
        <v>390</v>
      </c>
    </row>
    <row r="181" spans="1:14" x14ac:dyDescent="0.2">
      <c r="A181" s="174" t="s">
        <v>393</v>
      </c>
      <c r="B181" s="175" t="s">
        <v>394</v>
      </c>
      <c r="C181" s="175" t="s">
        <v>366</v>
      </c>
      <c r="D181" s="175"/>
      <c r="E181" s="175"/>
      <c r="F181" s="175"/>
      <c r="G181" s="175"/>
      <c r="H181" s="175"/>
      <c r="I181" s="175"/>
      <c r="N181" s="110" t="s">
        <v>392</v>
      </c>
    </row>
    <row r="182" spans="1:14" ht="38.25" x14ac:dyDescent="0.2">
      <c r="A182" s="174" t="s">
        <v>396</v>
      </c>
      <c r="B182" s="175" t="s">
        <v>397</v>
      </c>
      <c r="C182" s="175" t="s">
        <v>366</v>
      </c>
      <c r="D182" s="175"/>
      <c r="E182" s="175"/>
      <c r="F182" s="175"/>
      <c r="G182" s="175"/>
      <c r="H182" s="175"/>
      <c r="I182" s="175"/>
      <c r="N182" s="110" t="s">
        <v>395</v>
      </c>
    </row>
    <row r="183" spans="1:14" x14ac:dyDescent="0.2">
      <c r="A183" s="174" t="s">
        <v>399</v>
      </c>
      <c r="B183" s="175" t="s">
        <v>400</v>
      </c>
      <c r="C183" s="175" t="s">
        <v>366</v>
      </c>
      <c r="D183" s="175"/>
      <c r="E183" s="175"/>
      <c r="F183" s="175"/>
      <c r="G183" s="175"/>
      <c r="H183" s="175"/>
      <c r="I183" s="175"/>
      <c r="N183" s="110" t="s">
        <v>398</v>
      </c>
    </row>
    <row r="184" spans="1:14" ht="25.5" x14ac:dyDescent="0.2">
      <c r="A184" s="174" t="s">
        <v>115</v>
      </c>
      <c r="B184" s="175" t="s">
        <v>402</v>
      </c>
      <c r="C184" s="175" t="s">
        <v>366</v>
      </c>
      <c r="D184" s="175"/>
      <c r="E184" s="175"/>
      <c r="F184" s="175"/>
      <c r="G184" s="175"/>
      <c r="H184" s="175"/>
      <c r="I184" s="175"/>
      <c r="N184" s="110" t="s">
        <v>401</v>
      </c>
    </row>
    <row r="185" spans="1:14" ht="25.5" x14ac:dyDescent="0.2">
      <c r="A185" s="174" t="s">
        <v>116</v>
      </c>
      <c r="B185" s="175" t="s">
        <v>404</v>
      </c>
      <c r="C185" s="175" t="s">
        <v>366</v>
      </c>
      <c r="D185" s="175"/>
      <c r="E185" s="175"/>
      <c r="F185" s="175"/>
      <c r="G185" s="175"/>
      <c r="H185" s="175"/>
      <c r="I185" s="175"/>
      <c r="N185" s="110" t="s">
        <v>403</v>
      </c>
    </row>
    <row r="186" spans="1:14" ht="25.5" x14ac:dyDescent="0.2">
      <c r="A186" s="174" t="s">
        <v>117</v>
      </c>
      <c r="B186" s="175" t="s">
        <v>406</v>
      </c>
      <c r="C186" s="175" t="s">
        <v>372</v>
      </c>
      <c r="D186" s="175" t="s">
        <v>372</v>
      </c>
      <c r="E186" s="175"/>
      <c r="F186" s="175"/>
      <c r="G186" s="175"/>
      <c r="H186" s="175"/>
      <c r="I186" s="175"/>
      <c r="N186" s="110" t="s">
        <v>405</v>
      </c>
    </row>
    <row r="187" spans="1:14" x14ac:dyDescent="0.2">
      <c r="A187" s="174" t="s">
        <v>118</v>
      </c>
      <c r="B187" s="175" t="s">
        <v>602</v>
      </c>
      <c r="C187" s="175" t="s">
        <v>372</v>
      </c>
      <c r="D187" s="175" t="s">
        <v>408</v>
      </c>
      <c r="E187" s="175"/>
      <c r="F187" s="175"/>
      <c r="G187" s="175"/>
      <c r="H187" s="175"/>
      <c r="I187" s="175"/>
      <c r="N187" s="110" t="s">
        <v>407</v>
      </c>
    </row>
    <row r="188" spans="1:14" x14ac:dyDescent="0.2">
      <c r="A188" s="174" t="s">
        <v>0</v>
      </c>
      <c r="B188" s="175" t="s">
        <v>603</v>
      </c>
      <c r="C188" s="175" t="s">
        <v>372</v>
      </c>
      <c r="D188" s="175" t="s">
        <v>410</v>
      </c>
      <c r="E188" s="175"/>
      <c r="F188" s="175"/>
      <c r="G188" s="175"/>
      <c r="H188" s="175"/>
      <c r="I188" s="175"/>
      <c r="N188" s="110" t="s">
        <v>409</v>
      </c>
    </row>
    <row r="189" spans="1:14" x14ac:dyDescent="0.2">
      <c r="A189" s="174" t="s">
        <v>1</v>
      </c>
      <c r="B189" s="175" t="s">
        <v>604</v>
      </c>
      <c r="C189" s="175" t="s">
        <v>372</v>
      </c>
      <c r="D189" s="175" t="s">
        <v>410</v>
      </c>
      <c r="E189" s="175"/>
      <c r="F189" s="175"/>
      <c r="G189" s="175"/>
      <c r="H189" s="175"/>
      <c r="I189" s="175"/>
      <c r="N189" s="110" t="s">
        <v>411</v>
      </c>
    </row>
    <row r="190" spans="1:14" x14ac:dyDescent="0.2">
      <c r="A190" s="174" t="s">
        <v>244</v>
      </c>
      <c r="B190" s="175" t="s">
        <v>599</v>
      </c>
      <c r="C190" s="175" t="s">
        <v>372</v>
      </c>
      <c r="D190" s="175" t="s">
        <v>427</v>
      </c>
      <c r="E190" s="175"/>
      <c r="F190" s="175"/>
      <c r="G190" s="175"/>
      <c r="H190" s="175"/>
      <c r="I190" s="175"/>
      <c r="N190" s="110" t="s">
        <v>412</v>
      </c>
    </row>
    <row r="191" spans="1:14" x14ac:dyDescent="0.2">
      <c r="A191" s="174" t="s">
        <v>246</v>
      </c>
      <c r="B191" s="175" t="s">
        <v>413</v>
      </c>
      <c r="C191" s="175" t="s">
        <v>366</v>
      </c>
      <c r="D191" s="175"/>
      <c r="E191" s="175"/>
      <c r="F191" s="175"/>
      <c r="G191" s="175"/>
      <c r="H191" s="175"/>
      <c r="I191" s="175"/>
      <c r="N191" s="110" t="s">
        <v>414</v>
      </c>
    </row>
    <row r="192" spans="1:14" x14ac:dyDescent="0.2">
      <c r="A192" s="174"/>
      <c r="B192" s="175"/>
      <c r="C192" s="175"/>
      <c r="D192" s="175"/>
      <c r="E192" s="175"/>
      <c r="F192" s="175"/>
      <c r="G192" s="175"/>
      <c r="H192" s="175"/>
      <c r="I192" s="175"/>
      <c r="N192" s="110" t="s">
        <v>415</v>
      </c>
    </row>
    <row r="193" spans="1:14" x14ac:dyDescent="0.2">
      <c r="A193" s="174"/>
      <c r="B193" s="175"/>
      <c r="C193" s="175"/>
      <c r="D193" s="175"/>
      <c r="E193" s="175"/>
      <c r="F193" s="175"/>
      <c r="G193" s="175"/>
      <c r="H193" s="175"/>
      <c r="I193" s="175"/>
      <c r="N193" s="110" t="s">
        <v>416</v>
      </c>
    </row>
    <row r="194" spans="1:14" x14ac:dyDescent="0.2">
      <c r="A194" s="174"/>
      <c r="B194" s="175"/>
      <c r="C194" s="175"/>
      <c r="D194" s="175"/>
      <c r="E194" s="175"/>
      <c r="F194" s="175"/>
      <c r="G194" s="175"/>
      <c r="H194" s="175"/>
      <c r="I194" s="175"/>
      <c r="N194" s="110" t="s">
        <v>417</v>
      </c>
    </row>
    <row r="195" spans="1:14" x14ac:dyDescent="0.2">
      <c r="A195" s="174"/>
      <c r="B195" s="175"/>
      <c r="C195" s="175"/>
      <c r="D195" s="175"/>
      <c r="E195" s="175"/>
      <c r="F195" s="175"/>
      <c r="G195" s="175"/>
      <c r="H195" s="175"/>
      <c r="I195" s="175"/>
      <c r="N195" s="110" t="s">
        <v>418</v>
      </c>
    </row>
    <row r="196" spans="1:14" x14ac:dyDescent="0.2">
      <c r="A196" s="174"/>
      <c r="B196" s="175"/>
      <c r="C196" s="175"/>
      <c r="D196" s="175"/>
      <c r="E196" s="175"/>
      <c r="F196" s="175"/>
      <c r="G196" s="175"/>
      <c r="H196" s="175"/>
      <c r="I196" s="175"/>
      <c r="N196" s="110" t="s">
        <v>419</v>
      </c>
    </row>
    <row r="197" spans="1:14" x14ac:dyDescent="0.2">
      <c r="A197" s="174"/>
      <c r="B197" s="175"/>
      <c r="C197" s="175"/>
      <c r="D197" s="175"/>
      <c r="E197" s="175"/>
      <c r="F197" s="175"/>
      <c r="G197" s="175"/>
      <c r="H197" s="175"/>
      <c r="I197" s="175"/>
      <c r="N197" s="110" t="s">
        <v>420</v>
      </c>
    </row>
    <row r="198" spans="1:14" x14ac:dyDescent="0.2">
      <c r="A198" s="174"/>
      <c r="B198" s="175"/>
      <c r="C198" s="175"/>
      <c r="D198" s="175"/>
      <c r="E198" s="175"/>
      <c r="F198" s="175"/>
      <c r="G198" s="175"/>
      <c r="H198" s="175"/>
      <c r="I198" s="175"/>
      <c r="N198" s="110" t="s">
        <v>421</v>
      </c>
    </row>
    <row r="199" spans="1:14" x14ac:dyDescent="0.2">
      <c r="A199" s="174"/>
      <c r="B199" s="175"/>
      <c r="C199" s="175"/>
      <c r="D199" s="175"/>
      <c r="E199" s="175"/>
      <c r="F199" s="175"/>
      <c r="G199" s="175"/>
      <c r="H199" s="175"/>
      <c r="I199" s="175"/>
      <c r="N199" s="110" t="s">
        <v>422</v>
      </c>
    </row>
    <row r="200" spans="1:14" x14ac:dyDescent="0.2">
      <c r="A200" s="174"/>
      <c r="B200" s="175"/>
      <c r="C200" s="175"/>
      <c r="D200" s="175"/>
      <c r="E200" s="175"/>
      <c r="F200" s="175"/>
      <c r="G200" s="175"/>
      <c r="H200" s="175"/>
      <c r="I200" s="175"/>
      <c r="N200" s="110" t="s">
        <v>423</v>
      </c>
    </row>
    <row r="201" spans="1:14" x14ac:dyDescent="0.2">
      <c r="A201" s="174"/>
      <c r="B201" s="175"/>
      <c r="C201" s="175"/>
      <c r="D201" s="175"/>
      <c r="E201" s="175"/>
      <c r="F201" s="175"/>
      <c r="G201" s="175"/>
      <c r="H201" s="175"/>
      <c r="I201" s="175"/>
      <c r="N201" s="110" t="s">
        <v>424</v>
      </c>
    </row>
    <row r="202" spans="1:14" x14ac:dyDescent="0.2">
      <c r="A202" s="174"/>
      <c r="B202" s="175"/>
      <c r="C202" s="175"/>
      <c r="D202" s="175"/>
      <c r="E202" s="175"/>
      <c r="F202" s="175"/>
      <c r="G202" s="175"/>
      <c r="H202" s="175"/>
      <c r="I202" s="175"/>
      <c r="N202" s="110" t="s">
        <v>425</v>
      </c>
    </row>
    <row r="203" spans="1:14" x14ac:dyDescent="0.2">
      <c r="A203" s="174"/>
      <c r="B203" s="175"/>
      <c r="C203" s="175"/>
      <c r="D203" s="175"/>
      <c r="E203" s="175"/>
      <c r="F203" s="175"/>
      <c r="G203" s="175"/>
      <c r="H203" s="175"/>
      <c r="I203" s="175"/>
      <c r="N203" s="110" t="s">
        <v>426</v>
      </c>
    </row>
    <row r="204" spans="1:14" x14ac:dyDescent="0.2">
      <c r="A204" s="174"/>
      <c r="B204" s="175"/>
      <c r="C204" s="175"/>
      <c r="D204" s="175"/>
      <c r="E204" s="175"/>
      <c r="F204" s="175"/>
      <c r="G204" s="175"/>
      <c r="H204" s="175"/>
      <c r="I204" s="175"/>
      <c r="N204" s="110" t="s">
        <v>427</v>
      </c>
    </row>
    <row r="205" spans="1:14" x14ac:dyDescent="0.2">
      <c r="A205" s="174"/>
      <c r="B205" s="175"/>
      <c r="C205" s="175"/>
      <c r="D205" s="175"/>
      <c r="E205" s="175"/>
      <c r="F205" s="175"/>
      <c r="G205" s="175"/>
      <c r="H205" s="175"/>
      <c r="I205" s="175"/>
      <c r="N205" s="110" t="s">
        <v>428</v>
      </c>
    </row>
    <row r="206" spans="1:14" x14ac:dyDescent="0.2">
      <c r="A206" s="174"/>
      <c r="B206" s="175"/>
      <c r="C206" s="175"/>
      <c r="D206" s="175"/>
      <c r="E206" s="175"/>
      <c r="F206" s="175"/>
      <c r="G206" s="175"/>
      <c r="H206" s="175"/>
      <c r="I206" s="175"/>
      <c r="N206" s="110" t="s">
        <v>429</v>
      </c>
    </row>
    <row r="207" spans="1:14" x14ac:dyDescent="0.2">
      <c r="A207" s="174"/>
      <c r="B207" s="175"/>
      <c r="C207" s="175"/>
      <c r="D207" s="175"/>
      <c r="E207" s="175"/>
      <c r="F207" s="175"/>
      <c r="G207" s="175"/>
      <c r="H207" s="175"/>
      <c r="I207" s="175"/>
      <c r="N207" s="110" t="s">
        <v>631</v>
      </c>
    </row>
    <row r="208" spans="1:14" x14ac:dyDescent="0.2">
      <c r="A208" s="174"/>
      <c r="B208" s="175"/>
      <c r="C208" s="175"/>
      <c r="D208" s="175"/>
      <c r="E208" s="175"/>
      <c r="F208" s="175"/>
      <c r="G208" s="175"/>
      <c r="H208" s="175"/>
      <c r="I208" s="175"/>
      <c r="N208" s="110" t="s">
        <v>430</v>
      </c>
    </row>
    <row r="209" spans="1:14" x14ac:dyDescent="0.2">
      <c r="A209" s="174"/>
      <c r="B209" s="175"/>
      <c r="C209" s="175"/>
      <c r="D209" s="175"/>
      <c r="E209" s="175"/>
      <c r="F209" s="175"/>
      <c r="G209" s="175"/>
      <c r="H209" s="175"/>
      <c r="I209" s="175"/>
      <c r="N209" s="110" t="s">
        <v>431</v>
      </c>
    </row>
    <row r="210" spans="1:14" x14ac:dyDescent="0.2">
      <c r="A210" s="174"/>
      <c r="B210" s="175"/>
      <c r="C210" s="175"/>
      <c r="D210" s="175"/>
      <c r="E210" s="175"/>
      <c r="F210" s="175"/>
      <c r="G210" s="175"/>
      <c r="H210" s="175"/>
      <c r="I210" s="175"/>
      <c r="N210" s="110" t="s">
        <v>432</v>
      </c>
    </row>
    <row r="211" spans="1:14" x14ac:dyDescent="0.2">
      <c r="A211" s="174"/>
      <c r="B211" s="175"/>
      <c r="C211" s="175"/>
      <c r="D211" s="175"/>
      <c r="E211" s="175"/>
      <c r="F211" s="175"/>
      <c r="G211" s="175"/>
      <c r="H211" s="175"/>
      <c r="I211" s="175"/>
      <c r="N211" s="110" t="s">
        <v>433</v>
      </c>
    </row>
    <row r="212" spans="1:14" x14ac:dyDescent="0.2">
      <c r="A212" s="174"/>
      <c r="B212" s="175"/>
      <c r="C212" s="175"/>
      <c r="D212" s="175"/>
      <c r="E212" s="175"/>
      <c r="F212" s="175"/>
      <c r="G212" s="175"/>
      <c r="H212" s="175"/>
      <c r="I212" s="175"/>
      <c r="N212" s="110" t="s">
        <v>434</v>
      </c>
    </row>
    <row r="213" spans="1:14" x14ac:dyDescent="0.2">
      <c r="A213" s="174"/>
      <c r="B213" s="175"/>
      <c r="C213" s="175"/>
      <c r="D213" s="175"/>
      <c r="E213" s="175"/>
      <c r="F213" s="175"/>
      <c r="G213" s="175"/>
      <c r="H213" s="175"/>
      <c r="I213" s="175"/>
      <c r="N213" s="110" t="s">
        <v>435</v>
      </c>
    </row>
    <row r="214" spans="1:14" x14ac:dyDescent="0.2">
      <c r="A214" s="174"/>
      <c r="B214" s="175"/>
      <c r="C214" s="175"/>
      <c r="D214" s="175"/>
      <c r="E214" s="175"/>
      <c r="F214" s="175"/>
      <c r="G214" s="175"/>
      <c r="H214" s="175"/>
      <c r="I214" s="175"/>
      <c r="N214" s="110" t="s">
        <v>436</v>
      </c>
    </row>
    <row r="215" spans="1:14" x14ac:dyDescent="0.2">
      <c r="A215" s="174"/>
      <c r="B215" s="175"/>
      <c r="C215" s="175"/>
      <c r="D215" s="175"/>
      <c r="E215" s="175"/>
      <c r="F215" s="175"/>
      <c r="G215" s="175"/>
      <c r="H215" s="175"/>
      <c r="I215" s="175"/>
      <c r="N215" s="110" t="s">
        <v>437</v>
      </c>
    </row>
    <row r="216" spans="1:14" x14ac:dyDescent="0.2">
      <c r="A216" s="174"/>
      <c r="B216" s="175"/>
      <c r="C216" s="175"/>
      <c r="D216" s="175"/>
      <c r="E216" s="175"/>
      <c r="F216" s="175"/>
      <c r="G216" s="175"/>
      <c r="H216" s="175"/>
      <c r="I216" s="175"/>
      <c r="N216" s="110" t="s">
        <v>438</v>
      </c>
    </row>
    <row r="217" spans="1:14" x14ac:dyDescent="0.2">
      <c r="A217" s="174"/>
      <c r="B217" s="175"/>
      <c r="C217" s="175"/>
      <c r="D217" s="175"/>
      <c r="E217" s="175"/>
      <c r="F217" s="175"/>
      <c r="G217" s="175"/>
      <c r="H217" s="175"/>
      <c r="I217" s="175"/>
      <c r="N217" s="110" t="s">
        <v>439</v>
      </c>
    </row>
    <row r="218" spans="1:14" x14ac:dyDescent="0.2">
      <c r="A218" s="174"/>
      <c r="B218" s="175"/>
      <c r="C218" s="175"/>
      <c r="D218" s="175"/>
      <c r="E218" s="175"/>
      <c r="F218" s="175"/>
      <c r="G218" s="175"/>
      <c r="H218" s="175"/>
      <c r="I218" s="175"/>
      <c r="N218" s="110" t="s">
        <v>440</v>
      </c>
    </row>
    <row r="219" spans="1:14" x14ac:dyDescent="0.2">
      <c r="A219" s="174"/>
      <c r="B219" s="175"/>
      <c r="C219" s="175"/>
      <c r="D219" s="175"/>
      <c r="E219" s="175"/>
      <c r="F219" s="175"/>
      <c r="G219" s="175"/>
      <c r="H219" s="175"/>
      <c r="I219" s="175"/>
      <c r="N219" s="110" t="s">
        <v>441</v>
      </c>
    </row>
    <row r="220" spans="1:14" x14ac:dyDescent="0.2">
      <c r="A220" s="174"/>
      <c r="B220" s="175"/>
      <c r="C220" s="175"/>
      <c r="D220" s="175"/>
      <c r="E220" s="175"/>
      <c r="F220" s="175"/>
      <c r="G220" s="175"/>
      <c r="H220" s="175"/>
      <c r="I220" s="175"/>
      <c r="N220" s="110" t="s">
        <v>442</v>
      </c>
    </row>
    <row r="221" spans="1:14" x14ac:dyDescent="0.2">
      <c r="A221" s="174"/>
      <c r="B221" s="175"/>
      <c r="C221" s="175"/>
      <c r="D221" s="175"/>
      <c r="E221" s="175"/>
      <c r="F221" s="175"/>
      <c r="G221" s="175"/>
      <c r="H221" s="175"/>
      <c r="I221" s="175"/>
      <c r="N221" s="110" t="s">
        <v>443</v>
      </c>
    </row>
    <row r="222" spans="1:14" x14ac:dyDescent="0.2">
      <c r="A222" s="174"/>
      <c r="B222" s="175"/>
      <c r="C222" s="175"/>
      <c r="D222" s="175"/>
      <c r="E222" s="175"/>
      <c r="F222" s="175"/>
      <c r="G222" s="175"/>
      <c r="H222" s="175"/>
      <c r="I222" s="175"/>
      <c r="N222" s="110" t="s">
        <v>444</v>
      </c>
    </row>
    <row r="223" spans="1:14" x14ac:dyDescent="0.2">
      <c r="A223" s="174"/>
      <c r="B223" s="175"/>
      <c r="C223" s="175"/>
      <c r="D223" s="175"/>
      <c r="E223" s="175"/>
      <c r="F223" s="175"/>
      <c r="G223" s="175"/>
      <c r="H223" s="175"/>
      <c r="I223" s="175"/>
      <c r="N223" s="110" t="s">
        <v>445</v>
      </c>
    </row>
    <row r="224" spans="1:14" x14ac:dyDescent="0.2">
      <c r="A224" s="174"/>
      <c r="B224" s="175"/>
      <c r="C224" s="175"/>
      <c r="D224" s="175"/>
      <c r="E224" s="175"/>
      <c r="F224" s="175"/>
      <c r="G224" s="175"/>
      <c r="H224" s="175"/>
      <c r="I224" s="175"/>
      <c r="N224" s="110" t="s">
        <v>446</v>
      </c>
    </row>
    <row r="225" spans="1:14" x14ac:dyDescent="0.2">
      <c r="A225" s="174"/>
      <c r="B225" s="175"/>
      <c r="C225" s="175"/>
      <c r="D225" s="175"/>
      <c r="E225" s="175"/>
      <c r="F225" s="175"/>
      <c r="G225" s="175"/>
      <c r="H225" s="175"/>
      <c r="I225" s="175"/>
      <c r="N225" s="110" t="s">
        <v>447</v>
      </c>
    </row>
    <row r="226" spans="1:14" x14ac:dyDescent="0.2">
      <c r="A226" s="174"/>
      <c r="B226" s="175"/>
      <c r="C226" s="175"/>
      <c r="D226" s="175"/>
      <c r="E226" s="175"/>
      <c r="F226" s="175"/>
      <c r="G226" s="175"/>
      <c r="H226" s="175"/>
      <c r="I226" s="175"/>
      <c r="N226" s="110" t="s">
        <v>448</v>
      </c>
    </row>
    <row r="227" spans="1:14" x14ac:dyDescent="0.2">
      <c r="A227" s="174"/>
      <c r="B227" s="175"/>
      <c r="C227" s="175"/>
      <c r="D227" s="175"/>
      <c r="E227" s="175"/>
      <c r="F227" s="175"/>
      <c r="G227" s="175"/>
      <c r="H227" s="175"/>
      <c r="I227" s="175"/>
      <c r="N227" s="110" t="s">
        <v>449</v>
      </c>
    </row>
    <row r="228" spans="1:14" x14ac:dyDescent="0.2">
      <c r="A228" s="174"/>
      <c r="B228" s="175"/>
      <c r="C228" s="175"/>
      <c r="D228" s="175"/>
      <c r="E228" s="175"/>
      <c r="F228" s="175"/>
      <c r="G228" s="175"/>
      <c r="H228" s="175"/>
      <c r="I228" s="175"/>
      <c r="N228" s="110" t="s">
        <v>450</v>
      </c>
    </row>
    <row r="229" spans="1:14" x14ac:dyDescent="0.2">
      <c r="A229" s="174"/>
      <c r="B229" s="175"/>
      <c r="C229" s="175"/>
      <c r="D229" s="175"/>
      <c r="E229" s="175"/>
      <c r="F229" s="175"/>
      <c r="G229" s="175"/>
      <c r="H229" s="175"/>
      <c r="I229" s="175"/>
      <c r="N229" s="110" t="s">
        <v>451</v>
      </c>
    </row>
    <row r="230" spans="1:14" x14ac:dyDescent="0.2">
      <c r="A230" s="174"/>
      <c r="B230" s="175"/>
      <c r="C230" s="175"/>
      <c r="D230" s="175"/>
      <c r="E230" s="175"/>
      <c r="F230" s="175"/>
      <c r="G230" s="175"/>
      <c r="H230" s="175"/>
      <c r="I230" s="175"/>
      <c r="N230" s="110" t="s">
        <v>452</v>
      </c>
    </row>
    <row r="231" spans="1:14" x14ac:dyDescent="0.2">
      <c r="A231" s="174"/>
      <c r="B231" s="175"/>
      <c r="C231" s="175"/>
      <c r="D231" s="175"/>
      <c r="E231" s="175"/>
      <c r="F231" s="175"/>
      <c r="G231" s="175"/>
      <c r="H231" s="175"/>
      <c r="I231" s="175"/>
      <c r="N231" s="110" t="s">
        <v>453</v>
      </c>
    </row>
    <row r="232" spans="1:14" x14ac:dyDescent="0.2">
      <c r="A232" s="174"/>
      <c r="B232" s="175"/>
      <c r="C232" s="175"/>
      <c r="D232" s="175"/>
      <c r="E232" s="175"/>
      <c r="F232" s="175"/>
      <c r="G232" s="175"/>
      <c r="H232" s="175"/>
      <c r="I232" s="175"/>
      <c r="N232" s="110" t="s">
        <v>454</v>
      </c>
    </row>
    <row r="233" spans="1:14" x14ac:dyDescent="0.2">
      <c r="A233" s="174"/>
      <c r="B233" s="175"/>
      <c r="C233" s="175"/>
      <c r="D233" s="175"/>
      <c r="E233" s="175"/>
      <c r="F233" s="175"/>
      <c r="G233" s="175"/>
      <c r="H233" s="175"/>
      <c r="I233" s="175"/>
      <c r="N233" s="110" t="s">
        <v>455</v>
      </c>
    </row>
    <row r="234" spans="1:14" x14ac:dyDescent="0.2">
      <c r="A234" s="174"/>
      <c r="B234" s="175"/>
      <c r="C234" s="175"/>
      <c r="D234" s="175"/>
      <c r="E234" s="175"/>
      <c r="F234" s="175"/>
      <c r="G234" s="175"/>
      <c r="H234" s="175"/>
      <c r="I234" s="175"/>
      <c r="N234" s="110" t="s">
        <v>456</v>
      </c>
    </row>
    <row r="235" spans="1:14" x14ac:dyDescent="0.2">
      <c r="A235" s="174"/>
      <c r="B235" s="175"/>
      <c r="C235" s="175"/>
      <c r="D235" s="175"/>
      <c r="E235" s="175"/>
      <c r="F235" s="175"/>
      <c r="G235" s="175"/>
      <c r="H235" s="175"/>
      <c r="I235" s="175"/>
      <c r="N235" s="110" t="s">
        <v>457</v>
      </c>
    </row>
    <row r="236" spans="1:14" x14ac:dyDescent="0.2">
      <c r="A236" s="174"/>
      <c r="B236" s="175"/>
      <c r="C236" s="175"/>
      <c r="D236" s="175"/>
      <c r="E236" s="175"/>
      <c r="F236" s="175"/>
      <c r="G236" s="175"/>
      <c r="H236" s="175"/>
      <c r="I236" s="175"/>
      <c r="N236" s="110" t="s">
        <v>458</v>
      </c>
    </row>
    <row r="237" spans="1:14" x14ac:dyDescent="0.2">
      <c r="A237" s="174"/>
      <c r="B237" s="175"/>
      <c r="C237" s="175"/>
      <c r="D237" s="175"/>
      <c r="E237" s="175"/>
      <c r="F237" s="175"/>
      <c r="G237" s="175"/>
      <c r="H237" s="175"/>
      <c r="I237" s="175"/>
      <c r="N237" s="110" t="s">
        <v>459</v>
      </c>
    </row>
    <row r="238" spans="1:14" x14ac:dyDescent="0.2">
      <c r="A238" s="174"/>
      <c r="B238" s="175"/>
      <c r="C238" s="175"/>
      <c r="D238" s="175"/>
      <c r="E238" s="175"/>
      <c r="F238" s="175"/>
      <c r="G238" s="175"/>
      <c r="H238" s="175"/>
      <c r="I238" s="175"/>
      <c r="N238" s="110" t="s">
        <v>460</v>
      </c>
    </row>
    <row r="239" spans="1:14" x14ac:dyDescent="0.2">
      <c r="A239" s="174"/>
      <c r="B239" s="175"/>
      <c r="C239" s="175"/>
      <c r="D239" s="175"/>
      <c r="E239" s="175"/>
      <c r="F239" s="175"/>
      <c r="G239" s="175"/>
      <c r="H239" s="175"/>
      <c r="I239" s="175"/>
      <c r="N239" s="110" t="s">
        <v>461</v>
      </c>
    </row>
    <row r="240" spans="1:14" x14ac:dyDescent="0.2">
      <c r="A240" s="174"/>
      <c r="B240" s="175"/>
      <c r="C240" s="175"/>
      <c r="D240" s="175"/>
      <c r="E240" s="175"/>
      <c r="F240" s="175"/>
      <c r="G240" s="175"/>
      <c r="H240" s="175"/>
      <c r="I240" s="175"/>
      <c r="N240" s="110" t="s">
        <v>462</v>
      </c>
    </row>
    <row r="241" spans="1:14" x14ac:dyDescent="0.2">
      <c r="A241" s="174"/>
      <c r="B241" s="175"/>
      <c r="C241" s="175"/>
      <c r="D241" s="175"/>
      <c r="E241" s="175"/>
      <c r="F241" s="175"/>
      <c r="G241" s="175"/>
      <c r="H241" s="175"/>
      <c r="I241" s="175"/>
      <c r="N241" s="110" t="s">
        <v>463</v>
      </c>
    </row>
    <row r="242" spans="1:14" x14ac:dyDescent="0.2">
      <c r="A242" s="174"/>
      <c r="B242" s="175"/>
      <c r="C242" s="175"/>
      <c r="D242" s="175"/>
      <c r="E242" s="175"/>
      <c r="F242" s="175"/>
      <c r="G242" s="175"/>
      <c r="H242" s="175"/>
      <c r="I242" s="175"/>
      <c r="N242" s="110" t="s">
        <v>464</v>
      </c>
    </row>
    <row r="243" spans="1:14" x14ac:dyDescent="0.2">
      <c r="A243" s="174"/>
      <c r="B243" s="175"/>
      <c r="C243" s="175"/>
      <c r="D243" s="175"/>
      <c r="E243" s="175"/>
      <c r="F243" s="175"/>
      <c r="G243" s="175"/>
      <c r="H243" s="175"/>
      <c r="I243" s="175"/>
      <c r="N243" s="110" t="s">
        <v>465</v>
      </c>
    </row>
    <row r="244" spans="1:14" x14ac:dyDescent="0.2">
      <c r="A244" s="174"/>
      <c r="B244" s="175"/>
      <c r="C244" s="175"/>
      <c r="D244" s="175"/>
      <c r="E244" s="175"/>
      <c r="F244" s="175"/>
      <c r="G244" s="175"/>
      <c r="H244" s="175"/>
      <c r="I244" s="175"/>
      <c r="N244" s="110" t="s">
        <v>630</v>
      </c>
    </row>
    <row r="245" spans="1:14" x14ac:dyDescent="0.2">
      <c r="A245" s="174"/>
      <c r="B245" s="175"/>
      <c r="C245" s="175"/>
      <c r="D245" s="175"/>
      <c r="E245" s="175"/>
      <c r="F245" s="175"/>
      <c r="G245" s="175"/>
      <c r="H245" s="175"/>
      <c r="I245" s="175"/>
      <c r="N245" s="110" t="s">
        <v>466</v>
      </c>
    </row>
    <row r="246" spans="1:14" x14ac:dyDescent="0.2">
      <c r="A246" s="174"/>
      <c r="B246" s="175"/>
      <c r="C246" s="175"/>
      <c r="D246" s="175"/>
      <c r="E246" s="175"/>
      <c r="F246" s="175"/>
      <c r="G246" s="175"/>
      <c r="H246" s="175"/>
      <c r="I246" s="175"/>
      <c r="N246" s="110" t="s">
        <v>467</v>
      </c>
    </row>
    <row r="247" spans="1:14" x14ac:dyDescent="0.2">
      <c r="A247" s="174"/>
      <c r="B247" s="175"/>
      <c r="C247" s="175"/>
      <c r="D247" s="175"/>
      <c r="E247" s="175"/>
      <c r="F247" s="175"/>
      <c r="G247" s="175"/>
      <c r="H247" s="175"/>
      <c r="I247" s="175"/>
      <c r="N247" s="110" t="s">
        <v>468</v>
      </c>
    </row>
    <row r="248" spans="1:14" x14ac:dyDescent="0.2">
      <c r="A248" s="174"/>
      <c r="B248" s="175"/>
      <c r="C248" s="175"/>
      <c r="D248" s="175"/>
      <c r="E248" s="175"/>
      <c r="F248" s="175"/>
      <c r="G248" s="175"/>
      <c r="H248" s="175"/>
      <c r="I248" s="175"/>
      <c r="N248" s="110" t="s">
        <v>469</v>
      </c>
    </row>
    <row r="249" spans="1:14" x14ac:dyDescent="0.2">
      <c r="A249" s="174"/>
      <c r="B249" s="175"/>
      <c r="C249" s="175"/>
      <c r="D249" s="175"/>
      <c r="E249" s="175"/>
      <c r="F249" s="175"/>
      <c r="G249" s="175"/>
      <c r="H249" s="175"/>
      <c r="I249" s="175"/>
      <c r="N249" s="110" t="s">
        <v>470</v>
      </c>
    </row>
    <row r="250" spans="1:14" x14ac:dyDescent="0.2">
      <c r="A250" s="174"/>
      <c r="B250" s="175"/>
      <c r="C250" s="175"/>
      <c r="D250" s="175"/>
      <c r="E250" s="175"/>
      <c r="F250" s="175"/>
      <c r="G250" s="175"/>
      <c r="H250" s="175"/>
      <c r="I250" s="175"/>
      <c r="N250" s="110" t="s">
        <v>471</v>
      </c>
    </row>
    <row r="251" spans="1:14" x14ac:dyDescent="0.2">
      <c r="A251" s="174"/>
      <c r="B251" s="175"/>
      <c r="C251" s="175"/>
      <c r="D251" s="175"/>
      <c r="E251" s="175"/>
      <c r="F251" s="175"/>
      <c r="G251" s="175"/>
      <c r="H251" s="175"/>
      <c r="I251" s="175"/>
      <c r="N251" s="110" t="s">
        <v>472</v>
      </c>
    </row>
    <row r="252" spans="1:14" x14ac:dyDescent="0.2">
      <c r="A252" s="174"/>
      <c r="B252" s="175"/>
      <c r="C252" s="175"/>
      <c r="D252" s="175"/>
      <c r="E252" s="175"/>
      <c r="F252" s="175"/>
      <c r="G252" s="175"/>
      <c r="H252" s="175"/>
      <c r="I252" s="175"/>
      <c r="N252" s="110" t="s">
        <v>473</v>
      </c>
    </row>
    <row r="253" spans="1:14" x14ac:dyDescent="0.2">
      <c r="A253" s="174"/>
      <c r="B253" s="175"/>
      <c r="C253" s="175"/>
      <c r="D253" s="175"/>
      <c r="E253" s="175"/>
      <c r="F253" s="175"/>
      <c r="G253" s="175"/>
      <c r="H253" s="175"/>
      <c r="I253" s="175"/>
      <c r="N253" s="110" t="s">
        <v>474</v>
      </c>
    </row>
    <row r="254" spans="1:14" x14ac:dyDescent="0.2">
      <c r="A254" s="174"/>
      <c r="B254" s="175"/>
      <c r="C254" s="175"/>
      <c r="D254" s="175"/>
      <c r="E254" s="175"/>
      <c r="F254" s="175"/>
      <c r="G254" s="175"/>
      <c r="H254" s="175"/>
      <c r="I254" s="175"/>
      <c r="L254" s="176"/>
      <c r="M254" s="176"/>
      <c r="N254" s="110" t="s">
        <v>475</v>
      </c>
    </row>
    <row r="255" spans="1:14" x14ac:dyDescent="0.2">
      <c r="A255" s="174"/>
      <c r="B255" s="175"/>
      <c r="C255" s="175"/>
      <c r="D255" s="175"/>
      <c r="E255" s="175"/>
      <c r="F255" s="175"/>
      <c r="G255" s="175"/>
      <c r="H255" s="175"/>
      <c r="I255" s="175"/>
      <c r="N255" s="110" t="s">
        <v>476</v>
      </c>
    </row>
    <row r="256" spans="1:14" x14ac:dyDescent="0.2">
      <c r="A256" s="174"/>
      <c r="B256" s="175"/>
      <c r="C256" s="175"/>
      <c r="D256" s="175"/>
      <c r="E256" s="175"/>
      <c r="F256" s="175"/>
      <c r="G256" s="175"/>
      <c r="H256" s="175"/>
      <c r="I256" s="175"/>
      <c r="N256" s="110" t="s">
        <v>477</v>
      </c>
    </row>
    <row r="257" spans="1:14" x14ac:dyDescent="0.2">
      <c r="A257" s="174"/>
      <c r="B257" s="175"/>
      <c r="C257" s="175"/>
      <c r="D257" s="175"/>
      <c r="E257" s="175"/>
      <c r="F257" s="175"/>
      <c r="G257" s="175"/>
      <c r="H257" s="175"/>
      <c r="I257" s="175"/>
      <c r="N257" s="110" t="s">
        <v>478</v>
      </c>
    </row>
    <row r="258" spans="1:14" x14ac:dyDescent="0.2">
      <c r="A258" s="174"/>
      <c r="B258" s="175"/>
      <c r="C258" s="175"/>
      <c r="D258" s="175"/>
      <c r="E258" s="175"/>
      <c r="F258" s="175"/>
      <c r="G258" s="175"/>
      <c r="H258" s="175"/>
      <c r="I258" s="175"/>
      <c r="N258" s="110" t="s">
        <v>479</v>
      </c>
    </row>
    <row r="259" spans="1:14" x14ac:dyDescent="0.2">
      <c r="A259" s="174"/>
      <c r="B259" s="175"/>
      <c r="C259" s="175"/>
      <c r="D259" s="175"/>
      <c r="E259" s="175"/>
      <c r="F259" s="175"/>
      <c r="G259" s="175"/>
      <c r="H259" s="175"/>
      <c r="I259" s="175"/>
      <c r="N259" s="110" t="s">
        <v>480</v>
      </c>
    </row>
    <row r="260" spans="1:14" x14ac:dyDescent="0.2">
      <c r="A260" s="174"/>
      <c r="B260" s="175"/>
      <c r="C260" s="175"/>
      <c r="D260" s="175"/>
      <c r="E260" s="175"/>
      <c r="F260" s="175"/>
      <c r="G260" s="175"/>
      <c r="H260" s="175"/>
      <c r="I260" s="175"/>
      <c r="N260" s="110" t="s">
        <v>481</v>
      </c>
    </row>
    <row r="261" spans="1:14" x14ac:dyDescent="0.2">
      <c r="A261" s="174"/>
      <c r="B261" s="175"/>
      <c r="C261" s="175"/>
      <c r="D261" s="175"/>
      <c r="E261" s="175"/>
      <c r="F261" s="175"/>
      <c r="G261" s="175"/>
      <c r="H261" s="175"/>
      <c r="I261" s="175"/>
      <c r="N261" s="110" t="s">
        <v>482</v>
      </c>
    </row>
    <row r="262" spans="1:14" x14ac:dyDescent="0.2">
      <c r="A262" s="174"/>
      <c r="B262" s="175"/>
      <c r="C262" s="175"/>
      <c r="D262" s="175"/>
      <c r="E262" s="175"/>
      <c r="F262" s="175"/>
      <c r="G262" s="175"/>
      <c r="H262" s="175"/>
      <c r="I262" s="175"/>
      <c r="N262" s="110" t="s">
        <v>483</v>
      </c>
    </row>
    <row r="263" spans="1:14" x14ac:dyDescent="0.2">
      <c r="A263" s="174"/>
      <c r="B263" s="175"/>
      <c r="C263" s="175"/>
      <c r="D263" s="175"/>
      <c r="E263" s="175"/>
      <c r="F263" s="175"/>
      <c r="G263" s="175"/>
      <c r="H263" s="175"/>
      <c r="I263" s="175"/>
      <c r="N263" s="110" t="s">
        <v>629</v>
      </c>
    </row>
    <row r="264" spans="1:14" x14ac:dyDescent="0.2">
      <c r="A264" s="174"/>
      <c r="B264" s="175"/>
      <c r="C264" s="175"/>
      <c r="D264" s="175"/>
      <c r="E264" s="175"/>
      <c r="F264" s="175"/>
      <c r="G264" s="175"/>
      <c r="H264" s="175"/>
      <c r="I264" s="175"/>
      <c r="N264" s="110" t="s">
        <v>484</v>
      </c>
    </row>
    <row r="265" spans="1:14" x14ac:dyDescent="0.2">
      <c r="A265" s="174"/>
      <c r="B265" s="175"/>
      <c r="C265" s="175"/>
      <c r="D265" s="175"/>
      <c r="E265" s="175"/>
      <c r="F265" s="175"/>
      <c r="G265" s="175"/>
      <c r="H265" s="175"/>
      <c r="I265" s="175"/>
      <c r="N265" s="110" t="s">
        <v>485</v>
      </c>
    </row>
    <row r="266" spans="1:14" x14ac:dyDescent="0.2">
      <c r="A266" s="174"/>
      <c r="B266" s="175"/>
      <c r="C266" s="175"/>
      <c r="D266" s="175"/>
      <c r="E266" s="175"/>
      <c r="F266" s="175"/>
      <c r="G266" s="175"/>
      <c r="H266" s="175"/>
      <c r="I266" s="175"/>
      <c r="N266" s="110" t="s">
        <v>486</v>
      </c>
    </row>
    <row r="267" spans="1:14" x14ac:dyDescent="0.2">
      <c r="A267" s="174"/>
      <c r="B267" s="175"/>
      <c r="C267" s="175"/>
      <c r="D267" s="175"/>
      <c r="E267" s="175"/>
      <c r="F267" s="175"/>
      <c r="G267" s="175"/>
      <c r="H267" s="175"/>
      <c r="I267" s="175"/>
      <c r="N267" s="110" t="s">
        <v>487</v>
      </c>
    </row>
    <row r="268" spans="1:14" x14ac:dyDescent="0.2">
      <c r="A268" s="174"/>
      <c r="B268" s="175"/>
      <c r="C268" s="175"/>
      <c r="D268" s="175"/>
      <c r="E268" s="175"/>
      <c r="F268" s="175"/>
      <c r="G268" s="175"/>
      <c r="H268" s="175"/>
      <c r="I268" s="175"/>
      <c r="N268" s="110" t="s">
        <v>488</v>
      </c>
    </row>
    <row r="269" spans="1:14" x14ac:dyDescent="0.2">
      <c r="A269" s="174"/>
      <c r="B269" s="175"/>
      <c r="C269" s="175"/>
      <c r="D269" s="175"/>
      <c r="E269" s="175"/>
      <c r="F269" s="175"/>
      <c r="G269" s="175"/>
      <c r="H269" s="175"/>
      <c r="I269" s="175"/>
      <c r="N269" s="110" t="s">
        <v>489</v>
      </c>
    </row>
    <row r="270" spans="1:14" x14ac:dyDescent="0.2">
      <c r="A270" s="174"/>
      <c r="B270" s="175"/>
      <c r="C270" s="175"/>
      <c r="D270" s="175"/>
      <c r="E270" s="175"/>
      <c r="F270" s="175"/>
      <c r="G270" s="175"/>
      <c r="H270" s="175"/>
      <c r="I270" s="175"/>
      <c r="N270" s="110" t="s">
        <v>490</v>
      </c>
    </row>
    <row r="271" spans="1:14" x14ac:dyDescent="0.2">
      <c r="A271" s="174"/>
      <c r="B271" s="175"/>
      <c r="C271" s="175"/>
      <c r="D271" s="175"/>
      <c r="E271" s="175"/>
      <c r="F271" s="175"/>
      <c r="G271" s="175"/>
      <c r="H271" s="175"/>
      <c r="I271" s="175"/>
      <c r="N271" s="110" t="s">
        <v>628</v>
      </c>
    </row>
    <row r="272" spans="1:14" x14ac:dyDescent="0.2">
      <c r="A272" s="174"/>
      <c r="B272" s="175"/>
      <c r="C272" s="175"/>
      <c r="D272" s="175"/>
      <c r="E272" s="175"/>
      <c r="F272" s="175"/>
      <c r="G272" s="175"/>
      <c r="H272" s="175"/>
      <c r="I272" s="175"/>
      <c r="N272" s="110" t="s">
        <v>491</v>
      </c>
    </row>
    <row r="273" spans="1:14" x14ac:dyDescent="0.2">
      <c r="A273" s="174"/>
      <c r="B273" s="175"/>
      <c r="C273" s="175"/>
      <c r="D273" s="175"/>
      <c r="E273" s="175"/>
      <c r="F273" s="175"/>
      <c r="G273" s="175"/>
      <c r="H273" s="175"/>
      <c r="I273" s="175"/>
      <c r="N273" s="110" t="s">
        <v>492</v>
      </c>
    </row>
    <row r="274" spans="1:14" x14ac:dyDescent="0.2">
      <c r="A274" s="174"/>
      <c r="B274" s="175"/>
      <c r="C274" s="175"/>
      <c r="D274" s="175"/>
      <c r="E274" s="175"/>
      <c r="F274" s="175"/>
      <c r="G274" s="175"/>
      <c r="H274" s="175"/>
      <c r="I274" s="175"/>
      <c r="N274" s="110" t="s">
        <v>493</v>
      </c>
    </row>
    <row r="275" spans="1:14" x14ac:dyDescent="0.2">
      <c r="A275" s="174"/>
      <c r="B275" s="175"/>
      <c r="C275" s="175"/>
      <c r="D275" s="175"/>
      <c r="E275" s="175"/>
      <c r="F275" s="175"/>
      <c r="G275" s="175"/>
      <c r="H275" s="175"/>
      <c r="I275" s="175"/>
      <c r="N275" s="110" t="s">
        <v>627</v>
      </c>
    </row>
    <row r="276" spans="1:14" x14ac:dyDescent="0.2">
      <c r="A276" s="174"/>
      <c r="B276" s="175"/>
      <c r="C276" s="175"/>
      <c r="D276" s="175"/>
      <c r="E276" s="175"/>
      <c r="F276" s="175"/>
      <c r="G276" s="175"/>
      <c r="H276" s="175"/>
      <c r="I276" s="175"/>
      <c r="N276" s="110" t="s">
        <v>494</v>
      </c>
    </row>
    <row r="277" spans="1:14" x14ac:dyDescent="0.2">
      <c r="A277" s="174"/>
      <c r="B277" s="175"/>
      <c r="C277" s="175"/>
      <c r="D277" s="175"/>
      <c r="E277" s="175"/>
      <c r="F277" s="175"/>
      <c r="G277" s="175"/>
      <c r="H277" s="175"/>
      <c r="I277" s="175"/>
      <c r="N277" s="110" t="s">
        <v>495</v>
      </c>
    </row>
    <row r="278" spans="1:14" x14ac:dyDescent="0.2">
      <c r="A278" s="174"/>
      <c r="B278" s="175"/>
      <c r="C278" s="175"/>
      <c r="D278" s="175"/>
      <c r="E278" s="175"/>
      <c r="F278" s="175"/>
      <c r="G278" s="175"/>
      <c r="H278" s="175"/>
      <c r="I278" s="175"/>
      <c r="N278" s="110" t="s">
        <v>496</v>
      </c>
    </row>
    <row r="279" spans="1:14" x14ac:dyDescent="0.2">
      <c r="A279" s="174"/>
      <c r="B279" s="175"/>
      <c r="C279" s="175"/>
      <c r="D279" s="175"/>
      <c r="E279" s="175"/>
      <c r="F279" s="175"/>
      <c r="G279" s="175"/>
      <c r="H279" s="175"/>
      <c r="I279" s="175"/>
      <c r="N279" s="110" t="s">
        <v>497</v>
      </c>
    </row>
    <row r="280" spans="1:14" x14ac:dyDescent="0.2">
      <c r="A280" s="174"/>
      <c r="B280" s="175"/>
      <c r="C280" s="175"/>
      <c r="D280" s="175"/>
      <c r="E280" s="175"/>
      <c r="F280" s="175"/>
      <c r="G280" s="175"/>
      <c r="H280" s="175"/>
      <c r="I280" s="175"/>
      <c r="N280" s="110" t="s">
        <v>498</v>
      </c>
    </row>
    <row r="281" spans="1:14" x14ac:dyDescent="0.2">
      <c r="A281" s="174"/>
      <c r="B281" s="175"/>
      <c r="C281" s="175"/>
      <c r="D281" s="175"/>
      <c r="E281" s="175"/>
      <c r="F281" s="175"/>
      <c r="G281" s="175"/>
      <c r="H281" s="175"/>
      <c r="I281" s="175"/>
      <c r="N281" s="110" t="s">
        <v>499</v>
      </c>
    </row>
    <row r="282" spans="1:14" x14ac:dyDescent="0.2">
      <c r="A282" s="174"/>
      <c r="B282" s="175"/>
      <c r="C282" s="175"/>
      <c r="D282" s="175"/>
      <c r="E282" s="175"/>
      <c r="F282" s="175"/>
      <c r="G282" s="175"/>
      <c r="H282" s="175"/>
      <c r="I282" s="175"/>
      <c r="N282" s="110" t="s">
        <v>500</v>
      </c>
    </row>
    <row r="283" spans="1:14" x14ac:dyDescent="0.2">
      <c r="A283" s="174"/>
      <c r="B283" s="175"/>
      <c r="C283" s="175"/>
      <c r="D283" s="175"/>
      <c r="E283" s="175"/>
      <c r="F283" s="175"/>
      <c r="G283" s="175"/>
      <c r="H283" s="175"/>
      <c r="I283" s="175"/>
      <c r="N283" s="110" t="s">
        <v>501</v>
      </c>
    </row>
    <row r="284" spans="1:14" x14ac:dyDescent="0.2">
      <c r="A284" s="174"/>
      <c r="B284" s="175"/>
      <c r="C284" s="175"/>
      <c r="D284" s="175"/>
      <c r="E284" s="175"/>
      <c r="F284" s="175"/>
      <c r="G284" s="175"/>
      <c r="H284" s="175"/>
      <c r="I284" s="175"/>
      <c r="N284" s="110" t="s">
        <v>502</v>
      </c>
    </row>
    <row r="285" spans="1:14" x14ac:dyDescent="0.2">
      <c r="A285" s="174"/>
      <c r="B285" s="175"/>
      <c r="C285" s="175"/>
      <c r="D285" s="175"/>
      <c r="E285" s="175"/>
      <c r="F285" s="175"/>
      <c r="G285" s="175"/>
      <c r="H285" s="175"/>
      <c r="I285" s="175"/>
      <c r="N285" s="110" t="s">
        <v>503</v>
      </c>
    </row>
    <row r="286" spans="1:14" x14ac:dyDescent="0.2">
      <c r="A286" s="174"/>
      <c r="B286" s="175"/>
      <c r="C286" s="175"/>
      <c r="D286" s="175"/>
      <c r="E286" s="175"/>
      <c r="F286" s="175"/>
      <c r="G286" s="175"/>
      <c r="H286" s="175"/>
      <c r="I286" s="175"/>
      <c r="N286" s="110" t="s">
        <v>504</v>
      </c>
    </row>
    <row r="287" spans="1:14" x14ac:dyDescent="0.2">
      <c r="A287" s="174"/>
      <c r="B287" s="175"/>
      <c r="C287" s="175"/>
      <c r="D287" s="175"/>
      <c r="E287" s="175"/>
      <c r="F287" s="175"/>
      <c r="G287" s="175"/>
      <c r="H287" s="175"/>
      <c r="I287" s="175"/>
      <c r="N287" s="110" t="s">
        <v>505</v>
      </c>
    </row>
    <row r="288" spans="1:14" x14ac:dyDescent="0.2">
      <c r="A288" s="174"/>
      <c r="B288" s="175"/>
      <c r="C288" s="175"/>
      <c r="D288" s="175"/>
      <c r="E288" s="175"/>
      <c r="F288" s="175"/>
      <c r="G288" s="175"/>
      <c r="H288" s="175"/>
      <c r="I288" s="175"/>
      <c r="N288" s="110" t="s">
        <v>506</v>
      </c>
    </row>
    <row r="289" spans="1:14" x14ac:dyDescent="0.2">
      <c r="A289" s="174"/>
      <c r="B289" s="175"/>
      <c r="C289" s="175"/>
      <c r="D289" s="175"/>
      <c r="E289" s="175"/>
      <c r="F289" s="175"/>
      <c r="G289" s="175"/>
      <c r="H289" s="175"/>
      <c r="I289" s="175"/>
      <c r="N289" s="110" t="s">
        <v>507</v>
      </c>
    </row>
    <row r="290" spans="1:14" x14ac:dyDescent="0.2">
      <c r="A290" s="174"/>
      <c r="B290" s="175"/>
      <c r="C290" s="175"/>
      <c r="D290" s="175"/>
      <c r="E290" s="175"/>
      <c r="F290" s="175"/>
      <c r="G290" s="175"/>
      <c r="H290" s="175"/>
      <c r="I290" s="175"/>
      <c r="N290" s="110" t="s">
        <v>508</v>
      </c>
    </row>
    <row r="291" spans="1:14" x14ac:dyDescent="0.2">
      <c r="A291" s="174"/>
      <c r="B291" s="175"/>
      <c r="C291" s="175"/>
      <c r="D291" s="175"/>
      <c r="E291" s="175"/>
      <c r="F291" s="175"/>
      <c r="G291" s="175"/>
      <c r="H291" s="175"/>
      <c r="I291" s="175"/>
      <c r="N291" s="110" t="s">
        <v>509</v>
      </c>
    </row>
    <row r="292" spans="1:14" x14ac:dyDescent="0.2">
      <c r="A292" s="174"/>
      <c r="B292" s="175"/>
      <c r="C292" s="175"/>
      <c r="D292" s="175"/>
      <c r="E292" s="175"/>
      <c r="F292" s="175"/>
      <c r="G292" s="175"/>
      <c r="H292" s="175"/>
      <c r="I292" s="175"/>
      <c r="N292" s="110" t="s">
        <v>510</v>
      </c>
    </row>
    <row r="293" spans="1:14" x14ac:dyDescent="0.2">
      <c r="A293" s="174"/>
      <c r="B293" s="175"/>
      <c r="C293" s="175"/>
      <c r="D293" s="175"/>
      <c r="E293" s="175"/>
      <c r="F293" s="175"/>
      <c r="G293" s="175"/>
      <c r="H293" s="175"/>
      <c r="I293" s="175"/>
      <c r="N293" s="110" t="s">
        <v>511</v>
      </c>
    </row>
    <row r="294" spans="1:14" x14ac:dyDescent="0.2">
      <c r="A294" s="174"/>
      <c r="B294" s="175"/>
      <c r="C294" s="175"/>
      <c r="D294" s="175"/>
      <c r="E294" s="175"/>
      <c r="F294" s="175"/>
      <c r="G294" s="175"/>
      <c r="H294" s="175"/>
      <c r="I294" s="175"/>
      <c r="N294" s="110" t="s">
        <v>512</v>
      </c>
    </row>
    <row r="295" spans="1:14" x14ac:dyDescent="0.2">
      <c r="A295" s="174"/>
      <c r="B295" s="175"/>
      <c r="C295" s="175"/>
      <c r="D295" s="175"/>
      <c r="E295" s="175"/>
      <c r="F295" s="175"/>
      <c r="G295" s="175"/>
      <c r="H295" s="175"/>
      <c r="I295" s="175"/>
      <c r="N295" s="110" t="s">
        <v>513</v>
      </c>
    </row>
    <row r="296" spans="1:14" x14ac:dyDescent="0.2">
      <c r="A296" s="174"/>
      <c r="B296" s="175"/>
      <c r="C296" s="175"/>
      <c r="D296" s="175"/>
      <c r="E296" s="175"/>
      <c r="F296" s="175"/>
      <c r="G296" s="175"/>
      <c r="H296" s="175"/>
      <c r="I296" s="175"/>
      <c r="N296" s="110" t="s">
        <v>513</v>
      </c>
    </row>
    <row r="297" spans="1:14" x14ac:dyDescent="0.2">
      <c r="A297" s="174"/>
      <c r="B297" s="175"/>
      <c r="C297" s="175"/>
      <c r="D297" s="175"/>
      <c r="E297" s="175"/>
      <c r="F297" s="175"/>
      <c r="G297" s="175"/>
      <c r="H297" s="175"/>
      <c r="I297" s="175"/>
      <c r="N297" s="110" t="s">
        <v>514</v>
      </c>
    </row>
    <row r="298" spans="1:14" x14ac:dyDescent="0.2">
      <c r="A298" s="174"/>
      <c r="B298" s="175"/>
      <c r="C298" s="175"/>
      <c r="D298" s="175"/>
      <c r="E298" s="175"/>
      <c r="F298" s="175"/>
      <c r="G298" s="175"/>
      <c r="H298" s="175"/>
      <c r="I298" s="175"/>
      <c r="N298" s="110" t="s">
        <v>515</v>
      </c>
    </row>
    <row r="299" spans="1:14" x14ac:dyDescent="0.2">
      <c r="A299" s="174"/>
      <c r="B299" s="175"/>
      <c r="C299" s="175"/>
      <c r="D299" s="175"/>
      <c r="E299" s="175"/>
      <c r="F299" s="175"/>
      <c r="G299" s="175"/>
      <c r="H299" s="175"/>
      <c r="I299" s="175"/>
      <c r="N299" s="110" t="s">
        <v>516</v>
      </c>
    </row>
    <row r="300" spans="1:14" x14ac:dyDescent="0.2">
      <c r="A300" s="174"/>
      <c r="B300" s="175"/>
      <c r="C300" s="175"/>
      <c r="D300" s="175"/>
      <c r="E300" s="175"/>
      <c r="F300" s="175"/>
      <c r="G300" s="175"/>
      <c r="H300" s="175"/>
      <c r="I300" s="175"/>
      <c r="N300" s="110" t="s">
        <v>517</v>
      </c>
    </row>
    <row r="301" spans="1:14" x14ac:dyDescent="0.2">
      <c r="A301" s="174"/>
      <c r="B301" s="175"/>
      <c r="C301" s="175"/>
      <c r="D301" s="175"/>
      <c r="E301" s="175"/>
      <c r="F301" s="175"/>
      <c r="G301" s="175"/>
      <c r="H301" s="175"/>
      <c r="I301" s="175"/>
      <c r="N301" s="110" t="s">
        <v>518</v>
      </c>
    </row>
    <row r="302" spans="1:14" x14ac:dyDescent="0.2">
      <c r="A302" s="174"/>
      <c r="B302" s="175"/>
      <c r="C302" s="175"/>
      <c r="D302" s="175"/>
      <c r="E302" s="175"/>
      <c r="F302" s="175"/>
      <c r="G302" s="175"/>
      <c r="H302" s="175"/>
      <c r="I302" s="175"/>
      <c r="N302" s="110" t="s">
        <v>519</v>
      </c>
    </row>
    <row r="303" spans="1:14" x14ac:dyDescent="0.2">
      <c r="A303" s="174"/>
      <c r="B303" s="175"/>
      <c r="C303" s="175"/>
      <c r="D303" s="175"/>
      <c r="E303" s="175"/>
      <c r="F303" s="175"/>
      <c r="G303" s="175"/>
      <c r="H303" s="175"/>
      <c r="I303" s="175"/>
      <c r="N303" s="110" t="s">
        <v>520</v>
      </c>
    </row>
    <row r="304" spans="1:14" x14ac:dyDescent="0.2">
      <c r="A304" s="174"/>
      <c r="B304" s="175"/>
      <c r="C304" s="175"/>
      <c r="D304" s="175"/>
      <c r="E304" s="175"/>
      <c r="F304" s="175"/>
      <c r="G304" s="175"/>
      <c r="H304" s="175"/>
      <c r="I304" s="175"/>
      <c r="N304" s="110" t="s">
        <v>626</v>
      </c>
    </row>
    <row r="305" spans="1:14" x14ac:dyDescent="0.2">
      <c r="A305" s="174"/>
      <c r="B305" s="175"/>
      <c r="C305" s="175"/>
      <c r="D305" s="175"/>
      <c r="E305" s="175"/>
      <c r="F305" s="175"/>
      <c r="G305" s="175"/>
      <c r="H305" s="175"/>
      <c r="I305" s="175"/>
      <c r="N305" s="110" t="s">
        <v>521</v>
      </c>
    </row>
    <row r="306" spans="1:14" x14ac:dyDescent="0.2">
      <c r="A306" s="174"/>
      <c r="B306" s="175"/>
      <c r="C306" s="175"/>
      <c r="D306" s="175"/>
      <c r="E306" s="175"/>
      <c r="F306" s="175"/>
      <c r="G306" s="175"/>
      <c r="H306" s="175"/>
      <c r="I306" s="175"/>
      <c r="N306" s="110" t="s">
        <v>522</v>
      </c>
    </row>
    <row r="307" spans="1:14" x14ac:dyDescent="0.2">
      <c r="A307" s="174"/>
      <c r="B307" s="175"/>
      <c r="C307" s="175"/>
      <c r="D307" s="175"/>
      <c r="E307" s="175"/>
      <c r="F307" s="175"/>
      <c r="G307" s="175"/>
      <c r="H307" s="175"/>
      <c r="I307" s="175"/>
      <c r="N307" s="110" t="s">
        <v>523</v>
      </c>
    </row>
    <row r="308" spans="1:14" x14ac:dyDescent="0.2">
      <c r="A308" s="174"/>
      <c r="B308" s="175"/>
      <c r="C308" s="175"/>
      <c r="D308" s="175"/>
      <c r="E308" s="175"/>
      <c r="F308" s="175"/>
      <c r="G308" s="175"/>
      <c r="H308" s="175"/>
      <c r="I308" s="175"/>
      <c r="N308" s="110" t="s">
        <v>525</v>
      </c>
    </row>
    <row r="309" spans="1:14" x14ac:dyDescent="0.2">
      <c r="A309" s="174"/>
      <c r="B309" s="175"/>
      <c r="C309" s="175"/>
      <c r="D309" s="175"/>
      <c r="E309" s="175"/>
      <c r="F309" s="175"/>
      <c r="G309" s="175"/>
      <c r="H309" s="175"/>
      <c r="I309" s="175"/>
      <c r="N309" s="110" t="s">
        <v>524</v>
      </c>
    </row>
    <row r="310" spans="1:14" x14ac:dyDescent="0.2">
      <c r="A310" s="174"/>
      <c r="B310" s="175"/>
      <c r="C310" s="175"/>
      <c r="D310" s="175"/>
      <c r="E310" s="175"/>
      <c r="F310" s="175"/>
      <c r="G310" s="175"/>
      <c r="H310" s="175"/>
      <c r="I310" s="175"/>
      <c r="N310" s="110" t="s">
        <v>526</v>
      </c>
    </row>
    <row r="311" spans="1:14" x14ac:dyDescent="0.2">
      <c r="A311" s="174"/>
      <c r="B311" s="175"/>
      <c r="C311" s="175"/>
      <c r="D311" s="175"/>
      <c r="E311" s="175"/>
      <c r="F311" s="175"/>
      <c r="G311" s="175"/>
      <c r="H311" s="175"/>
      <c r="I311" s="175"/>
      <c r="N311" s="110" t="s">
        <v>527</v>
      </c>
    </row>
    <row r="312" spans="1:14" x14ac:dyDescent="0.2">
      <c r="A312" s="174"/>
      <c r="B312" s="175"/>
      <c r="C312" s="175"/>
      <c r="D312" s="175"/>
      <c r="E312" s="175"/>
      <c r="F312" s="175"/>
      <c r="G312" s="175"/>
      <c r="H312" s="175"/>
      <c r="I312" s="175"/>
      <c r="N312" s="110" t="s">
        <v>528</v>
      </c>
    </row>
    <row r="313" spans="1:14" x14ac:dyDescent="0.2">
      <c r="A313" s="174"/>
      <c r="B313" s="175"/>
      <c r="C313" s="175"/>
      <c r="D313" s="175"/>
      <c r="E313" s="175"/>
      <c r="F313" s="175"/>
      <c r="G313" s="175"/>
      <c r="H313" s="175"/>
      <c r="I313" s="175"/>
      <c r="N313" s="110" t="s">
        <v>529</v>
      </c>
    </row>
    <row r="314" spans="1:14" x14ac:dyDescent="0.2">
      <c r="A314" s="174"/>
      <c r="B314" s="175"/>
      <c r="C314" s="175"/>
      <c r="D314" s="175"/>
      <c r="E314" s="175"/>
      <c r="F314" s="175"/>
      <c r="G314" s="175"/>
      <c r="H314" s="175"/>
      <c r="I314" s="175"/>
      <c r="N314" s="110" t="s">
        <v>530</v>
      </c>
    </row>
    <row r="315" spans="1:14" x14ac:dyDescent="0.2">
      <c r="A315" s="174"/>
      <c r="B315" s="175"/>
      <c r="C315" s="175"/>
      <c r="D315" s="175"/>
      <c r="E315" s="175"/>
      <c r="F315" s="175"/>
      <c r="G315" s="175"/>
      <c r="H315" s="175"/>
      <c r="I315" s="175"/>
      <c r="N315" s="110" t="s">
        <v>531</v>
      </c>
    </row>
    <row r="316" spans="1:14" x14ac:dyDescent="0.2">
      <c r="A316" s="174"/>
      <c r="B316" s="175"/>
      <c r="C316" s="175"/>
      <c r="D316" s="175"/>
      <c r="E316" s="175"/>
      <c r="F316" s="175"/>
      <c r="G316" s="175"/>
      <c r="H316" s="175"/>
      <c r="I316" s="175"/>
      <c r="N316" s="110" t="s">
        <v>408</v>
      </c>
    </row>
    <row r="317" spans="1:14" x14ac:dyDescent="0.2">
      <c r="A317" s="174"/>
      <c r="B317" s="175"/>
      <c r="C317" s="175"/>
      <c r="D317" s="175"/>
      <c r="E317" s="175"/>
      <c r="F317" s="175"/>
      <c r="G317" s="175"/>
      <c r="H317" s="175"/>
      <c r="I317" s="175"/>
      <c r="N317" s="110" t="s">
        <v>532</v>
      </c>
    </row>
    <row r="318" spans="1:14" x14ac:dyDescent="0.2">
      <c r="A318" s="174"/>
      <c r="B318" s="175"/>
      <c r="C318" s="175"/>
      <c r="D318" s="175"/>
      <c r="E318" s="175"/>
      <c r="F318" s="175"/>
      <c r="G318" s="175"/>
      <c r="H318" s="175"/>
      <c r="I318" s="175"/>
      <c r="N318" s="110" t="s">
        <v>533</v>
      </c>
    </row>
    <row r="319" spans="1:14" x14ac:dyDescent="0.2">
      <c r="A319" s="174"/>
      <c r="B319" s="175"/>
      <c r="C319" s="175"/>
      <c r="D319" s="175"/>
      <c r="E319" s="175"/>
      <c r="F319" s="175"/>
      <c r="G319" s="175"/>
      <c r="H319" s="175"/>
      <c r="I319" s="175"/>
      <c r="N319" s="110" t="s">
        <v>534</v>
      </c>
    </row>
    <row r="320" spans="1:14" x14ac:dyDescent="0.2">
      <c r="A320" s="174"/>
      <c r="B320" s="175"/>
      <c r="C320" s="175"/>
      <c r="D320" s="175"/>
      <c r="E320" s="175"/>
      <c r="F320" s="175"/>
      <c r="G320" s="175"/>
      <c r="H320" s="175"/>
      <c r="I320" s="175"/>
      <c r="N320" s="110" t="s">
        <v>535</v>
      </c>
    </row>
    <row r="321" spans="1:14" x14ac:dyDescent="0.2">
      <c r="A321" s="174"/>
      <c r="B321" s="175"/>
      <c r="C321" s="175"/>
      <c r="D321" s="175"/>
      <c r="E321" s="175"/>
      <c r="F321" s="175"/>
      <c r="G321" s="175"/>
      <c r="H321" s="175"/>
      <c r="I321" s="175"/>
      <c r="N321" s="110" t="s">
        <v>536</v>
      </c>
    </row>
    <row r="322" spans="1:14" x14ac:dyDescent="0.2">
      <c r="A322" s="174"/>
      <c r="B322" s="175"/>
      <c r="C322" s="175"/>
      <c r="D322" s="175"/>
      <c r="E322" s="175"/>
      <c r="F322" s="175"/>
      <c r="G322" s="175"/>
      <c r="H322" s="175"/>
      <c r="I322" s="175"/>
      <c r="N322" s="110" t="s">
        <v>537</v>
      </c>
    </row>
    <row r="323" spans="1:14" x14ac:dyDescent="0.2">
      <c r="A323" s="174"/>
      <c r="B323" s="175"/>
      <c r="C323" s="175"/>
      <c r="D323" s="175"/>
      <c r="E323" s="175"/>
      <c r="F323" s="175"/>
      <c r="G323" s="175"/>
      <c r="H323" s="175"/>
      <c r="I323" s="175"/>
      <c r="N323" s="110" t="s">
        <v>538</v>
      </c>
    </row>
    <row r="324" spans="1:14" x14ac:dyDescent="0.2">
      <c r="A324" s="174"/>
      <c r="B324" s="175"/>
      <c r="C324" s="175"/>
      <c r="D324" s="175"/>
      <c r="E324" s="175"/>
      <c r="F324" s="175"/>
      <c r="G324" s="175"/>
      <c r="H324" s="175"/>
      <c r="I324" s="175"/>
      <c r="N324" s="110" t="s">
        <v>539</v>
      </c>
    </row>
    <row r="325" spans="1:14" x14ac:dyDescent="0.2">
      <c r="A325" s="174"/>
      <c r="B325" s="175"/>
      <c r="C325" s="175"/>
      <c r="D325" s="175"/>
      <c r="E325" s="175"/>
      <c r="F325" s="175"/>
      <c r="G325" s="175"/>
      <c r="H325" s="175"/>
      <c r="I325" s="175"/>
      <c r="N325" s="110" t="s">
        <v>540</v>
      </c>
    </row>
    <row r="326" spans="1:14" x14ac:dyDescent="0.2">
      <c r="A326" s="174"/>
      <c r="B326" s="175"/>
      <c r="C326" s="175"/>
      <c r="D326" s="175"/>
      <c r="E326" s="175"/>
      <c r="F326" s="175"/>
      <c r="G326" s="175"/>
      <c r="H326" s="175"/>
      <c r="I326" s="175"/>
      <c r="N326" s="110" t="s">
        <v>541</v>
      </c>
    </row>
    <row r="327" spans="1:14" x14ac:dyDescent="0.2">
      <c r="A327" s="174"/>
      <c r="B327" s="175"/>
      <c r="C327" s="175"/>
      <c r="D327" s="175"/>
      <c r="E327" s="175"/>
      <c r="F327" s="175"/>
      <c r="G327" s="175"/>
      <c r="H327" s="175"/>
      <c r="I327" s="175"/>
      <c r="N327" s="110" t="s">
        <v>542</v>
      </c>
    </row>
    <row r="328" spans="1:14" x14ac:dyDescent="0.2">
      <c r="A328" s="174"/>
      <c r="B328" s="175"/>
      <c r="C328" s="175"/>
      <c r="D328" s="175"/>
      <c r="E328" s="175"/>
      <c r="F328" s="175"/>
      <c r="G328" s="175"/>
      <c r="H328" s="175"/>
      <c r="I328" s="175"/>
      <c r="N328" s="110" t="s">
        <v>543</v>
      </c>
    </row>
    <row r="329" spans="1:14" x14ac:dyDescent="0.2">
      <c r="A329" s="174"/>
      <c r="B329" s="175"/>
      <c r="C329" s="175"/>
      <c r="D329" s="175"/>
      <c r="E329" s="175"/>
      <c r="F329" s="175"/>
      <c r="G329" s="175"/>
      <c r="H329" s="175"/>
      <c r="I329" s="175"/>
      <c r="N329" s="110" t="s">
        <v>544</v>
      </c>
    </row>
    <row r="330" spans="1:14" x14ac:dyDescent="0.2">
      <c r="A330" s="174"/>
      <c r="B330" s="175"/>
      <c r="C330" s="175"/>
      <c r="D330" s="175"/>
      <c r="E330" s="175"/>
      <c r="F330" s="175"/>
      <c r="G330" s="175"/>
      <c r="H330" s="175"/>
      <c r="I330" s="175"/>
      <c r="N330" s="110" t="s">
        <v>545</v>
      </c>
    </row>
    <row r="331" spans="1:14" x14ac:dyDescent="0.2">
      <c r="A331" s="174"/>
      <c r="B331" s="175"/>
      <c r="C331" s="175"/>
      <c r="D331" s="175"/>
      <c r="E331" s="175"/>
      <c r="F331" s="175"/>
      <c r="G331" s="175"/>
      <c r="H331" s="175"/>
      <c r="I331" s="175"/>
      <c r="N331" s="110" t="s">
        <v>546</v>
      </c>
    </row>
    <row r="332" spans="1:14" x14ac:dyDescent="0.2">
      <c r="A332" s="174"/>
      <c r="B332" s="175"/>
      <c r="C332" s="175"/>
      <c r="D332" s="175"/>
      <c r="E332" s="175"/>
      <c r="F332" s="175"/>
      <c r="G332" s="175"/>
      <c r="H332" s="175"/>
      <c r="I332" s="175"/>
      <c r="N332" s="110" t="s">
        <v>547</v>
      </c>
    </row>
    <row r="333" spans="1:14" x14ac:dyDescent="0.2">
      <c r="A333" s="174"/>
      <c r="B333" s="175"/>
      <c r="C333" s="175"/>
      <c r="D333" s="175"/>
      <c r="E333" s="175"/>
      <c r="F333" s="175"/>
      <c r="G333" s="175"/>
      <c r="H333" s="175"/>
      <c r="I333" s="175"/>
      <c r="N333" s="110" t="s">
        <v>548</v>
      </c>
    </row>
    <row r="334" spans="1:14" x14ac:dyDescent="0.2">
      <c r="A334" s="174"/>
      <c r="B334" s="175"/>
      <c r="C334" s="175"/>
      <c r="D334" s="175"/>
      <c r="E334" s="175"/>
      <c r="F334" s="175"/>
      <c r="G334" s="175"/>
      <c r="H334" s="175"/>
      <c r="I334" s="175"/>
      <c r="N334" s="110" t="s">
        <v>549</v>
      </c>
    </row>
    <row r="335" spans="1:14" x14ac:dyDescent="0.2">
      <c r="A335" s="174"/>
      <c r="B335" s="175"/>
      <c r="C335" s="175"/>
      <c r="D335" s="175"/>
      <c r="E335" s="175"/>
      <c r="F335" s="175"/>
      <c r="G335" s="175"/>
      <c r="H335" s="175"/>
      <c r="I335" s="175"/>
      <c r="N335" s="110" t="s">
        <v>625</v>
      </c>
    </row>
    <row r="336" spans="1:14" x14ac:dyDescent="0.2">
      <c r="A336" s="174"/>
      <c r="B336" s="175"/>
      <c r="C336" s="175"/>
      <c r="D336" s="175"/>
      <c r="E336" s="175"/>
      <c r="F336" s="175"/>
      <c r="G336" s="175"/>
      <c r="H336" s="175"/>
      <c r="I336" s="175"/>
      <c r="N336" s="110" t="s">
        <v>550</v>
      </c>
    </row>
    <row r="337" spans="1:14" x14ac:dyDescent="0.2">
      <c r="A337" s="174"/>
      <c r="B337" s="175"/>
      <c r="C337" s="175"/>
      <c r="D337" s="175"/>
      <c r="E337" s="175"/>
      <c r="F337" s="175"/>
      <c r="G337" s="175"/>
      <c r="H337" s="175"/>
      <c r="I337" s="175"/>
      <c r="N337" s="110" t="s">
        <v>624</v>
      </c>
    </row>
    <row r="338" spans="1:14" x14ac:dyDescent="0.2">
      <c r="A338" s="174"/>
      <c r="B338" s="175"/>
      <c r="C338" s="175"/>
      <c r="D338" s="175"/>
      <c r="E338" s="175"/>
      <c r="F338" s="175"/>
      <c r="G338" s="175"/>
      <c r="H338" s="175"/>
      <c r="I338" s="175"/>
      <c r="N338" s="110" t="s">
        <v>551</v>
      </c>
    </row>
    <row r="339" spans="1:14" x14ac:dyDescent="0.2">
      <c r="A339" s="174"/>
      <c r="B339" s="175"/>
      <c r="C339" s="175"/>
      <c r="D339" s="175"/>
      <c r="E339" s="175"/>
      <c r="F339" s="175"/>
      <c r="G339" s="175"/>
      <c r="H339" s="175"/>
      <c r="I339" s="175"/>
      <c r="N339" s="110" t="s">
        <v>552</v>
      </c>
    </row>
    <row r="340" spans="1:14" x14ac:dyDescent="0.2">
      <c r="A340" s="174"/>
      <c r="B340" s="175"/>
      <c r="C340" s="175"/>
      <c r="D340" s="175"/>
      <c r="E340" s="175"/>
      <c r="F340" s="175"/>
      <c r="G340" s="175"/>
      <c r="H340" s="175"/>
      <c r="I340" s="175"/>
      <c r="N340" s="110" t="s">
        <v>553</v>
      </c>
    </row>
    <row r="341" spans="1:14" x14ac:dyDescent="0.2">
      <c r="A341" s="174"/>
      <c r="B341" s="175"/>
      <c r="C341" s="175"/>
      <c r="D341" s="175"/>
      <c r="E341" s="175"/>
      <c r="F341" s="175"/>
      <c r="G341" s="175"/>
      <c r="H341" s="175"/>
      <c r="I341" s="175"/>
      <c r="N341" s="110" t="s">
        <v>554</v>
      </c>
    </row>
    <row r="342" spans="1:14" x14ac:dyDescent="0.2">
      <c r="A342" s="174"/>
      <c r="B342" s="175"/>
      <c r="C342" s="175"/>
      <c r="D342" s="175"/>
      <c r="E342" s="175"/>
      <c r="F342" s="175"/>
      <c r="G342" s="175"/>
      <c r="H342" s="175"/>
      <c r="I342" s="175"/>
      <c r="N342" s="110" t="s">
        <v>555</v>
      </c>
    </row>
    <row r="343" spans="1:14" x14ac:dyDescent="0.2">
      <c r="A343" s="174"/>
      <c r="B343" s="175"/>
      <c r="C343" s="175"/>
      <c r="D343" s="175"/>
      <c r="E343" s="175"/>
      <c r="F343" s="175"/>
      <c r="G343" s="175"/>
      <c r="H343" s="175"/>
      <c r="I343" s="175"/>
      <c r="N343" s="110" t="s">
        <v>556</v>
      </c>
    </row>
    <row r="344" spans="1:14" x14ac:dyDescent="0.2">
      <c r="A344" s="174"/>
      <c r="B344" s="175"/>
      <c r="C344" s="175"/>
      <c r="D344" s="175"/>
      <c r="E344" s="175"/>
      <c r="F344" s="175"/>
      <c r="G344" s="175"/>
      <c r="H344" s="175"/>
      <c r="I344" s="175"/>
      <c r="N344" s="110" t="s">
        <v>557</v>
      </c>
    </row>
    <row r="345" spans="1:14" x14ac:dyDescent="0.2">
      <c r="A345" s="174"/>
      <c r="B345" s="175"/>
      <c r="C345" s="175"/>
      <c r="D345" s="175"/>
      <c r="E345" s="175"/>
      <c r="F345" s="175"/>
      <c r="G345" s="175"/>
      <c r="H345" s="175"/>
      <c r="I345" s="175"/>
      <c r="N345" s="110" t="s">
        <v>558</v>
      </c>
    </row>
    <row r="346" spans="1:14" x14ac:dyDescent="0.2">
      <c r="A346" s="174"/>
      <c r="B346" s="175"/>
      <c r="C346" s="175"/>
      <c r="D346" s="175"/>
      <c r="E346" s="175"/>
      <c r="F346" s="175"/>
      <c r="G346" s="175"/>
      <c r="H346" s="175"/>
      <c r="I346" s="175"/>
      <c r="N346" s="110" t="s">
        <v>559</v>
      </c>
    </row>
    <row r="347" spans="1:14" x14ac:dyDescent="0.2">
      <c r="A347" s="174"/>
      <c r="B347" s="175"/>
      <c r="C347" s="175"/>
      <c r="D347" s="175"/>
      <c r="E347" s="175"/>
      <c r="F347" s="175"/>
      <c r="G347" s="175"/>
      <c r="H347" s="175"/>
      <c r="I347" s="175"/>
      <c r="N347" s="110" t="s">
        <v>560</v>
      </c>
    </row>
    <row r="348" spans="1:14" x14ac:dyDescent="0.2">
      <c r="A348" s="174"/>
      <c r="B348" s="175"/>
      <c r="C348" s="175"/>
      <c r="D348" s="175"/>
      <c r="E348" s="175"/>
      <c r="F348" s="175"/>
      <c r="G348" s="175"/>
      <c r="H348" s="175"/>
      <c r="I348" s="175"/>
      <c r="N348" s="110" t="s">
        <v>561</v>
      </c>
    </row>
    <row r="349" spans="1:14" x14ac:dyDescent="0.2">
      <c r="A349" s="174"/>
      <c r="B349" s="175"/>
      <c r="C349" s="175"/>
      <c r="D349" s="175"/>
      <c r="E349" s="175"/>
      <c r="F349" s="175"/>
      <c r="G349" s="175"/>
      <c r="H349" s="175"/>
      <c r="I349" s="175"/>
      <c r="N349" s="110" t="s">
        <v>562</v>
      </c>
    </row>
    <row r="350" spans="1:14" x14ac:dyDescent="0.2">
      <c r="A350" s="174"/>
      <c r="B350" s="175"/>
      <c r="C350" s="175"/>
      <c r="D350" s="175"/>
      <c r="E350" s="175"/>
      <c r="F350" s="175"/>
      <c r="G350" s="175"/>
      <c r="H350" s="175"/>
      <c r="I350" s="175"/>
      <c r="N350" s="110" t="s">
        <v>563</v>
      </c>
    </row>
    <row r="351" spans="1:14" x14ac:dyDescent="0.2">
      <c r="A351" s="174"/>
      <c r="B351" s="175"/>
      <c r="C351" s="175"/>
      <c r="D351" s="175"/>
      <c r="E351" s="175"/>
      <c r="F351" s="175"/>
      <c r="G351" s="175"/>
      <c r="H351" s="175"/>
      <c r="I351" s="175"/>
      <c r="N351" s="110" t="s">
        <v>564</v>
      </c>
    </row>
    <row r="352" spans="1:14" x14ac:dyDescent="0.2">
      <c r="A352" s="174"/>
      <c r="B352" s="175"/>
      <c r="C352" s="175"/>
      <c r="D352" s="175"/>
      <c r="E352" s="175"/>
      <c r="F352" s="175"/>
      <c r="G352" s="175"/>
      <c r="H352" s="175"/>
      <c r="I352" s="175"/>
      <c r="N352" s="110" t="s">
        <v>565</v>
      </c>
    </row>
    <row r="353" spans="1:14" x14ac:dyDescent="0.2">
      <c r="A353" s="174"/>
      <c r="B353" s="175"/>
      <c r="C353" s="175"/>
      <c r="D353" s="175"/>
      <c r="E353" s="175"/>
      <c r="F353" s="175"/>
      <c r="G353" s="175"/>
      <c r="H353" s="175"/>
      <c r="I353" s="175"/>
      <c r="N353" s="110" t="s">
        <v>566</v>
      </c>
    </row>
    <row r="354" spans="1:14" x14ac:dyDescent="0.2">
      <c r="A354" s="174"/>
      <c r="B354" s="175"/>
      <c r="C354" s="175"/>
      <c r="D354" s="175"/>
      <c r="E354" s="175"/>
      <c r="F354" s="175"/>
      <c r="G354" s="175"/>
      <c r="H354" s="175"/>
      <c r="I354" s="175"/>
      <c r="N354" s="110" t="s">
        <v>567</v>
      </c>
    </row>
    <row r="355" spans="1:14" x14ac:dyDescent="0.2">
      <c r="A355" s="174"/>
      <c r="B355" s="175"/>
      <c r="C355" s="175"/>
      <c r="D355" s="175"/>
      <c r="E355" s="175"/>
      <c r="F355" s="175"/>
      <c r="G355" s="175"/>
      <c r="H355" s="175"/>
      <c r="I355" s="175"/>
      <c r="N355" s="110" t="s">
        <v>568</v>
      </c>
    </row>
    <row r="356" spans="1:14" x14ac:dyDescent="0.2">
      <c r="A356" s="174"/>
      <c r="B356" s="175"/>
      <c r="C356" s="175"/>
      <c r="D356" s="175"/>
      <c r="E356" s="175"/>
      <c r="F356" s="175"/>
      <c r="G356" s="175"/>
      <c r="N356" s="110" t="s">
        <v>569</v>
      </c>
    </row>
    <row r="357" spans="1:14" x14ac:dyDescent="0.2">
      <c r="A357" s="174"/>
      <c r="B357" s="175"/>
      <c r="C357" s="175"/>
      <c r="D357" s="175"/>
      <c r="E357" s="175"/>
      <c r="F357" s="175"/>
      <c r="G357" s="175"/>
      <c r="N357" s="110" t="s">
        <v>570</v>
      </c>
    </row>
    <row r="358" spans="1:14" x14ac:dyDescent="0.2">
      <c r="A358" s="174"/>
      <c r="B358" s="175"/>
      <c r="C358" s="175"/>
      <c r="D358" s="175"/>
      <c r="E358" s="175"/>
      <c r="F358" s="175"/>
      <c r="G358" s="175"/>
      <c r="N358" s="110" t="s">
        <v>571</v>
      </c>
    </row>
    <row r="359" spans="1:14" x14ac:dyDescent="0.2">
      <c r="A359" s="174"/>
      <c r="B359" s="175"/>
      <c r="C359" s="175"/>
      <c r="D359" s="175"/>
      <c r="E359" s="175"/>
      <c r="F359" s="175"/>
      <c r="G359" s="175"/>
      <c r="N359" s="110" t="s">
        <v>623</v>
      </c>
    </row>
    <row r="360" spans="1:14" x14ac:dyDescent="0.2">
      <c r="A360" s="174"/>
      <c r="B360" s="175"/>
      <c r="C360" s="175"/>
      <c r="D360" s="175"/>
      <c r="E360" s="175"/>
      <c r="F360" s="175"/>
      <c r="G360" s="175"/>
      <c r="N360" s="110" t="s">
        <v>622</v>
      </c>
    </row>
    <row r="361" spans="1:14" x14ac:dyDescent="0.2">
      <c r="A361" s="174"/>
      <c r="B361" s="175"/>
      <c r="C361" s="175"/>
      <c r="D361" s="175"/>
      <c r="E361" s="175"/>
      <c r="F361" s="175"/>
      <c r="G361" s="175"/>
      <c r="N361" s="110" t="s">
        <v>621</v>
      </c>
    </row>
    <row r="362" spans="1:14" x14ac:dyDescent="0.2">
      <c r="A362" s="174"/>
      <c r="B362" s="175"/>
      <c r="C362" s="175"/>
      <c r="D362" s="175"/>
      <c r="E362" s="175"/>
      <c r="F362" s="175"/>
      <c r="G362" s="175"/>
      <c r="N362" s="110" t="s">
        <v>620</v>
      </c>
    </row>
    <row r="363" spans="1:14" x14ac:dyDescent="0.2">
      <c r="A363" s="174"/>
      <c r="B363" s="175"/>
      <c r="C363" s="175"/>
      <c r="D363" s="175"/>
      <c r="E363" s="175"/>
      <c r="F363" s="175"/>
      <c r="G363" s="175"/>
      <c r="N363" s="110" t="s">
        <v>619</v>
      </c>
    </row>
    <row r="364" spans="1:14" x14ac:dyDescent="0.2">
      <c r="A364" s="174"/>
      <c r="B364" s="175"/>
      <c r="C364" s="175"/>
      <c r="D364" s="175"/>
      <c r="E364" s="175"/>
      <c r="F364" s="175"/>
      <c r="G364" s="175"/>
      <c r="N364" s="110" t="s">
        <v>618</v>
      </c>
    </row>
    <row r="365" spans="1:14" x14ac:dyDescent="0.2">
      <c r="A365" s="174"/>
      <c r="B365" s="175"/>
      <c r="C365" s="175"/>
      <c r="D365" s="175"/>
      <c r="E365" s="175"/>
      <c r="F365" s="175"/>
      <c r="G365" s="175"/>
      <c r="N365" s="110" t="s">
        <v>372</v>
      </c>
    </row>
    <row r="366" spans="1:14" x14ac:dyDescent="0.2">
      <c r="A366" s="174"/>
      <c r="B366" s="175"/>
      <c r="C366" s="175"/>
      <c r="D366" s="175"/>
      <c r="E366" s="175"/>
      <c r="F366" s="175"/>
      <c r="G366" s="175"/>
      <c r="N366" s="110" t="s">
        <v>572</v>
      </c>
    </row>
    <row r="367" spans="1:14" x14ac:dyDescent="0.2">
      <c r="A367" s="174"/>
      <c r="B367" s="175"/>
      <c r="C367" s="175"/>
      <c r="D367" s="175"/>
      <c r="E367" s="175"/>
      <c r="F367" s="175"/>
      <c r="G367" s="175"/>
      <c r="N367" s="110" t="s">
        <v>573</v>
      </c>
    </row>
    <row r="368" spans="1:14" x14ac:dyDescent="0.2">
      <c r="A368" s="174"/>
      <c r="B368" s="175"/>
      <c r="C368" s="175"/>
      <c r="D368" s="175"/>
      <c r="E368" s="175"/>
      <c r="F368" s="175"/>
      <c r="G368" s="175"/>
      <c r="N368" s="110" t="s">
        <v>574</v>
      </c>
    </row>
    <row r="369" spans="1:14" x14ac:dyDescent="0.2">
      <c r="A369" s="174"/>
      <c r="B369" s="175"/>
      <c r="C369" s="175"/>
      <c r="D369" s="175"/>
      <c r="E369" s="175"/>
      <c r="F369" s="175"/>
      <c r="G369" s="175"/>
      <c r="N369" s="110" t="s">
        <v>575</v>
      </c>
    </row>
    <row r="370" spans="1:14" x14ac:dyDescent="0.2">
      <c r="A370" s="174"/>
      <c r="B370" s="175"/>
      <c r="C370" s="175"/>
      <c r="D370" s="175"/>
      <c r="E370" s="175"/>
      <c r="F370" s="175"/>
      <c r="G370" s="175"/>
      <c r="N370" s="110" t="s">
        <v>576</v>
      </c>
    </row>
    <row r="371" spans="1:14" x14ac:dyDescent="0.2">
      <c r="A371" s="174"/>
      <c r="B371" s="175"/>
      <c r="C371" s="175"/>
      <c r="D371" s="175"/>
      <c r="E371" s="175"/>
      <c r="F371" s="175"/>
      <c r="G371" s="175"/>
      <c r="N371" s="110" t="s">
        <v>577</v>
      </c>
    </row>
    <row r="372" spans="1:14" x14ac:dyDescent="0.2">
      <c r="A372" s="174"/>
      <c r="B372" s="175"/>
      <c r="C372" s="175"/>
      <c r="D372" s="175"/>
      <c r="E372" s="175"/>
      <c r="F372" s="175"/>
      <c r="G372" s="175"/>
      <c r="N372" s="110" t="s">
        <v>578</v>
      </c>
    </row>
    <row r="373" spans="1:14" x14ac:dyDescent="0.2">
      <c r="A373" s="174"/>
      <c r="B373" s="175"/>
      <c r="C373" s="175"/>
      <c r="D373" s="175"/>
      <c r="E373" s="175"/>
      <c r="F373" s="175"/>
      <c r="G373" s="175"/>
      <c r="N373" s="110" t="s">
        <v>579</v>
      </c>
    </row>
    <row r="374" spans="1:14" x14ac:dyDescent="0.2">
      <c r="A374" s="174"/>
      <c r="B374" s="175"/>
      <c r="C374" s="175"/>
      <c r="D374" s="175"/>
      <c r="E374" s="175"/>
      <c r="F374" s="175"/>
      <c r="G374" s="175"/>
      <c r="N374" s="110" t="s">
        <v>580</v>
      </c>
    </row>
    <row r="375" spans="1:14" x14ac:dyDescent="0.2">
      <c r="A375" s="174"/>
      <c r="B375" s="175"/>
      <c r="C375" s="175"/>
      <c r="D375" s="175"/>
      <c r="E375" s="175"/>
      <c r="F375" s="175"/>
      <c r="G375" s="175"/>
      <c r="N375" s="110" t="s">
        <v>581</v>
      </c>
    </row>
    <row r="376" spans="1:14" x14ac:dyDescent="0.2">
      <c r="A376" s="174"/>
      <c r="B376" s="175"/>
      <c r="C376" s="175"/>
      <c r="D376" s="175"/>
      <c r="E376" s="175"/>
      <c r="F376" s="175"/>
      <c r="G376" s="175"/>
      <c r="N376" s="110" t="s">
        <v>582</v>
      </c>
    </row>
    <row r="377" spans="1:14" x14ac:dyDescent="0.2">
      <c r="A377" s="174"/>
      <c r="B377" s="175"/>
      <c r="C377" s="175"/>
      <c r="D377" s="175"/>
      <c r="E377" s="175"/>
      <c r="F377" s="175"/>
      <c r="G377" s="175"/>
      <c r="N377" s="110" t="s">
        <v>583</v>
      </c>
    </row>
    <row r="378" spans="1:14" x14ac:dyDescent="0.2">
      <c r="A378" s="174"/>
      <c r="B378" s="175"/>
      <c r="C378" s="175"/>
      <c r="D378" s="175"/>
      <c r="E378" s="175"/>
      <c r="F378" s="175"/>
      <c r="G378" s="175"/>
      <c r="N378" s="110" t="s">
        <v>410</v>
      </c>
    </row>
    <row r="379" spans="1:14" x14ac:dyDescent="0.2">
      <c r="A379" s="174"/>
      <c r="B379" s="175"/>
      <c r="C379" s="175"/>
      <c r="D379" s="175"/>
      <c r="E379" s="175"/>
      <c r="F379" s="175"/>
      <c r="G379" s="175"/>
      <c r="N379" s="110" t="s">
        <v>584</v>
      </c>
    </row>
    <row r="380" spans="1:14" x14ac:dyDescent="0.2">
      <c r="A380" s="174"/>
      <c r="B380" s="175"/>
      <c r="C380" s="175"/>
      <c r="D380" s="175"/>
      <c r="E380" s="175"/>
      <c r="F380" s="175"/>
      <c r="G380" s="175"/>
      <c r="N380" s="110" t="s">
        <v>585</v>
      </c>
    </row>
    <row r="381" spans="1:14" x14ac:dyDescent="0.2">
      <c r="A381" s="174"/>
      <c r="B381" s="175"/>
      <c r="C381" s="175"/>
      <c r="D381" s="175"/>
      <c r="E381" s="175"/>
      <c r="F381" s="175"/>
      <c r="G381" s="175"/>
      <c r="N381" s="110" t="s">
        <v>617</v>
      </c>
    </row>
    <row r="382" spans="1:14" x14ac:dyDescent="0.2">
      <c r="A382" s="174"/>
      <c r="B382" s="175"/>
      <c r="C382" s="175"/>
      <c r="D382" s="175"/>
      <c r="E382" s="175"/>
      <c r="F382" s="175"/>
      <c r="G382" s="175"/>
      <c r="N382" s="110" t="s">
        <v>586</v>
      </c>
    </row>
    <row r="383" spans="1:14" x14ac:dyDescent="0.2">
      <c r="A383" s="174"/>
      <c r="B383" s="175"/>
      <c r="C383" s="175"/>
      <c r="D383" s="175"/>
      <c r="E383" s="175"/>
      <c r="F383" s="175"/>
      <c r="G383" s="175"/>
      <c r="N383" s="110" t="s">
        <v>587</v>
      </c>
    </row>
    <row r="384" spans="1:14" x14ac:dyDescent="0.2">
      <c r="A384" s="174"/>
      <c r="B384" s="175"/>
      <c r="C384" s="175"/>
      <c r="D384" s="175"/>
      <c r="E384" s="175"/>
      <c r="F384" s="175"/>
      <c r="G384" s="175"/>
      <c r="N384" s="110" t="s">
        <v>616</v>
      </c>
    </row>
    <row r="385" spans="3:14" x14ac:dyDescent="0.2">
      <c r="C385" s="175"/>
      <c r="N385" s="110" t="s">
        <v>588</v>
      </c>
    </row>
    <row r="386" spans="3:14" x14ac:dyDescent="0.2">
      <c r="N386" s="110" t="s">
        <v>589</v>
      </c>
    </row>
    <row r="387" spans="3:14" x14ac:dyDescent="0.2">
      <c r="N387" s="110" t="s">
        <v>615</v>
      </c>
    </row>
    <row r="388" spans="3:14" x14ac:dyDescent="0.2">
      <c r="N388" s="110" t="s">
        <v>590</v>
      </c>
    </row>
    <row r="389" spans="3:14" x14ac:dyDescent="0.2">
      <c r="N389" s="110" t="s">
        <v>591</v>
      </c>
    </row>
    <row r="390" spans="3:14" x14ac:dyDescent="0.2">
      <c r="N390" s="110" t="s">
        <v>592</v>
      </c>
    </row>
    <row r="391" spans="3:14" x14ac:dyDescent="0.2">
      <c r="N391" s="110" t="s">
        <v>593</v>
      </c>
    </row>
    <row r="392" spans="3:14" x14ac:dyDescent="0.2">
      <c r="N392" s="110" t="s">
        <v>594</v>
      </c>
    </row>
    <row r="393" spans="3:14" x14ac:dyDescent="0.2">
      <c r="N393" s="110" t="s">
        <v>595</v>
      </c>
    </row>
    <row r="394" spans="3:14" x14ac:dyDescent="0.2">
      <c r="N394" s="110" t="s">
        <v>596</v>
      </c>
    </row>
    <row r="395" spans="3:14" x14ac:dyDescent="0.2">
      <c r="N395" s="110" t="s">
        <v>597</v>
      </c>
    </row>
    <row r="396" spans="3:14" x14ac:dyDescent="0.2">
      <c r="N396" s="110" t="s">
        <v>598</v>
      </c>
    </row>
  </sheetData>
  <sheetProtection sheet="1" objects="1" scenarios="1"/>
  <mergeCells count="2">
    <mergeCell ref="B5:C5"/>
    <mergeCell ref="B7:D7"/>
  </mergeCells>
  <conditionalFormatting sqref="B173:B384">
    <cfRule type="expression" dxfId="10" priority="10" stopIfTrue="1">
      <formula>A173&lt;&gt;""</formula>
    </cfRule>
  </conditionalFormatting>
  <conditionalFormatting sqref="C173:C385">
    <cfRule type="expression" dxfId="9" priority="9" stopIfTrue="1">
      <formula>A173&lt;&gt;""</formula>
    </cfRule>
  </conditionalFormatting>
  <conditionalFormatting sqref="D173:D384">
    <cfRule type="expression" dxfId="8" priority="7" stopIfTrue="1">
      <formula>OR(C173="date",C173="text")</formula>
    </cfRule>
    <cfRule type="expression" dxfId="7" priority="8" stopIfTrue="1">
      <formula>OR(C173="number")</formula>
    </cfRule>
  </conditionalFormatting>
  <conditionalFormatting sqref="E173:E384">
    <cfRule type="expression" dxfId="6" priority="5" stopIfTrue="1">
      <formula>OR(C173="number",C173="text")</formula>
    </cfRule>
    <cfRule type="expression" dxfId="5" priority="6" stopIfTrue="1">
      <formula>OR(C173="datetime")</formula>
    </cfRule>
  </conditionalFormatting>
  <conditionalFormatting sqref="F173:G384">
    <cfRule type="expression" dxfId="4" priority="3" stopIfTrue="1">
      <formula>OR($C173="number", $C173="text")</formula>
    </cfRule>
    <cfRule type="expression" dxfId="3" priority="4" stopIfTrue="1">
      <formula>OR($C173="date")</formula>
    </cfRule>
  </conditionalFormatting>
  <conditionalFormatting sqref="B48:I48">
    <cfRule type="expression" dxfId="2" priority="2" stopIfTrue="1">
      <formula>NOT(ISBLANK($B$50:$B$57))</formula>
    </cfRule>
  </conditionalFormatting>
  <conditionalFormatting sqref="B55:AO58">
    <cfRule type="expression" dxfId="1" priority="1" stopIfTrue="1">
      <formula>NOT(ISBLANK($B$50:$B$57))</formula>
    </cfRule>
  </conditionalFormatting>
  <dataValidations count="5">
    <dataValidation type="list" errorStyle="warning" allowBlank="1" showInputMessage="1" showErrorMessage="1" error="If unit is not in the list, enter it in a similar style" promptTitle="Unit" prompt="For a Number Data Type please select from list.  If it is not in the list then enter it using a format similar to other units in the list." sqref="D173:D384 WVL983213:WVL983424 WLP983213:WLP983424 WBT983213:WBT983424 VRX983213:VRX983424 VIB983213:VIB983424 UYF983213:UYF983424 UOJ983213:UOJ983424 UEN983213:UEN983424 TUR983213:TUR983424 TKV983213:TKV983424 TAZ983213:TAZ983424 SRD983213:SRD983424 SHH983213:SHH983424 RXL983213:RXL983424 RNP983213:RNP983424 RDT983213:RDT983424 QTX983213:QTX983424 QKB983213:QKB983424 QAF983213:QAF983424 PQJ983213:PQJ983424 PGN983213:PGN983424 OWR983213:OWR983424 OMV983213:OMV983424 OCZ983213:OCZ983424 NTD983213:NTD983424 NJH983213:NJH983424 MZL983213:MZL983424 MPP983213:MPP983424 MFT983213:MFT983424 LVX983213:LVX983424 LMB983213:LMB983424 LCF983213:LCF983424 KSJ983213:KSJ983424 KIN983213:KIN983424 JYR983213:JYR983424 JOV983213:JOV983424 JEZ983213:JEZ983424 IVD983213:IVD983424 ILH983213:ILH983424 IBL983213:IBL983424 HRP983213:HRP983424 HHT983213:HHT983424 GXX983213:GXX983424 GOB983213:GOB983424 GEF983213:GEF983424 FUJ983213:FUJ983424 FKN983213:FKN983424 FAR983213:FAR983424 EQV983213:EQV983424 EGZ983213:EGZ983424 DXD983213:DXD983424 DNH983213:DNH983424 DDL983213:DDL983424 CTP983213:CTP983424 CJT983213:CJT983424 BZX983213:BZX983424 BQB983213:BQB983424 BGF983213:BGF983424 AWJ983213:AWJ983424 AMN983213:AMN983424 ACR983213:ACR983424 SV983213:SV983424 IZ983213:IZ983424 D983213:D983424 WVL917677:WVL917888 WLP917677:WLP917888 WBT917677:WBT917888 VRX917677:VRX917888 VIB917677:VIB917888 UYF917677:UYF917888 UOJ917677:UOJ917888 UEN917677:UEN917888 TUR917677:TUR917888 TKV917677:TKV917888 TAZ917677:TAZ917888 SRD917677:SRD917888 SHH917677:SHH917888 RXL917677:RXL917888 RNP917677:RNP917888 RDT917677:RDT917888 QTX917677:QTX917888 QKB917677:QKB917888 QAF917677:QAF917888 PQJ917677:PQJ917888 PGN917677:PGN917888 OWR917677:OWR917888 OMV917677:OMV917888 OCZ917677:OCZ917888 NTD917677:NTD917888 NJH917677:NJH917888 MZL917677:MZL917888 MPP917677:MPP917888 MFT917677:MFT917888 LVX917677:LVX917888 LMB917677:LMB917888 LCF917677:LCF917888 KSJ917677:KSJ917888 KIN917677:KIN917888 JYR917677:JYR917888 JOV917677:JOV917888 JEZ917677:JEZ917888 IVD917677:IVD917888 ILH917677:ILH917888 IBL917677:IBL917888 HRP917677:HRP917888 HHT917677:HHT917888 GXX917677:GXX917888 GOB917677:GOB917888 GEF917677:GEF917888 FUJ917677:FUJ917888 FKN917677:FKN917888 FAR917677:FAR917888 EQV917677:EQV917888 EGZ917677:EGZ917888 DXD917677:DXD917888 DNH917677:DNH917888 DDL917677:DDL917888 CTP917677:CTP917888 CJT917677:CJT917888 BZX917677:BZX917888 BQB917677:BQB917888 BGF917677:BGF917888 AWJ917677:AWJ917888 AMN917677:AMN917888 ACR917677:ACR917888 SV917677:SV917888 IZ917677:IZ917888 D917677:D917888 WVL852141:WVL852352 WLP852141:WLP852352 WBT852141:WBT852352 VRX852141:VRX852352 VIB852141:VIB852352 UYF852141:UYF852352 UOJ852141:UOJ852352 UEN852141:UEN852352 TUR852141:TUR852352 TKV852141:TKV852352 TAZ852141:TAZ852352 SRD852141:SRD852352 SHH852141:SHH852352 RXL852141:RXL852352 RNP852141:RNP852352 RDT852141:RDT852352 QTX852141:QTX852352 QKB852141:QKB852352 QAF852141:QAF852352 PQJ852141:PQJ852352 PGN852141:PGN852352 OWR852141:OWR852352 OMV852141:OMV852352 OCZ852141:OCZ852352 NTD852141:NTD852352 NJH852141:NJH852352 MZL852141:MZL852352 MPP852141:MPP852352 MFT852141:MFT852352 LVX852141:LVX852352 LMB852141:LMB852352 LCF852141:LCF852352 KSJ852141:KSJ852352 KIN852141:KIN852352 JYR852141:JYR852352 JOV852141:JOV852352 JEZ852141:JEZ852352 IVD852141:IVD852352 ILH852141:ILH852352 IBL852141:IBL852352 HRP852141:HRP852352 HHT852141:HHT852352 GXX852141:GXX852352 GOB852141:GOB852352 GEF852141:GEF852352 FUJ852141:FUJ852352 FKN852141:FKN852352 FAR852141:FAR852352 EQV852141:EQV852352 EGZ852141:EGZ852352 DXD852141:DXD852352 DNH852141:DNH852352 DDL852141:DDL852352 CTP852141:CTP852352 CJT852141:CJT852352 BZX852141:BZX852352 BQB852141:BQB852352 BGF852141:BGF852352 AWJ852141:AWJ852352 AMN852141:AMN852352 ACR852141:ACR852352 SV852141:SV852352 IZ852141:IZ852352 D852141:D852352 WVL786605:WVL786816 WLP786605:WLP786816 WBT786605:WBT786816 VRX786605:VRX786816 VIB786605:VIB786816 UYF786605:UYF786816 UOJ786605:UOJ786816 UEN786605:UEN786816 TUR786605:TUR786816 TKV786605:TKV786816 TAZ786605:TAZ786816 SRD786605:SRD786816 SHH786605:SHH786816 RXL786605:RXL786816 RNP786605:RNP786816 RDT786605:RDT786816 QTX786605:QTX786816 QKB786605:QKB786816 QAF786605:QAF786816 PQJ786605:PQJ786816 PGN786605:PGN786816 OWR786605:OWR786816 OMV786605:OMV786816 OCZ786605:OCZ786816 NTD786605:NTD786816 NJH786605:NJH786816 MZL786605:MZL786816 MPP786605:MPP786816 MFT786605:MFT786816 LVX786605:LVX786816 LMB786605:LMB786816 LCF786605:LCF786816 KSJ786605:KSJ786816 KIN786605:KIN786816 JYR786605:JYR786816 JOV786605:JOV786816 JEZ786605:JEZ786816 IVD786605:IVD786816 ILH786605:ILH786816 IBL786605:IBL786816 HRP786605:HRP786816 HHT786605:HHT786816 GXX786605:GXX786816 GOB786605:GOB786816 GEF786605:GEF786816 FUJ786605:FUJ786816 FKN786605:FKN786816 FAR786605:FAR786816 EQV786605:EQV786816 EGZ786605:EGZ786816 DXD786605:DXD786816 DNH786605:DNH786816 DDL786605:DDL786816 CTP786605:CTP786816 CJT786605:CJT786816 BZX786605:BZX786816 BQB786605:BQB786816 BGF786605:BGF786816 AWJ786605:AWJ786816 AMN786605:AMN786816 ACR786605:ACR786816 SV786605:SV786816 IZ786605:IZ786816 D786605:D786816 WVL721069:WVL721280 WLP721069:WLP721280 WBT721069:WBT721280 VRX721069:VRX721280 VIB721069:VIB721280 UYF721069:UYF721280 UOJ721069:UOJ721280 UEN721069:UEN721280 TUR721069:TUR721280 TKV721069:TKV721280 TAZ721069:TAZ721280 SRD721069:SRD721280 SHH721069:SHH721280 RXL721069:RXL721280 RNP721069:RNP721280 RDT721069:RDT721280 QTX721069:QTX721280 QKB721069:QKB721280 QAF721069:QAF721280 PQJ721069:PQJ721280 PGN721069:PGN721280 OWR721069:OWR721280 OMV721069:OMV721280 OCZ721069:OCZ721280 NTD721069:NTD721280 NJH721069:NJH721280 MZL721069:MZL721280 MPP721069:MPP721280 MFT721069:MFT721280 LVX721069:LVX721280 LMB721069:LMB721280 LCF721069:LCF721280 KSJ721069:KSJ721280 KIN721069:KIN721280 JYR721069:JYR721280 JOV721069:JOV721280 JEZ721069:JEZ721280 IVD721069:IVD721280 ILH721069:ILH721280 IBL721069:IBL721280 HRP721069:HRP721280 HHT721069:HHT721280 GXX721069:GXX721280 GOB721069:GOB721280 GEF721069:GEF721280 FUJ721069:FUJ721280 FKN721069:FKN721280 FAR721069:FAR721280 EQV721069:EQV721280 EGZ721069:EGZ721280 DXD721069:DXD721280 DNH721069:DNH721280 DDL721069:DDL721280 CTP721069:CTP721280 CJT721069:CJT721280 BZX721069:BZX721280 BQB721069:BQB721280 BGF721069:BGF721280 AWJ721069:AWJ721280 AMN721069:AMN721280 ACR721069:ACR721280 SV721069:SV721280 IZ721069:IZ721280 D721069:D721280 WVL655533:WVL655744 WLP655533:WLP655744 WBT655533:WBT655744 VRX655533:VRX655744 VIB655533:VIB655744 UYF655533:UYF655744 UOJ655533:UOJ655744 UEN655533:UEN655744 TUR655533:TUR655744 TKV655533:TKV655744 TAZ655533:TAZ655744 SRD655533:SRD655744 SHH655533:SHH655744 RXL655533:RXL655744 RNP655533:RNP655744 RDT655533:RDT655744 QTX655533:QTX655744 QKB655533:QKB655744 QAF655533:QAF655744 PQJ655533:PQJ655744 PGN655533:PGN655744 OWR655533:OWR655744 OMV655533:OMV655744 OCZ655533:OCZ655744 NTD655533:NTD655744 NJH655533:NJH655744 MZL655533:MZL655744 MPP655533:MPP655744 MFT655533:MFT655744 LVX655533:LVX655744 LMB655533:LMB655744 LCF655533:LCF655744 KSJ655533:KSJ655744 KIN655533:KIN655744 JYR655533:JYR655744 JOV655533:JOV655744 JEZ655533:JEZ655744 IVD655533:IVD655744 ILH655533:ILH655744 IBL655533:IBL655744 HRP655533:HRP655744 HHT655533:HHT655744 GXX655533:GXX655744 GOB655533:GOB655744 GEF655533:GEF655744 FUJ655533:FUJ655744 FKN655533:FKN655744 FAR655533:FAR655744 EQV655533:EQV655744 EGZ655533:EGZ655744 DXD655533:DXD655744 DNH655533:DNH655744 DDL655533:DDL655744 CTP655533:CTP655744 CJT655533:CJT655744 BZX655533:BZX655744 BQB655533:BQB655744 BGF655533:BGF655744 AWJ655533:AWJ655744 AMN655533:AMN655744 ACR655533:ACR655744 SV655533:SV655744 IZ655533:IZ655744 D655533:D655744 WVL589997:WVL590208 WLP589997:WLP590208 WBT589997:WBT590208 VRX589997:VRX590208 VIB589997:VIB590208 UYF589997:UYF590208 UOJ589997:UOJ590208 UEN589997:UEN590208 TUR589997:TUR590208 TKV589997:TKV590208 TAZ589997:TAZ590208 SRD589997:SRD590208 SHH589997:SHH590208 RXL589997:RXL590208 RNP589997:RNP590208 RDT589997:RDT590208 QTX589997:QTX590208 QKB589997:QKB590208 QAF589997:QAF590208 PQJ589997:PQJ590208 PGN589997:PGN590208 OWR589997:OWR590208 OMV589997:OMV590208 OCZ589997:OCZ590208 NTD589997:NTD590208 NJH589997:NJH590208 MZL589997:MZL590208 MPP589997:MPP590208 MFT589997:MFT590208 LVX589997:LVX590208 LMB589997:LMB590208 LCF589997:LCF590208 KSJ589997:KSJ590208 KIN589997:KIN590208 JYR589997:JYR590208 JOV589997:JOV590208 JEZ589997:JEZ590208 IVD589997:IVD590208 ILH589997:ILH590208 IBL589997:IBL590208 HRP589997:HRP590208 HHT589997:HHT590208 GXX589997:GXX590208 GOB589997:GOB590208 GEF589997:GEF590208 FUJ589997:FUJ590208 FKN589997:FKN590208 FAR589997:FAR590208 EQV589997:EQV590208 EGZ589997:EGZ590208 DXD589997:DXD590208 DNH589997:DNH590208 DDL589997:DDL590208 CTP589997:CTP590208 CJT589997:CJT590208 BZX589997:BZX590208 BQB589997:BQB590208 BGF589997:BGF590208 AWJ589997:AWJ590208 AMN589997:AMN590208 ACR589997:ACR590208 SV589997:SV590208 IZ589997:IZ590208 D589997:D590208 WVL524461:WVL524672 WLP524461:WLP524672 WBT524461:WBT524672 VRX524461:VRX524672 VIB524461:VIB524672 UYF524461:UYF524672 UOJ524461:UOJ524672 UEN524461:UEN524672 TUR524461:TUR524672 TKV524461:TKV524672 TAZ524461:TAZ524672 SRD524461:SRD524672 SHH524461:SHH524672 RXL524461:RXL524672 RNP524461:RNP524672 RDT524461:RDT524672 QTX524461:QTX524672 QKB524461:QKB524672 QAF524461:QAF524672 PQJ524461:PQJ524672 PGN524461:PGN524672 OWR524461:OWR524672 OMV524461:OMV524672 OCZ524461:OCZ524672 NTD524461:NTD524672 NJH524461:NJH524672 MZL524461:MZL524672 MPP524461:MPP524672 MFT524461:MFT524672 LVX524461:LVX524672 LMB524461:LMB524672 LCF524461:LCF524672 KSJ524461:KSJ524672 KIN524461:KIN524672 JYR524461:JYR524672 JOV524461:JOV524672 JEZ524461:JEZ524672 IVD524461:IVD524672 ILH524461:ILH524672 IBL524461:IBL524672 HRP524461:HRP524672 HHT524461:HHT524672 GXX524461:GXX524672 GOB524461:GOB524672 GEF524461:GEF524672 FUJ524461:FUJ524672 FKN524461:FKN524672 FAR524461:FAR524672 EQV524461:EQV524672 EGZ524461:EGZ524672 DXD524461:DXD524672 DNH524461:DNH524672 DDL524461:DDL524672 CTP524461:CTP524672 CJT524461:CJT524672 BZX524461:BZX524672 BQB524461:BQB524672 BGF524461:BGF524672 AWJ524461:AWJ524672 AMN524461:AMN524672 ACR524461:ACR524672 SV524461:SV524672 IZ524461:IZ524672 D524461:D524672 WVL458925:WVL459136 WLP458925:WLP459136 WBT458925:WBT459136 VRX458925:VRX459136 VIB458925:VIB459136 UYF458925:UYF459136 UOJ458925:UOJ459136 UEN458925:UEN459136 TUR458925:TUR459136 TKV458925:TKV459136 TAZ458925:TAZ459136 SRD458925:SRD459136 SHH458925:SHH459136 RXL458925:RXL459136 RNP458925:RNP459136 RDT458925:RDT459136 QTX458925:QTX459136 QKB458925:QKB459136 QAF458925:QAF459136 PQJ458925:PQJ459136 PGN458925:PGN459136 OWR458925:OWR459136 OMV458925:OMV459136 OCZ458925:OCZ459136 NTD458925:NTD459136 NJH458925:NJH459136 MZL458925:MZL459136 MPP458925:MPP459136 MFT458925:MFT459136 LVX458925:LVX459136 LMB458925:LMB459136 LCF458925:LCF459136 KSJ458925:KSJ459136 KIN458925:KIN459136 JYR458925:JYR459136 JOV458925:JOV459136 JEZ458925:JEZ459136 IVD458925:IVD459136 ILH458925:ILH459136 IBL458925:IBL459136 HRP458925:HRP459136 HHT458925:HHT459136 GXX458925:GXX459136 GOB458925:GOB459136 GEF458925:GEF459136 FUJ458925:FUJ459136 FKN458925:FKN459136 FAR458925:FAR459136 EQV458925:EQV459136 EGZ458925:EGZ459136 DXD458925:DXD459136 DNH458925:DNH459136 DDL458925:DDL459136 CTP458925:CTP459136 CJT458925:CJT459136 BZX458925:BZX459136 BQB458925:BQB459136 BGF458925:BGF459136 AWJ458925:AWJ459136 AMN458925:AMN459136 ACR458925:ACR459136 SV458925:SV459136 IZ458925:IZ459136 D458925:D459136 WVL393389:WVL393600 WLP393389:WLP393600 WBT393389:WBT393600 VRX393389:VRX393600 VIB393389:VIB393600 UYF393389:UYF393600 UOJ393389:UOJ393600 UEN393389:UEN393600 TUR393389:TUR393600 TKV393389:TKV393600 TAZ393389:TAZ393600 SRD393389:SRD393600 SHH393389:SHH393600 RXL393389:RXL393600 RNP393389:RNP393600 RDT393389:RDT393600 QTX393389:QTX393600 QKB393389:QKB393600 QAF393389:QAF393600 PQJ393389:PQJ393600 PGN393389:PGN393600 OWR393389:OWR393600 OMV393389:OMV393600 OCZ393389:OCZ393600 NTD393389:NTD393600 NJH393389:NJH393600 MZL393389:MZL393600 MPP393389:MPP393600 MFT393389:MFT393600 LVX393389:LVX393600 LMB393389:LMB393600 LCF393389:LCF393600 KSJ393389:KSJ393600 KIN393389:KIN393600 JYR393389:JYR393600 JOV393389:JOV393600 JEZ393389:JEZ393600 IVD393389:IVD393600 ILH393389:ILH393600 IBL393389:IBL393600 HRP393389:HRP393600 HHT393389:HHT393600 GXX393389:GXX393600 GOB393389:GOB393600 GEF393389:GEF393600 FUJ393389:FUJ393600 FKN393389:FKN393600 FAR393389:FAR393600 EQV393389:EQV393600 EGZ393389:EGZ393600 DXD393389:DXD393600 DNH393389:DNH393600 DDL393389:DDL393600 CTP393389:CTP393600 CJT393389:CJT393600 BZX393389:BZX393600 BQB393389:BQB393600 BGF393389:BGF393600 AWJ393389:AWJ393600 AMN393389:AMN393600 ACR393389:ACR393600 SV393389:SV393600 IZ393389:IZ393600 D393389:D393600 WVL327853:WVL328064 WLP327853:WLP328064 WBT327853:WBT328064 VRX327853:VRX328064 VIB327853:VIB328064 UYF327853:UYF328064 UOJ327853:UOJ328064 UEN327853:UEN328064 TUR327853:TUR328064 TKV327853:TKV328064 TAZ327853:TAZ328064 SRD327853:SRD328064 SHH327853:SHH328064 RXL327853:RXL328064 RNP327853:RNP328064 RDT327853:RDT328064 QTX327853:QTX328064 QKB327853:QKB328064 QAF327853:QAF328064 PQJ327853:PQJ328064 PGN327853:PGN328064 OWR327853:OWR328064 OMV327853:OMV328064 OCZ327853:OCZ328064 NTD327853:NTD328064 NJH327853:NJH328064 MZL327853:MZL328064 MPP327853:MPP328064 MFT327853:MFT328064 LVX327853:LVX328064 LMB327853:LMB328064 LCF327853:LCF328064 KSJ327853:KSJ328064 KIN327853:KIN328064 JYR327853:JYR328064 JOV327853:JOV328064 JEZ327853:JEZ328064 IVD327853:IVD328064 ILH327853:ILH328064 IBL327853:IBL328064 HRP327853:HRP328064 HHT327853:HHT328064 GXX327853:GXX328064 GOB327853:GOB328064 GEF327853:GEF328064 FUJ327853:FUJ328064 FKN327853:FKN328064 FAR327853:FAR328064 EQV327853:EQV328064 EGZ327853:EGZ328064 DXD327853:DXD328064 DNH327853:DNH328064 DDL327853:DDL328064 CTP327853:CTP328064 CJT327853:CJT328064 BZX327853:BZX328064 BQB327853:BQB328064 BGF327853:BGF328064 AWJ327853:AWJ328064 AMN327853:AMN328064 ACR327853:ACR328064 SV327853:SV328064 IZ327853:IZ328064 D327853:D328064 WVL262317:WVL262528 WLP262317:WLP262528 WBT262317:WBT262528 VRX262317:VRX262528 VIB262317:VIB262528 UYF262317:UYF262528 UOJ262317:UOJ262528 UEN262317:UEN262528 TUR262317:TUR262528 TKV262317:TKV262528 TAZ262317:TAZ262528 SRD262317:SRD262528 SHH262317:SHH262528 RXL262317:RXL262528 RNP262317:RNP262528 RDT262317:RDT262528 QTX262317:QTX262528 QKB262317:QKB262528 QAF262317:QAF262528 PQJ262317:PQJ262528 PGN262317:PGN262528 OWR262317:OWR262528 OMV262317:OMV262528 OCZ262317:OCZ262528 NTD262317:NTD262528 NJH262317:NJH262528 MZL262317:MZL262528 MPP262317:MPP262528 MFT262317:MFT262528 LVX262317:LVX262528 LMB262317:LMB262528 LCF262317:LCF262528 KSJ262317:KSJ262528 KIN262317:KIN262528 JYR262317:JYR262528 JOV262317:JOV262528 JEZ262317:JEZ262528 IVD262317:IVD262528 ILH262317:ILH262528 IBL262317:IBL262528 HRP262317:HRP262528 HHT262317:HHT262528 GXX262317:GXX262528 GOB262317:GOB262528 GEF262317:GEF262528 FUJ262317:FUJ262528 FKN262317:FKN262528 FAR262317:FAR262528 EQV262317:EQV262528 EGZ262317:EGZ262528 DXD262317:DXD262528 DNH262317:DNH262528 DDL262317:DDL262528 CTP262317:CTP262528 CJT262317:CJT262528 BZX262317:BZX262528 BQB262317:BQB262528 BGF262317:BGF262528 AWJ262317:AWJ262528 AMN262317:AMN262528 ACR262317:ACR262528 SV262317:SV262528 IZ262317:IZ262528 D262317:D262528 WVL196781:WVL196992 WLP196781:WLP196992 WBT196781:WBT196992 VRX196781:VRX196992 VIB196781:VIB196992 UYF196781:UYF196992 UOJ196781:UOJ196992 UEN196781:UEN196992 TUR196781:TUR196992 TKV196781:TKV196992 TAZ196781:TAZ196992 SRD196781:SRD196992 SHH196781:SHH196992 RXL196781:RXL196992 RNP196781:RNP196992 RDT196781:RDT196992 QTX196781:QTX196992 QKB196781:QKB196992 QAF196781:QAF196992 PQJ196781:PQJ196992 PGN196781:PGN196992 OWR196781:OWR196992 OMV196781:OMV196992 OCZ196781:OCZ196992 NTD196781:NTD196992 NJH196781:NJH196992 MZL196781:MZL196992 MPP196781:MPP196992 MFT196781:MFT196992 LVX196781:LVX196992 LMB196781:LMB196992 LCF196781:LCF196992 KSJ196781:KSJ196992 KIN196781:KIN196992 JYR196781:JYR196992 JOV196781:JOV196992 JEZ196781:JEZ196992 IVD196781:IVD196992 ILH196781:ILH196992 IBL196781:IBL196992 HRP196781:HRP196992 HHT196781:HHT196992 GXX196781:GXX196992 GOB196781:GOB196992 GEF196781:GEF196992 FUJ196781:FUJ196992 FKN196781:FKN196992 FAR196781:FAR196992 EQV196781:EQV196992 EGZ196781:EGZ196992 DXD196781:DXD196992 DNH196781:DNH196992 DDL196781:DDL196992 CTP196781:CTP196992 CJT196781:CJT196992 BZX196781:BZX196992 BQB196781:BQB196992 BGF196781:BGF196992 AWJ196781:AWJ196992 AMN196781:AMN196992 ACR196781:ACR196992 SV196781:SV196992 IZ196781:IZ196992 D196781:D196992 WVL131245:WVL131456 WLP131245:WLP131456 WBT131245:WBT131456 VRX131245:VRX131456 VIB131245:VIB131456 UYF131245:UYF131456 UOJ131245:UOJ131456 UEN131245:UEN131456 TUR131245:TUR131456 TKV131245:TKV131456 TAZ131245:TAZ131456 SRD131245:SRD131456 SHH131245:SHH131456 RXL131245:RXL131456 RNP131245:RNP131456 RDT131245:RDT131456 QTX131245:QTX131456 QKB131245:QKB131456 QAF131245:QAF131456 PQJ131245:PQJ131456 PGN131245:PGN131456 OWR131245:OWR131456 OMV131245:OMV131456 OCZ131245:OCZ131456 NTD131245:NTD131456 NJH131245:NJH131456 MZL131245:MZL131456 MPP131245:MPP131456 MFT131245:MFT131456 LVX131245:LVX131456 LMB131245:LMB131456 LCF131245:LCF131456 KSJ131245:KSJ131456 KIN131245:KIN131456 JYR131245:JYR131456 JOV131245:JOV131456 JEZ131245:JEZ131456 IVD131245:IVD131456 ILH131245:ILH131456 IBL131245:IBL131456 HRP131245:HRP131456 HHT131245:HHT131456 GXX131245:GXX131456 GOB131245:GOB131456 GEF131245:GEF131456 FUJ131245:FUJ131456 FKN131245:FKN131456 FAR131245:FAR131456 EQV131245:EQV131456 EGZ131245:EGZ131456 DXD131245:DXD131456 DNH131245:DNH131456 DDL131245:DDL131456 CTP131245:CTP131456 CJT131245:CJT131456 BZX131245:BZX131456 BQB131245:BQB131456 BGF131245:BGF131456 AWJ131245:AWJ131456 AMN131245:AMN131456 ACR131245:ACR131456 SV131245:SV131456 IZ131245:IZ131456 D131245:D131456 WVL65709:WVL65920 WLP65709:WLP65920 WBT65709:WBT65920 VRX65709:VRX65920 VIB65709:VIB65920 UYF65709:UYF65920 UOJ65709:UOJ65920 UEN65709:UEN65920 TUR65709:TUR65920 TKV65709:TKV65920 TAZ65709:TAZ65920 SRD65709:SRD65920 SHH65709:SHH65920 RXL65709:RXL65920 RNP65709:RNP65920 RDT65709:RDT65920 QTX65709:QTX65920 QKB65709:QKB65920 QAF65709:QAF65920 PQJ65709:PQJ65920 PGN65709:PGN65920 OWR65709:OWR65920 OMV65709:OMV65920 OCZ65709:OCZ65920 NTD65709:NTD65920 NJH65709:NJH65920 MZL65709:MZL65920 MPP65709:MPP65920 MFT65709:MFT65920 LVX65709:LVX65920 LMB65709:LMB65920 LCF65709:LCF65920 KSJ65709:KSJ65920 KIN65709:KIN65920 JYR65709:JYR65920 JOV65709:JOV65920 JEZ65709:JEZ65920 IVD65709:IVD65920 ILH65709:ILH65920 IBL65709:IBL65920 HRP65709:HRP65920 HHT65709:HHT65920 GXX65709:GXX65920 GOB65709:GOB65920 GEF65709:GEF65920 FUJ65709:FUJ65920 FKN65709:FKN65920 FAR65709:FAR65920 EQV65709:EQV65920 EGZ65709:EGZ65920 DXD65709:DXD65920 DNH65709:DNH65920 DDL65709:DDL65920 CTP65709:CTP65920 CJT65709:CJT65920 BZX65709:BZX65920 BQB65709:BQB65920 BGF65709:BGF65920 AWJ65709:AWJ65920 AMN65709:AMN65920 ACR65709:ACR65920 SV65709:SV65920 IZ65709:IZ65920 D65709:D65920 WVL173:WVL384 WLP173:WLP384 WBT173:WBT384 VRX173:VRX384 VIB173:VIB384 UYF173:UYF384 UOJ173:UOJ384 UEN173:UEN384 TUR173:TUR384 TKV173:TKV384 TAZ173:TAZ384 SRD173:SRD384 SHH173:SHH384 RXL173:RXL384 RNP173:RNP384 RDT173:RDT384 QTX173:QTX384 QKB173:QKB384 QAF173:QAF384 PQJ173:PQJ384 PGN173:PGN384 OWR173:OWR384 OMV173:OMV384 OCZ173:OCZ384 NTD173:NTD384 NJH173:NJH384 MZL173:MZL384 MPP173:MPP384 MFT173:MFT384 LVX173:LVX384 LMB173:LMB384 LCF173:LCF384 KSJ173:KSJ384 KIN173:KIN384 JYR173:JYR384 JOV173:JOV384 JEZ173:JEZ384 IVD173:IVD384 ILH173:ILH384 IBL173:IBL384 HRP173:HRP384 HHT173:HHT384 GXX173:GXX384 GOB173:GOB384 GEF173:GEF384 FUJ173:FUJ384 FKN173:FKN384 FAR173:FAR384 EQV173:EQV384 EGZ173:EGZ384 DXD173:DXD384 DNH173:DNH384 DDL173:DDL384 CTP173:CTP384 CJT173:CJT384 BZX173:BZX384 BQB173:BQB384 BGF173:BGF384 AWJ173:AWJ384 AMN173:AMN384 ACR173:ACR384 SV173:SV384 IZ173:IZ384">
      <formula1>$N$173:$N$396</formula1>
    </dataValidation>
    <dataValidation type="list" errorStyle="information" allowBlank="1" showInputMessage="1" showErrorMessage="1" errorTitle="New Site" error="If a site is not in the list enter a new Name" prompt="Select a site name or enter a new one" sqref="WVJ983137:WVQ983137 IX47:JE47 ST47:TA47 ACP47:ACW47 AML47:AMS47 AWH47:AWO47 BGD47:BGK47 BPZ47:BQG47 BZV47:CAC47 CJR47:CJY47 CTN47:CTU47 DDJ47:DDQ47 DNF47:DNM47 DXB47:DXI47 EGX47:EHE47 EQT47:ERA47 FAP47:FAW47 FKL47:FKS47 FUH47:FUO47 GED47:GEK47 GNZ47:GOG47 GXV47:GYC47 HHR47:HHY47 HRN47:HRU47 IBJ47:IBQ47 ILF47:ILM47 IVB47:IVI47 JEX47:JFE47 JOT47:JPA47 JYP47:JYW47 KIL47:KIS47 KSH47:KSO47 LCD47:LCK47 LLZ47:LMG47 LVV47:LWC47 MFR47:MFY47 MPN47:MPU47 MZJ47:MZQ47 NJF47:NJM47 NTB47:NTI47 OCX47:ODE47 OMT47:ONA47 OWP47:OWW47 PGL47:PGS47 PQH47:PQO47 QAD47:QAK47 QJZ47:QKG47 QTV47:QUC47 RDR47:RDY47 RNN47:RNU47 RXJ47:RXQ47 SHF47:SHM47 SRB47:SRI47 TAX47:TBE47 TKT47:TLA47 TUP47:TUW47 UEL47:UES47 UOH47:UOO47 UYD47:UYK47 VHZ47:VIG47 VRV47:VSC47 WBR47:WBY47 WLN47:WLU47 WVJ47:WVQ47 B65633:I65633 IX65633:JE65633 ST65633:TA65633 ACP65633:ACW65633 AML65633:AMS65633 AWH65633:AWO65633 BGD65633:BGK65633 BPZ65633:BQG65633 BZV65633:CAC65633 CJR65633:CJY65633 CTN65633:CTU65633 DDJ65633:DDQ65633 DNF65633:DNM65633 DXB65633:DXI65633 EGX65633:EHE65633 EQT65633:ERA65633 FAP65633:FAW65633 FKL65633:FKS65633 FUH65633:FUO65633 GED65633:GEK65633 GNZ65633:GOG65633 GXV65633:GYC65633 HHR65633:HHY65633 HRN65633:HRU65633 IBJ65633:IBQ65633 ILF65633:ILM65633 IVB65633:IVI65633 JEX65633:JFE65633 JOT65633:JPA65633 JYP65633:JYW65633 KIL65633:KIS65633 KSH65633:KSO65633 LCD65633:LCK65633 LLZ65633:LMG65633 LVV65633:LWC65633 MFR65633:MFY65633 MPN65633:MPU65633 MZJ65633:MZQ65633 NJF65633:NJM65633 NTB65633:NTI65633 OCX65633:ODE65633 OMT65633:ONA65633 OWP65633:OWW65633 PGL65633:PGS65633 PQH65633:PQO65633 QAD65633:QAK65633 QJZ65633:QKG65633 QTV65633:QUC65633 RDR65633:RDY65633 RNN65633:RNU65633 RXJ65633:RXQ65633 SHF65633:SHM65633 SRB65633:SRI65633 TAX65633:TBE65633 TKT65633:TLA65633 TUP65633:TUW65633 UEL65633:UES65633 UOH65633:UOO65633 UYD65633:UYK65633 VHZ65633:VIG65633 VRV65633:VSC65633 WBR65633:WBY65633 WLN65633:WLU65633 WVJ65633:WVQ65633 B131169:I131169 IX131169:JE131169 ST131169:TA131169 ACP131169:ACW131169 AML131169:AMS131169 AWH131169:AWO131169 BGD131169:BGK131169 BPZ131169:BQG131169 BZV131169:CAC131169 CJR131169:CJY131169 CTN131169:CTU131169 DDJ131169:DDQ131169 DNF131169:DNM131169 DXB131169:DXI131169 EGX131169:EHE131169 EQT131169:ERA131169 FAP131169:FAW131169 FKL131169:FKS131169 FUH131169:FUO131169 GED131169:GEK131169 GNZ131169:GOG131169 GXV131169:GYC131169 HHR131169:HHY131169 HRN131169:HRU131169 IBJ131169:IBQ131169 ILF131169:ILM131169 IVB131169:IVI131169 JEX131169:JFE131169 JOT131169:JPA131169 JYP131169:JYW131169 KIL131169:KIS131169 KSH131169:KSO131169 LCD131169:LCK131169 LLZ131169:LMG131169 LVV131169:LWC131169 MFR131169:MFY131169 MPN131169:MPU131169 MZJ131169:MZQ131169 NJF131169:NJM131169 NTB131169:NTI131169 OCX131169:ODE131169 OMT131169:ONA131169 OWP131169:OWW131169 PGL131169:PGS131169 PQH131169:PQO131169 QAD131169:QAK131169 QJZ131169:QKG131169 QTV131169:QUC131169 RDR131169:RDY131169 RNN131169:RNU131169 RXJ131169:RXQ131169 SHF131169:SHM131169 SRB131169:SRI131169 TAX131169:TBE131169 TKT131169:TLA131169 TUP131169:TUW131169 UEL131169:UES131169 UOH131169:UOO131169 UYD131169:UYK131169 VHZ131169:VIG131169 VRV131169:VSC131169 WBR131169:WBY131169 WLN131169:WLU131169 WVJ131169:WVQ131169 B196705:I196705 IX196705:JE196705 ST196705:TA196705 ACP196705:ACW196705 AML196705:AMS196705 AWH196705:AWO196705 BGD196705:BGK196705 BPZ196705:BQG196705 BZV196705:CAC196705 CJR196705:CJY196705 CTN196705:CTU196705 DDJ196705:DDQ196705 DNF196705:DNM196705 DXB196705:DXI196705 EGX196705:EHE196705 EQT196705:ERA196705 FAP196705:FAW196705 FKL196705:FKS196705 FUH196705:FUO196705 GED196705:GEK196705 GNZ196705:GOG196705 GXV196705:GYC196705 HHR196705:HHY196705 HRN196705:HRU196705 IBJ196705:IBQ196705 ILF196705:ILM196705 IVB196705:IVI196705 JEX196705:JFE196705 JOT196705:JPA196705 JYP196705:JYW196705 KIL196705:KIS196705 KSH196705:KSO196705 LCD196705:LCK196705 LLZ196705:LMG196705 LVV196705:LWC196705 MFR196705:MFY196705 MPN196705:MPU196705 MZJ196705:MZQ196705 NJF196705:NJM196705 NTB196705:NTI196705 OCX196705:ODE196705 OMT196705:ONA196705 OWP196705:OWW196705 PGL196705:PGS196705 PQH196705:PQO196705 QAD196705:QAK196705 QJZ196705:QKG196705 QTV196705:QUC196705 RDR196705:RDY196705 RNN196705:RNU196705 RXJ196705:RXQ196705 SHF196705:SHM196705 SRB196705:SRI196705 TAX196705:TBE196705 TKT196705:TLA196705 TUP196705:TUW196705 UEL196705:UES196705 UOH196705:UOO196705 UYD196705:UYK196705 VHZ196705:VIG196705 VRV196705:VSC196705 WBR196705:WBY196705 WLN196705:WLU196705 WVJ196705:WVQ196705 B262241:I262241 IX262241:JE262241 ST262241:TA262241 ACP262241:ACW262241 AML262241:AMS262241 AWH262241:AWO262241 BGD262241:BGK262241 BPZ262241:BQG262241 BZV262241:CAC262241 CJR262241:CJY262241 CTN262241:CTU262241 DDJ262241:DDQ262241 DNF262241:DNM262241 DXB262241:DXI262241 EGX262241:EHE262241 EQT262241:ERA262241 FAP262241:FAW262241 FKL262241:FKS262241 FUH262241:FUO262241 GED262241:GEK262241 GNZ262241:GOG262241 GXV262241:GYC262241 HHR262241:HHY262241 HRN262241:HRU262241 IBJ262241:IBQ262241 ILF262241:ILM262241 IVB262241:IVI262241 JEX262241:JFE262241 JOT262241:JPA262241 JYP262241:JYW262241 KIL262241:KIS262241 KSH262241:KSO262241 LCD262241:LCK262241 LLZ262241:LMG262241 LVV262241:LWC262241 MFR262241:MFY262241 MPN262241:MPU262241 MZJ262241:MZQ262241 NJF262241:NJM262241 NTB262241:NTI262241 OCX262241:ODE262241 OMT262241:ONA262241 OWP262241:OWW262241 PGL262241:PGS262241 PQH262241:PQO262241 QAD262241:QAK262241 QJZ262241:QKG262241 QTV262241:QUC262241 RDR262241:RDY262241 RNN262241:RNU262241 RXJ262241:RXQ262241 SHF262241:SHM262241 SRB262241:SRI262241 TAX262241:TBE262241 TKT262241:TLA262241 TUP262241:TUW262241 UEL262241:UES262241 UOH262241:UOO262241 UYD262241:UYK262241 VHZ262241:VIG262241 VRV262241:VSC262241 WBR262241:WBY262241 WLN262241:WLU262241 WVJ262241:WVQ262241 B327777:I327777 IX327777:JE327777 ST327777:TA327777 ACP327777:ACW327777 AML327777:AMS327777 AWH327777:AWO327777 BGD327777:BGK327777 BPZ327777:BQG327777 BZV327777:CAC327777 CJR327777:CJY327777 CTN327777:CTU327777 DDJ327777:DDQ327777 DNF327777:DNM327777 DXB327777:DXI327777 EGX327777:EHE327777 EQT327777:ERA327777 FAP327777:FAW327777 FKL327777:FKS327777 FUH327777:FUO327777 GED327777:GEK327777 GNZ327777:GOG327777 GXV327777:GYC327777 HHR327777:HHY327777 HRN327777:HRU327777 IBJ327777:IBQ327777 ILF327777:ILM327777 IVB327777:IVI327777 JEX327777:JFE327777 JOT327777:JPA327777 JYP327777:JYW327777 KIL327777:KIS327777 KSH327777:KSO327777 LCD327777:LCK327777 LLZ327777:LMG327777 LVV327777:LWC327777 MFR327777:MFY327777 MPN327777:MPU327777 MZJ327777:MZQ327777 NJF327777:NJM327777 NTB327777:NTI327777 OCX327777:ODE327777 OMT327777:ONA327777 OWP327777:OWW327777 PGL327777:PGS327777 PQH327777:PQO327777 QAD327777:QAK327777 QJZ327777:QKG327777 QTV327777:QUC327777 RDR327777:RDY327777 RNN327777:RNU327777 RXJ327777:RXQ327777 SHF327777:SHM327777 SRB327777:SRI327777 TAX327777:TBE327777 TKT327777:TLA327777 TUP327777:TUW327777 UEL327777:UES327777 UOH327777:UOO327777 UYD327777:UYK327777 VHZ327777:VIG327777 VRV327777:VSC327777 WBR327777:WBY327777 WLN327777:WLU327777 WVJ327777:WVQ327777 B393313:I393313 IX393313:JE393313 ST393313:TA393313 ACP393313:ACW393313 AML393313:AMS393313 AWH393313:AWO393313 BGD393313:BGK393313 BPZ393313:BQG393313 BZV393313:CAC393313 CJR393313:CJY393313 CTN393313:CTU393313 DDJ393313:DDQ393313 DNF393313:DNM393313 DXB393313:DXI393313 EGX393313:EHE393313 EQT393313:ERA393313 FAP393313:FAW393313 FKL393313:FKS393313 FUH393313:FUO393313 GED393313:GEK393313 GNZ393313:GOG393313 GXV393313:GYC393313 HHR393313:HHY393313 HRN393313:HRU393313 IBJ393313:IBQ393313 ILF393313:ILM393313 IVB393313:IVI393313 JEX393313:JFE393313 JOT393313:JPA393313 JYP393313:JYW393313 KIL393313:KIS393313 KSH393313:KSO393313 LCD393313:LCK393313 LLZ393313:LMG393313 LVV393313:LWC393313 MFR393313:MFY393313 MPN393313:MPU393313 MZJ393313:MZQ393313 NJF393313:NJM393313 NTB393313:NTI393313 OCX393313:ODE393313 OMT393313:ONA393313 OWP393313:OWW393313 PGL393313:PGS393313 PQH393313:PQO393313 QAD393313:QAK393313 QJZ393313:QKG393313 QTV393313:QUC393313 RDR393313:RDY393313 RNN393313:RNU393313 RXJ393313:RXQ393313 SHF393313:SHM393313 SRB393313:SRI393313 TAX393313:TBE393313 TKT393313:TLA393313 TUP393313:TUW393313 UEL393313:UES393313 UOH393313:UOO393313 UYD393313:UYK393313 VHZ393313:VIG393313 VRV393313:VSC393313 WBR393313:WBY393313 WLN393313:WLU393313 WVJ393313:WVQ393313 B458849:I458849 IX458849:JE458849 ST458849:TA458849 ACP458849:ACW458849 AML458849:AMS458849 AWH458849:AWO458849 BGD458849:BGK458849 BPZ458849:BQG458849 BZV458849:CAC458849 CJR458849:CJY458849 CTN458849:CTU458849 DDJ458849:DDQ458849 DNF458849:DNM458849 DXB458849:DXI458849 EGX458849:EHE458849 EQT458849:ERA458849 FAP458849:FAW458849 FKL458849:FKS458849 FUH458849:FUO458849 GED458849:GEK458849 GNZ458849:GOG458849 GXV458849:GYC458849 HHR458849:HHY458849 HRN458849:HRU458849 IBJ458849:IBQ458849 ILF458849:ILM458849 IVB458849:IVI458849 JEX458849:JFE458849 JOT458849:JPA458849 JYP458849:JYW458849 KIL458849:KIS458849 KSH458849:KSO458849 LCD458849:LCK458849 LLZ458849:LMG458849 LVV458849:LWC458849 MFR458849:MFY458849 MPN458849:MPU458849 MZJ458849:MZQ458849 NJF458849:NJM458849 NTB458849:NTI458849 OCX458849:ODE458849 OMT458849:ONA458849 OWP458849:OWW458849 PGL458849:PGS458849 PQH458849:PQO458849 QAD458849:QAK458849 QJZ458849:QKG458849 QTV458849:QUC458849 RDR458849:RDY458849 RNN458849:RNU458849 RXJ458849:RXQ458849 SHF458849:SHM458849 SRB458849:SRI458849 TAX458849:TBE458849 TKT458849:TLA458849 TUP458849:TUW458849 UEL458849:UES458849 UOH458849:UOO458849 UYD458849:UYK458849 VHZ458849:VIG458849 VRV458849:VSC458849 WBR458849:WBY458849 WLN458849:WLU458849 WVJ458849:WVQ458849 B524385:I524385 IX524385:JE524385 ST524385:TA524385 ACP524385:ACW524385 AML524385:AMS524385 AWH524385:AWO524385 BGD524385:BGK524385 BPZ524385:BQG524385 BZV524385:CAC524385 CJR524385:CJY524385 CTN524385:CTU524385 DDJ524385:DDQ524385 DNF524385:DNM524385 DXB524385:DXI524385 EGX524385:EHE524385 EQT524385:ERA524385 FAP524385:FAW524385 FKL524385:FKS524385 FUH524385:FUO524385 GED524385:GEK524385 GNZ524385:GOG524385 GXV524385:GYC524385 HHR524385:HHY524385 HRN524385:HRU524385 IBJ524385:IBQ524385 ILF524385:ILM524385 IVB524385:IVI524385 JEX524385:JFE524385 JOT524385:JPA524385 JYP524385:JYW524385 KIL524385:KIS524385 KSH524385:KSO524385 LCD524385:LCK524385 LLZ524385:LMG524385 LVV524385:LWC524385 MFR524385:MFY524385 MPN524385:MPU524385 MZJ524385:MZQ524385 NJF524385:NJM524385 NTB524385:NTI524385 OCX524385:ODE524385 OMT524385:ONA524385 OWP524385:OWW524385 PGL524385:PGS524385 PQH524385:PQO524385 QAD524385:QAK524385 QJZ524385:QKG524385 QTV524385:QUC524385 RDR524385:RDY524385 RNN524385:RNU524385 RXJ524385:RXQ524385 SHF524385:SHM524385 SRB524385:SRI524385 TAX524385:TBE524385 TKT524385:TLA524385 TUP524385:TUW524385 UEL524385:UES524385 UOH524385:UOO524385 UYD524385:UYK524385 VHZ524385:VIG524385 VRV524385:VSC524385 WBR524385:WBY524385 WLN524385:WLU524385 WVJ524385:WVQ524385 B589921:I589921 IX589921:JE589921 ST589921:TA589921 ACP589921:ACW589921 AML589921:AMS589921 AWH589921:AWO589921 BGD589921:BGK589921 BPZ589921:BQG589921 BZV589921:CAC589921 CJR589921:CJY589921 CTN589921:CTU589921 DDJ589921:DDQ589921 DNF589921:DNM589921 DXB589921:DXI589921 EGX589921:EHE589921 EQT589921:ERA589921 FAP589921:FAW589921 FKL589921:FKS589921 FUH589921:FUO589921 GED589921:GEK589921 GNZ589921:GOG589921 GXV589921:GYC589921 HHR589921:HHY589921 HRN589921:HRU589921 IBJ589921:IBQ589921 ILF589921:ILM589921 IVB589921:IVI589921 JEX589921:JFE589921 JOT589921:JPA589921 JYP589921:JYW589921 KIL589921:KIS589921 KSH589921:KSO589921 LCD589921:LCK589921 LLZ589921:LMG589921 LVV589921:LWC589921 MFR589921:MFY589921 MPN589921:MPU589921 MZJ589921:MZQ589921 NJF589921:NJM589921 NTB589921:NTI589921 OCX589921:ODE589921 OMT589921:ONA589921 OWP589921:OWW589921 PGL589921:PGS589921 PQH589921:PQO589921 QAD589921:QAK589921 QJZ589921:QKG589921 QTV589921:QUC589921 RDR589921:RDY589921 RNN589921:RNU589921 RXJ589921:RXQ589921 SHF589921:SHM589921 SRB589921:SRI589921 TAX589921:TBE589921 TKT589921:TLA589921 TUP589921:TUW589921 UEL589921:UES589921 UOH589921:UOO589921 UYD589921:UYK589921 VHZ589921:VIG589921 VRV589921:VSC589921 WBR589921:WBY589921 WLN589921:WLU589921 WVJ589921:WVQ589921 B655457:I655457 IX655457:JE655457 ST655457:TA655457 ACP655457:ACW655457 AML655457:AMS655457 AWH655457:AWO655457 BGD655457:BGK655457 BPZ655457:BQG655457 BZV655457:CAC655457 CJR655457:CJY655457 CTN655457:CTU655457 DDJ655457:DDQ655457 DNF655457:DNM655457 DXB655457:DXI655457 EGX655457:EHE655457 EQT655457:ERA655457 FAP655457:FAW655457 FKL655457:FKS655457 FUH655457:FUO655457 GED655457:GEK655457 GNZ655457:GOG655457 GXV655457:GYC655457 HHR655457:HHY655457 HRN655457:HRU655457 IBJ655457:IBQ655457 ILF655457:ILM655457 IVB655457:IVI655457 JEX655457:JFE655457 JOT655457:JPA655457 JYP655457:JYW655457 KIL655457:KIS655457 KSH655457:KSO655457 LCD655457:LCK655457 LLZ655457:LMG655457 LVV655457:LWC655457 MFR655457:MFY655457 MPN655457:MPU655457 MZJ655457:MZQ655457 NJF655457:NJM655457 NTB655457:NTI655457 OCX655457:ODE655457 OMT655457:ONA655457 OWP655457:OWW655457 PGL655457:PGS655457 PQH655457:PQO655457 QAD655457:QAK655457 QJZ655457:QKG655457 QTV655457:QUC655457 RDR655457:RDY655457 RNN655457:RNU655457 RXJ655457:RXQ655457 SHF655457:SHM655457 SRB655457:SRI655457 TAX655457:TBE655457 TKT655457:TLA655457 TUP655457:TUW655457 UEL655457:UES655457 UOH655457:UOO655457 UYD655457:UYK655457 VHZ655457:VIG655457 VRV655457:VSC655457 WBR655457:WBY655457 WLN655457:WLU655457 WVJ655457:WVQ655457 B720993:I720993 IX720993:JE720993 ST720993:TA720993 ACP720993:ACW720993 AML720993:AMS720993 AWH720993:AWO720993 BGD720993:BGK720993 BPZ720993:BQG720993 BZV720993:CAC720993 CJR720993:CJY720993 CTN720993:CTU720993 DDJ720993:DDQ720993 DNF720993:DNM720993 DXB720993:DXI720993 EGX720993:EHE720993 EQT720993:ERA720993 FAP720993:FAW720993 FKL720993:FKS720993 FUH720993:FUO720993 GED720993:GEK720993 GNZ720993:GOG720993 GXV720993:GYC720993 HHR720993:HHY720993 HRN720993:HRU720993 IBJ720993:IBQ720993 ILF720993:ILM720993 IVB720993:IVI720993 JEX720993:JFE720993 JOT720993:JPA720993 JYP720993:JYW720993 KIL720993:KIS720993 KSH720993:KSO720993 LCD720993:LCK720993 LLZ720993:LMG720993 LVV720993:LWC720993 MFR720993:MFY720993 MPN720993:MPU720993 MZJ720993:MZQ720993 NJF720993:NJM720993 NTB720993:NTI720993 OCX720993:ODE720993 OMT720993:ONA720993 OWP720993:OWW720993 PGL720993:PGS720993 PQH720993:PQO720993 QAD720993:QAK720993 QJZ720993:QKG720993 QTV720993:QUC720993 RDR720993:RDY720993 RNN720993:RNU720993 RXJ720993:RXQ720993 SHF720993:SHM720993 SRB720993:SRI720993 TAX720993:TBE720993 TKT720993:TLA720993 TUP720993:TUW720993 UEL720993:UES720993 UOH720993:UOO720993 UYD720993:UYK720993 VHZ720993:VIG720993 VRV720993:VSC720993 WBR720993:WBY720993 WLN720993:WLU720993 WVJ720993:WVQ720993 B786529:I786529 IX786529:JE786529 ST786529:TA786529 ACP786529:ACW786529 AML786529:AMS786529 AWH786529:AWO786529 BGD786529:BGK786529 BPZ786529:BQG786529 BZV786529:CAC786529 CJR786529:CJY786529 CTN786529:CTU786529 DDJ786529:DDQ786529 DNF786529:DNM786529 DXB786529:DXI786529 EGX786529:EHE786529 EQT786529:ERA786529 FAP786529:FAW786529 FKL786529:FKS786529 FUH786529:FUO786529 GED786529:GEK786529 GNZ786529:GOG786529 GXV786529:GYC786529 HHR786529:HHY786529 HRN786529:HRU786529 IBJ786529:IBQ786529 ILF786529:ILM786529 IVB786529:IVI786529 JEX786529:JFE786529 JOT786529:JPA786529 JYP786529:JYW786529 KIL786529:KIS786529 KSH786529:KSO786529 LCD786529:LCK786529 LLZ786529:LMG786529 LVV786529:LWC786529 MFR786529:MFY786529 MPN786529:MPU786529 MZJ786529:MZQ786529 NJF786529:NJM786529 NTB786529:NTI786529 OCX786529:ODE786529 OMT786529:ONA786529 OWP786529:OWW786529 PGL786529:PGS786529 PQH786529:PQO786529 QAD786529:QAK786529 QJZ786529:QKG786529 QTV786529:QUC786529 RDR786529:RDY786529 RNN786529:RNU786529 RXJ786529:RXQ786529 SHF786529:SHM786529 SRB786529:SRI786529 TAX786529:TBE786529 TKT786529:TLA786529 TUP786529:TUW786529 UEL786529:UES786529 UOH786529:UOO786529 UYD786529:UYK786529 VHZ786529:VIG786529 VRV786529:VSC786529 WBR786529:WBY786529 WLN786529:WLU786529 WVJ786529:WVQ786529 B852065:I852065 IX852065:JE852065 ST852065:TA852065 ACP852065:ACW852065 AML852065:AMS852065 AWH852065:AWO852065 BGD852065:BGK852065 BPZ852065:BQG852065 BZV852065:CAC852065 CJR852065:CJY852065 CTN852065:CTU852065 DDJ852065:DDQ852065 DNF852065:DNM852065 DXB852065:DXI852065 EGX852065:EHE852065 EQT852065:ERA852065 FAP852065:FAW852065 FKL852065:FKS852065 FUH852065:FUO852065 GED852065:GEK852065 GNZ852065:GOG852065 GXV852065:GYC852065 HHR852065:HHY852065 HRN852065:HRU852065 IBJ852065:IBQ852065 ILF852065:ILM852065 IVB852065:IVI852065 JEX852065:JFE852065 JOT852065:JPA852065 JYP852065:JYW852065 KIL852065:KIS852065 KSH852065:KSO852065 LCD852065:LCK852065 LLZ852065:LMG852065 LVV852065:LWC852065 MFR852065:MFY852065 MPN852065:MPU852065 MZJ852065:MZQ852065 NJF852065:NJM852065 NTB852065:NTI852065 OCX852065:ODE852065 OMT852065:ONA852065 OWP852065:OWW852065 PGL852065:PGS852065 PQH852065:PQO852065 QAD852065:QAK852065 QJZ852065:QKG852065 QTV852065:QUC852065 RDR852065:RDY852065 RNN852065:RNU852065 RXJ852065:RXQ852065 SHF852065:SHM852065 SRB852065:SRI852065 TAX852065:TBE852065 TKT852065:TLA852065 TUP852065:TUW852065 UEL852065:UES852065 UOH852065:UOO852065 UYD852065:UYK852065 VHZ852065:VIG852065 VRV852065:VSC852065 WBR852065:WBY852065 WLN852065:WLU852065 WVJ852065:WVQ852065 B917601:I917601 IX917601:JE917601 ST917601:TA917601 ACP917601:ACW917601 AML917601:AMS917601 AWH917601:AWO917601 BGD917601:BGK917601 BPZ917601:BQG917601 BZV917601:CAC917601 CJR917601:CJY917601 CTN917601:CTU917601 DDJ917601:DDQ917601 DNF917601:DNM917601 DXB917601:DXI917601 EGX917601:EHE917601 EQT917601:ERA917601 FAP917601:FAW917601 FKL917601:FKS917601 FUH917601:FUO917601 GED917601:GEK917601 GNZ917601:GOG917601 GXV917601:GYC917601 HHR917601:HHY917601 HRN917601:HRU917601 IBJ917601:IBQ917601 ILF917601:ILM917601 IVB917601:IVI917601 JEX917601:JFE917601 JOT917601:JPA917601 JYP917601:JYW917601 KIL917601:KIS917601 KSH917601:KSO917601 LCD917601:LCK917601 LLZ917601:LMG917601 LVV917601:LWC917601 MFR917601:MFY917601 MPN917601:MPU917601 MZJ917601:MZQ917601 NJF917601:NJM917601 NTB917601:NTI917601 OCX917601:ODE917601 OMT917601:ONA917601 OWP917601:OWW917601 PGL917601:PGS917601 PQH917601:PQO917601 QAD917601:QAK917601 QJZ917601:QKG917601 QTV917601:QUC917601 RDR917601:RDY917601 RNN917601:RNU917601 RXJ917601:RXQ917601 SHF917601:SHM917601 SRB917601:SRI917601 TAX917601:TBE917601 TKT917601:TLA917601 TUP917601:TUW917601 UEL917601:UES917601 UOH917601:UOO917601 UYD917601:UYK917601 VHZ917601:VIG917601 VRV917601:VSC917601 WBR917601:WBY917601 WLN917601:WLU917601 WVJ917601:WVQ917601 B983137:I983137 IX983137:JE983137 ST983137:TA983137 ACP983137:ACW983137 AML983137:AMS983137 AWH983137:AWO983137 BGD983137:BGK983137 BPZ983137:BQG983137 BZV983137:CAC983137 CJR983137:CJY983137 CTN983137:CTU983137 DDJ983137:DDQ983137 DNF983137:DNM983137 DXB983137:DXI983137 EGX983137:EHE983137 EQT983137:ERA983137 FAP983137:FAW983137 FKL983137:FKS983137 FUH983137:FUO983137 GED983137:GEK983137 GNZ983137:GOG983137 GXV983137:GYC983137 HHR983137:HHY983137 HRN983137:HRU983137 IBJ983137:IBQ983137 ILF983137:ILM983137 IVB983137:IVI983137 JEX983137:JFE983137 JOT983137:JPA983137 JYP983137:JYW983137 KIL983137:KIS983137 KSH983137:KSO983137 LCD983137:LCK983137 LLZ983137:LMG983137 LVV983137:LWC983137 MFR983137:MFY983137 MPN983137:MPU983137 MZJ983137:MZQ983137 NJF983137:NJM983137 NTB983137:NTI983137 OCX983137:ODE983137 OMT983137:ONA983137 OWP983137:OWW983137 PGL983137:PGS983137 PQH983137:PQO983137 QAD983137:QAK983137 QJZ983137:QKG983137 QTV983137:QUC983137 RDR983137:RDY983137 RNN983137:RNU983137 RXJ983137:RXQ983137 SHF983137:SHM983137 SRB983137:SRI983137 TAX983137:TBE983137 TKT983137:TLA983137 TUP983137:TUW983137 UEL983137:UES983137 UOH983137:UOO983137 UYD983137:UYK983137 VHZ983137:VIG983137 VRV983137:VSC983137 WBR983137:WBY983137 WLN983137:WLU983137 B47:I47">
      <formula1>Site_name_list</formula1>
    </dataValidation>
    <dataValidation type="custom" allowBlank="1" showInputMessage="1" showErrorMessage="1" sqref="B19:I19 IX19:JE19 ST19:TA19 ACP19:ACW19 AML19:AMS19 AWH19:AWO19 BGD19:BGK19 BPZ19:BQG19 BZV19:CAC19 CJR19:CJY19 CTN19:CTU19 DDJ19:DDQ19 DNF19:DNM19 DXB19:DXI19 EGX19:EHE19 EQT19:ERA19 FAP19:FAW19 FKL19:FKS19 FUH19:FUO19 GED19:GEK19 GNZ19:GOG19 GXV19:GYC19 HHR19:HHY19 HRN19:HRU19 IBJ19:IBQ19 ILF19:ILM19 IVB19:IVI19 JEX19:JFE19 JOT19:JPA19 JYP19:JYW19 KIL19:KIS19 KSH19:KSO19 LCD19:LCK19 LLZ19:LMG19 LVV19:LWC19 MFR19:MFY19 MPN19:MPU19 MZJ19:MZQ19 NJF19:NJM19 NTB19:NTI19 OCX19:ODE19 OMT19:ONA19 OWP19:OWW19 PGL19:PGS19 PQH19:PQO19 QAD19:QAK19 QJZ19:QKG19 QTV19:QUC19 RDR19:RDY19 RNN19:RNU19 RXJ19:RXQ19 SHF19:SHM19 SRB19:SRI19 TAX19:TBE19 TKT19:TLA19 TUP19:TUW19 UEL19:UES19 UOH19:UOO19 UYD19:UYK19 VHZ19:VIG19 VRV19:VSC19 WBR19:WBY19 WLN19:WLU19 WVJ19:WVQ19 B65605:I65605 IX65605:JE65605 ST65605:TA65605 ACP65605:ACW65605 AML65605:AMS65605 AWH65605:AWO65605 BGD65605:BGK65605 BPZ65605:BQG65605 BZV65605:CAC65605 CJR65605:CJY65605 CTN65605:CTU65605 DDJ65605:DDQ65605 DNF65605:DNM65605 DXB65605:DXI65605 EGX65605:EHE65605 EQT65605:ERA65605 FAP65605:FAW65605 FKL65605:FKS65605 FUH65605:FUO65605 GED65605:GEK65605 GNZ65605:GOG65605 GXV65605:GYC65605 HHR65605:HHY65605 HRN65605:HRU65605 IBJ65605:IBQ65605 ILF65605:ILM65605 IVB65605:IVI65605 JEX65605:JFE65605 JOT65605:JPA65605 JYP65605:JYW65605 KIL65605:KIS65605 KSH65605:KSO65605 LCD65605:LCK65605 LLZ65605:LMG65605 LVV65605:LWC65605 MFR65605:MFY65605 MPN65605:MPU65605 MZJ65605:MZQ65605 NJF65605:NJM65605 NTB65605:NTI65605 OCX65605:ODE65605 OMT65605:ONA65605 OWP65605:OWW65605 PGL65605:PGS65605 PQH65605:PQO65605 QAD65605:QAK65605 QJZ65605:QKG65605 QTV65605:QUC65605 RDR65605:RDY65605 RNN65605:RNU65605 RXJ65605:RXQ65605 SHF65605:SHM65605 SRB65605:SRI65605 TAX65605:TBE65605 TKT65605:TLA65605 TUP65605:TUW65605 UEL65605:UES65605 UOH65605:UOO65605 UYD65605:UYK65605 VHZ65605:VIG65605 VRV65605:VSC65605 WBR65605:WBY65605 WLN65605:WLU65605 WVJ65605:WVQ65605 B131141:I131141 IX131141:JE131141 ST131141:TA131141 ACP131141:ACW131141 AML131141:AMS131141 AWH131141:AWO131141 BGD131141:BGK131141 BPZ131141:BQG131141 BZV131141:CAC131141 CJR131141:CJY131141 CTN131141:CTU131141 DDJ131141:DDQ131141 DNF131141:DNM131141 DXB131141:DXI131141 EGX131141:EHE131141 EQT131141:ERA131141 FAP131141:FAW131141 FKL131141:FKS131141 FUH131141:FUO131141 GED131141:GEK131141 GNZ131141:GOG131141 GXV131141:GYC131141 HHR131141:HHY131141 HRN131141:HRU131141 IBJ131141:IBQ131141 ILF131141:ILM131141 IVB131141:IVI131141 JEX131141:JFE131141 JOT131141:JPA131141 JYP131141:JYW131141 KIL131141:KIS131141 KSH131141:KSO131141 LCD131141:LCK131141 LLZ131141:LMG131141 LVV131141:LWC131141 MFR131141:MFY131141 MPN131141:MPU131141 MZJ131141:MZQ131141 NJF131141:NJM131141 NTB131141:NTI131141 OCX131141:ODE131141 OMT131141:ONA131141 OWP131141:OWW131141 PGL131141:PGS131141 PQH131141:PQO131141 QAD131141:QAK131141 QJZ131141:QKG131141 QTV131141:QUC131141 RDR131141:RDY131141 RNN131141:RNU131141 RXJ131141:RXQ131141 SHF131141:SHM131141 SRB131141:SRI131141 TAX131141:TBE131141 TKT131141:TLA131141 TUP131141:TUW131141 UEL131141:UES131141 UOH131141:UOO131141 UYD131141:UYK131141 VHZ131141:VIG131141 VRV131141:VSC131141 WBR131141:WBY131141 WLN131141:WLU131141 WVJ131141:WVQ131141 B196677:I196677 IX196677:JE196677 ST196677:TA196677 ACP196677:ACW196677 AML196677:AMS196677 AWH196677:AWO196677 BGD196677:BGK196677 BPZ196677:BQG196677 BZV196677:CAC196677 CJR196677:CJY196677 CTN196677:CTU196677 DDJ196677:DDQ196677 DNF196677:DNM196677 DXB196677:DXI196677 EGX196677:EHE196677 EQT196677:ERA196677 FAP196677:FAW196677 FKL196677:FKS196677 FUH196677:FUO196677 GED196677:GEK196677 GNZ196677:GOG196677 GXV196677:GYC196677 HHR196677:HHY196677 HRN196677:HRU196677 IBJ196677:IBQ196677 ILF196677:ILM196677 IVB196677:IVI196677 JEX196677:JFE196677 JOT196677:JPA196677 JYP196677:JYW196677 KIL196677:KIS196677 KSH196677:KSO196677 LCD196677:LCK196677 LLZ196677:LMG196677 LVV196677:LWC196677 MFR196677:MFY196677 MPN196677:MPU196677 MZJ196677:MZQ196677 NJF196677:NJM196677 NTB196677:NTI196677 OCX196677:ODE196677 OMT196677:ONA196677 OWP196677:OWW196677 PGL196677:PGS196677 PQH196677:PQO196677 QAD196677:QAK196677 QJZ196677:QKG196677 QTV196677:QUC196677 RDR196677:RDY196677 RNN196677:RNU196677 RXJ196677:RXQ196677 SHF196677:SHM196677 SRB196677:SRI196677 TAX196677:TBE196677 TKT196677:TLA196677 TUP196677:TUW196677 UEL196677:UES196677 UOH196677:UOO196677 UYD196677:UYK196677 VHZ196677:VIG196677 VRV196677:VSC196677 WBR196677:WBY196677 WLN196677:WLU196677 WVJ196677:WVQ196677 B262213:I262213 IX262213:JE262213 ST262213:TA262213 ACP262213:ACW262213 AML262213:AMS262213 AWH262213:AWO262213 BGD262213:BGK262213 BPZ262213:BQG262213 BZV262213:CAC262213 CJR262213:CJY262213 CTN262213:CTU262213 DDJ262213:DDQ262213 DNF262213:DNM262213 DXB262213:DXI262213 EGX262213:EHE262213 EQT262213:ERA262213 FAP262213:FAW262213 FKL262213:FKS262213 FUH262213:FUO262213 GED262213:GEK262213 GNZ262213:GOG262213 GXV262213:GYC262213 HHR262213:HHY262213 HRN262213:HRU262213 IBJ262213:IBQ262213 ILF262213:ILM262213 IVB262213:IVI262213 JEX262213:JFE262213 JOT262213:JPA262213 JYP262213:JYW262213 KIL262213:KIS262213 KSH262213:KSO262213 LCD262213:LCK262213 LLZ262213:LMG262213 LVV262213:LWC262213 MFR262213:MFY262213 MPN262213:MPU262213 MZJ262213:MZQ262213 NJF262213:NJM262213 NTB262213:NTI262213 OCX262213:ODE262213 OMT262213:ONA262213 OWP262213:OWW262213 PGL262213:PGS262213 PQH262213:PQO262213 QAD262213:QAK262213 QJZ262213:QKG262213 QTV262213:QUC262213 RDR262213:RDY262213 RNN262213:RNU262213 RXJ262213:RXQ262213 SHF262213:SHM262213 SRB262213:SRI262213 TAX262213:TBE262213 TKT262213:TLA262213 TUP262213:TUW262213 UEL262213:UES262213 UOH262213:UOO262213 UYD262213:UYK262213 VHZ262213:VIG262213 VRV262213:VSC262213 WBR262213:WBY262213 WLN262213:WLU262213 WVJ262213:WVQ262213 B327749:I327749 IX327749:JE327749 ST327749:TA327749 ACP327749:ACW327749 AML327749:AMS327749 AWH327749:AWO327749 BGD327749:BGK327749 BPZ327749:BQG327749 BZV327749:CAC327749 CJR327749:CJY327749 CTN327749:CTU327749 DDJ327749:DDQ327749 DNF327749:DNM327749 DXB327749:DXI327749 EGX327749:EHE327749 EQT327749:ERA327749 FAP327749:FAW327749 FKL327749:FKS327749 FUH327749:FUO327749 GED327749:GEK327749 GNZ327749:GOG327749 GXV327749:GYC327749 HHR327749:HHY327749 HRN327749:HRU327749 IBJ327749:IBQ327749 ILF327749:ILM327749 IVB327749:IVI327749 JEX327749:JFE327749 JOT327749:JPA327749 JYP327749:JYW327749 KIL327749:KIS327749 KSH327749:KSO327749 LCD327749:LCK327749 LLZ327749:LMG327749 LVV327749:LWC327749 MFR327749:MFY327749 MPN327749:MPU327749 MZJ327749:MZQ327749 NJF327749:NJM327749 NTB327749:NTI327749 OCX327749:ODE327749 OMT327749:ONA327749 OWP327749:OWW327749 PGL327749:PGS327749 PQH327749:PQO327749 QAD327749:QAK327749 QJZ327749:QKG327749 QTV327749:QUC327749 RDR327749:RDY327749 RNN327749:RNU327749 RXJ327749:RXQ327749 SHF327749:SHM327749 SRB327749:SRI327749 TAX327749:TBE327749 TKT327749:TLA327749 TUP327749:TUW327749 UEL327749:UES327749 UOH327749:UOO327749 UYD327749:UYK327749 VHZ327749:VIG327749 VRV327749:VSC327749 WBR327749:WBY327749 WLN327749:WLU327749 WVJ327749:WVQ327749 B393285:I393285 IX393285:JE393285 ST393285:TA393285 ACP393285:ACW393285 AML393285:AMS393285 AWH393285:AWO393285 BGD393285:BGK393285 BPZ393285:BQG393285 BZV393285:CAC393285 CJR393285:CJY393285 CTN393285:CTU393285 DDJ393285:DDQ393285 DNF393285:DNM393285 DXB393285:DXI393285 EGX393285:EHE393285 EQT393285:ERA393285 FAP393285:FAW393285 FKL393285:FKS393285 FUH393285:FUO393285 GED393285:GEK393285 GNZ393285:GOG393285 GXV393285:GYC393285 HHR393285:HHY393285 HRN393285:HRU393285 IBJ393285:IBQ393285 ILF393285:ILM393285 IVB393285:IVI393285 JEX393285:JFE393285 JOT393285:JPA393285 JYP393285:JYW393285 KIL393285:KIS393285 KSH393285:KSO393285 LCD393285:LCK393285 LLZ393285:LMG393285 LVV393285:LWC393285 MFR393285:MFY393285 MPN393285:MPU393285 MZJ393285:MZQ393285 NJF393285:NJM393285 NTB393285:NTI393285 OCX393285:ODE393285 OMT393285:ONA393285 OWP393285:OWW393285 PGL393285:PGS393285 PQH393285:PQO393285 QAD393285:QAK393285 QJZ393285:QKG393285 QTV393285:QUC393285 RDR393285:RDY393285 RNN393285:RNU393285 RXJ393285:RXQ393285 SHF393285:SHM393285 SRB393285:SRI393285 TAX393285:TBE393285 TKT393285:TLA393285 TUP393285:TUW393285 UEL393285:UES393285 UOH393285:UOO393285 UYD393285:UYK393285 VHZ393285:VIG393285 VRV393285:VSC393285 WBR393285:WBY393285 WLN393285:WLU393285 WVJ393285:WVQ393285 B458821:I458821 IX458821:JE458821 ST458821:TA458821 ACP458821:ACW458821 AML458821:AMS458821 AWH458821:AWO458821 BGD458821:BGK458821 BPZ458821:BQG458821 BZV458821:CAC458821 CJR458821:CJY458821 CTN458821:CTU458821 DDJ458821:DDQ458821 DNF458821:DNM458821 DXB458821:DXI458821 EGX458821:EHE458821 EQT458821:ERA458821 FAP458821:FAW458821 FKL458821:FKS458821 FUH458821:FUO458821 GED458821:GEK458821 GNZ458821:GOG458821 GXV458821:GYC458821 HHR458821:HHY458821 HRN458821:HRU458821 IBJ458821:IBQ458821 ILF458821:ILM458821 IVB458821:IVI458821 JEX458821:JFE458821 JOT458821:JPA458821 JYP458821:JYW458821 KIL458821:KIS458821 KSH458821:KSO458821 LCD458821:LCK458821 LLZ458821:LMG458821 LVV458821:LWC458821 MFR458821:MFY458821 MPN458821:MPU458821 MZJ458821:MZQ458821 NJF458821:NJM458821 NTB458821:NTI458821 OCX458821:ODE458821 OMT458821:ONA458821 OWP458821:OWW458821 PGL458821:PGS458821 PQH458821:PQO458821 QAD458821:QAK458821 QJZ458821:QKG458821 QTV458821:QUC458821 RDR458821:RDY458821 RNN458821:RNU458821 RXJ458821:RXQ458821 SHF458821:SHM458821 SRB458821:SRI458821 TAX458821:TBE458821 TKT458821:TLA458821 TUP458821:TUW458821 UEL458821:UES458821 UOH458821:UOO458821 UYD458821:UYK458821 VHZ458821:VIG458821 VRV458821:VSC458821 WBR458821:WBY458821 WLN458821:WLU458821 WVJ458821:WVQ458821 B524357:I524357 IX524357:JE524357 ST524357:TA524357 ACP524357:ACW524357 AML524357:AMS524357 AWH524357:AWO524357 BGD524357:BGK524357 BPZ524357:BQG524357 BZV524357:CAC524357 CJR524357:CJY524357 CTN524357:CTU524357 DDJ524357:DDQ524357 DNF524357:DNM524357 DXB524357:DXI524357 EGX524357:EHE524357 EQT524357:ERA524357 FAP524357:FAW524357 FKL524357:FKS524357 FUH524357:FUO524357 GED524357:GEK524357 GNZ524357:GOG524357 GXV524357:GYC524357 HHR524357:HHY524357 HRN524357:HRU524357 IBJ524357:IBQ524357 ILF524357:ILM524357 IVB524357:IVI524357 JEX524357:JFE524357 JOT524357:JPA524357 JYP524357:JYW524357 KIL524357:KIS524357 KSH524357:KSO524357 LCD524357:LCK524357 LLZ524357:LMG524357 LVV524357:LWC524357 MFR524357:MFY524357 MPN524357:MPU524357 MZJ524357:MZQ524357 NJF524357:NJM524357 NTB524357:NTI524357 OCX524357:ODE524357 OMT524357:ONA524357 OWP524357:OWW524357 PGL524357:PGS524357 PQH524357:PQO524357 QAD524357:QAK524357 QJZ524357:QKG524357 QTV524357:QUC524357 RDR524357:RDY524357 RNN524357:RNU524357 RXJ524357:RXQ524357 SHF524357:SHM524357 SRB524357:SRI524357 TAX524357:TBE524357 TKT524357:TLA524357 TUP524357:TUW524357 UEL524357:UES524357 UOH524357:UOO524357 UYD524357:UYK524357 VHZ524357:VIG524357 VRV524357:VSC524357 WBR524357:WBY524357 WLN524357:WLU524357 WVJ524357:WVQ524357 B589893:I589893 IX589893:JE589893 ST589893:TA589893 ACP589893:ACW589893 AML589893:AMS589893 AWH589893:AWO589893 BGD589893:BGK589893 BPZ589893:BQG589893 BZV589893:CAC589893 CJR589893:CJY589893 CTN589893:CTU589893 DDJ589893:DDQ589893 DNF589893:DNM589893 DXB589893:DXI589893 EGX589893:EHE589893 EQT589893:ERA589893 FAP589893:FAW589893 FKL589893:FKS589893 FUH589893:FUO589893 GED589893:GEK589893 GNZ589893:GOG589893 GXV589893:GYC589893 HHR589893:HHY589893 HRN589893:HRU589893 IBJ589893:IBQ589893 ILF589893:ILM589893 IVB589893:IVI589893 JEX589893:JFE589893 JOT589893:JPA589893 JYP589893:JYW589893 KIL589893:KIS589893 KSH589893:KSO589893 LCD589893:LCK589893 LLZ589893:LMG589893 LVV589893:LWC589893 MFR589893:MFY589893 MPN589893:MPU589893 MZJ589893:MZQ589893 NJF589893:NJM589893 NTB589893:NTI589893 OCX589893:ODE589893 OMT589893:ONA589893 OWP589893:OWW589893 PGL589893:PGS589893 PQH589893:PQO589893 QAD589893:QAK589893 QJZ589893:QKG589893 QTV589893:QUC589893 RDR589893:RDY589893 RNN589893:RNU589893 RXJ589893:RXQ589893 SHF589893:SHM589893 SRB589893:SRI589893 TAX589893:TBE589893 TKT589893:TLA589893 TUP589893:TUW589893 UEL589893:UES589893 UOH589893:UOO589893 UYD589893:UYK589893 VHZ589893:VIG589893 VRV589893:VSC589893 WBR589893:WBY589893 WLN589893:WLU589893 WVJ589893:WVQ589893 B655429:I655429 IX655429:JE655429 ST655429:TA655429 ACP655429:ACW655429 AML655429:AMS655429 AWH655429:AWO655429 BGD655429:BGK655429 BPZ655429:BQG655429 BZV655429:CAC655429 CJR655429:CJY655429 CTN655429:CTU655429 DDJ655429:DDQ655429 DNF655429:DNM655429 DXB655429:DXI655429 EGX655429:EHE655429 EQT655429:ERA655429 FAP655429:FAW655429 FKL655429:FKS655429 FUH655429:FUO655429 GED655429:GEK655429 GNZ655429:GOG655429 GXV655429:GYC655429 HHR655429:HHY655429 HRN655429:HRU655429 IBJ655429:IBQ655429 ILF655429:ILM655429 IVB655429:IVI655429 JEX655429:JFE655429 JOT655429:JPA655429 JYP655429:JYW655429 KIL655429:KIS655429 KSH655429:KSO655429 LCD655429:LCK655429 LLZ655429:LMG655429 LVV655429:LWC655429 MFR655429:MFY655429 MPN655429:MPU655429 MZJ655429:MZQ655429 NJF655429:NJM655429 NTB655429:NTI655429 OCX655429:ODE655429 OMT655429:ONA655429 OWP655429:OWW655429 PGL655429:PGS655429 PQH655429:PQO655429 QAD655429:QAK655429 QJZ655429:QKG655429 QTV655429:QUC655429 RDR655429:RDY655429 RNN655429:RNU655429 RXJ655429:RXQ655429 SHF655429:SHM655429 SRB655429:SRI655429 TAX655429:TBE655429 TKT655429:TLA655429 TUP655429:TUW655429 UEL655429:UES655429 UOH655429:UOO655429 UYD655429:UYK655429 VHZ655429:VIG655429 VRV655429:VSC655429 WBR655429:WBY655429 WLN655429:WLU655429 WVJ655429:WVQ655429 B720965:I720965 IX720965:JE720965 ST720965:TA720965 ACP720965:ACW720965 AML720965:AMS720965 AWH720965:AWO720965 BGD720965:BGK720965 BPZ720965:BQG720965 BZV720965:CAC720965 CJR720965:CJY720965 CTN720965:CTU720965 DDJ720965:DDQ720965 DNF720965:DNM720965 DXB720965:DXI720965 EGX720965:EHE720965 EQT720965:ERA720965 FAP720965:FAW720965 FKL720965:FKS720965 FUH720965:FUO720965 GED720965:GEK720965 GNZ720965:GOG720965 GXV720965:GYC720965 HHR720965:HHY720965 HRN720965:HRU720965 IBJ720965:IBQ720965 ILF720965:ILM720965 IVB720965:IVI720965 JEX720965:JFE720965 JOT720965:JPA720965 JYP720965:JYW720965 KIL720965:KIS720965 KSH720965:KSO720965 LCD720965:LCK720965 LLZ720965:LMG720965 LVV720965:LWC720965 MFR720965:MFY720965 MPN720965:MPU720965 MZJ720965:MZQ720965 NJF720965:NJM720965 NTB720965:NTI720965 OCX720965:ODE720965 OMT720965:ONA720965 OWP720965:OWW720965 PGL720965:PGS720965 PQH720965:PQO720965 QAD720965:QAK720965 QJZ720965:QKG720965 QTV720965:QUC720965 RDR720965:RDY720965 RNN720965:RNU720965 RXJ720965:RXQ720965 SHF720965:SHM720965 SRB720965:SRI720965 TAX720965:TBE720965 TKT720965:TLA720965 TUP720965:TUW720965 UEL720965:UES720965 UOH720965:UOO720965 UYD720965:UYK720965 VHZ720965:VIG720965 VRV720965:VSC720965 WBR720965:WBY720965 WLN720965:WLU720965 WVJ720965:WVQ720965 B786501:I786501 IX786501:JE786501 ST786501:TA786501 ACP786501:ACW786501 AML786501:AMS786501 AWH786501:AWO786501 BGD786501:BGK786501 BPZ786501:BQG786501 BZV786501:CAC786501 CJR786501:CJY786501 CTN786501:CTU786501 DDJ786501:DDQ786501 DNF786501:DNM786501 DXB786501:DXI786501 EGX786501:EHE786501 EQT786501:ERA786501 FAP786501:FAW786501 FKL786501:FKS786501 FUH786501:FUO786501 GED786501:GEK786501 GNZ786501:GOG786501 GXV786501:GYC786501 HHR786501:HHY786501 HRN786501:HRU786501 IBJ786501:IBQ786501 ILF786501:ILM786501 IVB786501:IVI786501 JEX786501:JFE786501 JOT786501:JPA786501 JYP786501:JYW786501 KIL786501:KIS786501 KSH786501:KSO786501 LCD786501:LCK786501 LLZ786501:LMG786501 LVV786501:LWC786501 MFR786501:MFY786501 MPN786501:MPU786501 MZJ786501:MZQ786501 NJF786501:NJM786501 NTB786501:NTI786501 OCX786501:ODE786501 OMT786501:ONA786501 OWP786501:OWW786501 PGL786501:PGS786501 PQH786501:PQO786501 QAD786501:QAK786501 QJZ786501:QKG786501 QTV786501:QUC786501 RDR786501:RDY786501 RNN786501:RNU786501 RXJ786501:RXQ786501 SHF786501:SHM786501 SRB786501:SRI786501 TAX786501:TBE786501 TKT786501:TLA786501 TUP786501:TUW786501 UEL786501:UES786501 UOH786501:UOO786501 UYD786501:UYK786501 VHZ786501:VIG786501 VRV786501:VSC786501 WBR786501:WBY786501 WLN786501:WLU786501 WVJ786501:WVQ786501 B852037:I852037 IX852037:JE852037 ST852037:TA852037 ACP852037:ACW852037 AML852037:AMS852037 AWH852037:AWO852037 BGD852037:BGK852037 BPZ852037:BQG852037 BZV852037:CAC852037 CJR852037:CJY852037 CTN852037:CTU852037 DDJ852037:DDQ852037 DNF852037:DNM852037 DXB852037:DXI852037 EGX852037:EHE852037 EQT852037:ERA852037 FAP852037:FAW852037 FKL852037:FKS852037 FUH852037:FUO852037 GED852037:GEK852037 GNZ852037:GOG852037 GXV852037:GYC852037 HHR852037:HHY852037 HRN852037:HRU852037 IBJ852037:IBQ852037 ILF852037:ILM852037 IVB852037:IVI852037 JEX852037:JFE852037 JOT852037:JPA852037 JYP852037:JYW852037 KIL852037:KIS852037 KSH852037:KSO852037 LCD852037:LCK852037 LLZ852037:LMG852037 LVV852037:LWC852037 MFR852037:MFY852037 MPN852037:MPU852037 MZJ852037:MZQ852037 NJF852037:NJM852037 NTB852037:NTI852037 OCX852037:ODE852037 OMT852037:ONA852037 OWP852037:OWW852037 PGL852037:PGS852037 PQH852037:PQO852037 QAD852037:QAK852037 QJZ852037:QKG852037 QTV852037:QUC852037 RDR852037:RDY852037 RNN852037:RNU852037 RXJ852037:RXQ852037 SHF852037:SHM852037 SRB852037:SRI852037 TAX852037:TBE852037 TKT852037:TLA852037 TUP852037:TUW852037 UEL852037:UES852037 UOH852037:UOO852037 UYD852037:UYK852037 VHZ852037:VIG852037 VRV852037:VSC852037 WBR852037:WBY852037 WLN852037:WLU852037 WVJ852037:WVQ852037 B917573:I917573 IX917573:JE917573 ST917573:TA917573 ACP917573:ACW917573 AML917573:AMS917573 AWH917573:AWO917573 BGD917573:BGK917573 BPZ917573:BQG917573 BZV917573:CAC917573 CJR917573:CJY917573 CTN917573:CTU917573 DDJ917573:DDQ917573 DNF917573:DNM917573 DXB917573:DXI917573 EGX917573:EHE917573 EQT917573:ERA917573 FAP917573:FAW917573 FKL917573:FKS917573 FUH917573:FUO917573 GED917573:GEK917573 GNZ917573:GOG917573 GXV917573:GYC917573 HHR917573:HHY917573 HRN917573:HRU917573 IBJ917573:IBQ917573 ILF917573:ILM917573 IVB917573:IVI917573 JEX917573:JFE917573 JOT917573:JPA917573 JYP917573:JYW917573 KIL917573:KIS917573 KSH917573:KSO917573 LCD917573:LCK917573 LLZ917573:LMG917573 LVV917573:LWC917573 MFR917573:MFY917573 MPN917573:MPU917573 MZJ917573:MZQ917573 NJF917573:NJM917573 NTB917573:NTI917573 OCX917573:ODE917573 OMT917573:ONA917573 OWP917573:OWW917573 PGL917573:PGS917573 PQH917573:PQO917573 QAD917573:QAK917573 QJZ917573:QKG917573 QTV917573:QUC917573 RDR917573:RDY917573 RNN917573:RNU917573 RXJ917573:RXQ917573 SHF917573:SHM917573 SRB917573:SRI917573 TAX917573:TBE917573 TKT917573:TLA917573 TUP917573:TUW917573 UEL917573:UES917573 UOH917573:UOO917573 UYD917573:UYK917573 VHZ917573:VIG917573 VRV917573:VSC917573 WBR917573:WBY917573 WLN917573:WLU917573 WVJ917573:WVQ917573 B983109:I983109 IX983109:JE983109 ST983109:TA983109 ACP983109:ACW983109 AML983109:AMS983109 AWH983109:AWO983109 BGD983109:BGK983109 BPZ983109:BQG983109 BZV983109:CAC983109 CJR983109:CJY983109 CTN983109:CTU983109 DDJ983109:DDQ983109 DNF983109:DNM983109 DXB983109:DXI983109 EGX983109:EHE983109 EQT983109:ERA983109 FAP983109:FAW983109 FKL983109:FKS983109 FUH983109:FUO983109 GED983109:GEK983109 GNZ983109:GOG983109 GXV983109:GYC983109 HHR983109:HHY983109 HRN983109:HRU983109 IBJ983109:IBQ983109 ILF983109:ILM983109 IVB983109:IVI983109 JEX983109:JFE983109 JOT983109:JPA983109 JYP983109:JYW983109 KIL983109:KIS983109 KSH983109:KSO983109 LCD983109:LCK983109 LLZ983109:LMG983109 LVV983109:LWC983109 MFR983109:MFY983109 MPN983109:MPU983109 MZJ983109:MZQ983109 NJF983109:NJM983109 NTB983109:NTI983109 OCX983109:ODE983109 OMT983109:ONA983109 OWP983109:OWW983109 PGL983109:PGS983109 PQH983109:PQO983109 QAD983109:QAK983109 QJZ983109:QKG983109 QTV983109:QUC983109 RDR983109:RDY983109 RNN983109:RNU983109 RXJ983109:RXQ983109 SHF983109:SHM983109 SRB983109:SRI983109 TAX983109:TBE983109 TKT983109:TLA983109 TUP983109:TUW983109 UEL983109:UES983109 UOH983109:UOO983109 UYD983109:UYK983109 VHZ983109:VIG983109 VRV983109:VSC983109 WBR983109:WBY983109 WLN983109:WLU983109 WVJ983109:WVQ983109">
      <formula1>NOT(ISERR(AND(FIND(".",B19),FIND("@",B19))))</formula1>
    </dataValidation>
    <dataValidation type="list" allowBlank="1" showInputMessage="1" showErrorMessage="1" error="Please select from the drop-down list" promptTitle="Role" prompt="Select the role of this person for this dataset. The role of Owner is the person or persons who should be contacted for more information." sqref="B18:I18 WVJ983108:WVQ983108 WLN983108:WLU983108 WBR983108:WBY983108 VRV983108:VSC983108 VHZ983108:VIG983108 UYD983108:UYK983108 UOH983108:UOO983108 UEL983108:UES983108 TUP983108:TUW983108 TKT983108:TLA983108 TAX983108:TBE983108 SRB983108:SRI983108 SHF983108:SHM983108 RXJ983108:RXQ983108 RNN983108:RNU983108 RDR983108:RDY983108 QTV983108:QUC983108 QJZ983108:QKG983108 QAD983108:QAK983108 PQH983108:PQO983108 PGL983108:PGS983108 OWP983108:OWW983108 OMT983108:ONA983108 OCX983108:ODE983108 NTB983108:NTI983108 NJF983108:NJM983108 MZJ983108:MZQ983108 MPN983108:MPU983108 MFR983108:MFY983108 LVV983108:LWC983108 LLZ983108:LMG983108 LCD983108:LCK983108 KSH983108:KSO983108 KIL983108:KIS983108 JYP983108:JYW983108 JOT983108:JPA983108 JEX983108:JFE983108 IVB983108:IVI983108 ILF983108:ILM983108 IBJ983108:IBQ983108 HRN983108:HRU983108 HHR983108:HHY983108 GXV983108:GYC983108 GNZ983108:GOG983108 GED983108:GEK983108 FUH983108:FUO983108 FKL983108:FKS983108 FAP983108:FAW983108 EQT983108:ERA983108 EGX983108:EHE983108 DXB983108:DXI983108 DNF983108:DNM983108 DDJ983108:DDQ983108 CTN983108:CTU983108 CJR983108:CJY983108 BZV983108:CAC983108 BPZ983108:BQG983108 BGD983108:BGK983108 AWH983108:AWO983108 AML983108:AMS983108 ACP983108:ACW983108 ST983108:TA983108 IX983108:JE983108 B983108:I983108 WVJ917572:WVQ917572 WLN917572:WLU917572 WBR917572:WBY917572 VRV917572:VSC917572 VHZ917572:VIG917572 UYD917572:UYK917572 UOH917572:UOO917572 UEL917572:UES917572 TUP917572:TUW917572 TKT917572:TLA917572 TAX917572:TBE917572 SRB917572:SRI917572 SHF917572:SHM917572 RXJ917572:RXQ917572 RNN917572:RNU917572 RDR917572:RDY917572 QTV917572:QUC917572 QJZ917572:QKG917572 QAD917572:QAK917572 PQH917572:PQO917572 PGL917572:PGS917572 OWP917572:OWW917572 OMT917572:ONA917572 OCX917572:ODE917572 NTB917572:NTI917572 NJF917572:NJM917572 MZJ917572:MZQ917572 MPN917572:MPU917572 MFR917572:MFY917572 LVV917572:LWC917572 LLZ917572:LMG917572 LCD917572:LCK917572 KSH917572:KSO917572 KIL917572:KIS917572 JYP917572:JYW917572 JOT917572:JPA917572 JEX917572:JFE917572 IVB917572:IVI917572 ILF917572:ILM917572 IBJ917572:IBQ917572 HRN917572:HRU917572 HHR917572:HHY917572 GXV917572:GYC917572 GNZ917572:GOG917572 GED917572:GEK917572 FUH917572:FUO917572 FKL917572:FKS917572 FAP917572:FAW917572 EQT917572:ERA917572 EGX917572:EHE917572 DXB917572:DXI917572 DNF917572:DNM917572 DDJ917572:DDQ917572 CTN917572:CTU917572 CJR917572:CJY917572 BZV917572:CAC917572 BPZ917572:BQG917572 BGD917572:BGK917572 AWH917572:AWO917572 AML917572:AMS917572 ACP917572:ACW917572 ST917572:TA917572 IX917572:JE917572 B917572:I917572 WVJ852036:WVQ852036 WLN852036:WLU852036 WBR852036:WBY852036 VRV852036:VSC852036 VHZ852036:VIG852036 UYD852036:UYK852036 UOH852036:UOO852036 UEL852036:UES852036 TUP852036:TUW852036 TKT852036:TLA852036 TAX852036:TBE852036 SRB852036:SRI852036 SHF852036:SHM852036 RXJ852036:RXQ852036 RNN852036:RNU852036 RDR852036:RDY852036 QTV852036:QUC852036 QJZ852036:QKG852036 QAD852036:QAK852036 PQH852036:PQO852036 PGL852036:PGS852036 OWP852036:OWW852036 OMT852036:ONA852036 OCX852036:ODE852036 NTB852036:NTI852036 NJF852036:NJM852036 MZJ852036:MZQ852036 MPN852036:MPU852036 MFR852036:MFY852036 LVV852036:LWC852036 LLZ852036:LMG852036 LCD852036:LCK852036 KSH852036:KSO852036 KIL852036:KIS852036 JYP852036:JYW852036 JOT852036:JPA852036 JEX852036:JFE852036 IVB852036:IVI852036 ILF852036:ILM852036 IBJ852036:IBQ852036 HRN852036:HRU852036 HHR852036:HHY852036 GXV852036:GYC852036 GNZ852036:GOG852036 GED852036:GEK852036 FUH852036:FUO852036 FKL852036:FKS852036 FAP852036:FAW852036 EQT852036:ERA852036 EGX852036:EHE852036 DXB852036:DXI852036 DNF852036:DNM852036 DDJ852036:DDQ852036 CTN852036:CTU852036 CJR852036:CJY852036 BZV852036:CAC852036 BPZ852036:BQG852036 BGD852036:BGK852036 AWH852036:AWO852036 AML852036:AMS852036 ACP852036:ACW852036 ST852036:TA852036 IX852036:JE852036 B852036:I852036 WVJ786500:WVQ786500 WLN786500:WLU786500 WBR786500:WBY786500 VRV786500:VSC786500 VHZ786500:VIG786500 UYD786500:UYK786500 UOH786500:UOO786500 UEL786500:UES786500 TUP786500:TUW786500 TKT786500:TLA786500 TAX786500:TBE786500 SRB786500:SRI786500 SHF786500:SHM786500 RXJ786500:RXQ786500 RNN786500:RNU786500 RDR786500:RDY786500 QTV786500:QUC786500 QJZ786500:QKG786500 QAD786500:QAK786500 PQH786500:PQO786500 PGL786500:PGS786500 OWP786500:OWW786500 OMT786500:ONA786500 OCX786500:ODE786500 NTB786500:NTI786500 NJF786500:NJM786500 MZJ786500:MZQ786500 MPN786500:MPU786500 MFR786500:MFY786500 LVV786500:LWC786500 LLZ786500:LMG786500 LCD786500:LCK786500 KSH786500:KSO786500 KIL786500:KIS786500 JYP786500:JYW786500 JOT786500:JPA786500 JEX786500:JFE786500 IVB786500:IVI786500 ILF786500:ILM786500 IBJ786500:IBQ786500 HRN786500:HRU786500 HHR786500:HHY786500 GXV786500:GYC786500 GNZ786500:GOG786500 GED786500:GEK786500 FUH786500:FUO786500 FKL786500:FKS786500 FAP786500:FAW786500 EQT786500:ERA786500 EGX786500:EHE786500 DXB786500:DXI786500 DNF786500:DNM786500 DDJ786500:DDQ786500 CTN786500:CTU786500 CJR786500:CJY786500 BZV786500:CAC786500 BPZ786500:BQG786500 BGD786500:BGK786500 AWH786500:AWO786500 AML786500:AMS786500 ACP786500:ACW786500 ST786500:TA786500 IX786500:JE786500 B786500:I786500 WVJ720964:WVQ720964 WLN720964:WLU720964 WBR720964:WBY720964 VRV720964:VSC720964 VHZ720964:VIG720964 UYD720964:UYK720964 UOH720964:UOO720964 UEL720964:UES720964 TUP720964:TUW720964 TKT720964:TLA720964 TAX720964:TBE720964 SRB720964:SRI720964 SHF720964:SHM720964 RXJ720964:RXQ720964 RNN720964:RNU720964 RDR720964:RDY720964 QTV720964:QUC720964 QJZ720964:QKG720964 QAD720964:QAK720964 PQH720964:PQO720964 PGL720964:PGS720964 OWP720964:OWW720964 OMT720964:ONA720964 OCX720964:ODE720964 NTB720964:NTI720964 NJF720964:NJM720964 MZJ720964:MZQ720964 MPN720964:MPU720964 MFR720964:MFY720964 LVV720964:LWC720964 LLZ720964:LMG720964 LCD720964:LCK720964 KSH720964:KSO720964 KIL720964:KIS720964 JYP720964:JYW720964 JOT720964:JPA720964 JEX720964:JFE720964 IVB720964:IVI720964 ILF720964:ILM720964 IBJ720964:IBQ720964 HRN720964:HRU720964 HHR720964:HHY720964 GXV720964:GYC720964 GNZ720964:GOG720964 GED720964:GEK720964 FUH720964:FUO720964 FKL720964:FKS720964 FAP720964:FAW720964 EQT720964:ERA720964 EGX720964:EHE720964 DXB720964:DXI720964 DNF720964:DNM720964 DDJ720964:DDQ720964 CTN720964:CTU720964 CJR720964:CJY720964 BZV720964:CAC720964 BPZ720964:BQG720964 BGD720964:BGK720964 AWH720964:AWO720964 AML720964:AMS720964 ACP720964:ACW720964 ST720964:TA720964 IX720964:JE720964 B720964:I720964 WVJ655428:WVQ655428 WLN655428:WLU655428 WBR655428:WBY655428 VRV655428:VSC655428 VHZ655428:VIG655428 UYD655428:UYK655428 UOH655428:UOO655428 UEL655428:UES655428 TUP655428:TUW655428 TKT655428:TLA655428 TAX655428:TBE655428 SRB655428:SRI655428 SHF655428:SHM655428 RXJ655428:RXQ655428 RNN655428:RNU655428 RDR655428:RDY655428 QTV655428:QUC655428 QJZ655428:QKG655428 QAD655428:QAK655428 PQH655428:PQO655428 PGL655428:PGS655428 OWP655428:OWW655428 OMT655428:ONA655428 OCX655428:ODE655428 NTB655428:NTI655428 NJF655428:NJM655428 MZJ655428:MZQ655428 MPN655428:MPU655428 MFR655428:MFY655428 LVV655428:LWC655428 LLZ655428:LMG655428 LCD655428:LCK655428 KSH655428:KSO655428 KIL655428:KIS655428 JYP655428:JYW655428 JOT655428:JPA655428 JEX655428:JFE655428 IVB655428:IVI655428 ILF655428:ILM655428 IBJ655428:IBQ655428 HRN655428:HRU655428 HHR655428:HHY655428 GXV655428:GYC655428 GNZ655428:GOG655428 GED655428:GEK655428 FUH655428:FUO655428 FKL655428:FKS655428 FAP655428:FAW655428 EQT655428:ERA655428 EGX655428:EHE655428 DXB655428:DXI655428 DNF655428:DNM655428 DDJ655428:DDQ655428 CTN655428:CTU655428 CJR655428:CJY655428 BZV655428:CAC655428 BPZ655428:BQG655428 BGD655428:BGK655428 AWH655428:AWO655428 AML655428:AMS655428 ACP655428:ACW655428 ST655428:TA655428 IX655428:JE655428 B655428:I655428 WVJ589892:WVQ589892 WLN589892:WLU589892 WBR589892:WBY589892 VRV589892:VSC589892 VHZ589892:VIG589892 UYD589892:UYK589892 UOH589892:UOO589892 UEL589892:UES589892 TUP589892:TUW589892 TKT589892:TLA589892 TAX589892:TBE589892 SRB589892:SRI589892 SHF589892:SHM589892 RXJ589892:RXQ589892 RNN589892:RNU589892 RDR589892:RDY589892 QTV589892:QUC589892 QJZ589892:QKG589892 QAD589892:QAK589892 PQH589892:PQO589892 PGL589892:PGS589892 OWP589892:OWW589892 OMT589892:ONA589892 OCX589892:ODE589892 NTB589892:NTI589892 NJF589892:NJM589892 MZJ589892:MZQ589892 MPN589892:MPU589892 MFR589892:MFY589892 LVV589892:LWC589892 LLZ589892:LMG589892 LCD589892:LCK589892 KSH589892:KSO589892 KIL589892:KIS589892 JYP589892:JYW589892 JOT589892:JPA589892 JEX589892:JFE589892 IVB589892:IVI589892 ILF589892:ILM589892 IBJ589892:IBQ589892 HRN589892:HRU589892 HHR589892:HHY589892 GXV589892:GYC589892 GNZ589892:GOG589892 GED589892:GEK589892 FUH589892:FUO589892 FKL589892:FKS589892 FAP589892:FAW589892 EQT589892:ERA589892 EGX589892:EHE589892 DXB589892:DXI589892 DNF589892:DNM589892 DDJ589892:DDQ589892 CTN589892:CTU589892 CJR589892:CJY589892 BZV589892:CAC589892 BPZ589892:BQG589892 BGD589892:BGK589892 AWH589892:AWO589892 AML589892:AMS589892 ACP589892:ACW589892 ST589892:TA589892 IX589892:JE589892 B589892:I589892 WVJ524356:WVQ524356 WLN524356:WLU524356 WBR524356:WBY524356 VRV524356:VSC524356 VHZ524356:VIG524356 UYD524356:UYK524356 UOH524356:UOO524356 UEL524356:UES524356 TUP524356:TUW524356 TKT524356:TLA524356 TAX524356:TBE524356 SRB524356:SRI524356 SHF524356:SHM524356 RXJ524356:RXQ524356 RNN524356:RNU524356 RDR524356:RDY524356 QTV524356:QUC524356 QJZ524356:QKG524356 QAD524356:QAK524356 PQH524356:PQO524356 PGL524356:PGS524356 OWP524356:OWW524356 OMT524356:ONA524356 OCX524356:ODE524356 NTB524356:NTI524356 NJF524356:NJM524356 MZJ524356:MZQ524356 MPN524356:MPU524356 MFR524356:MFY524356 LVV524356:LWC524356 LLZ524356:LMG524356 LCD524356:LCK524356 KSH524356:KSO524356 KIL524356:KIS524356 JYP524356:JYW524356 JOT524356:JPA524356 JEX524356:JFE524356 IVB524356:IVI524356 ILF524356:ILM524356 IBJ524356:IBQ524356 HRN524356:HRU524356 HHR524356:HHY524356 GXV524356:GYC524356 GNZ524356:GOG524356 GED524356:GEK524356 FUH524356:FUO524356 FKL524356:FKS524356 FAP524356:FAW524356 EQT524356:ERA524356 EGX524356:EHE524356 DXB524356:DXI524356 DNF524356:DNM524356 DDJ524356:DDQ524356 CTN524356:CTU524356 CJR524356:CJY524356 BZV524356:CAC524356 BPZ524356:BQG524356 BGD524356:BGK524356 AWH524356:AWO524356 AML524356:AMS524356 ACP524356:ACW524356 ST524356:TA524356 IX524356:JE524356 B524356:I524356 WVJ458820:WVQ458820 WLN458820:WLU458820 WBR458820:WBY458820 VRV458820:VSC458820 VHZ458820:VIG458820 UYD458820:UYK458820 UOH458820:UOO458820 UEL458820:UES458820 TUP458820:TUW458820 TKT458820:TLA458820 TAX458820:TBE458820 SRB458820:SRI458820 SHF458820:SHM458820 RXJ458820:RXQ458820 RNN458820:RNU458820 RDR458820:RDY458820 QTV458820:QUC458820 QJZ458820:QKG458820 QAD458820:QAK458820 PQH458820:PQO458820 PGL458820:PGS458820 OWP458820:OWW458820 OMT458820:ONA458820 OCX458820:ODE458820 NTB458820:NTI458820 NJF458820:NJM458820 MZJ458820:MZQ458820 MPN458820:MPU458820 MFR458820:MFY458820 LVV458820:LWC458820 LLZ458820:LMG458820 LCD458820:LCK458820 KSH458820:KSO458820 KIL458820:KIS458820 JYP458820:JYW458820 JOT458820:JPA458820 JEX458820:JFE458820 IVB458820:IVI458820 ILF458820:ILM458820 IBJ458820:IBQ458820 HRN458820:HRU458820 HHR458820:HHY458820 GXV458820:GYC458820 GNZ458820:GOG458820 GED458820:GEK458820 FUH458820:FUO458820 FKL458820:FKS458820 FAP458820:FAW458820 EQT458820:ERA458820 EGX458820:EHE458820 DXB458820:DXI458820 DNF458820:DNM458820 DDJ458820:DDQ458820 CTN458820:CTU458820 CJR458820:CJY458820 BZV458820:CAC458820 BPZ458820:BQG458820 BGD458820:BGK458820 AWH458820:AWO458820 AML458820:AMS458820 ACP458820:ACW458820 ST458820:TA458820 IX458820:JE458820 B458820:I458820 WVJ393284:WVQ393284 WLN393284:WLU393284 WBR393284:WBY393284 VRV393284:VSC393284 VHZ393284:VIG393284 UYD393284:UYK393284 UOH393284:UOO393284 UEL393284:UES393284 TUP393284:TUW393284 TKT393284:TLA393284 TAX393284:TBE393284 SRB393284:SRI393284 SHF393284:SHM393284 RXJ393284:RXQ393284 RNN393284:RNU393284 RDR393284:RDY393284 QTV393284:QUC393284 QJZ393284:QKG393284 QAD393284:QAK393284 PQH393284:PQO393284 PGL393284:PGS393284 OWP393284:OWW393284 OMT393284:ONA393284 OCX393284:ODE393284 NTB393284:NTI393284 NJF393284:NJM393284 MZJ393284:MZQ393284 MPN393284:MPU393284 MFR393284:MFY393284 LVV393284:LWC393284 LLZ393284:LMG393284 LCD393284:LCK393284 KSH393284:KSO393284 KIL393284:KIS393284 JYP393284:JYW393284 JOT393284:JPA393284 JEX393284:JFE393284 IVB393284:IVI393284 ILF393284:ILM393284 IBJ393284:IBQ393284 HRN393284:HRU393284 HHR393284:HHY393284 GXV393284:GYC393284 GNZ393284:GOG393284 GED393284:GEK393284 FUH393284:FUO393284 FKL393284:FKS393284 FAP393284:FAW393284 EQT393284:ERA393284 EGX393284:EHE393284 DXB393284:DXI393284 DNF393284:DNM393284 DDJ393284:DDQ393284 CTN393284:CTU393284 CJR393284:CJY393284 BZV393284:CAC393284 BPZ393284:BQG393284 BGD393284:BGK393284 AWH393284:AWO393284 AML393284:AMS393284 ACP393284:ACW393284 ST393284:TA393284 IX393284:JE393284 B393284:I393284 WVJ327748:WVQ327748 WLN327748:WLU327748 WBR327748:WBY327748 VRV327748:VSC327748 VHZ327748:VIG327748 UYD327748:UYK327748 UOH327748:UOO327748 UEL327748:UES327748 TUP327748:TUW327748 TKT327748:TLA327748 TAX327748:TBE327748 SRB327748:SRI327748 SHF327748:SHM327748 RXJ327748:RXQ327748 RNN327748:RNU327748 RDR327748:RDY327748 QTV327748:QUC327748 QJZ327748:QKG327748 QAD327748:QAK327748 PQH327748:PQO327748 PGL327748:PGS327748 OWP327748:OWW327748 OMT327748:ONA327748 OCX327748:ODE327748 NTB327748:NTI327748 NJF327748:NJM327748 MZJ327748:MZQ327748 MPN327748:MPU327748 MFR327748:MFY327748 LVV327748:LWC327748 LLZ327748:LMG327748 LCD327748:LCK327748 KSH327748:KSO327748 KIL327748:KIS327748 JYP327748:JYW327748 JOT327748:JPA327748 JEX327748:JFE327748 IVB327748:IVI327748 ILF327748:ILM327748 IBJ327748:IBQ327748 HRN327748:HRU327748 HHR327748:HHY327748 GXV327748:GYC327748 GNZ327748:GOG327748 GED327748:GEK327748 FUH327748:FUO327748 FKL327748:FKS327748 FAP327748:FAW327748 EQT327748:ERA327748 EGX327748:EHE327748 DXB327748:DXI327748 DNF327748:DNM327748 DDJ327748:DDQ327748 CTN327748:CTU327748 CJR327748:CJY327748 BZV327748:CAC327748 BPZ327748:BQG327748 BGD327748:BGK327748 AWH327748:AWO327748 AML327748:AMS327748 ACP327748:ACW327748 ST327748:TA327748 IX327748:JE327748 B327748:I327748 WVJ262212:WVQ262212 WLN262212:WLU262212 WBR262212:WBY262212 VRV262212:VSC262212 VHZ262212:VIG262212 UYD262212:UYK262212 UOH262212:UOO262212 UEL262212:UES262212 TUP262212:TUW262212 TKT262212:TLA262212 TAX262212:TBE262212 SRB262212:SRI262212 SHF262212:SHM262212 RXJ262212:RXQ262212 RNN262212:RNU262212 RDR262212:RDY262212 QTV262212:QUC262212 QJZ262212:QKG262212 QAD262212:QAK262212 PQH262212:PQO262212 PGL262212:PGS262212 OWP262212:OWW262212 OMT262212:ONA262212 OCX262212:ODE262212 NTB262212:NTI262212 NJF262212:NJM262212 MZJ262212:MZQ262212 MPN262212:MPU262212 MFR262212:MFY262212 LVV262212:LWC262212 LLZ262212:LMG262212 LCD262212:LCK262212 KSH262212:KSO262212 KIL262212:KIS262212 JYP262212:JYW262212 JOT262212:JPA262212 JEX262212:JFE262212 IVB262212:IVI262212 ILF262212:ILM262212 IBJ262212:IBQ262212 HRN262212:HRU262212 HHR262212:HHY262212 GXV262212:GYC262212 GNZ262212:GOG262212 GED262212:GEK262212 FUH262212:FUO262212 FKL262212:FKS262212 FAP262212:FAW262212 EQT262212:ERA262212 EGX262212:EHE262212 DXB262212:DXI262212 DNF262212:DNM262212 DDJ262212:DDQ262212 CTN262212:CTU262212 CJR262212:CJY262212 BZV262212:CAC262212 BPZ262212:BQG262212 BGD262212:BGK262212 AWH262212:AWO262212 AML262212:AMS262212 ACP262212:ACW262212 ST262212:TA262212 IX262212:JE262212 B262212:I262212 WVJ196676:WVQ196676 WLN196676:WLU196676 WBR196676:WBY196676 VRV196676:VSC196676 VHZ196676:VIG196676 UYD196676:UYK196676 UOH196676:UOO196676 UEL196676:UES196676 TUP196676:TUW196676 TKT196676:TLA196676 TAX196676:TBE196676 SRB196676:SRI196676 SHF196676:SHM196676 RXJ196676:RXQ196676 RNN196676:RNU196676 RDR196676:RDY196676 QTV196676:QUC196676 QJZ196676:QKG196676 QAD196676:QAK196676 PQH196676:PQO196676 PGL196676:PGS196676 OWP196676:OWW196676 OMT196676:ONA196676 OCX196676:ODE196676 NTB196676:NTI196676 NJF196676:NJM196676 MZJ196676:MZQ196676 MPN196676:MPU196676 MFR196676:MFY196676 LVV196676:LWC196676 LLZ196676:LMG196676 LCD196676:LCK196676 KSH196676:KSO196676 KIL196676:KIS196676 JYP196676:JYW196676 JOT196676:JPA196676 JEX196676:JFE196676 IVB196676:IVI196676 ILF196676:ILM196676 IBJ196676:IBQ196676 HRN196676:HRU196676 HHR196676:HHY196676 GXV196676:GYC196676 GNZ196676:GOG196676 GED196676:GEK196676 FUH196676:FUO196676 FKL196676:FKS196676 FAP196676:FAW196676 EQT196676:ERA196676 EGX196676:EHE196676 DXB196676:DXI196676 DNF196676:DNM196676 DDJ196676:DDQ196676 CTN196676:CTU196676 CJR196676:CJY196676 BZV196676:CAC196676 BPZ196676:BQG196676 BGD196676:BGK196676 AWH196676:AWO196676 AML196676:AMS196676 ACP196676:ACW196676 ST196676:TA196676 IX196676:JE196676 B196676:I196676 WVJ131140:WVQ131140 WLN131140:WLU131140 WBR131140:WBY131140 VRV131140:VSC131140 VHZ131140:VIG131140 UYD131140:UYK131140 UOH131140:UOO131140 UEL131140:UES131140 TUP131140:TUW131140 TKT131140:TLA131140 TAX131140:TBE131140 SRB131140:SRI131140 SHF131140:SHM131140 RXJ131140:RXQ131140 RNN131140:RNU131140 RDR131140:RDY131140 QTV131140:QUC131140 QJZ131140:QKG131140 QAD131140:QAK131140 PQH131140:PQO131140 PGL131140:PGS131140 OWP131140:OWW131140 OMT131140:ONA131140 OCX131140:ODE131140 NTB131140:NTI131140 NJF131140:NJM131140 MZJ131140:MZQ131140 MPN131140:MPU131140 MFR131140:MFY131140 LVV131140:LWC131140 LLZ131140:LMG131140 LCD131140:LCK131140 KSH131140:KSO131140 KIL131140:KIS131140 JYP131140:JYW131140 JOT131140:JPA131140 JEX131140:JFE131140 IVB131140:IVI131140 ILF131140:ILM131140 IBJ131140:IBQ131140 HRN131140:HRU131140 HHR131140:HHY131140 GXV131140:GYC131140 GNZ131140:GOG131140 GED131140:GEK131140 FUH131140:FUO131140 FKL131140:FKS131140 FAP131140:FAW131140 EQT131140:ERA131140 EGX131140:EHE131140 DXB131140:DXI131140 DNF131140:DNM131140 DDJ131140:DDQ131140 CTN131140:CTU131140 CJR131140:CJY131140 BZV131140:CAC131140 BPZ131140:BQG131140 BGD131140:BGK131140 AWH131140:AWO131140 AML131140:AMS131140 ACP131140:ACW131140 ST131140:TA131140 IX131140:JE131140 B131140:I131140 WVJ65604:WVQ65604 WLN65604:WLU65604 WBR65604:WBY65604 VRV65604:VSC65604 VHZ65604:VIG65604 UYD65604:UYK65604 UOH65604:UOO65604 UEL65604:UES65604 TUP65604:TUW65604 TKT65604:TLA65604 TAX65604:TBE65604 SRB65604:SRI65604 SHF65604:SHM65604 RXJ65604:RXQ65604 RNN65604:RNU65604 RDR65604:RDY65604 QTV65604:QUC65604 QJZ65604:QKG65604 QAD65604:QAK65604 PQH65604:PQO65604 PGL65604:PGS65604 OWP65604:OWW65604 OMT65604:ONA65604 OCX65604:ODE65604 NTB65604:NTI65604 NJF65604:NJM65604 MZJ65604:MZQ65604 MPN65604:MPU65604 MFR65604:MFY65604 LVV65604:LWC65604 LLZ65604:LMG65604 LCD65604:LCK65604 KSH65604:KSO65604 KIL65604:KIS65604 JYP65604:JYW65604 JOT65604:JPA65604 JEX65604:JFE65604 IVB65604:IVI65604 ILF65604:ILM65604 IBJ65604:IBQ65604 HRN65604:HRU65604 HHR65604:HHY65604 GXV65604:GYC65604 GNZ65604:GOG65604 GED65604:GEK65604 FUH65604:FUO65604 FKL65604:FKS65604 FAP65604:FAW65604 EQT65604:ERA65604 EGX65604:EHE65604 DXB65604:DXI65604 DNF65604:DNM65604 DDJ65604:DDQ65604 CTN65604:CTU65604 CJR65604:CJY65604 BZV65604:CAC65604 BPZ65604:BQG65604 BGD65604:BGK65604 AWH65604:AWO65604 AML65604:AMS65604 ACP65604:ACW65604 ST65604:TA65604 IX65604:JE65604 B65604:I65604 WVJ18:WVQ18 WLN18:WLU18 WBR18:WBY18 VRV18:VSC18 VHZ18:VIG18 UYD18:UYK18 UOH18:UOO18 UEL18:UES18 TUP18:TUW18 TKT18:TLA18 TAX18:TBE18 SRB18:SRI18 SHF18:SHM18 RXJ18:RXQ18 RNN18:RNU18 RDR18:RDY18 QTV18:QUC18 QJZ18:QKG18 QAD18:QAK18 PQH18:PQO18 PGL18:PGS18 OWP18:OWW18 OMT18:ONA18 OCX18:ODE18 NTB18:NTI18 NJF18:NJM18 MZJ18:MZQ18 MPN18:MPU18 MFR18:MFY18 LVV18:LWC18 LLZ18:LMG18 LCD18:LCK18 KSH18:KSO18 KIL18:KIS18 JYP18:JYW18 JOT18:JPA18 JEX18:JFE18 IVB18:IVI18 ILF18:ILM18 IBJ18:IBQ18 HRN18:HRU18 HHR18:HHY18 GXV18:GYC18 GNZ18:GOG18 GED18:GEK18 FUH18:FUO18 FKL18:FKS18 FAP18:FAW18 EQT18:ERA18 EGX18:EHE18 DXB18:DXI18 DNF18:DNM18 DDJ18:DDQ18 CTN18:CTU18 CJR18:CJY18 BZV18:CAC18 BPZ18:BQG18 BGD18:BGK18 AWH18:AWO18 AML18:AMS18 ACP18:ACW18 ST18:TA18 IX18:JE18">
      <formula1>$K$173:$K$178</formula1>
    </dataValidation>
    <dataValidation type="list" allowBlank="1" showInputMessage="1" showErrorMessage="1" error="Please Select fromt he drop-down list." promptTitle="Data Type" prompt="Please select DateTime, Number or Text from the drop-down list." sqref="C173:C385 WVK983213:WVK983425 WLO983213:WLO983425 WBS983213:WBS983425 VRW983213:VRW983425 VIA983213:VIA983425 UYE983213:UYE983425 UOI983213:UOI983425 UEM983213:UEM983425 TUQ983213:TUQ983425 TKU983213:TKU983425 TAY983213:TAY983425 SRC983213:SRC983425 SHG983213:SHG983425 RXK983213:RXK983425 RNO983213:RNO983425 RDS983213:RDS983425 QTW983213:QTW983425 QKA983213:QKA983425 QAE983213:QAE983425 PQI983213:PQI983425 PGM983213:PGM983425 OWQ983213:OWQ983425 OMU983213:OMU983425 OCY983213:OCY983425 NTC983213:NTC983425 NJG983213:NJG983425 MZK983213:MZK983425 MPO983213:MPO983425 MFS983213:MFS983425 LVW983213:LVW983425 LMA983213:LMA983425 LCE983213:LCE983425 KSI983213:KSI983425 KIM983213:KIM983425 JYQ983213:JYQ983425 JOU983213:JOU983425 JEY983213:JEY983425 IVC983213:IVC983425 ILG983213:ILG983425 IBK983213:IBK983425 HRO983213:HRO983425 HHS983213:HHS983425 GXW983213:GXW983425 GOA983213:GOA983425 GEE983213:GEE983425 FUI983213:FUI983425 FKM983213:FKM983425 FAQ983213:FAQ983425 EQU983213:EQU983425 EGY983213:EGY983425 DXC983213:DXC983425 DNG983213:DNG983425 DDK983213:DDK983425 CTO983213:CTO983425 CJS983213:CJS983425 BZW983213:BZW983425 BQA983213:BQA983425 BGE983213:BGE983425 AWI983213:AWI983425 AMM983213:AMM983425 ACQ983213:ACQ983425 SU983213:SU983425 IY983213:IY983425 C983213:C983425 WVK917677:WVK917889 WLO917677:WLO917889 WBS917677:WBS917889 VRW917677:VRW917889 VIA917677:VIA917889 UYE917677:UYE917889 UOI917677:UOI917889 UEM917677:UEM917889 TUQ917677:TUQ917889 TKU917677:TKU917889 TAY917677:TAY917889 SRC917677:SRC917889 SHG917677:SHG917889 RXK917677:RXK917889 RNO917677:RNO917889 RDS917677:RDS917889 QTW917677:QTW917889 QKA917677:QKA917889 QAE917677:QAE917889 PQI917677:PQI917889 PGM917677:PGM917889 OWQ917677:OWQ917889 OMU917677:OMU917889 OCY917677:OCY917889 NTC917677:NTC917889 NJG917677:NJG917889 MZK917677:MZK917889 MPO917677:MPO917889 MFS917677:MFS917889 LVW917677:LVW917889 LMA917677:LMA917889 LCE917677:LCE917889 KSI917677:KSI917889 KIM917677:KIM917889 JYQ917677:JYQ917889 JOU917677:JOU917889 JEY917677:JEY917889 IVC917677:IVC917889 ILG917677:ILG917889 IBK917677:IBK917889 HRO917677:HRO917889 HHS917677:HHS917889 GXW917677:GXW917889 GOA917677:GOA917889 GEE917677:GEE917889 FUI917677:FUI917889 FKM917677:FKM917889 FAQ917677:FAQ917889 EQU917677:EQU917889 EGY917677:EGY917889 DXC917677:DXC917889 DNG917677:DNG917889 DDK917677:DDK917889 CTO917677:CTO917889 CJS917677:CJS917889 BZW917677:BZW917889 BQA917677:BQA917889 BGE917677:BGE917889 AWI917677:AWI917889 AMM917677:AMM917889 ACQ917677:ACQ917889 SU917677:SU917889 IY917677:IY917889 C917677:C917889 WVK852141:WVK852353 WLO852141:WLO852353 WBS852141:WBS852353 VRW852141:VRW852353 VIA852141:VIA852353 UYE852141:UYE852353 UOI852141:UOI852353 UEM852141:UEM852353 TUQ852141:TUQ852353 TKU852141:TKU852353 TAY852141:TAY852353 SRC852141:SRC852353 SHG852141:SHG852353 RXK852141:RXK852353 RNO852141:RNO852353 RDS852141:RDS852353 QTW852141:QTW852353 QKA852141:QKA852353 QAE852141:QAE852353 PQI852141:PQI852353 PGM852141:PGM852353 OWQ852141:OWQ852353 OMU852141:OMU852353 OCY852141:OCY852353 NTC852141:NTC852353 NJG852141:NJG852353 MZK852141:MZK852353 MPO852141:MPO852353 MFS852141:MFS852353 LVW852141:LVW852353 LMA852141:LMA852353 LCE852141:LCE852353 KSI852141:KSI852353 KIM852141:KIM852353 JYQ852141:JYQ852353 JOU852141:JOU852353 JEY852141:JEY852353 IVC852141:IVC852353 ILG852141:ILG852353 IBK852141:IBK852353 HRO852141:HRO852353 HHS852141:HHS852353 GXW852141:GXW852353 GOA852141:GOA852353 GEE852141:GEE852353 FUI852141:FUI852353 FKM852141:FKM852353 FAQ852141:FAQ852353 EQU852141:EQU852353 EGY852141:EGY852353 DXC852141:DXC852353 DNG852141:DNG852353 DDK852141:DDK852353 CTO852141:CTO852353 CJS852141:CJS852353 BZW852141:BZW852353 BQA852141:BQA852353 BGE852141:BGE852353 AWI852141:AWI852353 AMM852141:AMM852353 ACQ852141:ACQ852353 SU852141:SU852353 IY852141:IY852353 C852141:C852353 WVK786605:WVK786817 WLO786605:WLO786817 WBS786605:WBS786817 VRW786605:VRW786817 VIA786605:VIA786817 UYE786605:UYE786817 UOI786605:UOI786817 UEM786605:UEM786817 TUQ786605:TUQ786817 TKU786605:TKU786817 TAY786605:TAY786817 SRC786605:SRC786817 SHG786605:SHG786817 RXK786605:RXK786817 RNO786605:RNO786817 RDS786605:RDS786817 QTW786605:QTW786817 QKA786605:QKA786817 QAE786605:QAE786817 PQI786605:PQI786817 PGM786605:PGM786817 OWQ786605:OWQ786817 OMU786605:OMU786817 OCY786605:OCY786817 NTC786605:NTC786817 NJG786605:NJG786817 MZK786605:MZK786817 MPO786605:MPO786817 MFS786605:MFS786817 LVW786605:LVW786817 LMA786605:LMA786817 LCE786605:LCE786817 KSI786605:KSI786817 KIM786605:KIM786817 JYQ786605:JYQ786817 JOU786605:JOU786817 JEY786605:JEY786817 IVC786605:IVC786817 ILG786605:ILG786817 IBK786605:IBK786817 HRO786605:HRO786817 HHS786605:HHS786817 GXW786605:GXW786817 GOA786605:GOA786817 GEE786605:GEE786817 FUI786605:FUI786817 FKM786605:FKM786817 FAQ786605:FAQ786817 EQU786605:EQU786817 EGY786605:EGY786817 DXC786605:DXC786817 DNG786605:DNG786817 DDK786605:DDK786817 CTO786605:CTO786817 CJS786605:CJS786817 BZW786605:BZW786817 BQA786605:BQA786817 BGE786605:BGE786817 AWI786605:AWI786817 AMM786605:AMM786817 ACQ786605:ACQ786817 SU786605:SU786817 IY786605:IY786817 C786605:C786817 WVK721069:WVK721281 WLO721069:WLO721281 WBS721069:WBS721281 VRW721069:VRW721281 VIA721069:VIA721281 UYE721069:UYE721281 UOI721069:UOI721281 UEM721069:UEM721281 TUQ721069:TUQ721281 TKU721069:TKU721281 TAY721069:TAY721281 SRC721069:SRC721281 SHG721069:SHG721281 RXK721069:RXK721281 RNO721069:RNO721281 RDS721069:RDS721281 QTW721069:QTW721281 QKA721069:QKA721281 QAE721069:QAE721281 PQI721069:PQI721281 PGM721069:PGM721281 OWQ721069:OWQ721281 OMU721069:OMU721281 OCY721069:OCY721281 NTC721069:NTC721281 NJG721069:NJG721281 MZK721069:MZK721281 MPO721069:MPO721281 MFS721069:MFS721281 LVW721069:LVW721281 LMA721069:LMA721281 LCE721069:LCE721281 KSI721069:KSI721281 KIM721069:KIM721281 JYQ721069:JYQ721281 JOU721069:JOU721281 JEY721069:JEY721281 IVC721069:IVC721281 ILG721069:ILG721281 IBK721069:IBK721281 HRO721069:HRO721281 HHS721069:HHS721281 GXW721069:GXW721281 GOA721069:GOA721281 GEE721069:GEE721281 FUI721069:FUI721281 FKM721069:FKM721281 FAQ721069:FAQ721281 EQU721069:EQU721281 EGY721069:EGY721281 DXC721069:DXC721281 DNG721069:DNG721281 DDK721069:DDK721281 CTO721069:CTO721281 CJS721069:CJS721281 BZW721069:BZW721281 BQA721069:BQA721281 BGE721069:BGE721281 AWI721069:AWI721281 AMM721069:AMM721281 ACQ721069:ACQ721281 SU721069:SU721281 IY721069:IY721281 C721069:C721281 WVK655533:WVK655745 WLO655533:WLO655745 WBS655533:WBS655745 VRW655533:VRW655745 VIA655533:VIA655745 UYE655533:UYE655745 UOI655533:UOI655745 UEM655533:UEM655745 TUQ655533:TUQ655745 TKU655533:TKU655745 TAY655533:TAY655745 SRC655533:SRC655745 SHG655533:SHG655745 RXK655533:RXK655745 RNO655533:RNO655745 RDS655533:RDS655745 QTW655533:QTW655745 QKA655533:QKA655745 QAE655533:QAE655745 PQI655533:PQI655745 PGM655533:PGM655745 OWQ655533:OWQ655745 OMU655533:OMU655745 OCY655533:OCY655745 NTC655533:NTC655745 NJG655533:NJG655745 MZK655533:MZK655745 MPO655533:MPO655745 MFS655533:MFS655745 LVW655533:LVW655745 LMA655533:LMA655745 LCE655533:LCE655745 KSI655533:KSI655745 KIM655533:KIM655745 JYQ655533:JYQ655745 JOU655533:JOU655745 JEY655533:JEY655745 IVC655533:IVC655745 ILG655533:ILG655745 IBK655533:IBK655745 HRO655533:HRO655745 HHS655533:HHS655745 GXW655533:GXW655745 GOA655533:GOA655745 GEE655533:GEE655745 FUI655533:FUI655745 FKM655533:FKM655745 FAQ655533:FAQ655745 EQU655533:EQU655745 EGY655533:EGY655745 DXC655533:DXC655745 DNG655533:DNG655745 DDK655533:DDK655745 CTO655533:CTO655745 CJS655533:CJS655745 BZW655533:BZW655745 BQA655533:BQA655745 BGE655533:BGE655745 AWI655533:AWI655745 AMM655533:AMM655745 ACQ655533:ACQ655745 SU655533:SU655745 IY655533:IY655745 C655533:C655745 WVK589997:WVK590209 WLO589997:WLO590209 WBS589997:WBS590209 VRW589997:VRW590209 VIA589997:VIA590209 UYE589997:UYE590209 UOI589997:UOI590209 UEM589997:UEM590209 TUQ589997:TUQ590209 TKU589997:TKU590209 TAY589997:TAY590209 SRC589997:SRC590209 SHG589997:SHG590209 RXK589997:RXK590209 RNO589997:RNO590209 RDS589997:RDS590209 QTW589997:QTW590209 QKA589997:QKA590209 QAE589997:QAE590209 PQI589997:PQI590209 PGM589997:PGM590209 OWQ589997:OWQ590209 OMU589997:OMU590209 OCY589997:OCY590209 NTC589997:NTC590209 NJG589997:NJG590209 MZK589997:MZK590209 MPO589997:MPO590209 MFS589997:MFS590209 LVW589997:LVW590209 LMA589997:LMA590209 LCE589997:LCE590209 KSI589997:KSI590209 KIM589997:KIM590209 JYQ589997:JYQ590209 JOU589997:JOU590209 JEY589997:JEY590209 IVC589997:IVC590209 ILG589997:ILG590209 IBK589997:IBK590209 HRO589997:HRO590209 HHS589997:HHS590209 GXW589997:GXW590209 GOA589997:GOA590209 GEE589997:GEE590209 FUI589997:FUI590209 FKM589997:FKM590209 FAQ589997:FAQ590209 EQU589997:EQU590209 EGY589997:EGY590209 DXC589997:DXC590209 DNG589997:DNG590209 DDK589997:DDK590209 CTO589997:CTO590209 CJS589997:CJS590209 BZW589997:BZW590209 BQA589997:BQA590209 BGE589997:BGE590209 AWI589997:AWI590209 AMM589997:AMM590209 ACQ589997:ACQ590209 SU589997:SU590209 IY589997:IY590209 C589997:C590209 WVK524461:WVK524673 WLO524461:WLO524673 WBS524461:WBS524673 VRW524461:VRW524673 VIA524461:VIA524673 UYE524461:UYE524673 UOI524461:UOI524673 UEM524461:UEM524673 TUQ524461:TUQ524673 TKU524461:TKU524673 TAY524461:TAY524673 SRC524461:SRC524673 SHG524461:SHG524673 RXK524461:RXK524673 RNO524461:RNO524673 RDS524461:RDS524673 QTW524461:QTW524673 QKA524461:QKA524673 QAE524461:QAE524673 PQI524461:PQI524673 PGM524461:PGM524673 OWQ524461:OWQ524673 OMU524461:OMU524673 OCY524461:OCY524673 NTC524461:NTC524673 NJG524461:NJG524673 MZK524461:MZK524673 MPO524461:MPO524673 MFS524461:MFS524673 LVW524461:LVW524673 LMA524461:LMA524673 LCE524461:LCE524673 KSI524461:KSI524673 KIM524461:KIM524673 JYQ524461:JYQ524673 JOU524461:JOU524673 JEY524461:JEY524673 IVC524461:IVC524673 ILG524461:ILG524673 IBK524461:IBK524673 HRO524461:HRO524673 HHS524461:HHS524673 GXW524461:GXW524673 GOA524461:GOA524673 GEE524461:GEE524673 FUI524461:FUI524673 FKM524461:FKM524673 FAQ524461:FAQ524673 EQU524461:EQU524673 EGY524461:EGY524673 DXC524461:DXC524673 DNG524461:DNG524673 DDK524461:DDK524673 CTO524461:CTO524673 CJS524461:CJS524673 BZW524461:BZW524673 BQA524461:BQA524673 BGE524461:BGE524673 AWI524461:AWI524673 AMM524461:AMM524673 ACQ524461:ACQ524673 SU524461:SU524673 IY524461:IY524673 C524461:C524673 WVK458925:WVK459137 WLO458925:WLO459137 WBS458925:WBS459137 VRW458925:VRW459137 VIA458925:VIA459137 UYE458925:UYE459137 UOI458925:UOI459137 UEM458925:UEM459137 TUQ458925:TUQ459137 TKU458925:TKU459137 TAY458925:TAY459137 SRC458925:SRC459137 SHG458925:SHG459137 RXK458925:RXK459137 RNO458925:RNO459137 RDS458925:RDS459137 QTW458925:QTW459137 QKA458925:QKA459137 QAE458925:QAE459137 PQI458925:PQI459137 PGM458925:PGM459137 OWQ458925:OWQ459137 OMU458925:OMU459137 OCY458925:OCY459137 NTC458925:NTC459137 NJG458925:NJG459137 MZK458925:MZK459137 MPO458925:MPO459137 MFS458925:MFS459137 LVW458925:LVW459137 LMA458925:LMA459137 LCE458925:LCE459137 KSI458925:KSI459137 KIM458925:KIM459137 JYQ458925:JYQ459137 JOU458925:JOU459137 JEY458925:JEY459137 IVC458925:IVC459137 ILG458925:ILG459137 IBK458925:IBK459137 HRO458925:HRO459137 HHS458925:HHS459137 GXW458925:GXW459137 GOA458925:GOA459137 GEE458925:GEE459137 FUI458925:FUI459137 FKM458925:FKM459137 FAQ458925:FAQ459137 EQU458925:EQU459137 EGY458925:EGY459137 DXC458925:DXC459137 DNG458925:DNG459137 DDK458925:DDK459137 CTO458925:CTO459137 CJS458925:CJS459137 BZW458925:BZW459137 BQA458925:BQA459137 BGE458925:BGE459137 AWI458925:AWI459137 AMM458925:AMM459137 ACQ458925:ACQ459137 SU458925:SU459137 IY458925:IY459137 C458925:C459137 WVK393389:WVK393601 WLO393389:WLO393601 WBS393389:WBS393601 VRW393389:VRW393601 VIA393389:VIA393601 UYE393389:UYE393601 UOI393389:UOI393601 UEM393389:UEM393601 TUQ393389:TUQ393601 TKU393389:TKU393601 TAY393389:TAY393601 SRC393389:SRC393601 SHG393389:SHG393601 RXK393389:RXK393601 RNO393389:RNO393601 RDS393389:RDS393601 QTW393389:QTW393601 QKA393389:QKA393601 QAE393389:QAE393601 PQI393389:PQI393601 PGM393389:PGM393601 OWQ393389:OWQ393601 OMU393389:OMU393601 OCY393389:OCY393601 NTC393389:NTC393601 NJG393389:NJG393601 MZK393389:MZK393601 MPO393389:MPO393601 MFS393389:MFS393601 LVW393389:LVW393601 LMA393389:LMA393601 LCE393389:LCE393601 KSI393389:KSI393601 KIM393389:KIM393601 JYQ393389:JYQ393601 JOU393389:JOU393601 JEY393389:JEY393601 IVC393389:IVC393601 ILG393389:ILG393601 IBK393389:IBK393601 HRO393389:HRO393601 HHS393389:HHS393601 GXW393389:GXW393601 GOA393389:GOA393601 GEE393389:GEE393601 FUI393389:FUI393601 FKM393389:FKM393601 FAQ393389:FAQ393601 EQU393389:EQU393601 EGY393389:EGY393601 DXC393389:DXC393601 DNG393389:DNG393601 DDK393389:DDK393601 CTO393389:CTO393601 CJS393389:CJS393601 BZW393389:BZW393601 BQA393389:BQA393601 BGE393389:BGE393601 AWI393389:AWI393601 AMM393389:AMM393601 ACQ393389:ACQ393601 SU393389:SU393601 IY393389:IY393601 C393389:C393601 WVK327853:WVK328065 WLO327853:WLO328065 WBS327853:WBS328065 VRW327853:VRW328065 VIA327853:VIA328065 UYE327853:UYE328065 UOI327853:UOI328065 UEM327853:UEM328065 TUQ327853:TUQ328065 TKU327853:TKU328065 TAY327853:TAY328065 SRC327853:SRC328065 SHG327853:SHG328065 RXK327853:RXK328065 RNO327853:RNO328065 RDS327853:RDS328065 QTW327853:QTW328065 QKA327853:QKA328065 QAE327853:QAE328065 PQI327853:PQI328065 PGM327853:PGM328065 OWQ327853:OWQ328065 OMU327853:OMU328065 OCY327853:OCY328065 NTC327853:NTC328065 NJG327853:NJG328065 MZK327853:MZK328065 MPO327853:MPO328065 MFS327853:MFS328065 LVW327853:LVW328065 LMA327853:LMA328065 LCE327853:LCE328065 KSI327853:KSI328065 KIM327853:KIM328065 JYQ327853:JYQ328065 JOU327853:JOU328065 JEY327853:JEY328065 IVC327853:IVC328065 ILG327853:ILG328065 IBK327853:IBK328065 HRO327853:HRO328065 HHS327853:HHS328065 GXW327853:GXW328065 GOA327853:GOA328065 GEE327853:GEE328065 FUI327853:FUI328065 FKM327853:FKM328065 FAQ327853:FAQ328065 EQU327853:EQU328065 EGY327853:EGY328065 DXC327853:DXC328065 DNG327853:DNG328065 DDK327853:DDK328065 CTO327853:CTO328065 CJS327853:CJS328065 BZW327853:BZW328065 BQA327853:BQA328065 BGE327853:BGE328065 AWI327853:AWI328065 AMM327853:AMM328065 ACQ327853:ACQ328065 SU327853:SU328065 IY327853:IY328065 C327853:C328065 WVK262317:WVK262529 WLO262317:WLO262529 WBS262317:WBS262529 VRW262317:VRW262529 VIA262317:VIA262529 UYE262317:UYE262529 UOI262317:UOI262529 UEM262317:UEM262529 TUQ262317:TUQ262529 TKU262317:TKU262529 TAY262317:TAY262529 SRC262317:SRC262529 SHG262317:SHG262529 RXK262317:RXK262529 RNO262317:RNO262529 RDS262317:RDS262529 QTW262317:QTW262529 QKA262317:QKA262529 QAE262317:QAE262529 PQI262317:PQI262529 PGM262317:PGM262529 OWQ262317:OWQ262529 OMU262317:OMU262529 OCY262317:OCY262529 NTC262317:NTC262529 NJG262317:NJG262529 MZK262317:MZK262529 MPO262317:MPO262529 MFS262317:MFS262529 LVW262317:LVW262529 LMA262317:LMA262529 LCE262317:LCE262529 KSI262317:KSI262529 KIM262317:KIM262529 JYQ262317:JYQ262529 JOU262317:JOU262529 JEY262317:JEY262529 IVC262317:IVC262529 ILG262317:ILG262529 IBK262317:IBK262529 HRO262317:HRO262529 HHS262317:HHS262529 GXW262317:GXW262529 GOA262317:GOA262529 GEE262317:GEE262529 FUI262317:FUI262529 FKM262317:FKM262529 FAQ262317:FAQ262529 EQU262317:EQU262529 EGY262317:EGY262529 DXC262317:DXC262529 DNG262317:DNG262529 DDK262317:DDK262529 CTO262317:CTO262529 CJS262317:CJS262529 BZW262317:BZW262529 BQA262317:BQA262529 BGE262317:BGE262529 AWI262317:AWI262529 AMM262317:AMM262529 ACQ262317:ACQ262529 SU262317:SU262529 IY262317:IY262529 C262317:C262529 WVK196781:WVK196993 WLO196781:WLO196993 WBS196781:WBS196993 VRW196781:VRW196993 VIA196781:VIA196993 UYE196781:UYE196993 UOI196781:UOI196993 UEM196781:UEM196993 TUQ196781:TUQ196993 TKU196781:TKU196993 TAY196781:TAY196993 SRC196781:SRC196993 SHG196781:SHG196993 RXK196781:RXK196993 RNO196781:RNO196993 RDS196781:RDS196993 QTW196781:QTW196993 QKA196781:QKA196993 QAE196781:QAE196993 PQI196781:PQI196993 PGM196781:PGM196993 OWQ196781:OWQ196993 OMU196781:OMU196993 OCY196781:OCY196993 NTC196781:NTC196993 NJG196781:NJG196993 MZK196781:MZK196993 MPO196781:MPO196993 MFS196781:MFS196993 LVW196781:LVW196993 LMA196781:LMA196993 LCE196781:LCE196993 KSI196781:KSI196993 KIM196781:KIM196993 JYQ196781:JYQ196993 JOU196781:JOU196993 JEY196781:JEY196993 IVC196781:IVC196993 ILG196781:ILG196993 IBK196781:IBK196993 HRO196781:HRO196993 HHS196781:HHS196993 GXW196781:GXW196993 GOA196781:GOA196993 GEE196781:GEE196993 FUI196781:FUI196993 FKM196781:FKM196993 FAQ196781:FAQ196993 EQU196781:EQU196993 EGY196781:EGY196993 DXC196781:DXC196993 DNG196781:DNG196993 DDK196781:DDK196993 CTO196781:CTO196993 CJS196781:CJS196993 BZW196781:BZW196993 BQA196781:BQA196993 BGE196781:BGE196993 AWI196781:AWI196993 AMM196781:AMM196993 ACQ196781:ACQ196993 SU196781:SU196993 IY196781:IY196993 C196781:C196993 WVK131245:WVK131457 WLO131245:WLO131457 WBS131245:WBS131457 VRW131245:VRW131457 VIA131245:VIA131457 UYE131245:UYE131457 UOI131245:UOI131457 UEM131245:UEM131457 TUQ131245:TUQ131457 TKU131245:TKU131457 TAY131245:TAY131457 SRC131245:SRC131457 SHG131245:SHG131457 RXK131245:RXK131457 RNO131245:RNO131457 RDS131245:RDS131457 QTW131245:QTW131457 QKA131245:QKA131457 QAE131245:QAE131457 PQI131245:PQI131457 PGM131245:PGM131457 OWQ131245:OWQ131457 OMU131245:OMU131457 OCY131245:OCY131457 NTC131245:NTC131457 NJG131245:NJG131457 MZK131245:MZK131457 MPO131245:MPO131457 MFS131245:MFS131457 LVW131245:LVW131457 LMA131245:LMA131457 LCE131245:LCE131457 KSI131245:KSI131457 KIM131245:KIM131457 JYQ131245:JYQ131457 JOU131245:JOU131457 JEY131245:JEY131457 IVC131245:IVC131457 ILG131245:ILG131457 IBK131245:IBK131457 HRO131245:HRO131457 HHS131245:HHS131457 GXW131245:GXW131457 GOA131245:GOA131457 GEE131245:GEE131457 FUI131245:FUI131457 FKM131245:FKM131457 FAQ131245:FAQ131457 EQU131245:EQU131457 EGY131245:EGY131457 DXC131245:DXC131457 DNG131245:DNG131457 DDK131245:DDK131457 CTO131245:CTO131457 CJS131245:CJS131457 BZW131245:BZW131457 BQA131245:BQA131457 BGE131245:BGE131457 AWI131245:AWI131457 AMM131245:AMM131457 ACQ131245:ACQ131457 SU131245:SU131457 IY131245:IY131457 C131245:C131457 WVK65709:WVK65921 WLO65709:WLO65921 WBS65709:WBS65921 VRW65709:VRW65921 VIA65709:VIA65921 UYE65709:UYE65921 UOI65709:UOI65921 UEM65709:UEM65921 TUQ65709:TUQ65921 TKU65709:TKU65921 TAY65709:TAY65921 SRC65709:SRC65921 SHG65709:SHG65921 RXK65709:RXK65921 RNO65709:RNO65921 RDS65709:RDS65921 QTW65709:QTW65921 QKA65709:QKA65921 QAE65709:QAE65921 PQI65709:PQI65921 PGM65709:PGM65921 OWQ65709:OWQ65921 OMU65709:OMU65921 OCY65709:OCY65921 NTC65709:NTC65921 NJG65709:NJG65921 MZK65709:MZK65921 MPO65709:MPO65921 MFS65709:MFS65921 LVW65709:LVW65921 LMA65709:LMA65921 LCE65709:LCE65921 KSI65709:KSI65921 KIM65709:KIM65921 JYQ65709:JYQ65921 JOU65709:JOU65921 JEY65709:JEY65921 IVC65709:IVC65921 ILG65709:ILG65921 IBK65709:IBK65921 HRO65709:HRO65921 HHS65709:HHS65921 GXW65709:GXW65921 GOA65709:GOA65921 GEE65709:GEE65921 FUI65709:FUI65921 FKM65709:FKM65921 FAQ65709:FAQ65921 EQU65709:EQU65921 EGY65709:EGY65921 DXC65709:DXC65921 DNG65709:DNG65921 DDK65709:DDK65921 CTO65709:CTO65921 CJS65709:CJS65921 BZW65709:BZW65921 BQA65709:BQA65921 BGE65709:BGE65921 AWI65709:AWI65921 AMM65709:AMM65921 ACQ65709:ACQ65921 SU65709:SU65921 IY65709:IY65921 C65709:C65921 WVK173:WVK385 WLO173:WLO385 WBS173:WBS385 VRW173:VRW385 VIA173:VIA385 UYE173:UYE385 UOI173:UOI385 UEM173:UEM385 TUQ173:TUQ385 TKU173:TKU385 TAY173:TAY385 SRC173:SRC385 SHG173:SHG385 RXK173:RXK385 RNO173:RNO385 RDS173:RDS385 QTW173:QTW385 QKA173:QKA385 QAE173:QAE385 PQI173:PQI385 PGM173:PGM385 OWQ173:OWQ385 OMU173:OMU385 OCY173:OCY385 NTC173:NTC385 NJG173:NJG385 MZK173:MZK385 MPO173:MPO385 MFS173:MFS385 LVW173:LVW385 LMA173:LMA385 LCE173:LCE385 KSI173:KSI385 KIM173:KIM385 JYQ173:JYQ385 JOU173:JOU385 JEY173:JEY385 IVC173:IVC385 ILG173:ILG385 IBK173:IBK385 HRO173:HRO385 HHS173:HHS385 GXW173:GXW385 GOA173:GOA385 GEE173:GEE385 FUI173:FUI385 FKM173:FKM385 FAQ173:FAQ385 EQU173:EQU385 EGY173:EGY385 DXC173:DXC385 DNG173:DNG385 DDK173:DDK385 CTO173:CTO385 CJS173:CJS385 BZW173:BZW385 BQA173:BQA385 BGE173:BGE385 AWI173:AWI385 AMM173:AMM385 ACQ173:ACQ385 SU173:SU385 IY173:IY385">
      <formula1>$M$174:$M$176</formula1>
    </dataValidation>
  </dataValidations>
  <hyperlinks>
    <hyperlink ref="B4" r:id="rId1"/>
    <hyperlink ref="B32" r:id="rId2"/>
  </hyperlinks>
  <printOptions gridLines="1"/>
  <pageMargins left="0.53" right="0.38" top="0.5" bottom="0.5" header="0.5" footer="0.5"/>
  <pageSetup scale="99" fitToHeight="10" orientation="landscape" cellComments="atEnd" r:id="rId3"/>
  <headerFooter alignWithMargins="0"/>
  <rowBreaks count="1" manualBreakCount="1">
    <brk id="61" max="5" man="1"/>
  </rowBreaks>
  <drawing r:id="rId4"/>
  <legacy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S117"/>
  <sheetViews>
    <sheetView zoomScale="90" zoomScaleNormal="90" workbookViewId="0">
      <pane ySplit="1" topLeftCell="A101" activePane="bottomLeft" state="frozen"/>
      <selection pane="bottomLeft"/>
    </sheetView>
  </sheetViews>
  <sheetFormatPr defaultRowHeight="15" x14ac:dyDescent="0.25"/>
  <cols>
    <col min="1" max="1" width="5.7109375" style="2" bestFit="1" customWidth="1"/>
    <col min="2" max="2" width="19.140625" style="179" customWidth="1"/>
    <col min="3" max="3" width="12.85546875" style="1" bestFit="1" customWidth="1"/>
    <col min="4" max="4" width="10.5703125" style="71" bestFit="1" customWidth="1"/>
    <col min="5" max="5" width="7.42578125" style="69" customWidth="1"/>
    <col min="6" max="6" width="8.7109375" style="69" customWidth="1"/>
    <col min="9" max="9" width="8.85546875" bestFit="1" customWidth="1"/>
    <col min="10" max="10" width="19" bestFit="1" customWidth="1"/>
    <col min="12" max="12" width="9.140625" style="6"/>
    <col min="16" max="16" width="17.7109375" bestFit="1" customWidth="1"/>
  </cols>
  <sheetData>
    <row r="1" spans="1:19" x14ac:dyDescent="0.25">
      <c r="A1" s="2" t="s">
        <v>362</v>
      </c>
      <c r="B1" s="179" t="s">
        <v>368</v>
      </c>
      <c r="C1" s="2" t="s">
        <v>374</v>
      </c>
      <c r="D1" s="2" t="s">
        <v>377</v>
      </c>
      <c r="E1" s="2" t="s">
        <v>381</v>
      </c>
      <c r="F1" s="178" t="s">
        <v>245</v>
      </c>
      <c r="G1" s="2" t="s">
        <v>388</v>
      </c>
      <c r="H1" s="2" t="s">
        <v>114</v>
      </c>
      <c r="I1" s="88" t="s">
        <v>393</v>
      </c>
      <c r="J1" s="2" t="s">
        <v>396</v>
      </c>
      <c r="K1" s="2" t="s">
        <v>399</v>
      </c>
      <c r="L1" s="5" t="s">
        <v>115</v>
      </c>
      <c r="M1" s="2" t="s">
        <v>116</v>
      </c>
      <c r="N1" s="5" t="s">
        <v>117</v>
      </c>
      <c r="O1" s="70" t="s">
        <v>118</v>
      </c>
      <c r="P1" s="68" t="s">
        <v>0</v>
      </c>
      <c r="Q1" s="68" t="s">
        <v>1</v>
      </c>
      <c r="R1" s="68" t="s">
        <v>244</v>
      </c>
      <c r="S1" s="2" t="s">
        <v>246</v>
      </c>
    </row>
    <row r="2" spans="1:19" x14ac:dyDescent="0.25">
      <c r="A2" s="14">
        <v>2012</v>
      </c>
      <c r="B2" s="180">
        <v>41083</v>
      </c>
      <c r="C2" s="89" t="s">
        <v>247</v>
      </c>
      <c r="D2" s="87" t="s">
        <v>119</v>
      </c>
      <c r="E2" s="87" t="s">
        <v>121</v>
      </c>
      <c r="F2" s="90" t="s">
        <v>248</v>
      </c>
      <c r="G2" t="s">
        <v>249</v>
      </c>
      <c r="H2" s="87" t="s">
        <v>120</v>
      </c>
      <c r="I2" s="91" t="s">
        <v>122</v>
      </c>
      <c r="J2" s="87" t="s">
        <v>123</v>
      </c>
      <c r="K2" s="87" t="s">
        <v>124</v>
      </c>
      <c r="L2" s="15">
        <v>4</v>
      </c>
      <c r="M2" s="14" t="s">
        <v>125</v>
      </c>
      <c r="N2" s="14">
        <v>115</v>
      </c>
      <c r="O2" s="85">
        <v>3.7410000000000001</v>
      </c>
      <c r="P2" s="92">
        <v>2.4407976773682254</v>
      </c>
      <c r="Q2" s="92">
        <v>50.289662809869462</v>
      </c>
      <c r="R2" s="92">
        <v>20.603781819431248</v>
      </c>
    </row>
    <row r="3" spans="1:19" x14ac:dyDescent="0.25">
      <c r="A3" s="14">
        <v>2012</v>
      </c>
      <c r="B3" s="180">
        <v>41083</v>
      </c>
      <c r="C3" s="89" t="s">
        <v>247</v>
      </c>
      <c r="D3" s="87" t="s">
        <v>119</v>
      </c>
      <c r="E3" s="87" t="s">
        <v>121</v>
      </c>
      <c r="F3" s="90" t="s">
        <v>248</v>
      </c>
      <c r="G3" t="s">
        <v>249</v>
      </c>
      <c r="H3" s="87" t="s">
        <v>120</v>
      </c>
      <c r="I3" s="91" t="s">
        <v>122</v>
      </c>
      <c r="J3" s="87" t="s">
        <v>126</v>
      </c>
      <c r="K3" s="87" t="s">
        <v>124</v>
      </c>
      <c r="L3" s="15">
        <v>4</v>
      </c>
      <c r="M3" s="14" t="s">
        <v>127</v>
      </c>
      <c r="N3" s="14">
        <v>116</v>
      </c>
      <c r="O3" s="85">
        <v>4.3390000000000004</v>
      </c>
      <c r="P3" s="92">
        <v>2.4162763008811416</v>
      </c>
      <c r="Q3" s="92">
        <v>49.633621676498088</v>
      </c>
      <c r="R3" s="92">
        <v>20.541368409895107</v>
      </c>
    </row>
    <row r="4" spans="1:19" x14ac:dyDescent="0.25">
      <c r="A4" s="14">
        <v>2012</v>
      </c>
      <c r="B4" s="180">
        <v>41083</v>
      </c>
      <c r="C4" s="89" t="s">
        <v>247</v>
      </c>
      <c r="D4" s="87" t="s">
        <v>119</v>
      </c>
      <c r="E4" s="87" t="s">
        <v>121</v>
      </c>
      <c r="F4" s="90" t="s">
        <v>248</v>
      </c>
      <c r="G4" t="s">
        <v>249</v>
      </c>
      <c r="H4" s="87" t="s">
        <v>120</v>
      </c>
      <c r="I4" s="91" t="s">
        <v>128</v>
      </c>
      <c r="J4" s="87" t="s">
        <v>129</v>
      </c>
      <c r="K4" s="87" t="s">
        <v>130</v>
      </c>
      <c r="L4" s="15">
        <v>4</v>
      </c>
      <c r="M4" s="14" t="s">
        <v>54</v>
      </c>
      <c r="N4" s="14">
        <v>114</v>
      </c>
      <c r="O4" s="85">
        <v>4.2190000000000003</v>
      </c>
      <c r="P4" s="92">
        <v>2.9951055944810263</v>
      </c>
      <c r="Q4" s="92">
        <v>50.174949079173473</v>
      </c>
      <c r="R4" s="92">
        <v>16.752313898925319</v>
      </c>
    </row>
    <row r="5" spans="1:19" x14ac:dyDescent="0.25">
      <c r="A5" s="14">
        <v>2012</v>
      </c>
      <c r="B5" s="180">
        <v>41083</v>
      </c>
      <c r="C5" s="89" t="s">
        <v>247</v>
      </c>
      <c r="D5" s="87" t="s">
        <v>119</v>
      </c>
      <c r="E5" s="87" t="s">
        <v>121</v>
      </c>
      <c r="F5" s="90" t="s">
        <v>248</v>
      </c>
      <c r="G5" t="s">
        <v>249</v>
      </c>
      <c r="H5" s="87" t="s">
        <v>120</v>
      </c>
      <c r="I5" s="91" t="s">
        <v>131</v>
      </c>
      <c r="J5" s="87" t="s">
        <v>132</v>
      </c>
      <c r="K5" s="87" t="s">
        <v>130</v>
      </c>
      <c r="L5" s="15">
        <v>4</v>
      </c>
      <c r="M5" s="14" t="s">
        <v>42</v>
      </c>
      <c r="N5" s="14">
        <v>113</v>
      </c>
      <c r="O5" s="85">
        <v>3.51</v>
      </c>
      <c r="P5" s="92">
        <v>2.4328944248181719</v>
      </c>
      <c r="Q5" s="92">
        <v>46.166358657027239</v>
      </c>
      <c r="R5" s="92">
        <v>18.975898907112498</v>
      </c>
    </row>
    <row r="6" spans="1:19" x14ac:dyDescent="0.25">
      <c r="A6" s="14">
        <v>2012</v>
      </c>
      <c r="B6" s="180">
        <v>41083</v>
      </c>
      <c r="C6" s="89" t="s">
        <v>247</v>
      </c>
      <c r="D6" s="87" t="s">
        <v>119</v>
      </c>
      <c r="E6" s="87" t="s">
        <v>121</v>
      </c>
      <c r="F6" s="90" t="s">
        <v>248</v>
      </c>
      <c r="G6" t="s">
        <v>249</v>
      </c>
      <c r="H6" s="87" t="s">
        <v>120</v>
      </c>
      <c r="I6" s="91" t="s">
        <v>128</v>
      </c>
      <c r="J6" s="87" t="s">
        <v>133</v>
      </c>
      <c r="K6" s="87" t="s">
        <v>134</v>
      </c>
      <c r="L6" s="15">
        <v>4</v>
      </c>
      <c r="M6" s="74" t="s">
        <v>83</v>
      </c>
      <c r="N6" s="74">
        <v>111</v>
      </c>
      <c r="O6" s="71">
        <v>4.5259999999999998</v>
      </c>
      <c r="P6" s="93">
        <v>2.300116072655269</v>
      </c>
      <c r="Q6" s="93">
        <v>50.844438025052298</v>
      </c>
      <c r="R6" s="92">
        <v>22.105161834879553</v>
      </c>
    </row>
    <row r="7" spans="1:19" x14ac:dyDescent="0.25">
      <c r="A7" s="14">
        <v>2012</v>
      </c>
      <c r="B7" s="180">
        <v>41083</v>
      </c>
      <c r="C7" s="89" t="s">
        <v>247</v>
      </c>
      <c r="D7" s="87" t="s">
        <v>119</v>
      </c>
      <c r="E7" s="87" t="s">
        <v>121</v>
      </c>
      <c r="F7" s="90" t="s">
        <v>248</v>
      </c>
      <c r="G7" t="s">
        <v>249</v>
      </c>
      <c r="H7" s="87" t="s">
        <v>120</v>
      </c>
      <c r="I7" s="91" t="s">
        <v>135</v>
      </c>
      <c r="J7" s="87" t="s">
        <v>136</v>
      </c>
      <c r="K7" s="87" t="s">
        <v>134</v>
      </c>
      <c r="L7" s="15">
        <v>4</v>
      </c>
      <c r="M7" s="14" t="s">
        <v>41</v>
      </c>
      <c r="N7" s="14">
        <v>112</v>
      </c>
      <c r="O7" s="85">
        <v>4.37</v>
      </c>
      <c r="P7" s="92">
        <v>2.5058229461064387</v>
      </c>
      <c r="Q7" s="92">
        <v>46.986150727351543</v>
      </c>
      <c r="R7" s="92">
        <v>18.750786363561271</v>
      </c>
      <c r="S7" s="11"/>
    </row>
    <row r="8" spans="1:19" x14ac:dyDescent="0.25">
      <c r="A8" s="14">
        <v>2012</v>
      </c>
      <c r="B8" s="181">
        <v>41086</v>
      </c>
      <c r="C8" s="89" t="s">
        <v>247</v>
      </c>
      <c r="D8" s="87" t="s">
        <v>119</v>
      </c>
      <c r="E8" s="87" t="s">
        <v>138</v>
      </c>
      <c r="F8" s="90" t="s">
        <v>248</v>
      </c>
      <c r="G8" t="s">
        <v>249</v>
      </c>
      <c r="H8" s="87" t="s">
        <v>137</v>
      </c>
      <c r="I8" s="91" t="s">
        <v>128</v>
      </c>
      <c r="J8" s="87" t="s">
        <v>139</v>
      </c>
      <c r="K8" s="87" t="s">
        <v>124</v>
      </c>
      <c r="L8" s="15">
        <v>4</v>
      </c>
      <c r="M8" s="14" t="s">
        <v>140</v>
      </c>
      <c r="N8" s="14">
        <v>109</v>
      </c>
      <c r="O8" s="85">
        <v>4.4119999999999999</v>
      </c>
      <c r="P8" s="92">
        <v>2.8632036297382162</v>
      </c>
      <c r="Q8" s="92">
        <v>50.368376728390096</v>
      </c>
      <c r="R8" s="92">
        <v>17.591615282003293</v>
      </c>
      <c r="S8" s="3"/>
    </row>
    <row r="9" spans="1:19" x14ac:dyDescent="0.25">
      <c r="A9" s="14">
        <v>2012</v>
      </c>
      <c r="B9" s="181">
        <v>41086</v>
      </c>
      <c r="C9" s="89" t="s">
        <v>247</v>
      </c>
      <c r="D9" s="87" t="s">
        <v>119</v>
      </c>
      <c r="E9" s="87" t="s">
        <v>138</v>
      </c>
      <c r="F9" s="90" t="s">
        <v>248</v>
      </c>
      <c r="G9" t="s">
        <v>249</v>
      </c>
      <c r="H9" s="87" t="s">
        <v>137</v>
      </c>
      <c r="I9" s="91" t="s">
        <v>128</v>
      </c>
      <c r="J9" s="87" t="s">
        <v>141</v>
      </c>
      <c r="K9" s="87" t="s">
        <v>124</v>
      </c>
      <c r="L9" s="15">
        <v>4</v>
      </c>
      <c r="M9" s="14" t="s">
        <v>142</v>
      </c>
      <c r="N9" s="14">
        <v>110</v>
      </c>
      <c r="O9" s="85">
        <v>4.4420000000000002</v>
      </c>
      <c r="P9" s="92">
        <v>3.3479521026379744</v>
      </c>
      <c r="Q9" s="92">
        <v>50.068398280019423</v>
      </c>
      <c r="R9" s="92">
        <v>14.954932670801561</v>
      </c>
      <c r="S9" s="3"/>
    </row>
    <row r="10" spans="1:19" x14ac:dyDescent="0.25">
      <c r="A10" s="14">
        <v>2012</v>
      </c>
      <c r="B10" s="181">
        <v>41086</v>
      </c>
      <c r="C10" s="89" t="s">
        <v>247</v>
      </c>
      <c r="D10" s="87" t="s">
        <v>119</v>
      </c>
      <c r="E10" s="87" t="s">
        <v>138</v>
      </c>
      <c r="F10" s="90" t="s">
        <v>248</v>
      </c>
      <c r="G10" t="s">
        <v>249</v>
      </c>
      <c r="H10" s="87" t="s">
        <v>137</v>
      </c>
      <c r="I10" s="91" t="s">
        <v>128</v>
      </c>
      <c r="J10" s="87" t="s">
        <v>143</v>
      </c>
      <c r="K10" s="87" t="s">
        <v>130</v>
      </c>
      <c r="L10" s="15">
        <v>4</v>
      </c>
      <c r="M10" s="14" t="s">
        <v>56</v>
      </c>
      <c r="N10" s="14">
        <v>108</v>
      </c>
      <c r="O10" s="85">
        <v>4.0330000000000004</v>
      </c>
      <c r="P10" s="92">
        <v>2.7415360009532961</v>
      </c>
      <c r="Q10" s="92">
        <v>50.824016443814898</v>
      </c>
      <c r="R10" s="92">
        <v>18.538518708542291</v>
      </c>
      <c r="S10" s="9"/>
    </row>
    <row r="11" spans="1:19" x14ac:dyDescent="0.25">
      <c r="A11" s="14">
        <v>2012</v>
      </c>
      <c r="B11" s="181">
        <v>41086</v>
      </c>
      <c r="C11" s="89" t="s">
        <v>247</v>
      </c>
      <c r="D11" s="87" t="s">
        <v>119</v>
      </c>
      <c r="E11" s="87" t="s">
        <v>138</v>
      </c>
      <c r="F11" s="90" t="s">
        <v>248</v>
      </c>
      <c r="G11" t="s">
        <v>249</v>
      </c>
      <c r="H11" s="87" t="s">
        <v>137</v>
      </c>
      <c r="I11" s="91" t="s">
        <v>131</v>
      </c>
      <c r="J11" s="87" t="s">
        <v>144</v>
      </c>
      <c r="K11" s="87" t="s">
        <v>130</v>
      </c>
      <c r="L11" s="15">
        <v>4</v>
      </c>
      <c r="M11" s="14" t="s">
        <v>63</v>
      </c>
      <c r="N11" s="14">
        <v>107</v>
      </c>
      <c r="O11" s="85">
        <v>4.2949999999999999</v>
      </c>
      <c r="P11" s="92">
        <v>2.3008495932357076</v>
      </c>
      <c r="Q11" s="92">
        <v>50.398750133684132</v>
      </c>
      <c r="R11" s="92">
        <v>21.904408824397716</v>
      </c>
      <c r="S11" s="3"/>
    </row>
    <row r="12" spans="1:19" x14ac:dyDescent="0.25">
      <c r="A12" s="14">
        <v>2012</v>
      </c>
      <c r="B12" s="181">
        <v>41086</v>
      </c>
      <c r="C12" s="89" t="s">
        <v>247</v>
      </c>
      <c r="D12" s="87" t="s">
        <v>119</v>
      </c>
      <c r="E12" s="87" t="s">
        <v>138</v>
      </c>
      <c r="F12" s="90" t="s">
        <v>248</v>
      </c>
      <c r="G12" t="s">
        <v>249</v>
      </c>
      <c r="H12" s="87" t="s">
        <v>137</v>
      </c>
      <c r="I12" s="91" t="s">
        <v>131</v>
      </c>
      <c r="J12" s="87" t="s">
        <v>145</v>
      </c>
      <c r="K12" s="87" t="s">
        <v>134</v>
      </c>
      <c r="L12" s="15">
        <v>4</v>
      </c>
      <c r="M12" s="14" t="s">
        <v>50</v>
      </c>
      <c r="N12" s="14">
        <v>105</v>
      </c>
      <c r="O12" s="85">
        <v>4.0129999999999999</v>
      </c>
      <c r="P12" s="92">
        <v>2.5557819447514669</v>
      </c>
      <c r="Q12" s="92">
        <v>49.643224972148602</v>
      </c>
      <c r="R12" s="92">
        <v>19.423889066160566</v>
      </c>
      <c r="S12" s="3"/>
    </row>
    <row r="13" spans="1:19" x14ac:dyDescent="0.25">
      <c r="A13" s="14">
        <v>2012</v>
      </c>
      <c r="B13" s="181">
        <v>41086</v>
      </c>
      <c r="C13" s="89" t="s">
        <v>247</v>
      </c>
      <c r="D13" s="87" t="s">
        <v>119</v>
      </c>
      <c r="E13" s="87" t="s">
        <v>138</v>
      </c>
      <c r="F13" s="90" t="s">
        <v>248</v>
      </c>
      <c r="G13" t="s">
        <v>249</v>
      </c>
      <c r="H13" s="87" t="s">
        <v>137</v>
      </c>
      <c r="I13" s="91" t="s">
        <v>131</v>
      </c>
      <c r="J13" s="87" t="s">
        <v>146</v>
      </c>
      <c r="K13" s="87" t="s">
        <v>134</v>
      </c>
      <c r="L13" s="15">
        <v>4</v>
      </c>
      <c r="M13" s="14" t="s">
        <v>61</v>
      </c>
      <c r="N13" s="14">
        <v>106</v>
      </c>
      <c r="O13" s="85">
        <v>3.7450000000000001</v>
      </c>
      <c r="P13" s="92">
        <v>2.5141563373523095</v>
      </c>
      <c r="Q13" s="92">
        <v>50.169909487089079</v>
      </c>
      <c r="R13" s="92">
        <v>19.954968090776589</v>
      </c>
      <c r="S13" s="3"/>
    </row>
    <row r="14" spans="1:19" x14ac:dyDescent="0.25">
      <c r="A14" s="14">
        <v>2012</v>
      </c>
      <c r="B14" s="180">
        <v>41086</v>
      </c>
      <c r="C14" s="89" t="s">
        <v>247</v>
      </c>
      <c r="D14" s="87" t="s">
        <v>119</v>
      </c>
      <c r="E14" s="87" t="s">
        <v>147</v>
      </c>
      <c r="F14" s="90" t="s">
        <v>248</v>
      </c>
      <c r="G14" t="s">
        <v>249</v>
      </c>
      <c r="H14" s="87" t="s">
        <v>120</v>
      </c>
      <c r="I14" s="91" t="s">
        <v>122</v>
      </c>
      <c r="J14" s="87" t="s">
        <v>148</v>
      </c>
      <c r="K14" s="87" t="s">
        <v>124</v>
      </c>
      <c r="L14" s="15">
        <v>4</v>
      </c>
      <c r="M14" s="14" t="s">
        <v>149</v>
      </c>
      <c r="N14" s="14">
        <v>100</v>
      </c>
      <c r="O14" s="85">
        <v>3.81</v>
      </c>
      <c r="P14" s="92">
        <v>2.9444766840691181</v>
      </c>
      <c r="Q14" s="92">
        <v>50.0306060210143</v>
      </c>
      <c r="R14" s="92">
        <v>16.991340529779482</v>
      </c>
      <c r="S14" s="3"/>
    </row>
    <row r="15" spans="1:19" x14ac:dyDescent="0.25">
      <c r="A15" s="14">
        <v>2012</v>
      </c>
      <c r="B15" s="180">
        <v>41086</v>
      </c>
      <c r="C15" s="89" t="s">
        <v>247</v>
      </c>
      <c r="D15" s="87" t="s">
        <v>119</v>
      </c>
      <c r="E15" s="87" t="s">
        <v>147</v>
      </c>
      <c r="F15" s="90" t="s">
        <v>248</v>
      </c>
      <c r="G15" t="s">
        <v>249</v>
      </c>
      <c r="H15" s="87" t="s">
        <v>120</v>
      </c>
      <c r="I15" s="91" t="s">
        <v>122</v>
      </c>
      <c r="J15" s="87" t="s">
        <v>150</v>
      </c>
      <c r="K15" s="87" t="s">
        <v>124</v>
      </c>
      <c r="L15" s="15">
        <v>4</v>
      </c>
      <c r="M15" s="14" t="s">
        <v>151</v>
      </c>
      <c r="N15" s="14">
        <v>101</v>
      </c>
      <c r="O15" s="85">
        <v>4.1399999999999997</v>
      </c>
      <c r="P15" s="92">
        <v>2.547001597191433</v>
      </c>
      <c r="Q15" s="92">
        <v>49.175283692948376</v>
      </c>
      <c r="R15" s="92">
        <v>19.307127151853276</v>
      </c>
      <c r="S15" s="3"/>
    </row>
    <row r="16" spans="1:19" x14ac:dyDescent="0.25">
      <c r="A16" s="14">
        <v>2012</v>
      </c>
      <c r="B16" s="180">
        <v>41086</v>
      </c>
      <c r="C16" s="89" t="s">
        <v>247</v>
      </c>
      <c r="D16" s="87" t="s">
        <v>119</v>
      </c>
      <c r="E16" s="87" t="s">
        <v>147</v>
      </c>
      <c r="F16" s="90" t="s">
        <v>248</v>
      </c>
      <c r="G16" t="s">
        <v>249</v>
      </c>
      <c r="H16" s="87" t="s">
        <v>120</v>
      </c>
      <c r="I16" s="91" t="s">
        <v>128</v>
      </c>
      <c r="J16" s="87" t="s">
        <v>129</v>
      </c>
      <c r="K16" s="87" t="s">
        <v>130</v>
      </c>
      <c r="L16" s="15">
        <v>4</v>
      </c>
      <c r="M16" s="14" t="s">
        <v>58</v>
      </c>
      <c r="N16" s="14">
        <v>102</v>
      </c>
      <c r="O16" s="85">
        <v>4.3470000000000004</v>
      </c>
      <c r="P16" s="92">
        <v>3.0333047866977858</v>
      </c>
      <c r="Q16" s="92">
        <v>50.808557316027184</v>
      </c>
      <c r="R16" s="92">
        <v>16.750231476521037</v>
      </c>
      <c r="S16" s="3"/>
    </row>
    <row r="17" spans="1:19" x14ac:dyDescent="0.25">
      <c r="A17" s="14">
        <v>2012</v>
      </c>
      <c r="B17" s="180">
        <v>41086</v>
      </c>
      <c r="C17" s="89" t="s">
        <v>247</v>
      </c>
      <c r="D17" s="87" t="s">
        <v>119</v>
      </c>
      <c r="E17" s="87" t="s">
        <v>147</v>
      </c>
      <c r="F17" s="90" t="s">
        <v>248</v>
      </c>
      <c r="G17" t="s">
        <v>249</v>
      </c>
      <c r="H17" s="87" t="s">
        <v>120</v>
      </c>
      <c r="I17" s="91" t="s">
        <v>128</v>
      </c>
      <c r="J17" s="87" t="s">
        <v>152</v>
      </c>
      <c r="K17" s="87" t="s">
        <v>130</v>
      </c>
      <c r="L17" s="15">
        <v>4</v>
      </c>
      <c r="M17" s="15" t="s">
        <v>65</v>
      </c>
      <c r="N17" s="15">
        <v>103</v>
      </c>
      <c r="O17" s="86">
        <v>3.9020000000000001</v>
      </c>
      <c r="P17" s="92">
        <v>3.3034554793395414</v>
      </c>
      <c r="Q17" s="92">
        <v>50.496671315996856</v>
      </c>
      <c r="R17" s="92">
        <v>15.286015395640396</v>
      </c>
      <c r="S17" s="3"/>
    </row>
    <row r="18" spans="1:19" x14ac:dyDescent="0.25">
      <c r="A18" s="14">
        <v>2012</v>
      </c>
      <c r="B18" s="180">
        <v>41086</v>
      </c>
      <c r="C18" s="89" t="s">
        <v>247</v>
      </c>
      <c r="D18" s="87" t="s">
        <v>119</v>
      </c>
      <c r="E18" s="87" t="s">
        <v>147</v>
      </c>
      <c r="F18" s="90" t="s">
        <v>248</v>
      </c>
      <c r="G18" t="s">
        <v>249</v>
      </c>
      <c r="H18" s="87" t="s">
        <v>120</v>
      </c>
      <c r="I18" s="91" t="s">
        <v>128</v>
      </c>
      <c r="J18" s="87" t="s">
        <v>133</v>
      </c>
      <c r="K18" s="87" t="s">
        <v>134</v>
      </c>
      <c r="L18" s="15">
        <v>4</v>
      </c>
      <c r="M18" s="14" t="s">
        <v>53</v>
      </c>
      <c r="N18" s="14">
        <v>99</v>
      </c>
      <c r="O18" s="85">
        <v>4.2939999999999996</v>
      </c>
      <c r="P18" s="92">
        <v>3.0473923818832254</v>
      </c>
      <c r="Q18" s="92">
        <v>52.011240217615551</v>
      </c>
      <c r="R18" s="92">
        <v>17.067457583349896</v>
      </c>
      <c r="S18" s="3"/>
    </row>
    <row r="19" spans="1:19" x14ac:dyDescent="0.25">
      <c r="A19" s="14">
        <v>2012</v>
      </c>
      <c r="B19" s="180">
        <v>41086</v>
      </c>
      <c r="C19" s="89" t="s">
        <v>247</v>
      </c>
      <c r="D19" s="87" t="s">
        <v>119</v>
      </c>
      <c r="E19" s="87" t="s">
        <v>147</v>
      </c>
      <c r="F19" s="90" t="s">
        <v>248</v>
      </c>
      <c r="G19" t="s">
        <v>249</v>
      </c>
      <c r="H19" s="87" t="s">
        <v>120</v>
      </c>
      <c r="I19" s="91" t="s">
        <v>128</v>
      </c>
      <c r="J19" s="87" t="s">
        <v>153</v>
      </c>
      <c r="K19" s="87" t="s">
        <v>134</v>
      </c>
      <c r="L19" s="15">
        <v>4</v>
      </c>
      <c r="M19" s="14" t="s">
        <v>52</v>
      </c>
      <c r="N19" s="14">
        <v>104</v>
      </c>
      <c r="O19" s="85">
        <v>4.3360000000000003</v>
      </c>
      <c r="P19" s="92">
        <v>3.0025162660177851</v>
      </c>
      <c r="Q19" s="92">
        <v>50.8641296373751</v>
      </c>
      <c r="R19" s="92">
        <v>16.940500943508898</v>
      </c>
      <c r="S19" s="3"/>
    </row>
    <row r="20" spans="1:19" x14ac:dyDescent="0.25">
      <c r="A20" s="14">
        <v>2012</v>
      </c>
      <c r="B20" s="181">
        <v>41088</v>
      </c>
      <c r="C20" s="89" t="s">
        <v>247</v>
      </c>
      <c r="D20" s="87" t="s">
        <v>154</v>
      </c>
      <c r="E20" s="87" t="s">
        <v>155</v>
      </c>
      <c r="F20" s="90" t="s">
        <v>248</v>
      </c>
      <c r="G20" t="s">
        <v>249</v>
      </c>
      <c r="H20" s="87" t="s">
        <v>120</v>
      </c>
      <c r="I20" s="91" t="s">
        <v>156</v>
      </c>
      <c r="J20" s="87" t="s">
        <v>157</v>
      </c>
      <c r="K20" s="87" t="s">
        <v>124</v>
      </c>
      <c r="L20" s="15">
        <v>4</v>
      </c>
      <c r="M20" s="14" t="s">
        <v>158</v>
      </c>
      <c r="N20" s="14">
        <v>97</v>
      </c>
      <c r="O20" s="85">
        <v>4.0880000000000001</v>
      </c>
      <c r="P20" s="92">
        <v>2.1546006845264003</v>
      </c>
      <c r="Q20" s="92">
        <v>52.923199612968673</v>
      </c>
      <c r="R20" s="92">
        <v>24.562880719868353</v>
      </c>
      <c r="S20" s="3"/>
    </row>
    <row r="21" spans="1:19" x14ac:dyDescent="0.25">
      <c r="A21" s="14">
        <v>2012</v>
      </c>
      <c r="B21" s="181">
        <v>41088</v>
      </c>
      <c r="C21" s="89" t="s">
        <v>247</v>
      </c>
      <c r="D21" s="87" t="s">
        <v>154</v>
      </c>
      <c r="E21" s="87" t="s">
        <v>155</v>
      </c>
      <c r="F21" s="90" t="s">
        <v>248</v>
      </c>
      <c r="G21" t="s">
        <v>249</v>
      </c>
      <c r="H21" s="87" t="s">
        <v>120</v>
      </c>
      <c r="I21" s="91" t="s">
        <v>159</v>
      </c>
      <c r="J21" s="87" t="s">
        <v>160</v>
      </c>
      <c r="K21" s="87" t="s">
        <v>124</v>
      </c>
      <c r="L21" s="15">
        <v>4</v>
      </c>
      <c r="M21" s="14" t="s">
        <v>161</v>
      </c>
      <c r="N21" s="14">
        <v>98</v>
      </c>
      <c r="O21" s="85">
        <v>4.4089999999999998</v>
      </c>
      <c r="P21" s="92">
        <v>1.192898846072753</v>
      </c>
      <c r="Q21" s="92">
        <v>50.925838496583417</v>
      </c>
      <c r="R21" s="92">
        <v>42.690827193136151</v>
      </c>
      <c r="S21" s="9"/>
    </row>
    <row r="22" spans="1:19" x14ac:dyDescent="0.25">
      <c r="A22" s="14">
        <v>2012</v>
      </c>
      <c r="B22" s="181">
        <v>41088</v>
      </c>
      <c r="C22" s="89" t="s">
        <v>247</v>
      </c>
      <c r="D22" s="87" t="s">
        <v>154</v>
      </c>
      <c r="E22" s="87" t="s">
        <v>155</v>
      </c>
      <c r="F22" s="90" t="s">
        <v>248</v>
      </c>
      <c r="G22" t="s">
        <v>249</v>
      </c>
      <c r="H22" s="87" t="s">
        <v>120</v>
      </c>
      <c r="I22" s="91" t="s">
        <v>128</v>
      </c>
      <c r="J22" s="87" t="s">
        <v>162</v>
      </c>
      <c r="K22" s="87" t="s">
        <v>130</v>
      </c>
      <c r="L22" s="15">
        <v>4</v>
      </c>
      <c r="M22" s="14" t="s">
        <v>66</v>
      </c>
      <c r="N22" s="14">
        <v>95</v>
      </c>
      <c r="O22" s="85">
        <v>4.1210000000000004</v>
      </c>
      <c r="P22" s="92">
        <v>2.8413390649158701</v>
      </c>
      <c r="Q22" s="92">
        <v>49.804108033502693</v>
      </c>
      <c r="R22" s="92">
        <v>17.528393090592782</v>
      </c>
      <c r="S22" s="3"/>
    </row>
    <row r="23" spans="1:19" x14ac:dyDescent="0.25">
      <c r="A23" s="14">
        <v>2012</v>
      </c>
      <c r="B23" s="181">
        <v>41088</v>
      </c>
      <c r="C23" s="89" t="s">
        <v>247</v>
      </c>
      <c r="D23" s="87" t="s">
        <v>154</v>
      </c>
      <c r="E23" s="87" t="s">
        <v>155</v>
      </c>
      <c r="F23" s="90" t="s">
        <v>248</v>
      </c>
      <c r="G23" t="s">
        <v>249</v>
      </c>
      <c r="H23" s="87" t="s">
        <v>120</v>
      </c>
      <c r="I23" s="91" t="s">
        <v>128</v>
      </c>
      <c r="J23" s="87" t="s">
        <v>129</v>
      </c>
      <c r="K23" s="87" t="s">
        <v>130</v>
      </c>
      <c r="L23" s="15">
        <v>4</v>
      </c>
      <c r="M23" s="14" t="s">
        <v>55</v>
      </c>
      <c r="N23" s="14">
        <v>96</v>
      </c>
      <c r="O23" s="85">
        <v>4.0339999999999998</v>
      </c>
      <c r="P23" s="92">
        <v>3.0502468893503218</v>
      </c>
      <c r="Q23" s="92">
        <v>51.190298567624012</v>
      </c>
      <c r="R23" s="92">
        <v>16.782345962338521</v>
      </c>
      <c r="S23" s="3"/>
    </row>
    <row r="24" spans="1:19" x14ac:dyDescent="0.25">
      <c r="A24" s="14">
        <v>2012</v>
      </c>
      <c r="B24" s="181">
        <v>41088</v>
      </c>
      <c r="C24" s="89" t="s">
        <v>247</v>
      </c>
      <c r="D24" s="87" t="s">
        <v>154</v>
      </c>
      <c r="E24" s="87" t="s">
        <v>155</v>
      </c>
      <c r="F24" s="90" t="s">
        <v>248</v>
      </c>
      <c r="G24" t="s">
        <v>249</v>
      </c>
      <c r="H24" s="87" t="s">
        <v>120</v>
      </c>
      <c r="I24" s="91" t="s">
        <v>128</v>
      </c>
      <c r="J24" s="87" t="s">
        <v>133</v>
      </c>
      <c r="K24" s="87" t="s">
        <v>134</v>
      </c>
      <c r="L24" s="15">
        <v>4</v>
      </c>
      <c r="M24" s="14" t="s">
        <v>62</v>
      </c>
      <c r="N24" s="14">
        <v>93</v>
      </c>
      <c r="O24" s="85">
        <v>4.2469999999999999</v>
      </c>
      <c r="P24" s="92">
        <v>3.1250179511022389</v>
      </c>
      <c r="Q24" s="92">
        <v>51.190309865837477</v>
      </c>
      <c r="R24" s="92">
        <v>16.380805059945949</v>
      </c>
      <c r="S24" s="3"/>
    </row>
    <row r="25" spans="1:19" x14ac:dyDescent="0.25">
      <c r="A25" s="14">
        <v>2012</v>
      </c>
      <c r="B25" s="181">
        <v>41088</v>
      </c>
      <c r="C25" s="89" t="s">
        <v>247</v>
      </c>
      <c r="D25" s="87" t="s">
        <v>154</v>
      </c>
      <c r="E25" s="87" t="s">
        <v>155</v>
      </c>
      <c r="F25" s="90" t="s">
        <v>248</v>
      </c>
      <c r="G25" t="s">
        <v>249</v>
      </c>
      <c r="H25" s="87" t="s">
        <v>120</v>
      </c>
      <c r="I25" s="91" t="s">
        <v>128</v>
      </c>
      <c r="J25" s="87" t="s">
        <v>163</v>
      </c>
      <c r="K25" s="87" t="s">
        <v>134</v>
      </c>
      <c r="L25" s="94">
        <v>4</v>
      </c>
      <c r="M25" s="94" t="s">
        <v>64</v>
      </c>
      <c r="N25" s="94">
        <v>94</v>
      </c>
      <c r="O25" s="95">
        <v>3.9504999999999999</v>
      </c>
      <c r="P25" s="96">
        <v>3.0096942835218208</v>
      </c>
      <c r="Q25" s="96">
        <v>51.740117039743971</v>
      </c>
      <c r="R25" s="92">
        <v>17.191153707213015</v>
      </c>
      <c r="S25" s="9" t="s">
        <v>250</v>
      </c>
    </row>
    <row r="26" spans="1:19" x14ac:dyDescent="0.25">
      <c r="A26" s="14">
        <v>2012</v>
      </c>
      <c r="B26" s="180">
        <v>41089</v>
      </c>
      <c r="C26" s="89" t="s">
        <v>247</v>
      </c>
      <c r="D26" s="87" t="s">
        <v>154</v>
      </c>
      <c r="E26" s="87" t="s">
        <v>164</v>
      </c>
      <c r="F26" s="90" t="s">
        <v>248</v>
      </c>
      <c r="G26" t="s">
        <v>249</v>
      </c>
      <c r="H26" s="87" t="s">
        <v>137</v>
      </c>
      <c r="I26" s="91" t="s">
        <v>156</v>
      </c>
      <c r="J26" s="87" t="s">
        <v>165</v>
      </c>
      <c r="K26" s="87" t="s">
        <v>124</v>
      </c>
      <c r="L26" s="15">
        <v>4</v>
      </c>
      <c r="M26" s="14" t="s">
        <v>166</v>
      </c>
      <c r="N26" s="14">
        <v>91</v>
      </c>
      <c r="O26" s="85">
        <v>3.847</v>
      </c>
      <c r="P26" s="92">
        <v>1.6637057550342589</v>
      </c>
      <c r="Q26" s="92">
        <v>53.010600274283149</v>
      </c>
      <c r="R26" s="92">
        <v>31.862966220965895</v>
      </c>
      <c r="S26" s="3"/>
    </row>
    <row r="27" spans="1:19" x14ac:dyDescent="0.25">
      <c r="A27" s="14">
        <v>2012</v>
      </c>
      <c r="B27" s="180">
        <v>41089</v>
      </c>
      <c r="C27" s="89" t="s">
        <v>247</v>
      </c>
      <c r="D27" s="87" t="s">
        <v>154</v>
      </c>
      <c r="E27" s="87" t="s">
        <v>164</v>
      </c>
      <c r="F27" s="90" t="s">
        <v>248</v>
      </c>
      <c r="G27" t="s">
        <v>249</v>
      </c>
      <c r="H27" s="87" t="s">
        <v>137</v>
      </c>
      <c r="I27" s="91" t="s">
        <v>156</v>
      </c>
      <c r="J27" s="87" t="s">
        <v>167</v>
      </c>
      <c r="K27" s="87" t="s">
        <v>124</v>
      </c>
      <c r="L27" s="15">
        <v>4</v>
      </c>
      <c r="M27" s="14" t="s">
        <v>168</v>
      </c>
      <c r="N27" s="14">
        <v>92</v>
      </c>
      <c r="O27" s="85">
        <v>4.2619999999999996</v>
      </c>
      <c r="P27" s="92">
        <v>1.9991888538564269</v>
      </c>
      <c r="Q27" s="92">
        <v>53.342302893783547</v>
      </c>
      <c r="R27" s="92">
        <v>26.681972936617004</v>
      </c>
      <c r="S27" s="3"/>
    </row>
    <row r="28" spans="1:19" x14ac:dyDescent="0.25">
      <c r="A28" s="14">
        <v>2012</v>
      </c>
      <c r="B28" s="180">
        <v>41088</v>
      </c>
      <c r="C28" s="89" t="s">
        <v>247</v>
      </c>
      <c r="D28" s="87" t="s">
        <v>154</v>
      </c>
      <c r="E28" s="87" t="s">
        <v>164</v>
      </c>
      <c r="F28" s="90" t="s">
        <v>248</v>
      </c>
      <c r="G28" t="s">
        <v>249</v>
      </c>
      <c r="H28" s="87" t="s">
        <v>137</v>
      </c>
      <c r="I28" s="91" t="s">
        <v>128</v>
      </c>
      <c r="J28" s="87" t="s">
        <v>143</v>
      </c>
      <c r="K28" s="87" t="s">
        <v>130</v>
      </c>
      <c r="L28" s="15">
        <v>4</v>
      </c>
      <c r="M28" s="14" t="s">
        <v>59</v>
      </c>
      <c r="N28" s="14">
        <v>90</v>
      </c>
      <c r="O28" s="85">
        <v>4.1040000000000001</v>
      </c>
      <c r="P28" s="92">
        <v>3.2636855237472484</v>
      </c>
      <c r="Q28" s="92">
        <v>50.391260754667087</v>
      </c>
      <c r="R28" s="92">
        <v>15.439986600427611</v>
      </c>
      <c r="S28" s="3"/>
    </row>
    <row r="29" spans="1:19" x14ac:dyDescent="0.25">
      <c r="A29" s="14">
        <v>2012</v>
      </c>
      <c r="B29" s="180">
        <v>41088</v>
      </c>
      <c r="C29" s="89" t="s">
        <v>247</v>
      </c>
      <c r="D29" s="87" t="s">
        <v>154</v>
      </c>
      <c r="E29" s="87" t="s">
        <v>164</v>
      </c>
      <c r="F29" s="90" t="s">
        <v>248</v>
      </c>
      <c r="G29" t="s">
        <v>249</v>
      </c>
      <c r="H29" s="87" t="s">
        <v>137</v>
      </c>
      <c r="I29" s="91" t="s">
        <v>128</v>
      </c>
      <c r="J29" s="87" t="s">
        <v>169</v>
      </c>
      <c r="K29" s="87" t="s">
        <v>130</v>
      </c>
      <c r="L29" s="15">
        <v>4</v>
      </c>
      <c r="M29" s="14" t="s">
        <v>43</v>
      </c>
      <c r="N29" s="14">
        <v>89</v>
      </c>
      <c r="O29" s="85">
        <v>3.9940000000000002</v>
      </c>
      <c r="P29" s="92">
        <v>2.6090196336729616</v>
      </c>
      <c r="Q29" s="92">
        <v>50.131808438293334</v>
      </c>
      <c r="R29" s="92">
        <v>19.214806891935147</v>
      </c>
      <c r="S29" s="3"/>
    </row>
    <row r="30" spans="1:19" x14ac:dyDescent="0.25">
      <c r="A30" s="14">
        <v>2012</v>
      </c>
      <c r="B30" s="180">
        <v>41088</v>
      </c>
      <c r="C30" s="89" t="s">
        <v>247</v>
      </c>
      <c r="D30" s="87" t="s">
        <v>154</v>
      </c>
      <c r="E30" s="87" t="s">
        <v>164</v>
      </c>
      <c r="F30" s="90" t="s">
        <v>248</v>
      </c>
      <c r="G30" t="s">
        <v>249</v>
      </c>
      <c r="H30" s="87" t="s">
        <v>137</v>
      </c>
      <c r="I30" s="91" t="s">
        <v>131</v>
      </c>
      <c r="J30" s="87" t="s">
        <v>145</v>
      </c>
      <c r="K30" s="87" t="s">
        <v>134</v>
      </c>
      <c r="L30" s="15">
        <v>4</v>
      </c>
      <c r="M30" s="14" t="s">
        <v>33</v>
      </c>
      <c r="N30" s="14">
        <v>87</v>
      </c>
      <c r="O30" s="85">
        <v>4.3630000000000004</v>
      </c>
      <c r="P30" s="92">
        <v>2.2283359937385558</v>
      </c>
      <c r="Q30" s="92">
        <v>49.634259468273513</v>
      </c>
      <c r="R30" s="92">
        <v>22.274136219915565</v>
      </c>
      <c r="S30" s="3"/>
    </row>
    <row r="31" spans="1:19" x14ac:dyDescent="0.25">
      <c r="A31" s="14">
        <v>2012</v>
      </c>
      <c r="B31" s="180">
        <v>41088</v>
      </c>
      <c r="C31" s="89" t="s">
        <v>247</v>
      </c>
      <c r="D31" s="87" t="s">
        <v>154</v>
      </c>
      <c r="E31" s="87" t="s">
        <v>164</v>
      </c>
      <c r="F31" s="90" t="s">
        <v>248</v>
      </c>
      <c r="G31" t="s">
        <v>249</v>
      </c>
      <c r="H31" s="87" t="s">
        <v>137</v>
      </c>
      <c r="I31" s="91" t="s">
        <v>131</v>
      </c>
      <c r="J31" s="87" t="s">
        <v>146</v>
      </c>
      <c r="K31" s="87" t="s">
        <v>134</v>
      </c>
      <c r="L31" s="15">
        <v>4</v>
      </c>
      <c r="M31" s="14" t="s">
        <v>46</v>
      </c>
      <c r="N31" s="14">
        <v>88</v>
      </c>
      <c r="O31" s="85">
        <v>4.4080000000000004</v>
      </c>
      <c r="P31" s="92">
        <v>2.0805609830517149</v>
      </c>
      <c r="Q31" s="92">
        <v>50.187463457996387</v>
      </c>
      <c r="R31" s="92">
        <v>24.122082393558429</v>
      </c>
      <c r="S31" s="3"/>
    </row>
    <row r="32" spans="1:19" x14ac:dyDescent="0.25">
      <c r="A32" s="14">
        <v>2012</v>
      </c>
      <c r="B32" s="180">
        <v>41089</v>
      </c>
      <c r="C32" s="89" t="s">
        <v>247</v>
      </c>
      <c r="D32" s="87" t="s">
        <v>154</v>
      </c>
      <c r="E32" s="87" t="s">
        <v>170</v>
      </c>
      <c r="F32" s="90" t="s">
        <v>248</v>
      </c>
      <c r="G32" t="s">
        <v>249</v>
      </c>
      <c r="H32" s="87" t="s">
        <v>137</v>
      </c>
      <c r="I32" s="91" t="s">
        <v>128</v>
      </c>
      <c r="J32" s="87" t="s">
        <v>171</v>
      </c>
      <c r="K32" s="87" t="s">
        <v>124</v>
      </c>
      <c r="L32" s="15">
        <v>4</v>
      </c>
      <c r="M32" s="14" t="s">
        <v>172</v>
      </c>
      <c r="N32" s="14">
        <v>85</v>
      </c>
      <c r="O32" s="85">
        <v>4.1539999999999999</v>
      </c>
      <c r="P32" s="92">
        <v>3.2921907384300231</v>
      </c>
      <c r="Q32" s="92">
        <v>49.853494741971012</v>
      </c>
      <c r="R32" s="92">
        <v>15.142954556073231</v>
      </c>
      <c r="S32" s="3"/>
    </row>
    <row r="33" spans="1:19" x14ac:dyDescent="0.25">
      <c r="A33" s="14">
        <v>2012</v>
      </c>
      <c r="B33" s="180">
        <v>41089</v>
      </c>
      <c r="C33" s="89" t="s">
        <v>247</v>
      </c>
      <c r="D33" s="87" t="s">
        <v>154</v>
      </c>
      <c r="E33" s="87" t="s">
        <v>170</v>
      </c>
      <c r="F33" s="90" t="s">
        <v>248</v>
      </c>
      <c r="G33" t="s">
        <v>249</v>
      </c>
      <c r="H33" s="87" t="s">
        <v>137</v>
      </c>
      <c r="I33" s="91" t="s">
        <v>128</v>
      </c>
      <c r="J33" s="87" t="s">
        <v>173</v>
      </c>
      <c r="K33" s="87" t="s">
        <v>124</v>
      </c>
      <c r="L33" s="15">
        <v>4</v>
      </c>
      <c r="M33" s="14" t="s">
        <v>174</v>
      </c>
      <c r="N33" s="14">
        <v>86</v>
      </c>
      <c r="O33" s="85">
        <v>4.3029999999999999</v>
      </c>
      <c r="P33" s="92">
        <v>3.2819418319537883</v>
      </c>
      <c r="Q33" s="92">
        <v>50.595889240151713</v>
      </c>
      <c r="R33" s="92">
        <v>15.416449111784299</v>
      </c>
      <c r="S33" s="3"/>
    </row>
    <row r="34" spans="1:19" x14ac:dyDescent="0.25">
      <c r="A34" s="14">
        <v>2012</v>
      </c>
      <c r="B34" s="180">
        <v>41089</v>
      </c>
      <c r="C34" s="89" t="s">
        <v>247</v>
      </c>
      <c r="D34" s="87" t="s">
        <v>154</v>
      </c>
      <c r="E34" s="87" t="s">
        <v>170</v>
      </c>
      <c r="F34" s="90" t="s">
        <v>248</v>
      </c>
      <c r="G34" t="s">
        <v>249</v>
      </c>
      <c r="H34" s="87" t="s">
        <v>137</v>
      </c>
      <c r="I34" s="91" t="s">
        <v>128</v>
      </c>
      <c r="J34" s="87" t="s">
        <v>175</v>
      </c>
      <c r="K34" s="87" t="s">
        <v>130</v>
      </c>
      <c r="L34" s="15">
        <v>4</v>
      </c>
      <c r="M34" s="14" t="s">
        <v>51</v>
      </c>
      <c r="N34" s="14">
        <v>82</v>
      </c>
      <c r="O34" s="85">
        <v>3.65</v>
      </c>
      <c r="P34" s="92">
        <v>3.2779608642062219</v>
      </c>
      <c r="Q34" s="92">
        <v>50.752739733784445</v>
      </c>
      <c r="R34" s="92">
        <v>15.483021865202936</v>
      </c>
      <c r="S34" s="3"/>
    </row>
    <row r="35" spans="1:19" x14ac:dyDescent="0.25">
      <c r="A35" s="14">
        <v>2012</v>
      </c>
      <c r="B35" s="180">
        <v>41089</v>
      </c>
      <c r="C35" s="89" t="s">
        <v>247</v>
      </c>
      <c r="D35" s="87" t="s">
        <v>154</v>
      </c>
      <c r="E35" s="87" t="s">
        <v>170</v>
      </c>
      <c r="F35" s="90" t="s">
        <v>248</v>
      </c>
      <c r="G35" t="s">
        <v>249</v>
      </c>
      <c r="H35" s="87" t="s">
        <v>137</v>
      </c>
      <c r="I35" s="91" t="s">
        <v>131</v>
      </c>
      <c r="J35" s="87" t="s">
        <v>176</v>
      </c>
      <c r="K35" s="87" t="s">
        <v>130</v>
      </c>
      <c r="L35" s="15">
        <v>4</v>
      </c>
      <c r="M35" s="14" t="s">
        <v>49</v>
      </c>
      <c r="N35" s="14">
        <v>84</v>
      </c>
      <c r="O35" s="85">
        <v>4.2439999999999998</v>
      </c>
      <c r="P35" s="92">
        <v>2.7301941883578698</v>
      </c>
      <c r="Q35" s="92">
        <v>49.554496425362203</v>
      </c>
      <c r="R35" s="92">
        <v>18.150539121602829</v>
      </c>
      <c r="S35" s="3"/>
    </row>
    <row r="36" spans="1:19" x14ac:dyDescent="0.25">
      <c r="A36" s="14">
        <v>2012</v>
      </c>
      <c r="B36" s="180">
        <v>41089</v>
      </c>
      <c r="C36" s="89" t="s">
        <v>247</v>
      </c>
      <c r="D36" s="87" t="s">
        <v>154</v>
      </c>
      <c r="E36" s="87" t="s">
        <v>170</v>
      </c>
      <c r="F36" s="90" t="s">
        <v>248</v>
      </c>
      <c r="G36" t="s">
        <v>249</v>
      </c>
      <c r="H36" s="87" t="s">
        <v>137</v>
      </c>
      <c r="I36" s="91" t="s">
        <v>131</v>
      </c>
      <c r="J36" s="87" t="s">
        <v>177</v>
      </c>
      <c r="K36" s="87" t="s">
        <v>134</v>
      </c>
      <c r="L36" s="182">
        <v>4</v>
      </c>
      <c r="M36" s="74" t="s">
        <v>35</v>
      </c>
      <c r="N36" s="14">
        <v>81</v>
      </c>
      <c r="O36" s="85">
        <v>3.52</v>
      </c>
      <c r="P36" s="92">
        <v>2.3800342287793641</v>
      </c>
      <c r="Q36" s="92">
        <v>50.368028005896129</v>
      </c>
      <c r="R36" s="92">
        <v>21.162732618231345</v>
      </c>
      <c r="S36" s="3"/>
    </row>
    <row r="37" spans="1:19" x14ac:dyDescent="0.25">
      <c r="A37" s="14">
        <v>2012</v>
      </c>
      <c r="B37" s="180">
        <v>41089</v>
      </c>
      <c r="C37" s="89" t="s">
        <v>247</v>
      </c>
      <c r="D37" s="87" t="s">
        <v>154</v>
      </c>
      <c r="E37" s="87" t="s">
        <v>170</v>
      </c>
      <c r="F37" s="90" t="s">
        <v>248</v>
      </c>
      <c r="G37" t="s">
        <v>249</v>
      </c>
      <c r="H37" s="87" t="s">
        <v>137</v>
      </c>
      <c r="I37" s="91" t="s">
        <v>131</v>
      </c>
      <c r="J37" s="87" t="s">
        <v>178</v>
      </c>
      <c r="K37" s="87" t="s">
        <v>134</v>
      </c>
      <c r="L37" s="15">
        <v>4</v>
      </c>
      <c r="M37" s="14" t="s">
        <v>27</v>
      </c>
      <c r="N37" s="14">
        <v>83</v>
      </c>
      <c r="O37" s="85">
        <v>3.6859999999999999</v>
      </c>
      <c r="P37" s="92">
        <v>2.6208995805829525</v>
      </c>
      <c r="Q37" s="92">
        <v>48.875697898312218</v>
      </c>
      <c r="R37" s="92">
        <v>18.648443557475431</v>
      </c>
      <c r="S37" s="3"/>
    </row>
    <row r="38" spans="1:19" s="75" customFormat="1" x14ac:dyDescent="0.25">
      <c r="A38" s="14">
        <v>2012</v>
      </c>
      <c r="B38" s="180">
        <v>41089</v>
      </c>
      <c r="C38" s="89" t="s">
        <v>247</v>
      </c>
      <c r="D38" s="87" t="s">
        <v>154</v>
      </c>
      <c r="E38" s="87" t="s">
        <v>179</v>
      </c>
      <c r="F38" s="90" t="s">
        <v>248</v>
      </c>
      <c r="G38" t="s">
        <v>249</v>
      </c>
      <c r="H38" s="87" t="s">
        <v>120</v>
      </c>
      <c r="I38" s="91" t="s">
        <v>122</v>
      </c>
      <c r="J38" s="87" t="s">
        <v>180</v>
      </c>
      <c r="K38" s="87" t="s">
        <v>124</v>
      </c>
      <c r="L38" s="97">
        <v>8</v>
      </c>
      <c r="M38" s="97" t="s">
        <v>181</v>
      </c>
      <c r="N38" s="98">
        <v>79</v>
      </c>
      <c r="O38" s="99">
        <v>3.5539999999999998</v>
      </c>
      <c r="P38" s="100">
        <v>2.9447100741059238</v>
      </c>
      <c r="Q38" s="100">
        <v>48.835976076865649</v>
      </c>
      <c r="R38" s="92">
        <v>16.584307061771874</v>
      </c>
      <c r="S38" s="9" t="s">
        <v>250</v>
      </c>
    </row>
    <row r="39" spans="1:19" x14ac:dyDescent="0.25">
      <c r="A39" s="14">
        <v>2012</v>
      </c>
      <c r="B39" s="180">
        <v>41089</v>
      </c>
      <c r="C39" s="89" t="s">
        <v>247</v>
      </c>
      <c r="D39" s="87" t="s">
        <v>154</v>
      </c>
      <c r="E39" s="87" t="s">
        <v>179</v>
      </c>
      <c r="F39" s="90" t="s">
        <v>248</v>
      </c>
      <c r="G39" t="s">
        <v>249</v>
      </c>
      <c r="H39" s="87" t="s">
        <v>120</v>
      </c>
      <c r="I39" s="91" t="s">
        <v>122</v>
      </c>
      <c r="J39" s="87" t="s">
        <v>182</v>
      </c>
      <c r="K39" s="87" t="s">
        <v>124</v>
      </c>
      <c r="L39" s="182">
        <v>4</v>
      </c>
      <c r="M39" s="74" t="s">
        <v>183</v>
      </c>
      <c r="N39" s="14">
        <v>80</v>
      </c>
      <c r="O39" s="85">
        <v>4.22</v>
      </c>
      <c r="P39" s="92">
        <v>2.7493839643174685</v>
      </c>
      <c r="Q39" s="92">
        <v>49.460435372463742</v>
      </c>
      <c r="R39" s="92">
        <v>17.989642776119936</v>
      </c>
      <c r="S39" s="3"/>
    </row>
    <row r="40" spans="1:19" x14ac:dyDescent="0.25">
      <c r="A40" s="14">
        <v>2012</v>
      </c>
      <c r="B40" s="180">
        <v>41089</v>
      </c>
      <c r="C40" s="89" t="s">
        <v>247</v>
      </c>
      <c r="D40" s="87" t="s">
        <v>154</v>
      </c>
      <c r="E40" s="87" t="s">
        <v>179</v>
      </c>
      <c r="F40" s="90" t="s">
        <v>248</v>
      </c>
      <c r="G40" t="s">
        <v>249</v>
      </c>
      <c r="H40" s="87" t="s">
        <v>120</v>
      </c>
      <c r="I40" s="91" t="s">
        <v>128</v>
      </c>
      <c r="J40" s="87" t="s">
        <v>169</v>
      </c>
      <c r="K40" s="87" t="s">
        <v>130</v>
      </c>
      <c r="L40" s="15">
        <v>4</v>
      </c>
      <c r="M40" s="14" t="s">
        <v>39</v>
      </c>
      <c r="N40" s="14">
        <v>77</v>
      </c>
      <c r="O40" s="85">
        <v>4.2290000000000001</v>
      </c>
      <c r="P40" s="92">
        <v>2.8634991069145794</v>
      </c>
      <c r="Q40" s="92">
        <v>49.755904391065073</v>
      </c>
      <c r="R40" s="92">
        <v>17.375910567221048</v>
      </c>
      <c r="S40" s="3"/>
    </row>
    <row r="41" spans="1:19" x14ac:dyDescent="0.25">
      <c r="A41" s="14">
        <v>2012</v>
      </c>
      <c r="B41" s="180">
        <v>41089</v>
      </c>
      <c r="C41" s="89" t="s">
        <v>247</v>
      </c>
      <c r="D41" s="87" t="s">
        <v>154</v>
      </c>
      <c r="E41" s="87" t="s">
        <v>179</v>
      </c>
      <c r="F41" s="90" t="s">
        <v>248</v>
      </c>
      <c r="G41" t="s">
        <v>249</v>
      </c>
      <c r="H41" s="87" t="s">
        <v>120</v>
      </c>
      <c r="I41" s="91" t="s">
        <v>131</v>
      </c>
      <c r="J41" s="87" t="s">
        <v>184</v>
      </c>
      <c r="K41" s="87" t="s">
        <v>130</v>
      </c>
      <c r="L41" s="182">
        <v>4</v>
      </c>
      <c r="M41" s="74" t="s">
        <v>60</v>
      </c>
      <c r="N41" s="14">
        <v>78</v>
      </c>
      <c r="O41" s="85">
        <v>4.0190000000000001</v>
      </c>
      <c r="P41" s="92">
        <v>3.5186477872570876</v>
      </c>
      <c r="Q41" s="92">
        <v>50.644837219798298</v>
      </c>
      <c r="R41" s="92">
        <v>14.393267039460568</v>
      </c>
      <c r="S41" s="3"/>
    </row>
    <row r="42" spans="1:19" x14ac:dyDescent="0.25">
      <c r="A42" s="14">
        <v>2012</v>
      </c>
      <c r="B42" s="180">
        <v>41089</v>
      </c>
      <c r="C42" s="89" t="s">
        <v>247</v>
      </c>
      <c r="D42" s="87" t="s">
        <v>154</v>
      </c>
      <c r="E42" s="87" t="s">
        <v>179</v>
      </c>
      <c r="F42" s="90" t="s">
        <v>248</v>
      </c>
      <c r="G42" t="s">
        <v>249</v>
      </c>
      <c r="H42" s="87" t="s">
        <v>120</v>
      </c>
      <c r="I42" s="91" t="s">
        <v>128</v>
      </c>
      <c r="J42" s="87" t="s">
        <v>185</v>
      </c>
      <c r="K42" s="87" t="s">
        <v>134</v>
      </c>
      <c r="L42" s="15">
        <v>4</v>
      </c>
      <c r="M42" s="14" t="s">
        <v>34</v>
      </c>
      <c r="N42" s="14">
        <v>75</v>
      </c>
      <c r="O42" s="85">
        <v>4.0369999999999999</v>
      </c>
      <c r="P42" s="92">
        <v>2.6855742820271558</v>
      </c>
      <c r="Q42" s="92">
        <v>49.099312617798944</v>
      </c>
      <c r="R42" s="92">
        <v>18.282612008310284</v>
      </c>
      <c r="S42" s="3"/>
    </row>
    <row r="43" spans="1:19" s="8" customFormat="1" x14ac:dyDescent="0.25">
      <c r="A43" s="14">
        <v>2012</v>
      </c>
      <c r="B43" s="180">
        <v>41089</v>
      </c>
      <c r="C43" s="89" t="s">
        <v>247</v>
      </c>
      <c r="D43" s="87" t="s">
        <v>154</v>
      </c>
      <c r="E43" s="87" t="s">
        <v>179</v>
      </c>
      <c r="F43" s="90" t="s">
        <v>248</v>
      </c>
      <c r="G43" t="s">
        <v>249</v>
      </c>
      <c r="H43" s="87" t="s">
        <v>120</v>
      </c>
      <c r="I43" s="91" t="s">
        <v>128</v>
      </c>
      <c r="J43" s="87" t="s">
        <v>186</v>
      </c>
      <c r="K43" s="87" t="s">
        <v>134</v>
      </c>
      <c r="L43" s="94">
        <v>4</v>
      </c>
      <c r="M43" s="94" t="s">
        <v>36</v>
      </c>
      <c r="N43" s="94">
        <v>76</v>
      </c>
      <c r="O43" s="95">
        <v>3.9969999999999999</v>
      </c>
      <c r="P43" s="101">
        <v>2.9368128910380831</v>
      </c>
      <c r="Q43" s="101">
        <v>49.938462190547057</v>
      </c>
      <c r="R43" s="92">
        <v>17.004305021589296</v>
      </c>
      <c r="S43" s="9" t="s">
        <v>250</v>
      </c>
    </row>
    <row r="44" spans="1:19" x14ac:dyDescent="0.25">
      <c r="A44" s="14">
        <v>2012</v>
      </c>
      <c r="B44" s="180">
        <v>41097</v>
      </c>
      <c r="C44" s="89" t="s">
        <v>247</v>
      </c>
      <c r="D44" s="87" t="s">
        <v>119</v>
      </c>
      <c r="E44" s="87" t="s">
        <v>187</v>
      </c>
      <c r="F44" s="90" t="s">
        <v>248</v>
      </c>
      <c r="G44" t="s">
        <v>249</v>
      </c>
      <c r="H44" s="87" t="s">
        <v>137</v>
      </c>
      <c r="I44" s="91" t="s">
        <v>131</v>
      </c>
      <c r="J44" s="87" t="s">
        <v>188</v>
      </c>
      <c r="K44" s="87" t="s">
        <v>124</v>
      </c>
      <c r="L44" s="15">
        <v>4</v>
      </c>
      <c r="M44" s="14" t="s">
        <v>189</v>
      </c>
      <c r="N44" s="14">
        <v>74</v>
      </c>
      <c r="O44" s="85">
        <v>4.2720000000000002</v>
      </c>
      <c r="P44" s="92">
        <v>2.3112091132956802</v>
      </c>
      <c r="Q44" s="92">
        <v>48.665372359941188</v>
      </c>
      <c r="R44" s="92">
        <v>21.056239385689576</v>
      </c>
      <c r="S44" s="3"/>
    </row>
    <row r="45" spans="1:19" x14ac:dyDescent="0.25">
      <c r="A45" s="14">
        <v>2012</v>
      </c>
      <c r="B45" s="180">
        <v>41097</v>
      </c>
      <c r="C45" s="89" t="s">
        <v>247</v>
      </c>
      <c r="D45" s="87" t="s">
        <v>119</v>
      </c>
      <c r="E45" s="87" t="s">
        <v>187</v>
      </c>
      <c r="F45" s="90" t="s">
        <v>248</v>
      </c>
      <c r="G45" t="s">
        <v>249</v>
      </c>
      <c r="H45" s="87" t="s">
        <v>137</v>
      </c>
      <c r="I45" s="91" t="s">
        <v>131</v>
      </c>
      <c r="J45" s="87" t="s">
        <v>190</v>
      </c>
      <c r="K45" s="87" t="s">
        <v>124</v>
      </c>
      <c r="L45" s="15">
        <v>4</v>
      </c>
      <c r="M45" s="14" t="s">
        <v>191</v>
      </c>
      <c r="N45" s="14">
        <v>73</v>
      </c>
      <c r="O45" s="85">
        <v>4.1029999999999998</v>
      </c>
      <c r="P45" s="92">
        <v>2.9069051104928469</v>
      </c>
      <c r="Q45" s="92">
        <v>49.269707342672021</v>
      </c>
      <c r="R45" s="92">
        <v>16.949196987829666</v>
      </c>
      <c r="S45" s="3"/>
    </row>
    <row r="46" spans="1:19" x14ac:dyDescent="0.25">
      <c r="A46" s="14">
        <v>2012</v>
      </c>
      <c r="B46" s="180">
        <v>41097</v>
      </c>
      <c r="C46" s="89" t="s">
        <v>247</v>
      </c>
      <c r="D46" s="87" t="s">
        <v>119</v>
      </c>
      <c r="E46" s="87" t="s">
        <v>187</v>
      </c>
      <c r="F46" s="90" t="s">
        <v>248</v>
      </c>
      <c r="G46" t="s">
        <v>249</v>
      </c>
      <c r="H46" s="87" t="s">
        <v>137</v>
      </c>
      <c r="I46" s="91" t="s">
        <v>131</v>
      </c>
      <c r="J46" s="87" t="s">
        <v>192</v>
      </c>
      <c r="K46" s="87" t="s">
        <v>130</v>
      </c>
      <c r="L46" s="15">
        <v>4</v>
      </c>
      <c r="M46" s="14" t="s">
        <v>40</v>
      </c>
      <c r="N46" s="14">
        <v>71</v>
      </c>
      <c r="O46" s="85">
        <v>4.2270000000000003</v>
      </c>
      <c r="P46" s="92">
        <v>2.1716031155994977</v>
      </c>
      <c r="Q46" s="92">
        <v>48.543568881368749</v>
      </c>
      <c r="R46" s="92">
        <v>22.353794085420486</v>
      </c>
      <c r="S46" s="3"/>
    </row>
    <row r="47" spans="1:19" x14ac:dyDescent="0.25">
      <c r="A47" s="14">
        <v>2012</v>
      </c>
      <c r="B47" s="180">
        <v>41097</v>
      </c>
      <c r="C47" s="89" t="s">
        <v>247</v>
      </c>
      <c r="D47" s="87" t="s">
        <v>119</v>
      </c>
      <c r="E47" s="87" t="s">
        <v>187</v>
      </c>
      <c r="F47" s="90" t="s">
        <v>248</v>
      </c>
      <c r="G47" t="s">
        <v>249</v>
      </c>
      <c r="H47" s="87" t="s">
        <v>137</v>
      </c>
      <c r="I47" s="91" t="s">
        <v>131</v>
      </c>
      <c r="J47" s="87" t="s">
        <v>193</v>
      </c>
      <c r="K47" s="87" t="s">
        <v>130</v>
      </c>
      <c r="L47" s="15">
        <v>4</v>
      </c>
      <c r="M47" s="14" t="s">
        <v>57</v>
      </c>
      <c r="N47" s="14">
        <v>72</v>
      </c>
      <c r="O47" s="85">
        <v>4.3330000000000002</v>
      </c>
      <c r="P47" s="92">
        <v>2.4871129038240096</v>
      </c>
      <c r="Q47" s="92">
        <v>49.216782485855404</v>
      </c>
      <c r="R47" s="92">
        <v>19.788720652843363</v>
      </c>
      <c r="S47" s="3"/>
    </row>
    <row r="48" spans="1:19" x14ac:dyDescent="0.25">
      <c r="A48" s="14">
        <v>2012</v>
      </c>
      <c r="B48" s="180">
        <v>41097</v>
      </c>
      <c r="C48" s="89" t="s">
        <v>247</v>
      </c>
      <c r="D48" s="87" t="s">
        <v>119</v>
      </c>
      <c r="E48" s="87" t="s">
        <v>187</v>
      </c>
      <c r="F48" s="90" t="s">
        <v>248</v>
      </c>
      <c r="G48" t="s">
        <v>249</v>
      </c>
      <c r="H48" s="87" t="s">
        <v>137</v>
      </c>
      <c r="I48" s="91" t="s">
        <v>131</v>
      </c>
      <c r="J48" s="87" t="s">
        <v>177</v>
      </c>
      <c r="K48" s="87" t="s">
        <v>134</v>
      </c>
      <c r="L48" s="15">
        <v>4</v>
      </c>
      <c r="M48" s="14" t="s">
        <v>38</v>
      </c>
      <c r="N48" s="14">
        <v>69</v>
      </c>
      <c r="O48" s="85">
        <v>4.5019999999999998</v>
      </c>
      <c r="P48" s="92">
        <v>2.4103289803797101</v>
      </c>
      <c r="Q48" s="92">
        <v>49.796969346186415</v>
      </c>
      <c r="R48" s="92">
        <v>20.65982268459539</v>
      </c>
      <c r="S48" s="3"/>
    </row>
    <row r="49" spans="1:19" x14ac:dyDescent="0.25">
      <c r="A49" s="14">
        <v>2012</v>
      </c>
      <c r="B49" s="180">
        <v>41097</v>
      </c>
      <c r="C49" s="89" t="s">
        <v>247</v>
      </c>
      <c r="D49" s="87" t="s">
        <v>119</v>
      </c>
      <c r="E49" s="87" t="s">
        <v>187</v>
      </c>
      <c r="F49" s="90" t="s">
        <v>248</v>
      </c>
      <c r="G49" t="s">
        <v>249</v>
      </c>
      <c r="H49" s="87" t="s">
        <v>137</v>
      </c>
      <c r="I49" s="91" t="s">
        <v>131</v>
      </c>
      <c r="J49" s="87" t="s">
        <v>194</v>
      </c>
      <c r="K49" s="87" t="s">
        <v>134</v>
      </c>
      <c r="L49" s="15">
        <v>4</v>
      </c>
      <c r="M49" s="14" t="s">
        <v>47</v>
      </c>
      <c r="N49" s="14">
        <v>70</v>
      </c>
      <c r="O49" s="85">
        <v>4.4509999999999996</v>
      </c>
      <c r="P49" s="92">
        <v>2.2757633060542566</v>
      </c>
      <c r="Q49" s="92">
        <v>49.931860950193048</v>
      </c>
      <c r="R49" s="92">
        <v>21.940709219345599</v>
      </c>
      <c r="S49" s="3"/>
    </row>
    <row r="50" spans="1:19" x14ac:dyDescent="0.25">
      <c r="A50" s="14">
        <v>2012</v>
      </c>
      <c r="B50" s="180">
        <v>41097</v>
      </c>
      <c r="C50" s="89" t="s">
        <v>247</v>
      </c>
      <c r="D50" s="87" t="s">
        <v>119</v>
      </c>
      <c r="E50" s="87" t="s">
        <v>195</v>
      </c>
      <c r="F50" s="90" t="s">
        <v>248</v>
      </c>
      <c r="G50" t="s">
        <v>249</v>
      </c>
      <c r="H50" s="87" t="s">
        <v>120</v>
      </c>
      <c r="I50" s="91" t="s">
        <v>128</v>
      </c>
      <c r="J50" s="87" t="s">
        <v>139</v>
      </c>
      <c r="K50" s="87" t="s">
        <v>124</v>
      </c>
      <c r="L50" s="15">
        <v>4</v>
      </c>
      <c r="M50" s="14" t="s">
        <v>196</v>
      </c>
      <c r="N50" s="14">
        <v>67</v>
      </c>
      <c r="O50" s="85">
        <v>3.7010000000000001</v>
      </c>
      <c r="P50" s="92">
        <v>1.8993223014597864</v>
      </c>
      <c r="Q50" s="92">
        <v>49.029387599651265</v>
      </c>
      <c r="R50" s="92">
        <v>25.814148321202843</v>
      </c>
      <c r="S50" s="3"/>
    </row>
    <row r="51" spans="1:19" x14ac:dyDescent="0.25">
      <c r="A51" s="14">
        <v>2012</v>
      </c>
      <c r="B51" s="180">
        <v>41097</v>
      </c>
      <c r="C51" s="89" t="s">
        <v>247</v>
      </c>
      <c r="D51" s="87" t="s">
        <v>119</v>
      </c>
      <c r="E51" s="87" t="s">
        <v>195</v>
      </c>
      <c r="F51" s="90" t="s">
        <v>248</v>
      </c>
      <c r="G51" t="s">
        <v>249</v>
      </c>
      <c r="H51" s="87" t="s">
        <v>120</v>
      </c>
      <c r="I51" s="91" t="s">
        <v>159</v>
      </c>
      <c r="J51" s="87" t="s">
        <v>197</v>
      </c>
      <c r="K51" s="87" t="s">
        <v>124</v>
      </c>
      <c r="L51" s="15">
        <v>4</v>
      </c>
      <c r="M51" s="14" t="s">
        <v>198</v>
      </c>
      <c r="N51" s="14">
        <v>68</v>
      </c>
      <c r="O51" s="85">
        <v>4.0209999999999999</v>
      </c>
      <c r="P51" s="92">
        <v>1.1065181839999205</v>
      </c>
      <c r="Q51" s="92">
        <v>50.600612779608866</v>
      </c>
      <c r="R51" s="92">
        <v>45.729580870234031</v>
      </c>
      <c r="S51" s="3"/>
    </row>
    <row r="52" spans="1:19" x14ac:dyDescent="0.25">
      <c r="A52" s="14">
        <v>2012</v>
      </c>
      <c r="B52" s="180">
        <v>41097</v>
      </c>
      <c r="C52" s="89" t="s">
        <v>247</v>
      </c>
      <c r="D52" s="87" t="s">
        <v>119</v>
      </c>
      <c r="E52" s="87" t="s">
        <v>195</v>
      </c>
      <c r="F52" s="90" t="s">
        <v>248</v>
      </c>
      <c r="G52" t="s">
        <v>249</v>
      </c>
      <c r="H52" s="87" t="s">
        <v>120</v>
      </c>
      <c r="I52" s="91" t="s">
        <v>128</v>
      </c>
      <c r="J52" s="87" t="s">
        <v>129</v>
      </c>
      <c r="K52" s="87" t="s">
        <v>130</v>
      </c>
      <c r="L52" s="15">
        <v>4</v>
      </c>
      <c r="M52" s="14" t="s">
        <v>45</v>
      </c>
      <c r="N52" s="14">
        <v>65</v>
      </c>
      <c r="O52" s="85">
        <v>4.3019999999999996</v>
      </c>
      <c r="P52" s="92">
        <v>2.5896174784041213</v>
      </c>
      <c r="Q52" s="92">
        <v>49.327358560710628</v>
      </c>
      <c r="R52" s="92">
        <v>19.048125436313136</v>
      </c>
      <c r="S52" s="3"/>
    </row>
    <row r="53" spans="1:19" x14ac:dyDescent="0.25">
      <c r="A53" s="14">
        <v>2012</v>
      </c>
      <c r="B53" s="180">
        <v>41097</v>
      </c>
      <c r="C53" s="89" t="s">
        <v>247</v>
      </c>
      <c r="D53" s="87" t="s">
        <v>119</v>
      </c>
      <c r="E53" s="87" t="s">
        <v>195</v>
      </c>
      <c r="F53" s="90" t="s">
        <v>248</v>
      </c>
      <c r="G53" t="s">
        <v>249</v>
      </c>
      <c r="H53" s="87" t="s">
        <v>120</v>
      </c>
      <c r="I53" s="91" t="s">
        <v>128</v>
      </c>
      <c r="J53" s="87" t="s">
        <v>199</v>
      </c>
      <c r="K53" s="87" t="s">
        <v>130</v>
      </c>
      <c r="L53" s="15">
        <v>4</v>
      </c>
      <c r="M53" s="14" t="s">
        <v>48</v>
      </c>
      <c r="N53" s="14">
        <v>66</v>
      </c>
      <c r="O53" s="85">
        <v>4.282</v>
      </c>
      <c r="P53" s="92">
        <v>2.7738948893555038</v>
      </c>
      <c r="Q53" s="92">
        <v>49.911715533520436</v>
      </c>
      <c r="R53" s="92">
        <v>17.993369440583631</v>
      </c>
      <c r="S53" s="3"/>
    </row>
    <row r="54" spans="1:19" x14ac:dyDescent="0.25">
      <c r="A54" s="14">
        <v>2012</v>
      </c>
      <c r="B54" s="180">
        <v>41097</v>
      </c>
      <c r="C54" s="89" t="s">
        <v>247</v>
      </c>
      <c r="D54" s="87" t="s">
        <v>119</v>
      </c>
      <c r="E54" s="87" t="s">
        <v>195</v>
      </c>
      <c r="F54" s="90" t="s">
        <v>248</v>
      </c>
      <c r="G54" t="s">
        <v>249</v>
      </c>
      <c r="H54" s="87" t="s">
        <v>120</v>
      </c>
      <c r="I54" s="91" t="s">
        <v>128</v>
      </c>
      <c r="J54" s="87" t="s">
        <v>133</v>
      </c>
      <c r="K54" s="87" t="s">
        <v>134</v>
      </c>
      <c r="L54" s="15">
        <v>4</v>
      </c>
      <c r="M54" s="14" t="s">
        <v>37</v>
      </c>
      <c r="N54" s="14">
        <v>63</v>
      </c>
      <c r="O54" s="85">
        <v>3.8559999999999999</v>
      </c>
      <c r="P54" s="92">
        <v>2.3103052230130499</v>
      </c>
      <c r="Q54" s="92">
        <v>50.018284007877426</v>
      </c>
      <c r="R54" s="92">
        <v>21.650076149957652</v>
      </c>
      <c r="S54" s="3"/>
    </row>
    <row r="55" spans="1:19" x14ac:dyDescent="0.25">
      <c r="A55" s="14">
        <v>2012</v>
      </c>
      <c r="B55" s="180">
        <v>41097</v>
      </c>
      <c r="C55" s="89" t="s">
        <v>247</v>
      </c>
      <c r="D55" s="87" t="s">
        <v>119</v>
      </c>
      <c r="E55" s="87" t="s">
        <v>195</v>
      </c>
      <c r="F55" s="90" t="s">
        <v>248</v>
      </c>
      <c r="G55" t="s">
        <v>249</v>
      </c>
      <c r="H55" s="87" t="s">
        <v>120</v>
      </c>
      <c r="I55" s="91" t="s">
        <v>128</v>
      </c>
      <c r="J55" s="87" t="s">
        <v>163</v>
      </c>
      <c r="K55" s="87" t="s">
        <v>134</v>
      </c>
      <c r="L55" s="15">
        <v>4</v>
      </c>
      <c r="M55" s="14" t="s">
        <v>44</v>
      </c>
      <c r="N55" s="14">
        <v>64</v>
      </c>
      <c r="O55" s="85">
        <v>3.8010000000000002</v>
      </c>
      <c r="P55" s="92">
        <v>2.381310010463312</v>
      </c>
      <c r="Q55" s="92">
        <v>49.7102964327756</v>
      </c>
      <c r="R55" s="92">
        <v>20.875188956646547</v>
      </c>
      <c r="S55" s="3"/>
    </row>
    <row r="56" spans="1:19" x14ac:dyDescent="0.25">
      <c r="A56" s="14">
        <v>2012</v>
      </c>
      <c r="B56" s="180">
        <v>41103</v>
      </c>
      <c r="C56" s="89" t="s">
        <v>247</v>
      </c>
      <c r="D56" s="87" t="s">
        <v>119</v>
      </c>
      <c r="E56" s="87" t="s">
        <v>200</v>
      </c>
      <c r="F56" s="90" t="s">
        <v>248</v>
      </c>
      <c r="G56" t="s">
        <v>249</v>
      </c>
      <c r="H56" s="87" t="s">
        <v>120</v>
      </c>
      <c r="I56" s="91" t="s">
        <v>128</v>
      </c>
      <c r="J56" s="87" t="s">
        <v>173</v>
      </c>
      <c r="K56" s="87" t="s">
        <v>124</v>
      </c>
      <c r="L56" s="15">
        <v>4</v>
      </c>
      <c r="M56" s="14" t="s">
        <v>201</v>
      </c>
      <c r="N56" s="14">
        <v>62</v>
      </c>
      <c r="O56" s="85">
        <v>3.7709999999999999</v>
      </c>
      <c r="P56" s="92">
        <v>2.3232491593822284</v>
      </c>
      <c r="Q56" s="92">
        <v>48.994686152676245</v>
      </c>
      <c r="R56" s="92">
        <v>21.088864254966243</v>
      </c>
      <c r="S56" s="3"/>
    </row>
    <row r="57" spans="1:19" x14ac:dyDescent="0.25">
      <c r="A57" s="14">
        <v>2012</v>
      </c>
      <c r="B57" s="180">
        <v>41103</v>
      </c>
      <c r="C57" s="89" t="s">
        <v>247</v>
      </c>
      <c r="D57" s="87" t="s">
        <v>119</v>
      </c>
      <c r="E57" s="87" t="s">
        <v>200</v>
      </c>
      <c r="F57" s="90" t="s">
        <v>248</v>
      </c>
      <c r="G57" t="s">
        <v>249</v>
      </c>
      <c r="H57" s="87" t="s">
        <v>120</v>
      </c>
      <c r="I57" s="91" t="s">
        <v>122</v>
      </c>
      <c r="J57" s="87" t="s">
        <v>123</v>
      </c>
      <c r="K57" s="87" t="s">
        <v>124</v>
      </c>
      <c r="L57" s="15">
        <v>4</v>
      </c>
      <c r="M57" s="14" t="s">
        <v>202</v>
      </c>
      <c r="N57" s="14">
        <v>61</v>
      </c>
      <c r="O57" s="85">
        <v>3.9609999999999999</v>
      </c>
      <c r="P57" s="92">
        <v>2.3094771041857083</v>
      </c>
      <c r="Q57" s="92">
        <v>49.094224672329268</v>
      </c>
      <c r="R57" s="92">
        <v>21.257723050534096</v>
      </c>
      <c r="S57" s="3"/>
    </row>
    <row r="58" spans="1:19" x14ac:dyDescent="0.25">
      <c r="A58" s="14">
        <v>2012</v>
      </c>
      <c r="B58" s="180">
        <v>41103</v>
      </c>
      <c r="C58" s="89" t="s">
        <v>247</v>
      </c>
      <c r="D58" s="87" t="s">
        <v>119</v>
      </c>
      <c r="E58" s="87" t="s">
        <v>200</v>
      </c>
      <c r="F58" s="90" t="s">
        <v>248</v>
      </c>
      <c r="G58" t="s">
        <v>249</v>
      </c>
      <c r="H58" s="87" t="s">
        <v>120</v>
      </c>
      <c r="I58" s="91" t="s">
        <v>128</v>
      </c>
      <c r="J58" s="87" t="s">
        <v>162</v>
      </c>
      <c r="K58" s="87" t="s">
        <v>130</v>
      </c>
      <c r="L58" s="15">
        <v>6</v>
      </c>
      <c r="M58" s="14" t="s">
        <v>8</v>
      </c>
      <c r="N58" s="15">
        <v>59</v>
      </c>
      <c r="O58" s="7">
        <v>4.508</v>
      </c>
      <c r="P58" s="92">
        <v>2.0935618306590786</v>
      </c>
      <c r="Q58" s="92">
        <v>49.200150872267571</v>
      </c>
      <c r="R58" s="92">
        <v>23.500691573450577</v>
      </c>
      <c r="S58" s="3"/>
    </row>
    <row r="59" spans="1:19" s="73" customFormat="1" x14ac:dyDescent="0.25">
      <c r="A59" s="14">
        <v>2012</v>
      </c>
      <c r="B59" s="180">
        <v>41103</v>
      </c>
      <c r="C59" s="89" t="s">
        <v>247</v>
      </c>
      <c r="D59" s="87" t="s">
        <v>119</v>
      </c>
      <c r="E59" s="87" t="s">
        <v>200</v>
      </c>
      <c r="F59" s="90" t="s">
        <v>248</v>
      </c>
      <c r="G59" t="s">
        <v>249</v>
      </c>
      <c r="H59" s="87" t="s">
        <v>120</v>
      </c>
      <c r="I59" s="91" t="s">
        <v>122</v>
      </c>
      <c r="J59" s="87" t="s">
        <v>203</v>
      </c>
      <c r="K59" s="87" t="s">
        <v>130</v>
      </c>
      <c r="L59" s="94" t="s">
        <v>80</v>
      </c>
      <c r="M59" s="94" t="s">
        <v>6</v>
      </c>
      <c r="N59" s="94">
        <v>60</v>
      </c>
      <c r="O59" s="95">
        <v>4.5109999999999992</v>
      </c>
      <c r="P59" s="101">
        <v>2.1728885973473266</v>
      </c>
      <c r="Q59" s="101">
        <v>49.477109525126011</v>
      </c>
      <c r="R59" s="92">
        <v>22.770200729815564</v>
      </c>
      <c r="S59" s="9" t="s">
        <v>250</v>
      </c>
    </row>
    <row r="60" spans="1:19" x14ac:dyDescent="0.25">
      <c r="A60" s="14">
        <v>2012</v>
      </c>
      <c r="B60" s="180">
        <v>41103</v>
      </c>
      <c r="C60" s="89" t="s">
        <v>247</v>
      </c>
      <c r="D60" s="87" t="s">
        <v>119</v>
      </c>
      <c r="E60" s="87" t="s">
        <v>200</v>
      </c>
      <c r="F60" s="90" t="s">
        <v>248</v>
      </c>
      <c r="G60" t="s">
        <v>249</v>
      </c>
      <c r="H60" s="87" t="s">
        <v>120</v>
      </c>
      <c r="I60" s="91" t="s">
        <v>128</v>
      </c>
      <c r="J60" s="87" t="s">
        <v>133</v>
      </c>
      <c r="K60" s="87" t="s">
        <v>134</v>
      </c>
      <c r="L60" s="15">
        <v>6</v>
      </c>
      <c r="M60" s="14" t="s">
        <v>13</v>
      </c>
      <c r="N60" s="15">
        <v>57</v>
      </c>
      <c r="O60" s="7">
        <v>3.6320000000000001</v>
      </c>
      <c r="P60" s="92">
        <v>1.987622776039093</v>
      </c>
      <c r="Q60" s="92">
        <v>50.299516817957013</v>
      </c>
      <c r="R60" s="92">
        <v>25.306369711758482</v>
      </c>
      <c r="S60" s="3"/>
    </row>
    <row r="61" spans="1:19" x14ac:dyDescent="0.25">
      <c r="A61" s="14">
        <v>2012</v>
      </c>
      <c r="B61" s="180">
        <v>41103</v>
      </c>
      <c r="C61" s="89" t="s">
        <v>247</v>
      </c>
      <c r="D61" s="87" t="s">
        <v>119</v>
      </c>
      <c r="E61" s="87" t="s">
        <v>200</v>
      </c>
      <c r="F61" s="90" t="s">
        <v>248</v>
      </c>
      <c r="G61" t="s">
        <v>249</v>
      </c>
      <c r="H61" s="87" t="s">
        <v>120</v>
      </c>
      <c r="I61" s="91" t="s">
        <v>128</v>
      </c>
      <c r="J61" s="87" t="s">
        <v>163</v>
      </c>
      <c r="K61" s="87" t="s">
        <v>134</v>
      </c>
      <c r="L61" s="15">
        <v>6</v>
      </c>
      <c r="M61" s="14" t="s">
        <v>19</v>
      </c>
      <c r="N61" s="15">
        <v>58</v>
      </c>
      <c r="O61" s="7">
        <v>3.9420000000000002</v>
      </c>
      <c r="P61" s="92">
        <v>1.8509100856515093</v>
      </c>
      <c r="Q61" s="92">
        <v>49.720021878998516</v>
      </c>
      <c r="R61" s="92">
        <v>26.862472825900326</v>
      </c>
      <c r="S61" s="3"/>
    </row>
    <row r="62" spans="1:19" x14ac:dyDescent="0.25">
      <c r="A62" s="14">
        <v>2012</v>
      </c>
      <c r="B62" s="180">
        <v>41103</v>
      </c>
      <c r="C62" s="89" t="s">
        <v>247</v>
      </c>
      <c r="D62" s="87" t="s">
        <v>119</v>
      </c>
      <c r="E62" s="87" t="s">
        <v>204</v>
      </c>
      <c r="F62" s="90" t="s">
        <v>248</v>
      </c>
      <c r="G62" t="s">
        <v>249</v>
      </c>
      <c r="H62" s="87" t="s">
        <v>120</v>
      </c>
      <c r="I62" s="91" t="s">
        <v>128</v>
      </c>
      <c r="J62" s="87" t="s">
        <v>139</v>
      </c>
      <c r="K62" s="87" t="s">
        <v>124</v>
      </c>
      <c r="L62" s="15">
        <v>4</v>
      </c>
      <c r="M62" s="14" t="s">
        <v>205</v>
      </c>
      <c r="N62" s="14">
        <v>55</v>
      </c>
      <c r="O62" s="85">
        <v>3.609</v>
      </c>
      <c r="P62" s="92">
        <v>3.0063073261056616</v>
      </c>
      <c r="Q62" s="92">
        <v>50.539565137601663</v>
      </c>
      <c r="R62" s="92">
        <v>16.811177186954495</v>
      </c>
      <c r="S62" s="3"/>
    </row>
    <row r="63" spans="1:19" x14ac:dyDescent="0.25">
      <c r="A63" s="14">
        <v>2012</v>
      </c>
      <c r="B63" s="180">
        <v>41103</v>
      </c>
      <c r="C63" s="89" t="s">
        <v>247</v>
      </c>
      <c r="D63" s="87" t="s">
        <v>119</v>
      </c>
      <c r="E63" s="87" t="s">
        <v>204</v>
      </c>
      <c r="F63" s="90" t="s">
        <v>248</v>
      </c>
      <c r="G63" t="s">
        <v>249</v>
      </c>
      <c r="H63" s="87" t="s">
        <v>120</v>
      </c>
      <c r="I63" s="91" t="s">
        <v>128</v>
      </c>
      <c r="J63" s="87" t="s">
        <v>141</v>
      </c>
      <c r="K63" s="87" t="s">
        <v>124</v>
      </c>
      <c r="L63" s="15">
        <v>3</v>
      </c>
      <c r="M63" s="14" t="s">
        <v>206</v>
      </c>
      <c r="N63" s="14">
        <v>56</v>
      </c>
      <c r="O63" s="85">
        <v>3.843</v>
      </c>
      <c r="P63" s="92">
        <v>2.820730774705281</v>
      </c>
      <c r="Q63" s="92">
        <v>48.555401156529904</v>
      </c>
      <c r="R63" s="92">
        <v>17.213766585576792</v>
      </c>
      <c r="S63" s="3"/>
    </row>
    <row r="64" spans="1:19" x14ac:dyDescent="0.25">
      <c r="A64" s="14">
        <v>2012</v>
      </c>
      <c r="B64" s="180">
        <v>41103</v>
      </c>
      <c r="C64" s="89" t="s">
        <v>247</v>
      </c>
      <c r="D64" s="87" t="s">
        <v>119</v>
      </c>
      <c r="E64" s="87" t="s">
        <v>204</v>
      </c>
      <c r="F64" s="90" t="s">
        <v>248</v>
      </c>
      <c r="G64" t="s">
        <v>249</v>
      </c>
      <c r="H64" s="87" t="s">
        <v>120</v>
      </c>
      <c r="I64" s="91" t="s">
        <v>128</v>
      </c>
      <c r="J64" s="87" t="s">
        <v>169</v>
      </c>
      <c r="K64" s="87" t="s">
        <v>130</v>
      </c>
      <c r="L64" s="15">
        <v>4</v>
      </c>
      <c r="M64" s="14" t="s">
        <v>76</v>
      </c>
      <c r="N64" s="14">
        <v>53</v>
      </c>
      <c r="O64" s="85">
        <v>3.37</v>
      </c>
      <c r="P64" s="92">
        <v>2.6605049613552056</v>
      </c>
      <c r="Q64" s="92">
        <v>51.270594575944436</v>
      </c>
      <c r="R64" s="92">
        <v>19.271001302635522</v>
      </c>
      <c r="S64" s="3"/>
    </row>
    <row r="65" spans="1:19" x14ac:dyDescent="0.25">
      <c r="A65" s="14">
        <v>2012</v>
      </c>
      <c r="B65" s="180">
        <v>41103</v>
      </c>
      <c r="C65" s="89" t="s">
        <v>247</v>
      </c>
      <c r="D65" s="87" t="s">
        <v>119</v>
      </c>
      <c r="E65" s="87" t="s">
        <v>204</v>
      </c>
      <c r="F65" s="90" t="s">
        <v>248</v>
      </c>
      <c r="G65" t="s">
        <v>249</v>
      </c>
      <c r="H65" s="87" t="s">
        <v>120</v>
      </c>
      <c r="I65" s="91" t="s">
        <v>131</v>
      </c>
      <c r="J65" s="87" t="s">
        <v>184</v>
      </c>
      <c r="K65" s="87" t="s">
        <v>130</v>
      </c>
      <c r="L65" s="15">
        <v>6</v>
      </c>
      <c r="M65" s="14" t="s">
        <v>2</v>
      </c>
      <c r="N65" s="15">
        <v>54</v>
      </c>
      <c r="O65" s="7">
        <v>4.1920000000000002</v>
      </c>
      <c r="P65" s="92">
        <v>2.498997876132357</v>
      </c>
      <c r="Q65" s="92">
        <v>46.328881194354153</v>
      </c>
      <c r="R65" s="92">
        <v>18.538983821009214</v>
      </c>
      <c r="S65" s="9"/>
    </row>
    <row r="66" spans="1:19" x14ac:dyDescent="0.25">
      <c r="A66" s="14">
        <v>2012</v>
      </c>
      <c r="B66" s="180">
        <v>41103</v>
      </c>
      <c r="C66" s="89" t="s">
        <v>247</v>
      </c>
      <c r="D66" s="87" t="s">
        <v>119</v>
      </c>
      <c r="E66" s="87" t="s">
        <v>204</v>
      </c>
      <c r="F66" s="90" t="s">
        <v>248</v>
      </c>
      <c r="G66" t="s">
        <v>249</v>
      </c>
      <c r="H66" s="87" t="s">
        <v>120</v>
      </c>
      <c r="I66" s="91" t="s">
        <v>128</v>
      </c>
      <c r="J66" s="87" t="s">
        <v>185</v>
      </c>
      <c r="K66" s="87" t="s">
        <v>134</v>
      </c>
      <c r="L66" s="15">
        <v>6</v>
      </c>
      <c r="M66" s="14" t="s">
        <v>3</v>
      </c>
      <c r="N66" s="15">
        <v>51</v>
      </c>
      <c r="O66" s="7">
        <v>3.9350000000000001</v>
      </c>
      <c r="P66" s="92">
        <v>2.5088288178090985</v>
      </c>
      <c r="Q66" s="92">
        <v>50.846966189091972</v>
      </c>
      <c r="R66" s="92">
        <v>20.267212265799561</v>
      </c>
      <c r="S66" s="3"/>
    </row>
    <row r="67" spans="1:19" s="72" customFormat="1" x14ac:dyDescent="0.25">
      <c r="A67" s="14">
        <v>2012</v>
      </c>
      <c r="B67" s="180">
        <v>41103</v>
      </c>
      <c r="C67" s="89" t="s">
        <v>247</v>
      </c>
      <c r="D67" s="87" t="s">
        <v>119</v>
      </c>
      <c r="E67" s="87" t="s">
        <v>204</v>
      </c>
      <c r="F67" s="90" t="s">
        <v>248</v>
      </c>
      <c r="G67" t="s">
        <v>249</v>
      </c>
      <c r="H67" s="87" t="s">
        <v>120</v>
      </c>
      <c r="I67" s="91" t="s">
        <v>128</v>
      </c>
      <c r="J67" s="87" t="s">
        <v>186</v>
      </c>
      <c r="K67" s="87" t="s">
        <v>134</v>
      </c>
      <c r="L67" s="94">
        <v>6</v>
      </c>
      <c r="M67" s="94" t="s">
        <v>18</v>
      </c>
      <c r="N67" s="94">
        <v>52</v>
      </c>
      <c r="O67" s="95">
        <v>4.0739999999999998</v>
      </c>
      <c r="P67" s="96">
        <v>2.4321928509187538</v>
      </c>
      <c r="Q67" s="96">
        <v>49.770016515978078</v>
      </c>
      <c r="R67" s="92">
        <v>20.463022287553226</v>
      </c>
      <c r="S67" s="9" t="s">
        <v>250</v>
      </c>
    </row>
    <row r="68" spans="1:19" x14ac:dyDescent="0.25">
      <c r="A68" s="14">
        <v>2012</v>
      </c>
      <c r="B68" s="180">
        <v>41107</v>
      </c>
      <c r="C68" s="89" t="s">
        <v>247</v>
      </c>
      <c r="D68" s="87" t="s">
        <v>119</v>
      </c>
      <c r="E68" s="87" t="s">
        <v>208</v>
      </c>
      <c r="F68" s="90" t="s">
        <v>248</v>
      </c>
      <c r="G68" t="s">
        <v>249</v>
      </c>
      <c r="H68" s="87" t="s">
        <v>207</v>
      </c>
      <c r="I68" s="91" t="s">
        <v>122</v>
      </c>
      <c r="J68" s="87" t="s">
        <v>123</v>
      </c>
      <c r="K68" s="87" t="s">
        <v>124</v>
      </c>
      <c r="L68" s="15">
        <v>4</v>
      </c>
      <c r="M68" s="14" t="s">
        <v>209</v>
      </c>
      <c r="N68" s="14">
        <v>49</v>
      </c>
      <c r="O68" s="85">
        <v>4.0259999999999998</v>
      </c>
      <c r="P68" s="92">
        <v>2.0511719538270219</v>
      </c>
      <c r="Q68" s="92">
        <v>51.029071354019116</v>
      </c>
      <c r="R68" s="92">
        <v>24.878007550176591</v>
      </c>
      <c r="S68" s="3"/>
    </row>
    <row r="69" spans="1:19" x14ac:dyDescent="0.25">
      <c r="A69" s="14">
        <v>2012</v>
      </c>
      <c r="B69" s="180">
        <v>41107</v>
      </c>
      <c r="C69" s="89" t="s">
        <v>247</v>
      </c>
      <c r="D69" s="87" t="s">
        <v>119</v>
      </c>
      <c r="E69" s="87" t="s">
        <v>208</v>
      </c>
      <c r="F69" s="90" t="s">
        <v>248</v>
      </c>
      <c r="G69" t="s">
        <v>249</v>
      </c>
      <c r="H69" s="87" t="s">
        <v>207</v>
      </c>
      <c r="I69" s="91" t="s">
        <v>122</v>
      </c>
      <c r="J69" s="87" t="s">
        <v>126</v>
      </c>
      <c r="K69" s="87" t="s">
        <v>124</v>
      </c>
      <c r="L69" s="15">
        <v>4</v>
      </c>
      <c r="M69" s="14" t="s">
        <v>210</v>
      </c>
      <c r="N69" s="14">
        <v>50</v>
      </c>
      <c r="O69" s="85">
        <v>4.1449999999999996</v>
      </c>
      <c r="P69" s="92">
        <v>2.3365405974201319</v>
      </c>
      <c r="Q69" s="92">
        <v>50.63809238786272</v>
      </c>
      <c r="R69" s="92">
        <v>21.672250182074418</v>
      </c>
      <c r="S69" s="3"/>
    </row>
    <row r="70" spans="1:19" x14ac:dyDescent="0.25">
      <c r="A70" s="14">
        <v>2012</v>
      </c>
      <c r="B70" s="180">
        <v>41107</v>
      </c>
      <c r="C70" s="89" t="s">
        <v>247</v>
      </c>
      <c r="D70" s="87" t="s">
        <v>119</v>
      </c>
      <c r="E70" s="87" t="s">
        <v>208</v>
      </c>
      <c r="F70" s="90" t="s">
        <v>248</v>
      </c>
      <c r="G70" t="s">
        <v>249</v>
      </c>
      <c r="H70" s="87" t="s">
        <v>207</v>
      </c>
      <c r="I70" s="91" t="s">
        <v>131</v>
      </c>
      <c r="J70" s="87" t="s">
        <v>132</v>
      </c>
      <c r="K70" s="87" t="s">
        <v>130</v>
      </c>
      <c r="L70" s="15">
        <v>6</v>
      </c>
      <c r="M70" s="14" t="s">
        <v>11</v>
      </c>
      <c r="N70" s="15">
        <v>47</v>
      </c>
      <c r="O70" s="7">
        <v>4.2690000000000001</v>
      </c>
      <c r="P70" s="92">
        <v>2.3248645964115164</v>
      </c>
      <c r="Q70" s="92">
        <v>48.821446046856195</v>
      </c>
      <c r="R70" s="92">
        <v>20.999694400359168</v>
      </c>
      <c r="S70" s="3"/>
    </row>
    <row r="71" spans="1:19" x14ac:dyDescent="0.25">
      <c r="A71" s="14">
        <v>2012</v>
      </c>
      <c r="B71" s="180">
        <v>41107</v>
      </c>
      <c r="C71" s="89" t="s">
        <v>247</v>
      </c>
      <c r="D71" s="87" t="s">
        <v>119</v>
      </c>
      <c r="E71" s="87" t="s">
        <v>208</v>
      </c>
      <c r="F71" s="90" t="s">
        <v>248</v>
      </c>
      <c r="G71" t="s">
        <v>249</v>
      </c>
      <c r="H71" s="87" t="s">
        <v>207</v>
      </c>
      <c r="I71" s="91" t="s">
        <v>131</v>
      </c>
      <c r="J71" s="87" t="s">
        <v>176</v>
      </c>
      <c r="K71" s="87" t="s">
        <v>130</v>
      </c>
      <c r="L71" s="15">
        <v>4</v>
      </c>
      <c r="M71" s="14" t="s">
        <v>75</v>
      </c>
      <c r="N71" s="14">
        <v>48</v>
      </c>
      <c r="O71" s="85">
        <v>4.2699999999999996</v>
      </c>
      <c r="P71" s="92">
        <v>2.4838650591422451</v>
      </c>
      <c r="Q71" s="92">
        <v>50.434208763789833</v>
      </c>
      <c r="R71" s="92">
        <v>20.304729750981849</v>
      </c>
      <c r="S71" s="3"/>
    </row>
    <row r="72" spans="1:19" x14ac:dyDescent="0.25">
      <c r="A72" s="14">
        <v>2012</v>
      </c>
      <c r="B72" s="180">
        <v>41107</v>
      </c>
      <c r="C72" s="89" t="s">
        <v>247</v>
      </c>
      <c r="D72" s="87" t="s">
        <v>119</v>
      </c>
      <c r="E72" s="87" t="s">
        <v>208</v>
      </c>
      <c r="F72" s="90" t="s">
        <v>248</v>
      </c>
      <c r="G72" t="s">
        <v>249</v>
      </c>
      <c r="H72" s="87" t="s">
        <v>207</v>
      </c>
      <c r="I72" s="91" t="s">
        <v>131</v>
      </c>
      <c r="J72" s="87" t="s">
        <v>177</v>
      </c>
      <c r="K72" s="87" t="s">
        <v>134</v>
      </c>
      <c r="L72" s="15">
        <v>6</v>
      </c>
      <c r="M72" s="14" t="s">
        <v>12</v>
      </c>
      <c r="N72" s="15">
        <v>45</v>
      </c>
      <c r="O72" s="7">
        <v>4.3239999999999998</v>
      </c>
      <c r="P72" s="92">
        <v>1.7302268294862668</v>
      </c>
      <c r="Q72" s="92">
        <v>50.410954657181215</v>
      </c>
      <c r="R72" s="92">
        <v>29.135460043784587</v>
      </c>
      <c r="S72" s="3"/>
    </row>
    <row r="73" spans="1:19" x14ac:dyDescent="0.25">
      <c r="A73" s="14">
        <v>2012</v>
      </c>
      <c r="B73" s="180">
        <v>41107</v>
      </c>
      <c r="C73" s="89" t="s">
        <v>247</v>
      </c>
      <c r="D73" s="87" t="s">
        <v>119</v>
      </c>
      <c r="E73" s="87" t="s">
        <v>208</v>
      </c>
      <c r="F73" s="90" t="s">
        <v>248</v>
      </c>
      <c r="G73" t="s">
        <v>249</v>
      </c>
      <c r="H73" s="87" t="s">
        <v>207</v>
      </c>
      <c r="I73" s="91" t="s">
        <v>131</v>
      </c>
      <c r="J73" s="87" t="s">
        <v>211</v>
      </c>
      <c r="K73" s="87" t="s">
        <v>134</v>
      </c>
      <c r="L73" s="15">
        <v>3</v>
      </c>
      <c r="M73" s="14" t="s">
        <v>22</v>
      </c>
      <c r="N73" s="14">
        <v>46</v>
      </c>
      <c r="O73" s="85">
        <v>3.5419999999999998</v>
      </c>
      <c r="P73" s="92">
        <v>1.8362944020727949</v>
      </c>
      <c r="Q73" s="92">
        <v>48.893209723683597</v>
      </c>
      <c r="R73" s="92">
        <v>26.626019046016435</v>
      </c>
      <c r="S73" s="3"/>
    </row>
    <row r="74" spans="1:19" x14ac:dyDescent="0.25">
      <c r="A74" s="14">
        <v>2012</v>
      </c>
      <c r="B74" s="180">
        <v>41107</v>
      </c>
      <c r="C74" s="89" t="s">
        <v>247</v>
      </c>
      <c r="D74" s="87" t="s">
        <v>119</v>
      </c>
      <c r="E74" s="87" t="s">
        <v>212</v>
      </c>
      <c r="F74" s="90" t="s">
        <v>248</v>
      </c>
      <c r="G74" t="s">
        <v>249</v>
      </c>
      <c r="H74" s="87" t="s">
        <v>137</v>
      </c>
      <c r="I74" s="91" t="s">
        <v>122</v>
      </c>
      <c r="J74" s="87" t="s">
        <v>180</v>
      </c>
      <c r="K74" s="87" t="s">
        <v>124</v>
      </c>
      <c r="L74" s="15">
        <v>4</v>
      </c>
      <c r="M74" s="14" t="s">
        <v>213</v>
      </c>
      <c r="N74" s="14">
        <v>43</v>
      </c>
      <c r="O74" s="85">
        <v>4.5579999999999998</v>
      </c>
      <c r="P74" s="92">
        <v>2.7333629557238495</v>
      </c>
      <c r="Q74" s="92">
        <v>50.712007354411462</v>
      </c>
      <c r="R74" s="92">
        <v>18.552972355250898</v>
      </c>
      <c r="S74" s="3"/>
    </row>
    <row r="75" spans="1:19" s="72" customFormat="1" x14ac:dyDescent="0.25">
      <c r="A75" s="14">
        <v>2012</v>
      </c>
      <c r="B75" s="180">
        <v>41107</v>
      </c>
      <c r="C75" s="89" t="s">
        <v>247</v>
      </c>
      <c r="D75" s="87" t="s">
        <v>119</v>
      </c>
      <c r="E75" s="87" t="s">
        <v>212</v>
      </c>
      <c r="F75" s="90" t="s">
        <v>248</v>
      </c>
      <c r="G75" t="s">
        <v>249</v>
      </c>
      <c r="H75" s="87" t="s">
        <v>137</v>
      </c>
      <c r="I75" s="91" t="s">
        <v>122</v>
      </c>
      <c r="J75" s="87" t="s">
        <v>182</v>
      </c>
      <c r="K75" s="87" t="s">
        <v>124</v>
      </c>
      <c r="L75" s="94">
        <v>4</v>
      </c>
      <c r="M75" s="94" t="s">
        <v>214</v>
      </c>
      <c r="N75" s="94">
        <v>44</v>
      </c>
      <c r="O75" s="95">
        <v>3.9119999999999999</v>
      </c>
      <c r="P75" s="102">
        <v>2.6715160640019722</v>
      </c>
      <c r="Q75" s="102">
        <v>50.345930233638633</v>
      </c>
      <c r="R75" s="92">
        <v>18.845452929158007</v>
      </c>
      <c r="S75" s="9" t="s">
        <v>250</v>
      </c>
    </row>
    <row r="76" spans="1:19" x14ac:dyDescent="0.25">
      <c r="A76" s="14">
        <v>2012</v>
      </c>
      <c r="B76" s="180">
        <v>41107</v>
      </c>
      <c r="C76" s="89" t="s">
        <v>247</v>
      </c>
      <c r="D76" s="87" t="s">
        <v>119</v>
      </c>
      <c r="E76" s="87" t="s">
        <v>212</v>
      </c>
      <c r="F76" s="90" t="s">
        <v>248</v>
      </c>
      <c r="G76" t="s">
        <v>249</v>
      </c>
      <c r="H76" s="87" t="s">
        <v>137</v>
      </c>
      <c r="I76" s="91" t="s">
        <v>131</v>
      </c>
      <c r="J76" s="87" t="s">
        <v>184</v>
      </c>
      <c r="K76" s="87" t="s">
        <v>130</v>
      </c>
      <c r="L76" s="15">
        <v>4</v>
      </c>
      <c r="M76" s="14" t="s">
        <v>71</v>
      </c>
      <c r="N76" s="14">
        <v>42</v>
      </c>
      <c r="O76" s="85">
        <v>3.7690000000000001</v>
      </c>
      <c r="P76" s="92">
        <v>2.322264923065267</v>
      </c>
      <c r="Q76" s="92">
        <v>50.15408126332057</v>
      </c>
      <c r="R76" s="92">
        <v>21.597054136751904</v>
      </c>
      <c r="S76" s="3"/>
    </row>
    <row r="77" spans="1:19" x14ac:dyDescent="0.25">
      <c r="A77" s="14">
        <v>2012</v>
      </c>
      <c r="B77" s="180">
        <v>41107</v>
      </c>
      <c r="C77" s="89" t="s">
        <v>247</v>
      </c>
      <c r="D77" s="87" t="s">
        <v>119</v>
      </c>
      <c r="E77" s="87" t="s">
        <v>212</v>
      </c>
      <c r="F77" s="90" t="s">
        <v>248</v>
      </c>
      <c r="G77" t="s">
        <v>249</v>
      </c>
      <c r="H77" s="87" t="s">
        <v>137</v>
      </c>
      <c r="I77" s="91" t="s">
        <v>131</v>
      </c>
      <c r="J77" s="87" t="s">
        <v>144</v>
      </c>
      <c r="K77" s="87" t="s">
        <v>130</v>
      </c>
      <c r="L77" s="15">
        <v>6</v>
      </c>
      <c r="M77" s="14" t="s">
        <v>14</v>
      </c>
      <c r="N77" s="15">
        <v>41</v>
      </c>
      <c r="O77" s="7">
        <v>4.2270000000000003</v>
      </c>
      <c r="P77" s="92">
        <v>2.134265842922928</v>
      </c>
      <c r="Q77" s="92">
        <v>49.64552910458454</v>
      </c>
      <c r="R77" s="92">
        <v>23.261173985989394</v>
      </c>
      <c r="S77" s="3"/>
    </row>
    <row r="78" spans="1:19" x14ac:dyDescent="0.25">
      <c r="A78" s="14">
        <v>2012</v>
      </c>
      <c r="B78" s="180">
        <v>41107</v>
      </c>
      <c r="C78" s="89" t="s">
        <v>247</v>
      </c>
      <c r="D78" s="87" t="s">
        <v>119</v>
      </c>
      <c r="E78" s="87" t="s">
        <v>212</v>
      </c>
      <c r="F78" s="90" t="s">
        <v>248</v>
      </c>
      <c r="G78" t="s">
        <v>249</v>
      </c>
      <c r="H78" s="87" t="s">
        <v>137</v>
      </c>
      <c r="I78" s="91" t="s">
        <v>131</v>
      </c>
      <c r="J78" s="87" t="s">
        <v>145</v>
      </c>
      <c r="K78" s="87" t="s">
        <v>134</v>
      </c>
      <c r="L78" s="15">
        <v>4</v>
      </c>
      <c r="M78" s="14" t="s">
        <v>29</v>
      </c>
      <c r="N78" s="14">
        <v>39</v>
      </c>
      <c r="O78" s="85">
        <v>4.0789999999999997</v>
      </c>
      <c r="P78" s="92">
        <v>1.8547284269432802</v>
      </c>
      <c r="Q78" s="92">
        <v>50.288834762308589</v>
      </c>
      <c r="R78" s="92">
        <v>27.113853452490638</v>
      </c>
      <c r="S78" s="3"/>
    </row>
    <row r="79" spans="1:19" x14ac:dyDescent="0.25">
      <c r="A79" s="14">
        <v>2012</v>
      </c>
      <c r="B79" s="180">
        <v>41107</v>
      </c>
      <c r="C79" s="89" t="s">
        <v>247</v>
      </c>
      <c r="D79" s="87" t="s">
        <v>119</v>
      </c>
      <c r="E79" s="87" t="s">
        <v>212</v>
      </c>
      <c r="F79" s="90" t="s">
        <v>248</v>
      </c>
      <c r="G79" t="s">
        <v>249</v>
      </c>
      <c r="H79" s="87" t="s">
        <v>137</v>
      </c>
      <c r="I79" s="91" t="s">
        <v>131</v>
      </c>
      <c r="J79" s="87" t="s">
        <v>146</v>
      </c>
      <c r="K79" s="87" t="s">
        <v>134</v>
      </c>
      <c r="L79" s="15">
        <v>6</v>
      </c>
      <c r="M79" s="14" t="s">
        <v>15</v>
      </c>
      <c r="N79" s="15">
        <v>40</v>
      </c>
      <c r="O79" s="7">
        <v>4.6059999999999999</v>
      </c>
      <c r="P79" s="92">
        <v>1.8543448306473882</v>
      </c>
      <c r="Q79" s="92">
        <v>50.631322379311769</v>
      </c>
      <c r="R79" s="92">
        <v>27.304156995242021</v>
      </c>
      <c r="S79" s="3"/>
    </row>
    <row r="80" spans="1:19" x14ac:dyDescent="0.25">
      <c r="A80" s="14">
        <v>2012</v>
      </c>
      <c r="B80" s="181">
        <v>41109</v>
      </c>
      <c r="C80" s="89" t="s">
        <v>247</v>
      </c>
      <c r="D80" s="87" t="s">
        <v>154</v>
      </c>
      <c r="E80" s="87" t="s">
        <v>215</v>
      </c>
      <c r="F80" s="90" t="s">
        <v>248</v>
      </c>
      <c r="G80" t="s">
        <v>249</v>
      </c>
      <c r="H80" s="87" t="s">
        <v>137</v>
      </c>
      <c r="I80" s="91" t="s">
        <v>128</v>
      </c>
      <c r="J80" s="87" t="s">
        <v>216</v>
      </c>
      <c r="K80" s="87" t="s">
        <v>124</v>
      </c>
      <c r="L80" s="15">
        <v>3</v>
      </c>
      <c r="M80" s="14" t="s">
        <v>217</v>
      </c>
      <c r="N80" s="14">
        <v>36</v>
      </c>
      <c r="O80" s="85">
        <v>4.4249999999999998</v>
      </c>
      <c r="P80" s="92">
        <v>2.1066361076595181</v>
      </c>
      <c r="Q80" s="92">
        <v>48.808052579222093</v>
      </c>
      <c r="R80" s="92">
        <v>23.168715470963825</v>
      </c>
      <c r="S80" s="3"/>
    </row>
    <row r="81" spans="1:19" x14ac:dyDescent="0.25">
      <c r="A81" s="14">
        <v>2012</v>
      </c>
      <c r="B81" s="181">
        <v>41109</v>
      </c>
      <c r="C81" s="89" t="s">
        <v>247</v>
      </c>
      <c r="D81" s="87" t="s">
        <v>154</v>
      </c>
      <c r="E81" s="87" t="s">
        <v>215</v>
      </c>
      <c r="F81" s="90" t="s">
        <v>248</v>
      </c>
      <c r="G81" t="s">
        <v>249</v>
      </c>
      <c r="H81" s="87" t="s">
        <v>137</v>
      </c>
      <c r="I81" s="91" t="s">
        <v>131</v>
      </c>
      <c r="J81" s="87" t="s">
        <v>218</v>
      </c>
      <c r="K81" s="87" t="s">
        <v>124</v>
      </c>
      <c r="L81" s="15">
        <v>4</v>
      </c>
      <c r="M81" s="14" t="s">
        <v>219</v>
      </c>
      <c r="N81" s="14">
        <v>38</v>
      </c>
      <c r="O81" s="85">
        <v>4.25</v>
      </c>
      <c r="P81" s="92">
        <v>2.3260076349191601</v>
      </c>
      <c r="Q81" s="92">
        <v>50.411581040618678</v>
      </c>
      <c r="R81" s="92">
        <v>21.673007553292368</v>
      </c>
      <c r="S81" s="3"/>
    </row>
    <row r="82" spans="1:19" x14ac:dyDescent="0.25">
      <c r="A82" s="14">
        <v>2012</v>
      </c>
      <c r="B82" s="181">
        <v>41109</v>
      </c>
      <c r="C82" s="89" t="s">
        <v>247</v>
      </c>
      <c r="D82" s="87" t="s">
        <v>154</v>
      </c>
      <c r="E82" s="87" t="s">
        <v>215</v>
      </c>
      <c r="F82" s="90" t="s">
        <v>248</v>
      </c>
      <c r="G82" t="s">
        <v>249</v>
      </c>
      <c r="H82" s="87" t="s">
        <v>137</v>
      </c>
      <c r="I82" s="91" t="s">
        <v>128</v>
      </c>
      <c r="J82" s="87" t="s">
        <v>129</v>
      </c>
      <c r="K82" s="87" t="s">
        <v>130</v>
      </c>
      <c r="L82" s="183" t="s">
        <v>80</v>
      </c>
      <c r="M82" s="94" t="s">
        <v>7</v>
      </c>
      <c r="N82" s="94">
        <v>35</v>
      </c>
      <c r="O82" s="95">
        <v>4.2709999999999999</v>
      </c>
      <c r="P82" s="96">
        <v>3.1743331453154697</v>
      </c>
      <c r="Q82" s="96">
        <v>49.30891859851458</v>
      </c>
      <c r="R82" s="92">
        <v>15.533630637125263</v>
      </c>
      <c r="S82" s="9" t="s">
        <v>250</v>
      </c>
    </row>
    <row r="83" spans="1:19" s="72" customFormat="1" x14ac:dyDescent="0.25">
      <c r="A83" s="14">
        <v>2012</v>
      </c>
      <c r="B83" s="181">
        <v>41109</v>
      </c>
      <c r="C83" s="89" t="s">
        <v>247</v>
      </c>
      <c r="D83" s="87" t="s">
        <v>154</v>
      </c>
      <c r="E83" s="87" t="s">
        <v>215</v>
      </c>
      <c r="F83" s="90" t="s">
        <v>248</v>
      </c>
      <c r="G83" t="s">
        <v>249</v>
      </c>
      <c r="H83" s="87" t="s">
        <v>137</v>
      </c>
      <c r="I83" s="91" t="s">
        <v>131</v>
      </c>
      <c r="J83" s="87" t="s">
        <v>220</v>
      </c>
      <c r="K83" s="87" t="s">
        <v>130</v>
      </c>
      <c r="L83" s="15">
        <v>3</v>
      </c>
      <c r="M83" s="14" t="s">
        <v>23</v>
      </c>
      <c r="N83" s="14">
        <v>33</v>
      </c>
      <c r="O83" s="85">
        <v>3.9079999999999999</v>
      </c>
      <c r="P83" s="92">
        <v>2.2494735650649198</v>
      </c>
      <c r="Q83" s="92">
        <v>48.792271143793116</v>
      </c>
      <c r="R83" s="92">
        <v>21.690528798183486</v>
      </c>
      <c r="S83" s="3"/>
    </row>
    <row r="84" spans="1:19" x14ac:dyDescent="0.25">
      <c r="A84" s="14">
        <v>2012</v>
      </c>
      <c r="B84" s="181">
        <v>41109</v>
      </c>
      <c r="C84" s="89" t="s">
        <v>247</v>
      </c>
      <c r="D84" s="87" t="s">
        <v>154</v>
      </c>
      <c r="E84" s="87" t="s">
        <v>215</v>
      </c>
      <c r="F84" s="90" t="s">
        <v>248</v>
      </c>
      <c r="G84" t="s">
        <v>249</v>
      </c>
      <c r="H84" s="87" t="s">
        <v>137</v>
      </c>
      <c r="I84" s="91" t="s">
        <v>131</v>
      </c>
      <c r="J84" s="87" t="s">
        <v>221</v>
      </c>
      <c r="K84" s="87" t="s">
        <v>130</v>
      </c>
      <c r="L84" s="15">
        <v>8</v>
      </c>
      <c r="M84" s="15" t="s">
        <v>9</v>
      </c>
      <c r="N84" s="15">
        <v>34</v>
      </c>
      <c r="O84" s="7">
        <v>4.0670000000000002</v>
      </c>
      <c r="P84" s="16">
        <v>2.5460397548346743</v>
      </c>
      <c r="Q84" s="16">
        <v>49.55575219489684</v>
      </c>
      <c r="R84" s="92">
        <v>19.46385640711047</v>
      </c>
    </row>
    <row r="85" spans="1:19" s="6" customFormat="1" x14ac:dyDescent="0.25">
      <c r="A85" s="14">
        <v>2012</v>
      </c>
      <c r="B85" s="181">
        <v>41109</v>
      </c>
      <c r="C85" s="89" t="s">
        <v>247</v>
      </c>
      <c r="D85" s="87" t="s">
        <v>154</v>
      </c>
      <c r="E85" s="87" t="s">
        <v>215</v>
      </c>
      <c r="F85" s="90" t="s">
        <v>248</v>
      </c>
      <c r="G85" t="s">
        <v>249</v>
      </c>
      <c r="H85" s="87" t="s">
        <v>137</v>
      </c>
      <c r="I85" s="91" t="s">
        <v>131</v>
      </c>
      <c r="J85" s="87" t="s">
        <v>177</v>
      </c>
      <c r="K85" s="87" t="s">
        <v>134</v>
      </c>
      <c r="L85" s="15">
        <v>3</v>
      </c>
      <c r="M85" s="14" t="s">
        <v>25</v>
      </c>
      <c r="N85" s="14">
        <v>31</v>
      </c>
      <c r="O85" s="85">
        <v>3.9630000000000001</v>
      </c>
      <c r="P85" s="92">
        <v>1.9820506860545812</v>
      </c>
      <c r="Q85" s="92">
        <v>49.355951835025294</v>
      </c>
      <c r="R85" s="92">
        <v>24.901457960831454</v>
      </c>
    </row>
    <row r="86" spans="1:19" x14ac:dyDescent="0.25">
      <c r="A86" s="14">
        <v>2012</v>
      </c>
      <c r="B86" s="181">
        <v>41109</v>
      </c>
      <c r="C86" s="89" t="s">
        <v>247</v>
      </c>
      <c r="D86" s="87" t="s">
        <v>154</v>
      </c>
      <c r="E86" s="87" t="s">
        <v>215</v>
      </c>
      <c r="F86" s="90" t="s">
        <v>248</v>
      </c>
      <c r="G86" t="s">
        <v>249</v>
      </c>
      <c r="H86" s="87" t="s">
        <v>137</v>
      </c>
      <c r="I86" s="91" t="s">
        <v>131</v>
      </c>
      <c r="J86" s="87" t="s">
        <v>211</v>
      </c>
      <c r="K86" s="87" t="s">
        <v>134</v>
      </c>
      <c r="L86" s="94">
        <v>3</v>
      </c>
      <c r="M86" s="94" t="s">
        <v>20</v>
      </c>
      <c r="N86" s="94">
        <v>32</v>
      </c>
      <c r="O86" s="95">
        <v>4.1665000000000001</v>
      </c>
      <c r="P86" s="102">
        <v>1.996442145319554</v>
      </c>
      <c r="Q86" s="96">
        <v>49.352074936234516</v>
      </c>
      <c r="R86" s="92">
        <v>24.720012574336401</v>
      </c>
      <c r="S86" s="9" t="s">
        <v>250</v>
      </c>
    </row>
    <row r="87" spans="1:19" s="72" customFormat="1" x14ac:dyDescent="0.25">
      <c r="A87" s="14">
        <v>2012</v>
      </c>
      <c r="B87" s="180">
        <v>41109</v>
      </c>
      <c r="C87" s="89" t="s">
        <v>247</v>
      </c>
      <c r="D87" s="87" t="s">
        <v>154</v>
      </c>
      <c r="E87" s="87" t="s">
        <v>222</v>
      </c>
      <c r="F87" s="90" t="s">
        <v>248</v>
      </c>
      <c r="G87" t="s">
        <v>249</v>
      </c>
      <c r="H87" s="87" t="s">
        <v>120</v>
      </c>
      <c r="I87" s="91" t="s">
        <v>128</v>
      </c>
      <c r="J87" s="87" t="s">
        <v>141</v>
      </c>
      <c r="K87" s="87" t="s">
        <v>124</v>
      </c>
      <c r="L87" s="15">
        <v>4</v>
      </c>
      <c r="M87" s="14" t="s">
        <v>223</v>
      </c>
      <c r="N87" s="14">
        <v>30</v>
      </c>
      <c r="O87" s="85">
        <v>4.0170000000000003</v>
      </c>
      <c r="P87" s="92">
        <v>2.0294845428148278</v>
      </c>
      <c r="Q87" s="92">
        <v>48.055178774274417</v>
      </c>
      <c r="R87" s="92">
        <v>23.678514302761567</v>
      </c>
      <c r="S87" s="3"/>
    </row>
    <row r="88" spans="1:19" x14ac:dyDescent="0.25">
      <c r="A88" s="14">
        <v>2012</v>
      </c>
      <c r="B88" s="180">
        <v>41109</v>
      </c>
      <c r="C88" s="89" t="s">
        <v>247</v>
      </c>
      <c r="D88" s="87" t="s">
        <v>154</v>
      </c>
      <c r="E88" s="87" t="s">
        <v>222</v>
      </c>
      <c r="F88" s="90" t="s">
        <v>248</v>
      </c>
      <c r="G88" t="s">
        <v>249</v>
      </c>
      <c r="H88" s="87" t="s">
        <v>120</v>
      </c>
      <c r="I88" s="91" t="s">
        <v>131</v>
      </c>
      <c r="J88" s="87" t="s">
        <v>224</v>
      </c>
      <c r="K88" s="87" t="s">
        <v>124</v>
      </c>
      <c r="L88" s="15">
        <v>6</v>
      </c>
      <c r="M88" s="14" t="s">
        <v>225</v>
      </c>
      <c r="N88" s="15">
        <v>29</v>
      </c>
      <c r="O88" s="7">
        <v>4.0720000000000001</v>
      </c>
      <c r="P88" s="92">
        <v>3.4022371466458847</v>
      </c>
      <c r="Q88" s="92">
        <v>46.809158686014776</v>
      </c>
      <c r="R88" s="92">
        <v>13.75834683721617</v>
      </c>
      <c r="S88" s="3"/>
    </row>
    <row r="89" spans="1:19" x14ac:dyDescent="0.25">
      <c r="A89" s="14">
        <v>2012</v>
      </c>
      <c r="B89" s="180">
        <v>41109</v>
      </c>
      <c r="C89" s="89" t="s">
        <v>247</v>
      </c>
      <c r="D89" s="87" t="s">
        <v>154</v>
      </c>
      <c r="E89" s="87" t="s">
        <v>222</v>
      </c>
      <c r="F89" s="90" t="s">
        <v>248</v>
      </c>
      <c r="G89" t="s">
        <v>249</v>
      </c>
      <c r="H89" s="87" t="s">
        <v>120</v>
      </c>
      <c r="I89" s="91" t="s">
        <v>128</v>
      </c>
      <c r="J89" s="87" t="s">
        <v>143</v>
      </c>
      <c r="K89" s="87" t="s">
        <v>130</v>
      </c>
      <c r="L89" s="15">
        <v>6</v>
      </c>
      <c r="M89" s="14" t="s">
        <v>4</v>
      </c>
      <c r="N89" s="15">
        <v>28</v>
      </c>
      <c r="O89" s="7">
        <v>3.9350000000000001</v>
      </c>
      <c r="P89" s="92">
        <v>2.3219459418309691</v>
      </c>
      <c r="Q89" s="92">
        <v>49.702630255426264</v>
      </c>
      <c r="R89" s="92">
        <v>21.405593196641469</v>
      </c>
    </row>
    <row r="90" spans="1:19" x14ac:dyDescent="0.25">
      <c r="A90" s="14">
        <v>2012</v>
      </c>
      <c r="B90" s="180">
        <v>41109</v>
      </c>
      <c r="C90" s="89" t="s">
        <v>247</v>
      </c>
      <c r="D90" s="87" t="s">
        <v>154</v>
      </c>
      <c r="E90" s="87" t="s">
        <v>222</v>
      </c>
      <c r="F90" s="90" t="s">
        <v>248</v>
      </c>
      <c r="G90" t="s">
        <v>249</v>
      </c>
      <c r="H90" s="87" t="s">
        <v>120</v>
      </c>
      <c r="I90" s="91" t="s">
        <v>128</v>
      </c>
      <c r="J90" s="87" t="s">
        <v>169</v>
      </c>
      <c r="K90" s="87" t="s">
        <v>130</v>
      </c>
      <c r="L90" s="15">
        <v>4</v>
      </c>
      <c r="M90" s="14" t="s">
        <v>74</v>
      </c>
      <c r="N90" s="14">
        <v>27</v>
      </c>
      <c r="O90" s="85">
        <v>3.7330000000000001</v>
      </c>
      <c r="P90" s="92">
        <v>2.2918166010994829</v>
      </c>
      <c r="Q90" s="92">
        <v>51.10567057221941</v>
      </c>
      <c r="R90" s="92">
        <v>22.299197303877555</v>
      </c>
      <c r="S90" s="3"/>
    </row>
    <row r="91" spans="1:19" x14ac:dyDescent="0.25">
      <c r="A91" s="14">
        <v>2012</v>
      </c>
      <c r="B91" s="180">
        <v>41109</v>
      </c>
      <c r="C91" s="89" t="s">
        <v>247</v>
      </c>
      <c r="D91" s="87" t="s">
        <v>154</v>
      </c>
      <c r="E91" s="87" t="s">
        <v>222</v>
      </c>
      <c r="F91" s="90" t="s">
        <v>248</v>
      </c>
      <c r="G91" t="s">
        <v>249</v>
      </c>
      <c r="H91" s="87" t="s">
        <v>120</v>
      </c>
      <c r="I91" s="91" t="s">
        <v>128</v>
      </c>
      <c r="J91" s="87" t="s">
        <v>185</v>
      </c>
      <c r="K91" s="87" t="s">
        <v>134</v>
      </c>
      <c r="L91" s="15">
        <v>6</v>
      </c>
      <c r="M91" s="14" t="s">
        <v>17</v>
      </c>
      <c r="N91" s="15">
        <v>25</v>
      </c>
      <c r="O91" s="7">
        <v>4.4790000000000001</v>
      </c>
      <c r="P91" s="92">
        <v>2.2606732347397038</v>
      </c>
      <c r="Q91" s="92">
        <v>49.37919564496849</v>
      </c>
      <c r="R91" s="92">
        <v>21.842694860168088</v>
      </c>
      <c r="S91" s="3"/>
    </row>
    <row r="92" spans="1:19" x14ac:dyDescent="0.25">
      <c r="A92" s="14">
        <v>2012</v>
      </c>
      <c r="B92" s="180">
        <v>41109</v>
      </c>
      <c r="C92" s="89" t="s">
        <v>247</v>
      </c>
      <c r="D92" s="87" t="s">
        <v>154</v>
      </c>
      <c r="E92" s="87" t="s">
        <v>222</v>
      </c>
      <c r="F92" s="90" t="s">
        <v>248</v>
      </c>
      <c r="G92" t="s">
        <v>249</v>
      </c>
      <c r="H92" s="87" t="s">
        <v>120</v>
      </c>
      <c r="I92" s="91" t="s">
        <v>131</v>
      </c>
      <c r="J92" s="87" t="s">
        <v>146</v>
      </c>
      <c r="K92" s="87" t="s">
        <v>134</v>
      </c>
      <c r="L92" s="103" t="s">
        <v>80</v>
      </c>
      <c r="M92" s="94" t="s">
        <v>16</v>
      </c>
      <c r="N92" s="94">
        <v>26</v>
      </c>
      <c r="O92" s="95">
        <v>4.49</v>
      </c>
      <c r="P92" s="102">
        <v>2.4997530359898308</v>
      </c>
      <c r="Q92" s="102">
        <v>49.588414889082742</v>
      </c>
      <c r="R92" s="92">
        <v>19.837325597825366</v>
      </c>
      <c r="S92" s="9" t="s">
        <v>250</v>
      </c>
    </row>
    <row r="93" spans="1:19" s="72" customFormat="1" x14ac:dyDescent="0.25">
      <c r="A93" s="14">
        <v>2012</v>
      </c>
      <c r="B93" s="180">
        <v>41117</v>
      </c>
      <c r="C93" s="89" t="s">
        <v>247</v>
      </c>
      <c r="D93" s="87" t="s">
        <v>154</v>
      </c>
      <c r="E93" s="87" t="s">
        <v>226</v>
      </c>
      <c r="F93" s="90" t="s">
        <v>248</v>
      </c>
      <c r="G93" t="s">
        <v>249</v>
      </c>
      <c r="H93" s="87" t="s">
        <v>120</v>
      </c>
      <c r="I93" s="91" t="s">
        <v>128</v>
      </c>
      <c r="J93" s="87" t="s">
        <v>171</v>
      </c>
      <c r="K93" s="87" t="s">
        <v>124</v>
      </c>
      <c r="L93" s="15">
        <v>4</v>
      </c>
      <c r="M93" s="14" t="s">
        <v>227</v>
      </c>
      <c r="N93" s="14">
        <v>23</v>
      </c>
      <c r="O93" s="85">
        <v>4.0629999999999997</v>
      </c>
      <c r="P93" s="92">
        <v>2.7055783841708205</v>
      </c>
      <c r="Q93" s="92">
        <v>49.389230113027004</v>
      </c>
      <c r="R93" s="92">
        <v>18.254592216578246</v>
      </c>
      <c r="S93" s="3"/>
    </row>
    <row r="94" spans="1:19" x14ac:dyDescent="0.25">
      <c r="A94" s="14">
        <v>2012</v>
      </c>
      <c r="B94" s="180">
        <v>41117</v>
      </c>
      <c r="C94" s="89" t="s">
        <v>247</v>
      </c>
      <c r="D94" s="87" t="s">
        <v>154</v>
      </c>
      <c r="E94" s="87" t="s">
        <v>226</v>
      </c>
      <c r="F94" s="90" t="s">
        <v>248</v>
      </c>
      <c r="G94" t="s">
        <v>249</v>
      </c>
      <c r="H94" s="87" t="s">
        <v>120</v>
      </c>
      <c r="I94" s="91" t="s">
        <v>128</v>
      </c>
      <c r="J94" s="87" t="s">
        <v>173</v>
      </c>
      <c r="K94" s="87" t="s">
        <v>124</v>
      </c>
      <c r="L94" s="15">
        <v>4</v>
      </c>
      <c r="M94" s="14" t="s">
        <v>228</v>
      </c>
      <c r="N94" s="14">
        <v>24</v>
      </c>
      <c r="O94" s="85">
        <v>3.746</v>
      </c>
      <c r="P94" s="92">
        <v>2.8981797370951958</v>
      </c>
      <c r="Q94" s="92">
        <v>50.10363902099467</v>
      </c>
      <c r="R94" s="92">
        <v>17.287968161427017</v>
      </c>
    </row>
    <row r="95" spans="1:19" x14ac:dyDescent="0.25">
      <c r="A95" s="14">
        <v>2012</v>
      </c>
      <c r="B95" s="180">
        <v>41117</v>
      </c>
      <c r="C95" s="89" t="s">
        <v>247</v>
      </c>
      <c r="D95" s="87" t="s">
        <v>154</v>
      </c>
      <c r="E95" s="87" t="s">
        <v>226</v>
      </c>
      <c r="F95" s="90" t="s">
        <v>248</v>
      </c>
      <c r="G95" t="s">
        <v>249</v>
      </c>
      <c r="H95" s="87" t="s">
        <v>120</v>
      </c>
      <c r="I95" s="91" t="s">
        <v>128</v>
      </c>
      <c r="J95" s="87" t="s">
        <v>129</v>
      </c>
      <c r="K95" s="87" t="s">
        <v>130</v>
      </c>
      <c r="L95" s="15">
        <v>4</v>
      </c>
      <c r="M95" s="14" t="s">
        <v>67</v>
      </c>
      <c r="N95" s="14">
        <v>22</v>
      </c>
      <c r="O95" s="85">
        <v>4.3239999999999998</v>
      </c>
      <c r="P95" s="92">
        <v>2.6578434894745033</v>
      </c>
      <c r="Q95" s="92">
        <v>50.45420301037835</v>
      </c>
      <c r="R95" s="92">
        <v>18.983135466849451</v>
      </c>
    </row>
    <row r="96" spans="1:19" x14ac:dyDescent="0.25">
      <c r="A96" s="14">
        <v>2012</v>
      </c>
      <c r="B96" s="180">
        <v>41117</v>
      </c>
      <c r="C96" s="89" t="s">
        <v>247</v>
      </c>
      <c r="D96" s="87" t="s">
        <v>154</v>
      </c>
      <c r="E96" s="87" t="s">
        <v>226</v>
      </c>
      <c r="F96" s="90" t="s">
        <v>248</v>
      </c>
      <c r="G96" t="s">
        <v>249</v>
      </c>
      <c r="H96" s="87" t="s">
        <v>120</v>
      </c>
      <c r="I96" s="91" t="s">
        <v>131</v>
      </c>
      <c r="J96" s="87" t="s">
        <v>132</v>
      </c>
      <c r="K96" s="87" t="s">
        <v>130</v>
      </c>
      <c r="L96" s="15">
        <v>4</v>
      </c>
      <c r="M96" s="14" t="s">
        <v>72</v>
      </c>
      <c r="N96" s="14">
        <v>21</v>
      </c>
      <c r="O96" s="85">
        <v>4.2869999999999999</v>
      </c>
      <c r="P96" s="92">
        <v>2.0799485029065314</v>
      </c>
      <c r="Q96" s="92">
        <v>50.230037350178826</v>
      </c>
      <c r="R96" s="92">
        <v>24.149654320761833</v>
      </c>
      <c r="S96" s="3"/>
    </row>
    <row r="97" spans="1:19" x14ac:dyDescent="0.25">
      <c r="A97" s="14">
        <v>2012</v>
      </c>
      <c r="B97" s="180">
        <v>41117</v>
      </c>
      <c r="C97" s="89" t="s">
        <v>247</v>
      </c>
      <c r="D97" s="87" t="s">
        <v>154</v>
      </c>
      <c r="E97" s="87" t="s">
        <v>226</v>
      </c>
      <c r="F97" s="90" t="s">
        <v>248</v>
      </c>
      <c r="G97" t="s">
        <v>249</v>
      </c>
      <c r="H97" s="87" t="s">
        <v>120</v>
      </c>
      <c r="I97" s="91" t="s">
        <v>128</v>
      </c>
      <c r="J97" s="87" t="s">
        <v>133</v>
      </c>
      <c r="K97" s="87" t="s">
        <v>134</v>
      </c>
      <c r="L97" s="15">
        <v>4</v>
      </c>
      <c r="M97" s="14" t="s">
        <v>32</v>
      </c>
      <c r="N97" s="14">
        <v>19</v>
      </c>
      <c r="O97" s="85">
        <v>4.1989999999999998</v>
      </c>
      <c r="P97" s="92">
        <v>2.7020357261895023</v>
      </c>
      <c r="Q97" s="92">
        <v>49.287614013315171</v>
      </c>
      <c r="R97" s="92">
        <v>18.240918702737567</v>
      </c>
      <c r="S97" s="3"/>
    </row>
    <row r="98" spans="1:19" x14ac:dyDescent="0.25">
      <c r="A98" s="14">
        <v>2012</v>
      </c>
      <c r="B98" s="180">
        <v>41117</v>
      </c>
      <c r="C98" s="89" t="s">
        <v>247</v>
      </c>
      <c r="D98" s="87" t="s">
        <v>154</v>
      </c>
      <c r="E98" s="87" t="s">
        <v>226</v>
      </c>
      <c r="F98" s="90" t="s">
        <v>248</v>
      </c>
      <c r="G98" t="s">
        <v>249</v>
      </c>
      <c r="H98" s="87" t="s">
        <v>120</v>
      </c>
      <c r="I98" s="91" t="s">
        <v>128</v>
      </c>
      <c r="J98" s="87" t="s">
        <v>163</v>
      </c>
      <c r="K98" s="87" t="s">
        <v>134</v>
      </c>
      <c r="L98" s="15">
        <v>6</v>
      </c>
      <c r="M98" s="15" t="s">
        <v>10</v>
      </c>
      <c r="N98" s="15">
        <v>20</v>
      </c>
      <c r="O98" s="7">
        <v>4.125</v>
      </c>
      <c r="P98" s="92">
        <v>2.7157097623031876</v>
      </c>
      <c r="Q98" s="92">
        <v>50.401501700942283</v>
      </c>
      <c r="R98" s="92">
        <v>18.559237220621426</v>
      </c>
    </row>
    <row r="99" spans="1:19" x14ac:dyDescent="0.25">
      <c r="A99" s="14">
        <v>2012</v>
      </c>
      <c r="B99" s="180">
        <v>41124</v>
      </c>
      <c r="C99" s="89" t="s">
        <v>247</v>
      </c>
      <c r="D99" s="87" t="s">
        <v>154</v>
      </c>
      <c r="E99" s="87" t="s">
        <v>229</v>
      </c>
      <c r="F99" s="104" t="s">
        <v>251</v>
      </c>
      <c r="G99" t="s">
        <v>249</v>
      </c>
      <c r="H99" s="87" t="s">
        <v>207</v>
      </c>
      <c r="I99" s="91" t="s">
        <v>135</v>
      </c>
      <c r="J99" s="87" t="s">
        <v>230</v>
      </c>
      <c r="K99" s="87" t="s">
        <v>124</v>
      </c>
      <c r="L99" s="15">
        <v>8</v>
      </c>
      <c r="M99" s="15" t="s">
        <v>231</v>
      </c>
      <c r="N99" s="15">
        <v>18</v>
      </c>
      <c r="O99" s="7">
        <v>4.4859999999999998</v>
      </c>
      <c r="P99" s="16">
        <v>3.1152383995558575</v>
      </c>
      <c r="Q99" s="16">
        <v>48.740743220781113</v>
      </c>
      <c r="R99" s="92">
        <v>15.645911153294119</v>
      </c>
    </row>
    <row r="100" spans="1:19" x14ac:dyDescent="0.25">
      <c r="A100" s="15">
        <v>2012</v>
      </c>
      <c r="B100" s="180">
        <v>41124</v>
      </c>
      <c r="C100" s="89" t="s">
        <v>247</v>
      </c>
      <c r="D100" s="87" t="s">
        <v>154</v>
      </c>
      <c r="E100" s="87" t="s">
        <v>229</v>
      </c>
      <c r="F100" s="104" t="s">
        <v>251</v>
      </c>
      <c r="G100" t="s">
        <v>249</v>
      </c>
      <c r="H100" s="87" t="s">
        <v>207</v>
      </c>
      <c r="I100" s="91" t="s">
        <v>135</v>
      </c>
      <c r="J100" s="87" t="s">
        <v>232</v>
      </c>
      <c r="K100" s="87" t="s">
        <v>124</v>
      </c>
      <c r="L100" s="15">
        <v>3</v>
      </c>
      <c r="M100" s="15" t="s">
        <v>233</v>
      </c>
      <c r="N100" s="15">
        <v>17</v>
      </c>
      <c r="O100" s="86">
        <v>3.887</v>
      </c>
      <c r="P100" s="28">
        <v>2.445774190897843</v>
      </c>
      <c r="Q100" s="28">
        <v>47.035843817049461</v>
      </c>
      <c r="R100" s="92">
        <v>19.231474431326227</v>
      </c>
      <c r="S100" s="105"/>
    </row>
    <row r="101" spans="1:19" s="6" customFormat="1" x14ac:dyDescent="0.25">
      <c r="A101" s="14">
        <v>2012</v>
      </c>
      <c r="B101" s="180">
        <v>41124</v>
      </c>
      <c r="C101" s="89" t="s">
        <v>247</v>
      </c>
      <c r="D101" s="87" t="s">
        <v>154</v>
      </c>
      <c r="E101" s="87" t="s">
        <v>229</v>
      </c>
      <c r="F101" s="104" t="s">
        <v>251</v>
      </c>
      <c r="G101" t="s">
        <v>249</v>
      </c>
      <c r="H101" s="87" t="s">
        <v>207</v>
      </c>
      <c r="I101" s="91" t="s">
        <v>135</v>
      </c>
      <c r="J101" s="87" t="s">
        <v>234</v>
      </c>
      <c r="K101" s="87" t="s">
        <v>130</v>
      </c>
      <c r="L101" s="15">
        <v>4</v>
      </c>
      <c r="M101" s="14" t="s">
        <v>70</v>
      </c>
      <c r="N101" s="14">
        <v>14</v>
      </c>
      <c r="O101" s="85">
        <v>3.6669999999999998</v>
      </c>
      <c r="P101" s="92">
        <v>2.865993648886358</v>
      </c>
      <c r="Q101" s="92">
        <v>49.964562713126178</v>
      </c>
      <c r="R101" s="92">
        <v>17.433591568683678</v>
      </c>
    </row>
    <row r="102" spans="1:19" x14ac:dyDescent="0.25">
      <c r="A102" s="14">
        <v>2012</v>
      </c>
      <c r="B102" s="180">
        <v>41124</v>
      </c>
      <c r="C102" s="89" t="s">
        <v>247</v>
      </c>
      <c r="D102" s="87" t="s">
        <v>154</v>
      </c>
      <c r="E102" s="87" t="s">
        <v>229</v>
      </c>
      <c r="F102" s="104" t="s">
        <v>251</v>
      </c>
      <c r="G102" t="s">
        <v>249</v>
      </c>
      <c r="H102" s="87" t="s">
        <v>207</v>
      </c>
      <c r="I102" s="91" t="s">
        <v>135</v>
      </c>
      <c r="J102" s="87" t="s">
        <v>235</v>
      </c>
      <c r="K102" s="87" t="s">
        <v>130</v>
      </c>
      <c r="L102" s="15">
        <v>4</v>
      </c>
      <c r="M102" s="14" t="s">
        <v>28</v>
      </c>
      <c r="N102" s="14">
        <v>16</v>
      </c>
      <c r="O102" s="85">
        <v>3.98</v>
      </c>
      <c r="P102" s="92">
        <v>2.6341173675275393</v>
      </c>
      <c r="Q102" s="92">
        <v>47.964638971733358</v>
      </c>
      <c r="R102" s="92">
        <v>18.20899841556961</v>
      </c>
      <c r="S102" s="2"/>
    </row>
    <row r="103" spans="1:19" x14ac:dyDescent="0.25">
      <c r="A103" s="14">
        <v>2012</v>
      </c>
      <c r="B103" s="180">
        <v>41124</v>
      </c>
      <c r="C103" s="89" t="s">
        <v>247</v>
      </c>
      <c r="D103" s="87" t="s">
        <v>154</v>
      </c>
      <c r="E103" s="87" t="s">
        <v>229</v>
      </c>
      <c r="F103" s="104" t="s">
        <v>251</v>
      </c>
      <c r="G103" t="s">
        <v>249</v>
      </c>
      <c r="H103" s="87" t="s">
        <v>207</v>
      </c>
      <c r="I103" s="91" t="s">
        <v>131</v>
      </c>
      <c r="J103" s="87" t="s">
        <v>177</v>
      </c>
      <c r="K103" s="87" t="s">
        <v>134</v>
      </c>
      <c r="L103" s="15">
        <v>4</v>
      </c>
      <c r="M103" s="14" t="s">
        <v>73</v>
      </c>
      <c r="N103" s="14">
        <v>13</v>
      </c>
      <c r="O103" s="85">
        <v>4.2409999999999997</v>
      </c>
      <c r="P103" s="92">
        <v>2.2005708723502151</v>
      </c>
      <c r="Q103" s="92">
        <v>51.587708429248103</v>
      </c>
      <c r="R103" s="92">
        <v>23.442875245436792</v>
      </c>
    </row>
    <row r="104" spans="1:19" x14ac:dyDescent="0.25">
      <c r="A104" s="14">
        <v>2012</v>
      </c>
      <c r="B104" s="180">
        <v>41124</v>
      </c>
      <c r="C104" s="89" t="s">
        <v>247</v>
      </c>
      <c r="D104" s="87" t="s">
        <v>154</v>
      </c>
      <c r="E104" s="87" t="s">
        <v>229</v>
      </c>
      <c r="F104" s="104" t="s">
        <v>251</v>
      </c>
      <c r="G104" t="s">
        <v>249</v>
      </c>
      <c r="H104" s="87" t="s">
        <v>207</v>
      </c>
      <c r="I104" s="91" t="s">
        <v>131</v>
      </c>
      <c r="J104" s="87" t="s">
        <v>178</v>
      </c>
      <c r="K104" s="87" t="s">
        <v>134</v>
      </c>
      <c r="L104" s="15">
        <v>4</v>
      </c>
      <c r="M104" s="14" t="s">
        <v>31</v>
      </c>
      <c r="N104" s="14">
        <v>15</v>
      </c>
      <c r="O104" s="85">
        <v>3.7669999999999999</v>
      </c>
      <c r="P104" s="92">
        <v>1.8062412426032577</v>
      </c>
      <c r="Q104" s="92">
        <v>49.676276719705925</v>
      </c>
      <c r="R104" s="92">
        <v>27.502570281315052</v>
      </c>
    </row>
    <row r="105" spans="1:19" x14ac:dyDescent="0.25">
      <c r="A105" s="14">
        <v>2012</v>
      </c>
      <c r="B105" s="180">
        <v>41125</v>
      </c>
      <c r="C105" s="89" t="s">
        <v>247</v>
      </c>
      <c r="D105" s="87" t="s">
        <v>154</v>
      </c>
      <c r="E105" s="87" t="s">
        <v>236</v>
      </c>
      <c r="F105" s="90" t="s">
        <v>248</v>
      </c>
      <c r="G105" t="s">
        <v>249</v>
      </c>
      <c r="H105" s="87" t="s">
        <v>120</v>
      </c>
      <c r="I105" s="91" t="s">
        <v>128</v>
      </c>
      <c r="J105" s="87" t="s">
        <v>139</v>
      </c>
      <c r="K105" s="87" t="s">
        <v>124</v>
      </c>
      <c r="L105" s="15">
        <v>6</v>
      </c>
      <c r="M105" s="14" t="s">
        <v>237</v>
      </c>
      <c r="N105" s="15">
        <v>11</v>
      </c>
      <c r="O105" s="7">
        <v>4.4960000000000004</v>
      </c>
      <c r="P105" s="92">
        <v>2.2572574927618509</v>
      </c>
      <c r="Q105" s="92">
        <v>48.337967162496632</v>
      </c>
      <c r="R105" s="92">
        <v>21.414467475464249</v>
      </c>
    </row>
    <row r="106" spans="1:19" x14ac:dyDescent="0.25">
      <c r="A106" s="14">
        <v>2012</v>
      </c>
      <c r="B106" s="180">
        <v>41125</v>
      </c>
      <c r="C106" s="89" t="s">
        <v>247</v>
      </c>
      <c r="D106" s="87" t="s">
        <v>154</v>
      </c>
      <c r="E106" s="87" t="s">
        <v>236</v>
      </c>
      <c r="F106" s="90" t="s">
        <v>248</v>
      </c>
      <c r="G106" t="s">
        <v>249</v>
      </c>
      <c r="H106" s="87" t="s">
        <v>120</v>
      </c>
      <c r="I106" s="91" t="s">
        <v>128</v>
      </c>
      <c r="J106" s="87" t="s">
        <v>141</v>
      </c>
      <c r="K106" s="87" t="s">
        <v>124</v>
      </c>
      <c r="L106" s="15">
        <v>4</v>
      </c>
      <c r="M106" s="14" t="s">
        <v>238</v>
      </c>
      <c r="N106" s="14">
        <v>12</v>
      </c>
      <c r="O106" s="85">
        <v>3.7509999999999999</v>
      </c>
      <c r="P106" s="92">
        <v>2.3593963234555351</v>
      </c>
      <c r="Q106" s="92">
        <v>50.566527116325013</v>
      </c>
      <c r="R106" s="92">
        <v>21.431976736433185</v>
      </c>
    </row>
    <row r="107" spans="1:19" x14ac:dyDescent="0.25">
      <c r="A107" s="14">
        <v>2012</v>
      </c>
      <c r="B107" s="180">
        <v>41125</v>
      </c>
      <c r="C107" s="89" t="s">
        <v>247</v>
      </c>
      <c r="D107" s="87" t="s">
        <v>154</v>
      </c>
      <c r="E107" s="87" t="s">
        <v>236</v>
      </c>
      <c r="F107" s="90" t="s">
        <v>248</v>
      </c>
      <c r="G107" t="s">
        <v>249</v>
      </c>
      <c r="H107" s="87" t="s">
        <v>120</v>
      </c>
      <c r="I107" s="91" t="s">
        <v>128</v>
      </c>
      <c r="J107" s="87" t="s">
        <v>143</v>
      </c>
      <c r="K107" s="87" t="s">
        <v>130</v>
      </c>
      <c r="L107" s="15">
        <v>6</v>
      </c>
      <c r="M107" s="14" t="s">
        <v>5</v>
      </c>
      <c r="N107" s="15">
        <v>10</v>
      </c>
      <c r="O107" s="7">
        <v>3.621</v>
      </c>
      <c r="P107" s="92">
        <v>2.3330817414241967</v>
      </c>
      <c r="Q107" s="92">
        <v>50.119071924512923</v>
      </c>
      <c r="R107" s="92">
        <v>21.481918543461941</v>
      </c>
    </row>
    <row r="108" spans="1:19" x14ac:dyDescent="0.25">
      <c r="A108" s="14">
        <v>2012</v>
      </c>
      <c r="B108" s="180">
        <v>41125</v>
      </c>
      <c r="C108" s="89" t="s">
        <v>247</v>
      </c>
      <c r="D108" s="87" t="s">
        <v>154</v>
      </c>
      <c r="E108" s="87" t="s">
        <v>236</v>
      </c>
      <c r="F108" s="90" t="s">
        <v>248</v>
      </c>
      <c r="G108" t="s">
        <v>249</v>
      </c>
      <c r="H108" s="87" t="s">
        <v>120</v>
      </c>
      <c r="I108" s="91" t="s">
        <v>128</v>
      </c>
      <c r="J108" s="87" t="s">
        <v>169</v>
      </c>
      <c r="K108" s="87" t="s">
        <v>130</v>
      </c>
      <c r="L108" s="15">
        <v>4</v>
      </c>
      <c r="M108" s="14" t="s">
        <v>78</v>
      </c>
      <c r="N108" s="14">
        <v>9</v>
      </c>
      <c r="O108" s="85">
        <v>3.798</v>
      </c>
      <c r="P108" s="92">
        <v>2.6124091941163678</v>
      </c>
      <c r="Q108" s="92">
        <v>51.009289056635289</v>
      </c>
      <c r="R108" s="92">
        <v>19.525765401345897</v>
      </c>
    </row>
    <row r="109" spans="1:19" x14ac:dyDescent="0.25">
      <c r="A109" s="14">
        <v>2012</v>
      </c>
      <c r="B109" s="180">
        <v>41124</v>
      </c>
      <c r="C109" s="89" t="s">
        <v>247</v>
      </c>
      <c r="D109" s="87" t="s">
        <v>154</v>
      </c>
      <c r="E109" s="87" t="s">
        <v>236</v>
      </c>
      <c r="F109" s="90" t="s">
        <v>248</v>
      </c>
      <c r="G109" t="s">
        <v>249</v>
      </c>
      <c r="H109" s="87" t="s">
        <v>120</v>
      </c>
      <c r="I109" s="91" t="s">
        <v>128</v>
      </c>
      <c r="J109" s="87" t="s">
        <v>185</v>
      </c>
      <c r="K109" s="87" t="s">
        <v>134</v>
      </c>
      <c r="L109" s="15">
        <v>4</v>
      </c>
      <c r="M109" s="14" t="s">
        <v>77</v>
      </c>
      <c r="N109" s="14">
        <v>7</v>
      </c>
      <c r="O109" s="85">
        <v>4.2279999999999998</v>
      </c>
      <c r="P109" s="92">
        <v>2.0245351162969762</v>
      </c>
      <c r="Q109" s="92">
        <v>51.636165456658112</v>
      </c>
      <c r="R109" s="92">
        <v>25.50519625024063</v>
      </c>
    </row>
    <row r="110" spans="1:19" x14ac:dyDescent="0.25">
      <c r="A110" s="14">
        <v>2012</v>
      </c>
      <c r="B110" s="180">
        <v>41124</v>
      </c>
      <c r="C110" s="89" t="s">
        <v>247</v>
      </c>
      <c r="D110" s="87" t="s">
        <v>154</v>
      </c>
      <c r="E110" s="87" t="s">
        <v>236</v>
      </c>
      <c r="F110" s="90" t="s">
        <v>248</v>
      </c>
      <c r="G110" t="s">
        <v>249</v>
      </c>
      <c r="H110" s="87" t="s">
        <v>120</v>
      </c>
      <c r="I110" s="91" t="s">
        <v>128</v>
      </c>
      <c r="J110" s="87" t="s">
        <v>186</v>
      </c>
      <c r="K110" s="87" t="s">
        <v>134</v>
      </c>
      <c r="L110" s="15">
        <v>3</v>
      </c>
      <c r="M110" s="14" t="s">
        <v>21</v>
      </c>
      <c r="N110" s="14">
        <v>8</v>
      </c>
      <c r="O110" s="85">
        <v>4.4029999999999996</v>
      </c>
      <c r="P110" s="92">
        <v>1.8283345809192633</v>
      </c>
      <c r="Q110" s="92">
        <v>49.39206937827322</v>
      </c>
      <c r="R110" s="92">
        <v>27.01478706016681</v>
      </c>
    </row>
    <row r="111" spans="1:19" x14ac:dyDescent="0.25">
      <c r="A111" s="14">
        <v>2012</v>
      </c>
      <c r="B111" s="180">
        <v>41128</v>
      </c>
      <c r="C111" s="89" t="s">
        <v>247</v>
      </c>
      <c r="D111" s="87" t="s">
        <v>119</v>
      </c>
      <c r="E111" s="87" t="s">
        <v>239</v>
      </c>
      <c r="F111" s="90" t="s">
        <v>251</v>
      </c>
      <c r="G111" t="s">
        <v>249</v>
      </c>
      <c r="H111" s="87" t="s">
        <v>120</v>
      </c>
      <c r="I111" s="91" t="s">
        <v>128</v>
      </c>
      <c r="J111" s="87" t="s">
        <v>171</v>
      </c>
      <c r="K111" s="87" t="s">
        <v>124</v>
      </c>
      <c r="L111" s="15">
        <v>4</v>
      </c>
      <c r="M111" s="14" t="s">
        <v>240</v>
      </c>
      <c r="N111" s="14">
        <v>5</v>
      </c>
      <c r="O111" s="85">
        <v>3.8559999999999999</v>
      </c>
      <c r="P111" s="92">
        <v>2.4530303688927955</v>
      </c>
      <c r="Q111" s="92">
        <v>50.980344405027701</v>
      </c>
      <c r="R111" s="92">
        <v>20.782598149422132</v>
      </c>
    </row>
    <row r="112" spans="1:19" x14ac:dyDescent="0.25">
      <c r="A112" s="14">
        <v>2012</v>
      </c>
      <c r="B112" s="180">
        <v>41128</v>
      </c>
      <c r="C112" s="89" t="s">
        <v>247</v>
      </c>
      <c r="D112" s="87" t="s">
        <v>119</v>
      </c>
      <c r="E112" s="87" t="s">
        <v>239</v>
      </c>
      <c r="F112" s="90" t="s">
        <v>251</v>
      </c>
      <c r="G112" t="s">
        <v>249</v>
      </c>
      <c r="H112" s="87" t="s">
        <v>120</v>
      </c>
      <c r="I112" s="91" t="s">
        <v>131</v>
      </c>
      <c r="J112" s="87" t="s">
        <v>218</v>
      </c>
      <c r="K112" s="87" t="s">
        <v>124</v>
      </c>
      <c r="L112" s="15">
        <v>3</v>
      </c>
      <c r="M112" s="14" t="s">
        <v>241</v>
      </c>
      <c r="N112" s="14">
        <v>6</v>
      </c>
      <c r="O112" s="85">
        <v>4.3319999999999999</v>
      </c>
      <c r="P112" s="92">
        <v>2.1829332525792435</v>
      </c>
      <c r="Q112" s="92">
        <v>45.297066118291497</v>
      </c>
      <c r="R112" s="92">
        <v>20.750550235455332</v>
      </c>
    </row>
    <row r="113" spans="1:18" x14ac:dyDescent="0.25">
      <c r="A113" s="14">
        <v>2012</v>
      </c>
      <c r="B113" s="180">
        <v>41128</v>
      </c>
      <c r="C113" s="89" t="s">
        <v>247</v>
      </c>
      <c r="D113" s="87" t="s">
        <v>119</v>
      </c>
      <c r="E113" s="87" t="s">
        <v>239</v>
      </c>
      <c r="F113" s="90" t="s">
        <v>251</v>
      </c>
      <c r="G113" t="s">
        <v>249</v>
      </c>
      <c r="H113" s="87" t="s">
        <v>120</v>
      </c>
      <c r="I113" s="91" t="s">
        <v>128</v>
      </c>
      <c r="J113" s="87" t="s">
        <v>162</v>
      </c>
      <c r="K113" s="87" t="s">
        <v>130</v>
      </c>
      <c r="L113" s="15">
        <v>4</v>
      </c>
      <c r="M113" s="14" t="s">
        <v>68</v>
      </c>
      <c r="N113" s="14">
        <v>3</v>
      </c>
      <c r="O113" s="85">
        <v>4.3550000000000004</v>
      </c>
      <c r="P113" s="92">
        <v>2.4496877055291151</v>
      </c>
      <c r="Q113" s="92">
        <v>50.692036154242082</v>
      </c>
      <c r="R113" s="92">
        <v>20.69326471281488</v>
      </c>
    </row>
    <row r="114" spans="1:18" x14ac:dyDescent="0.25">
      <c r="A114" s="14">
        <v>2012</v>
      </c>
      <c r="B114" s="180">
        <v>41128</v>
      </c>
      <c r="C114" s="89" t="s">
        <v>247</v>
      </c>
      <c r="D114" s="87" t="s">
        <v>119</v>
      </c>
      <c r="E114" s="87" t="s">
        <v>239</v>
      </c>
      <c r="F114" s="90" t="s">
        <v>251</v>
      </c>
      <c r="G114" t="s">
        <v>249</v>
      </c>
      <c r="H114" s="87" t="s">
        <v>120</v>
      </c>
      <c r="I114" s="91" t="s">
        <v>131</v>
      </c>
      <c r="J114" s="87" t="s">
        <v>176</v>
      </c>
      <c r="K114" s="87" t="s">
        <v>130</v>
      </c>
      <c r="L114" s="15">
        <v>4</v>
      </c>
      <c r="M114" s="14" t="s">
        <v>69</v>
      </c>
      <c r="N114" s="14">
        <v>4</v>
      </c>
      <c r="O114" s="85">
        <v>4.4880000000000004</v>
      </c>
      <c r="P114" s="92">
        <v>2.1679228243457369</v>
      </c>
      <c r="Q114" s="92">
        <v>47.035933633671043</v>
      </c>
      <c r="R114" s="92">
        <v>21.69631368121517</v>
      </c>
    </row>
    <row r="115" spans="1:18" x14ac:dyDescent="0.25">
      <c r="A115" s="14">
        <v>2012</v>
      </c>
      <c r="B115" s="180">
        <v>41128</v>
      </c>
      <c r="C115" s="89" t="s">
        <v>247</v>
      </c>
      <c r="D115" s="87" t="s">
        <v>119</v>
      </c>
      <c r="E115" s="87" t="s">
        <v>239</v>
      </c>
      <c r="F115" s="90" t="s">
        <v>251</v>
      </c>
      <c r="G115" t="s">
        <v>249</v>
      </c>
      <c r="H115" s="87" t="s">
        <v>120</v>
      </c>
      <c r="I115" s="91" t="s">
        <v>128</v>
      </c>
      <c r="J115" s="87" t="s">
        <v>133</v>
      </c>
      <c r="K115" s="87" t="s">
        <v>134</v>
      </c>
      <c r="L115" s="15">
        <v>4</v>
      </c>
      <c r="M115" s="14" t="s">
        <v>30</v>
      </c>
      <c r="N115" s="14">
        <v>1</v>
      </c>
      <c r="O115" s="85">
        <v>3.5030000000000001</v>
      </c>
      <c r="P115" s="92">
        <v>2.4230777370822141</v>
      </c>
      <c r="Q115" s="92">
        <v>49.320072975372831</v>
      </c>
      <c r="R115" s="92">
        <v>20.354308993306319</v>
      </c>
    </row>
    <row r="116" spans="1:18" x14ac:dyDescent="0.25">
      <c r="A116" s="14">
        <v>2012</v>
      </c>
      <c r="B116" s="180">
        <v>41128</v>
      </c>
      <c r="C116" s="89" t="s">
        <v>247</v>
      </c>
      <c r="D116" s="87" t="s">
        <v>119</v>
      </c>
      <c r="E116" s="87" t="s">
        <v>239</v>
      </c>
      <c r="F116" s="90" t="s">
        <v>251</v>
      </c>
      <c r="G116" t="s">
        <v>249</v>
      </c>
      <c r="H116" s="87" t="s">
        <v>120</v>
      </c>
      <c r="I116" s="91" t="s">
        <v>128</v>
      </c>
      <c r="J116" s="87" t="s">
        <v>163</v>
      </c>
      <c r="K116" s="87" t="s">
        <v>134</v>
      </c>
      <c r="L116" s="15">
        <v>3</v>
      </c>
      <c r="M116" s="14" t="s">
        <v>24</v>
      </c>
      <c r="N116" s="14">
        <v>2</v>
      </c>
      <c r="O116" s="85">
        <v>3.7010000000000001</v>
      </c>
      <c r="P116" s="92">
        <v>2.552630036390152</v>
      </c>
      <c r="Q116" s="92">
        <v>48.344103703295609</v>
      </c>
      <c r="R116" s="92">
        <v>18.938938668786605</v>
      </c>
    </row>
    <row r="117" spans="1:18" x14ac:dyDescent="0.25">
      <c r="A117" s="14">
        <v>2012</v>
      </c>
      <c r="B117" s="181">
        <v>41109</v>
      </c>
      <c r="C117" s="89" t="s">
        <v>247</v>
      </c>
      <c r="D117" s="87" t="s">
        <v>154</v>
      </c>
      <c r="E117" s="87" t="s">
        <v>215</v>
      </c>
      <c r="F117" s="90" t="s">
        <v>248</v>
      </c>
      <c r="G117" t="s">
        <v>249</v>
      </c>
      <c r="H117" s="87" t="s">
        <v>120</v>
      </c>
      <c r="I117" s="91" t="s">
        <v>128</v>
      </c>
      <c r="J117" s="87" t="s">
        <v>242</v>
      </c>
      <c r="K117" s="87" t="s">
        <v>124</v>
      </c>
      <c r="L117" s="15">
        <v>3</v>
      </c>
      <c r="M117" s="14" t="s">
        <v>243</v>
      </c>
      <c r="N117" s="14">
        <v>37</v>
      </c>
      <c r="O117" s="85">
        <v>3.657</v>
      </c>
      <c r="P117" s="92">
        <v>1.8226572778657555</v>
      </c>
      <c r="Q117" s="92">
        <v>48.820505239367776</v>
      </c>
      <c r="R117" s="92">
        <v>26.785345677567125</v>
      </c>
    </row>
  </sheetData>
  <dataValidations count="1">
    <dataValidation type="list" allowBlank="1" showInputMessage="1" showErrorMessage="1" sqref="F105:F117 F2:F98">
      <formula1>Treatment</formula1>
    </dataValidation>
  </dataValidations>
  <pageMargins left="0.7" right="0.7" top="0.75" bottom="0.75" header="0.3" footer="0.3"/>
  <pageSetup scale="110"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T32"/>
  <sheetViews>
    <sheetView zoomScale="80" zoomScaleNormal="80" workbookViewId="0">
      <selection activeCell="P60" sqref="P60"/>
    </sheetView>
  </sheetViews>
  <sheetFormatPr defaultRowHeight="12.75" x14ac:dyDescent="0.2"/>
  <cols>
    <col min="1" max="1" width="8.42578125" style="18" customWidth="1"/>
    <col min="2" max="9" width="9.140625" style="18"/>
    <col min="10" max="10" width="17.5703125" style="18" bestFit="1" customWidth="1"/>
    <col min="11" max="11" width="11.28515625" style="18" customWidth="1"/>
    <col min="12" max="12" width="13" style="18" customWidth="1"/>
    <col min="13" max="13" width="10.42578125" style="18" customWidth="1"/>
    <col min="14" max="14" width="13" style="18" customWidth="1"/>
    <col min="15" max="16" width="9.140625" style="18"/>
    <col min="17" max="17" width="10.42578125" style="18" bestFit="1" customWidth="1"/>
    <col min="18" max="16384" width="9.140625" style="18"/>
  </cols>
  <sheetData>
    <row r="1" spans="1:17" ht="18.75" x14ac:dyDescent="0.3">
      <c r="A1" s="23" t="s">
        <v>103</v>
      </c>
      <c r="G1" s="23" t="s">
        <v>101</v>
      </c>
      <c r="H1" s="19"/>
      <c r="I1" s="19"/>
      <c r="K1" s="24" t="s">
        <v>104</v>
      </c>
      <c r="O1" s="24" t="s">
        <v>113</v>
      </c>
    </row>
    <row r="2" spans="1:17" ht="15" x14ac:dyDescent="0.25">
      <c r="A2" s="20"/>
      <c r="B2" s="20"/>
      <c r="C2" s="20" t="s">
        <v>0</v>
      </c>
      <c r="D2" s="20" t="s">
        <v>1</v>
      </c>
      <c r="E2" s="20"/>
      <c r="F2" s="20"/>
      <c r="G2" s="20"/>
      <c r="H2" s="20" t="s">
        <v>0</v>
      </c>
      <c r="I2" s="20" t="s">
        <v>1</v>
      </c>
      <c r="J2" s="20"/>
      <c r="K2" s="32"/>
      <c r="L2" s="20" t="s">
        <v>0</v>
      </c>
      <c r="M2" s="20" t="s">
        <v>1</v>
      </c>
      <c r="N2" s="19"/>
      <c r="O2" s="32"/>
      <c r="P2" s="20" t="s">
        <v>0</v>
      </c>
      <c r="Q2" s="20" t="s">
        <v>1</v>
      </c>
    </row>
    <row r="3" spans="1:17" ht="15" x14ac:dyDescent="0.25">
      <c r="A3" s="19"/>
      <c r="B3" s="19" t="s">
        <v>85</v>
      </c>
      <c r="C3" s="19">
        <v>10.079399766951088</v>
      </c>
      <c r="D3" s="19">
        <v>35.508983895420776</v>
      </c>
      <c r="E3" s="19"/>
      <c r="F3" s="19"/>
      <c r="G3" s="22" t="s">
        <v>85</v>
      </c>
      <c r="H3" s="16">
        <v>9.4507150147552039</v>
      </c>
      <c r="I3" s="16">
        <v>35.530575665209227</v>
      </c>
      <c r="J3" s="19"/>
      <c r="K3" s="7" t="s">
        <v>105</v>
      </c>
      <c r="L3" s="28">
        <v>10.206521110717002</v>
      </c>
      <c r="M3" s="29">
        <v>37.151270540353224</v>
      </c>
      <c r="N3" s="19"/>
      <c r="O3" s="7" t="s">
        <v>105</v>
      </c>
      <c r="P3" s="10">
        <v>10.696087747677376</v>
      </c>
      <c r="Q3" s="10">
        <v>36.901453642899874</v>
      </c>
    </row>
    <row r="4" spans="1:17" ht="15" x14ac:dyDescent="0.25">
      <c r="A4" s="19"/>
      <c r="B4" s="19" t="s">
        <v>86</v>
      </c>
      <c r="C4" s="19">
        <v>10.244673762125943</v>
      </c>
      <c r="D4" s="19">
        <v>35.896227996398196</v>
      </c>
      <c r="E4" s="19"/>
      <c r="F4" s="19"/>
      <c r="G4" s="22" t="s">
        <v>86</v>
      </c>
      <c r="H4" s="16">
        <v>10.407161673159788</v>
      </c>
      <c r="I4" s="16">
        <v>36.50048612562496</v>
      </c>
      <c r="J4" s="19"/>
      <c r="K4" s="7" t="s">
        <v>106</v>
      </c>
      <c r="L4" s="28">
        <v>10.522400287774499</v>
      </c>
      <c r="M4" s="29">
        <v>36.266218632709915</v>
      </c>
      <c r="N4" s="19"/>
      <c r="O4" s="7" t="s">
        <v>106</v>
      </c>
      <c r="P4" s="10">
        <v>10.348779426101661</v>
      </c>
      <c r="Q4" s="10">
        <v>36.684562163977773</v>
      </c>
    </row>
    <row r="5" spans="1:17" ht="15" x14ac:dyDescent="0.25">
      <c r="A5" s="19"/>
      <c r="B5" s="19" t="s">
        <v>87</v>
      </c>
      <c r="C5" s="19">
        <v>10.689733375614349</v>
      </c>
      <c r="D5" s="19">
        <v>36.910438876333515</v>
      </c>
      <c r="E5" s="19"/>
      <c r="F5" s="19"/>
      <c r="G5" s="22" t="s">
        <v>87</v>
      </c>
      <c r="H5" s="16">
        <v>10.565420366295866</v>
      </c>
      <c r="I5" s="16">
        <v>36.416512039374801</v>
      </c>
      <c r="J5" s="19"/>
      <c r="K5" s="7" t="s">
        <v>107</v>
      </c>
      <c r="L5" s="28">
        <v>10.683005969248034</v>
      </c>
      <c r="M5" s="29">
        <v>36.260377402032518</v>
      </c>
      <c r="N5" s="19"/>
      <c r="O5" s="7" t="s">
        <v>107</v>
      </c>
      <c r="P5" s="10">
        <v>10.117097160201398</v>
      </c>
      <c r="Q5" s="10">
        <v>35.560083311459394</v>
      </c>
    </row>
    <row r="6" spans="1:17" ht="15" x14ac:dyDescent="0.25">
      <c r="A6" s="19"/>
      <c r="B6" s="19" t="s">
        <v>88</v>
      </c>
      <c r="C6" s="19">
        <v>10.490270095754337</v>
      </c>
      <c r="D6" s="19">
        <v>35.761953297796303</v>
      </c>
      <c r="E6" s="19"/>
      <c r="F6" s="19"/>
      <c r="G6" s="22" t="s">
        <v>88</v>
      </c>
      <c r="H6" s="16">
        <v>10.693641762555272</v>
      </c>
      <c r="I6" s="16">
        <v>35.700813008985051</v>
      </c>
      <c r="J6" s="19"/>
      <c r="K6" s="7" t="s">
        <v>108</v>
      </c>
      <c r="L6" s="28">
        <v>10.437948839666781</v>
      </c>
      <c r="M6" s="29">
        <v>35.324588842915929</v>
      </c>
      <c r="N6" s="19"/>
      <c r="O6" s="7" t="s">
        <v>108</v>
      </c>
      <c r="P6" s="10">
        <v>10.107529049663576</v>
      </c>
      <c r="Q6" s="10">
        <v>35.460846770067619</v>
      </c>
    </row>
    <row r="7" spans="1:17" ht="15" x14ac:dyDescent="0.25">
      <c r="A7" s="19"/>
      <c r="B7" s="19" t="s">
        <v>102</v>
      </c>
      <c r="C7" s="19">
        <v>10.361280843580314</v>
      </c>
      <c r="D7" s="19">
        <v>35.757974402510492</v>
      </c>
      <c r="E7" s="19"/>
      <c r="F7" s="19"/>
      <c r="G7" s="22" t="s">
        <v>89</v>
      </c>
      <c r="H7" s="16">
        <v>10.442972786858908</v>
      </c>
      <c r="I7" s="16">
        <v>36.2310015662094</v>
      </c>
      <c r="J7" s="19"/>
      <c r="K7" s="7" t="s">
        <v>109</v>
      </c>
      <c r="L7" s="28">
        <v>10.504510480546196</v>
      </c>
      <c r="M7" s="29">
        <v>36.173097635187396</v>
      </c>
      <c r="N7" s="19"/>
      <c r="O7" s="7" t="s">
        <v>112</v>
      </c>
      <c r="P7" s="10">
        <v>10.573776119173099</v>
      </c>
      <c r="Q7" s="10">
        <v>36.275117188758202</v>
      </c>
    </row>
    <row r="8" spans="1:17" ht="15" x14ac:dyDescent="0.25">
      <c r="A8" s="19"/>
      <c r="B8" s="20" t="s">
        <v>99</v>
      </c>
      <c r="C8" s="20">
        <v>10.373071568805207</v>
      </c>
      <c r="D8" s="20">
        <v>35.967115693691852</v>
      </c>
      <c r="E8" s="19"/>
      <c r="F8" s="19"/>
      <c r="G8" s="22" t="s">
        <v>90</v>
      </c>
      <c r="H8" s="16">
        <v>10.498760658639107</v>
      </c>
      <c r="I8" s="16">
        <v>35.823586446209646</v>
      </c>
      <c r="J8" s="19"/>
      <c r="K8" s="7" t="s">
        <v>110</v>
      </c>
      <c r="L8" s="28">
        <v>10.835025055416311</v>
      </c>
      <c r="M8" s="29">
        <v>36.456658511941093</v>
      </c>
      <c r="N8" s="19"/>
      <c r="O8" s="7" t="s">
        <v>110</v>
      </c>
      <c r="P8" s="10">
        <v>11.305302563148057</v>
      </c>
      <c r="Q8" s="10">
        <v>36.951671998298778</v>
      </c>
    </row>
    <row r="9" spans="1:17" ht="15" x14ac:dyDescent="0.25">
      <c r="A9" s="19"/>
      <c r="B9" s="20" t="s">
        <v>100</v>
      </c>
      <c r="C9" s="20">
        <v>0.23285099300641579</v>
      </c>
      <c r="D9" s="20">
        <v>0.5455731219301615</v>
      </c>
      <c r="E9" s="20"/>
      <c r="F9" s="19"/>
      <c r="G9" s="22" t="s">
        <v>92</v>
      </c>
      <c r="H9" s="16">
        <v>10.604798629836552</v>
      </c>
      <c r="I9" s="16">
        <v>36.825012244258893</v>
      </c>
      <c r="J9" s="19"/>
      <c r="K9" s="7" t="s">
        <v>110</v>
      </c>
      <c r="L9" s="28">
        <v>10.779778163380367</v>
      </c>
      <c r="M9" s="29">
        <v>36.425118376132417</v>
      </c>
      <c r="N9" s="19"/>
      <c r="O9" s="30" t="s">
        <v>99</v>
      </c>
      <c r="P9" s="30">
        <v>10.524762010994195</v>
      </c>
      <c r="Q9" s="30">
        <v>36.305622512576939</v>
      </c>
    </row>
    <row r="10" spans="1:17" ht="15" x14ac:dyDescent="0.25">
      <c r="A10" s="19"/>
      <c r="B10" s="20" t="s">
        <v>91</v>
      </c>
      <c r="C10" s="20">
        <v>2.2447641613373741</v>
      </c>
      <c r="D10" s="20">
        <v>1.5168664804162977</v>
      </c>
      <c r="E10" s="19"/>
      <c r="F10" s="19"/>
      <c r="G10" s="22" t="s">
        <v>93</v>
      </c>
      <c r="H10" s="16">
        <v>10.600089616886375</v>
      </c>
      <c r="I10" s="16">
        <v>36.400022505285406</v>
      </c>
      <c r="J10" s="19"/>
      <c r="K10" s="7" t="s">
        <v>110</v>
      </c>
      <c r="L10" s="28">
        <v>10.529938266300015</v>
      </c>
      <c r="M10" s="29">
        <v>36.129628206479133</v>
      </c>
      <c r="N10" s="19"/>
      <c r="O10" s="30" t="s">
        <v>100</v>
      </c>
      <c r="P10" s="31">
        <v>0.44994272728545204</v>
      </c>
      <c r="Q10" s="31">
        <v>0.66127078622657931</v>
      </c>
    </row>
    <row r="11" spans="1:17" ht="15" x14ac:dyDescent="0.25">
      <c r="A11" s="19"/>
      <c r="B11" s="19"/>
      <c r="C11" s="19"/>
      <c r="D11" s="19"/>
      <c r="E11" s="19"/>
      <c r="F11" s="19"/>
      <c r="G11" s="22" t="s">
        <v>94</v>
      </c>
      <c r="H11" s="16">
        <v>10.696589836840383</v>
      </c>
      <c r="I11" s="16">
        <v>36.820750264452919</v>
      </c>
      <c r="J11" s="19"/>
      <c r="K11" s="7" t="s">
        <v>110</v>
      </c>
      <c r="L11" s="28">
        <v>10.614306130710705</v>
      </c>
      <c r="M11" s="29">
        <v>36.584848706110186</v>
      </c>
      <c r="N11" s="19"/>
      <c r="O11" s="31" t="s">
        <v>91</v>
      </c>
      <c r="P11" s="31">
        <v>4.2750869503314251</v>
      </c>
      <c r="Q11" s="31">
        <v>1.8214004896831142</v>
      </c>
    </row>
    <row r="12" spans="1:17" ht="15" x14ac:dyDescent="0.25">
      <c r="A12" s="19"/>
      <c r="B12" s="19"/>
      <c r="C12" s="19"/>
      <c r="D12" s="19"/>
      <c r="E12" s="19"/>
      <c r="F12" s="19"/>
      <c r="G12" s="22" t="s">
        <v>95</v>
      </c>
      <c r="H12" s="16">
        <v>10.694876700789189</v>
      </c>
      <c r="I12" s="16">
        <v>36.980018326252214</v>
      </c>
      <c r="J12" s="19"/>
      <c r="K12" s="7" t="s">
        <v>110</v>
      </c>
      <c r="L12" s="28">
        <v>10.119477657306648</v>
      </c>
      <c r="M12" s="29">
        <v>35.087277768516842</v>
      </c>
      <c r="N12" s="19"/>
      <c r="P12" s="4"/>
      <c r="Q12" s="4"/>
    </row>
    <row r="13" spans="1:17" ht="15" x14ac:dyDescent="0.25">
      <c r="A13" s="19"/>
      <c r="B13" s="19"/>
      <c r="C13" s="19"/>
      <c r="D13" s="19"/>
      <c r="E13" s="19"/>
      <c r="F13" s="19"/>
      <c r="G13" s="22" t="s">
        <v>96</v>
      </c>
      <c r="H13" s="16">
        <v>10.887801506711808</v>
      </c>
      <c r="I13" s="16">
        <v>36.783966975936089</v>
      </c>
      <c r="J13" s="19"/>
      <c r="K13" s="7" t="s">
        <v>110</v>
      </c>
      <c r="L13" s="28">
        <v>10.771169371043127</v>
      </c>
      <c r="M13" s="29">
        <v>36.564299904706949</v>
      </c>
      <c r="N13" s="19"/>
      <c r="P13" s="4"/>
      <c r="Q13" s="4"/>
    </row>
    <row r="14" spans="1:17" ht="15" x14ac:dyDescent="0.25">
      <c r="A14" s="19"/>
      <c r="B14" s="19"/>
      <c r="C14" s="19"/>
      <c r="D14" s="19"/>
      <c r="E14" s="19"/>
      <c r="F14" s="19"/>
      <c r="G14" s="22" t="s">
        <v>97</v>
      </c>
      <c r="H14" s="16">
        <v>10.599959349666621</v>
      </c>
      <c r="I14" s="16">
        <v>37.07142794619692</v>
      </c>
      <c r="J14" s="19"/>
      <c r="K14" s="7" t="s">
        <v>110</v>
      </c>
      <c r="L14" s="28">
        <v>11.024947601664621</v>
      </c>
      <c r="M14" s="29">
        <v>36.271668051055457</v>
      </c>
      <c r="N14" s="21"/>
      <c r="P14" s="4"/>
      <c r="Q14" s="4"/>
    </row>
    <row r="15" spans="1:17" ht="15" x14ac:dyDescent="0.25">
      <c r="A15" s="19"/>
      <c r="B15" s="19"/>
      <c r="C15" s="19"/>
      <c r="D15" s="19"/>
      <c r="E15" s="19"/>
      <c r="F15" s="19"/>
      <c r="G15" s="22" t="s">
        <v>98</v>
      </c>
      <c r="H15" s="16">
        <v>10.189347400424264</v>
      </c>
      <c r="I15" s="16">
        <v>37.051900423919868</v>
      </c>
      <c r="J15" s="19"/>
      <c r="K15" s="30" t="s">
        <v>99</v>
      </c>
      <c r="L15" s="30">
        <v>10.585752411147858</v>
      </c>
      <c r="M15" s="30">
        <v>36.224587714845086</v>
      </c>
      <c r="N15" s="21"/>
      <c r="O15" s="19"/>
      <c r="P15" s="19"/>
      <c r="Q15" s="19"/>
    </row>
    <row r="16" spans="1:17" ht="15" x14ac:dyDescent="0.25">
      <c r="A16" s="19"/>
      <c r="B16" s="19"/>
      <c r="C16" s="19"/>
      <c r="D16" s="19"/>
      <c r="E16" s="19"/>
      <c r="F16" s="19"/>
      <c r="G16" s="20" t="s">
        <v>99</v>
      </c>
      <c r="H16" s="33">
        <v>10.487087331032257</v>
      </c>
      <c r="I16" s="33">
        <v>36.472005656762718</v>
      </c>
      <c r="J16" s="19"/>
      <c r="K16" s="30" t="s">
        <v>100</v>
      </c>
      <c r="L16" s="31">
        <v>0.25833939272899964</v>
      </c>
      <c r="M16" s="31">
        <v>0.54924525296521087</v>
      </c>
      <c r="N16" s="19"/>
      <c r="O16" s="19"/>
      <c r="P16" s="19"/>
      <c r="Q16" s="19"/>
    </row>
    <row r="17" spans="1:20" ht="15" x14ac:dyDescent="0.25">
      <c r="A17" s="19"/>
      <c r="B17" s="19"/>
      <c r="C17" s="19"/>
      <c r="D17" s="19"/>
      <c r="E17" s="19"/>
      <c r="F17" s="19"/>
      <c r="G17" s="20" t="s">
        <v>100</v>
      </c>
      <c r="H17" s="20">
        <v>0.35437657042217152</v>
      </c>
      <c r="I17" s="20">
        <v>0.52168392708230249</v>
      </c>
      <c r="J17" s="19"/>
      <c r="K17" s="31" t="s">
        <v>91</v>
      </c>
      <c r="L17" s="31">
        <v>2.4404443132161524</v>
      </c>
      <c r="M17" s="31">
        <v>1.5162222336077174</v>
      </c>
      <c r="N17" s="19"/>
      <c r="O17" s="19"/>
      <c r="P17" s="19"/>
      <c r="Q17" s="19"/>
    </row>
    <row r="18" spans="1:20" ht="15" x14ac:dyDescent="0.25">
      <c r="A18" s="19"/>
      <c r="B18" s="19"/>
      <c r="C18" s="19"/>
      <c r="D18" s="19"/>
      <c r="E18" s="19"/>
      <c r="F18" s="19"/>
      <c r="G18" s="20" t="s">
        <v>91</v>
      </c>
      <c r="H18" s="20">
        <v>3.3791705860362073</v>
      </c>
      <c r="I18" s="20">
        <v>1.4303680800882161</v>
      </c>
      <c r="J18" s="19"/>
      <c r="K18" s="19"/>
      <c r="L18" s="19"/>
      <c r="M18" s="19"/>
      <c r="N18" s="19"/>
      <c r="O18" s="19"/>
      <c r="P18" s="19"/>
      <c r="Q18" s="19"/>
    </row>
    <row r="19" spans="1:20" ht="15" x14ac:dyDescent="0.25">
      <c r="K19" s="19"/>
      <c r="L19" s="19"/>
      <c r="M19" s="19"/>
      <c r="N19" s="19"/>
      <c r="O19" s="19"/>
      <c r="P19" s="19"/>
      <c r="Q19" s="19"/>
    </row>
    <row r="20" spans="1:20" ht="15" x14ac:dyDescent="0.25">
      <c r="K20" s="19"/>
      <c r="L20" s="19"/>
      <c r="M20" s="19"/>
      <c r="N20" s="19"/>
      <c r="O20" s="19"/>
      <c r="P20" s="19"/>
      <c r="Q20" s="19"/>
    </row>
    <row r="21" spans="1:20" x14ac:dyDescent="0.2">
      <c r="J21" s="17"/>
    </row>
    <row r="22" spans="1:20" x14ac:dyDescent="0.2">
      <c r="J22" s="17"/>
    </row>
    <row r="31" spans="1:20" x14ac:dyDescent="0.2">
      <c r="C31" s="17"/>
      <c r="D31" s="17"/>
      <c r="E31" s="17"/>
      <c r="F31" s="17"/>
      <c r="G31" s="17"/>
      <c r="H31" s="17"/>
      <c r="I31" s="17"/>
      <c r="J31" s="17"/>
      <c r="K31" s="17"/>
      <c r="L31" s="17"/>
      <c r="M31" s="17"/>
      <c r="P31" s="17"/>
      <c r="Q31" s="17"/>
      <c r="R31" s="17"/>
      <c r="S31" s="17"/>
      <c r="T31" s="17"/>
    </row>
    <row r="32" spans="1:20" x14ac:dyDescent="0.2">
      <c r="C32" s="17"/>
      <c r="D32" s="17"/>
      <c r="E32" s="17"/>
      <c r="F32" s="17"/>
      <c r="G32" s="17"/>
      <c r="H32" s="17"/>
      <c r="I32" s="17"/>
      <c r="J32" s="17"/>
      <c r="K32" s="17"/>
      <c r="L32" s="17"/>
      <c r="M32" s="17"/>
      <c r="P32" s="17"/>
      <c r="Q32" s="17"/>
      <c r="R32" s="17"/>
      <c r="S32" s="17"/>
      <c r="T32" s="17"/>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H38"/>
  <sheetViews>
    <sheetView zoomScaleNormal="100" workbookViewId="0">
      <selection activeCell="G19" sqref="G19"/>
    </sheetView>
  </sheetViews>
  <sheetFormatPr defaultRowHeight="15" x14ac:dyDescent="0.25"/>
  <cols>
    <col min="2" max="2" width="13.7109375" bestFit="1" customWidth="1"/>
  </cols>
  <sheetData>
    <row r="2" spans="1:8" ht="15.75" x14ac:dyDescent="0.25">
      <c r="A2" s="25" t="s">
        <v>84</v>
      </c>
      <c r="B2" s="26" t="s">
        <v>26</v>
      </c>
      <c r="C2" s="26" t="s">
        <v>81</v>
      </c>
      <c r="D2" s="26" t="s">
        <v>0</v>
      </c>
      <c r="E2" s="27" t="s">
        <v>1</v>
      </c>
    </row>
    <row r="3" spans="1:8" x14ac:dyDescent="0.25">
      <c r="A3" s="34">
        <v>6</v>
      </c>
      <c r="B3" s="48">
        <v>26</v>
      </c>
      <c r="C3" s="52">
        <v>4.3650000000000002</v>
      </c>
      <c r="D3" s="53">
        <v>2.5988553096230906</v>
      </c>
      <c r="E3" s="54">
        <v>50.198675247391492</v>
      </c>
    </row>
    <row r="4" spans="1:8" x14ac:dyDescent="0.25">
      <c r="A4" s="35">
        <v>3</v>
      </c>
      <c r="B4" s="49">
        <v>26</v>
      </c>
      <c r="C4" s="55">
        <v>4.6150000000000002</v>
      </c>
      <c r="D4" s="56">
        <v>2.4006507623565709</v>
      </c>
      <c r="E4" s="57">
        <v>48.978154530773985</v>
      </c>
    </row>
    <row r="5" spans="1:8" x14ac:dyDescent="0.25">
      <c r="A5" s="35"/>
      <c r="B5" s="50" t="s">
        <v>79</v>
      </c>
      <c r="C5" s="66">
        <v>4.49</v>
      </c>
      <c r="D5" s="66">
        <v>2.4997530359898308</v>
      </c>
      <c r="E5" s="67">
        <v>49.588414889082742</v>
      </c>
    </row>
    <row r="6" spans="1:8" x14ac:dyDescent="0.25">
      <c r="A6" s="36"/>
      <c r="B6" s="51" t="s">
        <v>100</v>
      </c>
      <c r="C6" s="62"/>
      <c r="D6" s="62">
        <v>0.14015177943416568</v>
      </c>
      <c r="E6" s="63">
        <v>0.86303847529890387</v>
      </c>
    </row>
    <row r="7" spans="1:8" x14ac:dyDescent="0.25">
      <c r="A7" s="34">
        <v>3</v>
      </c>
      <c r="B7" s="37">
        <v>32</v>
      </c>
      <c r="C7" s="64">
        <v>4.6150000000000002</v>
      </c>
      <c r="D7" s="53">
        <v>1.956214773238762</v>
      </c>
      <c r="E7" s="54">
        <v>49.231078077740435</v>
      </c>
    </row>
    <row r="8" spans="1:8" x14ac:dyDescent="0.25">
      <c r="A8" s="38">
        <v>3</v>
      </c>
      <c r="B8" s="39">
        <v>32</v>
      </c>
      <c r="C8" s="65">
        <v>3.718</v>
      </c>
      <c r="D8" s="56">
        <v>2.036669517400346</v>
      </c>
      <c r="E8" s="57">
        <v>49.473071794728604</v>
      </c>
    </row>
    <row r="9" spans="1:8" x14ac:dyDescent="0.25">
      <c r="A9" s="38"/>
      <c r="B9" s="50" t="s">
        <v>79</v>
      </c>
      <c r="C9" s="66">
        <v>4.1665000000000001</v>
      </c>
      <c r="D9" s="66">
        <v>1.996442145319554</v>
      </c>
      <c r="E9" s="67">
        <v>49.352074936234516</v>
      </c>
    </row>
    <row r="10" spans="1:8" x14ac:dyDescent="0.25">
      <c r="A10" s="40"/>
      <c r="B10" s="51" t="s">
        <v>100</v>
      </c>
      <c r="C10" s="62"/>
      <c r="D10" s="62">
        <v>5.6890095175284795E-2</v>
      </c>
      <c r="E10" s="63">
        <v>0.17111539828687267</v>
      </c>
      <c r="H10" t="s">
        <v>82</v>
      </c>
    </row>
    <row r="11" spans="1:8" x14ac:dyDescent="0.25">
      <c r="A11" s="41">
        <v>6</v>
      </c>
      <c r="B11" s="42">
        <v>35</v>
      </c>
      <c r="C11" s="58">
        <v>4.6689999999999996</v>
      </c>
      <c r="D11" s="53">
        <v>3.1323377590469761</v>
      </c>
      <c r="E11" s="54">
        <v>49.647048374438192</v>
      </c>
    </row>
    <row r="12" spans="1:8" x14ac:dyDescent="0.25">
      <c r="A12" s="35">
        <v>3</v>
      </c>
      <c r="B12" s="43">
        <v>35</v>
      </c>
      <c r="C12" s="59">
        <v>3.8730000000000002</v>
      </c>
      <c r="D12" s="56">
        <v>3.2163285315839634</v>
      </c>
      <c r="E12" s="57">
        <v>48.970788822590961</v>
      </c>
      <c r="F12" s="13"/>
    </row>
    <row r="13" spans="1:8" x14ac:dyDescent="0.25">
      <c r="A13" s="35"/>
      <c r="B13" s="50" t="s">
        <v>79</v>
      </c>
      <c r="C13" s="66">
        <v>4.2709999999999999</v>
      </c>
      <c r="D13" s="66">
        <v>3.1743331453154697</v>
      </c>
      <c r="E13" s="67">
        <v>49.30891859851458</v>
      </c>
      <c r="F13" s="13"/>
    </row>
    <row r="14" spans="1:8" x14ac:dyDescent="0.25">
      <c r="A14" s="36"/>
      <c r="B14" s="51" t="s">
        <v>100</v>
      </c>
      <c r="C14" s="62"/>
      <c r="D14" s="62">
        <v>5.939044481800055E-2</v>
      </c>
      <c r="E14" s="63">
        <v>0.47818771495335266</v>
      </c>
    </row>
    <row r="15" spans="1:8" x14ac:dyDescent="0.25">
      <c r="A15" s="34">
        <v>4</v>
      </c>
      <c r="B15" s="37">
        <v>44</v>
      </c>
      <c r="C15" s="64">
        <v>4.2089999999999996</v>
      </c>
      <c r="D15" s="44">
        <v>2.7024366919331548</v>
      </c>
      <c r="E15" s="45">
        <v>50.463968149720131</v>
      </c>
    </row>
    <row r="16" spans="1:8" x14ac:dyDescent="0.25">
      <c r="A16" s="38">
        <v>4</v>
      </c>
      <c r="B16" s="39">
        <v>44</v>
      </c>
      <c r="C16" s="65">
        <v>3.6150000000000002</v>
      </c>
      <c r="D16" s="46">
        <v>2.6405954360707891</v>
      </c>
      <c r="E16" s="47">
        <v>50.227892317557135</v>
      </c>
    </row>
    <row r="17" spans="1:8" x14ac:dyDescent="0.25">
      <c r="A17" s="38"/>
      <c r="B17" s="50" t="s">
        <v>79</v>
      </c>
      <c r="C17" s="66">
        <v>3.9119999999999999</v>
      </c>
      <c r="D17" s="66">
        <v>2.6715160640019722</v>
      </c>
      <c r="E17" s="67">
        <v>50.345930233638633</v>
      </c>
    </row>
    <row r="18" spans="1:8" x14ac:dyDescent="0.25">
      <c r="A18" s="40"/>
      <c r="B18" s="51" t="s">
        <v>100</v>
      </c>
      <c r="C18" s="62"/>
      <c r="D18" s="62">
        <v>4.3728371377371178E-2</v>
      </c>
      <c r="E18" s="63">
        <v>0.16693082179671165</v>
      </c>
    </row>
    <row r="19" spans="1:8" x14ac:dyDescent="0.25">
      <c r="A19" s="34">
        <v>6</v>
      </c>
      <c r="B19" s="48">
        <v>52</v>
      </c>
      <c r="C19" s="60">
        <v>3.6240000000000001</v>
      </c>
      <c r="D19" s="53">
        <v>2.3780806393997573</v>
      </c>
      <c r="E19" s="54">
        <v>49.736525538003647</v>
      </c>
    </row>
    <row r="20" spans="1:8" x14ac:dyDescent="0.25">
      <c r="A20" s="38">
        <v>6</v>
      </c>
      <c r="B20" s="49">
        <v>52</v>
      </c>
      <c r="C20" s="61">
        <v>4.524</v>
      </c>
      <c r="D20" s="56">
        <v>2.4863050624377498</v>
      </c>
      <c r="E20" s="57">
        <v>49.803507493952509</v>
      </c>
    </row>
    <row r="21" spans="1:8" x14ac:dyDescent="0.25">
      <c r="A21" s="38"/>
      <c r="B21" s="50" t="s">
        <v>79</v>
      </c>
      <c r="C21" s="66">
        <v>4.0739999999999998</v>
      </c>
      <c r="D21" s="66">
        <v>2.4321928509187538</v>
      </c>
      <c r="E21" s="67">
        <v>49.770016515978078</v>
      </c>
    </row>
    <row r="22" spans="1:8" x14ac:dyDescent="0.25">
      <c r="A22" s="40"/>
      <c r="B22" s="51" t="s">
        <v>100</v>
      </c>
      <c r="C22" s="62"/>
      <c r="D22" s="62">
        <v>7.6526223420166128E-2</v>
      </c>
      <c r="E22" s="63">
        <v>4.7363395268578634E-2</v>
      </c>
      <c r="H22" s="21"/>
    </row>
    <row r="23" spans="1:8" x14ac:dyDescent="0.25">
      <c r="A23" s="41">
        <v>6</v>
      </c>
      <c r="B23" s="42">
        <v>60</v>
      </c>
      <c r="C23" s="52">
        <v>4.4989999999999997</v>
      </c>
      <c r="D23" s="53">
        <v>2.2049856928728979</v>
      </c>
      <c r="E23" s="54">
        <v>50.133877864802457</v>
      </c>
      <c r="H23" s="21"/>
    </row>
    <row r="24" spans="1:8" x14ac:dyDescent="0.25">
      <c r="A24" s="35">
        <v>3</v>
      </c>
      <c r="B24" s="43">
        <v>60</v>
      </c>
      <c r="C24" s="55">
        <v>4.5229999999999997</v>
      </c>
      <c r="D24" s="56">
        <v>2.1407915018217558</v>
      </c>
      <c r="E24" s="57">
        <v>48.820341185449564</v>
      </c>
    </row>
    <row r="25" spans="1:8" x14ac:dyDescent="0.25">
      <c r="A25" s="38"/>
      <c r="B25" s="50" t="s">
        <v>79</v>
      </c>
      <c r="C25" s="66">
        <v>4.5109999999999992</v>
      </c>
      <c r="D25" s="66">
        <v>2.1728885973473266</v>
      </c>
      <c r="E25" s="67">
        <v>49.477109525126011</v>
      </c>
    </row>
    <row r="26" spans="1:8" x14ac:dyDescent="0.25">
      <c r="A26" s="40"/>
      <c r="B26" s="51" t="s">
        <v>100</v>
      </c>
      <c r="C26" s="62"/>
      <c r="D26" s="62">
        <v>4.539214780504737E-2</v>
      </c>
      <c r="E26" s="63">
        <v>0.92881069330769039</v>
      </c>
    </row>
    <row r="27" spans="1:8" x14ac:dyDescent="0.25">
      <c r="A27" s="34">
        <v>4</v>
      </c>
      <c r="B27" s="42">
        <v>76</v>
      </c>
      <c r="C27" s="52">
        <v>4.4349999999999996</v>
      </c>
      <c r="D27" s="53">
        <v>2.9264883021806321</v>
      </c>
      <c r="E27" s="54">
        <v>50.616925570098928</v>
      </c>
      <c r="F27" s="6"/>
    </row>
    <row r="28" spans="1:8" x14ac:dyDescent="0.25">
      <c r="A28" s="38">
        <v>4</v>
      </c>
      <c r="B28" s="43">
        <v>76</v>
      </c>
      <c r="C28" s="55">
        <v>3.5590000000000002</v>
      </c>
      <c r="D28" s="56">
        <v>2.9471374798955341</v>
      </c>
      <c r="E28" s="57">
        <v>49.259998810995178</v>
      </c>
      <c r="F28" s="6"/>
    </row>
    <row r="29" spans="1:8" x14ac:dyDescent="0.25">
      <c r="A29" s="38"/>
      <c r="B29" s="50" t="s">
        <v>79</v>
      </c>
      <c r="C29" s="66">
        <v>3.9969999999999999</v>
      </c>
      <c r="D29" s="66">
        <v>2.9368128910380831</v>
      </c>
      <c r="E29" s="67">
        <v>49.938462190547057</v>
      </c>
    </row>
    <row r="30" spans="1:8" x14ac:dyDescent="0.25">
      <c r="A30" s="40"/>
      <c r="B30" s="51" t="s">
        <v>100</v>
      </c>
      <c r="C30" s="62"/>
      <c r="D30" s="62">
        <v>1.4601173588133374E-2</v>
      </c>
      <c r="E30" s="63">
        <v>0.95949211293574654</v>
      </c>
    </row>
    <row r="31" spans="1:8" x14ac:dyDescent="0.25">
      <c r="A31" s="34">
        <v>4</v>
      </c>
      <c r="B31" s="37">
        <v>94</v>
      </c>
      <c r="C31" s="64">
        <v>4.0330000000000004</v>
      </c>
      <c r="D31" s="44">
        <v>3.0850819755349619</v>
      </c>
      <c r="E31" s="45">
        <v>51.770322559276636</v>
      </c>
    </row>
    <row r="32" spans="1:8" x14ac:dyDescent="0.25">
      <c r="A32" s="38">
        <v>4</v>
      </c>
      <c r="B32" s="39">
        <v>94</v>
      </c>
      <c r="C32" s="65">
        <v>3.8679999999999999</v>
      </c>
      <c r="D32" s="46">
        <v>2.9343065915086792</v>
      </c>
      <c r="E32" s="47">
        <v>51.709911520211307</v>
      </c>
    </row>
    <row r="33" spans="1:6" x14ac:dyDescent="0.25">
      <c r="A33" s="38"/>
      <c r="B33" s="50" t="s">
        <v>79</v>
      </c>
      <c r="C33" s="66">
        <v>3.9504999999999999</v>
      </c>
      <c r="D33" s="66">
        <v>3.0096942835218208</v>
      </c>
      <c r="E33" s="67">
        <v>51.740117039743971</v>
      </c>
    </row>
    <row r="34" spans="1:6" x14ac:dyDescent="0.25">
      <c r="A34" s="40"/>
      <c r="B34" s="51" t="s">
        <v>100</v>
      </c>
      <c r="C34" s="62"/>
      <c r="D34" s="62">
        <v>0.10661429648099031</v>
      </c>
      <c r="E34" s="63">
        <v>4.2717055381619538E-2</v>
      </c>
    </row>
    <row r="35" spans="1:6" x14ac:dyDescent="0.25">
      <c r="A35" s="76">
        <v>8</v>
      </c>
      <c r="B35" s="77" t="s">
        <v>111</v>
      </c>
      <c r="C35" s="48">
        <v>3.6309999999999998</v>
      </c>
      <c r="D35" s="78">
        <v>2.9634926546230602</v>
      </c>
      <c r="E35" s="79">
        <v>49.244761129552273</v>
      </c>
      <c r="F35" s="12"/>
    </row>
    <row r="36" spans="1:6" x14ac:dyDescent="0.25">
      <c r="A36" s="80">
        <v>8</v>
      </c>
      <c r="B36" s="81" t="s">
        <v>111</v>
      </c>
      <c r="C36" s="49">
        <v>3.4769999999999999</v>
      </c>
      <c r="D36" s="82">
        <v>2.9259274935887878</v>
      </c>
      <c r="E36" s="83">
        <v>48.427191024179031</v>
      </c>
      <c r="F36" s="12"/>
    </row>
    <row r="37" spans="1:6" x14ac:dyDescent="0.25">
      <c r="A37" s="80"/>
      <c r="B37" s="50" t="s">
        <v>79</v>
      </c>
      <c r="C37" s="66">
        <v>3.5539999999999998</v>
      </c>
      <c r="D37" s="66">
        <v>2.9447100741059238</v>
      </c>
      <c r="E37" s="67">
        <v>48.835976076865649</v>
      </c>
      <c r="F37" s="12"/>
    </row>
    <row r="38" spans="1:6" x14ac:dyDescent="0.25">
      <c r="A38" s="84"/>
      <c r="B38" s="51" t="s">
        <v>100</v>
      </c>
      <c r="C38" s="62"/>
      <c r="D38" s="62">
        <v>2.6562580103698698E-2</v>
      </c>
      <c r="E38" s="63">
        <v>0.57810936560481996</v>
      </c>
      <c r="F38" s="1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dimension ref="A1:N638"/>
  <sheetViews>
    <sheetView topLeftCell="A539" zoomScale="96" zoomScaleNormal="96" workbookViewId="0">
      <selection activeCell="B587" sqref="B587"/>
    </sheetView>
  </sheetViews>
  <sheetFormatPr defaultRowHeight="12.75" x14ac:dyDescent="0.2"/>
  <cols>
    <col min="1" max="1" width="9.140625" style="193"/>
    <col min="2" max="2" width="26.5703125" style="193" customWidth="1"/>
    <col min="3" max="3" width="51.85546875" style="193" customWidth="1"/>
    <col min="4" max="4" width="11.7109375" style="193" customWidth="1"/>
    <col min="5" max="5" width="13.85546875" style="193" customWidth="1"/>
    <col min="6" max="257" width="9.140625" style="193"/>
    <col min="258" max="258" width="26.5703125" style="193" customWidth="1"/>
    <col min="259" max="259" width="51.85546875" style="193" customWidth="1"/>
    <col min="260" max="260" width="11.7109375" style="193" customWidth="1"/>
    <col min="261" max="261" width="13.85546875" style="193" customWidth="1"/>
    <col min="262" max="513" width="9.140625" style="193"/>
    <col min="514" max="514" width="26.5703125" style="193" customWidth="1"/>
    <col min="515" max="515" width="51.85546875" style="193" customWidth="1"/>
    <col min="516" max="516" width="11.7109375" style="193" customWidth="1"/>
    <col min="517" max="517" width="13.85546875" style="193" customWidth="1"/>
    <col min="518" max="769" width="9.140625" style="193"/>
    <col min="770" max="770" width="26.5703125" style="193" customWidth="1"/>
    <col min="771" max="771" width="51.85546875" style="193" customWidth="1"/>
    <col min="772" max="772" width="11.7109375" style="193" customWidth="1"/>
    <col min="773" max="773" width="13.85546875" style="193" customWidth="1"/>
    <col min="774" max="1025" width="9.140625" style="193"/>
    <col min="1026" max="1026" width="26.5703125" style="193" customWidth="1"/>
    <col min="1027" max="1027" width="51.85546875" style="193" customWidth="1"/>
    <col min="1028" max="1028" width="11.7109375" style="193" customWidth="1"/>
    <col min="1029" max="1029" width="13.85546875" style="193" customWidth="1"/>
    <col min="1030" max="1281" width="9.140625" style="193"/>
    <col min="1282" max="1282" width="26.5703125" style="193" customWidth="1"/>
    <col min="1283" max="1283" width="51.85546875" style="193" customWidth="1"/>
    <col min="1284" max="1284" width="11.7109375" style="193" customWidth="1"/>
    <col min="1285" max="1285" width="13.85546875" style="193" customWidth="1"/>
    <col min="1286" max="1537" width="9.140625" style="193"/>
    <col min="1538" max="1538" width="26.5703125" style="193" customWidth="1"/>
    <col min="1539" max="1539" width="51.85546875" style="193" customWidth="1"/>
    <col min="1540" max="1540" width="11.7109375" style="193" customWidth="1"/>
    <col min="1541" max="1541" width="13.85546875" style="193" customWidth="1"/>
    <col min="1542" max="1793" width="9.140625" style="193"/>
    <col min="1794" max="1794" width="26.5703125" style="193" customWidth="1"/>
    <col min="1795" max="1795" width="51.85546875" style="193" customWidth="1"/>
    <col min="1796" max="1796" width="11.7109375" style="193" customWidth="1"/>
    <col min="1797" max="1797" width="13.85546875" style="193" customWidth="1"/>
    <col min="1798" max="2049" width="9.140625" style="193"/>
    <col min="2050" max="2050" width="26.5703125" style="193" customWidth="1"/>
    <col min="2051" max="2051" width="51.85546875" style="193" customWidth="1"/>
    <col min="2052" max="2052" width="11.7109375" style="193" customWidth="1"/>
    <col min="2053" max="2053" width="13.85546875" style="193" customWidth="1"/>
    <col min="2054" max="2305" width="9.140625" style="193"/>
    <col min="2306" max="2306" width="26.5703125" style="193" customWidth="1"/>
    <col min="2307" max="2307" width="51.85546875" style="193" customWidth="1"/>
    <col min="2308" max="2308" width="11.7109375" style="193" customWidth="1"/>
    <col min="2309" max="2309" width="13.85546875" style="193" customWidth="1"/>
    <col min="2310" max="2561" width="9.140625" style="193"/>
    <col min="2562" max="2562" width="26.5703125" style="193" customWidth="1"/>
    <col min="2563" max="2563" width="51.85546875" style="193" customWidth="1"/>
    <col min="2564" max="2564" width="11.7109375" style="193" customWidth="1"/>
    <col min="2565" max="2565" width="13.85546875" style="193" customWidth="1"/>
    <col min="2566" max="2817" width="9.140625" style="193"/>
    <col min="2818" max="2818" width="26.5703125" style="193" customWidth="1"/>
    <col min="2819" max="2819" width="51.85546875" style="193" customWidth="1"/>
    <col min="2820" max="2820" width="11.7109375" style="193" customWidth="1"/>
    <col min="2821" max="2821" width="13.85546875" style="193" customWidth="1"/>
    <col min="2822" max="3073" width="9.140625" style="193"/>
    <col min="3074" max="3074" width="26.5703125" style="193" customWidth="1"/>
    <col min="3075" max="3075" width="51.85546875" style="193" customWidth="1"/>
    <col min="3076" max="3076" width="11.7109375" style="193" customWidth="1"/>
    <col min="3077" max="3077" width="13.85546875" style="193" customWidth="1"/>
    <col min="3078" max="3329" width="9.140625" style="193"/>
    <col min="3330" max="3330" width="26.5703125" style="193" customWidth="1"/>
    <col min="3331" max="3331" width="51.85546875" style="193" customWidth="1"/>
    <col min="3332" max="3332" width="11.7109375" style="193" customWidth="1"/>
    <col min="3333" max="3333" width="13.85546875" style="193" customWidth="1"/>
    <col min="3334" max="3585" width="9.140625" style="193"/>
    <col min="3586" max="3586" width="26.5703125" style="193" customWidth="1"/>
    <col min="3587" max="3587" width="51.85546875" style="193" customWidth="1"/>
    <col min="3588" max="3588" width="11.7109375" style="193" customWidth="1"/>
    <col min="3589" max="3589" width="13.85546875" style="193" customWidth="1"/>
    <col min="3590" max="3841" width="9.140625" style="193"/>
    <col min="3842" max="3842" width="26.5703125" style="193" customWidth="1"/>
    <col min="3843" max="3843" width="51.85546875" style="193" customWidth="1"/>
    <col min="3844" max="3844" width="11.7109375" style="193" customWidth="1"/>
    <col min="3845" max="3845" width="13.85546875" style="193" customWidth="1"/>
    <col min="3846" max="4097" width="9.140625" style="193"/>
    <col min="4098" max="4098" width="26.5703125" style="193" customWidth="1"/>
    <col min="4099" max="4099" width="51.85546875" style="193" customWidth="1"/>
    <col min="4100" max="4100" width="11.7109375" style="193" customWidth="1"/>
    <col min="4101" max="4101" width="13.85546875" style="193" customWidth="1"/>
    <col min="4102" max="4353" width="9.140625" style="193"/>
    <col min="4354" max="4354" width="26.5703125" style="193" customWidth="1"/>
    <col min="4355" max="4355" width="51.85546875" style="193" customWidth="1"/>
    <col min="4356" max="4356" width="11.7109375" style="193" customWidth="1"/>
    <col min="4357" max="4357" width="13.85546875" style="193" customWidth="1"/>
    <col min="4358" max="4609" width="9.140625" style="193"/>
    <col min="4610" max="4610" width="26.5703125" style="193" customWidth="1"/>
    <col min="4611" max="4611" width="51.85546875" style="193" customWidth="1"/>
    <col min="4612" max="4612" width="11.7109375" style="193" customWidth="1"/>
    <col min="4613" max="4613" width="13.85546875" style="193" customWidth="1"/>
    <col min="4614" max="4865" width="9.140625" style="193"/>
    <col min="4866" max="4866" width="26.5703125" style="193" customWidth="1"/>
    <col min="4867" max="4867" width="51.85546875" style="193" customWidth="1"/>
    <col min="4868" max="4868" width="11.7109375" style="193" customWidth="1"/>
    <col min="4869" max="4869" width="13.85546875" style="193" customWidth="1"/>
    <col min="4870" max="5121" width="9.140625" style="193"/>
    <col min="5122" max="5122" width="26.5703125" style="193" customWidth="1"/>
    <col min="5123" max="5123" width="51.85546875" style="193" customWidth="1"/>
    <col min="5124" max="5124" width="11.7109375" style="193" customWidth="1"/>
    <col min="5125" max="5125" width="13.85546875" style="193" customWidth="1"/>
    <col min="5126" max="5377" width="9.140625" style="193"/>
    <col min="5378" max="5378" width="26.5703125" style="193" customWidth="1"/>
    <col min="5379" max="5379" width="51.85546875" style="193" customWidth="1"/>
    <col min="5380" max="5380" width="11.7109375" style="193" customWidth="1"/>
    <col min="5381" max="5381" width="13.85546875" style="193" customWidth="1"/>
    <col min="5382" max="5633" width="9.140625" style="193"/>
    <col min="5634" max="5634" width="26.5703125" style="193" customWidth="1"/>
    <col min="5635" max="5635" width="51.85546875" style="193" customWidth="1"/>
    <col min="5636" max="5636" width="11.7109375" style="193" customWidth="1"/>
    <col min="5637" max="5637" width="13.85546875" style="193" customWidth="1"/>
    <col min="5638" max="5889" width="9.140625" style="193"/>
    <col min="5890" max="5890" width="26.5703125" style="193" customWidth="1"/>
    <col min="5891" max="5891" width="51.85546875" style="193" customWidth="1"/>
    <col min="5892" max="5892" width="11.7109375" style="193" customWidth="1"/>
    <col min="5893" max="5893" width="13.85546875" style="193" customWidth="1"/>
    <col min="5894" max="6145" width="9.140625" style="193"/>
    <col min="6146" max="6146" width="26.5703125" style="193" customWidth="1"/>
    <col min="6147" max="6147" width="51.85546875" style="193" customWidth="1"/>
    <col min="6148" max="6148" width="11.7109375" style="193" customWidth="1"/>
    <col min="6149" max="6149" width="13.85546875" style="193" customWidth="1"/>
    <col min="6150" max="6401" width="9.140625" style="193"/>
    <col min="6402" max="6402" width="26.5703125" style="193" customWidth="1"/>
    <col min="6403" max="6403" width="51.85546875" style="193" customWidth="1"/>
    <col min="6404" max="6404" width="11.7109375" style="193" customWidth="1"/>
    <col min="6405" max="6405" width="13.85546875" style="193" customWidth="1"/>
    <col min="6406" max="6657" width="9.140625" style="193"/>
    <col min="6658" max="6658" width="26.5703125" style="193" customWidth="1"/>
    <col min="6659" max="6659" width="51.85546875" style="193" customWidth="1"/>
    <col min="6660" max="6660" width="11.7109375" style="193" customWidth="1"/>
    <col min="6661" max="6661" width="13.85546875" style="193" customWidth="1"/>
    <col min="6662" max="6913" width="9.140625" style="193"/>
    <col min="6914" max="6914" width="26.5703125" style="193" customWidth="1"/>
    <col min="6915" max="6915" width="51.85546875" style="193" customWidth="1"/>
    <col min="6916" max="6916" width="11.7109375" style="193" customWidth="1"/>
    <col min="6917" max="6917" width="13.85546875" style="193" customWidth="1"/>
    <col min="6918" max="7169" width="9.140625" style="193"/>
    <col min="7170" max="7170" width="26.5703125" style="193" customWidth="1"/>
    <col min="7171" max="7171" width="51.85546875" style="193" customWidth="1"/>
    <col min="7172" max="7172" width="11.7109375" style="193" customWidth="1"/>
    <col min="7173" max="7173" width="13.85546875" style="193" customWidth="1"/>
    <col min="7174" max="7425" width="9.140625" style="193"/>
    <col min="7426" max="7426" width="26.5703125" style="193" customWidth="1"/>
    <col min="7427" max="7427" width="51.85546875" style="193" customWidth="1"/>
    <col min="7428" max="7428" width="11.7109375" style="193" customWidth="1"/>
    <col min="7429" max="7429" width="13.85546875" style="193" customWidth="1"/>
    <col min="7430" max="7681" width="9.140625" style="193"/>
    <col min="7682" max="7682" width="26.5703125" style="193" customWidth="1"/>
    <col min="7683" max="7683" width="51.85546875" style="193" customWidth="1"/>
    <col min="7684" max="7684" width="11.7109375" style="193" customWidth="1"/>
    <col min="7685" max="7685" width="13.85546875" style="193" customWidth="1"/>
    <col min="7686" max="7937" width="9.140625" style="193"/>
    <col min="7938" max="7938" width="26.5703125" style="193" customWidth="1"/>
    <col min="7939" max="7939" width="51.85546875" style="193" customWidth="1"/>
    <col min="7940" max="7940" width="11.7109375" style="193" customWidth="1"/>
    <col min="7941" max="7941" width="13.85546875" style="193" customWidth="1"/>
    <col min="7942" max="8193" width="9.140625" style="193"/>
    <col min="8194" max="8194" width="26.5703125" style="193" customWidth="1"/>
    <col min="8195" max="8195" width="51.85546875" style="193" customWidth="1"/>
    <col min="8196" max="8196" width="11.7109375" style="193" customWidth="1"/>
    <col min="8197" max="8197" width="13.85546875" style="193" customWidth="1"/>
    <col min="8198" max="8449" width="9.140625" style="193"/>
    <col min="8450" max="8450" width="26.5703125" style="193" customWidth="1"/>
    <col min="8451" max="8451" width="51.85546875" style="193" customWidth="1"/>
    <col min="8452" max="8452" width="11.7109375" style="193" customWidth="1"/>
    <col min="8453" max="8453" width="13.85546875" style="193" customWidth="1"/>
    <col min="8454" max="8705" width="9.140625" style="193"/>
    <col min="8706" max="8706" width="26.5703125" style="193" customWidth="1"/>
    <col min="8707" max="8707" width="51.85546875" style="193" customWidth="1"/>
    <col min="8708" max="8708" width="11.7109375" style="193" customWidth="1"/>
    <col min="8709" max="8709" width="13.85546875" style="193" customWidth="1"/>
    <col min="8710" max="8961" width="9.140625" style="193"/>
    <col min="8962" max="8962" width="26.5703125" style="193" customWidth="1"/>
    <col min="8963" max="8963" width="51.85546875" style="193" customWidth="1"/>
    <col min="8964" max="8964" width="11.7109375" style="193" customWidth="1"/>
    <col min="8965" max="8965" width="13.85546875" style="193" customWidth="1"/>
    <col min="8966" max="9217" width="9.140625" style="193"/>
    <col min="9218" max="9218" width="26.5703125" style="193" customWidth="1"/>
    <col min="9219" max="9219" width="51.85546875" style="193" customWidth="1"/>
    <col min="9220" max="9220" width="11.7109375" style="193" customWidth="1"/>
    <col min="9221" max="9221" width="13.85546875" style="193" customWidth="1"/>
    <col min="9222" max="9473" width="9.140625" style="193"/>
    <col min="9474" max="9474" width="26.5703125" style="193" customWidth="1"/>
    <col min="9475" max="9475" width="51.85546875" style="193" customWidth="1"/>
    <col min="9476" max="9476" width="11.7109375" style="193" customWidth="1"/>
    <col min="9477" max="9477" width="13.85546875" style="193" customWidth="1"/>
    <col min="9478" max="9729" width="9.140625" style="193"/>
    <col min="9730" max="9730" width="26.5703125" style="193" customWidth="1"/>
    <col min="9731" max="9731" width="51.85546875" style="193" customWidth="1"/>
    <col min="9732" max="9732" width="11.7109375" style="193" customWidth="1"/>
    <col min="9733" max="9733" width="13.85546875" style="193" customWidth="1"/>
    <col min="9734" max="9985" width="9.140625" style="193"/>
    <col min="9986" max="9986" width="26.5703125" style="193" customWidth="1"/>
    <col min="9987" max="9987" width="51.85546875" style="193" customWidth="1"/>
    <col min="9988" max="9988" width="11.7109375" style="193" customWidth="1"/>
    <col min="9989" max="9989" width="13.85546875" style="193" customWidth="1"/>
    <col min="9990" max="10241" width="9.140625" style="193"/>
    <col min="10242" max="10242" width="26.5703125" style="193" customWidth="1"/>
    <col min="10243" max="10243" width="51.85546875" style="193" customWidth="1"/>
    <col min="10244" max="10244" width="11.7109375" style="193" customWidth="1"/>
    <col min="10245" max="10245" width="13.85546875" style="193" customWidth="1"/>
    <col min="10246" max="10497" width="9.140625" style="193"/>
    <col min="10498" max="10498" width="26.5703125" style="193" customWidth="1"/>
    <col min="10499" max="10499" width="51.85546875" style="193" customWidth="1"/>
    <col min="10500" max="10500" width="11.7109375" style="193" customWidth="1"/>
    <col min="10501" max="10501" width="13.85546875" style="193" customWidth="1"/>
    <col min="10502" max="10753" width="9.140625" style="193"/>
    <col min="10754" max="10754" width="26.5703125" style="193" customWidth="1"/>
    <col min="10755" max="10755" width="51.85546875" style="193" customWidth="1"/>
    <col min="10756" max="10756" width="11.7109375" style="193" customWidth="1"/>
    <col min="10757" max="10757" width="13.85546875" style="193" customWidth="1"/>
    <col min="10758" max="11009" width="9.140625" style="193"/>
    <col min="11010" max="11010" width="26.5703125" style="193" customWidth="1"/>
    <col min="11011" max="11011" width="51.85546875" style="193" customWidth="1"/>
    <col min="11012" max="11012" width="11.7109375" style="193" customWidth="1"/>
    <col min="11013" max="11013" width="13.85546875" style="193" customWidth="1"/>
    <col min="11014" max="11265" width="9.140625" style="193"/>
    <col min="11266" max="11266" width="26.5703125" style="193" customWidth="1"/>
    <col min="11267" max="11267" width="51.85546875" style="193" customWidth="1"/>
    <col min="11268" max="11268" width="11.7109375" style="193" customWidth="1"/>
    <col min="11269" max="11269" width="13.85546875" style="193" customWidth="1"/>
    <col min="11270" max="11521" width="9.140625" style="193"/>
    <col min="11522" max="11522" width="26.5703125" style="193" customWidth="1"/>
    <col min="11523" max="11523" width="51.85546875" style="193" customWidth="1"/>
    <col min="11524" max="11524" width="11.7109375" style="193" customWidth="1"/>
    <col min="11525" max="11525" width="13.85546875" style="193" customWidth="1"/>
    <col min="11526" max="11777" width="9.140625" style="193"/>
    <col min="11778" max="11778" width="26.5703125" style="193" customWidth="1"/>
    <col min="11779" max="11779" width="51.85546875" style="193" customWidth="1"/>
    <col min="11780" max="11780" width="11.7109375" style="193" customWidth="1"/>
    <col min="11781" max="11781" width="13.85546875" style="193" customWidth="1"/>
    <col min="11782" max="12033" width="9.140625" style="193"/>
    <col min="12034" max="12034" width="26.5703125" style="193" customWidth="1"/>
    <col min="12035" max="12035" width="51.85546875" style="193" customWidth="1"/>
    <col min="12036" max="12036" width="11.7109375" style="193" customWidth="1"/>
    <col min="12037" max="12037" width="13.85546875" style="193" customWidth="1"/>
    <col min="12038" max="12289" width="9.140625" style="193"/>
    <col min="12290" max="12290" width="26.5703125" style="193" customWidth="1"/>
    <col min="12291" max="12291" width="51.85546875" style="193" customWidth="1"/>
    <col min="12292" max="12292" width="11.7109375" style="193" customWidth="1"/>
    <col min="12293" max="12293" width="13.85546875" style="193" customWidth="1"/>
    <col min="12294" max="12545" width="9.140625" style="193"/>
    <col min="12546" max="12546" width="26.5703125" style="193" customWidth="1"/>
    <col min="12547" max="12547" width="51.85546875" style="193" customWidth="1"/>
    <col min="12548" max="12548" width="11.7109375" style="193" customWidth="1"/>
    <col min="12549" max="12549" width="13.85546875" style="193" customWidth="1"/>
    <col min="12550" max="12801" width="9.140625" style="193"/>
    <col min="12802" max="12802" width="26.5703125" style="193" customWidth="1"/>
    <col min="12803" max="12803" width="51.85546875" style="193" customWidth="1"/>
    <col min="12804" max="12804" width="11.7109375" style="193" customWidth="1"/>
    <col min="12805" max="12805" width="13.85546875" style="193" customWidth="1"/>
    <col min="12806" max="13057" width="9.140625" style="193"/>
    <col min="13058" max="13058" width="26.5703125" style="193" customWidth="1"/>
    <col min="13059" max="13059" width="51.85546875" style="193" customWidth="1"/>
    <col min="13060" max="13060" width="11.7109375" style="193" customWidth="1"/>
    <col min="13061" max="13061" width="13.85546875" style="193" customWidth="1"/>
    <col min="13062" max="13313" width="9.140625" style="193"/>
    <col min="13314" max="13314" width="26.5703125" style="193" customWidth="1"/>
    <col min="13315" max="13315" width="51.85546875" style="193" customWidth="1"/>
    <col min="13316" max="13316" width="11.7109375" style="193" customWidth="1"/>
    <col min="13317" max="13317" width="13.85546875" style="193" customWidth="1"/>
    <col min="13318" max="13569" width="9.140625" style="193"/>
    <col min="13570" max="13570" width="26.5703125" style="193" customWidth="1"/>
    <col min="13571" max="13571" width="51.85546875" style="193" customWidth="1"/>
    <col min="13572" max="13572" width="11.7109375" style="193" customWidth="1"/>
    <col min="13573" max="13573" width="13.85546875" style="193" customWidth="1"/>
    <col min="13574" max="13825" width="9.140625" style="193"/>
    <col min="13826" max="13826" width="26.5703125" style="193" customWidth="1"/>
    <col min="13827" max="13827" width="51.85546875" style="193" customWidth="1"/>
    <col min="13828" max="13828" width="11.7109375" style="193" customWidth="1"/>
    <col min="13829" max="13829" width="13.85546875" style="193" customWidth="1"/>
    <col min="13830" max="14081" width="9.140625" style="193"/>
    <col min="14082" max="14082" width="26.5703125" style="193" customWidth="1"/>
    <col min="14083" max="14083" width="51.85546875" style="193" customWidth="1"/>
    <col min="14084" max="14084" width="11.7109375" style="193" customWidth="1"/>
    <col min="14085" max="14085" width="13.85546875" style="193" customWidth="1"/>
    <col min="14086" max="14337" width="9.140625" style="193"/>
    <col min="14338" max="14338" width="26.5703125" style="193" customWidth="1"/>
    <col min="14339" max="14339" width="51.85546875" style="193" customWidth="1"/>
    <col min="14340" max="14340" width="11.7109375" style="193" customWidth="1"/>
    <col min="14341" max="14341" width="13.85546875" style="193" customWidth="1"/>
    <col min="14342" max="14593" width="9.140625" style="193"/>
    <col min="14594" max="14594" width="26.5703125" style="193" customWidth="1"/>
    <col min="14595" max="14595" width="51.85546875" style="193" customWidth="1"/>
    <col min="14596" max="14596" width="11.7109375" style="193" customWidth="1"/>
    <col min="14597" max="14597" width="13.85546875" style="193" customWidth="1"/>
    <col min="14598" max="14849" width="9.140625" style="193"/>
    <col min="14850" max="14850" width="26.5703125" style="193" customWidth="1"/>
    <col min="14851" max="14851" width="51.85546875" style="193" customWidth="1"/>
    <col min="14852" max="14852" width="11.7109375" style="193" customWidth="1"/>
    <col min="14853" max="14853" width="13.85546875" style="193" customWidth="1"/>
    <col min="14854" max="15105" width="9.140625" style="193"/>
    <col min="15106" max="15106" width="26.5703125" style="193" customWidth="1"/>
    <col min="15107" max="15107" width="51.85546875" style="193" customWidth="1"/>
    <col min="15108" max="15108" width="11.7109375" style="193" customWidth="1"/>
    <col min="15109" max="15109" width="13.85546875" style="193" customWidth="1"/>
    <col min="15110" max="15361" width="9.140625" style="193"/>
    <col min="15362" max="15362" width="26.5703125" style="193" customWidth="1"/>
    <col min="15363" max="15363" width="51.85546875" style="193" customWidth="1"/>
    <col min="15364" max="15364" width="11.7109375" style="193" customWidth="1"/>
    <col min="15365" max="15365" width="13.85546875" style="193" customWidth="1"/>
    <col min="15366" max="15617" width="9.140625" style="193"/>
    <col min="15618" max="15618" width="26.5703125" style="193" customWidth="1"/>
    <col min="15619" max="15619" width="51.85546875" style="193" customWidth="1"/>
    <col min="15620" max="15620" width="11.7109375" style="193" customWidth="1"/>
    <col min="15621" max="15621" width="13.85546875" style="193" customWidth="1"/>
    <col min="15622" max="15873" width="9.140625" style="193"/>
    <col min="15874" max="15874" width="26.5703125" style="193" customWidth="1"/>
    <col min="15875" max="15875" width="51.85546875" style="193" customWidth="1"/>
    <col min="15876" max="15876" width="11.7109375" style="193" customWidth="1"/>
    <col min="15877" max="15877" width="13.85546875" style="193" customWidth="1"/>
    <col min="15878" max="16129" width="9.140625" style="193"/>
    <col min="16130" max="16130" width="26.5703125" style="193" customWidth="1"/>
    <col min="16131" max="16131" width="51.85546875" style="193" customWidth="1"/>
    <col min="16132" max="16132" width="11.7109375" style="193" customWidth="1"/>
    <col min="16133" max="16133" width="13.85546875" style="193" customWidth="1"/>
    <col min="16134" max="16384" width="9.140625" style="193"/>
  </cols>
  <sheetData>
    <row r="1" spans="1:14" x14ac:dyDescent="0.2">
      <c r="B1" s="110"/>
    </row>
    <row r="2" spans="1:14" ht="45" x14ac:dyDescent="0.2">
      <c r="A2" s="194" t="s">
        <v>635</v>
      </c>
      <c r="B2" s="195" t="s">
        <v>634</v>
      </c>
      <c r="C2" s="195" t="s">
        <v>636</v>
      </c>
      <c r="D2" s="196" t="s">
        <v>637</v>
      </c>
      <c r="E2" s="196" t="s">
        <v>638</v>
      </c>
      <c r="F2" s="197" t="s">
        <v>639</v>
      </c>
      <c r="G2" s="195" t="s">
        <v>640</v>
      </c>
      <c r="H2" s="195" t="s">
        <v>641</v>
      </c>
      <c r="I2" s="195" t="s">
        <v>642</v>
      </c>
      <c r="J2" s="195" t="s">
        <v>643</v>
      </c>
      <c r="K2" s="198" t="s">
        <v>644</v>
      </c>
      <c r="L2" s="195" t="s">
        <v>645</v>
      </c>
      <c r="M2" s="195" t="s">
        <v>646</v>
      </c>
      <c r="N2" s="195" t="s">
        <v>647</v>
      </c>
    </row>
    <row r="3" spans="1:14" x14ac:dyDescent="0.2">
      <c r="A3" s="193">
        <v>1169</v>
      </c>
      <c r="B3" s="110" t="s">
        <v>648</v>
      </c>
      <c r="C3" s="110" t="s">
        <v>649</v>
      </c>
      <c r="D3" s="193">
        <v>68.99666666666667</v>
      </c>
      <c r="E3" s="193">
        <v>-150.28100000000001</v>
      </c>
      <c r="F3" s="193" t="s">
        <v>650</v>
      </c>
      <c r="G3" s="193" t="s">
        <v>651</v>
      </c>
      <c r="H3" s="193" t="s">
        <v>650</v>
      </c>
      <c r="I3" s="193" t="s">
        <v>650</v>
      </c>
      <c r="J3" s="193" t="s">
        <v>652</v>
      </c>
      <c r="K3" s="193" t="s">
        <v>650</v>
      </c>
      <c r="L3" s="193" t="s">
        <v>650</v>
      </c>
      <c r="M3" s="199" t="str">
        <f t="shared" ref="M3:M66" si="0">HYPERLINK("http://maps.google.com/maps?q="&amp;D3&amp;","&amp;E3,"View on Google Map")</f>
        <v>View on Google Map</v>
      </c>
    </row>
    <row r="4" spans="1:14" x14ac:dyDescent="0.2">
      <c r="A4" s="193">
        <v>1170</v>
      </c>
      <c r="B4" s="110" t="s">
        <v>653</v>
      </c>
      <c r="C4" s="110" t="s">
        <v>654</v>
      </c>
      <c r="D4" s="193">
        <v>68.952222222222218</v>
      </c>
      <c r="E4" s="193">
        <v>-150.21249999999998</v>
      </c>
      <c r="F4" s="193" t="s">
        <v>650</v>
      </c>
      <c r="G4" s="193" t="s">
        <v>651</v>
      </c>
      <c r="H4" s="193" t="s">
        <v>650</v>
      </c>
      <c r="I4" s="193" t="s">
        <v>650</v>
      </c>
      <c r="J4" s="193" t="s">
        <v>652</v>
      </c>
      <c r="K4" s="193" t="s">
        <v>650</v>
      </c>
      <c r="L4" s="193" t="s">
        <v>650</v>
      </c>
      <c r="M4" s="199" t="str">
        <f t="shared" si="0"/>
        <v>View on Google Map</v>
      </c>
    </row>
    <row r="5" spans="1:14" x14ac:dyDescent="0.2">
      <c r="A5" s="193">
        <v>1171</v>
      </c>
      <c r="B5" s="110" t="s">
        <v>655</v>
      </c>
      <c r="C5" s="110" t="s">
        <v>656</v>
      </c>
      <c r="D5" s="193">
        <v>68.934444444444452</v>
      </c>
      <c r="E5" s="193">
        <v>-150.2727777777778</v>
      </c>
      <c r="F5" s="193" t="s">
        <v>650</v>
      </c>
      <c r="G5" s="193" t="s">
        <v>651</v>
      </c>
      <c r="H5" s="193" t="s">
        <v>650</v>
      </c>
      <c r="I5" s="193" t="s">
        <v>650</v>
      </c>
      <c r="J5" s="193" t="s">
        <v>657</v>
      </c>
      <c r="K5" s="193" t="s">
        <v>650</v>
      </c>
      <c r="L5" s="193" t="s">
        <v>658</v>
      </c>
      <c r="M5" s="199" t="str">
        <f t="shared" si="0"/>
        <v>View on Google Map</v>
      </c>
    </row>
    <row r="6" spans="1:14" x14ac:dyDescent="0.2">
      <c r="A6" s="193">
        <v>518</v>
      </c>
      <c r="B6" s="193" t="s">
        <v>659</v>
      </c>
      <c r="C6" s="193" t="s">
        <v>660</v>
      </c>
      <c r="D6" s="193">
        <v>68.900986000000003</v>
      </c>
      <c r="E6" s="193">
        <v>-151.308469</v>
      </c>
      <c r="F6" s="193">
        <v>350</v>
      </c>
      <c r="G6" s="193" t="s">
        <v>661</v>
      </c>
      <c r="H6" s="193" t="s">
        <v>650</v>
      </c>
      <c r="I6" s="193" t="s">
        <v>650</v>
      </c>
      <c r="J6" s="193" t="s">
        <v>662</v>
      </c>
      <c r="K6" s="193" t="s">
        <v>650</v>
      </c>
      <c r="L6" s="193" t="s">
        <v>663</v>
      </c>
      <c r="M6" s="199" t="str">
        <f t="shared" si="0"/>
        <v>View on Google Map</v>
      </c>
    </row>
    <row r="7" spans="1:14" x14ac:dyDescent="0.2">
      <c r="A7" s="193">
        <v>478</v>
      </c>
      <c r="B7" s="193" t="s">
        <v>664</v>
      </c>
      <c r="C7" s="193" t="s">
        <v>650</v>
      </c>
      <c r="D7" s="193">
        <v>68.510069999999999</v>
      </c>
      <c r="E7" s="193">
        <v>-149.62691000000001</v>
      </c>
      <c r="F7" s="193">
        <v>996</v>
      </c>
      <c r="G7" s="193" t="s">
        <v>661</v>
      </c>
      <c r="H7" s="193" t="s">
        <v>650</v>
      </c>
      <c r="I7" s="193" t="s">
        <v>650</v>
      </c>
      <c r="J7" s="193" t="s">
        <v>662</v>
      </c>
      <c r="K7" s="193" t="s">
        <v>650</v>
      </c>
      <c r="L7" s="193" t="s">
        <v>650</v>
      </c>
      <c r="M7" s="199" t="str">
        <f t="shared" si="0"/>
        <v>View on Google Map</v>
      </c>
    </row>
    <row r="8" spans="1:14" x14ac:dyDescent="0.2">
      <c r="A8" s="193">
        <v>479</v>
      </c>
      <c r="B8" s="193" t="s">
        <v>665</v>
      </c>
      <c r="C8" s="193" t="s">
        <v>650</v>
      </c>
      <c r="D8" s="193">
        <v>68.505080000000007</v>
      </c>
      <c r="E8" s="193">
        <v>-149.62766999999999</v>
      </c>
      <c r="F8" s="193">
        <v>986</v>
      </c>
      <c r="G8" s="193" t="s">
        <v>661</v>
      </c>
      <c r="H8" s="193" t="s">
        <v>650</v>
      </c>
      <c r="I8" s="193" t="s">
        <v>650</v>
      </c>
      <c r="J8" s="193" t="s">
        <v>662</v>
      </c>
      <c r="K8" s="193" t="s">
        <v>650</v>
      </c>
      <c r="L8" s="193" t="s">
        <v>650</v>
      </c>
      <c r="M8" s="199" t="str">
        <f t="shared" si="0"/>
        <v>View on Google Map</v>
      </c>
    </row>
    <row r="9" spans="1:14" x14ac:dyDescent="0.2">
      <c r="A9" s="193">
        <v>480</v>
      </c>
      <c r="B9" s="193" t="s">
        <v>666</v>
      </c>
      <c r="C9" s="193" t="s">
        <v>650</v>
      </c>
      <c r="D9" s="193">
        <v>68.502449999999996</v>
      </c>
      <c r="E9" s="193">
        <v>-149.63137</v>
      </c>
      <c r="F9" s="193">
        <v>982</v>
      </c>
      <c r="G9" s="193" t="s">
        <v>661</v>
      </c>
      <c r="H9" s="193" t="s">
        <v>650</v>
      </c>
      <c r="I9" s="193" t="s">
        <v>650</v>
      </c>
      <c r="J9" s="193" t="s">
        <v>662</v>
      </c>
      <c r="K9" s="193" t="s">
        <v>650</v>
      </c>
      <c r="L9" s="193" t="s">
        <v>650</v>
      </c>
      <c r="M9" s="199" t="str">
        <f t="shared" si="0"/>
        <v>View on Google Map</v>
      </c>
    </row>
    <row r="10" spans="1:14" x14ac:dyDescent="0.2">
      <c r="B10" s="193" t="s">
        <v>667</v>
      </c>
      <c r="C10" s="193" t="s">
        <v>668</v>
      </c>
      <c r="D10" s="193">
        <v>69.375833333333333</v>
      </c>
      <c r="E10" s="193">
        <v>-150.68138888888899</v>
      </c>
      <c r="G10" s="193" t="s">
        <v>669</v>
      </c>
      <c r="J10" s="193" t="s">
        <v>657</v>
      </c>
      <c r="L10" s="193" t="s">
        <v>658</v>
      </c>
      <c r="M10" s="199" t="str">
        <f t="shared" si="0"/>
        <v>View on Google Map</v>
      </c>
    </row>
    <row r="11" spans="1:14" x14ac:dyDescent="0.2">
      <c r="B11" s="193" t="s">
        <v>670</v>
      </c>
      <c r="C11" s="193" t="s">
        <v>668</v>
      </c>
      <c r="D11" s="193">
        <v>69.322777777777773</v>
      </c>
      <c r="E11" s="193">
        <v>-150.95055555555601</v>
      </c>
      <c r="G11" s="193" t="s">
        <v>669</v>
      </c>
      <c r="J11" s="193" t="s">
        <v>657</v>
      </c>
      <c r="L11" s="193" t="s">
        <v>658</v>
      </c>
      <c r="M11" s="199" t="str">
        <f t="shared" si="0"/>
        <v>View on Google Map</v>
      </c>
    </row>
    <row r="12" spans="1:14" x14ac:dyDescent="0.2">
      <c r="B12" s="193" t="s">
        <v>671</v>
      </c>
      <c r="C12" s="193" t="s">
        <v>668</v>
      </c>
      <c r="D12" s="193">
        <v>69.328055555555565</v>
      </c>
      <c r="E12" s="193">
        <v>-150.238055555556</v>
      </c>
      <c r="G12" s="193" t="s">
        <v>669</v>
      </c>
      <c r="J12" s="193" t="s">
        <v>657</v>
      </c>
      <c r="L12" s="193" t="s">
        <v>658</v>
      </c>
      <c r="M12" s="199" t="str">
        <f t="shared" si="0"/>
        <v>View on Google Map</v>
      </c>
    </row>
    <row r="13" spans="1:14" x14ac:dyDescent="0.2">
      <c r="B13" s="193" t="s">
        <v>672</v>
      </c>
      <c r="C13" s="193" t="s">
        <v>668</v>
      </c>
      <c r="D13" s="193">
        <v>69.30361111111111</v>
      </c>
      <c r="E13" s="193">
        <v>-149.56083333333299</v>
      </c>
      <c r="G13" s="193" t="s">
        <v>669</v>
      </c>
      <c r="J13" s="193" t="s">
        <v>657</v>
      </c>
      <c r="L13" s="193" t="s">
        <v>658</v>
      </c>
      <c r="M13" s="199" t="str">
        <f t="shared" si="0"/>
        <v>View on Google Map</v>
      </c>
    </row>
    <row r="14" spans="1:14" x14ac:dyDescent="0.2">
      <c r="A14" s="193">
        <v>7</v>
      </c>
      <c r="B14" s="193" t="s">
        <v>673</v>
      </c>
      <c r="C14" s="193" t="s">
        <v>674</v>
      </c>
      <c r="D14" s="193">
        <v>68.95</v>
      </c>
      <c r="E14" s="193">
        <v>-148.86666666666667</v>
      </c>
      <c r="F14" s="193">
        <v>360</v>
      </c>
      <c r="G14" s="193" t="s">
        <v>675</v>
      </c>
      <c r="H14" s="193" t="s">
        <v>650</v>
      </c>
      <c r="I14" s="193" t="s">
        <v>650</v>
      </c>
      <c r="J14" s="193" t="s">
        <v>676</v>
      </c>
      <c r="K14" s="193" t="s">
        <v>650</v>
      </c>
      <c r="L14" s="193" t="s">
        <v>677</v>
      </c>
      <c r="M14" s="199" t="str">
        <f t="shared" si="0"/>
        <v>View on Google Map</v>
      </c>
    </row>
    <row r="15" spans="1:14" x14ac:dyDescent="0.2">
      <c r="A15" s="193">
        <v>517</v>
      </c>
      <c r="B15" s="193" t="s">
        <v>678</v>
      </c>
      <c r="C15" s="193" t="s">
        <v>660</v>
      </c>
      <c r="D15" s="193">
        <v>68.467832999999999</v>
      </c>
      <c r="E15" s="193">
        <v>-151.47916699999999</v>
      </c>
      <c r="F15" s="193">
        <v>732</v>
      </c>
      <c r="G15" s="193" t="s">
        <v>661</v>
      </c>
      <c r="H15" s="193" t="s">
        <v>650</v>
      </c>
      <c r="I15" s="193" t="s">
        <v>650</v>
      </c>
      <c r="J15" s="193" t="s">
        <v>662</v>
      </c>
      <c r="K15" s="193" t="s">
        <v>650</v>
      </c>
      <c r="L15" s="193" t="s">
        <v>663</v>
      </c>
      <c r="M15" s="199" t="str">
        <f t="shared" si="0"/>
        <v>View on Google Map</v>
      </c>
    </row>
    <row r="16" spans="1:14" x14ac:dyDescent="0.2">
      <c r="A16" s="193">
        <v>516</v>
      </c>
      <c r="B16" s="193" t="s">
        <v>679</v>
      </c>
      <c r="C16" s="193" t="s">
        <v>660</v>
      </c>
      <c r="D16" s="193">
        <v>68.467500000000001</v>
      </c>
      <c r="E16" s="193">
        <v>-151.49433300000001</v>
      </c>
      <c r="F16" s="193">
        <v>769</v>
      </c>
      <c r="G16" s="193" t="s">
        <v>661</v>
      </c>
      <c r="H16" s="193" t="s">
        <v>650</v>
      </c>
      <c r="I16" s="193" t="s">
        <v>650</v>
      </c>
      <c r="J16" s="193" t="s">
        <v>662</v>
      </c>
      <c r="K16" s="193" t="s">
        <v>650</v>
      </c>
      <c r="L16" s="193" t="s">
        <v>663</v>
      </c>
      <c r="M16" s="199" t="str">
        <f t="shared" si="0"/>
        <v>View on Google Map</v>
      </c>
    </row>
    <row r="17" spans="1:13" x14ac:dyDescent="0.2">
      <c r="A17" s="193">
        <v>515</v>
      </c>
      <c r="B17" s="193" t="s">
        <v>680</v>
      </c>
      <c r="C17" s="193" t="s">
        <v>660</v>
      </c>
      <c r="D17" s="193">
        <v>68.463999999999999</v>
      </c>
      <c r="E17" s="193">
        <v>-151.51516699999999</v>
      </c>
      <c r="F17" s="193">
        <v>809</v>
      </c>
      <c r="G17" s="193" t="s">
        <v>661</v>
      </c>
      <c r="H17" s="193" t="s">
        <v>650</v>
      </c>
      <c r="I17" s="193" t="s">
        <v>650</v>
      </c>
      <c r="J17" s="193" t="s">
        <v>662</v>
      </c>
      <c r="K17" s="193" t="s">
        <v>650</v>
      </c>
      <c r="L17" s="193" t="s">
        <v>663</v>
      </c>
      <c r="M17" s="199" t="str">
        <f t="shared" si="0"/>
        <v>View on Google Map</v>
      </c>
    </row>
    <row r="18" spans="1:13" x14ac:dyDescent="0.2">
      <c r="A18" s="193">
        <v>1177</v>
      </c>
      <c r="B18" s="193" t="s">
        <v>681</v>
      </c>
      <c r="C18" s="193" t="s">
        <v>682</v>
      </c>
      <c r="D18" s="193">
        <v>68.99539</v>
      </c>
      <c r="E18" s="193">
        <v>-150.28278</v>
      </c>
      <c r="F18" s="193" t="s">
        <v>650</v>
      </c>
      <c r="G18" s="193" t="s">
        <v>651</v>
      </c>
      <c r="H18" s="193" t="s">
        <v>650</v>
      </c>
      <c r="I18" s="193" t="s">
        <v>650</v>
      </c>
      <c r="J18" s="193" t="s">
        <v>657</v>
      </c>
      <c r="K18" s="193" t="s">
        <v>650</v>
      </c>
      <c r="L18" s="193" t="s">
        <v>658</v>
      </c>
      <c r="M18" s="199" t="str">
        <f t="shared" si="0"/>
        <v>View on Google Map</v>
      </c>
    </row>
    <row r="19" spans="1:13" x14ac:dyDescent="0.2">
      <c r="A19" s="193">
        <v>1178</v>
      </c>
      <c r="B19" s="193" t="s">
        <v>683</v>
      </c>
      <c r="C19" s="193" t="s">
        <v>682</v>
      </c>
      <c r="D19" s="193">
        <v>68.996089999999995</v>
      </c>
      <c r="E19" s="193">
        <v>-150.29223999999999</v>
      </c>
      <c r="F19" s="193" t="s">
        <v>650</v>
      </c>
      <c r="G19" s="193" t="s">
        <v>651</v>
      </c>
      <c r="H19" s="193" t="s">
        <v>650</v>
      </c>
      <c r="I19" s="193" t="s">
        <v>650</v>
      </c>
      <c r="J19" s="193" t="s">
        <v>657</v>
      </c>
      <c r="K19" s="193" t="s">
        <v>650</v>
      </c>
      <c r="L19" s="193" t="s">
        <v>658</v>
      </c>
      <c r="M19" s="199" t="str">
        <f t="shared" si="0"/>
        <v>View on Google Map</v>
      </c>
    </row>
    <row r="20" spans="1:13" x14ac:dyDescent="0.2">
      <c r="A20" s="193">
        <v>1179</v>
      </c>
      <c r="B20" s="193" t="s">
        <v>684</v>
      </c>
      <c r="C20" s="193" t="s">
        <v>685</v>
      </c>
      <c r="D20" s="193">
        <v>68.953829999999996</v>
      </c>
      <c r="E20" s="193">
        <v>-150.20697000000001</v>
      </c>
      <c r="F20" s="193" t="s">
        <v>650</v>
      </c>
      <c r="G20" s="193" t="s">
        <v>651</v>
      </c>
      <c r="H20" s="193" t="s">
        <v>650</v>
      </c>
      <c r="I20" s="193" t="s">
        <v>650</v>
      </c>
      <c r="J20" s="193" t="s">
        <v>657</v>
      </c>
      <c r="K20" s="193" t="s">
        <v>650</v>
      </c>
      <c r="L20" s="193" t="s">
        <v>658</v>
      </c>
      <c r="M20" s="199" t="str">
        <f t="shared" si="0"/>
        <v>View on Google Map</v>
      </c>
    </row>
    <row r="21" spans="1:13" x14ac:dyDescent="0.2">
      <c r="A21" s="193">
        <v>1180</v>
      </c>
      <c r="B21" s="110" t="s">
        <v>686</v>
      </c>
      <c r="C21" s="193" t="s">
        <v>685</v>
      </c>
      <c r="D21" s="193">
        <v>68.951099999999997</v>
      </c>
      <c r="E21" s="193">
        <v>-150.20966000000001</v>
      </c>
      <c r="F21" s="193" t="s">
        <v>650</v>
      </c>
      <c r="G21" s="193" t="s">
        <v>651</v>
      </c>
      <c r="H21" s="193" t="s">
        <v>650</v>
      </c>
      <c r="I21" s="193" t="s">
        <v>650</v>
      </c>
      <c r="J21" s="193" t="s">
        <v>657</v>
      </c>
      <c r="K21" s="193" t="s">
        <v>650</v>
      </c>
      <c r="L21" s="193" t="s">
        <v>658</v>
      </c>
      <c r="M21" s="199" t="str">
        <f t="shared" si="0"/>
        <v>View on Google Map</v>
      </c>
    </row>
    <row r="22" spans="1:13" x14ac:dyDescent="0.2">
      <c r="A22" s="193">
        <v>1181</v>
      </c>
      <c r="B22" s="110" t="s">
        <v>687</v>
      </c>
      <c r="C22" s="193" t="s">
        <v>685</v>
      </c>
      <c r="D22" s="193">
        <v>68.950720000000004</v>
      </c>
      <c r="E22" s="193">
        <v>-150.19745</v>
      </c>
      <c r="F22" s="193" t="s">
        <v>650</v>
      </c>
      <c r="G22" s="193" t="s">
        <v>651</v>
      </c>
      <c r="H22" s="193" t="s">
        <v>650</v>
      </c>
      <c r="I22" s="193" t="s">
        <v>650</v>
      </c>
      <c r="J22" s="193" t="s">
        <v>657</v>
      </c>
      <c r="K22" s="193" t="s">
        <v>650</v>
      </c>
      <c r="L22" s="193" t="s">
        <v>658</v>
      </c>
      <c r="M22" s="199" t="str">
        <f t="shared" si="0"/>
        <v>View on Google Map</v>
      </c>
    </row>
    <row r="23" spans="1:13" x14ac:dyDescent="0.2">
      <c r="A23" s="193">
        <v>1182</v>
      </c>
      <c r="B23" s="110" t="s">
        <v>688</v>
      </c>
      <c r="C23" s="193" t="s">
        <v>685</v>
      </c>
      <c r="D23" s="193">
        <v>68.950149999999994</v>
      </c>
      <c r="E23" s="193">
        <v>-150.19701000000001</v>
      </c>
      <c r="F23" s="193" t="s">
        <v>650</v>
      </c>
      <c r="G23" s="193" t="s">
        <v>651</v>
      </c>
      <c r="H23" s="193" t="s">
        <v>650</v>
      </c>
      <c r="I23" s="193" t="s">
        <v>650</v>
      </c>
      <c r="J23" s="193" t="s">
        <v>657</v>
      </c>
      <c r="K23" s="193" t="s">
        <v>650</v>
      </c>
      <c r="L23" s="193" t="s">
        <v>658</v>
      </c>
      <c r="M23" s="199" t="str">
        <f t="shared" si="0"/>
        <v>View on Google Map</v>
      </c>
    </row>
    <row r="24" spans="1:13" x14ac:dyDescent="0.2">
      <c r="A24" s="193">
        <v>1183</v>
      </c>
      <c r="B24" s="110" t="s">
        <v>689</v>
      </c>
      <c r="C24" s="193" t="s">
        <v>685</v>
      </c>
      <c r="D24" s="193">
        <v>68.949629999999999</v>
      </c>
      <c r="E24" s="193">
        <v>-150.19672</v>
      </c>
      <c r="F24" s="193" t="s">
        <v>650</v>
      </c>
      <c r="G24" s="193" t="s">
        <v>651</v>
      </c>
      <c r="H24" s="193" t="s">
        <v>650</v>
      </c>
      <c r="I24" s="193" t="s">
        <v>650</v>
      </c>
      <c r="J24" s="193" t="s">
        <v>657</v>
      </c>
      <c r="K24" s="193" t="s">
        <v>650</v>
      </c>
      <c r="L24" s="193" t="s">
        <v>658</v>
      </c>
      <c r="M24" s="199" t="str">
        <f t="shared" si="0"/>
        <v>View on Google Map</v>
      </c>
    </row>
    <row r="25" spans="1:13" x14ac:dyDescent="0.2">
      <c r="A25" s="193">
        <v>1184</v>
      </c>
      <c r="B25" s="110" t="s">
        <v>690</v>
      </c>
      <c r="C25" s="193" t="s">
        <v>685</v>
      </c>
      <c r="D25" s="193">
        <v>68.952349999999996</v>
      </c>
      <c r="E25" s="193">
        <v>-150.20769999999999</v>
      </c>
      <c r="F25" s="193" t="s">
        <v>650</v>
      </c>
      <c r="G25" s="193" t="s">
        <v>651</v>
      </c>
      <c r="H25" s="193" t="s">
        <v>650</v>
      </c>
      <c r="I25" s="193" t="s">
        <v>650</v>
      </c>
      <c r="J25" s="193" t="s">
        <v>657</v>
      </c>
      <c r="K25" s="193" t="s">
        <v>650</v>
      </c>
      <c r="L25" s="193" t="s">
        <v>658</v>
      </c>
      <c r="M25" s="199" t="str">
        <f t="shared" si="0"/>
        <v>View on Google Map</v>
      </c>
    </row>
    <row r="26" spans="1:13" x14ac:dyDescent="0.2">
      <c r="A26" s="193">
        <v>1185</v>
      </c>
      <c r="B26" s="110" t="s">
        <v>691</v>
      </c>
      <c r="C26" s="193" t="s">
        <v>685</v>
      </c>
      <c r="D26" s="193">
        <v>68.933340000000001</v>
      </c>
      <c r="E26" s="193">
        <v>-150.27288999999999</v>
      </c>
      <c r="F26" s="193" t="s">
        <v>650</v>
      </c>
      <c r="G26" s="193" t="s">
        <v>651</v>
      </c>
      <c r="H26" s="193" t="s">
        <v>650</v>
      </c>
      <c r="I26" s="193" t="s">
        <v>650</v>
      </c>
      <c r="J26" s="193" t="s">
        <v>657</v>
      </c>
      <c r="K26" s="193" t="s">
        <v>650</v>
      </c>
      <c r="L26" s="193" t="s">
        <v>658</v>
      </c>
      <c r="M26" s="199" t="str">
        <f t="shared" si="0"/>
        <v>View on Google Map</v>
      </c>
    </row>
    <row r="27" spans="1:13" x14ac:dyDescent="0.2">
      <c r="A27" s="193">
        <v>1186</v>
      </c>
      <c r="B27" s="193" t="s">
        <v>692</v>
      </c>
      <c r="C27" s="193" t="s">
        <v>685</v>
      </c>
      <c r="D27" s="193">
        <v>68.935190000000006</v>
      </c>
      <c r="E27" s="193">
        <v>-150.26884000000001</v>
      </c>
      <c r="F27" s="193" t="s">
        <v>650</v>
      </c>
      <c r="G27" s="193" t="s">
        <v>651</v>
      </c>
      <c r="H27" s="193" t="s">
        <v>650</v>
      </c>
      <c r="I27" s="193" t="s">
        <v>650</v>
      </c>
      <c r="J27" s="193" t="s">
        <v>657</v>
      </c>
      <c r="K27" s="193" t="s">
        <v>650</v>
      </c>
      <c r="L27" s="193" t="s">
        <v>658</v>
      </c>
      <c r="M27" s="199" t="str">
        <f t="shared" si="0"/>
        <v>View on Google Map</v>
      </c>
    </row>
    <row r="28" spans="1:13" x14ac:dyDescent="0.2">
      <c r="A28" s="193">
        <v>1187</v>
      </c>
      <c r="B28" s="110" t="s">
        <v>693</v>
      </c>
      <c r="C28" s="193" t="s">
        <v>685</v>
      </c>
      <c r="D28" s="193">
        <v>68.997339999999994</v>
      </c>
      <c r="E28" s="193">
        <v>-150.30745999999999</v>
      </c>
      <c r="F28" s="193" t="s">
        <v>650</v>
      </c>
      <c r="G28" s="193" t="s">
        <v>651</v>
      </c>
      <c r="H28" s="193" t="s">
        <v>650</v>
      </c>
      <c r="I28" s="193" t="s">
        <v>650</v>
      </c>
      <c r="J28" s="193" t="s">
        <v>657</v>
      </c>
      <c r="K28" s="193" t="s">
        <v>650</v>
      </c>
      <c r="L28" s="193" t="s">
        <v>658</v>
      </c>
      <c r="M28" s="199" t="str">
        <f t="shared" si="0"/>
        <v>View on Google Map</v>
      </c>
    </row>
    <row r="29" spans="1:13" x14ac:dyDescent="0.2">
      <c r="A29" s="193">
        <v>1188</v>
      </c>
      <c r="B29" s="110" t="s">
        <v>694</v>
      </c>
      <c r="C29" s="193" t="s">
        <v>685</v>
      </c>
      <c r="D29" s="193">
        <v>68.950779999999995</v>
      </c>
      <c r="E29" s="193">
        <v>-150.19788</v>
      </c>
      <c r="F29" s="193" t="s">
        <v>650</v>
      </c>
      <c r="G29" s="193" t="s">
        <v>651</v>
      </c>
      <c r="H29" s="193" t="s">
        <v>650</v>
      </c>
      <c r="I29" s="193" t="s">
        <v>650</v>
      </c>
      <c r="J29" s="193" t="s">
        <v>657</v>
      </c>
      <c r="K29" s="193" t="s">
        <v>650</v>
      </c>
      <c r="L29" s="193" t="s">
        <v>658</v>
      </c>
      <c r="M29" s="199" t="str">
        <f t="shared" si="0"/>
        <v>View on Google Map</v>
      </c>
    </row>
    <row r="30" spans="1:13" x14ac:dyDescent="0.2">
      <c r="A30" s="193">
        <v>1189</v>
      </c>
      <c r="B30" s="110" t="s">
        <v>695</v>
      </c>
      <c r="C30" s="193" t="s">
        <v>685</v>
      </c>
      <c r="D30" s="193">
        <v>68.954440000000005</v>
      </c>
      <c r="E30" s="193">
        <v>-150.20644999999999</v>
      </c>
      <c r="F30" s="193" t="s">
        <v>650</v>
      </c>
      <c r="G30" s="193" t="s">
        <v>651</v>
      </c>
      <c r="H30" s="193" t="s">
        <v>650</v>
      </c>
      <c r="I30" s="193" t="s">
        <v>650</v>
      </c>
      <c r="J30" s="193" t="s">
        <v>657</v>
      </c>
      <c r="K30" s="193" t="s">
        <v>650</v>
      </c>
      <c r="L30" s="193" t="s">
        <v>658</v>
      </c>
      <c r="M30" s="199" t="str">
        <f t="shared" si="0"/>
        <v>View on Google Map</v>
      </c>
    </row>
    <row r="31" spans="1:13" x14ac:dyDescent="0.2">
      <c r="A31" s="193">
        <v>1190</v>
      </c>
      <c r="B31" s="110" t="s">
        <v>696</v>
      </c>
      <c r="C31" s="193" t="s">
        <v>685</v>
      </c>
      <c r="D31" s="193">
        <v>69.116330000000005</v>
      </c>
      <c r="E31" s="193">
        <v>-150.79077000000001</v>
      </c>
      <c r="F31" s="193" t="s">
        <v>650</v>
      </c>
      <c r="G31" s="193" t="s">
        <v>651</v>
      </c>
      <c r="H31" s="193" t="s">
        <v>650</v>
      </c>
      <c r="I31" s="193" t="s">
        <v>650</v>
      </c>
      <c r="J31" s="193" t="s">
        <v>657</v>
      </c>
      <c r="K31" s="193" t="s">
        <v>650</v>
      </c>
      <c r="L31" s="193" t="s">
        <v>658</v>
      </c>
      <c r="M31" s="199" t="str">
        <f t="shared" si="0"/>
        <v>View on Google Map</v>
      </c>
    </row>
    <row r="32" spans="1:13" x14ac:dyDescent="0.2">
      <c r="A32" s="193">
        <v>1191</v>
      </c>
      <c r="B32" s="110" t="s">
        <v>697</v>
      </c>
      <c r="C32" s="193" t="s">
        <v>685</v>
      </c>
      <c r="D32" s="193">
        <v>69.116150000000005</v>
      </c>
      <c r="E32" s="193">
        <v>-150.79553999999999</v>
      </c>
      <c r="F32" s="193" t="s">
        <v>650</v>
      </c>
      <c r="G32" s="193" t="s">
        <v>651</v>
      </c>
      <c r="H32" s="193" t="s">
        <v>650</v>
      </c>
      <c r="I32" s="193" t="s">
        <v>650</v>
      </c>
      <c r="J32" s="193" t="s">
        <v>657</v>
      </c>
      <c r="K32" s="193" t="s">
        <v>650</v>
      </c>
      <c r="L32" s="193" t="s">
        <v>658</v>
      </c>
      <c r="M32" s="199" t="str">
        <f t="shared" si="0"/>
        <v>View on Google Map</v>
      </c>
    </row>
    <row r="33" spans="1:14" x14ac:dyDescent="0.2">
      <c r="A33" s="193">
        <v>3</v>
      </c>
      <c r="B33" s="193" t="s">
        <v>698</v>
      </c>
      <c r="C33" s="193" t="s">
        <v>699</v>
      </c>
      <c r="D33" s="193">
        <v>68.266666666666666</v>
      </c>
      <c r="E33" s="193">
        <v>-149.44999999999999</v>
      </c>
      <c r="F33" s="193">
        <v>914</v>
      </c>
      <c r="G33" s="193" t="s">
        <v>675</v>
      </c>
      <c r="H33" s="193" t="s">
        <v>650</v>
      </c>
      <c r="I33" s="193" t="s">
        <v>650</v>
      </c>
      <c r="J33" s="193" t="s">
        <v>676</v>
      </c>
      <c r="K33" s="193" t="s">
        <v>650</v>
      </c>
      <c r="L33" s="193" t="s">
        <v>677</v>
      </c>
      <c r="M33" s="199" t="str">
        <f t="shared" si="0"/>
        <v>View on Google Map</v>
      </c>
    </row>
    <row r="34" spans="1:14" x14ac:dyDescent="0.2">
      <c r="A34" s="193">
        <v>2</v>
      </c>
      <c r="B34" s="193" t="s">
        <v>700</v>
      </c>
      <c r="C34" s="193" t="s">
        <v>701</v>
      </c>
      <c r="D34" s="193">
        <v>68.266666666666666</v>
      </c>
      <c r="E34" s="193">
        <v>-149.46666666666667</v>
      </c>
      <c r="F34" s="193">
        <v>914</v>
      </c>
      <c r="G34" s="193" t="s">
        <v>675</v>
      </c>
      <c r="H34" s="193" t="s">
        <v>650</v>
      </c>
      <c r="I34" s="193" t="s">
        <v>650</v>
      </c>
      <c r="J34" s="193" t="s">
        <v>676</v>
      </c>
      <c r="K34" s="193" t="s">
        <v>650</v>
      </c>
      <c r="L34" s="193" t="s">
        <v>677</v>
      </c>
      <c r="M34" s="199" t="str">
        <f t="shared" si="0"/>
        <v>View on Google Map</v>
      </c>
    </row>
    <row r="35" spans="1:14" x14ac:dyDescent="0.2">
      <c r="A35" s="193">
        <v>25</v>
      </c>
      <c r="B35" s="193" t="s">
        <v>702</v>
      </c>
      <c r="C35" s="193" t="s">
        <v>650</v>
      </c>
      <c r="D35" s="193" t="s">
        <v>650</v>
      </c>
      <c r="E35" s="193" t="s">
        <v>650</v>
      </c>
      <c r="F35" s="193">
        <v>1097</v>
      </c>
      <c r="G35" s="193" t="s">
        <v>675</v>
      </c>
      <c r="H35" s="193" t="s">
        <v>703</v>
      </c>
      <c r="I35" s="193" t="s">
        <v>650</v>
      </c>
      <c r="J35" s="193" t="s">
        <v>676</v>
      </c>
      <c r="K35" s="193" t="s">
        <v>650</v>
      </c>
      <c r="L35" s="193" t="s">
        <v>650</v>
      </c>
      <c r="M35" s="199" t="str">
        <f t="shared" si="0"/>
        <v>View on Google Map</v>
      </c>
    </row>
    <row r="36" spans="1:14" x14ac:dyDescent="0.2">
      <c r="A36" s="193">
        <v>26</v>
      </c>
      <c r="B36" s="193" t="s">
        <v>704</v>
      </c>
      <c r="C36" s="193" t="s">
        <v>650</v>
      </c>
      <c r="D36" s="193" t="s">
        <v>650</v>
      </c>
      <c r="E36" s="193" t="s">
        <v>650</v>
      </c>
      <c r="F36" s="193">
        <v>1280</v>
      </c>
      <c r="G36" s="193" t="s">
        <v>675</v>
      </c>
      <c r="H36" s="193" t="s">
        <v>705</v>
      </c>
      <c r="I36" s="193" t="s">
        <v>650</v>
      </c>
      <c r="J36" s="193" t="s">
        <v>676</v>
      </c>
      <c r="K36" s="193" t="s">
        <v>650</v>
      </c>
      <c r="L36" s="193" t="s">
        <v>650</v>
      </c>
      <c r="M36" s="199" t="str">
        <f t="shared" si="0"/>
        <v>View on Google Map</v>
      </c>
    </row>
    <row r="37" spans="1:14" x14ac:dyDescent="0.2">
      <c r="A37" s="193">
        <v>27</v>
      </c>
      <c r="B37" s="193" t="s">
        <v>706</v>
      </c>
      <c r="C37" s="193" t="s">
        <v>650</v>
      </c>
      <c r="D37" s="193" t="s">
        <v>650</v>
      </c>
      <c r="E37" s="193" t="s">
        <v>650</v>
      </c>
      <c r="F37" s="193">
        <v>1555</v>
      </c>
      <c r="G37" s="193" t="s">
        <v>675</v>
      </c>
      <c r="H37" s="193" t="s">
        <v>707</v>
      </c>
      <c r="I37" s="193" t="s">
        <v>650</v>
      </c>
      <c r="J37" s="193" t="s">
        <v>676</v>
      </c>
      <c r="K37" s="193" t="s">
        <v>650</v>
      </c>
      <c r="L37" s="193" t="s">
        <v>650</v>
      </c>
      <c r="M37" s="199" t="str">
        <f t="shared" si="0"/>
        <v>View on Google Map</v>
      </c>
    </row>
    <row r="38" spans="1:14" ht="12.75" customHeight="1" x14ac:dyDescent="0.2">
      <c r="A38" s="193">
        <v>138</v>
      </c>
      <c r="B38" s="193" t="s">
        <v>708</v>
      </c>
      <c r="C38" s="193" t="s">
        <v>650</v>
      </c>
      <c r="D38" s="193">
        <v>70.283333333333331</v>
      </c>
      <c r="E38" s="193">
        <v>-148.30000000000001</v>
      </c>
      <c r="F38" s="193">
        <v>6</v>
      </c>
      <c r="G38" s="193" t="s">
        <v>661</v>
      </c>
      <c r="H38" s="193" t="s">
        <v>709</v>
      </c>
      <c r="I38" s="193" t="s">
        <v>650</v>
      </c>
      <c r="J38" s="193" t="s">
        <v>676</v>
      </c>
      <c r="K38" s="193" t="s">
        <v>650</v>
      </c>
      <c r="L38" s="193" t="s">
        <v>677</v>
      </c>
      <c r="M38" s="199" t="str">
        <f t="shared" si="0"/>
        <v>View on Google Map</v>
      </c>
    </row>
    <row r="39" spans="1:14" ht="12.75" customHeight="1" x14ac:dyDescent="0.2">
      <c r="A39" s="193">
        <v>31</v>
      </c>
      <c r="B39" s="193" t="s">
        <v>710</v>
      </c>
      <c r="C39" s="193" t="s">
        <v>650</v>
      </c>
      <c r="D39" s="193">
        <v>68.957566666999995</v>
      </c>
      <c r="E39" s="193">
        <v>-150.236266667</v>
      </c>
      <c r="F39" s="193">
        <v>386.18</v>
      </c>
      <c r="G39" s="193" t="s">
        <v>675</v>
      </c>
      <c r="H39" s="193" t="s">
        <v>650</v>
      </c>
      <c r="I39" s="193" t="s">
        <v>650</v>
      </c>
      <c r="J39" s="193" t="s">
        <v>711</v>
      </c>
      <c r="K39" s="193" t="s">
        <v>650</v>
      </c>
      <c r="L39" s="193" t="s">
        <v>658</v>
      </c>
      <c r="M39" s="199" t="str">
        <f t="shared" si="0"/>
        <v>View on Google Map</v>
      </c>
    </row>
    <row r="40" spans="1:14" ht="12.75" customHeight="1" x14ac:dyDescent="0.2">
      <c r="A40" s="193">
        <v>131</v>
      </c>
      <c r="B40" s="193" t="s">
        <v>712</v>
      </c>
      <c r="C40" s="193" t="s">
        <v>650</v>
      </c>
      <c r="D40" s="193">
        <v>70.333333333333329</v>
      </c>
      <c r="E40" s="193">
        <v>-148.93333333333334</v>
      </c>
      <c r="F40" s="193">
        <v>3</v>
      </c>
      <c r="G40" s="193" t="s">
        <v>661</v>
      </c>
      <c r="H40" s="193" t="s">
        <v>713</v>
      </c>
      <c r="I40" s="193" t="s">
        <v>650</v>
      </c>
      <c r="J40" s="193" t="s">
        <v>676</v>
      </c>
      <c r="K40" s="193" t="s">
        <v>650</v>
      </c>
      <c r="L40" s="193" t="s">
        <v>677</v>
      </c>
      <c r="M40" s="199" t="str">
        <f t="shared" si="0"/>
        <v>View on Google Map</v>
      </c>
    </row>
    <row r="41" spans="1:14" s="200" customFormat="1" ht="12.75" customHeight="1" x14ac:dyDescent="0.2">
      <c r="A41" s="193">
        <v>132</v>
      </c>
      <c r="B41" s="193" t="s">
        <v>714</v>
      </c>
      <c r="C41" s="193" t="s">
        <v>650</v>
      </c>
      <c r="D41" s="193">
        <v>70.333333333333329</v>
      </c>
      <c r="E41" s="193">
        <v>-148.93333333333334</v>
      </c>
      <c r="F41" s="193">
        <v>3</v>
      </c>
      <c r="G41" s="193" t="s">
        <v>661</v>
      </c>
      <c r="H41" s="193" t="s">
        <v>715</v>
      </c>
      <c r="I41" s="193" t="s">
        <v>650</v>
      </c>
      <c r="J41" s="193" t="s">
        <v>676</v>
      </c>
      <c r="K41" s="193" t="s">
        <v>650</v>
      </c>
      <c r="L41" s="193" t="s">
        <v>677</v>
      </c>
      <c r="M41" s="199" t="str">
        <f t="shared" si="0"/>
        <v>View on Google Map</v>
      </c>
      <c r="N41" s="193"/>
    </row>
    <row r="42" spans="1:14" ht="12.75" customHeight="1" x14ac:dyDescent="0.2">
      <c r="A42" s="193">
        <v>141</v>
      </c>
      <c r="B42" s="193" t="s">
        <v>716</v>
      </c>
      <c r="C42" s="193" t="s">
        <v>717</v>
      </c>
      <c r="D42" s="193">
        <v>68.63333333333334</v>
      </c>
      <c r="E42" s="193">
        <v>-149.6</v>
      </c>
      <c r="F42" s="193">
        <v>720</v>
      </c>
      <c r="G42" s="193" t="s">
        <v>661</v>
      </c>
      <c r="H42" s="193" t="s">
        <v>718</v>
      </c>
      <c r="I42" s="193" t="s">
        <v>719</v>
      </c>
      <c r="J42" s="193" t="s">
        <v>676</v>
      </c>
      <c r="K42" s="193" t="s">
        <v>650</v>
      </c>
      <c r="L42" s="193" t="s">
        <v>677</v>
      </c>
      <c r="M42" s="199" t="str">
        <f t="shared" si="0"/>
        <v>View on Google Map</v>
      </c>
    </row>
    <row r="43" spans="1:14" ht="12.75" customHeight="1" x14ac:dyDescent="0.2">
      <c r="A43" s="193">
        <v>160</v>
      </c>
      <c r="B43" s="193" t="s">
        <v>720</v>
      </c>
      <c r="C43" s="193" t="s">
        <v>650</v>
      </c>
      <c r="D43" s="193">
        <v>68.599999999999994</v>
      </c>
      <c r="E43" s="193">
        <v>-149.18333333333334</v>
      </c>
      <c r="F43" s="193">
        <v>864</v>
      </c>
      <c r="G43" s="193" t="s">
        <v>661</v>
      </c>
      <c r="H43" s="193" t="s">
        <v>721</v>
      </c>
      <c r="I43" s="193" t="s">
        <v>722</v>
      </c>
      <c r="J43" s="193" t="s">
        <v>676</v>
      </c>
      <c r="K43" s="193">
        <v>246</v>
      </c>
      <c r="L43" s="193" t="s">
        <v>677</v>
      </c>
      <c r="M43" s="199" t="str">
        <f t="shared" si="0"/>
        <v>View on Google Map</v>
      </c>
    </row>
    <row r="44" spans="1:14" ht="12.75" customHeight="1" x14ac:dyDescent="0.2">
      <c r="A44" s="193">
        <v>481</v>
      </c>
      <c r="B44" s="193" t="s">
        <v>723</v>
      </c>
      <c r="C44" s="193" t="s">
        <v>650</v>
      </c>
      <c r="D44" s="193">
        <v>68.976716667000005</v>
      </c>
      <c r="E44" s="193">
        <v>-150.20383333300001</v>
      </c>
      <c r="F44" s="193">
        <v>362</v>
      </c>
      <c r="G44" s="193" t="s">
        <v>661</v>
      </c>
      <c r="H44" s="193" t="s">
        <v>650</v>
      </c>
      <c r="I44" s="193" t="s">
        <v>650</v>
      </c>
      <c r="J44" s="193" t="s">
        <v>711</v>
      </c>
      <c r="K44" s="193" t="s">
        <v>650</v>
      </c>
      <c r="L44" s="193" t="s">
        <v>658</v>
      </c>
      <c r="M44" s="199" t="str">
        <f t="shared" si="0"/>
        <v>View on Google Map</v>
      </c>
    </row>
    <row r="45" spans="1:14" x14ac:dyDescent="0.2">
      <c r="A45" s="193">
        <v>21</v>
      </c>
      <c r="B45" s="193" t="s">
        <v>724</v>
      </c>
      <c r="C45" s="193" t="s">
        <v>650</v>
      </c>
      <c r="D45" s="193" t="s">
        <v>650</v>
      </c>
      <c r="E45" s="193" t="s">
        <v>650</v>
      </c>
      <c r="F45" s="193" t="s">
        <v>650</v>
      </c>
      <c r="G45" s="193" t="s">
        <v>675</v>
      </c>
      <c r="H45" s="193" t="s">
        <v>650</v>
      </c>
      <c r="I45" s="193" t="s">
        <v>650</v>
      </c>
      <c r="J45" s="193" t="s">
        <v>676</v>
      </c>
      <c r="K45" s="193" t="s">
        <v>650</v>
      </c>
      <c r="L45" s="193" t="s">
        <v>650</v>
      </c>
      <c r="M45" s="199" t="str">
        <f t="shared" si="0"/>
        <v>View on Google Map</v>
      </c>
      <c r="N45" s="200"/>
    </row>
    <row r="46" spans="1:14" x14ac:dyDescent="0.2">
      <c r="A46" s="193">
        <v>470</v>
      </c>
      <c r="B46" s="193" t="s">
        <v>725</v>
      </c>
      <c r="C46" s="193" t="s">
        <v>650</v>
      </c>
      <c r="D46" s="193">
        <v>68.829459999999997</v>
      </c>
      <c r="E46" s="193">
        <v>-149.77891</v>
      </c>
      <c r="F46" s="193">
        <v>634</v>
      </c>
      <c r="G46" s="193" t="s">
        <v>661</v>
      </c>
      <c r="H46" s="193" t="s">
        <v>650</v>
      </c>
      <c r="I46" s="193" t="s">
        <v>650</v>
      </c>
      <c r="J46" s="193" t="s">
        <v>662</v>
      </c>
      <c r="K46" s="193" t="s">
        <v>650</v>
      </c>
      <c r="L46" s="193" t="s">
        <v>650</v>
      </c>
      <c r="M46" s="199" t="str">
        <f t="shared" si="0"/>
        <v>View on Google Map</v>
      </c>
    </row>
    <row r="47" spans="1:14" x14ac:dyDescent="0.2">
      <c r="A47" s="193">
        <v>471</v>
      </c>
      <c r="B47" s="193" t="s">
        <v>726</v>
      </c>
      <c r="C47" s="193" t="s">
        <v>650</v>
      </c>
      <c r="D47" s="193">
        <v>68.832939999999994</v>
      </c>
      <c r="E47" s="193">
        <v>-149.76775000000001</v>
      </c>
      <c r="F47" s="193">
        <v>624</v>
      </c>
      <c r="G47" s="193" t="s">
        <v>661</v>
      </c>
      <c r="H47" s="193" t="s">
        <v>650</v>
      </c>
      <c r="I47" s="193" t="s">
        <v>650</v>
      </c>
      <c r="J47" s="193" t="s">
        <v>662</v>
      </c>
      <c r="K47" s="193" t="s">
        <v>650</v>
      </c>
      <c r="L47" s="193" t="s">
        <v>650</v>
      </c>
      <c r="M47" s="199" t="str">
        <f t="shared" si="0"/>
        <v>View on Google Map</v>
      </c>
    </row>
    <row r="48" spans="1:14" x14ac:dyDescent="0.2">
      <c r="A48" s="193">
        <v>472</v>
      </c>
      <c r="B48" s="193" t="s">
        <v>727</v>
      </c>
      <c r="C48" s="193" t="s">
        <v>650</v>
      </c>
      <c r="D48" s="193">
        <v>68.828059999999994</v>
      </c>
      <c r="E48" s="193">
        <v>-149.76449</v>
      </c>
      <c r="F48" s="193">
        <v>624</v>
      </c>
      <c r="G48" s="193" t="s">
        <v>661</v>
      </c>
      <c r="H48" s="193" t="s">
        <v>650</v>
      </c>
      <c r="I48" s="193" t="s">
        <v>650</v>
      </c>
      <c r="J48" s="193" t="s">
        <v>662</v>
      </c>
      <c r="K48" s="193" t="s">
        <v>650</v>
      </c>
      <c r="L48" s="193" t="s">
        <v>650</v>
      </c>
      <c r="M48" s="199" t="str">
        <f t="shared" si="0"/>
        <v>View on Google Map</v>
      </c>
    </row>
    <row r="49" spans="1:13" x14ac:dyDescent="0.2">
      <c r="A49" s="193">
        <v>473</v>
      </c>
      <c r="B49" s="193" t="s">
        <v>728</v>
      </c>
      <c r="C49" s="193" t="s">
        <v>650</v>
      </c>
      <c r="D49" s="193">
        <v>68.826400000000007</v>
      </c>
      <c r="E49" s="193">
        <v>-149.7585</v>
      </c>
      <c r="F49" s="193">
        <v>592</v>
      </c>
      <c r="G49" s="193" t="s">
        <v>661</v>
      </c>
      <c r="H49" s="193" t="s">
        <v>650</v>
      </c>
      <c r="I49" s="193" t="s">
        <v>650</v>
      </c>
      <c r="J49" s="193" t="s">
        <v>662</v>
      </c>
      <c r="K49" s="193" t="s">
        <v>650</v>
      </c>
      <c r="L49" s="193" t="s">
        <v>650</v>
      </c>
      <c r="M49" s="199" t="str">
        <f t="shared" si="0"/>
        <v>View on Google Map</v>
      </c>
    </row>
    <row r="50" spans="1:13" x14ac:dyDescent="0.2">
      <c r="A50" s="193">
        <v>474</v>
      </c>
      <c r="B50" s="193" t="s">
        <v>729</v>
      </c>
      <c r="C50" s="193" t="s">
        <v>650</v>
      </c>
      <c r="D50" s="193">
        <v>68.827349999999996</v>
      </c>
      <c r="E50" s="193">
        <v>-149.74993000000001</v>
      </c>
      <c r="F50" s="193">
        <v>592</v>
      </c>
      <c r="G50" s="193" t="s">
        <v>661</v>
      </c>
      <c r="H50" s="193" t="s">
        <v>650</v>
      </c>
      <c r="I50" s="193" t="s">
        <v>650</v>
      </c>
      <c r="J50" s="193" t="s">
        <v>662</v>
      </c>
      <c r="K50" s="193" t="s">
        <v>650</v>
      </c>
      <c r="L50" s="193" t="s">
        <v>650</v>
      </c>
      <c r="M50" s="199" t="str">
        <f t="shared" si="0"/>
        <v>View on Google Map</v>
      </c>
    </row>
    <row r="51" spans="1:13" x14ac:dyDescent="0.2">
      <c r="A51" s="193">
        <v>475</v>
      </c>
      <c r="B51" s="193" t="s">
        <v>730</v>
      </c>
      <c r="C51" s="193" t="s">
        <v>650</v>
      </c>
      <c r="D51" s="193">
        <v>68.831180000000003</v>
      </c>
      <c r="E51" s="193">
        <v>-149.74606</v>
      </c>
      <c r="F51" s="193">
        <v>593</v>
      </c>
      <c r="G51" s="193" t="s">
        <v>661</v>
      </c>
      <c r="H51" s="193" t="s">
        <v>731</v>
      </c>
      <c r="I51" s="193" t="s">
        <v>650</v>
      </c>
      <c r="J51" s="193" t="s">
        <v>662</v>
      </c>
      <c r="K51" s="193" t="s">
        <v>650</v>
      </c>
      <c r="L51" s="193" t="s">
        <v>650</v>
      </c>
      <c r="M51" s="199" t="str">
        <f t="shared" si="0"/>
        <v>View on Google Map</v>
      </c>
    </row>
    <row r="52" spans="1:13" x14ac:dyDescent="0.2">
      <c r="A52" s="193">
        <v>476</v>
      </c>
      <c r="B52" s="193" t="s">
        <v>732</v>
      </c>
      <c r="C52" s="193" t="s">
        <v>650</v>
      </c>
      <c r="D52" s="193">
        <v>68.825339999999997</v>
      </c>
      <c r="E52" s="193">
        <v>-149.76837</v>
      </c>
      <c r="F52" s="193">
        <v>621</v>
      </c>
      <c r="G52" s="193" t="s">
        <v>661</v>
      </c>
      <c r="H52" s="193" t="s">
        <v>650</v>
      </c>
      <c r="I52" s="193" t="s">
        <v>650</v>
      </c>
      <c r="J52" s="193" t="s">
        <v>662</v>
      </c>
      <c r="K52" s="193" t="s">
        <v>650</v>
      </c>
      <c r="L52" s="193" t="s">
        <v>650</v>
      </c>
      <c r="M52" s="199" t="str">
        <f t="shared" si="0"/>
        <v>View on Google Map</v>
      </c>
    </row>
    <row r="53" spans="1:13" x14ac:dyDescent="0.2">
      <c r="A53" s="193">
        <v>477</v>
      </c>
      <c r="B53" s="193" t="s">
        <v>733</v>
      </c>
      <c r="C53" s="193" t="s">
        <v>650</v>
      </c>
      <c r="D53" s="193">
        <v>68.821740000000005</v>
      </c>
      <c r="E53" s="193">
        <v>-149.76378</v>
      </c>
      <c r="F53" s="193">
        <v>605</v>
      </c>
      <c r="G53" s="193" t="s">
        <v>661</v>
      </c>
      <c r="H53" s="193" t="s">
        <v>650</v>
      </c>
      <c r="I53" s="193" t="s">
        <v>650</v>
      </c>
      <c r="J53" s="193" t="s">
        <v>662</v>
      </c>
      <c r="K53" s="193" t="s">
        <v>650</v>
      </c>
      <c r="L53" s="193" t="s">
        <v>650</v>
      </c>
      <c r="M53" s="199" t="str">
        <f t="shared" si="0"/>
        <v>View on Google Map</v>
      </c>
    </row>
    <row r="54" spans="1:13" x14ac:dyDescent="0.2">
      <c r="A54" s="193">
        <v>1174</v>
      </c>
      <c r="B54" s="193" t="s">
        <v>734</v>
      </c>
      <c r="C54" s="193" t="s">
        <v>650</v>
      </c>
      <c r="D54" s="193">
        <v>68.933938330000004</v>
      </c>
      <c r="E54" s="193">
        <v>-150.27111830000001</v>
      </c>
      <c r="F54" s="193" t="s">
        <v>650</v>
      </c>
      <c r="G54" s="193" t="s">
        <v>651</v>
      </c>
      <c r="H54" s="193" t="s">
        <v>650</v>
      </c>
      <c r="I54" s="193" t="s">
        <v>650</v>
      </c>
      <c r="J54" s="193" t="s">
        <v>657</v>
      </c>
      <c r="K54" s="193" t="s">
        <v>650</v>
      </c>
      <c r="L54" s="193" t="s">
        <v>658</v>
      </c>
      <c r="M54" s="199" t="str">
        <f t="shared" si="0"/>
        <v>View on Google Map</v>
      </c>
    </row>
    <row r="55" spans="1:13" x14ac:dyDescent="0.2">
      <c r="A55" s="193">
        <v>242</v>
      </c>
      <c r="B55" s="193" t="s">
        <v>735</v>
      </c>
      <c r="C55" s="193" t="s">
        <v>650</v>
      </c>
      <c r="D55" s="193" t="s">
        <v>650</v>
      </c>
      <c r="E55" s="193" t="s">
        <v>650</v>
      </c>
      <c r="F55" s="193">
        <v>390.2439024390244</v>
      </c>
      <c r="G55" s="193" t="s">
        <v>661</v>
      </c>
      <c r="H55" s="193" t="s">
        <v>650</v>
      </c>
      <c r="I55" s="193" t="s">
        <v>650</v>
      </c>
      <c r="J55" s="193" t="s">
        <v>676</v>
      </c>
      <c r="K55" s="193" t="s">
        <v>650</v>
      </c>
      <c r="L55" s="193" t="s">
        <v>736</v>
      </c>
      <c r="M55" s="199" t="str">
        <f t="shared" si="0"/>
        <v>View on Google Map</v>
      </c>
    </row>
    <row r="56" spans="1:13" x14ac:dyDescent="0.2">
      <c r="A56" s="193">
        <v>192</v>
      </c>
      <c r="B56" s="193" t="s">
        <v>737</v>
      </c>
      <c r="C56" s="193" t="s">
        <v>650</v>
      </c>
      <c r="D56" s="193">
        <v>69.233333333333334</v>
      </c>
      <c r="E56" s="193">
        <v>-148.94999999999999</v>
      </c>
      <c r="F56" s="193">
        <v>325</v>
      </c>
      <c r="G56" s="193" t="s">
        <v>661</v>
      </c>
      <c r="H56" s="193" t="s">
        <v>738</v>
      </c>
      <c r="I56" s="193" t="s">
        <v>650</v>
      </c>
      <c r="J56" s="193" t="s">
        <v>676</v>
      </c>
      <c r="K56" s="193" t="s">
        <v>650</v>
      </c>
      <c r="L56" s="193" t="s">
        <v>739</v>
      </c>
      <c r="M56" s="199" t="str">
        <f t="shared" si="0"/>
        <v>View on Google Map</v>
      </c>
    </row>
    <row r="57" spans="1:13" x14ac:dyDescent="0.2">
      <c r="A57" s="193">
        <v>277</v>
      </c>
      <c r="B57" s="193" t="s">
        <v>737</v>
      </c>
      <c r="C57" s="193" t="s">
        <v>650</v>
      </c>
      <c r="D57" s="193">
        <v>70.374600000000001</v>
      </c>
      <c r="E57" s="193">
        <v>-149.06383333333332</v>
      </c>
      <c r="F57" s="193">
        <v>6</v>
      </c>
      <c r="G57" s="193" t="s">
        <v>661</v>
      </c>
      <c r="H57" s="193" t="s">
        <v>740</v>
      </c>
      <c r="I57" s="193" t="s">
        <v>650</v>
      </c>
      <c r="J57" s="193" t="s">
        <v>676</v>
      </c>
      <c r="K57" s="193" t="s">
        <v>650</v>
      </c>
      <c r="L57" s="193" t="s">
        <v>741</v>
      </c>
      <c r="M57" s="199" t="str">
        <f t="shared" si="0"/>
        <v>View on Google Map</v>
      </c>
    </row>
    <row r="58" spans="1:13" x14ac:dyDescent="0.2">
      <c r="A58" s="193">
        <v>193</v>
      </c>
      <c r="B58" s="193" t="s">
        <v>742</v>
      </c>
      <c r="C58" s="193" t="s">
        <v>650</v>
      </c>
      <c r="D58" s="193">
        <v>69.283333333333331</v>
      </c>
      <c r="E58" s="193">
        <v>-148.9</v>
      </c>
      <c r="F58" s="193">
        <v>346</v>
      </c>
      <c r="G58" s="193" t="s">
        <v>661</v>
      </c>
      <c r="H58" s="193" t="s">
        <v>743</v>
      </c>
      <c r="I58" s="193" t="s">
        <v>650</v>
      </c>
      <c r="J58" s="193" t="s">
        <v>676</v>
      </c>
      <c r="K58" s="193" t="s">
        <v>650</v>
      </c>
      <c r="L58" s="193" t="s">
        <v>739</v>
      </c>
      <c r="M58" s="199" t="str">
        <f t="shared" si="0"/>
        <v>View on Google Map</v>
      </c>
    </row>
    <row r="59" spans="1:13" x14ac:dyDescent="0.2">
      <c r="A59" s="193">
        <v>278</v>
      </c>
      <c r="B59" s="193" t="s">
        <v>742</v>
      </c>
      <c r="C59" s="193" t="s">
        <v>650</v>
      </c>
      <c r="D59" s="193">
        <v>70.374600000000001</v>
      </c>
      <c r="E59" s="193">
        <v>-149.06383333333332</v>
      </c>
      <c r="F59" s="193">
        <v>6</v>
      </c>
      <c r="G59" s="193" t="s">
        <v>661</v>
      </c>
      <c r="H59" s="193" t="s">
        <v>744</v>
      </c>
      <c r="I59" s="193" t="s">
        <v>650</v>
      </c>
      <c r="J59" s="193" t="s">
        <v>676</v>
      </c>
      <c r="K59" s="193" t="s">
        <v>650</v>
      </c>
      <c r="L59" s="193" t="s">
        <v>741</v>
      </c>
      <c r="M59" s="199" t="str">
        <f t="shared" si="0"/>
        <v>View on Google Map</v>
      </c>
    </row>
    <row r="60" spans="1:13" x14ac:dyDescent="0.2">
      <c r="A60" s="193">
        <v>194</v>
      </c>
      <c r="B60" s="193" t="s">
        <v>745</v>
      </c>
      <c r="C60" s="193" t="s">
        <v>650</v>
      </c>
      <c r="D60" s="193">
        <v>69.716666666666669</v>
      </c>
      <c r="E60" s="193">
        <v>-149.44999999999999</v>
      </c>
      <c r="F60" s="193">
        <v>91</v>
      </c>
      <c r="G60" s="193" t="s">
        <v>661</v>
      </c>
      <c r="H60" s="193" t="s">
        <v>746</v>
      </c>
      <c r="I60" s="193" t="s">
        <v>650</v>
      </c>
      <c r="J60" s="193" t="s">
        <v>676</v>
      </c>
      <c r="K60" s="193" t="s">
        <v>650</v>
      </c>
      <c r="L60" s="193" t="s">
        <v>739</v>
      </c>
      <c r="M60" s="199" t="str">
        <f t="shared" si="0"/>
        <v>View on Google Map</v>
      </c>
    </row>
    <row r="61" spans="1:13" x14ac:dyDescent="0.2">
      <c r="A61" s="193">
        <v>279</v>
      </c>
      <c r="B61" s="193" t="s">
        <v>745</v>
      </c>
      <c r="C61" s="193" t="s">
        <v>650</v>
      </c>
      <c r="D61" s="193">
        <v>70.367750000000001</v>
      </c>
      <c r="E61" s="193">
        <v>-148.8357</v>
      </c>
      <c r="F61" s="193">
        <v>6</v>
      </c>
      <c r="G61" s="193" t="s">
        <v>661</v>
      </c>
      <c r="H61" s="193" t="s">
        <v>747</v>
      </c>
      <c r="I61" s="193" t="s">
        <v>650</v>
      </c>
      <c r="J61" s="193" t="s">
        <v>676</v>
      </c>
      <c r="K61" s="193" t="s">
        <v>650</v>
      </c>
      <c r="L61" s="193" t="s">
        <v>741</v>
      </c>
      <c r="M61" s="199" t="str">
        <f t="shared" si="0"/>
        <v>View on Google Map</v>
      </c>
    </row>
    <row r="62" spans="1:13" x14ac:dyDescent="0.2">
      <c r="A62" s="193">
        <v>195</v>
      </c>
      <c r="B62" s="193" t="s">
        <v>748</v>
      </c>
      <c r="C62" s="193" t="s">
        <v>650</v>
      </c>
      <c r="D62" s="193">
        <v>69.716666666666669</v>
      </c>
      <c r="E62" s="193">
        <v>-149.44999999999999</v>
      </c>
      <c r="F62" s="193">
        <v>91</v>
      </c>
      <c r="G62" s="193" t="s">
        <v>661</v>
      </c>
      <c r="H62" s="193" t="s">
        <v>749</v>
      </c>
      <c r="I62" s="193" t="s">
        <v>650</v>
      </c>
      <c r="J62" s="193" t="s">
        <v>676</v>
      </c>
      <c r="K62" s="193" t="s">
        <v>650</v>
      </c>
      <c r="L62" s="193" t="s">
        <v>739</v>
      </c>
      <c r="M62" s="199" t="str">
        <f t="shared" si="0"/>
        <v>View on Google Map</v>
      </c>
    </row>
    <row r="63" spans="1:13" x14ac:dyDescent="0.2">
      <c r="A63" s="193">
        <v>280</v>
      </c>
      <c r="B63" s="193" t="s">
        <v>748</v>
      </c>
      <c r="C63" s="193" t="s">
        <v>650</v>
      </c>
      <c r="D63" s="193">
        <v>70.367750000000001</v>
      </c>
      <c r="E63" s="193">
        <v>-148.8357</v>
      </c>
      <c r="F63" s="193">
        <v>6</v>
      </c>
      <c r="G63" s="193" t="s">
        <v>661</v>
      </c>
      <c r="H63" s="193" t="s">
        <v>750</v>
      </c>
      <c r="I63" s="193" t="s">
        <v>650</v>
      </c>
      <c r="J63" s="193" t="s">
        <v>676</v>
      </c>
      <c r="K63" s="193" t="s">
        <v>650</v>
      </c>
      <c r="L63" s="193" t="s">
        <v>741</v>
      </c>
      <c r="M63" s="199" t="str">
        <f t="shared" si="0"/>
        <v>View on Google Map</v>
      </c>
    </row>
    <row r="64" spans="1:13" x14ac:dyDescent="0.2">
      <c r="A64" s="193">
        <v>196</v>
      </c>
      <c r="B64" s="193" t="s">
        <v>751</v>
      </c>
      <c r="C64" s="193" t="s">
        <v>650</v>
      </c>
      <c r="D64" s="193">
        <v>69.833333333333329</v>
      </c>
      <c r="E64" s="193">
        <v>-149.75</v>
      </c>
      <c r="F64" s="193">
        <v>80</v>
      </c>
      <c r="G64" s="193" t="s">
        <v>661</v>
      </c>
      <c r="H64" s="193" t="s">
        <v>752</v>
      </c>
      <c r="I64" s="193" t="s">
        <v>650</v>
      </c>
      <c r="J64" s="193" t="s">
        <v>676</v>
      </c>
      <c r="K64" s="193" t="s">
        <v>650</v>
      </c>
      <c r="L64" s="193" t="s">
        <v>739</v>
      </c>
      <c r="M64" s="199" t="str">
        <f t="shared" si="0"/>
        <v>View on Google Map</v>
      </c>
    </row>
    <row r="65" spans="1:13" x14ac:dyDescent="0.2">
      <c r="A65" s="193">
        <v>281</v>
      </c>
      <c r="B65" s="193" t="s">
        <v>751</v>
      </c>
      <c r="C65" s="193" t="s">
        <v>650</v>
      </c>
      <c r="D65" s="193">
        <v>70.26821666666666</v>
      </c>
      <c r="E65" s="193">
        <v>-149.20859999999999</v>
      </c>
      <c r="F65" s="193">
        <v>15</v>
      </c>
      <c r="G65" s="193" t="s">
        <v>661</v>
      </c>
      <c r="H65" s="193" t="s">
        <v>753</v>
      </c>
      <c r="I65" s="193" t="s">
        <v>650</v>
      </c>
      <c r="J65" s="193" t="s">
        <v>676</v>
      </c>
      <c r="K65" s="193" t="s">
        <v>650</v>
      </c>
      <c r="L65" s="193" t="s">
        <v>741</v>
      </c>
      <c r="M65" s="199" t="str">
        <f t="shared" si="0"/>
        <v>View on Google Map</v>
      </c>
    </row>
    <row r="66" spans="1:13" x14ac:dyDescent="0.2">
      <c r="A66" s="193">
        <v>197</v>
      </c>
      <c r="B66" s="193" t="s">
        <v>754</v>
      </c>
      <c r="C66" s="193" t="s">
        <v>650</v>
      </c>
      <c r="D66" s="193">
        <v>70.283333333333331</v>
      </c>
      <c r="E66" s="193">
        <v>-150.19999999999999</v>
      </c>
      <c r="F66" s="193">
        <v>12</v>
      </c>
      <c r="G66" s="193" t="s">
        <v>661</v>
      </c>
      <c r="H66" s="193" t="s">
        <v>755</v>
      </c>
      <c r="I66" s="193" t="s">
        <v>650</v>
      </c>
      <c r="J66" s="193" t="s">
        <v>676</v>
      </c>
      <c r="K66" s="193" t="s">
        <v>650</v>
      </c>
      <c r="L66" s="193" t="s">
        <v>739</v>
      </c>
      <c r="M66" s="199" t="str">
        <f t="shared" si="0"/>
        <v>View on Google Map</v>
      </c>
    </row>
    <row r="67" spans="1:13" x14ac:dyDescent="0.2">
      <c r="A67" s="193">
        <v>282</v>
      </c>
      <c r="B67" s="193" t="s">
        <v>754</v>
      </c>
      <c r="C67" s="193" t="s">
        <v>650</v>
      </c>
      <c r="D67" s="193">
        <v>70.26821666666666</v>
      </c>
      <c r="E67" s="193">
        <v>-149.20859999999999</v>
      </c>
      <c r="F67" s="193">
        <v>15</v>
      </c>
      <c r="G67" s="193" t="s">
        <v>661</v>
      </c>
      <c r="H67" s="193" t="s">
        <v>756</v>
      </c>
      <c r="I67" s="193" t="s">
        <v>650</v>
      </c>
      <c r="J67" s="193" t="s">
        <v>676</v>
      </c>
      <c r="K67" s="193" t="s">
        <v>650</v>
      </c>
      <c r="L67" s="193" t="s">
        <v>741</v>
      </c>
      <c r="M67" s="199" t="str">
        <f t="shared" ref="M67:M130" si="1">HYPERLINK("http://maps.google.com/maps?q="&amp;D67&amp;","&amp;E67,"View on Google Map")</f>
        <v>View on Google Map</v>
      </c>
    </row>
    <row r="68" spans="1:13" x14ac:dyDescent="0.2">
      <c r="A68" s="193">
        <v>198</v>
      </c>
      <c r="B68" s="193" t="s">
        <v>757</v>
      </c>
      <c r="C68" s="193" t="s">
        <v>650</v>
      </c>
      <c r="D68" s="193">
        <v>70.283333333333331</v>
      </c>
      <c r="E68" s="193">
        <v>-150.19999999999999</v>
      </c>
      <c r="F68" s="193">
        <v>12</v>
      </c>
      <c r="G68" s="193" t="s">
        <v>661</v>
      </c>
      <c r="H68" s="193" t="s">
        <v>758</v>
      </c>
      <c r="I68" s="193" t="s">
        <v>650</v>
      </c>
      <c r="J68" s="193" t="s">
        <v>676</v>
      </c>
      <c r="K68" s="193" t="s">
        <v>650</v>
      </c>
      <c r="L68" s="193" t="s">
        <v>739</v>
      </c>
      <c r="M68" s="199" t="str">
        <f t="shared" si="1"/>
        <v>View on Google Map</v>
      </c>
    </row>
    <row r="69" spans="1:13" x14ac:dyDescent="0.2">
      <c r="A69" s="193">
        <v>283</v>
      </c>
      <c r="B69" s="193" t="s">
        <v>757</v>
      </c>
      <c r="C69" s="193" t="s">
        <v>650</v>
      </c>
      <c r="D69" s="193">
        <v>70.184266666666673</v>
      </c>
      <c r="E69" s="193">
        <v>-149.15443333333334</v>
      </c>
      <c r="F69" s="193">
        <v>15</v>
      </c>
      <c r="G69" s="193" t="s">
        <v>661</v>
      </c>
      <c r="H69" s="193" t="s">
        <v>759</v>
      </c>
      <c r="I69" s="193" t="s">
        <v>650</v>
      </c>
      <c r="J69" s="193" t="s">
        <v>676</v>
      </c>
      <c r="K69" s="193" t="s">
        <v>650</v>
      </c>
      <c r="L69" s="193" t="s">
        <v>741</v>
      </c>
      <c r="M69" s="199" t="str">
        <f t="shared" si="1"/>
        <v>View on Google Map</v>
      </c>
    </row>
    <row r="70" spans="1:13" x14ac:dyDescent="0.2">
      <c r="A70" s="193">
        <v>199</v>
      </c>
      <c r="B70" s="193" t="s">
        <v>760</v>
      </c>
      <c r="C70" s="193" t="s">
        <v>650</v>
      </c>
      <c r="D70" s="193">
        <v>70.416666666666671</v>
      </c>
      <c r="E70" s="193">
        <v>-150.19999999999999</v>
      </c>
      <c r="F70" s="193">
        <v>4</v>
      </c>
      <c r="G70" s="193" t="s">
        <v>661</v>
      </c>
      <c r="H70" s="193" t="s">
        <v>761</v>
      </c>
      <c r="I70" s="193" t="s">
        <v>650</v>
      </c>
      <c r="J70" s="193" t="s">
        <v>676</v>
      </c>
      <c r="K70" s="193" t="s">
        <v>650</v>
      </c>
      <c r="L70" s="193" t="s">
        <v>739</v>
      </c>
      <c r="M70" s="199" t="str">
        <f t="shared" si="1"/>
        <v>View on Google Map</v>
      </c>
    </row>
    <row r="71" spans="1:13" x14ac:dyDescent="0.2">
      <c r="A71" s="193">
        <v>284</v>
      </c>
      <c r="B71" s="193" t="s">
        <v>760</v>
      </c>
      <c r="C71" s="193" t="s">
        <v>650</v>
      </c>
      <c r="D71" s="193">
        <v>70.184266666666673</v>
      </c>
      <c r="E71" s="193">
        <v>-149.15443333333334</v>
      </c>
      <c r="F71" s="193">
        <v>15</v>
      </c>
      <c r="G71" s="193" t="s">
        <v>661</v>
      </c>
      <c r="H71" s="193" t="s">
        <v>762</v>
      </c>
      <c r="I71" s="193" t="s">
        <v>650</v>
      </c>
      <c r="J71" s="193" t="s">
        <v>676</v>
      </c>
      <c r="K71" s="193" t="s">
        <v>650</v>
      </c>
      <c r="L71" s="193" t="s">
        <v>741</v>
      </c>
      <c r="M71" s="199" t="str">
        <f t="shared" si="1"/>
        <v>View on Google Map</v>
      </c>
    </row>
    <row r="72" spans="1:13" x14ac:dyDescent="0.2">
      <c r="A72" s="193">
        <v>200</v>
      </c>
      <c r="B72" s="193" t="s">
        <v>763</v>
      </c>
      <c r="C72" s="193" t="s">
        <v>650</v>
      </c>
      <c r="D72" s="193">
        <v>70.283333333333331</v>
      </c>
      <c r="E72" s="193">
        <v>-149.81666666666666</v>
      </c>
      <c r="F72" s="193">
        <v>28.963414634146343</v>
      </c>
      <c r="G72" s="193" t="s">
        <v>661</v>
      </c>
      <c r="H72" s="193" t="s">
        <v>764</v>
      </c>
      <c r="I72" s="193" t="s">
        <v>650</v>
      </c>
      <c r="J72" s="193" t="s">
        <v>676</v>
      </c>
      <c r="K72" s="193" t="s">
        <v>650</v>
      </c>
      <c r="L72" s="193" t="s">
        <v>739</v>
      </c>
      <c r="M72" s="199" t="str">
        <f t="shared" si="1"/>
        <v>View on Google Map</v>
      </c>
    </row>
    <row r="73" spans="1:13" x14ac:dyDescent="0.2">
      <c r="A73" s="193">
        <v>285</v>
      </c>
      <c r="B73" s="193" t="s">
        <v>763</v>
      </c>
      <c r="C73" s="193" t="s">
        <v>650</v>
      </c>
      <c r="D73" s="193">
        <v>70.126099999999994</v>
      </c>
      <c r="E73" s="193">
        <v>-149.33773333333335</v>
      </c>
      <c r="F73" s="193">
        <v>30</v>
      </c>
      <c r="G73" s="193" t="s">
        <v>661</v>
      </c>
      <c r="H73" s="193" t="s">
        <v>765</v>
      </c>
      <c r="I73" s="193" t="s">
        <v>650</v>
      </c>
      <c r="J73" s="193" t="s">
        <v>676</v>
      </c>
      <c r="K73" s="193" t="s">
        <v>650</v>
      </c>
      <c r="L73" s="193" t="s">
        <v>741</v>
      </c>
      <c r="M73" s="199" t="str">
        <f t="shared" si="1"/>
        <v>View on Google Map</v>
      </c>
    </row>
    <row r="74" spans="1:13" x14ac:dyDescent="0.2">
      <c r="A74" s="193">
        <v>201</v>
      </c>
      <c r="B74" s="193" t="s">
        <v>766</v>
      </c>
      <c r="C74" s="193" t="s">
        <v>650</v>
      </c>
      <c r="D74" s="193">
        <v>70.283333333333331</v>
      </c>
      <c r="E74" s="193">
        <v>-149.81666666666666</v>
      </c>
      <c r="F74" s="193">
        <v>28.963414634146343</v>
      </c>
      <c r="G74" s="193" t="s">
        <v>661</v>
      </c>
      <c r="H74" s="193" t="s">
        <v>767</v>
      </c>
      <c r="I74" s="193" t="s">
        <v>650</v>
      </c>
      <c r="J74" s="193" t="s">
        <v>676</v>
      </c>
      <c r="K74" s="193" t="s">
        <v>650</v>
      </c>
      <c r="L74" s="193" t="s">
        <v>739</v>
      </c>
      <c r="M74" s="199" t="str">
        <f t="shared" si="1"/>
        <v>View on Google Map</v>
      </c>
    </row>
    <row r="75" spans="1:13" x14ac:dyDescent="0.2">
      <c r="A75" s="193">
        <v>286</v>
      </c>
      <c r="B75" s="193" t="s">
        <v>766</v>
      </c>
      <c r="C75" s="193" t="s">
        <v>650</v>
      </c>
      <c r="D75" s="193">
        <v>70.126099999999994</v>
      </c>
      <c r="E75" s="193">
        <v>-149.33773333333335</v>
      </c>
      <c r="F75" s="193">
        <v>30</v>
      </c>
      <c r="G75" s="193" t="s">
        <v>661</v>
      </c>
      <c r="H75" s="193" t="s">
        <v>768</v>
      </c>
      <c r="I75" s="193" t="s">
        <v>650</v>
      </c>
      <c r="J75" s="193" t="s">
        <v>676</v>
      </c>
      <c r="K75" s="193" t="s">
        <v>650</v>
      </c>
      <c r="L75" s="193" t="s">
        <v>741</v>
      </c>
      <c r="M75" s="199" t="str">
        <f t="shared" si="1"/>
        <v>View on Google Map</v>
      </c>
    </row>
    <row r="76" spans="1:13" x14ac:dyDescent="0.2">
      <c r="A76" s="193">
        <v>202</v>
      </c>
      <c r="B76" s="193" t="s">
        <v>769</v>
      </c>
      <c r="C76" s="193" t="s">
        <v>650</v>
      </c>
      <c r="D76" s="193">
        <v>70.45</v>
      </c>
      <c r="E76" s="193">
        <v>-149.16666666666666</v>
      </c>
      <c r="F76" s="193">
        <v>4.8780487804878048</v>
      </c>
      <c r="G76" s="193" t="s">
        <v>661</v>
      </c>
      <c r="H76" s="193" t="s">
        <v>770</v>
      </c>
      <c r="I76" s="193" t="s">
        <v>650</v>
      </c>
      <c r="J76" s="193" t="s">
        <v>676</v>
      </c>
      <c r="K76" s="193" t="s">
        <v>650</v>
      </c>
      <c r="L76" s="193" t="s">
        <v>739</v>
      </c>
      <c r="M76" s="199" t="str">
        <f t="shared" si="1"/>
        <v>View on Google Map</v>
      </c>
    </row>
    <row r="77" spans="1:13" x14ac:dyDescent="0.2">
      <c r="A77" s="193">
        <v>287</v>
      </c>
      <c r="B77" s="193" t="s">
        <v>769</v>
      </c>
      <c r="C77" s="193" t="s">
        <v>650</v>
      </c>
      <c r="D77" s="193">
        <v>69.9221</v>
      </c>
      <c r="E77" s="193">
        <v>-149.34523333333334</v>
      </c>
      <c r="F77" s="193">
        <v>61</v>
      </c>
      <c r="G77" s="193" t="s">
        <v>661</v>
      </c>
      <c r="H77" s="193" t="s">
        <v>771</v>
      </c>
      <c r="I77" s="193" t="s">
        <v>650</v>
      </c>
      <c r="J77" s="193" t="s">
        <v>676</v>
      </c>
      <c r="K77" s="193" t="s">
        <v>650</v>
      </c>
      <c r="L77" s="193" t="s">
        <v>741</v>
      </c>
      <c r="M77" s="199" t="str">
        <f t="shared" si="1"/>
        <v>View on Google Map</v>
      </c>
    </row>
    <row r="78" spans="1:13" x14ac:dyDescent="0.2">
      <c r="A78" s="193">
        <v>203</v>
      </c>
      <c r="B78" s="193" t="s">
        <v>772</v>
      </c>
      <c r="C78" s="193" t="s">
        <v>650</v>
      </c>
      <c r="D78" s="193">
        <v>70.233333333333334</v>
      </c>
      <c r="E78" s="193">
        <v>-148.88333333333333</v>
      </c>
      <c r="F78" s="193">
        <v>17.682926829268293</v>
      </c>
      <c r="G78" s="193" t="s">
        <v>661</v>
      </c>
      <c r="H78" s="193" t="s">
        <v>773</v>
      </c>
      <c r="I78" s="193" t="s">
        <v>650</v>
      </c>
      <c r="J78" s="193" t="s">
        <v>676</v>
      </c>
      <c r="K78" s="193" t="s">
        <v>650</v>
      </c>
      <c r="L78" s="193" t="s">
        <v>739</v>
      </c>
      <c r="M78" s="199" t="str">
        <f t="shared" si="1"/>
        <v>View on Google Map</v>
      </c>
    </row>
    <row r="79" spans="1:13" x14ac:dyDescent="0.2">
      <c r="A79" s="193">
        <v>288</v>
      </c>
      <c r="B79" s="193" t="s">
        <v>772</v>
      </c>
      <c r="C79" s="193" t="s">
        <v>650</v>
      </c>
      <c r="D79" s="193">
        <v>69.9221</v>
      </c>
      <c r="E79" s="193">
        <v>-149.34523333333334</v>
      </c>
      <c r="F79" s="193">
        <v>61</v>
      </c>
      <c r="G79" s="193" t="s">
        <v>661</v>
      </c>
      <c r="H79" s="193" t="s">
        <v>774</v>
      </c>
      <c r="I79" s="193" t="s">
        <v>650</v>
      </c>
      <c r="J79" s="193" t="s">
        <v>676</v>
      </c>
      <c r="K79" s="193" t="s">
        <v>650</v>
      </c>
      <c r="L79" s="193" t="s">
        <v>741</v>
      </c>
      <c r="M79" s="199" t="str">
        <f t="shared" si="1"/>
        <v>View on Google Map</v>
      </c>
    </row>
    <row r="80" spans="1:13" x14ac:dyDescent="0.2">
      <c r="A80" s="193">
        <v>204</v>
      </c>
      <c r="B80" s="193" t="s">
        <v>775</v>
      </c>
      <c r="C80" s="193" t="s">
        <v>650</v>
      </c>
      <c r="D80" s="193">
        <v>70.233333333333334</v>
      </c>
      <c r="E80" s="193">
        <v>-148.88333333333333</v>
      </c>
      <c r="F80" s="193">
        <v>17.682926829268293</v>
      </c>
      <c r="G80" s="193" t="s">
        <v>661</v>
      </c>
      <c r="H80" s="193" t="s">
        <v>776</v>
      </c>
      <c r="I80" s="193" t="s">
        <v>650</v>
      </c>
      <c r="J80" s="193" t="s">
        <v>676</v>
      </c>
      <c r="K80" s="193" t="s">
        <v>650</v>
      </c>
      <c r="L80" s="193" t="s">
        <v>739</v>
      </c>
      <c r="M80" s="199" t="str">
        <f t="shared" si="1"/>
        <v>View on Google Map</v>
      </c>
    </row>
    <row r="81" spans="1:13" x14ac:dyDescent="0.2">
      <c r="A81" s="193">
        <v>289</v>
      </c>
      <c r="B81" s="193" t="s">
        <v>775</v>
      </c>
      <c r="C81" s="193" t="s">
        <v>650</v>
      </c>
      <c r="D81" s="193">
        <v>69.986533333333327</v>
      </c>
      <c r="E81" s="193">
        <v>-150.08543333333333</v>
      </c>
      <c r="F81" s="193">
        <v>125</v>
      </c>
      <c r="G81" s="193" t="s">
        <v>661</v>
      </c>
      <c r="H81" s="193" t="s">
        <v>777</v>
      </c>
      <c r="I81" s="193" t="s">
        <v>650</v>
      </c>
      <c r="J81" s="193" t="s">
        <v>676</v>
      </c>
      <c r="K81" s="193" t="s">
        <v>650</v>
      </c>
      <c r="L81" s="193" t="s">
        <v>741</v>
      </c>
      <c r="M81" s="199" t="str">
        <f t="shared" si="1"/>
        <v>View on Google Map</v>
      </c>
    </row>
    <row r="82" spans="1:13" x14ac:dyDescent="0.2">
      <c r="A82" s="193">
        <v>205</v>
      </c>
      <c r="B82" s="193" t="s">
        <v>778</v>
      </c>
      <c r="C82" s="193" t="s">
        <v>650</v>
      </c>
      <c r="D82" s="193">
        <v>70.13333333333334</v>
      </c>
      <c r="E82" s="193">
        <v>-148.6</v>
      </c>
      <c r="F82" s="193">
        <v>24.390243902439025</v>
      </c>
      <c r="G82" s="193" t="s">
        <v>661</v>
      </c>
      <c r="H82" s="193" t="s">
        <v>779</v>
      </c>
      <c r="I82" s="193" t="s">
        <v>650</v>
      </c>
      <c r="J82" s="193" t="s">
        <v>676</v>
      </c>
      <c r="K82" s="193" t="s">
        <v>650</v>
      </c>
      <c r="L82" s="193" t="s">
        <v>739</v>
      </c>
      <c r="M82" s="199" t="str">
        <f t="shared" si="1"/>
        <v>View on Google Map</v>
      </c>
    </row>
    <row r="83" spans="1:13" x14ac:dyDescent="0.2">
      <c r="A83" s="193">
        <v>290</v>
      </c>
      <c r="B83" s="193" t="s">
        <v>778</v>
      </c>
      <c r="C83" s="193" t="s">
        <v>650</v>
      </c>
      <c r="D83" s="193">
        <v>69.986533333333327</v>
      </c>
      <c r="E83" s="193">
        <v>-150.08543333333333</v>
      </c>
      <c r="F83" s="193">
        <v>125</v>
      </c>
      <c r="G83" s="193" t="s">
        <v>661</v>
      </c>
      <c r="H83" s="193" t="s">
        <v>780</v>
      </c>
      <c r="I83" s="193" t="s">
        <v>650</v>
      </c>
      <c r="J83" s="193" t="s">
        <v>676</v>
      </c>
      <c r="K83" s="193" t="s">
        <v>650</v>
      </c>
      <c r="L83" s="193" t="s">
        <v>741</v>
      </c>
      <c r="M83" s="199" t="str">
        <f t="shared" si="1"/>
        <v>View on Google Map</v>
      </c>
    </row>
    <row r="84" spans="1:13" x14ac:dyDescent="0.2">
      <c r="A84" s="193">
        <v>291</v>
      </c>
      <c r="B84" s="193" t="s">
        <v>781</v>
      </c>
      <c r="C84" s="193" t="s">
        <v>650</v>
      </c>
      <c r="D84" s="193">
        <v>69.639166666666668</v>
      </c>
      <c r="E84" s="193">
        <v>-149.73946666666666</v>
      </c>
      <c r="F84" s="193">
        <v>91</v>
      </c>
      <c r="G84" s="193" t="s">
        <v>661</v>
      </c>
      <c r="H84" s="193" t="s">
        <v>782</v>
      </c>
      <c r="I84" s="193" t="s">
        <v>650</v>
      </c>
      <c r="J84" s="193" t="s">
        <v>676</v>
      </c>
      <c r="K84" s="193" t="s">
        <v>650</v>
      </c>
      <c r="L84" s="193" t="s">
        <v>741</v>
      </c>
      <c r="M84" s="199" t="str">
        <f t="shared" si="1"/>
        <v>View on Google Map</v>
      </c>
    </row>
    <row r="85" spans="1:13" x14ac:dyDescent="0.2">
      <c r="A85" s="193">
        <v>206</v>
      </c>
      <c r="B85" s="193" t="s">
        <v>783</v>
      </c>
      <c r="C85" s="193" t="s">
        <v>650</v>
      </c>
      <c r="D85" s="193">
        <v>70.11666666666666</v>
      </c>
      <c r="E85" s="193">
        <v>-146.16666666666666</v>
      </c>
      <c r="F85" s="193">
        <v>3.0487804878048781</v>
      </c>
      <c r="G85" s="193" t="s">
        <v>661</v>
      </c>
      <c r="H85" s="193" t="s">
        <v>784</v>
      </c>
      <c r="I85" s="193" t="s">
        <v>650</v>
      </c>
      <c r="J85" s="193" t="s">
        <v>676</v>
      </c>
      <c r="K85" s="193" t="s">
        <v>650</v>
      </c>
      <c r="L85" s="193" t="s">
        <v>739</v>
      </c>
      <c r="M85" s="199" t="str">
        <f t="shared" si="1"/>
        <v>View on Google Map</v>
      </c>
    </row>
    <row r="86" spans="1:13" x14ac:dyDescent="0.2">
      <c r="A86" s="193">
        <v>292</v>
      </c>
      <c r="B86" s="193" t="s">
        <v>783</v>
      </c>
      <c r="C86" s="193" t="s">
        <v>650</v>
      </c>
      <c r="D86" s="193">
        <v>69.639166666666668</v>
      </c>
      <c r="E86" s="193">
        <v>-149.73946666666666</v>
      </c>
      <c r="F86" s="193">
        <v>91</v>
      </c>
      <c r="G86" s="193" t="s">
        <v>661</v>
      </c>
      <c r="H86" s="193" t="s">
        <v>785</v>
      </c>
      <c r="I86" s="193" t="s">
        <v>650</v>
      </c>
      <c r="J86" s="193" t="s">
        <v>676</v>
      </c>
      <c r="K86" s="193" t="s">
        <v>650</v>
      </c>
      <c r="L86" s="193" t="s">
        <v>741</v>
      </c>
      <c r="M86" s="199" t="str">
        <f t="shared" si="1"/>
        <v>View on Google Map</v>
      </c>
    </row>
    <row r="87" spans="1:13" x14ac:dyDescent="0.2">
      <c r="A87" s="193">
        <v>207</v>
      </c>
      <c r="B87" s="193" t="s">
        <v>786</v>
      </c>
      <c r="C87" s="193" t="s">
        <v>650</v>
      </c>
      <c r="D87" s="193">
        <v>70.099999999999994</v>
      </c>
      <c r="E87" s="193">
        <v>-146.26666666666668</v>
      </c>
      <c r="F87" s="193">
        <v>9.1463414634146343</v>
      </c>
      <c r="G87" s="193" t="s">
        <v>661</v>
      </c>
      <c r="H87" s="193" t="s">
        <v>787</v>
      </c>
      <c r="I87" s="193" t="s">
        <v>650</v>
      </c>
      <c r="J87" s="193" t="s">
        <v>676</v>
      </c>
      <c r="K87" s="193" t="s">
        <v>650</v>
      </c>
      <c r="L87" s="193" t="s">
        <v>739</v>
      </c>
      <c r="M87" s="199" t="str">
        <f t="shared" si="1"/>
        <v>View on Google Map</v>
      </c>
    </row>
    <row r="88" spans="1:13" x14ac:dyDescent="0.2">
      <c r="A88" s="193">
        <v>293</v>
      </c>
      <c r="B88" s="193" t="s">
        <v>786</v>
      </c>
      <c r="C88" s="193" t="s">
        <v>650</v>
      </c>
      <c r="D88" s="193">
        <v>68.820783333333338</v>
      </c>
      <c r="E88" s="193">
        <v>-149.7646</v>
      </c>
      <c r="F88" s="193">
        <v>579</v>
      </c>
      <c r="G88" s="193" t="s">
        <v>661</v>
      </c>
      <c r="H88" s="193" t="s">
        <v>788</v>
      </c>
      <c r="I88" s="193" t="s">
        <v>650</v>
      </c>
      <c r="J88" s="193" t="s">
        <v>676</v>
      </c>
      <c r="K88" s="193" t="s">
        <v>650</v>
      </c>
      <c r="L88" s="193" t="s">
        <v>741</v>
      </c>
      <c r="M88" s="199" t="str">
        <f t="shared" si="1"/>
        <v>View on Google Map</v>
      </c>
    </row>
    <row r="89" spans="1:13" x14ac:dyDescent="0.2">
      <c r="A89" s="193">
        <v>208</v>
      </c>
      <c r="B89" s="193" t="s">
        <v>789</v>
      </c>
      <c r="C89" s="193" t="s">
        <v>650</v>
      </c>
      <c r="D89" s="193">
        <v>70.05</v>
      </c>
      <c r="E89" s="193">
        <v>-146.98333333333332</v>
      </c>
      <c r="F89" s="193">
        <v>24.390243902439025</v>
      </c>
      <c r="G89" s="193" t="s">
        <v>661</v>
      </c>
      <c r="H89" s="193" t="s">
        <v>790</v>
      </c>
      <c r="I89" s="193" t="s">
        <v>650</v>
      </c>
      <c r="J89" s="193" t="s">
        <v>676</v>
      </c>
      <c r="K89" s="193" t="s">
        <v>650</v>
      </c>
      <c r="L89" s="193" t="s">
        <v>739</v>
      </c>
      <c r="M89" s="199" t="str">
        <f t="shared" si="1"/>
        <v>View on Google Map</v>
      </c>
    </row>
    <row r="90" spans="1:13" x14ac:dyDescent="0.2">
      <c r="A90" s="193">
        <v>294</v>
      </c>
      <c r="B90" s="193" t="s">
        <v>789</v>
      </c>
      <c r="C90" s="193" t="s">
        <v>650</v>
      </c>
      <c r="D90" s="193">
        <v>68.820616666666666</v>
      </c>
      <c r="E90" s="193">
        <v>-149.74383333333333</v>
      </c>
      <c r="F90" s="193">
        <v>579</v>
      </c>
      <c r="G90" s="193" t="s">
        <v>661</v>
      </c>
      <c r="H90" s="193" t="s">
        <v>791</v>
      </c>
      <c r="I90" s="193" t="s">
        <v>650</v>
      </c>
      <c r="J90" s="193" t="s">
        <v>676</v>
      </c>
      <c r="K90" s="193" t="s">
        <v>650</v>
      </c>
      <c r="L90" s="193" t="s">
        <v>741</v>
      </c>
      <c r="M90" s="199" t="str">
        <f t="shared" si="1"/>
        <v>View on Google Map</v>
      </c>
    </row>
    <row r="91" spans="1:13" x14ac:dyDescent="0.2">
      <c r="A91" s="193">
        <v>209</v>
      </c>
      <c r="B91" s="193" t="s">
        <v>792</v>
      </c>
      <c r="C91" s="193" t="s">
        <v>650</v>
      </c>
      <c r="D91" s="193">
        <v>70.05</v>
      </c>
      <c r="E91" s="193">
        <v>-146.98333333333332</v>
      </c>
      <c r="F91" s="193">
        <v>24.390243902439025</v>
      </c>
      <c r="G91" s="193" t="s">
        <v>661</v>
      </c>
      <c r="H91" s="193" t="s">
        <v>793</v>
      </c>
      <c r="I91" s="193" t="s">
        <v>650</v>
      </c>
      <c r="J91" s="193" t="s">
        <v>676</v>
      </c>
      <c r="K91" s="193" t="s">
        <v>650</v>
      </c>
      <c r="L91" s="193" t="s">
        <v>739</v>
      </c>
      <c r="M91" s="199" t="str">
        <f t="shared" si="1"/>
        <v>View on Google Map</v>
      </c>
    </row>
    <row r="92" spans="1:13" x14ac:dyDescent="0.2">
      <c r="A92" s="193">
        <v>295</v>
      </c>
      <c r="B92" s="193" t="s">
        <v>792</v>
      </c>
      <c r="C92" s="193" t="s">
        <v>650</v>
      </c>
      <c r="D92" s="193">
        <v>68.821529999999996</v>
      </c>
      <c r="E92" s="193">
        <v>-149.05867000000001</v>
      </c>
      <c r="F92" s="193">
        <v>518</v>
      </c>
      <c r="G92" s="193" t="s">
        <v>661</v>
      </c>
      <c r="H92" s="193" t="s">
        <v>794</v>
      </c>
      <c r="I92" s="193" t="s">
        <v>650</v>
      </c>
      <c r="J92" s="193" t="s">
        <v>676</v>
      </c>
      <c r="K92" s="193" t="s">
        <v>650</v>
      </c>
      <c r="L92" s="193" t="s">
        <v>741</v>
      </c>
      <c r="M92" s="199" t="str">
        <f t="shared" si="1"/>
        <v>View on Google Map</v>
      </c>
    </row>
    <row r="93" spans="1:13" x14ac:dyDescent="0.2">
      <c r="A93" s="193">
        <v>210</v>
      </c>
      <c r="B93" s="193" t="s">
        <v>795</v>
      </c>
      <c r="C93" s="193" t="s">
        <v>650</v>
      </c>
      <c r="D93" s="193">
        <v>70.150000000000006</v>
      </c>
      <c r="E93" s="193">
        <v>-147.36666666666667</v>
      </c>
      <c r="F93" s="193">
        <v>6.7073170731707323</v>
      </c>
      <c r="G93" s="193" t="s">
        <v>661</v>
      </c>
      <c r="H93" s="193" t="s">
        <v>796</v>
      </c>
      <c r="I93" s="193" t="s">
        <v>650</v>
      </c>
      <c r="J93" s="193" t="s">
        <v>676</v>
      </c>
      <c r="K93" s="193" t="s">
        <v>650</v>
      </c>
      <c r="L93" s="193" t="s">
        <v>739</v>
      </c>
      <c r="M93" s="199" t="str">
        <f t="shared" si="1"/>
        <v>View on Google Map</v>
      </c>
    </row>
    <row r="94" spans="1:13" x14ac:dyDescent="0.2">
      <c r="A94" s="193">
        <v>296</v>
      </c>
      <c r="B94" s="193" t="s">
        <v>795</v>
      </c>
      <c r="C94" s="193" t="s">
        <v>650</v>
      </c>
      <c r="D94" s="193">
        <v>68.817116666666664</v>
      </c>
      <c r="E94" s="193">
        <v>-149.05956666666665</v>
      </c>
      <c r="F94" s="193">
        <v>518</v>
      </c>
      <c r="G94" s="193" t="s">
        <v>661</v>
      </c>
      <c r="H94" s="193" t="s">
        <v>797</v>
      </c>
      <c r="I94" s="193" t="s">
        <v>650</v>
      </c>
      <c r="J94" s="193" t="s">
        <v>676</v>
      </c>
      <c r="K94" s="193" t="s">
        <v>650</v>
      </c>
      <c r="L94" s="193" t="s">
        <v>741</v>
      </c>
      <c r="M94" s="199" t="str">
        <f t="shared" si="1"/>
        <v>View on Google Map</v>
      </c>
    </row>
    <row r="95" spans="1:13" x14ac:dyDescent="0.2">
      <c r="A95" s="193">
        <v>211</v>
      </c>
      <c r="B95" s="193" t="s">
        <v>798</v>
      </c>
      <c r="C95" s="193" t="s">
        <v>650</v>
      </c>
      <c r="D95" s="193">
        <v>70.150000000000006</v>
      </c>
      <c r="E95" s="193">
        <v>-147.36666666666667</v>
      </c>
      <c r="F95" s="193">
        <v>6.7073170731707323</v>
      </c>
      <c r="G95" s="193" t="s">
        <v>661</v>
      </c>
      <c r="H95" s="193" t="s">
        <v>799</v>
      </c>
      <c r="I95" s="193" t="s">
        <v>650</v>
      </c>
      <c r="J95" s="193" t="s">
        <v>676</v>
      </c>
      <c r="K95" s="193" t="s">
        <v>650</v>
      </c>
      <c r="L95" s="193" t="s">
        <v>739</v>
      </c>
      <c r="M95" s="199" t="str">
        <f t="shared" si="1"/>
        <v>View on Google Map</v>
      </c>
    </row>
    <row r="96" spans="1:13" x14ac:dyDescent="0.2">
      <c r="A96" s="193">
        <v>297</v>
      </c>
      <c r="B96" s="193" t="s">
        <v>798</v>
      </c>
      <c r="C96" s="193" t="s">
        <v>650</v>
      </c>
      <c r="D96" s="193">
        <v>69.356183333333334</v>
      </c>
      <c r="E96" s="193">
        <v>-150.21899999999999</v>
      </c>
      <c r="F96" s="193">
        <v>168</v>
      </c>
      <c r="G96" s="193" t="s">
        <v>661</v>
      </c>
      <c r="H96" s="193" t="s">
        <v>800</v>
      </c>
      <c r="I96" s="193" t="s">
        <v>650</v>
      </c>
      <c r="J96" s="193" t="s">
        <v>676</v>
      </c>
      <c r="K96" s="193" t="s">
        <v>650</v>
      </c>
      <c r="L96" s="193" t="s">
        <v>741</v>
      </c>
      <c r="M96" s="199" t="str">
        <f t="shared" si="1"/>
        <v>View on Google Map</v>
      </c>
    </row>
    <row r="97" spans="1:13" x14ac:dyDescent="0.2">
      <c r="A97" s="193">
        <v>212</v>
      </c>
      <c r="B97" s="193" t="s">
        <v>801</v>
      </c>
      <c r="C97" s="193" t="s">
        <v>650</v>
      </c>
      <c r="D97" s="193">
        <v>70.033333333333331</v>
      </c>
      <c r="E97" s="193">
        <v>-147.65</v>
      </c>
      <c r="F97" s="193">
        <v>28.04878048780488</v>
      </c>
      <c r="G97" s="193" t="s">
        <v>661</v>
      </c>
      <c r="H97" s="193" t="s">
        <v>802</v>
      </c>
      <c r="I97" s="193" t="s">
        <v>650</v>
      </c>
      <c r="J97" s="193" t="s">
        <v>676</v>
      </c>
      <c r="K97" s="193" t="s">
        <v>650</v>
      </c>
      <c r="L97" s="193" t="s">
        <v>739</v>
      </c>
      <c r="M97" s="199" t="str">
        <f t="shared" si="1"/>
        <v>View on Google Map</v>
      </c>
    </row>
    <row r="98" spans="1:13" x14ac:dyDescent="0.2">
      <c r="A98" s="193">
        <v>298</v>
      </c>
      <c r="B98" s="193" t="s">
        <v>801</v>
      </c>
      <c r="C98" s="193" t="s">
        <v>650</v>
      </c>
      <c r="D98" s="193">
        <v>69.356183333333334</v>
      </c>
      <c r="E98" s="193">
        <v>-150.21899999999999</v>
      </c>
      <c r="F98" s="193">
        <v>168</v>
      </c>
      <c r="G98" s="193" t="s">
        <v>661</v>
      </c>
      <c r="H98" s="193" t="s">
        <v>803</v>
      </c>
      <c r="I98" s="193" t="s">
        <v>650</v>
      </c>
      <c r="J98" s="193" t="s">
        <v>676</v>
      </c>
      <c r="K98" s="193" t="s">
        <v>650</v>
      </c>
      <c r="L98" s="193" t="s">
        <v>741</v>
      </c>
      <c r="M98" s="199" t="str">
        <f t="shared" si="1"/>
        <v>View on Google Map</v>
      </c>
    </row>
    <row r="99" spans="1:13" x14ac:dyDescent="0.2">
      <c r="A99" s="193">
        <v>213</v>
      </c>
      <c r="B99" s="193" t="s">
        <v>804</v>
      </c>
      <c r="C99" s="193" t="s">
        <v>650</v>
      </c>
      <c r="D99" s="193">
        <v>70.033333333333331</v>
      </c>
      <c r="E99" s="193">
        <v>-147.65</v>
      </c>
      <c r="F99" s="193">
        <v>28.04878048780488</v>
      </c>
      <c r="G99" s="193" t="s">
        <v>661</v>
      </c>
      <c r="H99" s="193" t="s">
        <v>805</v>
      </c>
      <c r="I99" s="193" t="s">
        <v>650</v>
      </c>
      <c r="J99" s="193" t="s">
        <v>676</v>
      </c>
      <c r="K99" s="193" t="s">
        <v>650</v>
      </c>
      <c r="L99" s="193" t="s">
        <v>739</v>
      </c>
      <c r="M99" s="199" t="str">
        <f t="shared" si="1"/>
        <v>View on Google Map</v>
      </c>
    </row>
    <row r="100" spans="1:13" x14ac:dyDescent="0.2">
      <c r="A100" s="193">
        <v>299</v>
      </c>
      <c r="B100" s="193" t="s">
        <v>804</v>
      </c>
      <c r="C100" s="193" t="s">
        <v>650</v>
      </c>
      <c r="D100" s="193">
        <v>69.5458</v>
      </c>
      <c r="E100" s="193">
        <v>-150.37883333333335</v>
      </c>
      <c r="F100" s="193">
        <v>107</v>
      </c>
      <c r="G100" s="193" t="s">
        <v>661</v>
      </c>
      <c r="H100" s="193" t="s">
        <v>806</v>
      </c>
      <c r="I100" s="193" t="s">
        <v>650</v>
      </c>
      <c r="J100" s="193" t="s">
        <v>676</v>
      </c>
      <c r="K100" s="193" t="s">
        <v>650</v>
      </c>
      <c r="L100" s="193" t="s">
        <v>741</v>
      </c>
      <c r="M100" s="199" t="str">
        <f t="shared" si="1"/>
        <v>View on Google Map</v>
      </c>
    </row>
    <row r="101" spans="1:13" x14ac:dyDescent="0.2">
      <c r="A101" s="193">
        <v>214</v>
      </c>
      <c r="B101" s="193" t="s">
        <v>807</v>
      </c>
      <c r="C101" s="193" t="s">
        <v>650</v>
      </c>
      <c r="D101" s="193">
        <v>69.833333333333329</v>
      </c>
      <c r="E101" s="193">
        <v>-147.93333333333334</v>
      </c>
      <c r="F101" s="193">
        <v>92.987804878048792</v>
      </c>
      <c r="G101" s="193" t="s">
        <v>661</v>
      </c>
      <c r="H101" s="193" t="s">
        <v>808</v>
      </c>
      <c r="I101" s="193" t="s">
        <v>650</v>
      </c>
      <c r="J101" s="193" t="s">
        <v>676</v>
      </c>
      <c r="K101" s="193" t="s">
        <v>650</v>
      </c>
      <c r="L101" s="193" t="s">
        <v>739</v>
      </c>
      <c r="M101" s="199" t="str">
        <f t="shared" si="1"/>
        <v>View on Google Map</v>
      </c>
    </row>
    <row r="102" spans="1:13" x14ac:dyDescent="0.2">
      <c r="A102" s="193">
        <v>300</v>
      </c>
      <c r="B102" s="193" t="s">
        <v>807</v>
      </c>
      <c r="C102" s="193" t="s">
        <v>650</v>
      </c>
      <c r="D102" s="193">
        <v>69.5458</v>
      </c>
      <c r="E102" s="193">
        <v>-150.37883333333335</v>
      </c>
      <c r="F102" s="193">
        <v>107</v>
      </c>
      <c r="G102" s="193" t="s">
        <v>661</v>
      </c>
      <c r="H102" s="193" t="s">
        <v>809</v>
      </c>
      <c r="I102" s="193" t="s">
        <v>650</v>
      </c>
      <c r="J102" s="193" t="s">
        <v>676</v>
      </c>
      <c r="K102" s="193" t="s">
        <v>650</v>
      </c>
      <c r="L102" s="193" t="s">
        <v>741</v>
      </c>
      <c r="M102" s="199" t="str">
        <f t="shared" si="1"/>
        <v>View on Google Map</v>
      </c>
    </row>
    <row r="103" spans="1:13" x14ac:dyDescent="0.2">
      <c r="A103" s="193">
        <v>215</v>
      </c>
      <c r="B103" s="193" t="s">
        <v>810</v>
      </c>
      <c r="C103" s="193" t="s">
        <v>650</v>
      </c>
      <c r="D103" s="193">
        <v>69.833333333333329</v>
      </c>
      <c r="E103" s="193">
        <v>-147.93333333333334</v>
      </c>
      <c r="F103" s="193">
        <v>92.987804878048792</v>
      </c>
      <c r="G103" s="193" t="s">
        <v>661</v>
      </c>
      <c r="H103" s="193" t="s">
        <v>811</v>
      </c>
      <c r="I103" s="193" t="s">
        <v>650</v>
      </c>
      <c r="J103" s="193" t="s">
        <v>676</v>
      </c>
      <c r="K103" s="193" t="s">
        <v>650</v>
      </c>
      <c r="L103" s="193" t="s">
        <v>739</v>
      </c>
      <c r="M103" s="199" t="str">
        <f t="shared" si="1"/>
        <v>View on Google Map</v>
      </c>
    </row>
    <row r="104" spans="1:13" x14ac:dyDescent="0.2">
      <c r="A104" s="193">
        <v>301</v>
      </c>
      <c r="B104" s="193" t="s">
        <v>810</v>
      </c>
      <c r="C104" s="193" t="s">
        <v>650</v>
      </c>
      <c r="D104" s="193">
        <v>69.523700000000005</v>
      </c>
      <c r="E104" s="193">
        <v>-150.55269999999999</v>
      </c>
      <c r="F104" s="193">
        <v>107</v>
      </c>
      <c r="G104" s="193" t="s">
        <v>661</v>
      </c>
      <c r="H104" s="193" t="s">
        <v>812</v>
      </c>
      <c r="I104" s="193" t="s">
        <v>650</v>
      </c>
      <c r="J104" s="193" t="s">
        <v>676</v>
      </c>
      <c r="K104" s="193" t="s">
        <v>650</v>
      </c>
      <c r="L104" s="193" t="s">
        <v>741</v>
      </c>
      <c r="M104" s="199" t="str">
        <f t="shared" si="1"/>
        <v>View on Google Map</v>
      </c>
    </row>
    <row r="105" spans="1:13" x14ac:dyDescent="0.2">
      <c r="A105" s="193">
        <v>216</v>
      </c>
      <c r="B105" s="193" t="s">
        <v>813</v>
      </c>
      <c r="C105" s="193" t="s">
        <v>650</v>
      </c>
      <c r="D105" s="193">
        <v>69.88333333333334</v>
      </c>
      <c r="E105" s="193">
        <v>-148.63333333333333</v>
      </c>
      <c r="F105" s="193">
        <v>118.90243902439025</v>
      </c>
      <c r="G105" s="193" t="s">
        <v>661</v>
      </c>
      <c r="H105" s="193" t="s">
        <v>814</v>
      </c>
      <c r="I105" s="193" t="s">
        <v>650</v>
      </c>
      <c r="J105" s="193" t="s">
        <v>676</v>
      </c>
      <c r="K105" s="193" t="s">
        <v>650</v>
      </c>
      <c r="L105" s="193" t="s">
        <v>739</v>
      </c>
      <c r="M105" s="199" t="str">
        <f t="shared" si="1"/>
        <v>View on Google Map</v>
      </c>
    </row>
    <row r="106" spans="1:13" x14ac:dyDescent="0.2">
      <c r="A106" s="193">
        <v>302</v>
      </c>
      <c r="B106" s="193" t="s">
        <v>813</v>
      </c>
      <c r="C106" s="193" t="s">
        <v>650</v>
      </c>
      <c r="D106" s="193">
        <v>69.523700000000005</v>
      </c>
      <c r="E106" s="193">
        <v>-150.55269999999999</v>
      </c>
      <c r="F106" s="193">
        <v>107</v>
      </c>
      <c r="G106" s="193" t="s">
        <v>661</v>
      </c>
      <c r="H106" s="193" t="s">
        <v>815</v>
      </c>
      <c r="I106" s="193" t="s">
        <v>650</v>
      </c>
      <c r="J106" s="193" t="s">
        <v>676</v>
      </c>
      <c r="K106" s="193" t="s">
        <v>650</v>
      </c>
      <c r="L106" s="193" t="s">
        <v>741</v>
      </c>
      <c r="M106" s="199" t="str">
        <f t="shared" si="1"/>
        <v>View on Google Map</v>
      </c>
    </row>
    <row r="107" spans="1:13" x14ac:dyDescent="0.2">
      <c r="A107" s="193">
        <v>217</v>
      </c>
      <c r="B107" s="193" t="s">
        <v>816</v>
      </c>
      <c r="C107" s="193" t="s">
        <v>650</v>
      </c>
      <c r="D107" s="193">
        <v>69.7</v>
      </c>
      <c r="E107" s="193">
        <v>-148.48333333333332</v>
      </c>
      <c r="F107" s="193">
        <v>125</v>
      </c>
      <c r="G107" s="193" t="s">
        <v>661</v>
      </c>
      <c r="H107" s="193" t="s">
        <v>817</v>
      </c>
      <c r="I107" s="193" t="s">
        <v>650</v>
      </c>
      <c r="J107" s="193" t="s">
        <v>676</v>
      </c>
      <c r="K107" s="193" t="s">
        <v>650</v>
      </c>
      <c r="L107" s="193" t="s">
        <v>739</v>
      </c>
      <c r="M107" s="199" t="str">
        <f t="shared" si="1"/>
        <v>View on Google Map</v>
      </c>
    </row>
    <row r="108" spans="1:13" x14ac:dyDescent="0.2">
      <c r="A108" s="193">
        <v>303</v>
      </c>
      <c r="B108" s="193" t="s">
        <v>816</v>
      </c>
      <c r="C108" s="193" t="s">
        <v>650</v>
      </c>
      <c r="D108" s="193">
        <v>69.610399999999998</v>
      </c>
      <c r="E108" s="193">
        <v>-148.82113333333334</v>
      </c>
      <c r="F108" s="193">
        <v>107</v>
      </c>
      <c r="G108" s="193" t="s">
        <v>661</v>
      </c>
      <c r="H108" s="193" t="s">
        <v>818</v>
      </c>
      <c r="I108" s="193" t="s">
        <v>650</v>
      </c>
      <c r="J108" s="193" t="s">
        <v>676</v>
      </c>
      <c r="K108" s="193" t="s">
        <v>650</v>
      </c>
      <c r="L108" s="193" t="s">
        <v>741</v>
      </c>
      <c r="M108" s="199" t="str">
        <f t="shared" si="1"/>
        <v>View on Google Map</v>
      </c>
    </row>
    <row r="109" spans="1:13" x14ac:dyDescent="0.2">
      <c r="A109" s="193">
        <v>218</v>
      </c>
      <c r="B109" s="193" t="s">
        <v>819</v>
      </c>
      <c r="C109" s="193" t="s">
        <v>650</v>
      </c>
      <c r="D109" s="193">
        <v>69.7</v>
      </c>
      <c r="E109" s="193">
        <v>-148.48333333333332</v>
      </c>
      <c r="F109" s="193">
        <v>125</v>
      </c>
      <c r="G109" s="193" t="s">
        <v>661</v>
      </c>
      <c r="H109" s="193" t="s">
        <v>820</v>
      </c>
      <c r="I109" s="193" t="s">
        <v>650</v>
      </c>
      <c r="J109" s="193" t="s">
        <v>676</v>
      </c>
      <c r="K109" s="193" t="s">
        <v>650</v>
      </c>
      <c r="L109" s="193" t="s">
        <v>739</v>
      </c>
      <c r="M109" s="199" t="str">
        <f t="shared" si="1"/>
        <v>View on Google Map</v>
      </c>
    </row>
    <row r="110" spans="1:13" x14ac:dyDescent="0.2">
      <c r="A110" s="193">
        <v>304</v>
      </c>
      <c r="B110" s="193" t="s">
        <v>819</v>
      </c>
      <c r="C110" s="193" t="s">
        <v>650</v>
      </c>
      <c r="D110" s="193">
        <v>69.610399999999998</v>
      </c>
      <c r="E110" s="193">
        <v>-148.82113333333334</v>
      </c>
      <c r="F110" s="193">
        <v>107</v>
      </c>
      <c r="G110" s="193" t="s">
        <v>661</v>
      </c>
      <c r="H110" s="193" t="s">
        <v>821</v>
      </c>
      <c r="I110" s="193" t="s">
        <v>650</v>
      </c>
      <c r="J110" s="193" t="s">
        <v>676</v>
      </c>
      <c r="K110" s="193" t="s">
        <v>650</v>
      </c>
      <c r="L110" s="193" t="s">
        <v>741</v>
      </c>
      <c r="M110" s="199" t="str">
        <f t="shared" si="1"/>
        <v>View on Google Map</v>
      </c>
    </row>
    <row r="111" spans="1:13" x14ac:dyDescent="0.2">
      <c r="A111" s="193">
        <v>232</v>
      </c>
      <c r="B111" s="193" t="s">
        <v>822</v>
      </c>
      <c r="C111" s="193" t="s">
        <v>650</v>
      </c>
      <c r="D111" s="193">
        <v>69.266666666666666</v>
      </c>
      <c r="E111" s="193">
        <v>-148.46666666666667</v>
      </c>
      <c r="F111" s="193">
        <v>338.71951219512198</v>
      </c>
      <c r="G111" s="193" t="s">
        <v>661</v>
      </c>
      <c r="H111" s="193" t="s">
        <v>823</v>
      </c>
      <c r="I111" s="193" t="s">
        <v>650</v>
      </c>
      <c r="J111" s="193" t="s">
        <v>676</v>
      </c>
      <c r="K111" s="193" t="s">
        <v>650</v>
      </c>
      <c r="L111" s="193" t="s">
        <v>739</v>
      </c>
      <c r="M111" s="199" t="str">
        <f t="shared" si="1"/>
        <v>View on Google Map</v>
      </c>
    </row>
    <row r="112" spans="1:13" x14ac:dyDescent="0.2">
      <c r="A112" s="193">
        <v>239</v>
      </c>
      <c r="B112" s="193" t="s">
        <v>824</v>
      </c>
      <c r="C112" s="193" t="s">
        <v>825</v>
      </c>
      <c r="D112" s="193" t="s">
        <v>650</v>
      </c>
      <c r="E112" s="193" t="s">
        <v>650</v>
      </c>
      <c r="F112" s="193" t="s">
        <v>650</v>
      </c>
      <c r="G112" s="193" t="s">
        <v>661</v>
      </c>
      <c r="H112" s="193" t="s">
        <v>650</v>
      </c>
      <c r="I112" s="193" t="s">
        <v>650</v>
      </c>
      <c r="J112" s="193" t="s">
        <v>676</v>
      </c>
      <c r="K112" s="193" t="s">
        <v>650</v>
      </c>
      <c r="L112" s="193" t="s">
        <v>826</v>
      </c>
      <c r="M112" s="199" t="str">
        <f t="shared" si="1"/>
        <v>View on Google Map</v>
      </c>
    </row>
    <row r="113" spans="1:13" x14ac:dyDescent="0.2">
      <c r="A113" s="193">
        <v>144</v>
      </c>
      <c r="B113" s="193" t="s">
        <v>827</v>
      </c>
      <c r="C113" s="193" t="s">
        <v>828</v>
      </c>
      <c r="D113" s="193">
        <v>68.63333333333334</v>
      </c>
      <c r="E113" s="193">
        <v>-149.6</v>
      </c>
      <c r="F113" s="193">
        <v>719</v>
      </c>
      <c r="G113" s="193" t="s">
        <v>661</v>
      </c>
      <c r="H113" s="193" t="s">
        <v>650</v>
      </c>
      <c r="I113" s="193" t="s">
        <v>650</v>
      </c>
      <c r="J113" s="193" t="s">
        <v>676</v>
      </c>
      <c r="K113" s="193" t="s">
        <v>650</v>
      </c>
      <c r="L113" s="193" t="s">
        <v>677</v>
      </c>
      <c r="M113" s="199" t="str">
        <f t="shared" si="1"/>
        <v>View on Google Map</v>
      </c>
    </row>
    <row r="114" spans="1:13" x14ac:dyDescent="0.2">
      <c r="A114" s="193">
        <v>401</v>
      </c>
      <c r="B114" s="193" t="s">
        <v>829</v>
      </c>
      <c r="C114" s="193" t="s">
        <v>650</v>
      </c>
      <c r="D114" s="193" t="s">
        <v>650</v>
      </c>
      <c r="E114" s="193" t="s">
        <v>650</v>
      </c>
      <c r="F114" s="193" t="s">
        <v>650</v>
      </c>
      <c r="G114" s="193" t="s">
        <v>661</v>
      </c>
      <c r="H114" s="193" t="s">
        <v>650</v>
      </c>
      <c r="I114" s="193" t="s">
        <v>650</v>
      </c>
      <c r="J114" s="193" t="s">
        <v>676</v>
      </c>
      <c r="K114" s="193" t="s">
        <v>650</v>
      </c>
      <c r="L114" s="193" t="s">
        <v>830</v>
      </c>
      <c r="M114" s="199" t="str">
        <f t="shared" si="1"/>
        <v>View on Google Map</v>
      </c>
    </row>
    <row r="115" spans="1:13" x14ac:dyDescent="0.2">
      <c r="A115" s="193">
        <v>403</v>
      </c>
      <c r="B115" s="193" t="s">
        <v>831</v>
      </c>
      <c r="C115" s="193" t="s">
        <v>650</v>
      </c>
      <c r="D115" s="193" t="s">
        <v>650</v>
      </c>
      <c r="E115" s="193" t="s">
        <v>650</v>
      </c>
      <c r="F115" s="193" t="s">
        <v>650</v>
      </c>
      <c r="G115" s="193" t="s">
        <v>661</v>
      </c>
      <c r="H115" s="193" t="s">
        <v>650</v>
      </c>
      <c r="I115" s="193" t="s">
        <v>650</v>
      </c>
      <c r="J115" s="193" t="s">
        <v>676</v>
      </c>
      <c r="K115" s="193" t="s">
        <v>650</v>
      </c>
      <c r="L115" s="193" t="s">
        <v>832</v>
      </c>
      <c r="M115" s="199" t="str">
        <f t="shared" si="1"/>
        <v>View on Google Map</v>
      </c>
    </row>
    <row r="116" spans="1:13" x14ac:dyDescent="0.2">
      <c r="A116" s="193">
        <v>403</v>
      </c>
      <c r="B116" s="193" t="s">
        <v>831</v>
      </c>
      <c r="C116" s="193" t="s">
        <v>650</v>
      </c>
      <c r="D116" s="193" t="s">
        <v>650</v>
      </c>
      <c r="E116" s="193" t="s">
        <v>650</v>
      </c>
      <c r="F116" s="193" t="s">
        <v>650</v>
      </c>
      <c r="G116" s="193" t="s">
        <v>661</v>
      </c>
      <c r="H116" s="193" t="s">
        <v>650</v>
      </c>
      <c r="I116" s="193" t="s">
        <v>650</v>
      </c>
      <c r="J116" s="193" t="s">
        <v>676</v>
      </c>
      <c r="K116" s="193" t="s">
        <v>650</v>
      </c>
      <c r="L116" s="193" t="s">
        <v>832</v>
      </c>
      <c r="M116" s="199" t="str">
        <f t="shared" si="1"/>
        <v>View on Google Map</v>
      </c>
    </row>
    <row r="117" spans="1:13" x14ac:dyDescent="0.2">
      <c r="A117" s="193">
        <v>1209</v>
      </c>
      <c r="B117" s="193" t="s">
        <v>833</v>
      </c>
      <c r="C117" s="193" t="s">
        <v>834</v>
      </c>
      <c r="D117" s="193">
        <v>68.934420000000003</v>
      </c>
      <c r="E117" s="193">
        <v>-150.21242000000001</v>
      </c>
      <c r="F117" s="193" t="s">
        <v>650</v>
      </c>
      <c r="G117" s="193" t="s">
        <v>651</v>
      </c>
      <c r="H117" s="193" t="s">
        <v>650</v>
      </c>
      <c r="I117" s="193" t="s">
        <v>650</v>
      </c>
      <c r="J117" s="193" t="s">
        <v>657</v>
      </c>
      <c r="K117" s="193" t="s">
        <v>650</v>
      </c>
      <c r="L117" s="193" t="s">
        <v>658</v>
      </c>
      <c r="M117" s="199" t="str">
        <f t="shared" si="1"/>
        <v>View on Google Map</v>
      </c>
    </row>
    <row r="118" spans="1:13" x14ac:dyDescent="0.2">
      <c r="A118" s="193">
        <v>482</v>
      </c>
      <c r="B118" s="193" t="s">
        <v>835</v>
      </c>
      <c r="C118" s="193" t="s">
        <v>650</v>
      </c>
      <c r="D118" s="193">
        <v>68.951483332999999</v>
      </c>
      <c r="E118" s="193">
        <v>-150.194333333</v>
      </c>
      <c r="F118" s="193">
        <v>399</v>
      </c>
      <c r="G118" s="193" t="s">
        <v>661</v>
      </c>
      <c r="H118" s="193" t="s">
        <v>650</v>
      </c>
      <c r="I118" s="193" t="s">
        <v>650</v>
      </c>
      <c r="J118" s="193" t="s">
        <v>711</v>
      </c>
      <c r="K118" s="193" t="s">
        <v>650</v>
      </c>
      <c r="L118" s="193" t="s">
        <v>658</v>
      </c>
      <c r="M118" s="199" t="str">
        <f t="shared" si="1"/>
        <v>View on Google Map</v>
      </c>
    </row>
    <row r="119" spans="1:13" x14ac:dyDescent="0.2">
      <c r="A119" s="193">
        <v>483</v>
      </c>
      <c r="B119" s="193" t="s">
        <v>836</v>
      </c>
      <c r="C119" s="193" t="s">
        <v>650</v>
      </c>
      <c r="D119" s="193">
        <v>68.950783333000004</v>
      </c>
      <c r="E119" s="193">
        <v>-150.19835</v>
      </c>
      <c r="F119" s="193">
        <v>399</v>
      </c>
      <c r="G119" s="193" t="s">
        <v>675</v>
      </c>
      <c r="H119" s="193" t="s">
        <v>837</v>
      </c>
      <c r="I119" s="193" t="s">
        <v>650</v>
      </c>
      <c r="J119" s="193" t="s">
        <v>711</v>
      </c>
      <c r="K119" s="193" t="s">
        <v>650</v>
      </c>
      <c r="L119" s="193" t="s">
        <v>658</v>
      </c>
      <c r="M119" s="199" t="str">
        <f t="shared" si="1"/>
        <v>View on Google Map</v>
      </c>
    </row>
    <row r="120" spans="1:13" x14ac:dyDescent="0.2">
      <c r="A120" s="193">
        <v>484</v>
      </c>
      <c r="B120" s="193" t="s">
        <v>838</v>
      </c>
      <c r="C120" s="193" t="s">
        <v>650</v>
      </c>
      <c r="D120" s="193">
        <v>68.957549999999998</v>
      </c>
      <c r="E120" s="193">
        <v>-150.200916667</v>
      </c>
      <c r="F120" s="193">
        <v>399</v>
      </c>
      <c r="G120" s="193" t="s">
        <v>661</v>
      </c>
      <c r="H120" s="193" t="s">
        <v>839</v>
      </c>
      <c r="I120" s="193" t="s">
        <v>840</v>
      </c>
      <c r="J120" s="193" t="s">
        <v>711</v>
      </c>
      <c r="K120" s="193" t="s">
        <v>650</v>
      </c>
      <c r="L120" s="193" t="s">
        <v>658</v>
      </c>
      <c r="M120" s="199" t="str">
        <f t="shared" si="1"/>
        <v>View on Google Map</v>
      </c>
    </row>
    <row r="121" spans="1:13" x14ac:dyDescent="0.2">
      <c r="A121" s="193">
        <v>485</v>
      </c>
      <c r="B121" s="193" t="s">
        <v>841</v>
      </c>
      <c r="C121" s="193" t="s">
        <v>650</v>
      </c>
      <c r="D121" s="193">
        <v>68.95675</v>
      </c>
      <c r="E121" s="193">
        <v>-150.19700833300001</v>
      </c>
      <c r="F121" s="193">
        <v>399</v>
      </c>
      <c r="G121" s="193" t="s">
        <v>661</v>
      </c>
      <c r="H121" s="193" t="s">
        <v>842</v>
      </c>
      <c r="I121" s="193" t="s">
        <v>650</v>
      </c>
      <c r="J121" s="193" t="s">
        <v>711</v>
      </c>
      <c r="K121" s="193" t="s">
        <v>650</v>
      </c>
      <c r="L121" s="193" t="s">
        <v>658</v>
      </c>
      <c r="M121" s="199" t="str">
        <f t="shared" si="1"/>
        <v>View on Google Map</v>
      </c>
    </row>
    <row r="122" spans="1:13" x14ac:dyDescent="0.2">
      <c r="A122" s="193">
        <v>514</v>
      </c>
      <c r="B122" s="193" t="s">
        <v>843</v>
      </c>
      <c r="C122" s="193" t="s">
        <v>660</v>
      </c>
      <c r="D122" s="193">
        <v>68.418130000000005</v>
      </c>
      <c r="E122" s="193">
        <v>-151.58454</v>
      </c>
      <c r="F122" s="193">
        <v>876</v>
      </c>
      <c r="G122" s="193" t="s">
        <v>661</v>
      </c>
      <c r="H122" s="193" t="s">
        <v>650</v>
      </c>
      <c r="I122" s="193" t="s">
        <v>650</v>
      </c>
      <c r="J122" s="193" t="s">
        <v>662</v>
      </c>
      <c r="K122" s="193" t="s">
        <v>650</v>
      </c>
      <c r="L122" s="193" t="s">
        <v>663</v>
      </c>
      <c r="M122" s="199" t="str">
        <f t="shared" si="1"/>
        <v>View on Google Map</v>
      </c>
    </row>
    <row r="123" spans="1:13" x14ac:dyDescent="0.2">
      <c r="A123" s="193">
        <v>400</v>
      </c>
      <c r="B123" s="193" t="s">
        <v>844</v>
      </c>
      <c r="C123" s="193" t="s">
        <v>650</v>
      </c>
      <c r="D123" s="193" t="s">
        <v>650</v>
      </c>
      <c r="E123" s="193" t="s">
        <v>650</v>
      </c>
      <c r="F123" s="193" t="s">
        <v>650</v>
      </c>
      <c r="G123" s="193" t="s">
        <v>661</v>
      </c>
      <c r="H123" s="193" t="s">
        <v>650</v>
      </c>
      <c r="I123" s="193" t="s">
        <v>650</v>
      </c>
      <c r="J123" s="193" t="s">
        <v>676</v>
      </c>
      <c r="K123" s="193" t="s">
        <v>650</v>
      </c>
      <c r="L123" s="193" t="s">
        <v>830</v>
      </c>
      <c r="M123" s="199" t="str">
        <f t="shared" si="1"/>
        <v>View on Google Map</v>
      </c>
    </row>
    <row r="124" spans="1:13" x14ac:dyDescent="0.2">
      <c r="A124" s="193">
        <v>137</v>
      </c>
      <c r="B124" s="193" t="s">
        <v>845</v>
      </c>
      <c r="C124" s="193" t="s">
        <v>650</v>
      </c>
      <c r="D124" s="193">
        <v>70.3</v>
      </c>
      <c r="E124" s="193">
        <v>-148.28333333333333</v>
      </c>
      <c r="F124" s="193">
        <v>6</v>
      </c>
      <c r="G124" s="193" t="s">
        <v>661</v>
      </c>
      <c r="H124" s="193" t="s">
        <v>846</v>
      </c>
      <c r="I124" s="193" t="s">
        <v>650</v>
      </c>
      <c r="J124" s="193" t="s">
        <v>676</v>
      </c>
      <c r="K124" s="193" t="s">
        <v>650</v>
      </c>
      <c r="L124" s="193" t="s">
        <v>677</v>
      </c>
      <c r="M124" s="199" t="str">
        <f t="shared" si="1"/>
        <v>View on Google Map</v>
      </c>
    </row>
    <row r="125" spans="1:13" x14ac:dyDescent="0.2">
      <c r="A125" s="193">
        <v>146</v>
      </c>
      <c r="B125" s="193" t="s">
        <v>847</v>
      </c>
      <c r="C125" s="193" t="s">
        <v>650</v>
      </c>
      <c r="D125" s="193">
        <v>68.626195602799996</v>
      </c>
      <c r="E125" s="193">
        <v>-149.55534770599999</v>
      </c>
      <c r="F125" s="193">
        <v>762</v>
      </c>
      <c r="G125" s="193" t="s">
        <v>661</v>
      </c>
      <c r="H125" s="193" t="s">
        <v>848</v>
      </c>
      <c r="I125" s="193" t="s">
        <v>849</v>
      </c>
      <c r="J125" s="193" t="s">
        <v>676</v>
      </c>
      <c r="K125" s="193" t="s">
        <v>650</v>
      </c>
      <c r="L125" s="193" t="s">
        <v>650</v>
      </c>
      <c r="M125" s="199" t="str">
        <f t="shared" si="1"/>
        <v>View on Google Map</v>
      </c>
    </row>
    <row r="126" spans="1:13" x14ac:dyDescent="0.2">
      <c r="A126" s="193">
        <v>18</v>
      </c>
      <c r="B126" s="193" t="s">
        <v>850</v>
      </c>
      <c r="C126" s="193" t="s">
        <v>650</v>
      </c>
      <c r="D126" s="193" t="s">
        <v>650</v>
      </c>
      <c r="E126" s="193" t="s">
        <v>650</v>
      </c>
      <c r="F126" s="193">
        <v>762</v>
      </c>
      <c r="G126" s="193" t="s">
        <v>675</v>
      </c>
      <c r="H126" s="193" t="s">
        <v>851</v>
      </c>
      <c r="I126" s="193" t="s">
        <v>852</v>
      </c>
      <c r="J126" s="193" t="s">
        <v>676</v>
      </c>
      <c r="K126" s="193" t="s">
        <v>650</v>
      </c>
      <c r="L126" s="193" t="s">
        <v>650</v>
      </c>
      <c r="M126" s="199" t="str">
        <f t="shared" si="1"/>
        <v>View on Google Map</v>
      </c>
    </row>
    <row r="127" spans="1:13" x14ac:dyDescent="0.2">
      <c r="A127" s="193">
        <v>310</v>
      </c>
      <c r="B127" s="193" t="s">
        <v>853</v>
      </c>
      <c r="C127" s="193" t="s">
        <v>650</v>
      </c>
      <c r="D127" s="193">
        <v>68.622894947099994</v>
      </c>
      <c r="E127" s="193">
        <v>-149.54328383999999</v>
      </c>
      <c r="F127" s="193" t="s">
        <v>650</v>
      </c>
      <c r="G127" s="193" t="s">
        <v>661</v>
      </c>
      <c r="H127" s="193" t="s">
        <v>854</v>
      </c>
      <c r="I127" s="193" t="s">
        <v>855</v>
      </c>
      <c r="J127" s="193" t="s">
        <v>676</v>
      </c>
      <c r="K127" s="193" t="s">
        <v>650</v>
      </c>
      <c r="L127" s="193" t="s">
        <v>650</v>
      </c>
      <c r="M127" s="199" t="str">
        <f t="shared" si="1"/>
        <v>View on Google Map</v>
      </c>
    </row>
    <row r="128" spans="1:13" x14ac:dyDescent="0.2">
      <c r="A128" s="193">
        <v>311</v>
      </c>
      <c r="B128" s="193" t="s">
        <v>856</v>
      </c>
      <c r="C128" s="193" t="s">
        <v>650</v>
      </c>
      <c r="D128" s="193">
        <v>68.623910828999996</v>
      </c>
      <c r="E128" s="193">
        <v>-149.53118563999999</v>
      </c>
      <c r="F128" s="193" t="s">
        <v>650</v>
      </c>
      <c r="G128" s="193" t="s">
        <v>661</v>
      </c>
      <c r="H128" s="193" t="s">
        <v>857</v>
      </c>
      <c r="I128" s="193" t="s">
        <v>858</v>
      </c>
      <c r="J128" s="193" t="s">
        <v>676</v>
      </c>
      <c r="K128" s="193" t="s">
        <v>650</v>
      </c>
      <c r="L128" s="193" t="s">
        <v>650</v>
      </c>
      <c r="M128" s="199" t="str">
        <f t="shared" si="1"/>
        <v>View on Google Map</v>
      </c>
    </row>
    <row r="129" spans="1:13" x14ac:dyDescent="0.2">
      <c r="A129" s="193">
        <v>312</v>
      </c>
      <c r="B129" s="193" t="s">
        <v>859</v>
      </c>
      <c r="C129" s="193" t="s">
        <v>650</v>
      </c>
      <c r="D129" s="193">
        <v>68.6277698106</v>
      </c>
      <c r="E129" s="193">
        <v>-149.497737003</v>
      </c>
      <c r="F129" s="193" t="s">
        <v>650</v>
      </c>
      <c r="G129" s="193" t="s">
        <v>661</v>
      </c>
      <c r="H129" s="193" t="s">
        <v>860</v>
      </c>
      <c r="I129" s="193" t="s">
        <v>861</v>
      </c>
      <c r="J129" s="193" t="s">
        <v>676</v>
      </c>
      <c r="K129" s="193" t="s">
        <v>650</v>
      </c>
      <c r="L129" s="193" t="s">
        <v>650</v>
      </c>
      <c r="M129" s="199" t="str">
        <f t="shared" si="1"/>
        <v>View on Google Map</v>
      </c>
    </row>
    <row r="130" spans="1:13" x14ac:dyDescent="0.2">
      <c r="A130" s="193">
        <v>145</v>
      </c>
      <c r="B130" s="193" t="s">
        <v>862</v>
      </c>
      <c r="C130" s="193" t="s">
        <v>650</v>
      </c>
      <c r="D130" s="193">
        <v>68.642611000000002</v>
      </c>
      <c r="E130" s="193">
        <v>-149.458079</v>
      </c>
      <c r="F130" s="193">
        <v>800</v>
      </c>
      <c r="G130" s="193" t="s">
        <v>661</v>
      </c>
      <c r="H130" s="193" t="s">
        <v>863</v>
      </c>
      <c r="I130" s="193" t="s">
        <v>864</v>
      </c>
      <c r="J130" s="193" t="s">
        <v>676</v>
      </c>
      <c r="K130" s="193" t="s">
        <v>650</v>
      </c>
      <c r="L130" s="193" t="s">
        <v>650</v>
      </c>
      <c r="M130" s="199" t="str">
        <f t="shared" si="1"/>
        <v>View on Google Map</v>
      </c>
    </row>
    <row r="131" spans="1:13" x14ac:dyDescent="0.2">
      <c r="A131" s="193">
        <v>399</v>
      </c>
      <c r="B131" s="193" t="s">
        <v>865</v>
      </c>
      <c r="C131" s="193" t="s">
        <v>650</v>
      </c>
      <c r="D131" s="193">
        <v>68.643427058300006</v>
      </c>
      <c r="E131" s="193">
        <v>-149.44056459199999</v>
      </c>
      <c r="F131" s="193">
        <v>792</v>
      </c>
      <c r="G131" s="193" t="s">
        <v>661</v>
      </c>
      <c r="H131" s="193" t="s">
        <v>866</v>
      </c>
      <c r="I131" s="193" t="s">
        <v>867</v>
      </c>
      <c r="J131" s="193" t="s">
        <v>676</v>
      </c>
      <c r="K131" s="193" t="s">
        <v>650</v>
      </c>
      <c r="L131" s="193" t="s">
        <v>650</v>
      </c>
      <c r="M131" s="199" t="str">
        <f t="shared" ref="M131:M194" si="2">HYPERLINK("http://maps.google.com/maps?q="&amp;D131&amp;","&amp;E131,"View on Google Map")</f>
        <v>View on Google Map</v>
      </c>
    </row>
    <row r="132" spans="1:13" x14ac:dyDescent="0.2">
      <c r="A132" s="193">
        <v>1605</v>
      </c>
      <c r="B132" s="193" t="s">
        <v>868</v>
      </c>
      <c r="C132" s="193" t="s">
        <v>650</v>
      </c>
      <c r="D132" s="193" t="s">
        <v>650</v>
      </c>
      <c r="E132" s="193" t="s">
        <v>650</v>
      </c>
      <c r="F132" s="193" t="s">
        <v>650</v>
      </c>
      <c r="G132" s="193" t="s">
        <v>675</v>
      </c>
      <c r="H132" s="193" t="s">
        <v>869</v>
      </c>
      <c r="I132" s="193" t="s">
        <v>870</v>
      </c>
      <c r="J132" s="193" t="s">
        <v>676</v>
      </c>
      <c r="K132" s="193" t="s">
        <v>650</v>
      </c>
      <c r="L132" s="193" t="s">
        <v>650</v>
      </c>
      <c r="M132" s="199" t="str">
        <f t="shared" si="2"/>
        <v>View on Google Map</v>
      </c>
    </row>
    <row r="133" spans="1:13" x14ac:dyDescent="0.2">
      <c r="A133" s="193">
        <v>1606</v>
      </c>
      <c r="B133" s="193" t="s">
        <v>871</v>
      </c>
      <c r="C133" s="193" t="s">
        <v>650</v>
      </c>
      <c r="D133" s="193" t="s">
        <v>650</v>
      </c>
      <c r="E133" s="193" t="s">
        <v>650</v>
      </c>
      <c r="F133" s="193" t="s">
        <v>650</v>
      </c>
      <c r="G133" s="193" t="s">
        <v>675</v>
      </c>
      <c r="H133" s="193" t="s">
        <v>872</v>
      </c>
      <c r="I133" s="193" t="s">
        <v>873</v>
      </c>
      <c r="J133" s="193" t="s">
        <v>676</v>
      </c>
      <c r="K133" s="193" t="s">
        <v>650</v>
      </c>
      <c r="L133" s="193" t="s">
        <v>650</v>
      </c>
      <c r="M133" s="199" t="str">
        <f t="shared" si="2"/>
        <v>View on Google Map</v>
      </c>
    </row>
    <row r="134" spans="1:13" x14ac:dyDescent="0.2">
      <c r="A134" s="193">
        <v>1604</v>
      </c>
      <c r="B134" s="193" t="s">
        <v>874</v>
      </c>
      <c r="C134" s="193" t="s">
        <v>650</v>
      </c>
      <c r="D134" s="193" t="s">
        <v>650</v>
      </c>
      <c r="E134" s="193" t="s">
        <v>650</v>
      </c>
      <c r="F134" s="193" t="s">
        <v>650</v>
      </c>
      <c r="G134" s="193" t="s">
        <v>675</v>
      </c>
      <c r="H134" s="193" t="s">
        <v>875</v>
      </c>
      <c r="I134" s="193" t="s">
        <v>876</v>
      </c>
      <c r="J134" s="193" t="s">
        <v>676</v>
      </c>
      <c r="K134" s="193" t="s">
        <v>650</v>
      </c>
      <c r="L134" s="193" t="s">
        <v>650</v>
      </c>
      <c r="M134" s="199" t="str">
        <f t="shared" si="2"/>
        <v>View on Google Map</v>
      </c>
    </row>
    <row r="135" spans="1:13" x14ac:dyDescent="0.2">
      <c r="A135" s="193">
        <v>24</v>
      </c>
      <c r="B135" s="193" t="s">
        <v>877</v>
      </c>
      <c r="C135" s="193" t="s">
        <v>650</v>
      </c>
      <c r="D135" s="193" t="s">
        <v>650</v>
      </c>
      <c r="E135" s="193" t="s">
        <v>650</v>
      </c>
      <c r="F135" s="193" t="s">
        <v>650</v>
      </c>
      <c r="G135" s="193" t="s">
        <v>675</v>
      </c>
      <c r="H135" s="193" t="s">
        <v>650</v>
      </c>
      <c r="I135" s="193" t="s">
        <v>650</v>
      </c>
      <c r="J135" s="193" t="s">
        <v>676</v>
      </c>
      <c r="K135" s="193" t="s">
        <v>650</v>
      </c>
      <c r="L135" s="193" t="s">
        <v>650</v>
      </c>
      <c r="M135" s="199" t="str">
        <f t="shared" si="2"/>
        <v>View on Google Map</v>
      </c>
    </row>
    <row r="136" spans="1:13" x14ac:dyDescent="0.2">
      <c r="A136" s="193">
        <v>143</v>
      </c>
      <c r="B136" s="193" t="s">
        <v>878</v>
      </c>
      <c r="C136" s="193" t="s">
        <v>879</v>
      </c>
      <c r="D136" s="193">
        <v>68.650000000000006</v>
      </c>
      <c r="E136" s="193">
        <v>-148.5</v>
      </c>
      <c r="F136" s="193">
        <v>525</v>
      </c>
      <c r="G136" s="193" t="s">
        <v>661</v>
      </c>
      <c r="H136" s="193" t="s">
        <v>650</v>
      </c>
      <c r="I136" s="193" t="s">
        <v>650</v>
      </c>
      <c r="J136" s="193" t="s">
        <v>676</v>
      </c>
      <c r="K136" s="193" t="s">
        <v>650</v>
      </c>
      <c r="L136" s="193" t="s">
        <v>677</v>
      </c>
      <c r="M136" s="199" t="str">
        <f t="shared" si="2"/>
        <v>View on Google Map</v>
      </c>
    </row>
    <row r="137" spans="1:13" x14ac:dyDescent="0.2">
      <c r="A137" s="193">
        <v>464</v>
      </c>
      <c r="B137" s="193" t="s">
        <v>880</v>
      </c>
      <c r="C137" s="193" t="s">
        <v>650</v>
      </c>
      <c r="D137" s="193">
        <v>68.793719999999993</v>
      </c>
      <c r="E137" s="193">
        <v>-149.47560999999999</v>
      </c>
      <c r="F137" s="193">
        <v>702</v>
      </c>
      <c r="G137" s="193" t="s">
        <v>661</v>
      </c>
      <c r="H137" s="193" t="s">
        <v>650</v>
      </c>
      <c r="I137" s="193" t="s">
        <v>650</v>
      </c>
      <c r="J137" s="193" t="s">
        <v>662</v>
      </c>
      <c r="K137" s="193" t="s">
        <v>650</v>
      </c>
      <c r="L137" s="193" t="s">
        <v>650</v>
      </c>
      <c r="M137" s="199" t="str">
        <f t="shared" si="2"/>
        <v>View on Google Map</v>
      </c>
    </row>
    <row r="138" spans="1:13" x14ac:dyDescent="0.2">
      <c r="A138" s="193">
        <v>465</v>
      </c>
      <c r="B138" s="193" t="s">
        <v>881</v>
      </c>
      <c r="C138" s="193" t="s">
        <v>650</v>
      </c>
      <c r="D138" s="193">
        <v>68.796220000000005</v>
      </c>
      <c r="E138" s="193">
        <v>-149.48222000000001</v>
      </c>
      <c r="F138" s="193">
        <v>698</v>
      </c>
      <c r="G138" s="193" t="s">
        <v>661</v>
      </c>
      <c r="H138" s="193" t="s">
        <v>650</v>
      </c>
      <c r="I138" s="193" t="s">
        <v>650</v>
      </c>
      <c r="J138" s="193" t="s">
        <v>662</v>
      </c>
      <c r="K138" s="193" t="s">
        <v>650</v>
      </c>
      <c r="L138" s="193" t="s">
        <v>650</v>
      </c>
      <c r="M138" s="199" t="str">
        <f t="shared" si="2"/>
        <v>View on Google Map</v>
      </c>
    </row>
    <row r="139" spans="1:13" x14ac:dyDescent="0.2">
      <c r="A139" s="193">
        <v>466</v>
      </c>
      <c r="B139" s="193" t="s">
        <v>882</v>
      </c>
      <c r="C139" s="193" t="s">
        <v>650</v>
      </c>
      <c r="D139" s="193">
        <v>68.798249999999996</v>
      </c>
      <c r="E139" s="193">
        <v>-149.47832</v>
      </c>
      <c r="F139" s="193">
        <v>697</v>
      </c>
      <c r="G139" s="193" t="s">
        <v>661</v>
      </c>
      <c r="H139" s="193" t="s">
        <v>650</v>
      </c>
      <c r="I139" s="193" t="s">
        <v>650</v>
      </c>
      <c r="J139" s="193" t="s">
        <v>662</v>
      </c>
      <c r="K139" s="193" t="s">
        <v>650</v>
      </c>
      <c r="L139" s="193" t="s">
        <v>650</v>
      </c>
      <c r="M139" s="199" t="str">
        <f t="shared" si="2"/>
        <v>View on Google Map</v>
      </c>
    </row>
    <row r="140" spans="1:13" x14ac:dyDescent="0.2">
      <c r="A140" s="193">
        <v>467</v>
      </c>
      <c r="B140" s="193" t="s">
        <v>883</v>
      </c>
      <c r="C140" s="193" t="s">
        <v>650</v>
      </c>
      <c r="D140" s="193">
        <v>68.794659999999993</v>
      </c>
      <c r="E140" s="193">
        <v>-149.46985000000001</v>
      </c>
      <c r="F140" s="193">
        <v>702</v>
      </c>
      <c r="G140" s="193" t="s">
        <v>661</v>
      </c>
      <c r="H140" s="193" t="s">
        <v>650</v>
      </c>
      <c r="I140" s="193" t="s">
        <v>650</v>
      </c>
      <c r="J140" s="193" t="s">
        <v>662</v>
      </c>
      <c r="K140" s="193" t="s">
        <v>650</v>
      </c>
      <c r="L140" s="193" t="s">
        <v>650</v>
      </c>
      <c r="M140" s="199" t="str">
        <f t="shared" si="2"/>
        <v>View on Google Map</v>
      </c>
    </row>
    <row r="141" spans="1:13" x14ac:dyDescent="0.2">
      <c r="A141" s="193">
        <v>468</v>
      </c>
      <c r="B141" s="193" t="s">
        <v>884</v>
      </c>
      <c r="C141" s="193" t="s">
        <v>650</v>
      </c>
      <c r="D141" s="193">
        <v>68.797669999999997</v>
      </c>
      <c r="E141" s="193">
        <v>-149.46574000000001</v>
      </c>
      <c r="F141" s="193">
        <v>692</v>
      </c>
      <c r="G141" s="193" t="s">
        <v>661</v>
      </c>
      <c r="H141" s="193" t="s">
        <v>650</v>
      </c>
      <c r="I141" s="193" t="s">
        <v>650</v>
      </c>
      <c r="J141" s="193" t="s">
        <v>662</v>
      </c>
      <c r="K141" s="193" t="s">
        <v>650</v>
      </c>
      <c r="L141" s="193" t="s">
        <v>650</v>
      </c>
      <c r="M141" s="199" t="str">
        <f t="shared" si="2"/>
        <v>View on Google Map</v>
      </c>
    </row>
    <row r="142" spans="1:13" x14ac:dyDescent="0.2">
      <c r="A142" s="193">
        <v>469</v>
      </c>
      <c r="B142" s="193" t="s">
        <v>885</v>
      </c>
      <c r="C142" s="193" t="s">
        <v>650</v>
      </c>
      <c r="D142" s="193">
        <v>68.802390000000003</v>
      </c>
      <c r="E142" s="193">
        <v>-149.46473</v>
      </c>
      <c r="F142" s="193">
        <v>683</v>
      </c>
      <c r="G142" s="193" t="s">
        <v>661</v>
      </c>
      <c r="H142" s="193" t="s">
        <v>650</v>
      </c>
      <c r="I142" s="193" t="s">
        <v>650</v>
      </c>
      <c r="J142" s="193" t="s">
        <v>662</v>
      </c>
      <c r="K142" s="193" t="s">
        <v>650</v>
      </c>
      <c r="L142" s="193" t="s">
        <v>650</v>
      </c>
      <c r="M142" s="199" t="str">
        <f t="shared" si="2"/>
        <v>View on Google Map</v>
      </c>
    </row>
    <row r="143" spans="1:13" x14ac:dyDescent="0.2">
      <c r="A143" s="193">
        <v>406</v>
      </c>
      <c r="B143" s="193" t="s">
        <v>886</v>
      </c>
      <c r="C143" s="193" t="s">
        <v>650</v>
      </c>
      <c r="D143" s="193" t="s">
        <v>650</v>
      </c>
      <c r="E143" s="193" t="s">
        <v>650</v>
      </c>
      <c r="F143" s="193" t="s">
        <v>650</v>
      </c>
      <c r="G143" s="193" t="s">
        <v>661</v>
      </c>
      <c r="H143" s="193" t="s">
        <v>650</v>
      </c>
      <c r="I143" s="193" t="s">
        <v>650</v>
      </c>
      <c r="J143" s="193" t="s">
        <v>676</v>
      </c>
      <c r="K143" s="193" t="s">
        <v>650</v>
      </c>
      <c r="L143" s="193" t="s">
        <v>832</v>
      </c>
      <c r="M143" s="199" t="str">
        <f t="shared" si="2"/>
        <v>View on Google Map</v>
      </c>
    </row>
    <row r="144" spans="1:13" x14ac:dyDescent="0.2">
      <c r="A144" s="193">
        <v>407</v>
      </c>
      <c r="B144" s="193" t="s">
        <v>887</v>
      </c>
      <c r="C144" s="193" t="s">
        <v>650</v>
      </c>
      <c r="D144" s="193" t="s">
        <v>650</v>
      </c>
      <c r="E144" s="193" t="s">
        <v>650</v>
      </c>
      <c r="F144" s="193" t="s">
        <v>650</v>
      </c>
      <c r="G144" s="193" t="s">
        <v>661</v>
      </c>
      <c r="H144" s="193" t="s">
        <v>650</v>
      </c>
      <c r="I144" s="193" t="s">
        <v>650</v>
      </c>
      <c r="J144" s="193" t="s">
        <v>676</v>
      </c>
      <c r="K144" s="193" t="s">
        <v>650</v>
      </c>
      <c r="L144" s="193" t="s">
        <v>832</v>
      </c>
      <c r="M144" s="199" t="str">
        <f t="shared" si="2"/>
        <v>View on Google Map</v>
      </c>
    </row>
    <row r="145" spans="1:13" x14ac:dyDescent="0.2">
      <c r="A145" s="193">
        <v>164</v>
      </c>
      <c r="B145" s="193" t="s">
        <v>888</v>
      </c>
      <c r="C145" s="193" t="s">
        <v>650</v>
      </c>
      <c r="D145" s="193">
        <v>68.683333333333337</v>
      </c>
      <c r="E145" s="193">
        <v>-149.07666666666699</v>
      </c>
      <c r="F145" s="193">
        <v>770</v>
      </c>
      <c r="G145" s="193" t="s">
        <v>661</v>
      </c>
      <c r="H145" s="193" t="s">
        <v>889</v>
      </c>
      <c r="I145" s="193" t="s">
        <v>890</v>
      </c>
      <c r="J145" s="193" t="s">
        <v>676</v>
      </c>
      <c r="K145" s="193">
        <v>274</v>
      </c>
      <c r="L145" s="193" t="s">
        <v>650</v>
      </c>
      <c r="M145" s="199" t="str">
        <f t="shared" si="2"/>
        <v>View on Google Map</v>
      </c>
    </row>
    <row r="146" spans="1:13" x14ac:dyDescent="0.2">
      <c r="A146" s="193">
        <v>165</v>
      </c>
      <c r="B146" s="193" t="s">
        <v>891</v>
      </c>
      <c r="C146" s="193" t="s">
        <v>650</v>
      </c>
      <c r="D146" s="193">
        <v>68.683333333333337</v>
      </c>
      <c r="E146" s="193">
        <v>-149.1</v>
      </c>
      <c r="F146" s="193">
        <v>785</v>
      </c>
      <c r="G146" s="193" t="s">
        <v>661</v>
      </c>
      <c r="H146" s="193" t="s">
        <v>892</v>
      </c>
      <c r="I146" s="193" t="s">
        <v>893</v>
      </c>
      <c r="J146" s="193" t="s">
        <v>676</v>
      </c>
      <c r="K146" s="193">
        <v>275</v>
      </c>
      <c r="L146" s="193" t="s">
        <v>650</v>
      </c>
      <c r="M146" s="199" t="str">
        <f t="shared" si="2"/>
        <v>View on Google Map</v>
      </c>
    </row>
    <row r="147" spans="1:13" x14ac:dyDescent="0.2">
      <c r="A147" s="193">
        <v>166</v>
      </c>
      <c r="B147" s="193" t="s">
        <v>894</v>
      </c>
      <c r="C147" s="193" t="s">
        <v>650</v>
      </c>
      <c r="D147" s="193">
        <v>68.666666666666671</v>
      </c>
      <c r="E147" s="193">
        <v>-149.1</v>
      </c>
      <c r="F147" s="193">
        <v>792</v>
      </c>
      <c r="G147" s="193" t="s">
        <v>661</v>
      </c>
      <c r="H147" s="193" t="s">
        <v>895</v>
      </c>
      <c r="I147" s="193" t="s">
        <v>896</v>
      </c>
      <c r="J147" s="193" t="s">
        <v>676</v>
      </c>
      <c r="K147" s="193">
        <v>276</v>
      </c>
      <c r="L147" s="193" t="s">
        <v>650</v>
      </c>
      <c r="M147" s="199" t="str">
        <f t="shared" si="2"/>
        <v>View on Google Map</v>
      </c>
    </row>
    <row r="148" spans="1:13" x14ac:dyDescent="0.2">
      <c r="A148" s="193">
        <v>167</v>
      </c>
      <c r="B148" s="193" t="s">
        <v>897</v>
      </c>
      <c r="C148" s="193" t="s">
        <v>650</v>
      </c>
      <c r="D148" s="193">
        <v>68.680000000000007</v>
      </c>
      <c r="E148" s="193">
        <v>-149.071666666667</v>
      </c>
      <c r="F148" s="193">
        <v>754</v>
      </c>
      <c r="G148" s="193" t="s">
        <v>661</v>
      </c>
      <c r="H148" s="193" t="s">
        <v>898</v>
      </c>
      <c r="I148" s="193" t="s">
        <v>899</v>
      </c>
      <c r="J148" s="193" t="s">
        <v>676</v>
      </c>
      <c r="K148" s="193" t="s">
        <v>650</v>
      </c>
      <c r="L148" s="193" t="s">
        <v>650</v>
      </c>
      <c r="M148" s="199" t="str">
        <f t="shared" si="2"/>
        <v>View on Google Map</v>
      </c>
    </row>
    <row r="149" spans="1:13" x14ac:dyDescent="0.2">
      <c r="A149" s="193">
        <v>168</v>
      </c>
      <c r="B149" s="193" t="s">
        <v>900</v>
      </c>
      <c r="C149" s="193" t="s">
        <v>650</v>
      </c>
      <c r="D149" s="193">
        <v>68.674999999999997</v>
      </c>
      <c r="E149" s="193">
        <v>-149.06</v>
      </c>
      <c r="F149" s="193" t="s">
        <v>650</v>
      </c>
      <c r="G149" s="193" t="s">
        <v>661</v>
      </c>
      <c r="H149" s="193" t="s">
        <v>901</v>
      </c>
      <c r="I149" s="193" t="s">
        <v>902</v>
      </c>
      <c r="J149" s="193" t="s">
        <v>676</v>
      </c>
      <c r="K149" s="193" t="s">
        <v>650</v>
      </c>
      <c r="L149" s="193" t="s">
        <v>650</v>
      </c>
      <c r="M149" s="199" t="str">
        <f t="shared" si="2"/>
        <v>View on Google Map</v>
      </c>
    </row>
    <row r="150" spans="1:13" x14ac:dyDescent="0.2">
      <c r="A150" s="193">
        <v>124</v>
      </c>
      <c r="B150" s="193" t="s">
        <v>903</v>
      </c>
      <c r="C150" s="193" t="s">
        <v>650</v>
      </c>
      <c r="D150" s="193">
        <v>68.466666666666669</v>
      </c>
      <c r="E150" s="193">
        <v>-149.5</v>
      </c>
      <c r="F150" s="193">
        <v>802</v>
      </c>
      <c r="G150" s="193" t="s">
        <v>661</v>
      </c>
      <c r="H150" s="193" t="s">
        <v>904</v>
      </c>
      <c r="I150" s="193" t="s">
        <v>650</v>
      </c>
      <c r="J150" s="193" t="s">
        <v>676</v>
      </c>
      <c r="K150" s="193" t="s">
        <v>650</v>
      </c>
      <c r="L150" s="193" t="s">
        <v>677</v>
      </c>
      <c r="M150" s="199" t="str">
        <f t="shared" si="2"/>
        <v>View on Google Map</v>
      </c>
    </row>
    <row r="151" spans="1:13" x14ac:dyDescent="0.2">
      <c r="A151" s="193">
        <v>432</v>
      </c>
      <c r="B151" s="193" t="s">
        <v>905</v>
      </c>
      <c r="C151" s="193" t="s">
        <v>650</v>
      </c>
      <c r="D151" s="193" t="s">
        <v>650</v>
      </c>
      <c r="E151" s="193" t="s">
        <v>650</v>
      </c>
      <c r="F151" s="193">
        <v>800</v>
      </c>
      <c r="G151" s="193" t="s">
        <v>661</v>
      </c>
      <c r="H151" s="193" t="s">
        <v>906</v>
      </c>
      <c r="I151" s="193" t="s">
        <v>650</v>
      </c>
      <c r="J151" s="193" t="s">
        <v>676</v>
      </c>
      <c r="K151" s="193" t="s">
        <v>650</v>
      </c>
      <c r="L151" s="193" t="s">
        <v>907</v>
      </c>
      <c r="M151" s="199" t="str">
        <f t="shared" si="2"/>
        <v>View on Google Map</v>
      </c>
    </row>
    <row r="152" spans="1:13" x14ac:dyDescent="0.2">
      <c r="A152" s="193">
        <v>433</v>
      </c>
      <c r="B152" s="193" t="s">
        <v>908</v>
      </c>
      <c r="C152" s="193" t="s">
        <v>650</v>
      </c>
      <c r="D152" s="193" t="s">
        <v>650</v>
      </c>
      <c r="E152" s="193" t="s">
        <v>650</v>
      </c>
      <c r="F152" s="193">
        <v>800</v>
      </c>
      <c r="G152" s="193" t="s">
        <v>661</v>
      </c>
      <c r="H152" s="193" t="s">
        <v>909</v>
      </c>
      <c r="I152" s="193" t="s">
        <v>650</v>
      </c>
      <c r="J152" s="193" t="s">
        <v>676</v>
      </c>
      <c r="K152" s="193" t="s">
        <v>650</v>
      </c>
      <c r="L152" s="193" t="s">
        <v>907</v>
      </c>
      <c r="M152" s="199" t="str">
        <f t="shared" si="2"/>
        <v>View on Google Map</v>
      </c>
    </row>
    <row r="153" spans="1:13" x14ac:dyDescent="0.2">
      <c r="A153" s="193">
        <v>434</v>
      </c>
      <c r="B153" s="193" t="s">
        <v>910</v>
      </c>
      <c r="C153" s="193" t="s">
        <v>650</v>
      </c>
      <c r="D153" s="193" t="s">
        <v>650</v>
      </c>
      <c r="E153" s="193" t="s">
        <v>650</v>
      </c>
      <c r="F153" s="193">
        <v>801</v>
      </c>
      <c r="G153" s="193" t="s">
        <v>661</v>
      </c>
      <c r="H153" s="193" t="s">
        <v>911</v>
      </c>
      <c r="I153" s="193" t="s">
        <v>650</v>
      </c>
      <c r="J153" s="193" t="s">
        <v>676</v>
      </c>
      <c r="K153" s="193" t="s">
        <v>650</v>
      </c>
      <c r="L153" s="193" t="s">
        <v>907</v>
      </c>
      <c r="M153" s="199" t="str">
        <f t="shared" si="2"/>
        <v>View on Google Map</v>
      </c>
    </row>
    <row r="154" spans="1:13" x14ac:dyDescent="0.2">
      <c r="A154" s="193">
        <v>435</v>
      </c>
      <c r="B154" s="193" t="s">
        <v>912</v>
      </c>
      <c r="C154" s="193" t="s">
        <v>650</v>
      </c>
      <c r="D154" s="193" t="s">
        <v>650</v>
      </c>
      <c r="E154" s="193" t="s">
        <v>650</v>
      </c>
      <c r="F154" s="193">
        <v>802</v>
      </c>
      <c r="G154" s="193" t="s">
        <v>661</v>
      </c>
      <c r="H154" s="193" t="s">
        <v>913</v>
      </c>
      <c r="I154" s="193" t="s">
        <v>650</v>
      </c>
      <c r="J154" s="193" t="s">
        <v>676</v>
      </c>
      <c r="K154" s="193" t="s">
        <v>650</v>
      </c>
      <c r="L154" s="193" t="s">
        <v>907</v>
      </c>
      <c r="M154" s="199" t="str">
        <f t="shared" si="2"/>
        <v>View on Google Map</v>
      </c>
    </row>
    <row r="155" spans="1:13" x14ac:dyDescent="0.2">
      <c r="A155" s="193">
        <v>436</v>
      </c>
      <c r="B155" s="193" t="s">
        <v>914</v>
      </c>
      <c r="C155" s="193" t="s">
        <v>650</v>
      </c>
      <c r="D155" s="193" t="s">
        <v>650</v>
      </c>
      <c r="E155" s="193" t="s">
        <v>650</v>
      </c>
      <c r="F155" s="193">
        <v>803</v>
      </c>
      <c r="G155" s="193" t="s">
        <v>661</v>
      </c>
      <c r="H155" s="193" t="s">
        <v>915</v>
      </c>
      <c r="I155" s="193" t="s">
        <v>650</v>
      </c>
      <c r="J155" s="193" t="s">
        <v>676</v>
      </c>
      <c r="K155" s="193" t="s">
        <v>650</v>
      </c>
      <c r="L155" s="193" t="s">
        <v>907</v>
      </c>
      <c r="M155" s="199" t="str">
        <f t="shared" si="2"/>
        <v>View on Google Map</v>
      </c>
    </row>
    <row r="156" spans="1:13" x14ac:dyDescent="0.2">
      <c r="A156" s="193">
        <v>437</v>
      </c>
      <c r="B156" s="193" t="s">
        <v>916</v>
      </c>
      <c r="C156" s="193" t="s">
        <v>650</v>
      </c>
      <c r="D156" s="193" t="s">
        <v>650</v>
      </c>
      <c r="E156" s="193" t="s">
        <v>650</v>
      </c>
      <c r="F156" s="193">
        <v>804</v>
      </c>
      <c r="G156" s="193" t="s">
        <v>661</v>
      </c>
      <c r="H156" s="193" t="s">
        <v>917</v>
      </c>
      <c r="I156" s="193" t="s">
        <v>650</v>
      </c>
      <c r="J156" s="193" t="s">
        <v>676</v>
      </c>
      <c r="K156" s="193" t="s">
        <v>650</v>
      </c>
      <c r="L156" s="193" t="s">
        <v>907</v>
      </c>
      <c r="M156" s="199" t="str">
        <f t="shared" si="2"/>
        <v>View on Google Map</v>
      </c>
    </row>
    <row r="157" spans="1:13" x14ac:dyDescent="0.2">
      <c r="A157" s="193">
        <v>438</v>
      </c>
      <c r="B157" s="193" t="s">
        <v>918</v>
      </c>
      <c r="C157" s="193" t="s">
        <v>650</v>
      </c>
      <c r="D157" s="193" t="s">
        <v>650</v>
      </c>
      <c r="E157" s="193" t="s">
        <v>650</v>
      </c>
      <c r="F157" s="193">
        <v>805</v>
      </c>
      <c r="G157" s="193" t="s">
        <v>661</v>
      </c>
      <c r="H157" s="193" t="s">
        <v>919</v>
      </c>
      <c r="I157" s="193" t="s">
        <v>650</v>
      </c>
      <c r="J157" s="193" t="s">
        <v>676</v>
      </c>
      <c r="K157" s="193" t="s">
        <v>650</v>
      </c>
      <c r="L157" s="193" t="s">
        <v>907</v>
      </c>
      <c r="M157" s="199" t="str">
        <f t="shared" si="2"/>
        <v>View on Google Map</v>
      </c>
    </row>
    <row r="158" spans="1:13" x14ac:dyDescent="0.2">
      <c r="A158" s="193">
        <v>439</v>
      </c>
      <c r="B158" s="193" t="s">
        <v>920</v>
      </c>
      <c r="C158" s="193" t="s">
        <v>650</v>
      </c>
      <c r="D158" s="193" t="s">
        <v>650</v>
      </c>
      <c r="E158" s="193" t="s">
        <v>650</v>
      </c>
      <c r="F158" s="193">
        <v>807</v>
      </c>
      <c r="G158" s="193" t="s">
        <v>661</v>
      </c>
      <c r="H158" s="193" t="s">
        <v>921</v>
      </c>
      <c r="I158" s="193" t="s">
        <v>650</v>
      </c>
      <c r="J158" s="193" t="s">
        <v>676</v>
      </c>
      <c r="K158" s="193" t="s">
        <v>650</v>
      </c>
      <c r="L158" s="193" t="s">
        <v>907</v>
      </c>
      <c r="M158" s="199" t="str">
        <f t="shared" si="2"/>
        <v>View on Google Map</v>
      </c>
    </row>
    <row r="159" spans="1:13" x14ac:dyDescent="0.2">
      <c r="A159" s="193">
        <v>440</v>
      </c>
      <c r="B159" s="193" t="s">
        <v>922</v>
      </c>
      <c r="C159" s="193" t="s">
        <v>650</v>
      </c>
      <c r="D159" s="193" t="s">
        <v>650</v>
      </c>
      <c r="E159" s="193" t="s">
        <v>650</v>
      </c>
      <c r="F159" s="193">
        <v>805</v>
      </c>
      <c r="G159" s="193" t="s">
        <v>661</v>
      </c>
      <c r="H159" s="193" t="s">
        <v>923</v>
      </c>
      <c r="I159" s="193" t="s">
        <v>650</v>
      </c>
      <c r="J159" s="193" t="s">
        <v>676</v>
      </c>
      <c r="K159" s="193" t="s">
        <v>650</v>
      </c>
      <c r="L159" s="193" t="s">
        <v>907</v>
      </c>
      <c r="M159" s="199" t="str">
        <f t="shared" si="2"/>
        <v>View on Google Map</v>
      </c>
    </row>
    <row r="160" spans="1:13" x14ac:dyDescent="0.2">
      <c r="A160" s="193">
        <v>441</v>
      </c>
      <c r="B160" s="193" t="s">
        <v>924</v>
      </c>
      <c r="C160" s="193" t="s">
        <v>650</v>
      </c>
      <c r="D160" s="193" t="s">
        <v>650</v>
      </c>
      <c r="E160" s="193" t="s">
        <v>650</v>
      </c>
      <c r="F160" s="193">
        <v>805</v>
      </c>
      <c r="G160" s="193" t="s">
        <v>661</v>
      </c>
      <c r="H160" s="193" t="s">
        <v>925</v>
      </c>
      <c r="I160" s="193" t="s">
        <v>650</v>
      </c>
      <c r="J160" s="193" t="s">
        <v>676</v>
      </c>
      <c r="K160" s="193" t="s">
        <v>650</v>
      </c>
      <c r="L160" s="193" t="s">
        <v>907</v>
      </c>
      <c r="M160" s="199" t="str">
        <f t="shared" si="2"/>
        <v>View on Google Map</v>
      </c>
    </row>
    <row r="161" spans="1:14" x14ac:dyDescent="0.2">
      <c r="A161" s="193">
        <v>442</v>
      </c>
      <c r="B161" s="193" t="s">
        <v>926</v>
      </c>
      <c r="C161" s="193" t="s">
        <v>650</v>
      </c>
      <c r="D161" s="193" t="s">
        <v>650</v>
      </c>
      <c r="E161" s="193" t="s">
        <v>650</v>
      </c>
      <c r="F161" s="193">
        <v>805</v>
      </c>
      <c r="G161" s="193" t="s">
        <v>661</v>
      </c>
      <c r="H161" s="193" t="s">
        <v>927</v>
      </c>
      <c r="I161" s="193" t="s">
        <v>650</v>
      </c>
      <c r="J161" s="193" t="s">
        <v>676</v>
      </c>
      <c r="K161" s="193" t="s">
        <v>650</v>
      </c>
      <c r="L161" s="193" t="s">
        <v>907</v>
      </c>
      <c r="M161" s="199" t="str">
        <f t="shared" si="2"/>
        <v>View on Google Map</v>
      </c>
    </row>
    <row r="162" spans="1:14" x14ac:dyDescent="0.2">
      <c r="A162" s="193">
        <v>443</v>
      </c>
      <c r="B162" s="193" t="s">
        <v>928</v>
      </c>
      <c r="C162" s="193" t="s">
        <v>650</v>
      </c>
      <c r="D162" s="193" t="s">
        <v>650</v>
      </c>
      <c r="E162" s="193" t="s">
        <v>650</v>
      </c>
      <c r="F162" s="193">
        <v>812</v>
      </c>
      <c r="G162" s="193" t="s">
        <v>661</v>
      </c>
      <c r="H162" s="193" t="s">
        <v>929</v>
      </c>
      <c r="I162" s="193" t="s">
        <v>650</v>
      </c>
      <c r="J162" s="193" t="s">
        <v>676</v>
      </c>
      <c r="K162" s="193" t="s">
        <v>650</v>
      </c>
      <c r="L162" s="193" t="s">
        <v>907</v>
      </c>
      <c r="M162" s="199" t="str">
        <f t="shared" si="2"/>
        <v>View on Google Map</v>
      </c>
    </row>
    <row r="163" spans="1:14" x14ac:dyDescent="0.2">
      <c r="A163" s="193">
        <v>28</v>
      </c>
      <c r="B163" s="193" t="s">
        <v>930</v>
      </c>
      <c r="C163" s="193" t="s">
        <v>650</v>
      </c>
      <c r="D163" s="193" t="s">
        <v>650</v>
      </c>
      <c r="E163" s="193" t="s">
        <v>650</v>
      </c>
      <c r="F163" s="193">
        <v>1189</v>
      </c>
      <c r="G163" s="193" t="s">
        <v>675</v>
      </c>
      <c r="H163" s="193" t="s">
        <v>931</v>
      </c>
      <c r="I163" s="193" t="s">
        <v>650</v>
      </c>
      <c r="J163" s="193" t="s">
        <v>676</v>
      </c>
      <c r="K163" s="193" t="s">
        <v>650</v>
      </c>
      <c r="L163" s="193" t="s">
        <v>650</v>
      </c>
      <c r="M163" s="199" t="str">
        <f t="shared" si="2"/>
        <v>View on Google Map</v>
      </c>
    </row>
    <row r="164" spans="1:14" x14ac:dyDescent="0.2">
      <c r="A164" s="193">
        <v>29</v>
      </c>
      <c r="B164" s="193" t="s">
        <v>932</v>
      </c>
      <c r="C164" s="193" t="s">
        <v>650</v>
      </c>
      <c r="D164" s="193" t="s">
        <v>650</v>
      </c>
      <c r="E164" s="193" t="s">
        <v>650</v>
      </c>
      <c r="F164" s="193">
        <v>1372</v>
      </c>
      <c r="G164" s="193" t="s">
        <v>675</v>
      </c>
      <c r="H164" s="193" t="s">
        <v>933</v>
      </c>
      <c r="I164" s="193" t="s">
        <v>650</v>
      </c>
      <c r="J164" s="193" t="s">
        <v>676</v>
      </c>
      <c r="K164" s="193" t="s">
        <v>650</v>
      </c>
      <c r="L164" s="193" t="s">
        <v>650</v>
      </c>
      <c r="M164" s="199" t="str">
        <f t="shared" si="2"/>
        <v>View on Google Map</v>
      </c>
    </row>
    <row r="165" spans="1:14" x14ac:dyDescent="0.2">
      <c r="A165" s="193">
        <v>30</v>
      </c>
      <c r="B165" s="193" t="s">
        <v>934</v>
      </c>
      <c r="C165" s="193" t="s">
        <v>650</v>
      </c>
      <c r="D165" s="193" t="s">
        <v>650</v>
      </c>
      <c r="E165" s="193" t="s">
        <v>650</v>
      </c>
      <c r="F165" s="193">
        <v>1463</v>
      </c>
      <c r="G165" s="193" t="s">
        <v>675</v>
      </c>
      <c r="H165" s="193" t="s">
        <v>935</v>
      </c>
      <c r="I165" s="193" t="s">
        <v>650</v>
      </c>
      <c r="J165" s="193" t="s">
        <v>676</v>
      </c>
      <c r="K165" s="193" t="s">
        <v>650</v>
      </c>
      <c r="L165" s="193" t="s">
        <v>650</v>
      </c>
      <c r="M165" s="199" t="str">
        <f t="shared" si="2"/>
        <v>View on Google Map</v>
      </c>
    </row>
    <row r="166" spans="1:14" x14ac:dyDescent="0.2">
      <c r="A166" s="193">
        <v>142</v>
      </c>
      <c r="B166" s="193" t="s">
        <v>936</v>
      </c>
      <c r="C166" s="193" t="s">
        <v>937</v>
      </c>
      <c r="D166" s="193">
        <v>68.53698</v>
      </c>
      <c r="E166" s="193">
        <v>-149.23740000000001</v>
      </c>
      <c r="F166" s="193">
        <v>883</v>
      </c>
      <c r="G166" s="193" t="s">
        <v>661</v>
      </c>
      <c r="H166" s="193" t="s">
        <v>938</v>
      </c>
      <c r="I166" s="193" t="s">
        <v>939</v>
      </c>
      <c r="J166" s="193" t="s">
        <v>676</v>
      </c>
      <c r="K166" s="193" t="s">
        <v>650</v>
      </c>
      <c r="L166" s="193" t="s">
        <v>677</v>
      </c>
      <c r="M166" s="199" t="str">
        <f t="shared" si="2"/>
        <v>View on Google Map</v>
      </c>
    </row>
    <row r="167" spans="1:14" x14ac:dyDescent="0.2">
      <c r="A167" s="193">
        <v>416</v>
      </c>
      <c r="B167" s="193" t="s">
        <v>940</v>
      </c>
      <c r="C167" s="193" t="s">
        <v>941</v>
      </c>
      <c r="D167" s="193">
        <v>68.496079978500006</v>
      </c>
      <c r="E167" s="193">
        <v>-149.60215567200001</v>
      </c>
      <c r="F167" s="193">
        <v>938</v>
      </c>
      <c r="G167" s="193" t="s">
        <v>661</v>
      </c>
      <c r="H167" s="193" t="s">
        <v>942</v>
      </c>
      <c r="I167" s="193" t="s">
        <v>650</v>
      </c>
      <c r="J167" s="193" t="s">
        <v>943</v>
      </c>
      <c r="K167" s="193" t="s">
        <v>650</v>
      </c>
      <c r="L167" s="193" t="s">
        <v>944</v>
      </c>
      <c r="M167" s="199" t="str">
        <f t="shared" si="2"/>
        <v>View on Google Map</v>
      </c>
      <c r="N167" s="193">
        <f>VALUE(MID(B167,5,3))</f>
        <v>100</v>
      </c>
    </row>
    <row r="168" spans="1:14" x14ac:dyDescent="0.2">
      <c r="A168" s="193">
        <v>417</v>
      </c>
      <c r="B168" s="193" t="s">
        <v>945</v>
      </c>
      <c r="C168" s="193" t="s">
        <v>946</v>
      </c>
      <c r="D168" s="193">
        <v>68.491641939700003</v>
      </c>
      <c r="E168" s="193">
        <v>-149.60743984699999</v>
      </c>
      <c r="F168" s="193">
        <v>937</v>
      </c>
      <c r="G168" s="193" t="s">
        <v>661</v>
      </c>
      <c r="H168" s="193" t="s">
        <v>947</v>
      </c>
      <c r="I168" s="193" t="s">
        <v>650</v>
      </c>
      <c r="J168" s="193" t="s">
        <v>943</v>
      </c>
      <c r="K168" s="193" t="s">
        <v>650</v>
      </c>
      <c r="L168" s="193" t="s">
        <v>944</v>
      </c>
      <c r="M168" s="199" t="str">
        <f t="shared" si="2"/>
        <v>View on Google Map</v>
      </c>
      <c r="N168" s="193">
        <f>VALUE(MID(B168,5,3))</f>
        <v>101</v>
      </c>
    </row>
    <row r="169" spans="1:14" x14ac:dyDescent="0.2">
      <c r="A169" s="193">
        <v>418</v>
      </c>
      <c r="B169" s="193" t="s">
        <v>948</v>
      </c>
      <c r="C169" s="193" t="s">
        <v>949</v>
      </c>
      <c r="D169" s="193">
        <v>68.485971524799993</v>
      </c>
      <c r="E169" s="193">
        <v>-149.611957343</v>
      </c>
      <c r="F169" s="193">
        <v>936</v>
      </c>
      <c r="G169" s="193" t="s">
        <v>661</v>
      </c>
      <c r="H169" s="193" t="s">
        <v>650</v>
      </c>
      <c r="I169" s="193" t="s">
        <v>650</v>
      </c>
      <c r="J169" s="193" t="s">
        <v>943</v>
      </c>
      <c r="K169" s="193" t="s">
        <v>650</v>
      </c>
      <c r="L169" s="193" t="s">
        <v>944</v>
      </c>
      <c r="M169" s="199" t="str">
        <f t="shared" si="2"/>
        <v>View on Google Map</v>
      </c>
      <c r="N169" s="193">
        <f>VALUE(MID(B169,5,3))</f>
        <v>102</v>
      </c>
    </row>
    <row r="170" spans="1:14" x14ac:dyDescent="0.2">
      <c r="A170" s="193">
        <v>419</v>
      </c>
      <c r="B170" s="193" t="s">
        <v>950</v>
      </c>
      <c r="C170" s="193" t="s">
        <v>951</v>
      </c>
      <c r="D170" s="193">
        <v>68.486418246300005</v>
      </c>
      <c r="E170" s="193">
        <v>-149.623539768</v>
      </c>
      <c r="F170" s="193">
        <v>934</v>
      </c>
      <c r="G170" s="193" t="s">
        <v>661</v>
      </c>
      <c r="H170" s="193" t="s">
        <v>952</v>
      </c>
      <c r="I170" s="193" t="s">
        <v>650</v>
      </c>
      <c r="J170" s="193" t="s">
        <v>943</v>
      </c>
      <c r="K170" s="193" t="s">
        <v>650</v>
      </c>
      <c r="L170" s="193" t="s">
        <v>944</v>
      </c>
      <c r="M170" s="199" t="str">
        <f t="shared" si="2"/>
        <v>View on Google Map</v>
      </c>
      <c r="N170" s="193">
        <f>VALUE(MID(B170,5,3))</f>
        <v>103</v>
      </c>
    </row>
    <row r="171" spans="1:14" x14ac:dyDescent="0.2">
      <c r="A171" s="193">
        <v>420</v>
      </c>
      <c r="B171" s="193" t="s">
        <v>953</v>
      </c>
      <c r="C171" s="193" t="s">
        <v>954</v>
      </c>
      <c r="D171" s="193">
        <v>68.480358182399996</v>
      </c>
      <c r="E171" s="193">
        <v>-149.621808276</v>
      </c>
      <c r="F171" s="193" t="s">
        <v>650</v>
      </c>
      <c r="G171" s="193" t="s">
        <v>661</v>
      </c>
      <c r="H171" s="193" t="s">
        <v>953</v>
      </c>
      <c r="I171" s="193" t="s">
        <v>650</v>
      </c>
      <c r="J171" s="193" t="s">
        <v>943</v>
      </c>
      <c r="K171" s="193" t="s">
        <v>650</v>
      </c>
      <c r="L171" s="193" t="s">
        <v>944</v>
      </c>
      <c r="M171" s="199" t="str">
        <f t="shared" si="2"/>
        <v>View on Google Map</v>
      </c>
      <c r="N171" s="193">
        <f t="shared" ref="N171:N198" si="3">VALUE(MID(H171,5,3))</f>
        <v>104</v>
      </c>
    </row>
    <row r="172" spans="1:14" x14ac:dyDescent="0.2">
      <c r="A172" s="193">
        <v>421</v>
      </c>
      <c r="B172" s="193" t="s">
        <v>955</v>
      </c>
      <c r="C172" s="193" t="s">
        <v>956</v>
      </c>
      <c r="D172" s="193">
        <v>68.487163894299997</v>
      </c>
      <c r="E172" s="193">
        <v>-149.57470926400001</v>
      </c>
      <c r="F172" s="193" t="s">
        <v>650</v>
      </c>
      <c r="G172" s="193" t="s">
        <v>661</v>
      </c>
      <c r="H172" s="193" t="s">
        <v>955</v>
      </c>
      <c r="I172" s="193" t="s">
        <v>650</v>
      </c>
      <c r="J172" s="193" t="s">
        <v>943</v>
      </c>
      <c r="K172" s="193" t="s">
        <v>650</v>
      </c>
      <c r="L172" s="193" t="s">
        <v>944</v>
      </c>
      <c r="M172" s="199" t="str">
        <f t="shared" si="2"/>
        <v>View on Google Map</v>
      </c>
      <c r="N172" s="193">
        <f t="shared" si="3"/>
        <v>105</v>
      </c>
    </row>
    <row r="173" spans="1:14" x14ac:dyDescent="0.2">
      <c r="A173" s="193">
        <v>422</v>
      </c>
      <c r="B173" s="193" t="s">
        <v>957</v>
      </c>
      <c r="C173" s="193" t="s">
        <v>958</v>
      </c>
      <c r="D173" s="193">
        <v>68.482007853900001</v>
      </c>
      <c r="E173" s="193">
        <v>-149.57357543099999</v>
      </c>
      <c r="F173" s="193" t="s">
        <v>650</v>
      </c>
      <c r="G173" s="193" t="s">
        <v>661</v>
      </c>
      <c r="H173" s="193" t="s">
        <v>957</v>
      </c>
      <c r="I173" s="193" t="s">
        <v>650</v>
      </c>
      <c r="J173" s="193" t="s">
        <v>943</v>
      </c>
      <c r="K173" s="193" t="s">
        <v>650</v>
      </c>
      <c r="L173" s="193" t="s">
        <v>944</v>
      </c>
      <c r="M173" s="199" t="str">
        <f t="shared" si="2"/>
        <v>View on Google Map</v>
      </c>
      <c r="N173" s="193">
        <f t="shared" si="3"/>
        <v>106</v>
      </c>
    </row>
    <row r="174" spans="1:14" x14ac:dyDescent="0.2">
      <c r="A174" s="193">
        <v>423</v>
      </c>
      <c r="B174" s="193" t="s">
        <v>959</v>
      </c>
      <c r="C174" s="193" t="s">
        <v>960</v>
      </c>
      <c r="D174" s="193">
        <v>68.480117783099999</v>
      </c>
      <c r="E174" s="193">
        <v>-149.553733964</v>
      </c>
      <c r="F174" s="193" t="s">
        <v>650</v>
      </c>
      <c r="G174" s="193" t="s">
        <v>661</v>
      </c>
      <c r="H174" s="193" t="s">
        <v>959</v>
      </c>
      <c r="I174" s="193" t="s">
        <v>650</v>
      </c>
      <c r="J174" s="193" t="s">
        <v>943</v>
      </c>
      <c r="K174" s="193" t="s">
        <v>650</v>
      </c>
      <c r="L174" s="193" t="s">
        <v>944</v>
      </c>
      <c r="M174" s="199" t="str">
        <f t="shared" si="2"/>
        <v>View on Google Map</v>
      </c>
      <c r="N174" s="193">
        <f t="shared" si="3"/>
        <v>107</v>
      </c>
    </row>
    <row r="175" spans="1:14" x14ac:dyDescent="0.2">
      <c r="A175" s="193">
        <v>424</v>
      </c>
      <c r="B175" s="193" t="s">
        <v>961</v>
      </c>
      <c r="C175" s="193" t="s">
        <v>962</v>
      </c>
      <c r="D175" s="193">
        <v>68.553470657600002</v>
      </c>
      <c r="E175" s="193">
        <v>-149.16702515599999</v>
      </c>
      <c r="F175" s="193" t="s">
        <v>650</v>
      </c>
      <c r="G175" s="193" t="s">
        <v>661</v>
      </c>
      <c r="H175" s="193" t="s">
        <v>961</v>
      </c>
      <c r="I175" s="193" t="s">
        <v>650</v>
      </c>
      <c r="J175" s="193" t="s">
        <v>943</v>
      </c>
      <c r="K175" s="193" t="s">
        <v>650</v>
      </c>
      <c r="L175" s="193" t="s">
        <v>944</v>
      </c>
      <c r="M175" s="199" t="str">
        <f t="shared" si="2"/>
        <v>View on Google Map</v>
      </c>
      <c r="N175" s="193">
        <f t="shared" si="3"/>
        <v>108</v>
      </c>
    </row>
    <row r="176" spans="1:14" x14ac:dyDescent="0.2">
      <c r="A176" s="193">
        <v>425</v>
      </c>
      <c r="B176" s="193" t="s">
        <v>963</v>
      </c>
      <c r="C176" s="193" t="s">
        <v>964</v>
      </c>
      <c r="D176" s="193">
        <v>68.557082457700005</v>
      </c>
      <c r="E176" s="193">
        <v>-149.154445686</v>
      </c>
      <c r="F176" s="193" t="s">
        <v>650</v>
      </c>
      <c r="G176" s="193" t="s">
        <v>661</v>
      </c>
      <c r="H176" s="193" t="s">
        <v>963</v>
      </c>
      <c r="I176" s="193" t="s">
        <v>650</v>
      </c>
      <c r="J176" s="193" t="s">
        <v>943</v>
      </c>
      <c r="K176" s="193" t="s">
        <v>650</v>
      </c>
      <c r="L176" s="193" t="s">
        <v>944</v>
      </c>
      <c r="M176" s="199" t="str">
        <f t="shared" si="2"/>
        <v>View on Google Map</v>
      </c>
      <c r="N176" s="193">
        <f t="shared" si="3"/>
        <v>109</v>
      </c>
    </row>
    <row r="177" spans="1:14" x14ac:dyDescent="0.2">
      <c r="A177" s="193">
        <v>426</v>
      </c>
      <c r="B177" s="193" t="s">
        <v>965</v>
      </c>
      <c r="C177" s="193" t="s">
        <v>966</v>
      </c>
      <c r="D177" s="193">
        <v>68.732874005799999</v>
      </c>
      <c r="E177" s="193">
        <v>-149.401461627</v>
      </c>
      <c r="F177" s="193" t="s">
        <v>650</v>
      </c>
      <c r="G177" s="193" t="s">
        <v>661</v>
      </c>
      <c r="H177" s="193" t="s">
        <v>965</v>
      </c>
      <c r="I177" s="193" t="s">
        <v>650</v>
      </c>
      <c r="J177" s="193" t="s">
        <v>943</v>
      </c>
      <c r="K177" s="193" t="s">
        <v>650</v>
      </c>
      <c r="L177" s="193" t="s">
        <v>944</v>
      </c>
      <c r="M177" s="199" t="str">
        <f t="shared" si="2"/>
        <v>View on Google Map</v>
      </c>
      <c r="N177" s="193">
        <f t="shared" si="3"/>
        <v>110</v>
      </c>
    </row>
    <row r="178" spans="1:14" x14ac:dyDescent="0.2">
      <c r="A178" s="193">
        <v>427</v>
      </c>
      <c r="B178" s="193" t="s">
        <v>967</v>
      </c>
      <c r="C178" s="193" t="s">
        <v>968</v>
      </c>
      <c r="D178" s="193">
        <v>68.728437910899999</v>
      </c>
      <c r="E178" s="193">
        <v>-149.39298449200001</v>
      </c>
      <c r="F178" s="193" t="s">
        <v>650</v>
      </c>
      <c r="G178" s="193" t="s">
        <v>661</v>
      </c>
      <c r="H178" s="193" t="s">
        <v>967</v>
      </c>
      <c r="I178" s="193" t="s">
        <v>650</v>
      </c>
      <c r="J178" s="193" t="s">
        <v>943</v>
      </c>
      <c r="K178" s="193" t="s">
        <v>650</v>
      </c>
      <c r="L178" s="193" t="s">
        <v>944</v>
      </c>
      <c r="M178" s="199" t="str">
        <f t="shared" si="2"/>
        <v>View on Google Map</v>
      </c>
      <c r="N178" s="193">
        <f t="shared" si="3"/>
        <v>111</v>
      </c>
    </row>
    <row r="179" spans="1:14" x14ac:dyDescent="0.2">
      <c r="A179" s="193">
        <v>428</v>
      </c>
      <c r="B179" s="193" t="s">
        <v>969</v>
      </c>
      <c r="C179" s="193" t="s">
        <v>970</v>
      </c>
      <c r="D179" s="193">
        <v>68.671908805499996</v>
      </c>
      <c r="E179" s="193">
        <v>-149.24817348299999</v>
      </c>
      <c r="F179" s="193" t="s">
        <v>650</v>
      </c>
      <c r="G179" s="193" t="s">
        <v>661</v>
      </c>
      <c r="H179" s="193" t="s">
        <v>969</v>
      </c>
      <c r="I179" s="193" t="s">
        <v>650</v>
      </c>
      <c r="J179" s="193" t="s">
        <v>943</v>
      </c>
      <c r="K179" s="193" t="s">
        <v>650</v>
      </c>
      <c r="L179" s="193" t="s">
        <v>944</v>
      </c>
      <c r="M179" s="199" t="str">
        <f t="shared" si="2"/>
        <v>View on Google Map</v>
      </c>
      <c r="N179" s="193">
        <f t="shared" si="3"/>
        <v>112</v>
      </c>
    </row>
    <row r="180" spans="1:14" x14ac:dyDescent="0.2">
      <c r="A180" s="193">
        <v>429</v>
      </c>
      <c r="B180" s="193" t="s">
        <v>971</v>
      </c>
      <c r="C180" s="193" t="s">
        <v>972</v>
      </c>
      <c r="D180" s="193">
        <v>68.679427639400004</v>
      </c>
      <c r="E180" s="193">
        <v>-149.23947084900001</v>
      </c>
      <c r="F180" s="193" t="s">
        <v>650</v>
      </c>
      <c r="G180" s="193" t="s">
        <v>661</v>
      </c>
      <c r="H180" s="193" t="s">
        <v>971</v>
      </c>
      <c r="I180" s="193" t="s">
        <v>650</v>
      </c>
      <c r="J180" s="193" t="s">
        <v>943</v>
      </c>
      <c r="K180" s="193" t="s">
        <v>650</v>
      </c>
      <c r="L180" s="193" t="s">
        <v>944</v>
      </c>
      <c r="M180" s="199" t="str">
        <f t="shared" si="2"/>
        <v>View on Google Map</v>
      </c>
      <c r="N180" s="193">
        <f t="shared" si="3"/>
        <v>113</v>
      </c>
    </row>
    <row r="181" spans="1:14" x14ac:dyDescent="0.2">
      <c r="A181" s="193">
        <v>430</v>
      </c>
      <c r="B181" s="193" t="s">
        <v>973</v>
      </c>
      <c r="C181" s="193" t="s">
        <v>974</v>
      </c>
      <c r="D181" s="193">
        <v>68.679424428600001</v>
      </c>
      <c r="E181" s="193">
        <v>-149.22969695099999</v>
      </c>
      <c r="F181" s="193" t="s">
        <v>650</v>
      </c>
      <c r="G181" s="193" t="s">
        <v>661</v>
      </c>
      <c r="H181" s="193" t="s">
        <v>973</v>
      </c>
      <c r="I181" s="193" t="s">
        <v>650</v>
      </c>
      <c r="J181" s="193" t="s">
        <v>943</v>
      </c>
      <c r="K181" s="193" t="s">
        <v>650</v>
      </c>
      <c r="L181" s="193" t="s">
        <v>944</v>
      </c>
      <c r="M181" s="199" t="str">
        <f t="shared" si="2"/>
        <v>View on Google Map</v>
      </c>
      <c r="N181" s="193">
        <f t="shared" si="3"/>
        <v>114</v>
      </c>
    </row>
    <row r="182" spans="1:14" x14ac:dyDescent="0.2">
      <c r="A182" s="193">
        <v>398</v>
      </c>
      <c r="B182" s="193" t="s">
        <v>975</v>
      </c>
      <c r="C182" s="193" t="s">
        <v>976</v>
      </c>
      <c r="D182" s="193">
        <v>68.569791782099998</v>
      </c>
      <c r="E182" s="193">
        <v>-149.43938491</v>
      </c>
      <c r="F182" s="193" t="s">
        <v>650</v>
      </c>
      <c r="G182" s="193" t="s">
        <v>661</v>
      </c>
      <c r="H182" s="193" t="s">
        <v>975</v>
      </c>
      <c r="I182" s="193" t="s">
        <v>650</v>
      </c>
      <c r="J182" s="193" t="s">
        <v>943</v>
      </c>
      <c r="K182" s="193" t="s">
        <v>650</v>
      </c>
      <c r="L182" s="193" t="s">
        <v>944</v>
      </c>
      <c r="M182" s="199" t="str">
        <f t="shared" si="2"/>
        <v>View on Google Map</v>
      </c>
      <c r="N182" s="193">
        <f t="shared" si="3"/>
        <v>82</v>
      </c>
    </row>
    <row r="183" spans="1:14" x14ac:dyDescent="0.2">
      <c r="A183" s="193">
        <v>389</v>
      </c>
      <c r="B183" s="193" t="s">
        <v>977</v>
      </c>
      <c r="C183" s="193" t="s">
        <v>978</v>
      </c>
      <c r="D183" s="193">
        <v>68.568883214500005</v>
      </c>
      <c r="E183" s="193">
        <v>-149.432996798</v>
      </c>
      <c r="F183" s="193" t="s">
        <v>650</v>
      </c>
      <c r="G183" s="193" t="s">
        <v>661</v>
      </c>
      <c r="H183" s="193" t="s">
        <v>977</v>
      </c>
      <c r="I183" s="193" t="s">
        <v>650</v>
      </c>
      <c r="J183" s="193" t="s">
        <v>943</v>
      </c>
      <c r="K183" s="193" t="s">
        <v>650</v>
      </c>
      <c r="L183" s="193" t="s">
        <v>944</v>
      </c>
      <c r="M183" s="199" t="str">
        <f t="shared" si="2"/>
        <v>View on Google Map</v>
      </c>
      <c r="N183" s="193">
        <f t="shared" si="3"/>
        <v>83</v>
      </c>
    </row>
    <row r="184" spans="1:14" x14ac:dyDescent="0.2">
      <c r="A184" s="193">
        <v>390</v>
      </c>
      <c r="B184" s="193" t="s">
        <v>979</v>
      </c>
      <c r="C184" s="193" t="s">
        <v>980</v>
      </c>
      <c r="D184" s="193">
        <v>68.571446755099998</v>
      </c>
      <c r="E184" s="193">
        <v>-149.43614776499999</v>
      </c>
      <c r="F184" s="193" t="s">
        <v>650</v>
      </c>
      <c r="G184" s="193" t="s">
        <v>661</v>
      </c>
      <c r="H184" s="193" t="s">
        <v>979</v>
      </c>
      <c r="I184" s="193" t="s">
        <v>650</v>
      </c>
      <c r="J184" s="193" t="s">
        <v>943</v>
      </c>
      <c r="K184" s="193" t="s">
        <v>650</v>
      </c>
      <c r="L184" s="193" t="s">
        <v>944</v>
      </c>
      <c r="M184" s="199" t="str">
        <f t="shared" si="2"/>
        <v>View on Google Map</v>
      </c>
      <c r="N184" s="193">
        <f t="shared" si="3"/>
        <v>84</v>
      </c>
    </row>
    <row r="185" spans="1:14" x14ac:dyDescent="0.2">
      <c r="A185" s="193">
        <v>391</v>
      </c>
      <c r="B185" s="193" t="s">
        <v>981</v>
      </c>
      <c r="C185" s="193" t="s">
        <v>982</v>
      </c>
      <c r="D185" s="193">
        <v>68.600419015400007</v>
      </c>
      <c r="E185" s="193">
        <v>-149.438677388</v>
      </c>
      <c r="F185" s="193" t="s">
        <v>650</v>
      </c>
      <c r="G185" s="193" t="s">
        <v>661</v>
      </c>
      <c r="H185" s="193" t="s">
        <v>981</v>
      </c>
      <c r="I185" s="193" t="s">
        <v>650</v>
      </c>
      <c r="J185" s="193" t="s">
        <v>943</v>
      </c>
      <c r="K185" s="193" t="s">
        <v>650</v>
      </c>
      <c r="L185" s="193" t="s">
        <v>944</v>
      </c>
      <c r="M185" s="199" t="str">
        <f t="shared" si="2"/>
        <v>View on Google Map</v>
      </c>
      <c r="N185" s="193">
        <f t="shared" si="3"/>
        <v>85</v>
      </c>
    </row>
    <row r="186" spans="1:14" x14ac:dyDescent="0.2">
      <c r="A186" s="193">
        <v>392</v>
      </c>
      <c r="B186" s="193" t="s">
        <v>983</v>
      </c>
      <c r="C186" s="193" t="s">
        <v>984</v>
      </c>
      <c r="D186" s="193">
        <v>68.632424610200005</v>
      </c>
      <c r="E186" s="193">
        <v>-149.41874062799999</v>
      </c>
      <c r="F186" s="193" t="s">
        <v>650</v>
      </c>
      <c r="G186" s="193" t="s">
        <v>661</v>
      </c>
      <c r="H186" s="193" t="s">
        <v>983</v>
      </c>
      <c r="I186" s="193" t="s">
        <v>650</v>
      </c>
      <c r="J186" s="193" t="s">
        <v>943</v>
      </c>
      <c r="K186" s="193" t="s">
        <v>650</v>
      </c>
      <c r="L186" s="193" t="s">
        <v>944</v>
      </c>
      <c r="M186" s="199" t="str">
        <f t="shared" si="2"/>
        <v>View on Google Map</v>
      </c>
      <c r="N186" s="193">
        <f t="shared" si="3"/>
        <v>86</v>
      </c>
    </row>
    <row r="187" spans="1:14" x14ac:dyDescent="0.2">
      <c r="A187" s="193">
        <v>393</v>
      </c>
      <c r="B187" s="193" t="s">
        <v>985</v>
      </c>
      <c r="C187" s="193" t="s">
        <v>986</v>
      </c>
      <c r="D187" s="193">
        <v>68.505704965899994</v>
      </c>
      <c r="E187" s="193">
        <v>-149.516276081</v>
      </c>
      <c r="F187" s="193" t="s">
        <v>650</v>
      </c>
      <c r="G187" s="193" t="s">
        <v>661</v>
      </c>
      <c r="H187" s="193" t="s">
        <v>985</v>
      </c>
      <c r="I187" s="193" t="s">
        <v>650</v>
      </c>
      <c r="J187" s="193" t="s">
        <v>943</v>
      </c>
      <c r="K187" s="193" t="s">
        <v>650</v>
      </c>
      <c r="L187" s="193" t="s">
        <v>944</v>
      </c>
      <c r="M187" s="199" t="str">
        <f t="shared" si="2"/>
        <v>View on Google Map</v>
      </c>
      <c r="N187" s="193">
        <f t="shared" si="3"/>
        <v>87</v>
      </c>
    </row>
    <row r="188" spans="1:14" x14ac:dyDescent="0.2">
      <c r="A188" s="193">
        <v>394</v>
      </c>
      <c r="B188" s="193" t="s">
        <v>987</v>
      </c>
      <c r="C188" s="193" t="s">
        <v>988</v>
      </c>
      <c r="D188" s="193">
        <v>68.509234808599999</v>
      </c>
      <c r="E188" s="193">
        <v>-149.58917678500001</v>
      </c>
      <c r="F188" s="193" t="s">
        <v>650</v>
      </c>
      <c r="G188" s="193" t="s">
        <v>661</v>
      </c>
      <c r="H188" s="193" t="s">
        <v>987</v>
      </c>
      <c r="I188" s="193" t="s">
        <v>650</v>
      </c>
      <c r="J188" s="193" t="s">
        <v>943</v>
      </c>
      <c r="K188" s="193" t="s">
        <v>650</v>
      </c>
      <c r="L188" s="193" t="s">
        <v>944</v>
      </c>
      <c r="M188" s="199" t="str">
        <f t="shared" si="2"/>
        <v>View on Google Map</v>
      </c>
      <c r="N188" s="193">
        <f t="shared" si="3"/>
        <v>88</v>
      </c>
    </row>
    <row r="189" spans="1:14" x14ac:dyDescent="0.2">
      <c r="A189" s="193">
        <v>395</v>
      </c>
      <c r="B189" s="193" t="s">
        <v>989</v>
      </c>
      <c r="C189" s="193" t="s">
        <v>990</v>
      </c>
      <c r="D189" s="193">
        <v>68.525650531300002</v>
      </c>
      <c r="E189" s="193">
        <v>-149.54161982299999</v>
      </c>
      <c r="F189" s="193" t="s">
        <v>650</v>
      </c>
      <c r="G189" s="193" t="s">
        <v>661</v>
      </c>
      <c r="H189" s="193" t="s">
        <v>989</v>
      </c>
      <c r="I189" s="193" t="s">
        <v>650</v>
      </c>
      <c r="J189" s="193" t="s">
        <v>943</v>
      </c>
      <c r="K189" s="193" t="s">
        <v>650</v>
      </c>
      <c r="L189" s="193" t="s">
        <v>944</v>
      </c>
      <c r="M189" s="199" t="str">
        <f t="shared" si="2"/>
        <v>View on Google Map</v>
      </c>
      <c r="N189" s="193">
        <f t="shared" si="3"/>
        <v>89</v>
      </c>
    </row>
    <row r="190" spans="1:14" x14ac:dyDescent="0.2">
      <c r="A190" s="193">
        <v>396</v>
      </c>
      <c r="B190" s="193" t="s">
        <v>991</v>
      </c>
      <c r="C190" s="193" t="s">
        <v>992</v>
      </c>
      <c r="D190" s="193">
        <v>68.531020060399996</v>
      </c>
      <c r="E190" s="193">
        <v>-149.54062336999999</v>
      </c>
      <c r="F190" s="193" t="s">
        <v>650</v>
      </c>
      <c r="G190" s="193" t="s">
        <v>661</v>
      </c>
      <c r="H190" s="193" t="s">
        <v>991</v>
      </c>
      <c r="I190" s="193" t="s">
        <v>650</v>
      </c>
      <c r="J190" s="193" t="s">
        <v>943</v>
      </c>
      <c r="K190" s="193" t="s">
        <v>650</v>
      </c>
      <c r="L190" s="193" t="s">
        <v>944</v>
      </c>
      <c r="M190" s="199" t="str">
        <f t="shared" si="2"/>
        <v>View on Google Map</v>
      </c>
      <c r="N190" s="193">
        <f t="shared" si="3"/>
        <v>90</v>
      </c>
    </row>
    <row r="191" spans="1:14" x14ac:dyDescent="0.2">
      <c r="A191" s="193">
        <v>397</v>
      </c>
      <c r="B191" s="193" t="s">
        <v>993</v>
      </c>
      <c r="C191" s="193" t="s">
        <v>994</v>
      </c>
      <c r="D191" s="193">
        <v>68.623892844400004</v>
      </c>
      <c r="E191" s="193">
        <v>-149.46955988600001</v>
      </c>
      <c r="F191" s="193" t="s">
        <v>650</v>
      </c>
      <c r="G191" s="193" t="s">
        <v>661</v>
      </c>
      <c r="H191" s="193" t="s">
        <v>993</v>
      </c>
      <c r="I191" s="193" t="s">
        <v>650</v>
      </c>
      <c r="J191" s="193" t="s">
        <v>943</v>
      </c>
      <c r="K191" s="193" t="s">
        <v>650</v>
      </c>
      <c r="L191" s="193" t="s">
        <v>944</v>
      </c>
      <c r="M191" s="199" t="str">
        <f t="shared" si="2"/>
        <v>View on Google Map</v>
      </c>
      <c r="N191" s="193">
        <f t="shared" si="3"/>
        <v>91</v>
      </c>
    </row>
    <row r="192" spans="1:14" x14ac:dyDescent="0.2">
      <c r="A192" s="193">
        <v>408</v>
      </c>
      <c r="B192" s="193" t="s">
        <v>995</v>
      </c>
      <c r="C192" s="193" t="s">
        <v>996</v>
      </c>
      <c r="D192" s="193">
        <v>68.606945965400001</v>
      </c>
      <c r="E192" s="193">
        <v>-149.195806014</v>
      </c>
      <c r="F192" s="193" t="s">
        <v>650</v>
      </c>
      <c r="G192" s="193" t="s">
        <v>661</v>
      </c>
      <c r="H192" s="193" t="s">
        <v>995</v>
      </c>
      <c r="I192" s="193" t="s">
        <v>650</v>
      </c>
      <c r="J192" s="193" t="s">
        <v>943</v>
      </c>
      <c r="K192" s="193" t="s">
        <v>650</v>
      </c>
      <c r="L192" s="193" t="s">
        <v>944</v>
      </c>
      <c r="M192" s="199" t="str">
        <f t="shared" si="2"/>
        <v>View on Google Map</v>
      </c>
      <c r="N192" s="193">
        <f t="shared" si="3"/>
        <v>92</v>
      </c>
    </row>
    <row r="193" spans="1:14" x14ac:dyDescent="0.2">
      <c r="A193" s="193">
        <v>409</v>
      </c>
      <c r="B193" s="193" t="s">
        <v>997</v>
      </c>
      <c r="C193" s="193" t="s">
        <v>998</v>
      </c>
      <c r="D193" s="193">
        <v>68.613688053999994</v>
      </c>
      <c r="E193" s="193">
        <v>-149.20287565500001</v>
      </c>
      <c r="F193" s="193" t="s">
        <v>650</v>
      </c>
      <c r="G193" s="193" t="s">
        <v>661</v>
      </c>
      <c r="H193" s="193" t="s">
        <v>997</v>
      </c>
      <c r="I193" s="193" t="s">
        <v>650</v>
      </c>
      <c r="J193" s="193" t="s">
        <v>943</v>
      </c>
      <c r="K193" s="193" t="s">
        <v>650</v>
      </c>
      <c r="L193" s="193" t="s">
        <v>944</v>
      </c>
      <c r="M193" s="199" t="str">
        <f t="shared" si="2"/>
        <v>View on Google Map</v>
      </c>
      <c r="N193" s="193">
        <f t="shared" si="3"/>
        <v>93</v>
      </c>
    </row>
    <row r="194" spans="1:14" x14ac:dyDescent="0.2">
      <c r="A194" s="193">
        <v>410</v>
      </c>
      <c r="B194" s="193" t="s">
        <v>999</v>
      </c>
      <c r="C194" s="193" t="s">
        <v>1000</v>
      </c>
      <c r="D194" s="193">
        <v>68.617322837200007</v>
      </c>
      <c r="E194" s="193">
        <v>-149.21640989900001</v>
      </c>
      <c r="F194" s="193" t="s">
        <v>650</v>
      </c>
      <c r="G194" s="193" t="s">
        <v>661</v>
      </c>
      <c r="H194" s="193" t="s">
        <v>999</v>
      </c>
      <c r="I194" s="193" t="s">
        <v>650</v>
      </c>
      <c r="J194" s="193" t="s">
        <v>943</v>
      </c>
      <c r="K194" s="193" t="s">
        <v>650</v>
      </c>
      <c r="L194" s="193" t="s">
        <v>944</v>
      </c>
      <c r="M194" s="199" t="str">
        <f t="shared" si="2"/>
        <v>View on Google Map</v>
      </c>
      <c r="N194" s="193">
        <f t="shared" si="3"/>
        <v>94</v>
      </c>
    </row>
    <row r="195" spans="1:14" x14ac:dyDescent="0.2">
      <c r="A195" s="193">
        <v>411</v>
      </c>
      <c r="B195" s="193" t="s">
        <v>1001</v>
      </c>
      <c r="C195" s="193" t="s">
        <v>1002</v>
      </c>
      <c r="D195" s="193">
        <v>68.613551663999999</v>
      </c>
      <c r="E195" s="193">
        <v>-149.21844056</v>
      </c>
      <c r="F195" s="193" t="s">
        <v>650</v>
      </c>
      <c r="G195" s="193" t="s">
        <v>661</v>
      </c>
      <c r="H195" s="193" t="s">
        <v>1001</v>
      </c>
      <c r="I195" s="193" t="s">
        <v>650</v>
      </c>
      <c r="J195" s="193" t="s">
        <v>943</v>
      </c>
      <c r="K195" s="193" t="s">
        <v>650</v>
      </c>
      <c r="L195" s="193" t="s">
        <v>944</v>
      </c>
      <c r="M195" s="199" t="str">
        <f t="shared" ref="M195:M258" si="4">HYPERLINK("http://maps.google.com/maps?q="&amp;D195&amp;","&amp;E195,"View on Google Map")</f>
        <v>View on Google Map</v>
      </c>
      <c r="N195" s="193">
        <f t="shared" si="3"/>
        <v>95</v>
      </c>
    </row>
    <row r="196" spans="1:14" x14ac:dyDescent="0.2">
      <c r="A196" s="193">
        <v>412</v>
      </c>
      <c r="B196" s="193" t="s">
        <v>1003</v>
      </c>
      <c r="C196" s="193" t="s">
        <v>1004</v>
      </c>
      <c r="D196" s="193">
        <v>68.609572079800003</v>
      </c>
      <c r="E196" s="193">
        <v>-149.20865205600001</v>
      </c>
      <c r="F196" s="193" t="s">
        <v>650</v>
      </c>
      <c r="G196" s="193" t="s">
        <v>661</v>
      </c>
      <c r="H196" s="193" t="s">
        <v>1003</v>
      </c>
      <c r="I196" s="193" t="s">
        <v>650</v>
      </c>
      <c r="J196" s="193" t="s">
        <v>943</v>
      </c>
      <c r="K196" s="193" t="s">
        <v>650</v>
      </c>
      <c r="L196" s="193" t="s">
        <v>944</v>
      </c>
      <c r="M196" s="199" t="str">
        <f t="shared" si="4"/>
        <v>View on Google Map</v>
      </c>
      <c r="N196" s="193">
        <f t="shared" si="3"/>
        <v>96</v>
      </c>
    </row>
    <row r="197" spans="1:14" x14ac:dyDescent="0.2">
      <c r="A197" s="193">
        <v>413</v>
      </c>
      <c r="B197" s="193" t="s">
        <v>1005</v>
      </c>
      <c r="C197" s="193" t="s">
        <v>1006</v>
      </c>
      <c r="D197" s="193">
        <v>68.607097540200002</v>
      </c>
      <c r="E197" s="193">
        <v>-149.21482030499999</v>
      </c>
      <c r="F197" s="193" t="s">
        <v>650</v>
      </c>
      <c r="G197" s="193" t="s">
        <v>661</v>
      </c>
      <c r="H197" s="193" t="s">
        <v>1005</v>
      </c>
      <c r="I197" s="193" t="s">
        <v>650</v>
      </c>
      <c r="J197" s="193" t="s">
        <v>943</v>
      </c>
      <c r="K197" s="193" t="s">
        <v>650</v>
      </c>
      <c r="L197" s="193" t="s">
        <v>944</v>
      </c>
      <c r="M197" s="199" t="str">
        <f t="shared" si="4"/>
        <v>View on Google Map</v>
      </c>
      <c r="N197" s="193">
        <f t="shared" si="3"/>
        <v>97</v>
      </c>
    </row>
    <row r="198" spans="1:14" x14ac:dyDescent="0.2">
      <c r="A198" s="193">
        <v>414</v>
      </c>
      <c r="B198" s="193" t="s">
        <v>1007</v>
      </c>
      <c r="C198" s="193" t="s">
        <v>1008</v>
      </c>
      <c r="D198" s="193">
        <v>68.605198711400007</v>
      </c>
      <c r="E198" s="193">
        <v>-149.27215046800001</v>
      </c>
      <c r="F198" s="193" t="s">
        <v>650</v>
      </c>
      <c r="G198" s="193" t="s">
        <v>661</v>
      </c>
      <c r="H198" s="193" t="s">
        <v>1007</v>
      </c>
      <c r="I198" s="193" t="s">
        <v>650</v>
      </c>
      <c r="J198" s="193" t="s">
        <v>943</v>
      </c>
      <c r="K198" s="193" t="s">
        <v>650</v>
      </c>
      <c r="L198" s="193" t="s">
        <v>944</v>
      </c>
      <c r="M198" s="199" t="str">
        <f t="shared" si="4"/>
        <v>View on Google Map</v>
      </c>
      <c r="N198" s="193">
        <f t="shared" si="3"/>
        <v>98</v>
      </c>
    </row>
    <row r="199" spans="1:14" x14ac:dyDescent="0.2">
      <c r="A199" s="193">
        <v>415</v>
      </c>
      <c r="B199" s="193" t="s">
        <v>1009</v>
      </c>
      <c r="C199" s="193" t="s">
        <v>1010</v>
      </c>
      <c r="D199" s="193">
        <v>68.498375922400001</v>
      </c>
      <c r="E199" s="193">
        <v>-149.59842284699999</v>
      </c>
      <c r="F199" s="193">
        <v>947</v>
      </c>
      <c r="G199" s="193" t="s">
        <v>661</v>
      </c>
      <c r="H199" s="193" t="s">
        <v>1011</v>
      </c>
      <c r="I199" s="193" t="s">
        <v>650</v>
      </c>
      <c r="J199" s="193" t="s">
        <v>943</v>
      </c>
      <c r="K199" s="193" t="s">
        <v>650</v>
      </c>
      <c r="L199" s="193" t="s">
        <v>944</v>
      </c>
      <c r="M199" s="199" t="str">
        <f t="shared" si="4"/>
        <v>View on Google Map</v>
      </c>
      <c r="N199" s="193">
        <f>VALUE(MID(B199,5,3))</f>
        <v>99</v>
      </c>
    </row>
    <row r="200" spans="1:14" x14ac:dyDescent="0.2">
      <c r="A200" s="193">
        <v>402</v>
      </c>
      <c r="B200" s="193" t="s">
        <v>1012</v>
      </c>
      <c r="C200" s="193" t="s">
        <v>650</v>
      </c>
      <c r="D200" s="193" t="s">
        <v>650</v>
      </c>
      <c r="E200" s="193" t="s">
        <v>650</v>
      </c>
      <c r="F200" s="193" t="s">
        <v>650</v>
      </c>
      <c r="G200" s="193" t="s">
        <v>661</v>
      </c>
      <c r="H200" s="193" t="s">
        <v>650</v>
      </c>
      <c r="I200" s="193" t="s">
        <v>650</v>
      </c>
      <c r="J200" s="193" t="s">
        <v>676</v>
      </c>
      <c r="K200" s="193" t="s">
        <v>650</v>
      </c>
      <c r="L200" s="193" t="s">
        <v>830</v>
      </c>
      <c r="M200" s="199" t="str">
        <f t="shared" si="4"/>
        <v>View on Google Map</v>
      </c>
    </row>
    <row r="201" spans="1:14" x14ac:dyDescent="0.2">
      <c r="A201" s="193">
        <v>8</v>
      </c>
      <c r="B201" s="193" t="s">
        <v>1013</v>
      </c>
      <c r="C201" s="193" t="s">
        <v>674</v>
      </c>
      <c r="D201" s="193">
        <v>69.150000000000006</v>
      </c>
      <c r="E201" s="193">
        <v>-148.83333333333334</v>
      </c>
      <c r="F201" s="193">
        <v>290</v>
      </c>
      <c r="G201" s="193" t="s">
        <v>675</v>
      </c>
      <c r="H201" s="193" t="s">
        <v>650</v>
      </c>
      <c r="I201" s="193" t="s">
        <v>650</v>
      </c>
      <c r="J201" s="193" t="s">
        <v>676</v>
      </c>
      <c r="K201" s="193" t="s">
        <v>650</v>
      </c>
      <c r="L201" s="193" t="s">
        <v>677</v>
      </c>
      <c r="M201" s="199" t="str">
        <f t="shared" si="4"/>
        <v>View on Google Map</v>
      </c>
    </row>
    <row r="202" spans="1:14" x14ac:dyDescent="0.2">
      <c r="A202" s="193">
        <v>219</v>
      </c>
      <c r="B202" s="193" t="s">
        <v>1014</v>
      </c>
      <c r="C202" s="193" t="s">
        <v>650</v>
      </c>
      <c r="D202" s="193">
        <v>69.8</v>
      </c>
      <c r="E202" s="193">
        <v>-151.83333333333334</v>
      </c>
      <c r="F202" s="193">
        <v>60.365853658536601</v>
      </c>
      <c r="G202" s="193" t="s">
        <v>661</v>
      </c>
      <c r="H202" s="193" t="s">
        <v>1015</v>
      </c>
      <c r="I202" s="193" t="s">
        <v>650</v>
      </c>
      <c r="J202" s="193" t="s">
        <v>676</v>
      </c>
      <c r="K202" s="193" t="s">
        <v>650</v>
      </c>
      <c r="L202" s="193" t="s">
        <v>1016</v>
      </c>
      <c r="M202" s="199" t="str">
        <f t="shared" si="4"/>
        <v>View on Google Map</v>
      </c>
    </row>
    <row r="203" spans="1:14" x14ac:dyDescent="0.2">
      <c r="A203" s="193">
        <v>220</v>
      </c>
      <c r="B203" s="193" t="s">
        <v>1017</v>
      </c>
      <c r="C203" s="193" t="s">
        <v>650</v>
      </c>
      <c r="D203" s="193">
        <v>69.75</v>
      </c>
      <c r="E203" s="193">
        <v>-151.5</v>
      </c>
      <c r="F203" s="193">
        <v>60.365853658536587</v>
      </c>
      <c r="G203" s="193" t="s">
        <v>661</v>
      </c>
      <c r="H203" s="193" t="s">
        <v>1018</v>
      </c>
      <c r="I203" s="193" t="s">
        <v>650</v>
      </c>
      <c r="J203" s="193" t="s">
        <v>676</v>
      </c>
      <c r="K203" s="193" t="s">
        <v>650</v>
      </c>
      <c r="L203" s="193" t="s">
        <v>1016</v>
      </c>
      <c r="M203" s="199" t="str">
        <f t="shared" si="4"/>
        <v>View on Google Map</v>
      </c>
    </row>
    <row r="204" spans="1:14" x14ac:dyDescent="0.2">
      <c r="A204" s="193">
        <v>221</v>
      </c>
      <c r="B204" s="193" t="s">
        <v>1019</v>
      </c>
      <c r="C204" s="193" t="s">
        <v>650</v>
      </c>
      <c r="D204" s="193">
        <v>69.75</v>
      </c>
      <c r="E204" s="193">
        <v>-151.5</v>
      </c>
      <c r="F204" s="193">
        <v>30.487804878048781</v>
      </c>
      <c r="G204" s="193" t="s">
        <v>661</v>
      </c>
      <c r="H204" s="193" t="s">
        <v>1020</v>
      </c>
      <c r="I204" s="193" t="s">
        <v>650</v>
      </c>
      <c r="J204" s="193" t="s">
        <v>676</v>
      </c>
      <c r="K204" s="193" t="s">
        <v>650</v>
      </c>
      <c r="L204" s="193" t="s">
        <v>1016</v>
      </c>
      <c r="M204" s="199" t="str">
        <f t="shared" si="4"/>
        <v>View on Google Map</v>
      </c>
    </row>
    <row r="205" spans="1:14" x14ac:dyDescent="0.2">
      <c r="A205" s="193">
        <v>222</v>
      </c>
      <c r="B205" s="193" t="s">
        <v>1021</v>
      </c>
      <c r="C205" s="193" t="s">
        <v>650</v>
      </c>
      <c r="D205" s="193">
        <v>69.7</v>
      </c>
      <c r="E205" s="193">
        <v>-151.16666666666666</v>
      </c>
      <c r="F205" s="193">
        <v>42.682926829268297</v>
      </c>
      <c r="G205" s="193" t="s">
        <v>661</v>
      </c>
      <c r="H205" s="193" t="s">
        <v>1022</v>
      </c>
      <c r="I205" s="193" t="s">
        <v>650</v>
      </c>
      <c r="J205" s="193" t="s">
        <v>676</v>
      </c>
      <c r="K205" s="193" t="s">
        <v>650</v>
      </c>
      <c r="L205" s="193" t="s">
        <v>1016</v>
      </c>
      <c r="M205" s="199" t="str">
        <f t="shared" si="4"/>
        <v>View on Google Map</v>
      </c>
    </row>
    <row r="206" spans="1:14" x14ac:dyDescent="0.2">
      <c r="A206" s="193">
        <v>223</v>
      </c>
      <c r="B206" s="193" t="s">
        <v>1023</v>
      </c>
      <c r="C206" s="193" t="s">
        <v>650</v>
      </c>
      <c r="D206" s="193">
        <v>69.7</v>
      </c>
      <c r="E206" s="193">
        <v>-151.16666666666666</v>
      </c>
      <c r="F206" s="193">
        <v>42.682926829268297</v>
      </c>
      <c r="G206" s="193" t="s">
        <v>661</v>
      </c>
      <c r="H206" s="193" t="s">
        <v>1024</v>
      </c>
      <c r="I206" s="193" t="s">
        <v>650</v>
      </c>
      <c r="J206" s="193" t="s">
        <v>676</v>
      </c>
      <c r="K206" s="193" t="s">
        <v>650</v>
      </c>
      <c r="L206" s="193" t="s">
        <v>1016</v>
      </c>
      <c r="M206" s="199" t="str">
        <f t="shared" si="4"/>
        <v>View on Google Map</v>
      </c>
    </row>
    <row r="207" spans="1:14" x14ac:dyDescent="0.2">
      <c r="A207" s="193">
        <v>224</v>
      </c>
      <c r="B207" s="193" t="s">
        <v>1025</v>
      </c>
      <c r="C207" s="193" t="s">
        <v>650</v>
      </c>
      <c r="D207" s="193">
        <v>69.516666666666666</v>
      </c>
      <c r="E207" s="193">
        <v>-150.86666666666667</v>
      </c>
      <c r="F207" s="193">
        <v>60.975609756097562</v>
      </c>
      <c r="G207" s="193" t="s">
        <v>661</v>
      </c>
      <c r="H207" s="193" t="s">
        <v>1026</v>
      </c>
      <c r="I207" s="193" t="s">
        <v>650</v>
      </c>
      <c r="J207" s="193" t="s">
        <v>676</v>
      </c>
      <c r="K207" s="193" t="s">
        <v>650</v>
      </c>
      <c r="L207" s="193" t="s">
        <v>1016</v>
      </c>
      <c r="M207" s="199" t="str">
        <f t="shared" si="4"/>
        <v>View on Google Map</v>
      </c>
    </row>
    <row r="208" spans="1:14" x14ac:dyDescent="0.2">
      <c r="A208" s="193">
        <v>225</v>
      </c>
      <c r="B208" s="193" t="s">
        <v>1027</v>
      </c>
      <c r="C208" s="193" t="s">
        <v>650</v>
      </c>
      <c r="D208" s="193">
        <v>69.516666666666666</v>
      </c>
      <c r="E208" s="193">
        <v>-150.86666666666667</v>
      </c>
      <c r="F208" s="193">
        <v>60.975609756097562</v>
      </c>
      <c r="G208" s="193" t="s">
        <v>661</v>
      </c>
      <c r="H208" s="193" t="s">
        <v>1028</v>
      </c>
      <c r="I208" s="193" t="s">
        <v>650</v>
      </c>
      <c r="J208" s="193" t="s">
        <v>676</v>
      </c>
      <c r="K208" s="193" t="s">
        <v>650</v>
      </c>
      <c r="L208" s="193" t="s">
        <v>1016</v>
      </c>
      <c r="M208" s="199" t="str">
        <f t="shared" si="4"/>
        <v>View on Google Map</v>
      </c>
    </row>
    <row r="209" spans="1:13" x14ac:dyDescent="0.2">
      <c r="A209" s="193">
        <v>226</v>
      </c>
      <c r="B209" s="193" t="s">
        <v>1029</v>
      </c>
      <c r="C209" s="193" t="s">
        <v>650</v>
      </c>
      <c r="D209" s="193">
        <v>69.25</v>
      </c>
      <c r="E209" s="193">
        <v>-150.43333333333334</v>
      </c>
      <c r="F209" s="193">
        <v>182.92682926829269</v>
      </c>
      <c r="G209" s="193" t="s">
        <v>661</v>
      </c>
      <c r="H209" s="193" t="s">
        <v>1030</v>
      </c>
      <c r="I209" s="193" t="s">
        <v>650</v>
      </c>
      <c r="J209" s="193" t="s">
        <v>676</v>
      </c>
      <c r="K209" s="193" t="s">
        <v>650</v>
      </c>
      <c r="L209" s="193" t="s">
        <v>1016</v>
      </c>
      <c r="M209" s="199" t="str">
        <f t="shared" si="4"/>
        <v>View on Google Map</v>
      </c>
    </row>
    <row r="210" spans="1:13" x14ac:dyDescent="0.2">
      <c r="A210" s="193">
        <v>227</v>
      </c>
      <c r="B210" s="193" t="s">
        <v>1031</v>
      </c>
      <c r="C210" s="193" t="s">
        <v>650</v>
      </c>
      <c r="D210" s="193">
        <v>69.25</v>
      </c>
      <c r="E210" s="193">
        <v>-150.43333333333334</v>
      </c>
      <c r="F210" s="193">
        <v>182.92682926829269</v>
      </c>
      <c r="G210" s="193" t="s">
        <v>661</v>
      </c>
      <c r="H210" s="193" t="s">
        <v>1032</v>
      </c>
      <c r="I210" s="193" t="s">
        <v>650</v>
      </c>
      <c r="J210" s="193" t="s">
        <v>676</v>
      </c>
      <c r="K210" s="193" t="s">
        <v>650</v>
      </c>
      <c r="L210" s="193" t="s">
        <v>1016</v>
      </c>
      <c r="M210" s="199" t="str">
        <f t="shared" si="4"/>
        <v>View on Google Map</v>
      </c>
    </row>
    <row r="211" spans="1:13" x14ac:dyDescent="0.2">
      <c r="A211" s="193">
        <v>228</v>
      </c>
      <c r="B211" s="193" t="s">
        <v>1033</v>
      </c>
      <c r="C211" s="193" t="s">
        <v>650</v>
      </c>
      <c r="D211" s="193">
        <v>69.25</v>
      </c>
      <c r="E211" s="193">
        <v>-151.16666666666666</v>
      </c>
      <c r="F211" s="193">
        <v>182.92682926829269</v>
      </c>
      <c r="G211" s="193" t="s">
        <v>661</v>
      </c>
      <c r="H211" s="193" t="s">
        <v>1034</v>
      </c>
      <c r="I211" s="193" t="s">
        <v>650</v>
      </c>
      <c r="J211" s="193" t="s">
        <v>676</v>
      </c>
      <c r="K211" s="193" t="s">
        <v>650</v>
      </c>
      <c r="L211" s="193" t="s">
        <v>1016</v>
      </c>
      <c r="M211" s="199" t="str">
        <f t="shared" si="4"/>
        <v>View on Google Map</v>
      </c>
    </row>
    <row r="212" spans="1:13" x14ac:dyDescent="0.2">
      <c r="A212" s="193">
        <v>229</v>
      </c>
      <c r="B212" s="193" t="s">
        <v>1035</v>
      </c>
      <c r="C212" s="193" t="s">
        <v>650</v>
      </c>
      <c r="D212" s="193">
        <v>69.233333333333334</v>
      </c>
      <c r="E212" s="193">
        <v>-151.63333333333333</v>
      </c>
      <c r="F212" s="193">
        <v>178.35365853658539</v>
      </c>
      <c r="G212" s="193" t="s">
        <v>661</v>
      </c>
      <c r="H212" s="193" t="s">
        <v>1036</v>
      </c>
      <c r="I212" s="193" t="s">
        <v>650</v>
      </c>
      <c r="J212" s="193" t="s">
        <v>676</v>
      </c>
      <c r="K212" s="193" t="s">
        <v>650</v>
      </c>
      <c r="L212" s="193" t="s">
        <v>1016</v>
      </c>
      <c r="M212" s="199" t="str">
        <f t="shared" si="4"/>
        <v>View on Google Map</v>
      </c>
    </row>
    <row r="213" spans="1:13" x14ac:dyDescent="0.2">
      <c r="A213" s="193">
        <v>230</v>
      </c>
      <c r="B213" s="193" t="s">
        <v>1037</v>
      </c>
      <c r="C213" s="193" t="s">
        <v>650</v>
      </c>
      <c r="D213" s="193">
        <v>68.900000000000006</v>
      </c>
      <c r="E213" s="193">
        <v>-151.28333333333333</v>
      </c>
      <c r="F213" s="193">
        <v>335.36585365853659</v>
      </c>
      <c r="G213" s="193" t="s">
        <v>661</v>
      </c>
      <c r="H213" s="193" t="s">
        <v>1038</v>
      </c>
      <c r="I213" s="193" t="s">
        <v>650</v>
      </c>
      <c r="J213" s="193" t="s">
        <v>676</v>
      </c>
      <c r="K213" s="193" t="s">
        <v>650</v>
      </c>
      <c r="L213" s="193" t="s">
        <v>1016</v>
      </c>
      <c r="M213" s="199" t="str">
        <f t="shared" si="4"/>
        <v>View on Google Map</v>
      </c>
    </row>
    <row r="214" spans="1:13" x14ac:dyDescent="0.2">
      <c r="A214" s="193">
        <v>231</v>
      </c>
      <c r="B214" s="193" t="s">
        <v>1039</v>
      </c>
      <c r="C214" s="193" t="s">
        <v>650</v>
      </c>
      <c r="D214" s="193">
        <v>68.8</v>
      </c>
      <c r="E214" s="193">
        <v>-150.80000000000001</v>
      </c>
      <c r="F214" s="193">
        <v>411.58536585365857</v>
      </c>
      <c r="G214" s="193" t="s">
        <v>661</v>
      </c>
      <c r="H214" s="193" t="s">
        <v>1040</v>
      </c>
      <c r="I214" s="193" t="s">
        <v>650</v>
      </c>
      <c r="J214" s="193" t="s">
        <v>676</v>
      </c>
      <c r="K214" s="193" t="s">
        <v>650</v>
      </c>
      <c r="L214" s="193" t="s">
        <v>1016</v>
      </c>
      <c r="M214" s="199" t="str">
        <f t="shared" si="4"/>
        <v>View on Google Map</v>
      </c>
    </row>
    <row r="215" spans="1:13" x14ac:dyDescent="0.2">
      <c r="A215" s="193">
        <v>237</v>
      </c>
      <c r="B215" s="193" t="s">
        <v>1041</v>
      </c>
      <c r="C215" s="193" t="s">
        <v>650</v>
      </c>
      <c r="D215" s="193">
        <v>68.783333333333331</v>
      </c>
      <c r="E215" s="193" t="s">
        <v>650</v>
      </c>
      <c r="F215" s="193">
        <v>681.40243902439033</v>
      </c>
      <c r="G215" s="193" t="s">
        <v>661</v>
      </c>
      <c r="H215" s="193" t="s">
        <v>1042</v>
      </c>
      <c r="I215" s="193" t="s">
        <v>1043</v>
      </c>
      <c r="J215" s="193" t="s">
        <v>676</v>
      </c>
      <c r="K215" s="193" t="s">
        <v>650</v>
      </c>
      <c r="L215" s="193" t="s">
        <v>1016</v>
      </c>
      <c r="M215" s="199" t="str">
        <f t="shared" si="4"/>
        <v>View on Google Map</v>
      </c>
    </row>
    <row r="216" spans="1:13" x14ac:dyDescent="0.2">
      <c r="A216" s="193">
        <v>238</v>
      </c>
      <c r="B216" s="193" t="s">
        <v>1044</v>
      </c>
      <c r="C216" s="193" t="s">
        <v>650</v>
      </c>
      <c r="D216" s="193">
        <v>68.783333333333331</v>
      </c>
      <c r="E216" s="193" t="s">
        <v>650</v>
      </c>
      <c r="F216" s="193">
        <v>681.40243902439033</v>
      </c>
      <c r="G216" s="193" t="s">
        <v>661</v>
      </c>
      <c r="H216" s="193" t="s">
        <v>1045</v>
      </c>
      <c r="I216" s="193" t="s">
        <v>1043</v>
      </c>
      <c r="J216" s="193" t="s">
        <v>676</v>
      </c>
      <c r="K216" s="193" t="s">
        <v>650</v>
      </c>
      <c r="L216" s="193" t="s">
        <v>1016</v>
      </c>
      <c r="M216" s="199" t="str">
        <f t="shared" si="4"/>
        <v>View on Google Map</v>
      </c>
    </row>
    <row r="217" spans="1:13" x14ac:dyDescent="0.2">
      <c r="A217" s="193">
        <v>10</v>
      </c>
      <c r="B217" s="193" t="s">
        <v>1046</v>
      </c>
      <c r="C217" s="193" t="s">
        <v>1047</v>
      </c>
      <c r="D217" s="193">
        <v>68.644702925000004</v>
      </c>
      <c r="E217" s="193">
        <v>-149.41200613611099</v>
      </c>
      <c r="F217" s="193">
        <v>751.33799999999997</v>
      </c>
      <c r="G217" s="193" t="s">
        <v>675</v>
      </c>
      <c r="H217" s="193" t="s">
        <v>650</v>
      </c>
      <c r="I217" s="193" t="s">
        <v>650</v>
      </c>
      <c r="J217" s="193" t="s">
        <v>676</v>
      </c>
      <c r="K217" s="193" t="s">
        <v>650</v>
      </c>
      <c r="L217" s="193" t="s">
        <v>650</v>
      </c>
      <c r="M217" s="199" t="str">
        <f t="shared" si="4"/>
        <v>View on Google Map</v>
      </c>
    </row>
    <row r="218" spans="1:13" x14ac:dyDescent="0.2">
      <c r="A218" s="193">
        <v>486</v>
      </c>
      <c r="B218" s="193" t="s">
        <v>1048</v>
      </c>
      <c r="C218" s="193" t="s">
        <v>650</v>
      </c>
      <c r="D218" s="193">
        <v>68.958333332999999</v>
      </c>
      <c r="E218" s="193">
        <v>-150.302016667</v>
      </c>
      <c r="F218" s="193">
        <v>382</v>
      </c>
      <c r="G218" s="193" t="s">
        <v>661</v>
      </c>
      <c r="H218" s="193" t="s">
        <v>650</v>
      </c>
      <c r="I218" s="193" t="s">
        <v>650</v>
      </c>
      <c r="J218" s="193" t="s">
        <v>711</v>
      </c>
      <c r="K218" s="193" t="s">
        <v>650</v>
      </c>
      <c r="L218" s="193" t="s">
        <v>658</v>
      </c>
      <c r="M218" s="199" t="str">
        <f t="shared" si="4"/>
        <v>View on Google Map</v>
      </c>
    </row>
    <row r="219" spans="1:13" x14ac:dyDescent="0.2">
      <c r="A219" s="193">
        <v>388</v>
      </c>
      <c r="B219" s="193" t="s">
        <v>1049</v>
      </c>
      <c r="C219" s="193" t="s">
        <v>650</v>
      </c>
      <c r="D219" s="193">
        <v>68.556340000000006</v>
      </c>
      <c r="E219" s="193">
        <v>-149.56628000000001</v>
      </c>
      <c r="F219" s="193">
        <v>801</v>
      </c>
      <c r="G219" s="193" t="s">
        <v>661</v>
      </c>
      <c r="H219" s="193" t="s">
        <v>650</v>
      </c>
      <c r="I219" s="193" t="s">
        <v>650</v>
      </c>
      <c r="J219" s="193" t="s">
        <v>676</v>
      </c>
      <c r="K219" s="193" t="s">
        <v>650</v>
      </c>
      <c r="L219" s="193" t="s">
        <v>1050</v>
      </c>
      <c r="M219" s="199" t="str">
        <f t="shared" si="4"/>
        <v>View on Google Map</v>
      </c>
    </row>
    <row r="220" spans="1:13" x14ac:dyDescent="0.2">
      <c r="A220" s="193">
        <v>450</v>
      </c>
      <c r="B220" s="193" t="s">
        <v>1051</v>
      </c>
      <c r="C220" s="193" t="s">
        <v>650</v>
      </c>
      <c r="D220" s="193">
        <v>68.553610000000006</v>
      </c>
      <c r="E220" s="193">
        <v>-149.53397000000001</v>
      </c>
      <c r="F220" s="193">
        <v>820</v>
      </c>
      <c r="G220" s="193" t="s">
        <v>661</v>
      </c>
      <c r="H220" s="193" t="s">
        <v>1052</v>
      </c>
      <c r="I220" s="193" t="s">
        <v>650</v>
      </c>
      <c r="J220" s="193" t="s">
        <v>662</v>
      </c>
      <c r="K220" s="193" t="s">
        <v>650</v>
      </c>
      <c r="L220" s="193" t="s">
        <v>650</v>
      </c>
      <c r="M220" s="199" t="str">
        <f t="shared" si="4"/>
        <v>View on Google Map</v>
      </c>
    </row>
    <row r="221" spans="1:13" x14ac:dyDescent="0.2">
      <c r="A221" s="193">
        <v>451</v>
      </c>
      <c r="B221" s="193" t="s">
        <v>1053</v>
      </c>
      <c r="C221" s="193" t="s">
        <v>650</v>
      </c>
      <c r="D221" s="193">
        <v>68.545929999999998</v>
      </c>
      <c r="E221" s="193">
        <v>-149.54213999999999</v>
      </c>
      <c r="F221" s="193">
        <v>852</v>
      </c>
      <c r="G221" s="193" t="s">
        <v>661</v>
      </c>
      <c r="H221" s="193" t="s">
        <v>1054</v>
      </c>
      <c r="I221" s="193" t="s">
        <v>650</v>
      </c>
      <c r="J221" s="193" t="s">
        <v>662</v>
      </c>
      <c r="K221" s="193" t="s">
        <v>650</v>
      </c>
      <c r="L221" s="193" t="s">
        <v>650</v>
      </c>
      <c r="M221" s="199" t="str">
        <f t="shared" si="4"/>
        <v>View on Google Map</v>
      </c>
    </row>
    <row r="222" spans="1:13" x14ac:dyDescent="0.2">
      <c r="A222" s="193">
        <v>531</v>
      </c>
      <c r="B222" s="193" t="s">
        <v>1055</v>
      </c>
      <c r="C222" s="193" t="s">
        <v>1056</v>
      </c>
      <c r="D222" s="193">
        <v>68.556769000000003</v>
      </c>
      <c r="E222" s="193">
        <v>-149.555385</v>
      </c>
      <c r="F222" s="193">
        <v>805</v>
      </c>
      <c r="G222" s="193" t="s">
        <v>675</v>
      </c>
      <c r="H222" s="193" t="s">
        <v>650</v>
      </c>
      <c r="I222" s="193" t="s">
        <v>650</v>
      </c>
      <c r="J222" s="193" t="s">
        <v>662</v>
      </c>
      <c r="K222" s="193" t="s">
        <v>650</v>
      </c>
      <c r="L222" s="193" t="s">
        <v>1057</v>
      </c>
      <c r="M222" s="199" t="str">
        <f t="shared" si="4"/>
        <v>View on Google Map</v>
      </c>
    </row>
    <row r="223" spans="1:13" x14ac:dyDescent="0.2">
      <c r="A223" s="193">
        <v>532</v>
      </c>
      <c r="B223" s="193" t="s">
        <v>1058</v>
      </c>
      <c r="C223" s="193" t="s">
        <v>1056</v>
      </c>
      <c r="D223" s="193">
        <v>68.556635999999997</v>
      </c>
      <c r="E223" s="193">
        <v>-149.574457</v>
      </c>
      <c r="F223" s="193">
        <v>803</v>
      </c>
      <c r="G223" s="193" t="s">
        <v>675</v>
      </c>
      <c r="H223" s="193" t="s">
        <v>650</v>
      </c>
      <c r="I223" s="193" t="s">
        <v>650</v>
      </c>
      <c r="J223" s="193" t="s">
        <v>662</v>
      </c>
      <c r="K223" s="193" t="s">
        <v>650</v>
      </c>
      <c r="L223" s="193" t="s">
        <v>1057</v>
      </c>
      <c r="M223" s="199" t="str">
        <f t="shared" si="4"/>
        <v>View on Google Map</v>
      </c>
    </row>
    <row r="224" spans="1:13" x14ac:dyDescent="0.2">
      <c r="A224" s="193">
        <v>120</v>
      </c>
      <c r="B224" s="193" t="s">
        <v>1059</v>
      </c>
      <c r="C224" s="193" t="s">
        <v>650</v>
      </c>
      <c r="D224" s="193">
        <v>68.610781000000003</v>
      </c>
      <c r="E224" s="193">
        <v>-149.600742</v>
      </c>
      <c r="F224" s="193">
        <v>736</v>
      </c>
      <c r="G224" s="193" t="s">
        <v>661</v>
      </c>
      <c r="H224" s="193" t="s">
        <v>1060</v>
      </c>
      <c r="I224" s="193" t="s">
        <v>650</v>
      </c>
      <c r="J224" s="193" t="s">
        <v>676</v>
      </c>
      <c r="K224" s="193">
        <v>313</v>
      </c>
      <c r="L224" s="193" t="s">
        <v>1050</v>
      </c>
      <c r="M224" s="199" t="str">
        <f t="shared" si="4"/>
        <v>View on Google Map</v>
      </c>
    </row>
    <row r="225" spans="1:13" x14ac:dyDescent="0.2">
      <c r="A225" s="193">
        <v>191</v>
      </c>
      <c r="B225" s="193" t="s">
        <v>1061</v>
      </c>
      <c r="C225" s="193" t="s">
        <v>1062</v>
      </c>
      <c r="D225" s="193">
        <v>68.610349999999997</v>
      </c>
      <c r="E225" s="193">
        <v>-149.59976599999999</v>
      </c>
      <c r="F225" s="193">
        <v>736</v>
      </c>
      <c r="G225" s="193" t="s">
        <v>675</v>
      </c>
      <c r="H225" s="193" t="s">
        <v>1063</v>
      </c>
      <c r="I225" s="193" t="s">
        <v>1064</v>
      </c>
      <c r="J225" s="193" t="s">
        <v>676</v>
      </c>
      <c r="K225" s="193" t="s">
        <v>650</v>
      </c>
      <c r="L225" s="193" t="s">
        <v>1065</v>
      </c>
      <c r="M225" s="199" t="str">
        <f t="shared" si="4"/>
        <v>View on Google Map</v>
      </c>
    </row>
    <row r="226" spans="1:13" x14ac:dyDescent="0.2">
      <c r="A226" s="193">
        <v>243</v>
      </c>
      <c r="B226" s="193" t="s">
        <v>1066</v>
      </c>
      <c r="C226" s="193" t="s">
        <v>650</v>
      </c>
      <c r="D226" s="193">
        <v>68.611682999999999</v>
      </c>
      <c r="E226" s="193">
        <v>-149.599254</v>
      </c>
      <c r="F226" s="193">
        <v>736</v>
      </c>
      <c r="G226" s="193" t="s">
        <v>675</v>
      </c>
      <c r="H226" s="193" t="s">
        <v>1067</v>
      </c>
      <c r="I226" s="193" t="s">
        <v>1068</v>
      </c>
      <c r="J226" s="193" t="s">
        <v>676</v>
      </c>
      <c r="K226" s="193" t="s">
        <v>650</v>
      </c>
      <c r="L226" s="193" t="s">
        <v>1065</v>
      </c>
      <c r="M226" s="199" t="str">
        <f t="shared" si="4"/>
        <v>View on Google Map</v>
      </c>
    </row>
    <row r="227" spans="1:13" x14ac:dyDescent="0.2">
      <c r="A227" s="193">
        <v>111</v>
      </c>
      <c r="B227" s="193" t="s">
        <v>1069</v>
      </c>
      <c r="C227" s="193" t="s">
        <v>650</v>
      </c>
      <c r="D227" s="193">
        <v>68.568713078900004</v>
      </c>
      <c r="E227" s="193">
        <v>-149.58807625</v>
      </c>
      <c r="F227" s="193">
        <v>785</v>
      </c>
      <c r="G227" s="193" t="s">
        <v>661</v>
      </c>
      <c r="H227" s="193" t="s">
        <v>1070</v>
      </c>
      <c r="I227" s="193" t="s">
        <v>1071</v>
      </c>
      <c r="J227" s="193" t="s">
        <v>676</v>
      </c>
      <c r="K227" s="193" t="s">
        <v>650</v>
      </c>
      <c r="L227" s="193" t="s">
        <v>1050</v>
      </c>
      <c r="M227" s="199" t="str">
        <f t="shared" si="4"/>
        <v>View on Google Map</v>
      </c>
    </row>
    <row r="228" spans="1:13" x14ac:dyDescent="0.2">
      <c r="A228" s="193">
        <v>175</v>
      </c>
      <c r="B228" s="193" t="s">
        <v>1072</v>
      </c>
      <c r="C228" s="193" t="s">
        <v>650</v>
      </c>
      <c r="D228" s="193">
        <v>68.573999999999998</v>
      </c>
      <c r="E228" s="193">
        <v>-149.58356599999999</v>
      </c>
      <c r="F228" s="193">
        <v>774</v>
      </c>
      <c r="G228" s="193" t="s">
        <v>675</v>
      </c>
      <c r="H228" s="193" t="s">
        <v>1073</v>
      </c>
      <c r="I228" s="193" t="s">
        <v>1074</v>
      </c>
      <c r="J228" s="193" t="s">
        <v>676</v>
      </c>
      <c r="K228" s="193" t="s">
        <v>650</v>
      </c>
      <c r="L228" s="193" t="s">
        <v>1065</v>
      </c>
      <c r="M228" s="199" t="str">
        <f t="shared" si="4"/>
        <v>View on Google Map</v>
      </c>
    </row>
    <row r="229" spans="1:13" x14ac:dyDescent="0.2">
      <c r="A229" s="193">
        <v>174</v>
      </c>
      <c r="B229" s="193" t="s">
        <v>1075</v>
      </c>
      <c r="C229" s="193" t="s">
        <v>650</v>
      </c>
      <c r="D229" s="193">
        <v>68.572295999999994</v>
      </c>
      <c r="E229" s="193">
        <v>-149.58101400000001</v>
      </c>
      <c r="F229" s="193">
        <v>785</v>
      </c>
      <c r="G229" s="193" t="s">
        <v>675</v>
      </c>
      <c r="H229" s="193" t="s">
        <v>1076</v>
      </c>
      <c r="I229" s="193" t="s">
        <v>1077</v>
      </c>
      <c r="J229" s="193" t="s">
        <v>676</v>
      </c>
      <c r="K229" s="193" t="s">
        <v>650</v>
      </c>
      <c r="L229" s="193" t="s">
        <v>1065</v>
      </c>
      <c r="M229" s="199" t="str">
        <f t="shared" si="4"/>
        <v>View on Google Map</v>
      </c>
    </row>
    <row r="230" spans="1:13" x14ac:dyDescent="0.2">
      <c r="A230" s="193">
        <v>112</v>
      </c>
      <c r="B230" s="193" t="s">
        <v>1078</v>
      </c>
      <c r="C230" s="193" t="s">
        <v>650</v>
      </c>
      <c r="D230" s="193">
        <v>68.571319563299994</v>
      </c>
      <c r="E230" s="193">
        <v>-149.56588161799999</v>
      </c>
      <c r="F230" s="193">
        <v>785</v>
      </c>
      <c r="G230" s="193" t="s">
        <v>661</v>
      </c>
      <c r="H230" s="193" t="s">
        <v>1079</v>
      </c>
      <c r="I230" s="193" t="s">
        <v>1080</v>
      </c>
      <c r="J230" s="193" t="s">
        <v>676</v>
      </c>
      <c r="K230" s="193" t="s">
        <v>650</v>
      </c>
      <c r="L230" s="193" t="s">
        <v>1050</v>
      </c>
      <c r="M230" s="199" t="str">
        <f t="shared" si="4"/>
        <v>View on Google Map</v>
      </c>
    </row>
    <row r="231" spans="1:13" x14ac:dyDescent="0.2">
      <c r="A231" s="193">
        <v>176</v>
      </c>
      <c r="B231" s="193" t="s">
        <v>1081</v>
      </c>
      <c r="C231" s="193" t="s">
        <v>650</v>
      </c>
      <c r="D231" s="193">
        <v>68.574783330000002</v>
      </c>
      <c r="E231" s="193">
        <v>-149.58205000000001</v>
      </c>
      <c r="F231" s="193">
        <v>774</v>
      </c>
      <c r="G231" s="193" t="s">
        <v>675</v>
      </c>
      <c r="H231" s="193" t="s">
        <v>1082</v>
      </c>
      <c r="I231" s="193" t="s">
        <v>1083</v>
      </c>
      <c r="J231" s="193" t="s">
        <v>676</v>
      </c>
      <c r="K231" s="193" t="s">
        <v>650</v>
      </c>
      <c r="L231" s="193" t="s">
        <v>1065</v>
      </c>
      <c r="M231" s="199" t="str">
        <f t="shared" si="4"/>
        <v>View on Google Map</v>
      </c>
    </row>
    <row r="232" spans="1:13" x14ac:dyDescent="0.2">
      <c r="A232" s="193">
        <v>173</v>
      </c>
      <c r="B232" s="193" t="s">
        <v>1084</v>
      </c>
      <c r="C232" s="193" t="s">
        <v>650</v>
      </c>
      <c r="D232" s="193">
        <v>68.572546000000003</v>
      </c>
      <c r="E232" s="193">
        <v>-149.570268</v>
      </c>
      <c r="F232" s="193">
        <v>785</v>
      </c>
      <c r="G232" s="193" t="s">
        <v>675</v>
      </c>
      <c r="H232" s="193" t="s">
        <v>1085</v>
      </c>
      <c r="I232" s="193" t="s">
        <v>1086</v>
      </c>
      <c r="J232" s="193" t="s">
        <v>676</v>
      </c>
      <c r="K232" s="193" t="s">
        <v>650</v>
      </c>
      <c r="L232" s="193" t="s">
        <v>1065</v>
      </c>
      <c r="M232" s="199" t="str">
        <f t="shared" si="4"/>
        <v>View on Google Map</v>
      </c>
    </row>
    <row r="233" spans="1:13" x14ac:dyDescent="0.2">
      <c r="A233" s="193">
        <v>113</v>
      </c>
      <c r="B233" s="193" t="s">
        <v>1087</v>
      </c>
      <c r="C233" s="193" t="s">
        <v>650</v>
      </c>
      <c r="D233" s="193">
        <v>68.575536630100004</v>
      </c>
      <c r="E233" s="193">
        <v>-149.583644456</v>
      </c>
      <c r="F233" s="193">
        <v>774</v>
      </c>
      <c r="G233" s="193" t="s">
        <v>661</v>
      </c>
      <c r="H233" s="193" t="s">
        <v>1088</v>
      </c>
      <c r="I233" s="193" t="s">
        <v>1089</v>
      </c>
      <c r="J233" s="193" t="s">
        <v>676</v>
      </c>
      <c r="K233" s="193" t="s">
        <v>650</v>
      </c>
      <c r="L233" s="193" t="s">
        <v>1050</v>
      </c>
      <c r="M233" s="199" t="str">
        <f t="shared" si="4"/>
        <v>View on Google Map</v>
      </c>
    </row>
    <row r="234" spans="1:13" x14ac:dyDescent="0.2">
      <c r="A234" s="193">
        <v>177</v>
      </c>
      <c r="B234" s="193" t="s">
        <v>1090</v>
      </c>
      <c r="C234" s="193" t="s">
        <v>650</v>
      </c>
      <c r="D234" s="193">
        <v>68.577539999999999</v>
      </c>
      <c r="E234" s="193">
        <v>-149.58200299999999</v>
      </c>
      <c r="F234" s="193">
        <v>774</v>
      </c>
      <c r="G234" s="193" t="s">
        <v>675</v>
      </c>
      <c r="H234" s="193" t="s">
        <v>1091</v>
      </c>
      <c r="I234" s="193" t="s">
        <v>1092</v>
      </c>
      <c r="J234" s="193" t="s">
        <v>676</v>
      </c>
      <c r="K234" s="193" t="s">
        <v>650</v>
      </c>
      <c r="L234" s="193" t="s">
        <v>1065</v>
      </c>
      <c r="M234" s="199" t="str">
        <f t="shared" si="4"/>
        <v>View on Google Map</v>
      </c>
    </row>
    <row r="235" spans="1:13" x14ac:dyDescent="0.2">
      <c r="A235" s="193">
        <v>114</v>
      </c>
      <c r="B235" s="193" t="s">
        <v>1093</v>
      </c>
      <c r="C235" s="193" t="s">
        <v>650</v>
      </c>
      <c r="D235" s="193">
        <v>68.579567150000003</v>
      </c>
      <c r="E235" s="193">
        <v>-149.58405938000001</v>
      </c>
      <c r="F235" s="193">
        <v>770</v>
      </c>
      <c r="G235" s="193" t="s">
        <v>661</v>
      </c>
      <c r="H235" s="193" t="s">
        <v>1094</v>
      </c>
      <c r="I235" s="193" t="s">
        <v>1095</v>
      </c>
      <c r="J235" s="193" t="s">
        <v>676</v>
      </c>
      <c r="K235" s="193" t="s">
        <v>650</v>
      </c>
      <c r="L235" s="193" t="s">
        <v>1050</v>
      </c>
      <c r="M235" s="199" t="str">
        <f t="shared" si="4"/>
        <v>View on Google Map</v>
      </c>
    </row>
    <row r="236" spans="1:13" x14ac:dyDescent="0.2">
      <c r="A236" s="193">
        <v>179</v>
      </c>
      <c r="B236" s="193" t="s">
        <v>1096</v>
      </c>
      <c r="C236" s="193" t="s">
        <v>650</v>
      </c>
      <c r="D236" s="193">
        <v>68.584233330000004</v>
      </c>
      <c r="E236" s="193">
        <v>-149.58359999999999</v>
      </c>
      <c r="F236" s="193">
        <v>770</v>
      </c>
      <c r="G236" s="193" t="s">
        <v>675</v>
      </c>
      <c r="H236" s="193" t="s">
        <v>1097</v>
      </c>
      <c r="I236" s="193" t="s">
        <v>1098</v>
      </c>
      <c r="J236" s="193" t="s">
        <v>676</v>
      </c>
      <c r="K236" s="193" t="s">
        <v>650</v>
      </c>
      <c r="L236" s="193" t="s">
        <v>1065</v>
      </c>
      <c r="M236" s="199" t="str">
        <f t="shared" si="4"/>
        <v>View on Google Map</v>
      </c>
    </row>
    <row r="237" spans="1:13" x14ac:dyDescent="0.2">
      <c r="A237" s="193">
        <v>178</v>
      </c>
      <c r="B237" s="193" t="s">
        <v>1099</v>
      </c>
      <c r="C237" s="193" t="s">
        <v>650</v>
      </c>
      <c r="D237" s="193">
        <v>68.581429999999997</v>
      </c>
      <c r="E237" s="193">
        <v>-149.58609999999999</v>
      </c>
      <c r="F237" s="193">
        <v>770</v>
      </c>
      <c r="G237" s="193" t="s">
        <v>675</v>
      </c>
      <c r="H237" s="193" t="s">
        <v>1100</v>
      </c>
      <c r="I237" s="193" t="s">
        <v>1101</v>
      </c>
      <c r="J237" s="193" t="s">
        <v>676</v>
      </c>
      <c r="K237" s="193" t="s">
        <v>650</v>
      </c>
      <c r="L237" s="193" t="s">
        <v>1065</v>
      </c>
      <c r="M237" s="199" t="str">
        <f t="shared" si="4"/>
        <v>View on Google Map</v>
      </c>
    </row>
    <row r="238" spans="1:13" x14ac:dyDescent="0.2">
      <c r="A238" s="193">
        <v>115</v>
      </c>
      <c r="B238" s="193" t="s">
        <v>1102</v>
      </c>
      <c r="C238" s="193" t="s">
        <v>650</v>
      </c>
      <c r="D238" s="193">
        <v>68.587387439099999</v>
      </c>
      <c r="E238" s="193">
        <v>-149.589625877</v>
      </c>
      <c r="F238" s="193">
        <v>767</v>
      </c>
      <c r="G238" s="193" t="s">
        <v>661</v>
      </c>
      <c r="H238" s="193" t="s">
        <v>1103</v>
      </c>
      <c r="I238" s="193" t="s">
        <v>1104</v>
      </c>
      <c r="J238" s="193" t="s">
        <v>676</v>
      </c>
      <c r="K238" s="193" t="s">
        <v>650</v>
      </c>
      <c r="L238" s="193" t="s">
        <v>1050</v>
      </c>
      <c r="M238" s="199" t="str">
        <f t="shared" si="4"/>
        <v>View on Google Map</v>
      </c>
    </row>
    <row r="239" spans="1:13" x14ac:dyDescent="0.2">
      <c r="A239" s="193">
        <v>181</v>
      </c>
      <c r="B239" s="193" t="s">
        <v>1105</v>
      </c>
      <c r="C239" s="193" t="s">
        <v>650</v>
      </c>
      <c r="D239" s="193">
        <v>68.594916670000003</v>
      </c>
      <c r="E239" s="193">
        <v>-149.58631600000001</v>
      </c>
      <c r="F239" s="193">
        <v>754</v>
      </c>
      <c r="G239" s="193" t="s">
        <v>675</v>
      </c>
      <c r="H239" s="193" t="s">
        <v>1106</v>
      </c>
      <c r="I239" s="193" t="s">
        <v>1107</v>
      </c>
      <c r="J239" s="193" t="s">
        <v>676</v>
      </c>
      <c r="K239" s="193" t="s">
        <v>650</v>
      </c>
      <c r="L239" s="193" t="s">
        <v>1065</v>
      </c>
      <c r="M239" s="199" t="str">
        <f t="shared" si="4"/>
        <v>View on Google Map</v>
      </c>
    </row>
    <row r="240" spans="1:13" x14ac:dyDescent="0.2">
      <c r="A240" s="193">
        <v>180</v>
      </c>
      <c r="B240" s="193" t="s">
        <v>1108</v>
      </c>
      <c r="C240" s="193" t="s">
        <v>650</v>
      </c>
      <c r="D240" s="193">
        <v>68.589087000000006</v>
      </c>
      <c r="E240" s="193">
        <v>-149.58921900000001</v>
      </c>
      <c r="F240" s="193">
        <v>767</v>
      </c>
      <c r="G240" s="193" t="s">
        <v>675</v>
      </c>
      <c r="H240" s="193" t="s">
        <v>1109</v>
      </c>
      <c r="I240" s="193" t="s">
        <v>1110</v>
      </c>
      <c r="J240" s="193" t="s">
        <v>676</v>
      </c>
      <c r="K240" s="193" t="s">
        <v>650</v>
      </c>
      <c r="L240" s="193" t="s">
        <v>1065</v>
      </c>
      <c r="M240" s="199" t="str">
        <f t="shared" si="4"/>
        <v>View on Google Map</v>
      </c>
    </row>
    <row r="241" spans="1:13" x14ac:dyDescent="0.2">
      <c r="A241" s="193">
        <v>116</v>
      </c>
      <c r="B241" s="193" t="s">
        <v>1111</v>
      </c>
      <c r="C241" s="193" t="s">
        <v>650</v>
      </c>
      <c r="D241" s="193">
        <v>68.596592403900004</v>
      </c>
      <c r="E241" s="193">
        <v>-149.59264335</v>
      </c>
      <c r="F241" s="193">
        <v>754</v>
      </c>
      <c r="G241" s="193" t="s">
        <v>661</v>
      </c>
      <c r="H241" s="193" t="s">
        <v>1112</v>
      </c>
      <c r="I241" s="193" t="s">
        <v>1113</v>
      </c>
      <c r="J241" s="193" t="s">
        <v>676</v>
      </c>
      <c r="K241" s="193" t="s">
        <v>650</v>
      </c>
      <c r="L241" s="193" t="s">
        <v>1050</v>
      </c>
      <c r="M241" s="199" t="str">
        <f t="shared" si="4"/>
        <v>View on Google Map</v>
      </c>
    </row>
    <row r="242" spans="1:13" x14ac:dyDescent="0.2">
      <c r="A242" s="193">
        <v>431</v>
      </c>
      <c r="B242" s="193" t="s">
        <v>1114</v>
      </c>
      <c r="C242" s="193" t="s">
        <v>650</v>
      </c>
      <c r="D242" s="193">
        <v>68.582061999999993</v>
      </c>
      <c r="E242" s="193">
        <v>-149.62293199999999</v>
      </c>
      <c r="F242" s="193">
        <v>806</v>
      </c>
      <c r="G242" s="193" t="s">
        <v>661</v>
      </c>
      <c r="H242" s="193" t="s">
        <v>1115</v>
      </c>
      <c r="I242" s="193" t="s">
        <v>1116</v>
      </c>
      <c r="J242" s="193" t="s">
        <v>676</v>
      </c>
      <c r="K242" s="193" t="s">
        <v>650</v>
      </c>
      <c r="L242" s="193" t="s">
        <v>1050</v>
      </c>
      <c r="M242" s="199" t="str">
        <f t="shared" si="4"/>
        <v>View on Google Map</v>
      </c>
    </row>
    <row r="243" spans="1:13" x14ac:dyDescent="0.2">
      <c r="A243" s="193">
        <v>444</v>
      </c>
      <c r="B243" s="193" t="s">
        <v>1117</v>
      </c>
      <c r="C243" s="193" t="s">
        <v>650</v>
      </c>
      <c r="D243" s="193">
        <v>68.578643</v>
      </c>
      <c r="E243" s="193">
        <v>-149.62110200000001</v>
      </c>
      <c r="F243" s="193">
        <v>808</v>
      </c>
      <c r="G243" s="193" t="s">
        <v>675</v>
      </c>
      <c r="H243" s="193" t="s">
        <v>1118</v>
      </c>
      <c r="I243" s="193" t="s">
        <v>1119</v>
      </c>
      <c r="J243" s="193" t="s">
        <v>676</v>
      </c>
      <c r="K243" s="193" t="s">
        <v>650</v>
      </c>
      <c r="L243" s="193" t="s">
        <v>1065</v>
      </c>
      <c r="M243" s="199" t="str">
        <f t="shared" si="4"/>
        <v>View on Google Map</v>
      </c>
    </row>
    <row r="244" spans="1:13" x14ac:dyDescent="0.2">
      <c r="A244" s="193">
        <v>535</v>
      </c>
      <c r="B244" s="193" t="s">
        <v>1120</v>
      </c>
      <c r="C244" s="193" t="s">
        <v>1121</v>
      </c>
      <c r="D244" s="193">
        <v>68.585839000000007</v>
      </c>
      <c r="E244" s="193">
        <v>-149.62222299999999</v>
      </c>
      <c r="F244" s="193">
        <v>805</v>
      </c>
      <c r="G244" s="193" t="s">
        <v>675</v>
      </c>
      <c r="H244" s="193" t="s">
        <v>650</v>
      </c>
      <c r="I244" s="193" t="s">
        <v>650</v>
      </c>
      <c r="J244" s="193" t="s">
        <v>662</v>
      </c>
      <c r="K244" s="193" t="s">
        <v>650</v>
      </c>
      <c r="L244" s="193" t="s">
        <v>1122</v>
      </c>
      <c r="M244" s="199" t="str">
        <f t="shared" si="4"/>
        <v>View on Google Map</v>
      </c>
    </row>
    <row r="245" spans="1:13" x14ac:dyDescent="0.2">
      <c r="A245" s="193">
        <v>536</v>
      </c>
      <c r="B245" s="193" t="s">
        <v>1123</v>
      </c>
      <c r="C245" s="193" t="s">
        <v>1121</v>
      </c>
      <c r="D245" s="193">
        <v>68.591329999999999</v>
      </c>
      <c r="E245" s="193">
        <v>-149.61154199999999</v>
      </c>
      <c r="F245" s="193">
        <v>775</v>
      </c>
      <c r="G245" s="193" t="s">
        <v>675</v>
      </c>
      <c r="H245" s="193" t="s">
        <v>650</v>
      </c>
      <c r="I245" s="193" t="s">
        <v>650</v>
      </c>
      <c r="J245" s="193" t="s">
        <v>662</v>
      </c>
      <c r="K245" s="193" t="s">
        <v>650</v>
      </c>
      <c r="L245" s="193" t="s">
        <v>1122</v>
      </c>
      <c r="M245" s="199" t="str">
        <f t="shared" si="4"/>
        <v>View on Google Map</v>
      </c>
    </row>
    <row r="246" spans="1:13" x14ac:dyDescent="0.2">
      <c r="A246" s="193">
        <v>445</v>
      </c>
      <c r="B246" s="193" t="s">
        <v>1124</v>
      </c>
      <c r="C246" s="193" t="s">
        <v>650</v>
      </c>
      <c r="D246" s="193">
        <v>68.583569999999995</v>
      </c>
      <c r="E246" s="193">
        <v>-149.62384</v>
      </c>
      <c r="F246" s="193">
        <v>808</v>
      </c>
      <c r="G246" s="193" t="s">
        <v>675</v>
      </c>
      <c r="H246" s="193" t="s">
        <v>1125</v>
      </c>
      <c r="I246" s="193" t="s">
        <v>1126</v>
      </c>
      <c r="J246" s="193" t="s">
        <v>676</v>
      </c>
      <c r="K246" s="193" t="s">
        <v>650</v>
      </c>
      <c r="L246" s="193" t="s">
        <v>1065</v>
      </c>
      <c r="M246" s="199" t="str">
        <f t="shared" si="4"/>
        <v>View on Google Map</v>
      </c>
    </row>
    <row r="247" spans="1:13" x14ac:dyDescent="0.2">
      <c r="A247" s="193">
        <v>182</v>
      </c>
      <c r="B247" s="193" t="s">
        <v>1127</v>
      </c>
      <c r="C247" s="193" t="s">
        <v>650</v>
      </c>
      <c r="D247" s="193">
        <v>68.596883329999997</v>
      </c>
      <c r="E247" s="193">
        <v>-149.60124999999999</v>
      </c>
      <c r="F247" s="193">
        <v>754</v>
      </c>
      <c r="G247" s="193" t="s">
        <v>675</v>
      </c>
      <c r="H247" s="193" t="s">
        <v>1128</v>
      </c>
      <c r="I247" s="193" t="s">
        <v>1129</v>
      </c>
      <c r="J247" s="193" t="s">
        <v>676</v>
      </c>
      <c r="K247" s="193" t="s">
        <v>650</v>
      </c>
      <c r="L247" s="193" t="s">
        <v>1065</v>
      </c>
      <c r="M247" s="199" t="str">
        <f t="shared" si="4"/>
        <v>View on Google Map</v>
      </c>
    </row>
    <row r="248" spans="1:13" x14ac:dyDescent="0.2">
      <c r="A248" s="193">
        <v>183</v>
      </c>
      <c r="B248" s="193" t="s">
        <v>1130</v>
      </c>
      <c r="C248" s="193" t="s">
        <v>650</v>
      </c>
      <c r="D248" s="193">
        <v>68.598684000000006</v>
      </c>
      <c r="E248" s="193">
        <v>-149.599853</v>
      </c>
      <c r="F248" s="193">
        <v>754</v>
      </c>
      <c r="G248" s="193" t="s">
        <v>675</v>
      </c>
      <c r="H248" s="193" t="s">
        <v>1131</v>
      </c>
      <c r="I248" s="193" t="s">
        <v>1132</v>
      </c>
      <c r="J248" s="193" t="s">
        <v>676</v>
      </c>
      <c r="K248" s="193" t="s">
        <v>650</v>
      </c>
      <c r="L248" s="193" t="s">
        <v>1065</v>
      </c>
      <c r="M248" s="199" t="str">
        <f t="shared" si="4"/>
        <v>View on Google Map</v>
      </c>
    </row>
    <row r="249" spans="1:13" x14ac:dyDescent="0.2">
      <c r="A249" s="193">
        <v>117</v>
      </c>
      <c r="B249" s="193" t="s">
        <v>1133</v>
      </c>
      <c r="C249" s="193" t="s">
        <v>650</v>
      </c>
      <c r="D249" s="193">
        <v>68.600874798199996</v>
      </c>
      <c r="E249" s="193">
        <v>-149.596582063</v>
      </c>
      <c r="F249" s="193">
        <v>742</v>
      </c>
      <c r="G249" s="193" t="s">
        <v>661</v>
      </c>
      <c r="H249" s="193" t="s">
        <v>1134</v>
      </c>
      <c r="I249" s="193" t="s">
        <v>1135</v>
      </c>
      <c r="J249" s="193" t="s">
        <v>676</v>
      </c>
      <c r="K249" s="193" t="s">
        <v>650</v>
      </c>
      <c r="L249" s="193" t="s">
        <v>1050</v>
      </c>
      <c r="M249" s="199" t="str">
        <f t="shared" si="4"/>
        <v>View on Google Map</v>
      </c>
    </row>
    <row r="250" spans="1:13" x14ac:dyDescent="0.2">
      <c r="A250" s="193">
        <v>187</v>
      </c>
      <c r="B250" s="193" t="s">
        <v>1136</v>
      </c>
      <c r="C250" s="193" t="s">
        <v>650</v>
      </c>
      <c r="D250" s="193">
        <v>68.618183329999994</v>
      </c>
      <c r="E250" s="193">
        <v>-149.596766</v>
      </c>
      <c r="F250" s="193">
        <v>728</v>
      </c>
      <c r="G250" s="193" t="s">
        <v>675</v>
      </c>
      <c r="H250" s="193" t="s">
        <v>1137</v>
      </c>
      <c r="I250" s="193" t="s">
        <v>1138</v>
      </c>
      <c r="J250" s="193" t="s">
        <v>676</v>
      </c>
      <c r="K250" s="193" t="s">
        <v>650</v>
      </c>
      <c r="L250" s="193" t="s">
        <v>1065</v>
      </c>
      <c r="M250" s="199" t="str">
        <f t="shared" si="4"/>
        <v>View on Google Map</v>
      </c>
    </row>
    <row r="251" spans="1:13" x14ac:dyDescent="0.2">
      <c r="A251" s="193">
        <v>184</v>
      </c>
      <c r="B251" s="193" t="s">
        <v>1139</v>
      </c>
      <c r="C251" s="193" t="s">
        <v>650</v>
      </c>
      <c r="D251" s="193">
        <v>68.601830000000007</v>
      </c>
      <c r="E251" s="193">
        <v>-149.59671299999999</v>
      </c>
      <c r="F251" s="193">
        <v>742</v>
      </c>
      <c r="G251" s="193" t="s">
        <v>675</v>
      </c>
      <c r="H251" s="193" t="s">
        <v>1140</v>
      </c>
      <c r="I251" s="193" t="s">
        <v>1141</v>
      </c>
      <c r="J251" s="193" t="s">
        <v>676</v>
      </c>
      <c r="K251" s="193" t="s">
        <v>650</v>
      </c>
      <c r="L251" s="193" t="s">
        <v>1065</v>
      </c>
      <c r="M251" s="199" t="str">
        <f t="shared" si="4"/>
        <v>View on Google Map</v>
      </c>
    </row>
    <row r="252" spans="1:13" x14ac:dyDescent="0.2">
      <c r="A252" s="193">
        <v>118</v>
      </c>
      <c r="B252" s="193" t="s">
        <v>1142</v>
      </c>
      <c r="C252" s="193" t="s">
        <v>650</v>
      </c>
      <c r="D252" s="193">
        <v>68.6101575207</v>
      </c>
      <c r="E252" s="193">
        <v>-149.582211513</v>
      </c>
      <c r="F252" s="193">
        <v>744</v>
      </c>
      <c r="G252" s="193" t="s">
        <v>661</v>
      </c>
      <c r="H252" s="193" t="s">
        <v>1143</v>
      </c>
      <c r="I252" s="193" t="s">
        <v>1144</v>
      </c>
      <c r="J252" s="193" t="s">
        <v>676</v>
      </c>
      <c r="K252" s="193" t="s">
        <v>650</v>
      </c>
      <c r="L252" s="193" t="s">
        <v>1050</v>
      </c>
      <c r="M252" s="199" t="str">
        <f t="shared" si="4"/>
        <v>View on Google Map</v>
      </c>
    </row>
    <row r="253" spans="1:13" x14ac:dyDescent="0.2">
      <c r="A253" s="193">
        <v>172</v>
      </c>
      <c r="B253" s="193" t="s">
        <v>1145</v>
      </c>
      <c r="C253" s="193" t="s">
        <v>650</v>
      </c>
      <c r="D253" s="193">
        <v>68.573666666666668</v>
      </c>
      <c r="E253" s="193">
        <v>-149.53716666666699</v>
      </c>
      <c r="F253" s="193">
        <v>808</v>
      </c>
      <c r="G253" s="193" t="s">
        <v>675</v>
      </c>
      <c r="H253" s="193" t="s">
        <v>1146</v>
      </c>
      <c r="I253" s="193" t="s">
        <v>1147</v>
      </c>
      <c r="J253" s="193" t="s">
        <v>676</v>
      </c>
      <c r="K253" s="193" t="s">
        <v>650</v>
      </c>
      <c r="L253" s="193" t="s">
        <v>1065</v>
      </c>
      <c r="M253" s="199" t="str">
        <f t="shared" si="4"/>
        <v>View on Google Map</v>
      </c>
    </row>
    <row r="254" spans="1:13" x14ac:dyDescent="0.2">
      <c r="A254" s="193">
        <v>533</v>
      </c>
      <c r="B254" s="193" t="s">
        <v>1148</v>
      </c>
      <c r="C254" s="193" t="s">
        <v>1121</v>
      </c>
      <c r="D254" s="193">
        <v>68.599999999999994</v>
      </c>
      <c r="E254" s="193">
        <v>-149.57599999999999</v>
      </c>
      <c r="F254" s="193">
        <v>762</v>
      </c>
      <c r="G254" s="193" t="s">
        <v>675</v>
      </c>
      <c r="H254" s="193" t="s">
        <v>650</v>
      </c>
      <c r="I254" s="193" t="s">
        <v>650</v>
      </c>
      <c r="J254" s="193" t="s">
        <v>662</v>
      </c>
      <c r="K254" s="193" t="s">
        <v>650</v>
      </c>
      <c r="L254" s="193" t="s">
        <v>1122</v>
      </c>
      <c r="M254" s="199" t="str">
        <f t="shared" si="4"/>
        <v>View on Google Map</v>
      </c>
    </row>
    <row r="255" spans="1:13" x14ac:dyDescent="0.2">
      <c r="A255" s="193">
        <v>534</v>
      </c>
      <c r="B255" s="193" t="s">
        <v>1149</v>
      </c>
      <c r="C255" s="193" t="s">
        <v>1121</v>
      </c>
      <c r="D255" s="193">
        <v>68.601493000000005</v>
      </c>
      <c r="E255" s="193">
        <v>-149.579071</v>
      </c>
      <c r="F255" s="193">
        <v>760</v>
      </c>
      <c r="G255" s="193" t="s">
        <v>675</v>
      </c>
      <c r="H255" s="193" t="s">
        <v>650</v>
      </c>
      <c r="I255" s="193" t="s">
        <v>650</v>
      </c>
      <c r="J255" s="193" t="s">
        <v>662</v>
      </c>
      <c r="K255" s="193" t="s">
        <v>650</v>
      </c>
      <c r="L255" s="193" t="s">
        <v>1122</v>
      </c>
      <c r="M255" s="199" t="str">
        <f t="shared" si="4"/>
        <v>View on Google Map</v>
      </c>
    </row>
    <row r="256" spans="1:13" x14ac:dyDescent="0.2">
      <c r="A256" s="193">
        <v>185</v>
      </c>
      <c r="B256" s="193" t="s">
        <v>1150</v>
      </c>
      <c r="C256" s="193" t="s">
        <v>650</v>
      </c>
      <c r="D256" s="193">
        <v>68.60853333</v>
      </c>
      <c r="E256" s="193">
        <v>-149.58763300000001</v>
      </c>
      <c r="F256" s="193">
        <v>744</v>
      </c>
      <c r="G256" s="193" t="s">
        <v>675</v>
      </c>
      <c r="H256" s="193" t="s">
        <v>1151</v>
      </c>
      <c r="I256" s="193" t="s">
        <v>1152</v>
      </c>
      <c r="J256" s="193" t="s">
        <v>676</v>
      </c>
      <c r="K256" s="193" t="s">
        <v>650</v>
      </c>
      <c r="L256" s="193" t="s">
        <v>1065</v>
      </c>
      <c r="M256" s="199" t="str">
        <f t="shared" si="4"/>
        <v>View on Google Map</v>
      </c>
    </row>
    <row r="257" spans="1:13" x14ac:dyDescent="0.2">
      <c r="A257" s="193">
        <v>547</v>
      </c>
      <c r="B257" s="193" t="s">
        <v>1153</v>
      </c>
      <c r="C257" s="193" t="s">
        <v>1154</v>
      </c>
      <c r="D257" s="193">
        <v>68.611012000000002</v>
      </c>
      <c r="E257" s="193">
        <v>-149.57365200000001</v>
      </c>
      <c r="F257" s="193">
        <v>744</v>
      </c>
      <c r="G257" s="193" t="s">
        <v>675</v>
      </c>
      <c r="H257" s="193" t="s">
        <v>650</v>
      </c>
      <c r="I257" s="193" t="s">
        <v>650</v>
      </c>
      <c r="J257" s="193" t="s">
        <v>1155</v>
      </c>
      <c r="K257" s="193" t="s">
        <v>650</v>
      </c>
      <c r="L257" s="193" t="s">
        <v>1156</v>
      </c>
      <c r="M257" s="199" t="str">
        <f t="shared" si="4"/>
        <v>View on Google Map</v>
      </c>
    </row>
    <row r="258" spans="1:13" x14ac:dyDescent="0.2">
      <c r="A258" s="193">
        <v>548</v>
      </c>
      <c r="B258" s="193" t="s">
        <v>1157</v>
      </c>
      <c r="C258" s="193" t="s">
        <v>1154</v>
      </c>
      <c r="D258" s="193">
        <v>68.612117999999995</v>
      </c>
      <c r="E258" s="193">
        <v>-149.576359</v>
      </c>
      <c r="F258" s="193">
        <v>744</v>
      </c>
      <c r="G258" s="193" t="s">
        <v>675</v>
      </c>
      <c r="H258" s="193" t="s">
        <v>650</v>
      </c>
      <c r="I258" s="193" t="s">
        <v>650</v>
      </c>
      <c r="J258" s="193" t="s">
        <v>1155</v>
      </c>
      <c r="K258" s="193" t="s">
        <v>650</v>
      </c>
      <c r="L258" s="193" t="s">
        <v>1156</v>
      </c>
      <c r="M258" s="199" t="str">
        <f t="shared" si="4"/>
        <v>View on Google Map</v>
      </c>
    </row>
    <row r="259" spans="1:13" x14ac:dyDescent="0.2">
      <c r="A259" s="193">
        <v>546</v>
      </c>
      <c r="B259" s="193" t="s">
        <v>1158</v>
      </c>
      <c r="C259" s="193" t="s">
        <v>1154</v>
      </c>
      <c r="D259" s="193">
        <v>68.608949999999993</v>
      </c>
      <c r="E259" s="193">
        <v>-149.57907399999999</v>
      </c>
      <c r="F259" s="193">
        <v>744</v>
      </c>
      <c r="G259" s="193" t="s">
        <v>675</v>
      </c>
      <c r="H259" s="193" t="s">
        <v>650</v>
      </c>
      <c r="I259" s="193" t="s">
        <v>650</v>
      </c>
      <c r="J259" s="193" t="s">
        <v>1155</v>
      </c>
      <c r="K259" s="193" t="s">
        <v>650</v>
      </c>
      <c r="L259" s="193" t="s">
        <v>1156</v>
      </c>
      <c r="M259" s="199" t="str">
        <f t="shared" ref="M259:M322" si="5">HYPERLINK("http://maps.google.com/maps?q="&amp;D259&amp;","&amp;E259,"View on Google Map")</f>
        <v>View on Google Map</v>
      </c>
    </row>
    <row r="260" spans="1:13" x14ac:dyDescent="0.2">
      <c r="A260" s="193">
        <v>545</v>
      </c>
      <c r="B260" s="193" t="s">
        <v>1159</v>
      </c>
      <c r="C260" s="193" t="s">
        <v>1154</v>
      </c>
      <c r="D260" s="193">
        <v>68.609307999999999</v>
      </c>
      <c r="E260" s="193">
        <v>-149.57375200000001</v>
      </c>
      <c r="F260" s="193">
        <v>744</v>
      </c>
      <c r="G260" s="193" t="s">
        <v>675</v>
      </c>
      <c r="H260" s="193" t="s">
        <v>650</v>
      </c>
      <c r="I260" s="193" t="s">
        <v>650</v>
      </c>
      <c r="J260" s="193" t="s">
        <v>1155</v>
      </c>
      <c r="K260" s="193" t="s">
        <v>650</v>
      </c>
      <c r="L260" s="193" t="s">
        <v>1156</v>
      </c>
      <c r="M260" s="199" t="str">
        <f t="shared" si="5"/>
        <v>View on Google Map</v>
      </c>
    </row>
    <row r="261" spans="1:13" x14ac:dyDescent="0.2">
      <c r="A261" s="193">
        <v>549</v>
      </c>
      <c r="B261" s="193" t="s">
        <v>1160</v>
      </c>
      <c r="C261" s="193" t="s">
        <v>650</v>
      </c>
      <c r="D261" s="193" t="s">
        <v>650</v>
      </c>
      <c r="E261" s="193" t="s">
        <v>650</v>
      </c>
      <c r="F261" s="193" t="s">
        <v>650</v>
      </c>
      <c r="G261" s="193" t="s">
        <v>675</v>
      </c>
      <c r="H261" s="193" t="s">
        <v>650</v>
      </c>
      <c r="I261" s="193" t="s">
        <v>650</v>
      </c>
      <c r="J261" s="193" t="s">
        <v>662</v>
      </c>
      <c r="K261" s="193" t="s">
        <v>650</v>
      </c>
      <c r="L261" s="193" t="s">
        <v>1161</v>
      </c>
      <c r="M261" s="199" t="str">
        <f t="shared" si="5"/>
        <v>View on Google Map</v>
      </c>
    </row>
    <row r="262" spans="1:13" x14ac:dyDescent="0.2">
      <c r="A262" s="193">
        <v>188</v>
      </c>
      <c r="B262" s="193" t="s">
        <v>1162</v>
      </c>
      <c r="C262" s="193" t="s">
        <v>650</v>
      </c>
      <c r="D262" s="193">
        <v>68.61838333</v>
      </c>
      <c r="E262" s="193">
        <v>-149.59649999999999</v>
      </c>
      <c r="F262" s="193">
        <v>728</v>
      </c>
      <c r="G262" s="193" t="s">
        <v>675</v>
      </c>
      <c r="H262" s="193" t="s">
        <v>1163</v>
      </c>
      <c r="I262" s="193" t="s">
        <v>1164</v>
      </c>
      <c r="J262" s="193" t="s">
        <v>676</v>
      </c>
      <c r="K262" s="193" t="s">
        <v>650</v>
      </c>
      <c r="L262" s="193" t="s">
        <v>1065</v>
      </c>
      <c r="M262" s="199" t="str">
        <f t="shared" si="5"/>
        <v>View on Google Map</v>
      </c>
    </row>
    <row r="263" spans="1:13" x14ac:dyDescent="0.2">
      <c r="A263" s="193">
        <v>541</v>
      </c>
      <c r="B263" s="193" t="s">
        <v>1165</v>
      </c>
      <c r="C263" s="193" t="s">
        <v>1154</v>
      </c>
      <c r="D263" s="193">
        <v>68.609846000000005</v>
      </c>
      <c r="E263" s="193">
        <v>-149.58295100000001</v>
      </c>
      <c r="F263" s="193">
        <v>744</v>
      </c>
      <c r="G263" s="193" t="s">
        <v>661</v>
      </c>
      <c r="H263" s="193" t="s">
        <v>650</v>
      </c>
      <c r="I263" s="193" t="s">
        <v>650</v>
      </c>
      <c r="J263" s="193" t="s">
        <v>1155</v>
      </c>
      <c r="K263" s="193" t="s">
        <v>650</v>
      </c>
      <c r="L263" s="193" t="s">
        <v>1156</v>
      </c>
      <c r="M263" s="199" t="str">
        <f t="shared" si="5"/>
        <v>View on Google Map</v>
      </c>
    </row>
    <row r="264" spans="1:13" x14ac:dyDescent="0.2">
      <c r="A264" s="193">
        <v>539</v>
      </c>
      <c r="B264" s="193" t="s">
        <v>1166</v>
      </c>
      <c r="C264" s="193" t="s">
        <v>1154</v>
      </c>
      <c r="D264" s="193">
        <v>68.610575999999995</v>
      </c>
      <c r="E264" s="193">
        <v>-149.576018</v>
      </c>
      <c r="F264" s="193">
        <v>744</v>
      </c>
      <c r="G264" s="193" t="s">
        <v>661</v>
      </c>
      <c r="H264" s="193" t="s">
        <v>650</v>
      </c>
      <c r="I264" s="193" t="s">
        <v>650</v>
      </c>
      <c r="J264" s="193" t="s">
        <v>1155</v>
      </c>
      <c r="K264" s="193" t="s">
        <v>650</v>
      </c>
      <c r="L264" s="193" t="s">
        <v>1156</v>
      </c>
      <c r="M264" s="199" t="str">
        <f t="shared" si="5"/>
        <v>View on Google Map</v>
      </c>
    </row>
    <row r="265" spans="1:13" x14ac:dyDescent="0.2">
      <c r="A265" s="193">
        <v>538</v>
      </c>
      <c r="B265" s="193" t="s">
        <v>1167</v>
      </c>
      <c r="C265" s="193" t="s">
        <v>1154</v>
      </c>
      <c r="D265" s="193">
        <v>68.610889</v>
      </c>
      <c r="E265" s="193">
        <v>-149.576108</v>
      </c>
      <c r="F265" s="193">
        <v>744</v>
      </c>
      <c r="G265" s="193" t="s">
        <v>675</v>
      </c>
      <c r="H265" s="193" t="s">
        <v>650</v>
      </c>
      <c r="I265" s="193" t="s">
        <v>650</v>
      </c>
      <c r="J265" s="193" t="s">
        <v>1155</v>
      </c>
      <c r="K265" s="193" t="s">
        <v>650</v>
      </c>
      <c r="L265" s="193" t="s">
        <v>1156</v>
      </c>
      <c r="M265" s="199" t="str">
        <f t="shared" si="5"/>
        <v>View on Google Map</v>
      </c>
    </row>
    <row r="266" spans="1:13" x14ac:dyDescent="0.2">
      <c r="A266" s="193">
        <v>544</v>
      </c>
      <c r="B266" s="193" t="s">
        <v>1168</v>
      </c>
      <c r="C266" s="193" t="s">
        <v>1154</v>
      </c>
      <c r="D266" s="193">
        <v>68.610529</v>
      </c>
      <c r="E266" s="193">
        <v>-149.58864199999999</v>
      </c>
      <c r="F266" s="193">
        <v>744</v>
      </c>
      <c r="G266" s="193" t="s">
        <v>661</v>
      </c>
      <c r="H266" s="193" t="s">
        <v>650</v>
      </c>
      <c r="I266" s="193" t="s">
        <v>650</v>
      </c>
      <c r="J266" s="193" t="s">
        <v>1155</v>
      </c>
      <c r="K266" s="193" t="s">
        <v>650</v>
      </c>
      <c r="L266" s="193" t="s">
        <v>1156</v>
      </c>
      <c r="M266" s="199" t="str">
        <f t="shared" si="5"/>
        <v>View on Google Map</v>
      </c>
    </row>
    <row r="267" spans="1:13" x14ac:dyDescent="0.2">
      <c r="A267" s="193">
        <v>540</v>
      </c>
      <c r="B267" s="193" t="s">
        <v>1169</v>
      </c>
      <c r="C267" s="193" t="s">
        <v>1154</v>
      </c>
      <c r="D267" s="193">
        <v>68.609842</v>
      </c>
      <c r="E267" s="193">
        <v>-149.575346</v>
      </c>
      <c r="F267" s="193">
        <v>744</v>
      </c>
      <c r="G267" s="193" t="s">
        <v>661</v>
      </c>
      <c r="H267" s="193" t="s">
        <v>650</v>
      </c>
      <c r="I267" s="193" t="s">
        <v>650</v>
      </c>
      <c r="J267" s="193" t="s">
        <v>1155</v>
      </c>
      <c r="K267" s="193" t="s">
        <v>650</v>
      </c>
      <c r="L267" s="193" t="s">
        <v>1156</v>
      </c>
      <c r="M267" s="199" t="str">
        <f t="shared" si="5"/>
        <v>View on Google Map</v>
      </c>
    </row>
    <row r="268" spans="1:13" x14ac:dyDescent="0.2">
      <c r="A268" s="193">
        <v>542</v>
      </c>
      <c r="B268" s="193" t="s">
        <v>1170</v>
      </c>
      <c r="C268" s="193" t="s">
        <v>1154</v>
      </c>
      <c r="D268" s="193">
        <v>68.609202999999994</v>
      </c>
      <c r="E268" s="193">
        <v>-149.588257</v>
      </c>
      <c r="F268" s="193">
        <v>744</v>
      </c>
      <c r="G268" s="193" t="s">
        <v>661</v>
      </c>
      <c r="H268" s="193" t="s">
        <v>650</v>
      </c>
      <c r="I268" s="193" t="s">
        <v>650</v>
      </c>
      <c r="J268" s="193" t="s">
        <v>1155</v>
      </c>
      <c r="K268" s="193" t="s">
        <v>650</v>
      </c>
      <c r="L268" s="193" t="s">
        <v>1156</v>
      </c>
      <c r="M268" s="199" t="str">
        <f t="shared" si="5"/>
        <v>View on Google Map</v>
      </c>
    </row>
    <row r="269" spans="1:13" x14ac:dyDescent="0.2">
      <c r="A269" s="193">
        <v>543</v>
      </c>
      <c r="B269" s="193" t="s">
        <v>1171</v>
      </c>
      <c r="C269" s="193" t="s">
        <v>1154</v>
      </c>
      <c r="D269" s="193">
        <v>68.610028</v>
      </c>
      <c r="E269" s="193">
        <v>-149.588391</v>
      </c>
      <c r="F269" s="193">
        <v>744</v>
      </c>
      <c r="G269" s="193" t="s">
        <v>661</v>
      </c>
      <c r="H269" s="193" t="s">
        <v>650</v>
      </c>
      <c r="I269" s="193" t="s">
        <v>650</v>
      </c>
      <c r="J269" s="193" t="s">
        <v>1155</v>
      </c>
      <c r="K269" s="193" t="s">
        <v>650</v>
      </c>
      <c r="L269" s="193" t="s">
        <v>1156</v>
      </c>
      <c r="M269" s="199" t="str">
        <f t="shared" si="5"/>
        <v>View on Google Map</v>
      </c>
    </row>
    <row r="270" spans="1:13" x14ac:dyDescent="0.2">
      <c r="A270" s="193">
        <v>537</v>
      </c>
      <c r="B270" s="193" t="s">
        <v>1172</v>
      </c>
      <c r="C270" s="193" t="s">
        <v>1154</v>
      </c>
      <c r="D270" s="193">
        <v>68.611514</v>
      </c>
      <c r="E270" s="193">
        <v>-149.577617</v>
      </c>
      <c r="F270" s="193">
        <v>744</v>
      </c>
      <c r="G270" s="193" t="s">
        <v>675</v>
      </c>
      <c r="H270" s="193" t="s">
        <v>650</v>
      </c>
      <c r="I270" s="193" t="s">
        <v>650</v>
      </c>
      <c r="J270" s="193" t="s">
        <v>1155</v>
      </c>
      <c r="K270" s="193" t="s">
        <v>650</v>
      </c>
      <c r="L270" s="193" t="s">
        <v>1156</v>
      </c>
      <c r="M270" s="199" t="str">
        <f t="shared" si="5"/>
        <v>View on Google Map</v>
      </c>
    </row>
    <row r="271" spans="1:13" x14ac:dyDescent="0.2">
      <c r="A271" s="193">
        <v>15</v>
      </c>
      <c r="B271" s="193" t="s">
        <v>1173</v>
      </c>
      <c r="C271" s="193" t="s">
        <v>650</v>
      </c>
      <c r="D271" s="193" t="s">
        <v>650</v>
      </c>
      <c r="E271" s="193" t="s">
        <v>650</v>
      </c>
      <c r="F271" s="193">
        <v>744</v>
      </c>
      <c r="G271" s="193" t="s">
        <v>675</v>
      </c>
      <c r="H271" s="193" t="s">
        <v>1174</v>
      </c>
      <c r="I271" s="193" t="s">
        <v>1175</v>
      </c>
      <c r="J271" s="193" t="s">
        <v>676</v>
      </c>
      <c r="K271" s="193">
        <v>186</v>
      </c>
      <c r="L271" s="193" t="s">
        <v>650</v>
      </c>
      <c r="M271" s="199" t="str">
        <f t="shared" si="5"/>
        <v>View on Google Map</v>
      </c>
    </row>
    <row r="272" spans="1:13" x14ac:dyDescent="0.2">
      <c r="A272" s="193">
        <v>305</v>
      </c>
      <c r="B272" s="193" t="s">
        <v>1176</v>
      </c>
      <c r="C272" s="193" t="s">
        <v>1177</v>
      </c>
      <c r="D272" s="193" t="s">
        <v>650</v>
      </c>
      <c r="E272" s="193" t="s">
        <v>650</v>
      </c>
      <c r="F272" s="193" t="s">
        <v>650</v>
      </c>
      <c r="G272" s="193" t="s">
        <v>675</v>
      </c>
      <c r="H272" s="193" t="s">
        <v>1178</v>
      </c>
      <c r="I272" s="193" t="s">
        <v>1179</v>
      </c>
      <c r="J272" s="193" t="s">
        <v>676</v>
      </c>
      <c r="K272" s="193" t="s">
        <v>650</v>
      </c>
      <c r="L272" s="193" t="s">
        <v>1065</v>
      </c>
      <c r="M272" s="199" t="str">
        <f t="shared" si="5"/>
        <v>View on Google Map</v>
      </c>
    </row>
    <row r="273" spans="1:13" x14ac:dyDescent="0.2">
      <c r="A273" s="193">
        <v>119</v>
      </c>
      <c r="B273" s="193" t="s">
        <v>1180</v>
      </c>
      <c r="C273" s="193" t="s">
        <v>650</v>
      </c>
      <c r="D273" s="193">
        <v>68.618964513199998</v>
      </c>
      <c r="E273" s="193">
        <v>-149.59549733099999</v>
      </c>
      <c r="F273" s="193">
        <v>728</v>
      </c>
      <c r="G273" s="193" t="s">
        <v>661</v>
      </c>
      <c r="H273" s="193" t="s">
        <v>1181</v>
      </c>
      <c r="I273" s="193" t="s">
        <v>1182</v>
      </c>
      <c r="J273" s="193" t="s">
        <v>676</v>
      </c>
      <c r="K273" s="193" t="s">
        <v>650</v>
      </c>
      <c r="L273" s="193" t="s">
        <v>1050</v>
      </c>
      <c r="M273" s="199" t="str">
        <f t="shared" si="5"/>
        <v>View on Google Map</v>
      </c>
    </row>
    <row r="274" spans="1:13" x14ac:dyDescent="0.2">
      <c r="A274" s="193">
        <v>244</v>
      </c>
      <c r="B274" s="193" t="s">
        <v>1183</v>
      </c>
      <c r="C274" s="193" t="s">
        <v>650</v>
      </c>
      <c r="D274" s="193">
        <v>68.619383330000005</v>
      </c>
      <c r="E274" s="193">
        <v>-149.59528299999999</v>
      </c>
      <c r="F274" s="193">
        <v>728</v>
      </c>
      <c r="G274" s="193" t="s">
        <v>675</v>
      </c>
      <c r="H274" s="193" t="s">
        <v>1184</v>
      </c>
      <c r="I274" s="193" t="s">
        <v>1185</v>
      </c>
      <c r="J274" s="193" t="s">
        <v>676</v>
      </c>
      <c r="K274" s="193" t="s">
        <v>650</v>
      </c>
      <c r="L274" s="193" t="s">
        <v>1065</v>
      </c>
      <c r="M274" s="199" t="str">
        <f t="shared" si="5"/>
        <v>View on Google Map</v>
      </c>
    </row>
    <row r="275" spans="1:13" x14ac:dyDescent="0.2">
      <c r="B275" s="193" t="s">
        <v>1186</v>
      </c>
      <c r="C275" s="193" t="s">
        <v>1047</v>
      </c>
      <c r="D275" s="193">
        <v>68.544377999999995</v>
      </c>
      <c r="E275" s="193">
        <v>-149.521467</v>
      </c>
      <c r="G275" s="193" t="s">
        <v>1187</v>
      </c>
      <c r="J275" s="110" t="s">
        <v>676</v>
      </c>
      <c r="M275" s="199" t="str">
        <f t="shared" si="5"/>
        <v>View on Google Map</v>
      </c>
    </row>
    <row r="276" spans="1:13" x14ac:dyDescent="0.2">
      <c r="B276" s="193" t="s">
        <v>1188</v>
      </c>
      <c r="C276" s="193" t="s">
        <v>1047</v>
      </c>
      <c r="D276" s="193">
        <v>68.548204999999996</v>
      </c>
      <c r="E276" s="193">
        <v>-149.52195</v>
      </c>
      <c r="G276" s="193" t="s">
        <v>1187</v>
      </c>
      <c r="J276" s="110" t="s">
        <v>676</v>
      </c>
      <c r="M276" s="199" t="str">
        <f t="shared" si="5"/>
        <v>View on Google Map</v>
      </c>
    </row>
    <row r="277" spans="1:13" x14ac:dyDescent="0.2">
      <c r="B277" s="193" t="s">
        <v>1189</v>
      </c>
      <c r="C277" s="193" t="s">
        <v>1047</v>
      </c>
      <c r="D277" s="193">
        <v>68.548062999999999</v>
      </c>
      <c r="E277" s="193">
        <v>-149.521309</v>
      </c>
      <c r="G277" s="193" t="s">
        <v>1187</v>
      </c>
      <c r="J277" s="110" t="s">
        <v>676</v>
      </c>
      <c r="M277" s="199" t="str">
        <f t="shared" si="5"/>
        <v>View on Google Map</v>
      </c>
    </row>
    <row r="278" spans="1:13" x14ac:dyDescent="0.2">
      <c r="B278" s="193" t="s">
        <v>1190</v>
      </c>
      <c r="C278" s="193" t="s">
        <v>1047</v>
      </c>
      <c r="D278" s="193">
        <v>68.544113999999993</v>
      </c>
      <c r="E278" s="193">
        <v>-149.52220800000001</v>
      </c>
      <c r="G278" s="193" t="s">
        <v>1187</v>
      </c>
      <c r="J278" s="110" t="s">
        <v>676</v>
      </c>
      <c r="M278" s="199" t="str">
        <f t="shared" si="5"/>
        <v>View on Google Map</v>
      </c>
    </row>
    <row r="279" spans="1:13" x14ac:dyDescent="0.2">
      <c r="B279" s="193" t="s">
        <v>1191</v>
      </c>
      <c r="C279" s="193" t="s">
        <v>1047</v>
      </c>
      <c r="D279" s="193">
        <v>68.547873999999993</v>
      </c>
      <c r="E279" s="193">
        <v>-149.52158900000001</v>
      </c>
      <c r="G279" s="193" t="s">
        <v>1187</v>
      </c>
      <c r="J279" s="110" t="s">
        <v>676</v>
      </c>
      <c r="M279" s="199" t="str">
        <f t="shared" si="5"/>
        <v>View on Google Map</v>
      </c>
    </row>
    <row r="280" spans="1:13" x14ac:dyDescent="0.2">
      <c r="B280" s="193" t="s">
        <v>1192</v>
      </c>
      <c r="C280" s="193" t="s">
        <v>1047</v>
      </c>
      <c r="D280" s="193">
        <v>68.616620304999998</v>
      </c>
      <c r="E280" s="193">
        <v>-149.31797396100001</v>
      </c>
      <c r="F280" s="193">
        <v>880.55700000000002</v>
      </c>
      <c r="G280" s="193" t="s">
        <v>1187</v>
      </c>
      <c r="J280" s="110" t="s">
        <v>676</v>
      </c>
      <c r="M280" s="199" t="str">
        <f t="shared" si="5"/>
        <v>View on Google Map</v>
      </c>
    </row>
    <row r="281" spans="1:13" x14ac:dyDescent="0.2">
      <c r="B281" s="193" t="s">
        <v>1193</v>
      </c>
      <c r="C281" s="193" t="s">
        <v>1047</v>
      </c>
      <c r="D281" s="193">
        <v>68.618287679000005</v>
      </c>
      <c r="E281" s="193">
        <v>-149.318578011</v>
      </c>
      <c r="F281" s="193">
        <v>877.59500000000003</v>
      </c>
      <c r="G281" s="193" t="s">
        <v>1187</v>
      </c>
      <c r="J281" s="110" t="s">
        <v>676</v>
      </c>
      <c r="M281" s="199" t="str">
        <f t="shared" si="5"/>
        <v>View on Google Map</v>
      </c>
    </row>
    <row r="282" spans="1:13" x14ac:dyDescent="0.2">
      <c r="B282" s="193" t="s">
        <v>1194</v>
      </c>
      <c r="C282" s="193" t="s">
        <v>1047</v>
      </c>
      <c r="D282" s="193">
        <v>68.619548409999993</v>
      </c>
      <c r="E282" s="193">
        <v>-149.31832187699999</v>
      </c>
      <c r="F282" s="193">
        <v>875.59299999999996</v>
      </c>
      <c r="G282" s="193" t="s">
        <v>1187</v>
      </c>
      <c r="J282" s="110" t="s">
        <v>676</v>
      </c>
      <c r="M282" s="199" t="str">
        <f t="shared" si="5"/>
        <v>View on Google Map</v>
      </c>
    </row>
    <row r="283" spans="1:13" x14ac:dyDescent="0.2">
      <c r="B283" s="193" t="s">
        <v>1195</v>
      </c>
      <c r="C283" s="193" t="s">
        <v>1047</v>
      </c>
      <c r="D283" s="193">
        <v>68.621317497999996</v>
      </c>
      <c r="E283" s="193">
        <v>-149.31921364300001</v>
      </c>
      <c r="F283" s="193">
        <v>874.15200000000004</v>
      </c>
      <c r="G283" s="193" t="s">
        <v>1187</v>
      </c>
      <c r="J283" s="110" t="s">
        <v>676</v>
      </c>
      <c r="M283" s="199" t="str">
        <f t="shared" si="5"/>
        <v>View on Google Map</v>
      </c>
    </row>
    <row r="284" spans="1:13" x14ac:dyDescent="0.2">
      <c r="A284" s="193">
        <v>11</v>
      </c>
      <c r="B284" s="193" t="s">
        <v>1196</v>
      </c>
      <c r="C284" s="193" t="s">
        <v>650</v>
      </c>
      <c r="D284" s="193" t="s">
        <v>650</v>
      </c>
      <c r="E284" s="193" t="s">
        <v>650</v>
      </c>
      <c r="F284" s="193">
        <v>884</v>
      </c>
      <c r="G284" s="193" t="s">
        <v>675</v>
      </c>
      <c r="H284" s="193" t="s">
        <v>1197</v>
      </c>
      <c r="I284" s="193" t="s">
        <v>1198</v>
      </c>
      <c r="J284" s="193" t="s">
        <v>676</v>
      </c>
      <c r="K284" s="193" t="s">
        <v>650</v>
      </c>
      <c r="L284" s="193" t="s">
        <v>650</v>
      </c>
      <c r="M284" s="199" t="str">
        <f t="shared" si="5"/>
        <v>View on Google Map</v>
      </c>
    </row>
    <row r="285" spans="1:13" x14ac:dyDescent="0.2">
      <c r="B285" s="193" t="s">
        <v>1199</v>
      </c>
      <c r="C285" s="193" t="s">
        <v>1047</v>
      </c>
      <c r="D285" s="193">
        <v>68.625256622999999</v>
      </c>
      <c r="E285" s="193">
        <v>-149.32463380199999</v>
      </c>
      <c r="F285" s="193">
        <v>862.80799999999999</v>
      </c>
      <c r="G285" s="193" t="s">
        <v>1187</v>
      </c>
      <c r="J285" s="110" t="s">
        <v>676</v>
      </c>
      <c r="M285" s="199" t="str">
        <f t="shared" si="5"/>
        <v>View on Google Map</v>
      </c>
    </row>
    <row r="286" spans="1:13" x14ac:dyDescent="0.2">
      <c r="B286" s="193" t="s">
        <v>1200</v>
      </c>
      <c r="C286" s="193" t="s">
        <v>1047</v>
      </c>
      <c r="D286" s="193">
        <v>68.641922837999999</v>
      </c>
      <c r="E286" s="193">
        <v>-149.342972559</v>
      </c>
      <c r="F286" s="193">
        <v>834.62599999999998</v>
      </c>
      <c r="G286" s="193" t="s">
        <v>1187</v>
      </c>
      <c r="J286" s="110" t="s">
        <v>676</v>
      </c>
      <c r="M286" s="199" t="str">
        <f t="shared" si="5"/>
        <v>View on Google Map</v>
      </c>
    </row>
    <row r="287" spans="1:13" x14ac:dyDescent="0.2">
      <c r="A287" s="193">
        <v>1141</v>
      </c>
      <c r="B287" s="193" t="s">
        <v>1201</v>
      </c>
      <c r="C287" s="193" t="s">
        <v>650</v>
      </c>
      <c r="D287" s="193" t="s">
        <v>650</v>
      </c>
      <c r="E287" s="193" t="s">
        <v>650</v>
      </c>
      <c r="F287" s="193" t="s">
        <v>650</v>
      </c>
      <c r="G287" s="193" t="s">
        <v>651</v>
      </c>
      <c r="H287" s="193" t="s">
        <v>1202</v>
      </c>
      <c r="I287" s="193" t="s">
        <v>650</v>
      </c>
      <c r="J287" s="193" t="s">
        <v>676</v>
      </c>
      <c r="K287" s="193" t="s">
        <v>650</v>
      </c>
      <c r="L287" s="193" t="s">
        <v>650</v>
      </c>
      <c r="M287" s="199" t="str">
        <f t="shared" si="5"/>
        <v>View on Google Map</v>
      </c>
    </row>
    <row r="288" spans="1:13" x14ac:dyDescent="0.2">
      <c r="A288" s="193">
        <v>1142</v>
      </c>
      <c r="B288" s="193" t="s">
        <v>1203</v>
      </c>
      <c r="C288" s="193" t="s">
        <v>650</v>
      </c>
      <c r="D288" s="193" t="s">
        <v>650</v>
      </c>
      <c r="E288" s="193" t="s">
        <v>650</v>
      </c>
      <c r="F288" s="193" t="s">
        <v>650</v>
      </c>
      <c r="G288" s="193" t="s">
        <v>675</v>
      </c>
      <c r="H288" s="193" t="s">
        <v>1204</v>
      </c>
      <c r="I288" s="193" t="s">
        <v>650</v>
      </c>
      <c r="J288" s="193" t="s">
        <v>1205</v>
      </c>
      <c r="K288" s="193" t="s">
        <v>650</v>
      </c>
      <c r="L288" s="193" t="s">
        <v>650</v>
      </c>
      <c r="M288" s="199" t="str">
        <f t="shared" si="5"/>
        <v>View on Google Map</v>
      </c>
    </row>
    <row r="289" spans="1:13" x14ac:dyDescent="0.2">
      <c r="A289" s="193">
        <v>1143</v>
      </c>
      <c r="B289" s="193" t="s">
        <v>1206</v>
      </c>
      <c r="C289" s="193" t="s">
        <v>650</v>
      </c>
      <c r="D289" s="193" t="s">
        <v>650</v>
      </c>
      <c r="E289" s="193" t="s">
        <v>650</v>
      </c>
      <c r="F289" s="193" t="s">
        <v>650</v>
      </c>
      <c r="G289" s="193" t="s">
        <v>675</v>
      </c>
      <c r="H289" s="193" t="s">
        <v>650</v>
      </c>
      <c r="I289" s="193" t="s">
        <v>650</v>
      </c>
      <c r="J289" s="193" t="s">
        <v>1205</v>
      </c>
      <c r="K289" s="193" t="s">
        <v>650</v>
      </c>
      <c r="L289" s="193" t="s">
        <v>650</v>
      </c>
      <c r="M289" s="199" t="str">
        <f t="shared" si="5"/>
        <v>View on Google Map</v>
      </c>
    </row>
    <row r="290" spans="1:13" x14ac:dyDescent="0.2">
      <c r="A290" s="193">
        <v>1140</v>
      </c>
      <c r="B290" s="193" t="s">
        <v>1207</v>
      </c>
      <c r="C290" s="193" t="s">
        <v>650</v>
      </c>
      <c r="D290" s="193" t="s">
        <v>650</v>
      </c>
      <c r="E290" s="193" t="s">
        <v>650</v>
      </c>
      <c r="F290" s="193" t="s">
        <v>650</v>
      </c>
      <c r="G290" s="193" t="s">
        <v>651</v>
      </c>
      <c r="H290" s="193" t="s">
        <v>1208</v>
      </c>
      <c r="I290" s="193" t="s">
        <v>1209</v>
      </c>
      <c r="J290" s="193" t="s">
        <v>676</v>
      </c>
      <c r="K290" s="193" t="s">
        <v>650</v>
      </c>
      <c r="L290" s="193" t="s">
        <v>650</v>
      </c>
      <c r="M290" s="199" t="str">
        <f t="shared" si="5"/>
        <v>View on Google Map</v>
      </c>
    </row>
    <row r="291" spans="1:13" x14ac:dyDescent="0.2">
      <c r="A291" s="193">
        <v>1173</v>
      </c>
      <c r="B291" s="193" t="s">
        <v>1210</v>
      </c>
      <c r="C291" s="193" t="s">
        <v>650</v>
      </c>
      <c r="D291" s="193" t="s">
        <v>650</v>
      </c>
      <c r="E291" s="193" t="s">
        <v>650</v>
      </c>
      <c r="F291" s="193" t="s">
        <v>650</v>
      </c>
      <c r="G291" s="193" t="s">
        <v>651</v>
      </c>
      <c r="H291" s="193" t="s">
        <v>1211</v>
      </c>
      <c r="I291" s="193" t="s">
        <v>650</v>
      </c>
      <c r="J291" s="193" t="s">
        <v>657</v>
      </c>
      <c r="K291" s="193" t="s">
        <v>650</v>
      </c>
      <c r="L291" s="193" t="s">
        <v>658</v>
      </c>
      <c r="M291" s="199" t="str">
        <f t="shared" si="5"/>
        <v>View on Google Map</v>
      </c>
    </row>
    <row r="292" spans="1:13" x14ac:dyDescent="0.2">
      <c r="A292" s="193">
        <v>1144</v>
      </c>
      <c r="B292" s="193" t="s">
        <v>1212</v>
      </c>
      <c r="C292" s="193" t="s">
        <v>650</v>
      </c>
      <c r="D292" s="193" t="s">
        <v>650</v>
      </c>
      <c r="E292" s="193" t="s">
        <v>650</v>
      </c>
      <c r="F292" s="193" t="s">
        <v>650</v>
      </c>
      <c r="G292" s="193" t="s">
        <v>675</v>
      </c>
      <c r="H292" s="193" t="s">
        <v>1212</v>
      </c>
      <c r="I292" s="193" t="s">
        <v>650</v>
      </c>
      <c r="J292" s="193" t="s">
        <v>1205</v>
      </c>
      <c r="K292" s="193" t="s">
        <v>650</v>
      </c>
      <c r="L292" s="193" t="s">
        <v>650</v>
      </c>
      <c r="M292" s="199" t="str">
        <f t="shared" si="5"/>
        <v>View on Google Map</v>
      </c>
    </row>
    <row r="293" spans="1:13" x14ac:dyDescent="0.2">
      <c r="A293" s="193">
        <v>1145</v>
      </c>
      <c r="B293" s="193" t="s">
        <v>1213</v>
      </c>
      <c r="C293" s="193" t="s">
        <v>650</v>
      </c>
      <c r="D293" s="193" t="s">
        <v>650</v>
      </c>
      <c r="E293" s="193" t="s">
        <v>650</v>
      </c>
      <c r="F293" s="193" t="s">
        <v>650</v>
      </c>
      <c r="G293" s="193" t="s">
        <v>675</v>
      </c>
      <c r="H293" s="193" t="s">
        <v>1213</v>
      </c>
      <c r="I293" s="193" t="s">
        <v>650</v>
      </c>
      <c r="J293" s="193" t="s">
        <v>1205</v>
      </c>
      <c r="K293" s="193" t="s">
        <v>650</v>
      </c>
      <c r="L293" s="193" t="s">
        <v>650</v>
      </c>
      <c r="M293" s="199" t="str">
        <f t="shared" si="5"/>
        <v>View on Google Map</v>
      </c>
    </row>
    <row r="294" spans="1:13" x14ac:dyDescent="0.2">
      <c r="A294" s="193">
        <v>1146</v>
      </c>
      <c r="B294" s="193" t="s">
        <v>1214</v>
      </c>
      <c r="C294" s="193" t="s">
        <v>650</v>
      </c>
      <c r="D294" s="193" t="s">
        <v>650</v>
      </c>
      <c r="E294" s="193" t="s">
        <v>650</v>
      </c>
      <c r="F294" s="193" t="s">
        <v>650</v>
      </c>
      <c r="G294" s="193" t="s">
        <v>651</v>
      </c>
      <c r="H294" s="193" t="s">
        <v>1214</v>
      </c>
      <c r="I294" s="193" t="s">
        <v>650</v>
      </c>
      <c r="J294" s="193" t="s">
        <v>1205</v>
      </c>
      <c r="K294" s="193" t="s">
        <v>650</v>
      </c>
      <c r="L294" s="193" t="s">
        <v>650</v>
      </c>
      <c r="M294" s="199" t="str">
        <f t="shared" si="5"/>
        <v>View on Google Map</v>
      </c>
    </row>
    <row r="295" spans="1:13" x14ac:dyDescent="0.2">
      <c r="A295" s="193">
        <v>1147</v>
      </c>
      <c r="B295" s="193" t="s">
        <v>1215</v>
      </c>
      <c r="C295" s="193" t="s">
        <v>650</v>
      </c>
      <c r="D295" s="193" t="s">
        <v>650</v>
      </c>
      <c r="E295" s="193" t="s">
        <v>650</v>
      </c>
      <c r="F295" s="193" t="s">
        <v>650</v>
      </c>
      <c r="G295" s="193" t="s">
        <v>651</v>
      </c>
      <c r="H295" s="193" t="s">
        <v>1215</v>
      </c>
      <c r="I295" s="193" t="s">
        <v>650</v>
      </c>
      <c r="J295" s="193" t="s">
        <v>1205</v>
      </c>
      <c r="K295" s="193" t="s">
        <v>650</v>
      </c>
      <c r="L295" s="193" t="s">
        <v>650</v>
      </c>
      <c r="M295" s="199" t="str">
        <f t="shared" si="5"/>
        <v>View on Google Map</v>
      </c>
    </row>
    <row r="296" spans="1:13" x14ac:dyDescent="0.2">
      <c r="A296" s="193">
        <v>1148</v>
      </c>
      <c r="B296" s="193" t="s">
        <v>1216</v>
      </c>
      <c r="C296" s="193" t="s">
        <v>650</v>
      </c>
      <c r="D296" s="193" t="s">
        <v>650</v>
      </c>
      <c r="E296" s="193" t="s">
        <v>650</v>
      </c>
      <c r="F296" s="193" t="s">
        <v>650</v>
      </c>
      <c r="G296" s="193" t="s">
        <v>651</v>
      </c>
      <c r="H296" s="193" t="s">
        <v>1216</v>
      </c>
      <c r="I296" s="193" t="s">
        <v>1217</v>
      </c>
      <c r="J296" s="193" t="s">
        <v>1205</v>
      </c>
      <c r="K296" s="193" t="s">
        <v>650</v>
      </c>
      <c r="L296" s="193" t="s">
        <v>650</v>
      </c>
      <c r="M296" s="199" t="str">
        <f t="shared" si="5"/>
        <v>View on Google Map</v>
      </c>
    </row>
    <row r="297" spans="1:13" x14ac:dyDescent="0.2">
      <c r="A297" s="193">
        <v>1149</v>
      </c>
      <c r="B297" s="193" t="s">
        <v>1218</v>
      </c>
      <c r="C297" s="193" t="s">
        <v>650</v>
      </c>
      <c r="D297" s="193" t="s">
        <v>650</v>
      </c>
      <c r="E297" s="193" t="s">
        <v>650</v>
      </c>
      <c r="F297" s="193" t="s">
        <v>650</v>
      </c>
      <c r="G297" s="193" t="s">
        <v>651</v>
      </c>
      <c r="H297" s="193" t="s">
        <v>1218</v>
      </c>
      <c r="I297" s="193" t="s">
        <v>1219</v>
      </c>
      <c r="J297" s="193" t="s">
        <v>1205</v>
      </c>
      <c r="K297" s="193" t="s">
        <v>650</v>
      </c>
      <c r="L297" s="193" t="s">
        <v>650</v>
      </c>
      <c r="M297" s="199" t="str">
        <f t="shared" si="5"/>
        <v>View on Google Map</v>
      </c>
    </row>
    <row r="298" spans="1:13" x14ac:dyDescent="0.2">
      <c r="A298" s="193">
        <v>1150</v>
      </c>
      <c r="B298" s="193" t="s">
        <v>1220</v>
      </c>
      <c r="C298" s="193" t="s">
        <v>650</v>
      </c>
      <c r="D298" s="193" t="s">
        <v>650</v>
      </c>
      <c r="E298" s="193" t="s">
        <v>650</v>
      </c>
      <c r="F298" s="193" t="s">
        <v>650</v>
      </c>
      <c r="G298" s="193" t="s">
        <v>651</v>
      </c>
      <c r="H298" s="193" t="s">
        <v>1220</v>
      </c>
      <c r="I298" s="193" t="s">
        <v>1221</v>
      </c>
      <c r="J298" s="193" t="s">
        <v>1205</v>
      </c>
      <c r="K298" s="193" t="s">
        <v>650</v>
      </c>
      <c r="L298" s="193" t="s">
        <v>650</v>
      </c>
      <c r="M298" s="199" t="str">
        <f t="shared" si="5"/>
        <v>View on Google Map</v>
      </c>
    </row>
    <row r="299" spans="1:13" x14ac:dyDescent="0.2">
      <c r="A299" s="193">
        <v>1151</v>
      </c>
      <c r="B299" s="193" t="s">
        <v>1222</v>
      </c>
      <c r="C299" s="193" t="s">
        <v>650</v>
      </c>
      <c r="D299" s="193" t="s">
        <v>650</v>
      </c>
      <c r="E299" s="193" t="s">
        <v>650</v>
      </c>
      <c r="F299" s="193" t="s">
        <v>650</v>
      </c>
      <c r="G299" s="193" t="s">
        <v>651</v>
      </c>
      <c r="H299" s="193" t="s">
        <v>1222</v>
      </c>
      <c r="I299" s="193" t="s">
        <v>1223</v>
      </c>
      <c r="J299" s="193" t="s">
        <v>1205</v>
      </c>
      <c r="K299" s="193" t="s">
        <v>650</v>
      </c>
      <c r="L299" s="193" t="s">
        <v>650</v>
      </c>
      <c r="M299" s="199" t="str">
        <f t="shared" si="5"/>
        <v>View on Google Map</v>
      </c>
    </row>
    <row r="300" spans="1:13" x14ac:dyDescent="0.2">
      <c r="A300" s="193">
        <v>1152</v>
      </c>
      <c r="B300" s="193" t="s">
        <v>1224</v>
      </c>
      <c r="C300" s="193" t="s">
        <v>650</v>
      </c>
      <c r="D300" s="193" t="s">
        <v>650</v>
      </c>
      <c r="E300" s="193" t="s">
        <v>650</v>
      </c>
      <c r="F300" s="193" t="s">
        <v>650</v>
      </c>
      <c r="G300" s="193" t="s">
        <v>651</v>
      </c>
      <c r="H300" s="193" t="s">
        <v>1224</v>
      </c>
      <c r="I300" s="193" t="s">
        <v>1225</v>
      </c>
      <c r="J300" s="193" t="s">
        <v>1205</v>
      </c>
      <c r="K300" s="193" t="s">
        <v>650</v>
      </c>
      <c r="L300" s="193" t="s">
        <v>650</v>
      </c>
      <c r="M300" s="199" t="str">
        <f t="shared" si="5"/>
        <v>View on Google Map</v>
      </c>
    </row>
    <row r="301" spans="1:13" x14ac:dyDescent="0.2">
      <c r="A301" s="193">
        <v>1153</v>
      </c>
      <c r="B301" s="193" t="s">
        <v>1226</v>
      </c>
      <c r="C301" s="193" t="s">
        <v>650</v>
      </c>
      <c r="D301" s="193" t="s">
        <v>650</v>
      </c>
      <c r="E301" s="193" t="s">
        <v>650</v>
      </c>
      <c r="F301" s="193" t="s">
        <v>650</v>
      </c>
      <c r="G301" s="193" t="s">
        <v>651</v>
      </c>
      <c r="H301" s="193" t="s">
        <v>1226</v>
      </c>
      <c r="I301" s="193" t="s">
        <v>1227</v>
      </c>
      <c r="J301" s="193" t="s">
        <v>1205</v>
      </c>
      <c r="K301" s="193" t="s">
        <v>650</v>
      </c>
      <c r="L301" s="193" t="s">
        <v>650</v>
      </c>
      <c r="M301" s="199" t="str">
        <f t="shared" si="5"/>
        <v>View on Google Map</v>
      </c>
    </row>
    <row r="302" spans="1:13" x14ac:dyDescent="0.2">
      <c r="A302" s="193">
        <v>1154</v>
      </c>
      <c r="B302" s="193" t="s">
        <v>1228</v>
      </c>
      <c r="C302" s="193" t="s">
        <v>650</v>
      </c>
      <c r="D302" s="193" t="s">
        <v>650</v>
      </c>
      <c r="E302" s="193" t="s">
        <v>650</v>
      </c>
      <c r="F302" s="193" t="s">
        <v>650</v>
      </c>
      <c r="G302" s="193" t="s">
        <v>651</v>
      </c>
      <c r="H302" s="193" t="s">
        <v>1228</v>
      </c>
      <c r="I302" s="193" t="s">
        <v>1229</v>
      </c>
      <c r="J302" s="193" t="s">
        <v>1205</v>
      </c>
      <c r="K302" s="193" t="s">
        <v>650</v>
      </c>
      <c r="L302" s="193" t="s">
        <v>650</v>
      </c>
      <c r="M302" s="199" t="str">
        <f t="shared" si="5"/>
        <v>View on Google Map</v>
      </c>
    </row>
    <row r="303" spans="1:13" x14ac:dyDescent="0.2">
      <c r="A303" s="193">
        <v>1155</v>
      </c>
      <c r="B303" s="193" t="s">
        <v>1230</v>
      </c>
      <c r="C303" s="193" t="s">
        <v>650</v>
      </c>
      <c r="D303" s="193" t="s">
        <v>650</v>
      </c>
      <c r="E303" s="193" t="s">
        <v>650</v>
      </c>
      <c r="F303" s="193" t="s">
        <v>650</v>
      </c>
      <c r="G303" s="193" t="s">
        <v>651</v>
      </c>
      <c r="H303" s="193" t="s">
        <v>1230</v>
      </c>
      <c r="I303" s="193" t="s">
        <v>1231</v>
      </c>
      <c r="J303" s="193" t="s">
        <v>1205</v>
      </c>
      <c r="K303" s="193" t="s">
        <v>650</v>
      </c>
      <c r="L303" s="193" t="s">
        <v>650</v>
      </c>
      <c r="M303" s="199" t="str">
        <f t="shared" si="5"/>
        <v>View on Google Map</v>
      </c>
    </row>
    <row r="304" spans="1:13" x14ac:dyDescent="0.2">
      <c r="A304" s="193">
        <v>1156</v>
      </c>
      <c r="B304" s="193" t="s">
        <v>1232</v>
      </c>
      <c r="C304" s="193" t="s">
        <v>650</v>
      </c>
      <c r="D304" s="193" t="s">
        <v>650</v>
      </c>
      <c r="E304" s="193" t="s">
        <v>650</v>
      </c>
      <c r="F304" s="193" t="s">
        <v>650</v>
      </c>
      <c r="G304" s="193" t="s">
        <v>651</v>
      </c>
      <c r="H304" s="193" t="s">
        <v>1232</v>
      </c>
      <c r="I304" s="193" t="s">
        <v>1233</v>
      </c>
      <c r="J304" s="193" t="s">
        <v>1205</v>
      </c>
      <c r="K304" s="193" t="s">
        <v>650</v>
      </c>
      <c r="L304" s="193" t="s">
        <v>650</v>
      </c>
      <c r="M304" s="199" t="str">
        <f t="shared" si="5"/>
        <v>View on Google Map</v>
      </c>
    </row>
    <row r="305" spans="1:13" x14ac:dyDescent="0.2">
      <c r="A305" s="193">
        <v>1157</v>
      </c>
      <c r="B305" s="193" t="s">
        <v>1234</v>
      </c>
      <c r="C305" s="193" t="s">
        <v>650</v>
      </c>
      <c r="D305" s="193" t="s">
        <v>650</v>
      </c>
      <c r="E305" s="193" t="s">
        <v>650</v>
      </c>
      <c r="F305" s="193" t="s">
        <v>650</v>
      </c>
      <c r="G305" s="193" t="s">
        <v>651</v>
      </c>
      <c r="H305" s="193" t="s">
        <v>1234</v>
      </c>
      <c r="I305" s="193" t="s">
        <v>1235</v>
      </c>
      <c r="J305" s="193" t="s">
        <v>1205</v>
      </c>
      <c r="K305" s="193" t="s">
        <v>650</v>
      </c>
      <c r="L305" s="193" t="s">
        <v>650</v>
      </c>
      <c r="M305" s="199" t="str">
        <f t="shared" si="5"/>
        <v>View on Google Map</v>
      </c>
    </row>
    <row r="306" spans="1:13" x14ac:dyDescent="0.2">
      <c r="A306" s="193">
        <v>1158</v>
      </c>
      <c r="B306" s="193" t="s">
        <v>1236</v>
      </c>
      <c r="C306" s="193" t="s">
        <v>650</v>
      </c>
      <c r="D306" s="193" t="s">
        <v>650</v>
      </c>
      <c r="E306" s="193" t="s">
        <v>650</v>
      </c>
      <c r="F306" s="193" t="s">
        <v>650</v>
      </c>
      <c r="G306" s="193" t="s">
        <v>651</v>
      </c>
      <c r="H306" s="193" t="s">
        <v>1236</v>
      </c>
      <c r="I306" s="193" t="s">
        <v>1237</v>
      </c>
      <c r="J306" s="193" t="s">
        <v>1205</v>
      </c>
      <c r="K306" s="193" t="s">
        <v>650</v>
      </c>
      <c r="L306" s="193" t="s">
        <v>650</v>
      </c>
      <c r="M306" s="199" t="str">
        <f t="shared" si="5"/>
        <v>View on Google Map</v>
      </c>
    </row>
    <row r="307" spans="1:13" x14ac:dyDescent="0.2">
      <c r="A307" s="193">
        <v>1159</v>
      </c>
      <c r="B307" s="193" t="s">
        <v>1238</v>
      </c>
      <c r="C307" s="193" t="s">
        <v>650</v>
      </c>
      <c r="D307" s="193" t="s">
        <v>650</v>
      </c>
      <c r="E307" s="193" t="s">
        <v>650</v>
      </c>
      <c r="F307" s="193" t="s">
        <v>650</v>
      </c>
      <c r="G307" s="193" t="s">
        <v>651</v>
      </c>
      <c r="H307" s="193" t="s">
        <v>1238</v>
      </c>
      <c r="I307" s="193" t="s">
        <v>1239</v>
      </c>
      <c r="J307" s="193" t="s">
        <v>1205</v>
      </c>
      <c r="K307" s="193" t="s">
        <v>650</v>
      </c>
      <c r="L307" s="193" t="s">
        <v>650</v>
      </c>
      <c r="M307" s="199" t="str">
        <f t="shared" si="5"/>
        <v>View on Google Map</v>
      </c>
    </row>
    <row r="308" spans="1:13" x14ac:dyDescent="0.2">
      <c r="A308" s="193">
        <v>1160</v>
      </c>
      <c r="B308" s="193" t="s">
        <v>1240</v>
      </c>
      <c r="C308" s="193" t="s">
        <v>650</v>
      </c>
      <c r="D308" s="193" t="s">
        <v>650</v>
      </c>
      <c r="E308" s="193" t="s">
        <v>650</v>
      </c>
      <c r="F308" s="193" t="s">
        <v>650</v>
      </c>
      <c r="G308" s="193" t="s">
        <v>651</v>
      </c>
      <c r="H308" s="193" t="s">
        <v>1240</v>
      </c>
      <c r="I308" s="193" t="s">
        <v>1241</v>
      </c>
      <c r="J308" s="193" t="s">
        <v>1205</v>
      </c>
      <c r="K308" s="193" t="s">
        <v>650</v>
      </c>
      <c r="L308" s="193" t="s">
        <v>650</v>
      </c>
      <c r="M308" s="199" t="str">
        <f t="shared" si="5"/>
        <v>View on Google Map</v>
      </c>
    </row>
    <row r="309" spans="1:13" x14ac:dyDescent="0.2">
      <c r="A309" s="193">
        <v>1161</v>
      </c>
      <c r="B309" s="193" t="s">
        <v>1242</v>
      </c>
      <c r="C309" s="193" t="s">
        <v>650</v>
      </c>
      <c r="D309" s="193" t="s">
        <v>650</v>
      </c>
      <c r="E309" s="193" t="s">
        <v>650</v>
      </c>
      <c r="F309" s="193" t="s">
        <v>650</v>
      </c>
      <c r="G309" s="193" t="s">
        <v>651</v>
      </c>
      <c r="H309" s="193" t="s">
        <v>1242</v>
      </c>
      <c r="I309" s="193" t="s">
        <v>1243</v>
      </c>
      <c r="J309" s="193" t="s">
        <v>1205</v>
      </c>
      <c r="K309" s="193" t="s">
        <v>650</v>
      </c>
      <c r="L309" s="193" t="s">
        <v>650</v>
      </c>
      <c r="M309" s="199" t="str">
        <f t="shared" si="5"/>
        <v>View on Google Map</v>
      </c>
    </row>
    <row r="310" spans="1:13" x14ac:dyDescent="0.2">
      <c r="A310" s="193">
        <v>1162</v>
      </c>
      <c r="B310" s="193" t="s">
        <v>1244</v>
      </c>
      <c r="C310" s="193" t="s">
        <v>650</v>
      </c>
      <c r="D310" s="193" t="s">
        <v>650</v>
      </c>
      <c r="E310" s="193" t="s">
        <v>650</v>
      </c>
      <c r="F310" s="193" t="s">
        <v>650</v>
      </c>
      <c r="G310" s="193" t="s">
        <v>651</v>
      </c>
      <c r="H310" s="193" t="s">
        <v>1244</v>
      </c>
      <c r="I310" s="193" t="s">
        <v>1245</v>
      </c>
      <c r="J310" s="193" t="s">
        <v>1205</v>
      </c>
      <c r="K310" s="193" t="s">
        <v>650</v>
      </c>
      <c r="L310" s="193" t="s">
        <v>650</v>
      </c>
      <c r="M310" s="199" t="str">
        <f t="shared" si="5"/>
        <v>View on Google Map</v>
      </c>
    </row>
    <row r="311" spans="1:13" x14ac:dyDescent="0.2">
      <c r="A311" s="193">
        <v>1163</v>
      </c>
      <c r="B311" s="193" t="s">
        <v>1246</v>
      </c>
      <c r="C311" s="193" t="s">
        <v>650</v>
      </c>
      <c r="D311" s="193" t="s">
        <v>650</v>
      </c>
      <c r="E311" s="193" t="s">
        <v>650</v>
      </c>
      <c r="F311" s="193" t="s">
        <v>650</v>
      </c>
      <c r="G311" s="193" t="s">
        <v>651</v>
      </c>
      <c r="H311" s="193" t="s">
        <v>1246</v>
      </c>
      <c r="I311" s="193" t="s">
        <v>1247</v>
      </c>
      <c r="J311" s="193" t="s">
        <v>1205</v>
      </c>
      <c r="K311" s="193" t="s">
        <v>650</v>
      </c>
      <c r="L311" s="193" t="s">
        <v>650</v>
      </c>
      <c r="M311" s="199" t="str">
        <f t="shared" si="5"/>
        <v>View on Google Map</v>
      </c>
    </row>
    <row r="312" spans="1:13" x14ac:dyDescent="0.2">
      <c r="A312" s="193">
        <v>1164</v>
      </c>
      <c r="B312" s="193" t="s">
        <v>1248</v>
      </c>
      <c r="C312" s="193" t="s">
        <v>650</v>
      </c>
      <c r="D312" s="193" t="s">
        <v>650</v>
      </c>
      <c r="E312" s="193" t="s">
        <v>650</v>
      </c>
      <c r="F312" s="193" t="s">
        <v>650</v>
      </c>
      <c r="G312" s="193" t="s">
        <v>651</v>
      </c>
      <c r="H312" s="193" t="s">
        <v>1248</v>
      </c>
      <c r="I312" s="193" t="s">
        <v>1249</v>
      </c>
      <c r="J312" s="193" t="s">
        <v>1205</v>
      </c>
      <c r="K312" s="193" t="s">
        <v>650</v>
      </c>
      <c r="L312" s="193" t="s">
        <v>650</v>
      </c>
      <c r="M312" s="199" t="str">
        <f t="shared" si="5"/>
        <v>View on Google Map</v>
      </c>
    </row>
    <row r="313" spans="1:13" x14ac:dyDescent="0.2">
      <c r="A313" s="193">
        <v>1165</v>
      </c>
      <c r="B313" s="193" t="s">
        <v>1250</v>
      </c>
      <c r="C313" s="193" t="s">
        <v>650</v>
      </c>
      <c r="D313" s="193" t="s">
        <v>650</v>
      </c>
      <c r="E313" s="193" t="s">
        <v>650</v>
      </c>
      <c r="F313" s="193" t="s">
        <v>650</v>
      </c>
      <c r="G313" s="193" t="s">
        <v>651</v>
      </c>
      <c r="H313" s="193" t="s">
        <v>1250</v>
      </c>
      <c r="I313" s="193" t="s">
        <v>650</v>
      </c>
      <c r="J313" s="193" t="s">
        <v>1205</v>
      </c>
      <c r="K313" s="193" t="s">
        <v>650</v>
      </c>
      <c r="L313" s="193" t="s">
        <v>650</v>
      </c>
      <c r="M313" s="199" t="str">
        <f t="shared" si="5"/>
        <v>View on Google Map</v>
      </c>
    </row>
    <row r="314" spans="1:13" x14ac:dyDescent="0.2">
      <c r="A314" s="193">
        <v>1166</v>
      </c>
      <c r="B314" s="193" t="s">
        <v>1251</v>
      </c>
      <c r="C314" s="193" t="s">
        <v>650</v>
      </c>
      <c r="D314" s="193" t="s">
        <v>650</v>
      </c>
      <c r="E314" s="193" t="s">
        <v>650</v>
      </c>
      <c r="F314" s="193" t="s">
        <v>650</v>
      </c>
      <c r="G314" s="193" t="s">
        <v>651</v>
      </c>
      <c r="H314" s="193" t="s">
        <v>1251</v>
      </c>
      <c r="I314" s="193" t="s">
        <v>650</v>
      </c>
      <c r="J314" s="193" t="s">
        <v>1205</v>
      </c>
      <c r="K314" s="193" t="s">
        <v>650</v>
      </c>
      <c r="L314" s="193" t="s">
        <v>650</v>
      </c>
      <c r="M314" s="199" t="str">
        <f t="shared" si="5"/>
        <v>View on Google Map</v>
      </c>
    </row>
    <row r="315" spans="1:13" x14ac:dyDescent="0.2">
      <c r="A315" s="193">
        <v>1167</v>
      </c>
      <c r="B315" s="193" t="s">
        <v>1252</v>
      </c>
      <c r="C315" s="193" t="s">
        <v>1253</v>
      </c>
      <c r="D315" s="193" t="s">
        <v>650</v>
      </c>
      <c r="E315" s="193" t="s">
        <v>650</v>
      </c>
      <c r="F315" s="193" t="s">
        <v>650</v>
      </c>
      <c r="G315" s="193" t="s">
        <v>651</v>
      </c>
      <c r="H315" s="193" t="s">
        <v>1252</v>
      </c>
      <c r="I315" s="193" t="s">
        <v>650</v>
      </c>
      <c r="J315" s="193" t="s">
        <v>652</v>
      </c>
      <c r="K315" s="193" t="s">
        <v>650</v>
      </c>
      <c r="L315" s="193" t="s">
        <v>650</v>
      </c>
      <c r="M315" s="199" t="str">
        <f t="shared" si="5"/>
        <v>View on Google Map</v>
      </c>
    </row>
    <row r="316" spans="1:13" x14ac:dyDescent="0.2">
      <c r="A316" s="193">
        <v>1168</v>
      </c>
      <c r="B316" s="193" t="s">
        <v>1254</v>
      </c>
      <c r="C316" s="193" t="s">
        <v>1253</v>
      </c>
      <c r="D316" s="193" t="s">
        <v>650</v>
      </c>
      <c r="E316" s="193" t="s">
        <v>650</v>
      </c>
      <c r="F316" s="193" t="s">
        <v>650</v>
      </c>
      <c r="G316" s="193" t="s">
        <v>651</v>
      </c>
      <c r="H316" s="193" t="s">
        <v>1254</v>
      </c>
      <c r="I316" s="193" t="s">
        <v>650</v>
      </c>
      <c r="J316" s="193" t="s">
        <v>652</v>
      </c>
      <c r="K316" s="193" t="s">
        <v>650</v>
      </c>
      <c r="L316" s="193" t="s">
        <v>650</v>
      </c>
      <c r="M316" s="199" t="str">
        <f t="shared" si="5"/>
        <v>View on Google Map</v>
      </c>
    </row>
    <row r="317" spans="1:13" x14ac:dyDescent="0.2">
      <c r="A317" s="193">
        <v>125</v>
      </c>
      <c r="B317" s="193" t="s">
        <v>1255</v>
      </c>
      <c r="C317" s="193" t="s">
        <v>650</v>
      </c>
      <c r="D317" s="193">
        <v>68.52364</v>
      </c>
      <c r="E317" s="193">
        <v>-149.48141000000001</v>
      </c>
      <c r="F317" s="193">
        <v>881</v>
      </c>
      <c r="G317" s="193" t="s">
        <v>661</v>
      </c>
      <c r="H317" s="193" t="s">
        <v>1256</v>
      </c>
      <c r="I317" s="193" t="s">
        <v>650</v>
      </c>
      <c r="J317" s="193" t="s">
        <v>676</v>
      </c>
      <c r="K317" s="193" t="s">
        <v>650</v>
      </c>
      <c r="L317" s="193" t="s">
        <v>677</v>
      </c>
      <c r="M317" s="199" t="str">
        <f t="shared" si="5"/>
        <v>View on Google Map</v>
      </c>
    </row>
    <row r="318" spans="1:13" x14ac:dyDescent="0.2">
      <c r="A318" s="193">
        <v>110</v>
      </c>
      <c r="B318" s="193" t="s">
        <v>1257</v>
      </c>
      <c r="C318" s="193" t="s">
        <v>650</v>
      </c>
      <c r="D318" s="193">
        <v>68.687380000000005</v>
      </c>
      <c r="E318" s="193">
        <v>-149.67458999999999</v>
      </c>
      <c r="F318" s="193">
        <v>747</v>
      </c>
      <c r="G318" s="193" t="s">
        <v>661</v>
      </c>
      <c r="H318" s="193" t="s">
        <v>1258</v>
      </c>
      <c r="I318" s="193" t="s">
        <v>650</v>
      </c>
      <c r="J318" s="193" t="s">
        <v>676</v>
      </c>
      <c r="K318" s="193" t="s">
        <v>650</v>
      </c>
      <c r="L318" s="193" t="s">
        <v>650</v>
      </c>
      <c r="M318" s="199" t="str">
        <f t="shared" si="5"/>
        <v>View on Google Map</v>
      </c>
    </row>
    <row r="319" spans="1:13" x14ac:dyDescent="0.2">
      <c r="A319" s="193">
        <v>159</v>
      </c>
      <c r="B319" s="193" t="s">
        <v>1259</v>
      </c>
      <c r="C319" s="193" t="s">
        <v>650</v>
      </c>
      <c r="D319" s="193">
        <v>68.38333333333334</v>
      </c>
      <c r="E319" s="193">
        <v>-149.91666666666666</v>
      </c>
      <c r="F319" s="193">
        <v>681</v>
      </c>
      <c r="G319" s="193" t="s">
        <v>661</v>
      </c>
      <c r="H319" s="193" t="s">
        <v>1260</v>
      </c>
      <c r="I319" s="193" t="s">
        <v>650</v>
      </c>
      <c r="J319" s="193" t="s">
        <v>676</v>
      </c>
      <c r="K319" s="193" t="s">
        <v>650</v>
      </c>
      <c r="L319" s="193" t="s">
        <v>677</v>
      </c>
      <c r="M319" s="199" t="str">
        <f t="shared" si="5"/>
        <v>View on Google Map</v>
      </c>
    </row>
    <row r="320" spans="1:13" x14ac:dyDescent="0.2">
      <c r="B320" s="193" t="s">
        <v>1261</v>
      </c>
      <c r="C320" s="193" t="s">
        <v>1262</v>
      </c>
      <c r="D320" s="193">
        <v>68.590049999999991</v>
      </c>
      <c r="E320" s="193">
        <v>-149.72444166666699</v>
      </c>
      <c r="G320" s="193" t="s">
        <v>1187</v>
      </c>
      <c r="J320" s="110" t="s">
        <v>676</v>
      </c>
      <c r="M320" s="199" t="str">
        <f t="shared" si="5"/>
        <v>View on Google Map</v>
      </c>
    </row>
    <row r="321" spans="1:13" x14ac:dyDescent="0.2">
      <c r="B321" s="193" t="s">
        <v>1263</v>
      </c>
      <c r="C321" s="193" t="s">
        <v>1262</v>
      </c>
      <c r="D321" s="193">
        <v>68.590219444444443</v>
      </c>
      <c r="E321" s="193">
        <v>-149.725272222222</v>
      </c>
      <c r="G321" s="193" t="s">
        <v>1187</v>
      </c>
      <c r="J321" s="110" t="s">
        <v>676</v>
      </c>
      <c r="M321" s="199" t="str">
        <f t="shared" si="5"/>
        <v>View on Google Map</v>
      </c>
    </row>
    <row r="322" spans="1:13" x14ac:dyDescent="0.2">
      <c r="A322" s="193">
        <v>32</v>
      </c>
      <c r="B322" s="193" t="s">
        <v>1264</v>
      </c>
      <c r="C322" s="193" t="s">
        <v>650</v>
      </c>
      <c r="D322" s="193">
        <v>68.933499999999995</v>
      </c>
      <c r="E322" s="193">
        <v>-150.30600000000001</v>
      </c>
      <c r="F322" s="193" t="s">
        <v>650</v>
      </c>
      <c r="G322" s="193" t="s">
        <v>675</v>
      </c>
      <c r="H322" s="193" t="s">
        <v>1265</v>
      </c>
      <c r="I322" s="193" t="s">
        <v>650</v>
      </c>
      <c r="J322" s="193" t="s">
        <v>711</v>
      </c>
      <c r="K322" s="193" t="s">
        <v>650</v>
      </c>
      <c r="L322" s="193" t="s">
        <v>658</v>
      </c>
      <c r="M322" s="199" t="str">
        <f t="shared" si="5"/>
        <v>View on Google Map</v>
      </c>
    </row>
    <row r="323" spans="1:13" x14ac:dyDescent="0.2">
      <c r="A323" s="193">
        <v>33</v>
      </c>
      <c r="B323" s="193" t="s">
        <v>1266</v>
      </c>
      <c r="C323" s="193" t="s">
        <v>650</v>
      </c>
      <c r="D323" s="193">
        <v>68.908000000000001</v>
      </c>
      <c r="E323" s="193">
        <v>-150.114</v>
      </c>
      <c r="F323" s="193" t="s">
        <v>650</v>
      </c>
      <c r="G323" s="193" t="s">
        <v>675</v>
      </c>
      <c r="H323" s="193" t="s">
        <v>1267</v>
      </c>
      <c r="I323" s="193" t="s">
        <v>650</v>
      </c>
      <c r="J323" s="193" t="s">
        <v>711</v>
      </c>
      <c r="K323" s="193" t="s">
        <v>650</v>
      </c>
      <c r="L323" s="193" t="s">
        <v>658</v>
      </c>
      <c r="M323" s="199" t="str">
        <f t="shared" ref="M323:M386" si="6">HYPERLINK("http://maps.google.com/maps?q="&amp;D323&amp;","&amp;E323,"View on Google Map")</f>
        <v>View on Google Map</v>
      </c>
    </row>
    <row r="324" spans="1:13" x14ac:dyDescent="0.2">
      <c r="A324" s="193">
        <v>1</v>
      </c>
      <c r="B324" s="193" t="s">
        <v>1268</v>
      </c>
      <c r="C324" s="193" t="s">
        <v>1269</v>
      </c>
      <c r="D324" s="193">
        <v>68.639103747222222</v>
      </c>
      <c r="E324" s="193">
        <v>-149.39432556944399</v>
      </c>
      <c r="F324" s="193">
        <v>750.56600000000003</v>
      </c>
      <c r="G324" s="193" t="s">
        <v>1187</v>
      </c>
      <c r="J324" s="110" t="s">
        <v>676</v>
      </c>
      <c r="M324" s="199" t="str">
        <f t="shared" si="6"/>
        <v>View on Google Map</v>
      </c>
    </row>
    <row r="325" spans="1:13" x14ac:dyDescent="0.2">
      <c r="A325" s="193">
        <v>1</v>
      </c>
      <c r="B325" s="193" t="s">
        <v>1270</v>
      </c>
      <c r="C325" s="193" t="s">
        <v>1262</v>
      </c>
      <c r="D325" s="193">
        <v>68.638060455555561</v>
      </c>
      <c r="E325" s="193">
        <v>-149.391843363889</v>
      </c>
      <c r="F325" s="193">
        <v>750.601</v>
      </c>
      <c r="G325" s="193" t="s">
        <v>1187</v>
      </c>
      <c r="J325" s="110" t="s">
        <v>676</v>
      </c>
      <c r="M325" s="199" t="str">
        <f t="shared" si="6"/>
        <v>View on Google Map</v>
      </c>
    </row>
    <row r="326" spans="1:13" x14ac:dyDescent="0.2">
      <c r="A326" s="193">
        <v>1</v>
      </c>
      <c r="B326" s="193" t="s">
        <v>1271</v>
      </c>
      <c r="C326" s="193" t="s">
        <v>1272</v>
      </c>
      <c r="D326" s="193">
        <v>68.640747866666672</v>
      </c>
      <c r="E326" s="193">
        <v>-149.40056111111099</v>
      </c>
      <c r="F326" s="193">
        <v>747.74400000000003</v>
      </c>
      <c r="G326" s="193" t="s">
        <v>1187</v>
      </c>
      <c r="J326" s="110" t="s">
        <v>676</v>
      </c>
      <c r="M326" s="199" t="str">
        <f t="shared" si="6"/>
        <v>View on Google Map</v>
      </c>
    </row>
    <row r="327" spans="1:13" x14ac:dyDescent="0.2">
      <c r="A327" s="193">
        <v>1</v>
      </c>
      <c r="B327" s="193" t="s">
        <v>1273</v>
      </c>
      <c r="C327" s="193" t="s">
        <v>1262</v>
      </c>
      <c r="D327" s="193">
        <v>68.638399647222229</v>
      </c>
      <c r="E327" s="193">
        <v>-149.38922950555599</v>
      </c>
      <c r="F327" s="193">
        <v>752.79899999999998</v>
      </c>
      <c r="G327" s="193" t="s">
        <v>1187</v>
      </c>
      <c r="J327" s="110" t="s">
        <v>676</v>
      </c>
      <c r="M327" s="199" t="str">
        <f t="shared" si="6"/>
        <v>View on Google Map</v>
      </c>
    </row>
    <row r="328" spans="1:13" x14ac:dyDescent="0.2">
      <c r="A328" s="193">
        <v>1</v>
      </c>
      <c r="B328" s="193" t="s">
        <v>1274</v>
      </c>
      <c r="C328" s="193" t="s">
        <v>1262</v>
      </c>
      <c r="D328" s="193">
        <v>68.637445127777781</v>
      </c>
      <c r="E328" s="193">
        <v>-149.386685694444</v>
      </c>
      <c r="F328" s="193">
        <v>753.32</v>
      </c>
      <c r="G328" s="193" t="s">
        <v>1187</v>
      </c>
      <c r="J328" s="110" t="s">
        <v>676</v>
      </c>
      <c r="M328" s="199" t="str">
        <f t="shared" si="6"/>
        <v>View on Google Map</v>
      </c>
    </row>
    <row r="329" spans="1:13" x14ac:dyDescent="0.2">
      <c r="A329" s="193">
        <v>1</v>
      </c>
      <c r="B329" s="193" t="s">
        <v>1275</v>
      </c>
      <c r="C329" s="193" t="s">
        <v>1047</v>
      </c>
      <c r="D329" s="193">
        <v>68.642054250000001</v>
      </c>
      <c r="E329" s="193">
        <v>-149.40350056666699</v>
      </c>
      <c r="F329" s="193">
        <v>746.26800000000003</v>
      </c>
      <c r="G329" s="193" t="s">
        <v>1187</v>
      </c>
      <c r="J329" s="110" t="s">
        <v>676</v>
      </c>
      <c r="M329" s="199" t="str">
        <f t="shared" si="6"/>
        <v>View on Google Map</v>
      </c>
    </row>
    <row r="330" spans="1:13" x14ac:dyDescent="0.2">
      <c r="A330" s="193">
        <v>1</v>
      </c>
      <c r="B330" s="193" t="s">
        <v>1276</v>
      </c>
      <c r="C330" s="193" t="s">
        <v>1277</v>
      </c>
      <c r="D330" s="193">
        <v>68.641460652777781</v>
      </c>
      <c r="E330" s="193">
        <v>-149.40187098888899</v>
      </c>
      <c r="F330" s="193">
        <v>747.17499999999995</v>
      </c>
      <c r="G330" s="193" t="s">
        <v>1187</v>
      </c>
      <c r="J330" s="110" t="s">
        <v>676</v>
      </c>
      <c r="M330" s="199" t="str">
        <f t="shared" si="6"/>
        <v>View on Google Map</v>
      </c>
    </row>
    <row r="331" spans="1:13" x14ac:dyDescent="0.2">
      <c r="A331" s="193">
        <v>1</v>
      </c>
      <c r="B331" s="193" t="s">
        <v>1278</v>
      </c>
      <c r="C331" s="193" t="s">
        <v>1047</v>
      </c>
      <c r="D331" s="193">
        <v>68.643159841666673</v>
      </c>
      <c r="E331" s="193">
        <v>-149.40326701388901</v>
      </c>
      <c r="F331" s="193">
        <v>746.55200000000002</v>
      </c>
      <c r="G331" s="193" t="s">
        <v>1187</v>
      </c>
      <c r="J331" s="110" t="s">
        <v>676</v>
      </c>
      <c r="M331" s="199" t="str">
        <f t="shared" si="6"/>
        <v>View on Google Map</v>
      </c>
    </row>
    <row r="332" spans="1:13" x14ac:dyDescent="0.2">
      <c r="A332" s="193">
        <v>1</v>
      </c>
      <c r="B332" s="193" t="s">
        <v>1279</v>
      </c>
      <c r="C332" s="193" t="s">
        <v>1272</v>
      </c>
      <c r="D332" s="193">
        <v>68.636731430555557</v>
      </c>
      <c r="E332" s="193">
        <v>-149.38318683611101</v>
      </c>
      <c r="F332" s="193">
        <v>755.19299999999998</v>
      </c>
      <c r="G332" s="193" t="s">
        <v>1187</v>
      </c>
      <c r="J332" s="110" t="s">
        <v>676</v>
      </c>
      <c r="M332" s="199" t="str">
        <f t="shared" si="6"/>
        <v>View on Google Map</v>
      </c>
    </row>
    <row r="333" spans="1:13" x14ac:dyDescent="0.2">
      <c r="A333" s="193">
        <v>1</v>
      </c>
      <c r="B333" s="193" t="s">
        <v>1280</v>
      </c>
      <c r="C333" s="193" t="s">
        <v>1272</v>
      </c>
      <c r="D333" s="193">
        <v>68.643629936111111</v>
      </c>
      <c r="E333" s="193">
        <v>-149.40249773333301</v>
      </c>
      <c r="F333" s="193">
        <v>745.85199999999998</v>
      </c>
      <c r="G333" s="193" t="s">
        <v>1187</v>
      </c>
      <c r="J333" s="110" t="s">
        <v>676</v>
      </c>
      <c r="M333" s="199" t="str">
        <f t="shared" si="6"/>
        <v>View on Google Map</v>
      </c>
    </row>
    <row r="334" spans="1:13" x14ac:dyDescent="0.2">
      <c r="A334" s="193">
        <v>1</v>
      </c>
      <c r="B334" s="193" t="s">
        <v>1281</v>
      </c>
      <c r="C334" s="193" t="s">
        <v>1262</v>
      </c>
      <c r="D334" s="193">
        <v>68.644659113888892</v>
      </c>
      <c r="E334" s="193">
        <v>-149.405160461111</v>
      </c>
      <c r="F334" s="193">
        <v>744.06100000000004</v>
      </c>
      <c r="G334" s="193" t="s">
        <v>1187</v>
      </c>
      <c r="J334" s="110" t="s">
        <v>676</v>
      </c>
      <c r="M334" s="199" t="str">
        <f t="shared" si="6"/>
        <v>View on Google Map</v>
      </c>
    </row>
    <row r="335" spans="1:13" x14ac:dyDescent="0.2">
      <c r="A335" s="193">
        <v>1</v>
      </c>
      <c r="B335" s="193" t="s">
        <v>1282</v>
      </c>
      <c r="C335" s="193" t="s">
        <v>1047</v>
      </c>
      <c r="D335" s="193">
        <v>68.646338200000002</v>
      </c>
      <c r="E335" s="193">
        <v>-149.41002641666699</v>
      </c>
      <c r="F335" s="193">
        <v>741.68899999999996</v>
      </c>
      <c r="G335" s="193" t="s">
        <v>1187</v>
      </c>
      <c r="J335" s="110" t="s">
        <v>676</v>
      </c>
      <c r="M335" s="199" t="str">
        <f t="shared" si="6"/>
        <v>View on Google Map</v>
      </c>
    </row>
    <row r="336" spans="1:13" x14ac:dyDescent="0.2">
      <c r="A336" s="193">
        <v>1</v>
      </c>
      <c r="B336" s="193" t="s">
        <v>1283</v>
      </c>
      <c r="C336" s="193" t="s">
        <v>1284</v>
      </c>
      <c r="D336" s="193">
        <v>68.646228841666669</v>
      </c>
      <c r="E336" s="193">
        <v>-149.40909021388899</v>
      </c>
      <c r="F336" s="193">
        <v>742.04</v>
      </c>
      <c r="G336" s="193" t="s">
        <v>1187</v>
      </c>
      <c r="J336" s="110" t="s">
        <v>676</v>
      </c>
      <c r="M336" s="199" t="str">
        <f t="shared" si="6"/>
        <v>View on Google Map</v>
      </c>
    </row>
    <row r="337" spans="1:13" x14ac:dyDescent="0.2">
      <c r="A337" s="193">
        <v>1</v>
      </c>
      <c r="B337" s="193" t="s">
        <v>1285</v>
      </c>
      <c r="C337" s="193" t="s">
        <v>1262</v>
      </c>
      <c r="D337" s="193">
        <v>68.647812641666675</v>
      </c>
      <c r="E337" s="193">
        <v>-149.41565431111101</v>
      </c>
      <c r="F337" s="193">
        <v>738.87300000000005</v>
      </c>
      <c r="G337" s="193" t="s">
        <v>1187</v>
      </c>
      <c r="J337" s="110" t="s">
        <v>676</v>
      </c>
      <c r="M337" s="199" t="str">
        <f t="shared" si="6"/>
        <v>View on Google Map</v>
      </c>
    </row>
    <row r="338" spans="1:13" x14ac:dyDescent="0.2">
      <c r="A338" s="193">
        <v>1</v>
      </c>
      <c r="B338" s="193" t="s">
        <v>1286</v>
      </c>
      <c r="C338" s="193" t="s">
        <v>1047</v>
      </c>
      <c r="D338" s="193">
        <v>68.649547222222225</v>
      </c>
      <c r="E338" s="193">
        <v>-149.41615246388901</v>
      </c>
      <c r="F338" s="193">
        <v>737.07399999999996</v>
      </c>
      <c r="G338" s="193" t="s">
        <v>1187</v>
      </c>
      <c r="J338" s="110" t="s">
        <v>676</v>
      </c>
      <c r="M338" s="199" t="str">
        <f t="shared" si="6"/>
        <v>View on Google Map</v>
      </c>
    </row>
    <row r="339" spans="1:13" x14ac:dyDescent="0.2">
      <c r="A339" s="193">
        <v>1</v>
      </c>
      <c r="B339" s="193" t="s">
        <v>1287</v>
      </c>
      <c r="C339" s="193" t="s">
        <v>1272</v>
      </c>
      <c r="D339" s="193">
        <v>68.65164966388889</v>
      </c>
      <c r="E339" s="193">
        <v>-149.41647778611099</v>
      </c>
      <c r="F339" s="193">
        <v>735.41800000000001</v>
      </c>
      <c r="G339" s="193" t="s">
        <v>1187</v>
      </c>
      <c r="J339" s="110" t="s">
        <v>676</v>
      </c>
      <c r="M339" s="199" t="str">
        <f t="shared" si="6"/>
        <v>View on Google Map</v>
      </c>
    </row>
    <row r="340" spans="1:13" x14ac:dyDescent="0.2">
      <c r="A340" s="193">
        <v>1</v>
      </c>
      <c r="B340" s="193" t="s">
        <v>1288</v>
      </c>
      <c r="C340" s="193" t="s">
        <v>1047</v>
      </c>
      <c r="D340" s="193">
        <v>68.652284541666674</v>
      </c>
      <c r="E340" s="193">
        <v>-149.41517665000001</v>
      </c>
      <c r="F340" s="193">
        <v>734.78499999999997</v>
      </c>
      <c r="G340" s="193" t="s">
        <v>1187</v>
      </c>
      <c r="J340" s="110" t="s">
        <v>676</v>
      </c>
      <c r="M340" s="199" t="str">
        <f t="shared" si="6"/>
        <v>View on Google Map</v>
      </c>
    </row>
    <row r="341" spans="1:13" x14ac:dyDescent="0.2">
      <c r="A341" s="193">
        <v>1</v>
      </c>
      <c r="B341" s="193" t="s">
        <v>1289</v>
      </c>
      <c r="C341" s="193" t="s">
        <v>1262</v>
      </c>
      <c r="D341" s="193">
        <v>68.653667241666668</v>
      </c>
      <c r="E341" s="193">
        <v>-149.420855111111</v>
      </c>
      <c r="F341" s="193">
        <v>732.173</v>
      </c>
      <c r="G341" s="193" t="s">
        <v>1187</v>
      </c>
      <c r="J341" s="110" t="s">
        <v>676</v>
      </c>
      <c r="M341" s="199" t="str">
        <f t="shared" si="6"/>
        <v>View on Google Map</v>
      </c>
    </row>
    <row r="342" spans="1:13" x14ac:dyDescent="0.2">
      <c r="A342" s="193">
        <v>1</v>
      </c>
      <c r="B342" s="193" t="s">
        <v>1290</v>
      </c>
      <c r="C342" s="193" t="s">
        <v>1047</v>
      </c>
      <c r="D342" s="193">
        <v>68.658785577777778</v>
      </c>
      <c r="E342" s="193">
        <v>-149.42446433055599</v>
      </c>
      <c r="F342" s="193">
        <v>726.91899999999998</v>
      </c>
      <c r="G342" s="193" t="s">
        <v>1187</v>
      </c>
      <c r="J342" s="110" t="s">
        <v>676</v>
      </c>
      <c r="M342" s="199" t="str">
        <f t="shared" si="6"/>
        <v>View on Google Map</v>
      </c>
    </row>
    <row r="343" spans="1:13" x14ac:dyDescent="0.2">
      <c r="A343" s="193">
        <v>1</v>
      </c>
      <c r="B343" s="193" t="s">
        <v>1291</v>
      </c>
      <c r="C343" s="193" t="s">
        <v>1292</v>
      </c>
      <c r="D343" s="193">
        <v>68.638340663999998</v>
      </c>
      <c r="E343" s="193">
        <v>-149.39350505600001</v>
      </c>
      <c r="G343" s="193" t="s">
        <v>1187</v>
      </c>
      <c r="J343" s="110" t="s">
        <v>676</v>
      </c>
      <c r="M343" s="199" t="str">
        <f t="shared" si="6"/>
        <v>View on Google Map</v>
      </c>
    </row>
    <row r="344" spans="1:13" x14ac:dyDescent="0.2">
      <c r="A344" s="193">
        <v>1</v>
      </c>
      <c r="B344" s="110" t="s">
        <v>1293</v>
      </c>
      <c r="C344" s="110" t="s">
        <v>1293</v>
      </c>
      <c r="D344" s="193">
        <v>68.647525999999999</v>
      </c>
      <c r="E344" s="193">
        <v>-149.411416</v>
      </c>
      <c r="F344" s="193">
        <v>731</v>
      </c>
      <c r="G344" s="193" t="s">
        <v>675</v>
      </c>
      <c r="H344" s="193" t="s">
        <v>1294</v>
      </c>
      <c r="I344" s="193" t="s">
        <v>650</v>
      </c>
      <c r="J344" s="193" t="s">
        <v>676</v>
      </c>
      <c r="K344" s="193" t="s">
        <v>650</v>
      </c>
      <c r="L344" s="193" t="s">
        <v>650</v>
      </c>
      <c r="M344" s="199" t="str">
        <f t="shared" si="6"/>
        <v>View on Google Map</v>
      </c>
    </row>
    <row r="345" spans="1:13" x14ac:dyDescent="0.2">
      <c r="A345" s="193">
        <v>19</v>
      </c>
      <c r="B345" s="193" t="s">
        <v>1295</v>
      </c>
      <c r="C345" s="193" t="s">
        <v>650</v>
      </c>
      <c r="D345" s="193">
        <v>68.967611000000005</v>
      </c>
      <c r="E345" s="193">
        <v>-149.705342</v>
      </c>
      <c r="F345" s="193">
        <v>411</v>
      </c>
      <c r="G345" s="193" t="s">
        <v>675</v>
      </c>
      <c r="H345" s="193" t="s">
        <v>1296</v>
      </c>
      <c r="I345" s="193" t="s">
        <v>650</v>
      </c>
      <c r="J345" s="193" t="s">
        <v>676</v>
      </c>
      <c r="K345" s="193" t="s">
        <v>650</v>
      </c>
      <c r="L345" s="193" t="s">
        <v>650</v>
      </c>
      <c r="M345" s="199" t="str">
        <f t="shared" si="6"/>
        <v>View on Google Map</v>
      </c>
    </row>
    <row r="346" spans="1:13" x14ac:dyDescent="0.2">
      <c r="A346" s="193">
        <v>16</v>
      </c>
      <c r="B346" s="193" t="s">
        <v>1297</v>
      </c>
      <c r="C346" s="193" t="s">
        <v>650</v>
      </c>
      <c r="D346" s="193" t="s">
        <v>650</v>
      </c>
      <c r="E346" s="193" t="s">
        <v>650</v>
      </c>
      <c r="F346" s="193" t="s">
        <v>650</v>
      </c>
      <c r="G346" s="193" t="s">
        <v>675</v>
      </c>
      <c r="H346" s="193" t="s">
        <v>650</v>
      </c>
      <c r="I346" s="193" t="s">
        <v>650</v>
      </c>
      <c r="J346" s="193" t="s">
        <v>676</v>
      </c>
      <c r="K346" s="193" t="s">
        <v>650</v>
      </c>
      <c r="L346" s="193" t="s">
        <v>650</v>
      </c>
      <c r="M346" s="199" t="str">
        <f t="shared" si="6"/>
        <v>View on Google Map</v>
      </c>
    </row>
    <row r="347" spans="1:13" x14ac:dyDescent="0.2">
      <c r="A347" s="193">
        <v>1198</v>
      </c>
      <c r="B347" s="193" t="s">
        <v>1298</v>
      </c>
      <c r="C347" s="193" t="s">
        <v>834</v>
      </c>
      <c r="D347" s="193">
        <v>69.297460909999998</v>
      </c>
      <c r="E347" s="193">
        <v>-150.32340117999999</v>
      </c>
      <c r="F347" s="193" t="s">
        <v>650</v>
      </c>
      <c r="G347" s="193" t="s">
        <v>651</v>
      </c>
      <c r="H347" s="193" t="s">
        <v>650</v>
      </c>
      <c r="I347" s="193" t="s">
        <v>650</v>
      </c>
      <c r="J347" s="193" t="s">
        <v>657</v>
      </c>
      <c r="K347" s="193" t="s">
        <v>650</v>
      </c>
      <c r="L347" s="193" t="s">
        <v>658</v>
      </c>
      <c r="M347" s="199" t="str">
        <f t="shared" si="6"/>
        <v>View on Google Map</v>
      </c>
    </row>
    <row r="348" spans="1:13" x14ac:dyDescent="0.2">
      <c r="A348" s="193">
        <v>135</v>
      </c>
      <c r="B348" s="193" t="s">
        <v>1299</v>
      </c>
      <c r="C348" s="193" t="s">
        <v>650</v>
      </c>
      <c r="D348" s="193">
        <v>70.333333333333329</v>
      </c>
      <c r="E348" s="193">
        <v>-148.80000000000001</v>
      </c>
      <c r="F348" s="193">
        <v>4</v>
      </c>
      <c r="G348" s="193" t="s">
        <v>661</v>
      </c>
      <c r="H348" s="193" t="s">
        <v>1300</v>
      </c>
      <c r="I348" s="193" t="s">
        <v>650</v>
      </c>
      <c r="J348" s="193" t="s">
        <v>676</v>
      </c>
      <c r="K348" s="193" t="s">
        <v>650</v>
      </c>
      <c r="L348" s="193" t="s">
        <v>677</v>
      </c>
      <c r="M348" s="199" t="str">
        <f t="shared" si="6"/>
        <v>View on Google Map</v>
      </c>
    </row>
    <row r="349" spans="1:13" x14ac:dyDescent="0.2">
      <c r="A349" s="193">
        <v>126</v>
      </c>
      <c r="B349" s="193" t="s">
        <v>1301</v>
      </c>
      <c r="C349" s="193" t="s">
        <v>650</v>
      </c>
      <c r="D349" s="193">
        <v>68.733333333333334</v>
      </c>
      <c r="E349" s="193">
        <v>-148.93333333333334</v>
      </c>
      <c r="F349" s="193">
        <v>556</v>
      </c>
      <c r="G349" s="193" t="s">
        <v>661</v>
      </c>
      <c r="H349" s="193" t="s">
        <v>1302</v>
      </c>
      <c r="I349" s="193" t="s">
        <v>650</v>
      </c>
      <c r="J349" s="193" t="s">
        <v>676</v>
      </c>
      <c r="K349" s="193" t="s">
        <v>650</v>
      </c>
      <c r="L349" s="193" t="s">
        <v>677</v>
      </c>
      <c r="M349" s="199" t="str">
        <f t="shared" si="6"/>
        <v>View on Google Map</v>
      </c>
    </row>
    <row r="350" spans="1:13" x14ac:dyDescent="0.2">
      <c r="A350" s="193">
        <v>134</v>
      </c>
      <c r="B350" s="193" t="s">
        <v>1303</v>
      </c>
      <c r="C350" s="193" t="s">
        <v>650</v>
      </c>
      <c r="D350" s="193">
        <v>70.349999999999994</v>
      </c>
      <c r="E350" s="193">
        <v>-148.58333333333334</v>
      </c>
      <c r="F350" s="193">
        <v>2</v>
      </c>
      <c r="G350" s="193" t="s">
        <v>661</v>
      </c>
      <c r="H350" s="193" t="s">
        <v>1304</v>
      </c>
      <c r="I350" s="193" t="s">
        <v>650</v>
      </c>
      <c r="J350" s="193" t="s">
        <v>676</v>
      </c>
      <c r="K350" s="193" t="s">
        <v>650</v>
      </c>
      <c r="L350" s="193" t="s">
        <v>677</v>
      </c>
      <c r="M350" s="199" t="str">
        <f t="shared" si="6"/>
        <v>View on Google Map</v>
      </c>
    </row>
    <row r="351" spans="1:13" x14ac:dyDescent="0.2">
      <c r="A351" s="193">
        <v>128</v>
      </c>
      <c r="B351" s="193" t="s">
        <v>1305</v>
      </c>
      <c r="C351" s="193" t="s">
        <v>650</v>
      </c>
      <c r="D351" s="193">
        <v>69.033333333333331</v>
      </c>
      <c r="E351" s="193">
        <v>-148.85</v>
      </c>
      <c r="F351" s="193">
        <v>319</v>
      </c>
      <c r="G351" s="193" t="s">
        <v>661</v>
      </c>
      <c r="H351" s="193" t="s">
        <v>1306</v>
      </c>
      <c r="I351" s="193" t="s">
        <v>650</v>
      </c>
      <c r="J351" s="193" t="s">
        <v>676</v>
      </c>
      <c r="K351" s="193" t="s">
        <v>650</v>
      </c>
      <c r="L351" s="193" t="s">
        <v>677</v>
      </c>
      <c r="M351" s="199" t="str">
        <f t="shared" si="6"/>
        <v>View on Google Map</v>
      </c>
    </row>
    <row r="352" spans="1:13" x14ac:dyDescent="0.2">
      <c r="A352" s="193">
        <v>139</v>
      </c>
      <c r="B352" s="193" t="s">
        <v>1307</v>
      </c>
      <c r="C352" s="193" t="s">
        <v>650</v>
      </c>
      <c r="D352" s="193">
        <v>70.216666666666669</v>
      </c>
      <c r="E352" s="193">
        <v>-142.46666666666701</v>
      </c>
      <c r="F352" s="193">
        <v>15</v>
      </c>
      <c r="G352" s="193" t="s">
        <v>661</v>
      </c>
      <c r="H352" s="193" t="s">
        <v>1308</v>
      </c>
      <c r="I352" s="193" t="s">
        <v>1309</v>
      </c>
      <c r="J352" s="193" t="s">
        <v>676</v>
      </c>
      <c r="K352" s="193" t="s">
        <v>650</v>
      </c>
      <c r="L352" s="193" t="s">
        <v>677</v>
      </c>
      <c r="M352" s="199" t="str">
        <f t="shared" si="6"/>
        <v>View on Google Map</v>
      </c>
    </row>
    <row r="353" spans="1:14" x14ac:dyDescent="0.2">
      <c r="A353" s="193">
        <v>127</v>
      </c>
      <c r="B353" s="193" t="s">
        <v>1310</v>
      </c>
      <c r="C353" s="193" t="s">
        <v>650</v>
      </c>
      <c r="D353" s="193">
        <v>68.733333333333334</v>
      </c>
      <c r="E353" s="193">
        <v>-148.96666666666667</v>
      </c>
      <c r="F353" s="193">
        <v>597</v>
      </c>
      <c r="G353" s="193" t="s">
        <v>661</v>
      </c>
      <c r="H353" s="193" t="s">
        <v>1311</v>
      </c>
      <c r="I353" s="193" t="s">
        <v>650</v>
      </c>
      <c r="J353" s="193" t="s">
        <v>676</v>
      </c>
      <c r="K353" s="193" t="s">
        <v>650</v>
      </c>
      <c r="L353" s="193" t="s">
        <v>677</v>
      </c>
      <c r="M353" s="199" t="str">
        <f t="shared" si="6"/>
        <v>View on Google Map</v>
      </c>
    </row>
    <row r="354" spans="1:14" x14ac:dyDescent="0.2">
      <c r="A354" s="193">
        <v>133</v>
      </c>
      <c r="B354" s="193" t="s">
        <v>1312</v>
      </c>
      <c r="C354" s="193" t="s">
        <v>650</v>
      </c>
      <c r="D354" s="193">
        <v>70.36666666666666</v>
      </c>
      <c r="E354" s="193">
        <v>-148.5</v>
      </c>
      <c r="F354" s="193">
        <v>2</v>
      </c>
      <c r="G354" s="193" t="s">
        <v>661</v>
      </c>
      <c r="H354" s="193" t="s">
        <v>1313</v>
      </c>
      <c r="I354" s="193" t="s">
        <v>650</v>
      </c>
      <c r="J354" s="193" t="s">
        <v>676</v>
      </c>
      <c r="K354" s="193" t="s">
        <v>650</v>
      </c>
      <c r="L354" s="193" t="s">
        <v>677</v>
      </c>
      <c r="M354" s="199" t="str">
        <f t="shared" si="6"/>
        <v>View on Google Map</v>
      </c>
    </row>
    <row r="355" spans="1:14" x14ac:dyDescent="0.2">
      <c r="A355" s="193">
        <v>140</v>
      </c>
      <c r="B355" s="193" t="s">
        <v>1314</v>
      </c>
      <c r="C355" s="193" t="s">
        <v>650</v>
      </c>
      <c r="D355" s="193">
        <v>69.583333333333329</v>
      </c>
      <c r="E355" s="193">
        <v>-148.63333333333301</v>
      </c>
      <c r="F355" s="193">
        <v>145</v>
      </c>
      <c r="G355" s="193" t="s">
        <v>661</v>
      </c>
      <c r="H355" s="193" t="s">
        <v>1315</v>
      </c>
      <c r="I355" s="193" t="s">
        <v>1316</v>
      </c>
      <c r="J355" s="193" t="s">
        <v>676</v>
      </c>
      <c r="K355" s="193" t="s">
        <v>650</v>
      </c>
      <c r="L355" s="193" t="s">
        <v>677</v>
      </c>
      <c r="M355" s="199" t="str">
        <f t="shared" si="6"/>
        <v>View on Google Map</v>
      </c>
    </row>
    <row r="356" spans="1:14" x14ac:dyDescent="0.2">
      <c r="A356" s="193">
        <v>247</v>
      </c>
      <c r="B356" s="193" t="s">
        <v>1317</v>
      </c>
      <c r="C356" s="193" t="s">
        <v>1318</v>
      </c>
      <c r="D356" s="193">
        <v>68.687318124800001</v>
      </c>
      <c r="E356" s="193">
        <v>-150.043661294</v>
      </c>
      <c r="F356" s="193">
        <v>670</v>
      </c>
      <c r="G356" s="193" t="s">
        <v>661</v>
      </c>
      <c r="H356" s="193" t="s">
        <v>1319</v>
      </c>
      <c r="I356" s="193" t="s">
        <v>650</v>
      </c>
      <c r="J356" s="193" t="s">
        <v>943</v>
      </c>
      <c r="K356" s="193" t="s">
        <v>650</v>
      </c>
      <c r="L356" s="193" t="s">
        <v>944</v>
      </c>
      <c r="M356" s="199" t="str">
        <f t="shared" si="6"/>
        <v>View on Google Map</v>
      </c>
      <c r="N356" s="193">
        <f t="shared" ref="N356:N419" si="7">VALUE(MID(H356,5,3))</f>
        <v>1</v>
      </c>
    </row>
    <row r="357" spans="1:14" x14ac:dyDescent="0.2">
      <c r="A357" s="193">
        <v>248</v>
      </c>
      <c r="B357" s="193" t="s">
        <v>1320</v>
      </c>
      <c r="C357" s="193" t="s">
        <v>1321</v>
      </c>
      <c r="D357" s="193">
        <v>68.691799913400004</v>
      </c>
      <c r="E357" s="193">
        <v>-150.04995633499999</v>
      </c>
      <c r="F357" s="193">
        <v>670</v>
      </c>
      <c r="G357" s="193" t="s">
        <v>661</v>
      </c>
      <c r="H357" s="193" t="s">
        <v>1322</v>
      </c>
      <c r="I357" s="193" t="s">
        <v>650</v>
      </c>
      <c r="J357" s="193" t="s">
        <v>943</v>
      </c>
      <c r="K357" s="193" t="s">
        <v>650</v>
      </c>
      <c r="L357" s="193" t="s">
        <v>944</v>
      </c>
      <c r="M357" s="199" t="str">
        <f t="shared" si="6"/>
        <v>View on Google Map</v>
      </c>
      <c r="N357" s="193">
        <f t="shared" si="7"/>
        <v>2</v>
      </c>
    </row>
    <row r="358" spans="1:14" x14ac:dyDescent="0.2">
      <c r="A358" s="193">
        <v>249</v>
      </c>
      <c r="B358" s="193" t="s">
        <v>1323</v>
      </c>
      <c r="C358" s="193" t="s">
        <v>1324</v>
      </c>
      <c r="D358" s="193">
        <v>68.692272706200001</v>
      </c>
      <c r="E358" s="193">
        <v>-150.05393183499999</v>
      </c>
      <c r="F358" s="193">
        <v>670</v>
      </c>
      <c r="G358" s="193" t="s">
        <v>661</v>
      </c>
      <c r="H358" s="193" t="s">
        <v>1325</v>
      </c>
      <c r="I358" s="193" t="s">
        <v>650</v>
      </c>
      <c r="J358" s="193" t="s">
        <v>943</v>
      </c>
      <c r="K358" s="193" t="s">
        <v>650</v>
      </c>
      <c r="L358" s="193" t="s">
        <v>944</v>
      </c>
      <c r="M358" s="199" t="str">
        <f t="shared" si="6"/>
        <v>View on Google Map</v>
      </c>
      <c r="N358" s="193">
        <f t="shared" si="7"/>
        <v>3</v>
      </c>
    </row>
    <row r="359" spans="1:14" x14ac:dyDescent="0.2">
      <c r="A359" s="193">
        <v>250</v>
      </c>
      <c r="B359" s="193" t="s">
        <v>1326</v>
      </c>
      <c r="C359" s="193" t="s">
        <v>1327</v>
      </c>
      <c r="D359" s="193">
        <v>68.694180615799993</v>
      </c>
      <c r="E359" s="193">
        <v>-150.05828837300001</v>
      </c>
      <c r="F359" s="193">
        <v>670</v>
      </c>
      <c r="G359" s="193" t="s">
        <v>661</v>
      </c>
      <c r="H359" s="193" t="s">
        <v>1328</v>
      </c>
      <c r="I359" s="193" t="s">
        <v>650</v>
      </c>
      <c r="J359" s="193" t="s">
        <v>943</v>
      </c>
      <c r="K359" s="193" t="s">
        <v>650</v>
      </c>
      <c r="L359" s="193" t="s">
        <v>944</v>
      </c>
      <c r="M359" s="199" t="str">
        <f t="shared" si="6"/>
        <v>View on Google Map</v>
      </c>
      <c r="N359" s="193">
        <f t="shared" si="7"/>
        <v>4</v>
      </c>
    </row>
    <row r="360" spans="1:14" x14ac:dyDescent="0.2">
      <c r="A360" s="193">
        <v>251</v>
      </c>
      <c r="B360" s="193" t="s">
        <v>1329</v>
      </c>
      <c r="C360" s="193" t="s">
        <v>1330</v>
      </c>
      <c r="D360" s="193">
        <v>68.7077131315</v>
      </c>
      <c r="E360" s="193">
        <v>-150.04654580600001</v>
      </c>
      <c r="F360" s="193">
        <v>580</v>
      </c>
      <c r="G360" s="193" t="s">
        <v>661</v>
      </c>
      <c r="H360" s="193" t="s">
        <v>1331</v>
      </c>
      <c r="I360" s="193" t="s">
        <v>650</v>
      </c>
      <c r="J360" s="193" t="s">
        <v>943</v>
      </c>
      <c r="K360" s="193" t="s">
        <v>650</v>
      </c>
      <c r="L360" s="193" t="s">
        <v>944</v>
      </c>
      <c r="M360" s="199" t="str">
        <f t="shared" si="6"/>
        <v>View on Google Map</v>
      </c>
      <c r="N360" s="193">
        <f t="shared" si="7"/>
        <v>5</v>
      </c>
    </row>
    <row r="361" spans="1:14" x14ac:dyDescent="0.2">
      <c r="A361" s="193">
        <v>252</v>
      </c>
      <c r="B361" s="193" t="s">
        <v>1332</v>
      </c>
      <c r="C361" s="193" t="s">
        <v>1333</v>
      </c>
      <c r="D361" s="193">
        <v>68.713583961699996</v>
      </c>
      <c r="E361" s="193">
        <v>-150.03096474</v>
      </c>
      <c r="F361" s="193">
        <v>550</v>
      </c>
      <c r="G361" s="193" t="s">
        <v>661</v>
      </c>
      <c r="H361" s="193" t="s">
        <v>1334</v>
      </c>
      <c r="I361" s="193" t="s">
        <v>650</v>
      </c>
      <c r="J361" s="193" t="s">
        <v>943</v>
      </c>
      <c r="K361" s="193" t="s">
        <v>650</v>
      </c>
      <c r="L361" s="193" t="s">
        <v>944</v>
      </c>
      <c r="M361" s="199" t="str">
        <f t="shared" si="6"/>
        <v>View on Google Map</v>
      </c>
      <c r="N361" s="193">
        <f t="shared" si="7"/>
        <v>6</v>
      </c>
    </row>
    <row r="362" spans="1:14" x14ac:dyDescent="0.2">
      <c r="A362" s="193">
        <v>253</v>
      </c>
      <c r="B362" s="193" t="s">
        <v>1335</v>
      </c>
      <c r="C362" s="193" t="s">
        <v>1336</v>
      </c>
      <c r="D362" s="193">
        <v>68.717696468200003</v>
      </c>
      <c r="E362" s="193">
        <v>-150.03558023400001</v>
      </c>
      <c r="F362" s="193">
        <v>550</v>
      </c>
      <c r="G362" s="193" t="s">
        <v>661</v>
      </c>
      <c r="H362" s="193" t="s">
        <v>1337</v>
      </c>
      <c r="I362" s="193" t="s">
        <v>650</v>
      </c>
      <c r="J362" s="193" t="s">
        <v>943</v>
      </c>
      <c r="K362" s="193" t="s">
        <v>650</v>
      </c>
      <c r="L362" s="193" t="s">
        <v>944</v>
      </c>
      <c r="M362" s="199" t="str">
        <f t="shared" si="6"/>
        <v>View on Google Map</v>
      </c>
      <c r="N362" s="193">
        <f t="shared" si="7"/>
        <v>7</v>
      </c>
    </row>
    <row r="363" spans="1:14" x14ac:dyDescent="0.2">
      <c r="A363" s="193">
        <v>254</v>
      </c>
      <c r="B363" s="193" t="s">
        <v>1338</v>
      </c>
      <c r="C363" s="193" t="s">
        <v>1339</v>
      </c>
      <c r="D363" s="193">
        <v>68.724625849299997</v>
      </c>
      <c r="E363" s="193">
        <v>-150.02664640699999</v>
      </c>
      <c r="F363" s="193">
        <v>520</v>
      </c>
      <c r="G363" s="193" t="s">
        <v>661</v>
      </c>
      <c r="H363" s="193" t="s">
        <v>1340</v>
      </c>
      <c r="I363" s="193" t="s">
        <v>650</v>
      </c>
      <c r="J363" s="193" t="s">
        <v>943</v>
      </c>
      <c r="K363" s="193" t="s">
        <v>650</v>
      </c>
      <c r="L363" s="193" t="s">
        <v>944</v>
      </c>
      <c r="M363" s="199" t="str">
        <f t="shared" si="6"/>
        <v>View on Google Map</v>
      </c>
      <c r="N363" s="193">
        <f t="shared" si="7"/>
        <v>8</v>
      </c>
    </row>
    <row r="364" spans="1:14" x14ac:dyDescent="0.2">
      <c r="A364" s="193">
        <v>255</v>
      </c>
      <c r="B364" s="193" t="s">
        <v>1341</v>
      </c>
      <c r="C364" s="193" t="s">
        <v>1342</v>
      </c>
      <c r="D364" s="193">
        <v>68.728073916699998</v>
      </c>
      <c r="E364" s="193">
        <v>-150.03359923599999</v>
      </c>
      <c r="F364" s="193">
        <v>520</v>
      </c>
      <c r="G364" s="193" t="s">
        <v>661</v>
      </c>
      <c r="H364" s="193" t="s">
        <v>1343</v>
      </c>
      <c r="I364" s="193" t="s">
        <v>650</v>
      </c>
      <c r="J364" s="193" t="s">
        <v>943</v>
      </c>
      <c r="K364" s="193" t="s">
        <v>650</v>
      </c>
      <c r="L364" s="193" t="s">
        <v>944</v>
      </c>
      <c r="M364" s="199" t="str">
        <f t="shared" si="6"/>
        <v>View on Google Map</v>
      </c>
      <c r="N364" s="193">
        <f t="shared" si="7"/>
        <v>9</v>
      </c>
    </row>
    <row r="365" spans="1:14" x14ac:dyDescent="0.2">
      <c r="A365" s="193">
        <v>256</v>
      </c>
      <c r="B365" s="193" t="s">
        <v>1344</v>
      </c>
      <c r="C365" s="193" t="s">
        <v>1345</v>
      </c>
      <c r="D365" s="193">
        <v>68.701700654700005</v>
      </c>
      <c r="E365" s="193">
        <v>-149.74902999599999</v>
      </c>
      <c r="F365" s="193">
        <v>760</v>
      </c>
      <c r="G365" s="193" t="s">
        <v>661</v>
      </c>
      <c r="H365" s="193" t="s">
        <v>1346</v>
      </c>
      <c r="I365" s="193" t="s">
        <v>650</v>
      </c>
      <c r="J365" s="193" t="s">
        <v>943</v>
      </c>
      <c r="K365" s="193" t="s">
        <v>650</v>
      </c>
      <c r="L365" s="193" t="s">
        <v>944</v>
      </c>
      <c r="M365" s="199" t="str">
        <f t="shared" si="6"/>
        <v>View on Google Map</v>
      </c>
      <c r="N365" s="193">
        <f t="shared" si="7"/>
        <v>10</v>
      </c>
    </row>
    <row r="366" spans="1:14" x14ac:dyDescent="0.2">
      <c r="A366" s="193">
        <v>257</v>
      </c>
      <c r="B366" s="193" t="s">
        <v>1347</v>
      </c>
      <c r="C366" s="193" t="s">
        <v>1348</v>
      </c>
      <c r="D366" s="193">
        <v>68.701945515000006</v>
      </c>
      <c r="E366" s="193">
        <v>-149.745520981</v>
      </c>
      <c r="F366" s="193">
        <v>760</v>
      </c>
      <c r="G366" s="193" t="s">
        <v>661</v>
      </c>
      <c r="H366" s="193" t="s">
        <v>1349</v>
      </c>
      <c r="I366" s="193" t="s">
        <v>650</v>
      </c>
      <c r="J366" s="193" t="s">
        <v>943</v>
      </c>
      <c r="K366" s="193" t="s">
        <v>650</v>
      </c>
      <c r="L366" s="193" t="s">
        <v>944</v>
      </c>
      <c r="M366" s="199" t="str">
        <f t="shared" si="6"/>
        <v>View on Google Map</v>
      </c>
      <c r="N366" s="193">
        <f t="shared" si="7"/>
        <v>11</v>
      </c>
    </row>
    <row r="367" spans="1:14" x14ac:dyDescent="0.2">
      <c r="A367" s="193">
        <v>258</v>
      </c>
      <c r="B367" s="193" t="s">
        <v>1350</v>
      </c>
      <c r="C367" s="193" t="s">
        <v>1351</v>
      </c>
      <c r="D367" s="193">
        <v>68.704802601699996</v>
      </c>
      <c r="E367" s="193">
        <v>-149.73409678600001</v>
      </c>
      <c r="F367" s="193">
        <v>730</v>
      </c>
      <c r="G367" s="193" t="s">
        <v>661</v>
      </c>
      <c r="H367" s="193" t="s">
        <v>1352</v>
      </c>
      <c r="I367" s="193" t="s">
        <v>650</v>
      </c>
      <c r="J367" s="193" t="s">
        <v>943</v>
      </c>
      <c r="K367" s="193" t="s">
        <v>650</v>
      </c>
      <c r="L367" s="193" t="s">
        <v>944</v>
      </c>
      <c r="M367" s="199" t="str">
        <f t="shared" si="6"/>
        <v>View on Google Map</v>
      </c>
      <c r="N367" s="193">
        <f t="shared" si="7"/>
        <v>12</v>
      </c>
    </row>
    <row r="368" spans="1:14" x14ac:dyDescent="0.2">
      <c r="A368" s="193">
        <v>259</v>
      </c>
      <c r="B368" s="193" t="s">
        <v>1353</v>
      </c>
      <c r="C368" s="193" t="s">
        <v>1354</v>
      </c>
      <c r="D368" s="193">
        <v>68.703579720799993</v>
      </c>
      <c r="E368" s="193">
        <v>-149.717697128</v>
      </c>
      <c r="F368" s="193">
        <v>690</v>
      </c>
      <c r="G368" s="193" t="s">
        <v>661</v>
      </c>
      <c r="H368" s="193" t="s">
        <v>1355</v>
      </c>
      <c r="I368" s="193" t="s">
        <v>650</v>
      </c>
      <c r="J368" s="193" t="s">
        <v>943</v>
      </c>
      <c r="K368" s="193" t="s">
        <v>650</v>
      </c>
      <c r="L368" s="193" t="s">
        <v>944</v>
      </c>
      <c r="M368" s="199" t="str">
        <f t="shared" si="6"/>
        <v>View on Google Map</v>
      </c>
      <c r="N368" s="193">
        <f t="shared" si="7"/>
        <v>13</v>
      </c>
    </row>
    <row r="369" spans="1:14" x14ac:dyDescent="0.2">
      <c r="A369" s="193">
        <v>260</v>
      </c>
      <c r="B369" s="193" t="s">
        <v>1356</v>
      </c>
      <c r="C369" s="193" t="s">
        <v>1357</v>
      </c>
      <c r="D369" s="193">
        <v>68.702004088500004</v>
      </c>
      <c r="E369" s="193">
        <v>-149.71011160800001</v>
      </c>
      <c r="F369" s="193">
        <v>650</v>
      </c>
      <c r="G369" s="193" t="s">
        <v>661</v>
      </c>
      <c r="H369" s="193" t="s">
        <v>1358</v>
      </c>
      <c r="I369" s="193" t="s">
        <v>650</v>
      </c>
      <c r="J369" s="193" t="s">
        <v>943</v>
      </c>
      <c r="K369" s="193" t="s">
        <v>650</v>
      </c>
      <c r="L369" s="193" t="s">
        <v>944</v>
      </c>
      <c r="M369" s="199" t="str">
        <f t="shared" si="6"/>
        <v>View on Google Map</v>
      </c>
      <c r="N369" s="193">
        <f t="shared" si="7"/>
        <v>14</v>
      </c>
    </row>
    <row r="370" spans="1:14" x14ac:dyDescent="0.2">
      <c r="A370" s="193">
        <v>261</v>
      </c>
      <c r="B370" s="193" t="s">
        <v>1359</v>
      </c>
      <c r="C370" s="193" t="s">
        <v>1360</v>
      </c>
      <c r="D370" s="193">
        <v>68.707978848899998</v>
      </c>
      <c r="E370" s="193">
        <v>-149.715105897</v>
      </c>
      <c r="F370" s="193">
        <v>650</v>
      </c>
      <c r="G370" s="193" t="s">
        <v>661</v>
      </c>
      <c r="H370" s="193" t="s">
        <v>1361</v>
      </c>
      <c r="I370" s="193" t="s">
        <v>650</v>
      </c>
      <c r="J370" s="193" t="s">
        <v>943</v>
      </c>
      <c r="K370" s="193" t="s">
        <v>650</v>
      </c>
      <c r="L370" s="193" t="s">
        <v>944</v>
      </c>
      <c r="M370" s="199" t="str">
        <f t="shared" si="6"/>
        <v>View on Google Map</v>
      </c>
      <c r="N370" s="193">
        <f t="shared" si="7"/>
        <v>15</v>
      </c>
    </row>
    <row r="371" spans="1:14" x14ac:dyDescent="0.2">
      <c r="A371" s="193">
        <v>262</v>
      </c>
      <c r="B371" s="193" t="s">
        <v>1362</v>
      </c>
      <c r="C371" s="193" t="s">
        <v>1363</v>
      </c>
      <c r="D371" s="193">
        <v>68.707847844300005</v>
      </c>
      <c r="E371" s="193">
        <v>-149.69962200099999</v>
      </c>
      <c r="F371" s="193">
        <v>650</v>
      </c>
      <c r="G371" s="193" t="s">
        <v>661</v>
      </c>
      <c r="H371" s="193" t="s">
        <v>1364</v>
      </c>
      <c r="I371" s="193" t="s">
        <v>650</v>
      </c>
      <c r="J371" s="193" t="s">
        <v>943</v>
      </c>
      <c r="K371" s="193" t="s">
        <v>650</v>
      </c>
      <c r="L371" s="193" t="s">
        <v>944</v>
      </c>
      <c r="M371" s="199" t="str">
        <f t="shared" si="6"/>
        <v>View on Google Map</v>
      </c>
      <c r="N371" s="193">
        <f t="shared" si="7"/>
        <v>16</v>
      </c>
    </row>
    <row r="372" spans="1:14" x14ac:dyDescent="0.2">
      <c r="A372" s="193">
        <v>263</v>
      </c>
      <c r="B372" s="193" t="s">
        <v>1365</v>
      </c>
      <c r="C372" s="193" t="s">
        <v>1366</v>
      </c>
      <c r="D372" s="193">
        <v>68.7041606871</v>
      </c>
      <c r="E372" s="193">
        <v>-149.68743035400001</v>
      </c>
      <c r="F372" s="193">
        <v>650</v>
      </c>
      <c r="G372" s="193" t="s">
        <v>661</v>
      </c>
      <c r="H372" s="193" t="s">
        <v>1367</v>
      </c>
      <c r="I372" s="193" t="s">
        <v>650</v>
      </c>
      <c r="J372" s="193" t="s">
        <v>943</v>
      </c>
      <c r="K372" s="193" t="s">
        <v>650</v>
      </c>
      <c r="L372" s="193" t="s">
        <v>944</v>
      </c>
      <c r="M372" s="199" t="str">
        <f t="shared" si="6"/>
        <v>View on Google Map</v>
      </c>
      <c r="N372" s="193">
        <f t="shared" si="7"/>
        <v>17</v>
      </c>
    </row>
    <row r="373" spans="1:14" x14ac:dyDescent="0.2">
      <c r="A373" s="193">
        <v>264</v>
      </c>
      <c r="B373" s="193" t="s">
        <v>1368</v>
      </c>
      <c r="C373" s="193" t="s">
        <v>1369</v>
      </c>
      <c r="D373" s="193">
        <v>68.699385523999993</v>
      </c>
      <c r="E373" s="193">
        <v>-149.69396666399999</v>
      </c>
      <c r="F373" s="193">
        <v>650</v>
      </c>
      <c r="G373" s="193" t="s">
        <v>661</v>
      </c>
      <c r="H373" s="193" t="s">
        <v>1370</v>
      </c>
      <c r="I373" s="193" t="s">
        <v>650</v>
      </c>
      <c r="J373" s="193" t="s">
        <v>943</v>
      </c>
      <c r="K373" s="193" t="s">
        <v>650</v>
      </c>
      <c r="L373" s="193" t="s">
        <v>944</v>
      </c>
      <c r="M373" s="199" t="str">
        <f t="shared" si="6"/>
        <v>View on Google Map</v>
      </c>
      <c r="N373" s="193">
        <f t="shared" si="7"/>
        <v>18</v>
      </c>
    </row>
    <row r="374" spans="1:14" x14ac:dyDescent="0.2">
      <c r="A374" s="193">
        <v>265</v>
      </c>
      <c r="B374" s="193" t="s">
        <v>1371</v>
      </c>
      <c r="C374" s="193" t="s">
        <v>1372</v>
      </c>
      <c r="D374" s="193">
        <v>68.7022801743</v>
      </c>
      <c r="E374" s="193">
        <v>-149.70382138400001</v>
      </c>
      <c r="F374" s="193">
        <v>650</v>
      </c>
      <c r="G374" s="193" t="s">
        <v>661</v>
      </c>
      <c r="H374" s="193" t="s">
        <v>1373</v>
      </c>
      <c r="I374" s="193" t="s">
        <v>650</v>
      </c>
      <c r="J374" s="193" t="s">
        <v>943</v>
      </c>
      <c r="K374" s="193" t="s">
        <v>650</v>
      </c>
      <c r="L374" s="193" t="s">
        <v>944</v>
      </c>
      <c r="M374" s="199" t="str">
        <f t="shared" si="6"/>
        <v>View on Google Map</v>
      </c>
      <c r="N374" s="193">
        <f t="shared" si="7"/>
        <v>19</v>
      </c>
    </row>
    <row r="375" spans="1:14" x14ac:dyDescent="0.2">
      <c r="A375" s="193">
        <v>266</v>
      </c>
      <c r="B375" s="193" t="s">
        <v>1374</v>
      </c>
      <c r="C375" s="193" t="s">
        <v>1375</v>
      </c>
      <c r="D375" s="193">
        <v>68.691324054399999</v>
      </c>
      <c r="E375" s="193">
        <v>-149.78520674699999</v>
      </c>
      <c r="F375" s="193">
        <v>650</v>
      </c>
      <c r="G375" s="193" t="s">
        <v>661</v>
      </c>
      <c r="H375" s="193" t="s">
        <v>1376</v>
      </c>
      <c r="I375" s="193" t="s">
        <v>650</v>
      </c>
      <c r="J375" s="193" t="s">
        <v>943</v>
      </c>
      <c r="K375" s="193" t="s">
        <v>650</v>
      </c>
      <c r="L375" s="193" t="s">
        <v>944</v>
      </c>
      <c r="M375" s="199" t="str">
        <f t="shared" si="6"/>
        <v>View on Google Map</v>
      </c>
      <c r="N375" s="193">
        <f t="shared" si="7"/>
        <v>20</v>
      </c>
    </row>
    <row r="376" spans="1:14" x14ac:dyDescent="0.2">
      <c r="A376" s="193">
        <v>267</v>
      </c>
      <c r="B376" s="193" t="s">
        <v>1377</v>
      </c>
      <c r="C376" s="193" t="s">
        <v>1378</v>
      </c>
      <c r="D376" s="193">
        <v>68.682528721799997</v>
      </c>
      <c r="E376" s="193">
        <v>-149.77156908800001</v>
      </c>
      <c r="F376" s="193">
        <v>630</v>
      </c>
      <c r="G376" s="193" t="s">
        <v>661</v>
      </c>
      <c r="H376" s="193" t="s">
        <v>1379</v>
      </c>
      <c r="I376" s="193" t="s">
        <v>650</v>
      </c>
      <c r="J376" s="193" t="s">
        <v>943</v>
      </c>
      <c r="K376" s="193" t="s">
        <v>650</v>
      </c>
      <c r="L376" s="193" t="s">
        <v>944</v>
      </c>
      <c r="M376" s="199" t="str">
        <f t="shared" si="6"/>
        <v>View on Google Map</v>
      </c>
      <c r="N376" s="193">
        <f t="shared" si="7"/>
        <v>21</v>
      </c>
    </row>
    <row r="377" spans="1:14" x14ac:dyDescent="0.2">
      <c r="A377" s="193">
        <v>268</v>
      </c>
      <c r="B377" s="193" t="s">
        <v>1380</v>
      </c>
      <c r="C377" s="193" t="s">
        <v>1381</v>
      </c>
      <c r="D377" s="193">
        <v>68.6833666064</v>
      </c>
      <c r="E377" s="193">
        <v>-149.78602037900001</v>
      </c>
      <c r="F377" s="193">
        <v>620</v>
      </c>
      <c r="G377" s="193" t="s">
        <v>661</v>
      </c>
      <c r="H377" s="193" t="s">
        <v>1382</v>
      </c>
      <c r="I377" s="193" t="s">
        <v>650</v>
      </c>
      <c r="J377" s="193" t="s">
        <v>943</v>
      </c>
      <c r="K377" s="193" t="s">
        <v>650</v>
      </c>
      <c r="L377" s="193" t="s">
        <v>944</v>
      </c>
      <c r="M377" s="199" t="str">
        <f t="shared" si="6"/>
        <v>View on Google Map</v>
      </c>
      <c r="N377" s="193">
        <f t="shared" si="7"/>
        <v>22</v>
      </c>
    </row>
    <row r="378" spans="1:14" x14ac:dyDescent="0.2">
      <c r="A378" s="193">
        <v>269</v>
      </c>
      <c r="B378" s="193" t="s">
        <v>1383</v>
      </c>
      <c r="C378" s="193" t="s">
        <v>1384</v>
      </c>
      <c r="D378" s="193">
        <v>68.685049484000004</v>
      </c>
      <c r="E378" s="193">
        <v>-149.801322572</v>
      </c>
      <c r="F378" s="193">
        <v>590</v>
      </c>
      <c r="G378" s="193" t="s">
        <v>661</v>
      </c>
      <c r="H378" s="193" t="s">
        <v>1385</v>
      </c>
      <c r="I378" s="193" t="s">
        <v>650</v>
      </c>
      <c r="J378" s="193" t="s">
        <v>943</v>
      </c>
      <c r="K378" s="193" t="s">
        <v>650</v>
      </c>
      <c r="L378" s="193" t="s">
        <v>944</v>
      </c>
      <c r="M378" s="199" t="str">
        <f t="shared" si="6"/>
        <v>View on Google Map</v>
      </c>
      <c r="N378" s="193">
        <f t="shared" si="7"/>
        <v>23</v>
      </c>
    </row>
    <row r="379" spans="1:14" x14ac:dyDescent="0.2">
      <c r="A379" s="193">
        <v>270</v>
      </c>
      <c r="B379" s="193" t="s">
        <v>1386</v>
      </c>
      <c r="C379" s="193" t="s">
        <v>1387</v>
      </c>
      <c r="D379" s="193">
        <v>68.6853960145</v>
      </c>
      <c r="E379" s="193">
        <v>-149.80798693200001</v>
      </c>
      <c r="F379" s="193">
        <v>590</v>
      </c>
      <c r="G379" s="193" t="s">
        <v>661</v>
      </c>
      <c r="H379" s="193" t="s">
        <v>1388</v>
      </c>
      <c r="I379" s="193" t="s">
        <v>650</v>
      </c>
      <c r="J379" s="193" t="s">
        <v>943</v>
      </c>
      <c r="K379" s="193" t="s">
        <v>650</v>
      </c>
      <c r="L379" s="193" t="s">
        <v>944</v>
      </c>
      <c r="M379" s="199" t="str">
        <f t="shared" si="6"/>
        <v>View on Google Map</v>
      </c>
      <c r="N379" s="193">
        <f t="shared" si="7"/>
        <v>24</v>
      </c>
    </row>
    <row r="380" spans="1:14" x14ac:dyDescent="0.2">
      <c r="A380" s="193">
        <v>271</v>
      </c>
      <c r="B380" s="193" t="s">
        <v>1389</v>
      </c>
      <c r="C380" s="193" t="s">
        <v>1390</v>
      </c>
      <c r="D380" s="193">
        <v>68.682885549900007</v>
      </c>
      <c r="E380" s="193">
        <v>-149.809163652</v>
      </c>
      <c r="F380" s="193">
        <v>590</v>
      </c>
      <c r="G380" s="193" t="s">
        <v>661</v>
      </c>
      <c r="H380" s="193" t="s">
        <v>1391</v>
      </c>
      <c r="I380" s="193" t="s">
        <v>650</v>
      </c>
      <c r="J380" s="193" t="s">
        <v>943</v>
      </c>
      <c r="K380" s="193" t="s">
        <v>650</v>
      </c>
      <c r="L380" s="193" t="s">
        <v>944</v>
      </c>
      <c r="M380" s="199" t="str">
        <f t="shared" si="6"/>
        <v>View on Google Map</v>
      </c>
      <c r="N380" s="193">
        <f t="shared" si="7"/>
        <v>25</v>
      </c>
    </row>
    <row r="381" spans="1:14" x14ac:dyDescent="0.2">
      <c r="A381" s="193">
        <v>272</v>
      </c>
      <c r="B381" s="193" t="s">
        <v>1392</v>
      </c>
      <c r="C381" s="193" t="s">
        <v>1393</v>
      </c>
      <c r="D381" s="193">
        <v>68.682270906200003</v>
      </c>
      <c r="E381" s="193">
        <v>-149.81202356599999</v>
      </c>
      <c r="F381" s="193" t="s">
        <v>650</v>
      </c>
      <c r="G381" s="193" t="s">
        <v>661</v>
      </c>
      <c r="H381" s="193" t="s">
        <v>1394</v>
      </c>
      <c r="I381" s="193" t="s">
        <v>650</v>
      </c>
      <c r="J381" s="193" t="s">
        <v>943</v>
      </c>
      <c r="K381" s="193" t="s">
        <v>650</v>
      </c>
      <c r="L381" s="193" t="s">
        <v>944</v>
      </c>
      <c r="M381" s="199" t="str">
        <f t="shared" si="6"/>
        <v>View on Google Map</v>
      </c>
      <c r="N381" s="193">
        <f t="shared" si="7"/>
        <v>26</v>
      </c>
    </row>
    <row r="382" spans="1:14" x14ac:dyDescent="0.2">
      <c r="A382" s="193">
        <v>315</v>
      </c>
      <c r="B382" s="193" t="s">
        <v>1395</v>
      </c>
      <c r="C382" s="193" t="s">
        <v>1396</v>
      </c>
      <c r="D382" s="193">
        <v>68.568206306199997</v>
      </c>
      <c r="E382" s="193">
        <v>-149.167395043</v>
      </c>
      <c r="F382" s="193" t="s">
        <v>650</v>
      </c>
      <c r="G382" s="193" t="s">
        <v>661</v>
      </c>
      <c r="H382" s="193" t="s">
        <v>1397</v>
      </c>
      <c r="I382" s="193" t="s">
        <v>650</v>
      </c>
      <c r="J382" s="193" t="s">
        <v>943</v>
      </c>
      <c r="K382" s="193" t="s">
        <v>650</v>
      </c>
      <c r="L382" s="193" t="s">
        <v>944</v>
      </c>
      <c r="M382" s="199" t="str">
        <f t="shared" si="6"/>
        <v>View on Google Map</v>
      </c>
      <c r="N382" s="193">
        <f t="shared" si="7"/>
        <v>27</v>
      </c>
    </row>
    <row r="383" spans="1:14" x14ac:dyDescent="0.2">
      <c r="A383" s="193">
        <v>316</v>
      </c>
      <c r="B383" s="193" t="s">
        <v>1398</v>
      </c>
      <c r="C383" s="193" t="s">
        <v>1399</v>
      </c>
      <c r="D383" s="193">
        <v>68.563566134699997</v>
      </c>
      <c r="E383" s="193">
        <v>-149.17548626199999</v>
      </c>
      <c r="F383" s="193" t="s">
        <v>650</v>
      </c>
      <c r="G383" s="193" t="s">
        <v>661</v>
      </c>
      <c r="H383" s="193" t="s">
        <v>1400</v>
      </c>
      <c r="I383" s="193" t="s">
        <v>650</v>
      </c>
      <c r="J383" s="193" t="s">
        <v>943</v>
      </c>
      <c r="K383" s="193" t="s">
        <v>650</v>
      </c>
      <c r="L383" s="193" t="s">
        <v>944</v>
      </c>
      <c r="M383" s="199" t="str">
        <f t="shared" si="6"/>
        <v>View on Google Map</v>
      </c>
      <c r="N383" s="193">
        <f t="shared" si="7"/>
        <v>28</v>
      </c>
    </row>
    <row r="384" spans="1:14" x14ac:dyDescent="0.2">
      <c r="A384" s="193">
        <v>317</v>
      </c>
      <c r="B384" s="193" t="s">
        <v>1401</v>
      </c>
      <c r="C384" s="193" t="s">
        <v>1402</v>
      </c>
      <c r="D384" s="193">
        <v>68.567753827800004</v>
      </c>
      <c r="E384" s="193">
        <v>-149.18255546</v>
      </c>
      <c r="F384" s="193" t="s">
        <v>650</v>
      </c>
      <c r="G384" s="193" t="s">
        <v>661</v>
      </c>
      <c r="H384" s="193" t="s">
        <v>1403</v>
      </c>
      <c r="I384" s="193" t="s">
        <v>650</v>
      </c>
      <c r="J384" s="193" t="s">
        <v>943</v>
      </c>
      <c r="K384" s="193" t="s">
        <v>650</v>
      </c>
      <c r="L384" s="193" t="s">
        <v>944</v>
      </c>
      <c r="M384" s="199" t="str">
        <f t="shared" si="6"/>
        <v>View on Google Map</v>
      </c>
      <c r="N384" s="193">
        <f t="shared" si="7"/>
        <v>29</v>
      </c>
    </row>
    <row r="385" spans="1:14" x14ac:dyDescent="0.2">
      <c r="A385" s="193">
        <v>318</v>
      </c>
      <c r="B385" s="193" t="s">
        <v>1404</v>
      </c>
      <c r="C385" s="193" t="s">
        <v>1405</v>
      </c>
      <c r="D385" s="193">
        <v>68.575143231300004</v>
      </c>
      <c r="E385" s="193">
        <v>-149.187493434</v>
      </c>
      <c r="F385" s="193">
        <v>899</v>
      </c>
      <c r="G385" s="193" t="s">
        <v>661</v>
      </c>
      <c r="H385" s="193" t="s">
        <v>1406</v>
      </c>
      <c r="I385" s="193" t="s">
        <v>650</v>
      </c>
      <c r="J385" s="193" t="s">
        <v>943</v>
      </c>
      <c r="K385" s="193" t="s">
        <v>650</v>
      </c>
      <c r="L385" s="193" t="s">
        <v>944</v>
      </c>
      <c r="M385" s="199" t="str">
        <f t="shared" si="6"/>
        <v>View on Google Map</v>
      </c>
      <c r="N385" s="193">
        <f t="shared" si="7"/>
        <v>30</v>
      </c>
    </row>
    <row r="386" spans="1:14" x14ac:dyDescent="0.2">
      <c r="A386" s="193">
        <v>319</v>
      </c>
      <c r="B386" s="193" t="s">
        <v>1407</v>
      </c>
      <c r="C386" s="193" t="s">
        <v>1408</v>
      </c>
      <c r="D386" s="193">
        <v>68.575979722100001</v>
      </c>
      <c r="E386" s="193">
        <v>-149.19939190100001</v>
      </c>
      <c r="F386" s="193" t="s">
        <v>650</v>
      </c>
      <c r="G386" s="193" t="s">
        <v>661</v>
      </c>
      <c r="H386" s="193" t="s">
        <v>1409</v>
      </c>
      <c r="I386" s="193" t="s">
        <v>650</v>
      </c>
      <c r="J386" s="193" t="s">
        <v>943</v>
      </c>
      <c r="K386" s="193" t="s">
        <v>650</v>
      </c>
      <c r="L386" s="193" t="s">
        <v>944</v>
      </c>
      <c r="M386" s="199" t="str">
        <f t="shared" si="6"/>
        <v>View on Google Map</v>
      </c>
      <c r="N386" s="193">
        <f t="shared" si="7"/>
        <v>31</v>
      </c>
    </row>
    <row r="387" spans="1:14" x14ac:dyDescent="0.2">
      <c r="A387" s="193">
        <v>320</v>
      </c>
      <c r="B387" s="193" t="s">
        <v>1410</v>
      </c>
      <c r="C387" s="193" t="s">
        <v>1411</v>
      </c>
      <c r="D387" s="193">
        <v>68.576887217199996</v>
      </c>
      <c r="E387" s="193">
        <v>-149.17782305899999</v>
      </c>
      <c r="F387" s="193">
        <v>891</v>
      </c>
      <c r="G387" s="193" t="s">
        <v>661</v>
      </c>
      <c r="H387" s="193" t="s">
        <v>1412</v>
      </c>
      <c r="I387" s="193" t="s">
        <v>650</v>
      </c>
      <c r="J387" s="193" t="s">
        <v>943</v>
      </c>
      <c r="K387" s="193" t="s">
        <v>650</v>
      </c>
      <c r="L387" s="193" t="s">
        <v>944</v>
      </c>
      <c r="M387" s="199" t="str">
        <f t="shared" ref="M387:M450" si="8">HYPERLINK("http://maps.google.com/maps?q="&amp;D387&amp;","&amp;E387,"View on Google Map")</f>
        <v>View on Google Map</v>
      </c>
      <c r="N387" s="193">
        <f t="shared" si="7"/>
        <v>32</v>
      </c>
    </row>
    <row r="388" spans="1:14" x14ac:dyDescent="0.2">
      <c r="A388" s="193">
        <v>321</v>
      </c>
      <c r="B388" s="193" t="s">
        <v>1413</v>
      </c>
      <c r="C388" s="193" t="s">
        <v>1414</v>
      </c>
      <c r="D388" s="193">
        <v>68.581215404199995</v>
      </c>
      <c r="E388" s="193">
        <v>-149.17874205800001</v>
      </c>
      <c r="F388" s="193">
        <v>891</v>
      </c>
      <c r="G388" s="193" t="s">
        <v>661</v>
      </c>
      <c r="H388" s="193" t="s">
        <v>1415</v>
      </c>
      <c r="I388" s="193" t="s">
        <v>650</v>
      </c>
      <c r="J388" s="193" t="s">
        <v>943</v>
      </c>
      <c r="K388" s="193" t="s">
        <v>650</v>
      </c>
      <c r="L388" s="193" t="s">
        <v>944</v>
      </c>
      <c r="M388" s="199" t="str">
        <f t="shared" si="8"/>
        <v>View on Google Map</v>
      </c>
      <c r="N388" s="193">
        <f t="shared" si="7"/>
        <v>33</v>
      </c>
    </row>
    <row r="389" spans="1:14" x14ac:dyDescent="0.2">
      <c r="A389" s="193">
        <v>322</v>
      </c>
      <c r="B389" s="193" t="s">
        <v>1416</v>
      </c>
      <c r="C389" s="193" t="s">
        <v>1417</v>
      </c>
      <c r="D389" s="193">
        <v>68.587382761699999</v>
      </c>
      <c r="E389" s="193">
        <v>-149.144248847</v>
      </c>
      <c r="F389" s="193" t="s">
        <v>650</v>
      </c>
      <c r="G389" s="193" t="s">
        <v>661</v>
      </c>
      <c r="H389" s="193" t="s">
        <v>1418</v>
      </c>
      <c r="I389" s="193" t="s">
        <v>650</v>
      </c>
      <c r="J389" s="193" t="s">
        <v>943</v>
      </c>
      <c r="K389" s="193" t="s">
        <v>650</v>
      </c>
      <c r="L389" s="193" t="s">
        <v>944</v>
      </c>
      <c r="M389" s="199" t="str">
        <f t="shared" si="8"/>
        <v>View on Google Map</v>
      </c>
      <c r="N389" s="193">
        <f t="shared" si="7"/>
        <v>34</v>
      </c>
    </row>
    <row r="390" spans="1:14" x14ac:dyDescent="0.2">
      <c r="A390" s="193">
        <v>323</v>
      </c>
      <c r="B390" s="193" t="s">
        <v>1419</v>
      </c>
      <c r="C390" s="193" t="s">
        <v>1420</v>
      </c>
      <c r="D390" s="193">
        <v>68.548407480700007</v>
      </c>
      <c r="E390" s="193">
        <v>-150.03700547700001</v>
      </c>
      <c r="F390" s="193" t="s">
        <v>650</v>
      </c>
      <c r="G390" s="193" t="s">
        <v>661</v>
      </c>
      <c r="H390" s="193" t="s">
        <v>1421</v>
      </c>
      <c r="I390" s="193" t="s">
        <v>650</v>
      </c>
      <c r="J390" s="193" t="s">
        <v>943</v>
      </c>
      <c r="K390" s="193" t="s">
        <v>650</v>
      </c>
      <c r="L390" s="193" t="s">
        <v>944</v>
      </c>
      <c r="M390" s="199" t="str">
        <f t="shared" si="8"/>
        <v>View on Google Map</v>
      </c>
      <c r="N390" s="193">
        <f t="shared" si="7"/>
        <v>35</v>
      </c>
    </row>
    <row r="391" spans="1:14" x14ac:dyDescent="0.2">
      <c r="A391" s="193">
        <v>324</v>
      </c>
      <c r="B391" s="193" t="s">
        <v>1422</v>
      </c>
      <c r="C391" s="193" t="s">
        <v>1423</v>
      </c>
      <c r="D391" s="193">
        <v>68.550052273099993</v>
      </c>
      <c r="E391" s="193">
        <v>-150.02948327199999</v>
      </c>
      <c r="F391" s="193" t="s">
        <v>650</v>
      </c>
      <c r="G391" s="193" t="s">
        <v>661</v>
      </c>
      <c r="H391" s="193" t="s">
        <v>1424</v>
      </c>
      <c r="I391" s="193" t="s">
        <v>650</v>
      </c>
      <c r="J391" s="193" t="s">
        <v>943</v>
      </c>
      <c r="K391" s="193" t="s">
        <v>650</v>
      </c>
      <c r="L391" s="193" t="s">
        <v>944</v>
      </c>
      <c r="M391" s="199" t="str">
        <f t="shared" si="8"/>
        <v>View on Google Map</v>
      </c>
      <c r="N391" s="193">
        <f t="shared" si="7"/>
        <v>36</v>
      </c>
    </row>
    <row r="392" spans="1:14" x14ac:dyDescent="0.2">
      <c r="A392" s="193">
        <v>325</v>
      </c>
      <c r="B392" s="193" t="s">
        <v>1425</v>
      </c>
      <c r="C392" s="193" t="s">
        <v>1426</v>
      </c>
      <c r="D392" s="193">
        <v>68.5460242857</v>
      </c>
      <c r="E392" s="193">
        <v>-150.02463014</v>
      </c>
      <c r="F392" s="193" t="s">
        <v>650</v>
      </c>
      <c r="G392" s="193" t="s">
        <v>661</v>
      </c>
      <c r="H392" s="193" t="s">
        <v>1427</v>
      </c>
      <c r="I392" s="193" t="s">
        <v>650</v>
      </c>
      <c r="J392" s="193" t="s">
        <v>943</v>
      </c>
      <c r="K392" s="193" t="s">
        <v>650</v>
      </c>
      <c r="L392" s="193" t="s">
        <v>944</v>
      </c>
      <c r="M392" s="199" t="str">
        <f t="shared" si="8"/>
        <v>View on Google Map</v>
      </c>
      <c r="N392" s="193">
        <f t="shared" si="7"/>
        <v>37</v>
      </c>
    </row>
    <row r="393" spans="1:14" x14ac:dyDescent="0.2">
      <c r="A393" s="193">
        <v>326</v>
      </c>
      <c r="B393" s="193" t="s">
        <v>1428</v>
      </c>
      <c r="C393" s="193" t="s">
        <v>1429</v>
      </c>
      <c r="D393" s="193">
        <v>68.550135830100004</v>
      </c>
      <c r="E393" s="193">
        <v>-150.01499602000001</v>
      </c>
      <c r="F393" s="193" t="s">
        <v>650</v>
      </c>
      <c r="G393" s="193" t="s">
        <v>661</v>
      </c>
      <c r="H393" s="193" t="s">
        <v>1430</v>
      </c>
      <c r="I393" s="193" t="s">
        <v>650</v>
      </c>
      <c r="J393" s="193" t="s">
        <v>943</v>
      </c>
      <c r="K393" s="193" t="s">
        <v>650</v>
      </c>
      <c r="L393" s="193" t="s">
        <v>944</v>
      </c>
      <c r="M393" s="199" t="str">
        <f t="shared" si="8"/>
        <v>View on Google Map</v>
      </c>
      <c r="N393" s="193">
        <f t="shared" si="7"/>
        <v>38</v>
      </c>
    </row>
    <row r="394" spans="1:14" x14ac:dyDescent="0.2">
      <c r="A394" s="193">
        <v>327</v>
      </c>
      <c r="B394" s="193" t="s">
        <v>1431</v>
      </c>
      <c r="C394" s="193" t="s">
        <v>1432</v>
      </c>
      <c r="D394" s="193">
        <v>68.556356553000001</v>
      </c>
      <c r="E394" s="193">
        <v>-150.01283142599999</v>
      </c>
      <c r="F394" s="193" t="s">
        <v>650</v>
      </c>
      <c r="G394" s="193" t="s">
        <v>661</v>
      </c>
      <c r="H394" s="193" t="s">
        <v>1433</v>
      </c>
      <c r="I394" s="193" t="s">
        <v>650</v>
      </c>
      <c r="J394" s="193" t="s">
        <v>943</v>
      </c>
      <c r="K394" s="193" t="s">
        <v>650</v>
      </c>
      <c r="L394" s="193" t="s">
        <v>944</v>
      </c>
      <c r="M394" s="199" t="str">
        <f t="shared" si="8"/>
        <v>View on Google Map</v>
      </c>
      <c r="N394" s="193">
        <f t="shared" si="7"/>
        <v>39</v>
      </c>
    </row>
    <row r="395" spans="1:14" x14ac:dyDescent="0.2">
      <c r="A395" s="193">
        <v>328</v>
      </c>
      <c r="B395" s="193" t="s">
        <v>1434</v>
      </c>
      <c r="C395" s="193" t="s">
        <v>1435</v>
      </c>
      <c r="D395" s="193">
        <v>68.565564884200001</v>
      </c>
      <c r="E395" s="193">
        <v>-150.00164362699999</v>
      </c>
      <c r="F395" s="193" t="s">
        <v>650</v>
      </c>
      <c r="G395" s="193" t="s">
        <v>661</v>
      </c>
      <c r="H395" s="193" t="s">
        <v>1436</v>
      </c>
      <c r="I395" s="193" t="s">
        <v>650</v>
      </c>
      <c r="J395" s="193" t="s">
        <v>943</v>
      </c>
      <c r="K395" s="193" t="s">
        <v>650</v>
      </c>
      <c r="L395" s="193" t="s">
        <v>944</v>
      </c>
      <c r="M395" s="199" t="str">
        <f t="shared" si="8"/>
        <v>View on Google Map</v>
      </c>
      <c r="N395" s="193">
        <f t="shared" si="7"/>
        <v>40</v>
      </c>
    </row>
    <row r="396" spans="1:14" x14ac:dyDescent="0.2">
      <c r="A396" s="193">
        <v>329</v>
      </c>
      <c r="B396" s="193" t="s">
        <v>1437</v>
      </c>
      <c r="C396" s="193" t="s">
        <v>1438</v>
      </c>
      <c r="D396" s="193">
        <v>68.567838099200003</v>
      </c>
      <c r="E396" s="193">
        <v>-149.99849875500001</v>
      </c>
      <c r="F396" s="193" t="s">
        <v>650</v>
      </c>
      <c r="G396" s="193" t="s">
        <v>661</v>
      </c>
      <c r="H396" s="193" t="s">
        <v>1439</v>
      </c>
      <c r="I396" s="193" t="s">
        <v>650</v>
      </c>
      <c r="J396" s="193" t="s">
        <v>943</v>
      </c>
      <c r="K396" s="193" t="s">
        <v>650</v>
      </c>
      <c r="L396" s="193" t="s">
        <v>944</v>
      </c>
      <c r="M396" s="199" t="str">
        <f t="shared" si="8"/>
        <v>View on Google Map</v>
      </c>
      <c r="N396" s="193">
        <f t="shared" si="7"/>
        <v>41</v>
      </c>
    </row>
    <row r="397" spans="1:14" x14ac:dyDescent="0.2">
      <c r="A397" s="193">
        <v>330</v>
      </c>
      <c r="B397" s="193" t="s">
        <v>1440</v>
      </c>
      <c r="C397" s="193" t="s">
        <v>1441</v>
      </c>
      <c r="D397" s="193">
        <v>68.5855663241</v>
      </c>
      <c r="E397" s="193">
        <v>-149.98167511</v>
      </c>
      <c r="F397" s="193" t="s">
        <v>650</v>
      </c>
      <c r="G397" s="193" t="s">
        <v>661</v>
      </c>
      <c r="H397" s="193" t="s">
        <v>1442</v>
      </c>
      <c r="I397" s="193" t="s">
        <v>650</v>
      </c>
      <c r="J397" s="193" t="s">
        <v>943</v>
      </c>
      <c r="K397" s="193" t="s">
        <v>650</v>
      </c>
      <c r="L397" s="193" t="s">
        <v>944</v>
      </c>
      <c r="M397" s="199" t="str">
        <f t="shared" si="8"/>
        <v>View on Google Map</v>
      </c>
      <c r="N397" s="193">
        <f t="shared" si="7"/>
        <v>42</v>
      </c>
    </row>
    <row r="398" spans="1:14" x14ac:dyDescent="0.2">
      <c r="A398" s="193">
        <v>331</v>
      </c>
      <c r="B398" s="193" t="s">
        <v>1443</v>
      </c>
      <c r="C398" s="193" t="s">
        <v>1444</v>
      </c>
      <c r="D398" s="193">
        <v>68.534049837699996</v>
      </c>
      <c r="E398" s="193">
        <v>-149.157309078</v>
      </c>
      <c r="F398" s="193">
        <v>926</v>
      </c>
      <c r="G398" s="193" t="s">
        <v>661</v>
      </c>
      <c r="H398" s="193" t="s">
        <v>1445</v>
      </c>
      <c r="I398" s="193" t="s">
        <v>650</v>
      </c>
      <c r="J398" s="193" t="s">
        <v>943</v>
      </c>
      <c r="K398" s="193" t="s">
        <v>650</v>
      </c>
      <c r="L398" s="193" t="s">
        <v>944</v>
      </c>
      <c r="M398" s="199" t="str">
        <f t="shared" si="8"/>
        <v>View on Google Map</v>
      </c>
      <c r="N398" s="193">
        <f t="shared" si="7"/>
        <v>43</v>
      </c>
    </row>
    <row r="399" spans="1:14" x14ac:dyDescent="0.2">
      <c r="A399" s="193">
        <v>332</v>
      </c>
      <c r="B399" s="193" t="s">
        <v>1446</v>
      </c>
      <c r="C399" s="193" t="s">
        <v>1447</v>
      </c>
      <c r="D399" s="193">
        <v>68.533584622000006</v>
      </c>
      <c r="E399" s="193">
        <v>-149.16705049699999</v>
      </c>
      <c r="F399" s="193" t="s">
        <v>650</v>
      </c>
      <c r="G399" s="193" t="s">
        <v>661</v>
      </c>
      <c r="H399" s="193" t="s">
        <v>1448</v>
      </c>
      <c r="I399" s="193" t="s">
        <v>650</v>
      </c>
      <c r="J399" s="193" t="s">
        <v>943</v>
      </c>
      <c r="K399" s="193" t="s">
        <v>650</v>
      </c>
      <c r="L399" s="193" t="s">
        <v>944</v>
      </c>
      <c r="M399" s="199" t="str">
        <f t="shared" si="8"/>
        <v>View on Google Map</v>
      </c>
      <c r="N399" s="193">
        <f t="shared" si="7"/>
        <v>44</v>
      </c>
    </row>
    <row r="400" spans="1:14" x14ac:dyDescent="0.2">
      <c r="A400" s="193">
        <v>333</v>
      </c>
      <c r="B400" s="193" t="s">
        <v>1449</v>
      </c>
      <c r="C400" s="193" t="s">
        <v>1450</v>
      </c>
      <c r="D400" s="193">
        <v>68.533269411600003</v>
      </c>
      <c r="E400" s="193">
        <v>-149.19565723900001</v>
      </c>
      <c r="F400" s="193">
        <v>899</v>
      </c>
      <c r="G400" s="193" t="s">
        <v>661</v>
      </c>
      <c r="H400" s="193" t="s">
        <v>1451</v>
      </c>
      <c r="I400" s="193" t="s">
        <v>650</v>
      </c>
      <c r="J400" s="193" t="s">
        <v>943</v>
      </c>
      <c r="K400" s="193" t="s">
        <v>650</v>
      </c>
      <c r="L400" s="193" t="s">
        <v>944</v>
      </c>
      <c r="M400" s="199" t="str">
        <f t="shared" si="8"/>
        <v>View on Google Map</v>
      </c>
      <c r="N400" s="193">
        <f t="shared" si="7"/>
        <v>45</v>
      </c>
    </row>
    <row r="401" spans="1:14" x14ac:dyDescent="0.2">
      <c r="A401" s="193">
        <v>335</v>
      </c>
      <c r="B401" s="193" t="s">
        <v>1452</v>
      </c>
      <c r="C401" s="193" t="s">
        <v>1453</v>
      </c>
      <c r="D401" s="193">
        <v>68.516771954500001</v>
      </c>
      <c r="E401" s="193">
        <v>-150.05742084799999</v>
      </c>
      <c r="F401" s="193" t="s">
        <v>650</v>
      </c>
      <c r="G401" s="193" t="s">
        <v>661</v>
      </c>
      <c r="H401" s="193" t="s">
        <v>1454</v>
      </c>
      <c r="I401" s="193" t="s">
        <v>650</v>
      </c>
      <c r="J401" s="193" t="s">
        <v>943</v>
      </c>
      <c r="K401" s="193" t="s">
        <v>650</v>
      </c>
      <c r="L401" s="193" t="s">
        <v>944</v>
      </c>
      <c r="M401" s="199" t="str">
        <f t="shared" si="8"/>
        <v>View on Google Map</v>
      </c>
      <c r="N401" s="193">
        <f t="shared" si="7"/>
        <v>47</v>
      </c>
    </row>
    <row r="402" spans="1:14" x14ac:dyDescent="0.2">
      <c r="A402" s="193">
        <v>336</v>
      </c>
      <c r="B402" s="193" t="s">
        <v>1455</v>
      </c>
      <c r="C402" s="193" t="s">
        <v>1456</v>
      </c>
      <c r="D402" s="193">
        <v>68.531484729400006</v>
      </c>
      <c r="E402" s="193">
        <v>-150.04821666999999</v>
      </c>
      <c r="F402" s="193" t="s">
        <v>650</v>
      </c>
      <c r="G402" s="193" t="s">
        <v>661</v>
      </c>
      <c r="H402" s="193" t="s">
        <v>1457</v>
      </c>
      <c r="I402" s="193" t="s">
        <v>650</v>
      </c>
      <c r="J402" s="193" t="s">
        <v>943</v>
      </c>
      <c r="K402" s="193" t="s">
        <v>650</v>
      </c>
      <c r="L402" s="193" t="s">
        <v>944</v>
      </c>
      <c r="M402" s="199" t="str">
        <f t="shared" si="8"/>
        <v>View on Google Map</v>
      </c>
      <c r="N402" s="193">
        <f t="shared" si="7"/>
        <v>48</v>
      </c>
    </row>
    <row r="403" spans="1:14" x14ac:dyDescent="0.2">
      <c r="A403" s="193">
        <v>337</v>
      </c>
      <c r="B403" s="193" t="s">
        <v>1458</v>
      </c>
      <c r="C403" s="193" t="s">
        <v>1459</v>
      </c>
      <c r="D403" s="193">
        <v>68.525496449800002</v>
      </c>
      <c r="E403" s="193">
        <v>-150.03164010200001</v>
      </c>
      <c r="F403" s="193" t="s">
        <v>650</v>
      </c>
      <c r="G403" s="193" t="s">
        <v>661</v>
      </c>
      <c r="H403" s="193" t="s">
        <v>1460</v>
      </c>
      <c r="I403" s="193" t="s">
        <v>650</v>
      </c>
      <c r="J403" s="193" t="s">
        <v>943</v>
      </c>
      <c r="K403" s="193" t="s">
        <v>650</v>
      </c>
      <c r="L403" s="193" t="s">
        <v>944</v>
      </c>
      <c r="M403" s="199" t="str">
        <f t="shared" si="8"/>
        <v>View on Google Map</v>
      </c>
      <c r="N403" s="193">
        <f t="shared" si="7"/>
        <v>49</v>
      </c>
    </row>
    <row r="404" spans="1:14" x14ac:dyDescent="0.2">
      <c r="A404" s="193">
        <v>338</v>
      </c>
      <c r="B404" s="193" t="s">
        <v>1461</v>
      </c>
      <c r="C404" s="193" t="s">
        <v>1462</v>
      </c>
      <c r="D404" s="193">
        <v>68.522395926599998</v>
      </c>
      <c r="E404" s="193">
        <v>-150.02260567299999</v>
      </c>
      <c r="F404" s="193" t="s">
        <v>650</v>
      </c>
      <c r="G404" s="193" t="s">
        <v>661</v>
      </c>
      <c r="H404" s="193" t="s">
        <v>1463</v>
      </c>
      <c r="I404" s="193" t="s">
        <v>650</v>
      </c>
      <c r="J404" s="193" t="s">
        <v>943</v>
      </c>
      <c r="K404" s="193" t="s">
        <v>650</v>
      </c>
      <c r="L404" s="193" t="s">
        <v>944</v>
      </c>
      <c r="M404" s="199" t="str">
        <f t="shared" si="8"/>
        <v>View on Google Map</v>
      </c>
      <c r="N404" s="193">
        <f t="shared" si="7"/>
        <v>50</v>
      </c>
    </row>
    <row r="405" spans="1:14" x14ac:dyDescent="0.2">
      <c r="A405" s="193">
        <v>339</v>
      </c>
      <c r="B405" s="193" t="s">
        <v>1464</v>
      </c>
      <c r="C405" s="193" t="s">
        <v>1465</v>
      </c>
      <c r="D405" s="193">
        <v>68.574095052399997</v>
      </c>
      <c r="E405" s="193">
        <v>-149.97662969199999</v>
      </c>
      <c r="F405" s="193" t="s">
        <v>650</v>
      </c>
      <c r="G405" s="193" t="s">
        <v>661</v>
      </c>
      <c r="H405" s="193" t="s">
        <v>1466</v>
      </c>
      <c r="I405" s="193" t="s">
        <v>650</v>
      </c>
      <c r="J405" s="193" t="s">
        <v>943</v>
      </c>
      <c r="K405" s="193" t="s">
        <v>650</v>
      </c>
      <c r="L405" s="193" t="s">
        <v>944</v>
      </c>
      <c r="M405" s="199" t="str">
        <f t="shared" si="8"/>
        <v>View on Google Map</v>
      </c>
      <c r="N405" s="193">
        <f t="shared" si="7"/>
        <v>51</v>
      </c>
    </row>
    <row r="406" spans="1:14" x14ac:dyDescent="0.2">
      <c r="A406" s="193">
        <v>340</v>
      </c>
      <c r="B406" s="193" t="s">
        <v>1467</v>
      </c>
      <c r="C406" s="193" t="s">
        <v>1468</v>
      </c>
      <c r="D406" s="193">
        <v>68.571671305899997</v>
      </c>
      <c r="E406" s="193">
        <v>-149.972667672</v>
      </c>
      <c r="F406" s="193" t="s">
        <v>650</v>
      </c>
      <c r="G406" s="193" t="s">
        <v>661</v>
      </c>
      <c r="H406" s="193" t="s">
        <v>1469</v>
      </c>
      <c r="I406" s="193" t="s">
        <v>650</v>
      </c>
      <c r="J406" s="193" t="s">
        <v>943</v>
      </c>
      <c r="K406" s="193" t="s">
        <v>650</v>
      </c>
      <c r="L406" s="193" t="s">
        <v>944</v>
      </c>
      <c r="M406" s="199" t="str">
        <f t="shared" si="8"/>
        <v>View on Google Map</v>
      </c>
      <c r="N406" s="193">
        <f t="shared" si="7"/>
        <v>52</v>
      </c>
    </row>
    <row r="407" spans="1:14" x14ac:dyDescent="0.2">
      <c r="A407" s="193">
        <v>341</v>
      </c>
      <c r="B407" s="193" t="s">
        <v>1470</v>
      </c>
      <c r="C407" s="193" t="s">
        <v>1471</v>
      </c>
      <c r="D407" s="193">
        <v>68.562791718200003</v>
      </c>
      <c r="E407" s="193">
        <v>-149.977791473</v>
      </c>
      <c r="F407" s="193" t="s">
        <v>650</v>
      </c>
      <c r="G407" s="193" t="s">
        <v>661</v>
      </c>
      <c r="H407" s="193" t="s">
        <v>1472</v>
      </c>
      <c r="I407" s="193" t="s">
        <v>650</v>
      </c>
      <c r="J407" s="193" t="s">
        <v>943</v>
      </c>
      <c r="K407" s="193" t="s">
        <v>650</v>
      </c>
      <c r="L407" s="193" t="s">
        <v>944</v>
      </c>
      <c r="M407" s="199" t="str">
        <f t="shared" si="8"/>
        <v>View on Google Map</v>
      </c>
      <c r="N407" s="193">
        <f t="shared" si="7"/>
        <v>53</v>
      </c>
    </row>
    <row r="408" spans="1:14" x14ac:dyDescent="0.2">
      <c r="A408" s="193">
        <v>342</v>
      </c>
      <c r="B408" s="193" t="s">
        <v>1473</v>
      </c>
      <c r="C408" s="193" t="s">
        <v>1474</v>
      </c>
      <c r="D408" s="193">
        <v>68.556077412199997</v>
      </c>
      <c r="E408" s="193">
        <v>-149.93361884199999</v>
      </c>
      <c r="F408" s="193" t="s">
        <v>650</v>
      </c>
      <c r="G408" s="193" t="s">
        <v>661</v>
      </c>
      <c r="H408" s="193" t="s">
        <v>1475</v>
      </c>
      <c r="I408" s="193" t="s">
        <v>650</v>
      </c>
      <c r="J408" s="193" t="s">
        <v>943</v>
      </c>
      <c r="K408" s="193" t="s">
        <v>650</v>
      </c>
      <c r="L408" s="193" t="s">
        <v>944</v>
      </c>
      <c r="M408" s="199" t="str">
        <f t="shared" si="8"/>
        <v>View on Google Map</v>
      </c>
      <c r="N408" s="193">
        <f t="shared" si="7"/>
        <v>54</v>
      </c>
    </row>
    <row r="409" spans="1:14" x14ac:dyDescent="0.2">
      <c r="A409" s="193">
        <v>343</v>
      </c>
      <c r="B409" s="193" t="s">
        <v>1476</v>
      </c>
      <c r="C409" s="193" t="s">
        <v>1477</v>
      </c>
      <c r="D409" s="193">
        <v>68.567959712100006</v>
      </c>
      <c r="E409" s="193">
        <v>-149.89938475599999</v>
      </c>
      <c r="F409" s="193" t="s">
        <v>650</v>
      </c>
      <c r="G409" s="193" t="s">
        <v>661</v>
      </c>
      <c r="H409" s="193" t="s">
        <v>1478</v>
      </c>
      <c r="I409" s="193" t="s">
        <v>650</v>
      </c>
      <c r="J409" s="193" t="s">
        <v>943</v>
      </c>
      <c r="K409" s="193" t="s">
        <v>650</v>
      </c>
      <c r="L409" s="193" t="s">
        <v>944</v>
      </c>
      <c r="M409" s="199" t="str">
        <f t="shared" si="8"/>
        <v>View on Google Map</v>
      </c>
      <c r="N409" s="193">
        <f t="shared" si="7"/>
        <v>55</v>
      </c>
    </row>
    <row r="410" spans="1:14" x14ac:dyDescent="0.2">
      <c r="A410" s="193">
        <v>344</v>
      </c>
      <c r="B410" s="193" t="s">
        <v>1479</v>
      </c>
      <c r="C410" s="193" t="s">
        <v>1480</v>
      </c>
      <c r="D410" s="193">
        <v>68.615854386999999</v>
      </c>
      <c r="E410" s="193">
        <v>-149.123111674</v>
      </c>
      <c r="F410" s="193" t="s">
        <v>650</v>
      </c>
      <c r="G410" s="193" t="s">
        <v>661</v>
      </c>
      <c r="H410" s="193" t="s">
        <v>1481</v>
      </c>
      <c r="I410" s="193" t="s">
        <v>650</v>
      </c>
      <c r="J410" s="193" t="s">
        <v>943</v>
      </c>
      <c r="K410" s="193" t="s">
        <v>650</v>
      </c>
      <c r="L410" s="193" t="s">
        <v>944</v>
      </c>
      <c r="M410" s="199" t="str">
        <f t="shared" si="8"/>
        <v>View on Google Map</v>
      </c>
      <c r="N410" s="193">
        <f t="shared" si="7"/>
        <v>56</v>
      </c>
    </row>
    <row r="411" spans="1:14" x14ac:dyDescent="0.2">
      <c r="A411" s="193">
        <v>345</v>
      </c>
      <c r="B411" s="193" t="s">
        <v>1482</v>
      </c>
      <c r="C411" s="193" t="s">
        <v>1483</v>
      </c>
      <c r="D411" s="193">
        <v>68.622759303600006</v>
      </c>
      <c r="E411" s="193">
        <v>-149.15087640600001</v>
      </c>
      <c r="F411" s="193">
        <v>861</v>
      </c>
      <c r="G411" s="193" t="s">
        <v>661</v>
      </c>
      <c r="H411" s="193" t="s">
        <v>1484</v>
      </c>
      <c r="I411" s="193" t="s">
        <v>650</v>
      </c>
      <c r="J411" s="193" t="s">
        <v>943</v>
      </c>
      <c r="K411" s="193" t="s">
        <v>650</v>
      </c>
      <c r="L411" s="193" t="s">
        <v>944</v>
      </c>
      <c r="M411" s="199" t="str">
        <f t="shared" si="8"/>
        <v>View on Google Map</v>
      </c>
      <c r="N411" s="193">
        <f t="shared" si="7"/>
        <v>57</v>
      </c>
    </row>
    <row r="412" spans="1:14" x14ac:dyDescent="0.2">
      <c r="A412" s="193">
        <v>346</v>
      </c>
      <c r="B412" s="193" t="s">
        <v>1485</v>
      </c>
      <c r="C412" s="193" t="s">
        <v>1486</v>
      </c>
      <c r="D412" s="193">
        <v>68.625381351599998</v>
      </c>
      <c r="E412" s="193">
        <v>-149.13918719200001</v>
      </c>
      <c r="F412" s="193">
        <v>877</v>
      </c>
      <c r="G412" s="193" t="s">
        <v>661</v>
      </c>
      <c r="H412" s="193" t="s">
        <v>1487</v>
      </c>
      <c r="I412" s="193" t="s">
        <v>650</v>
      </c>
      <c r="J412" s="193" t="s">
        <v>943</v>
      </c>
      <c r="K412" s="193" t="s">
        <v>650</v>
      </c>
      <c r="L412" s="193" t="s">
        <v>944</v>
      </c>
      <c r="M412" s="199" t="str">
        <f t="shared" si="8"/>
        <v>View on Google Map</v>
      </c>
      <c r="N412" s="193">
        <f t="shared" si="7"/>
        <v>58</v>
      </c>
    </row>
    <row r="413" spans="1:14" x14ac:dyDescent="0.2">
      <c r="A413" s="193">
        <v>347</v>
      </c>
      <c r="B413" s="193" t="s">
        <v>1488</v>
      </c>
      <c r="C413" s="193" t="s">
        <v>1489</v>
      </c>
      <c r="D413" s="193">
        <v>68.630955107899993</v>
      </c>
      <c r="E413" s="193">
        <v>-149.161535972</v>
      </c>
      <c r="F413" s="193">
        <v>858</v>
      </c>
      <c r="G413" s="193" t="s">
        <v>661</v>
      </c>
      <c r="H413" s="193" t="s">
        <v>1490</v>
      </c>
      <c r="I413" s="193" t="s">
        <v>650</v>
      </c>
      <c r="J413" s="193" t="s">
        <v>943</v>
      </c>
      <c r="K413" s="193" t="s">
        <v>650</v>
      </c>
      <c r="L413" s="193" t="s">
        <v>944</v>
      </c>
      <c r="M413" s="199" t="str">
        <f t="shared" si="8"/>
        <v>View on Google Map</v>
      </c>
      <c r="N413" s="193">
        <f t="shared" si="7"/>
        <v>59</v>
      </c>
    </row>
    <row r="414" spans="1:14" x14ac:dyDescent="0.2">
      <c r="A414" s="193">
        <v>348</v>
      </c>
      <c r="B414" s="193" t="s">
        <v>1491</v>
      </c>
      <c r="C414" s="193" t="s">
        <v>1492</v>
      </c>
      <c r="D414" s="193">
        <v>68.636431312400006</v>
      </c>
      <c r="E414" s="193">
        <v>-149.14390222200001</v>
      </c>
      <c r="F414" s="193" t="s">
        <v>650</v>
      </c>
      <c r="G414" s="193" t="s">
        <v>661</v>
      </c>
      <c r="H414" s="193" t="s">
        <v>1493</v>
      </c>
      <c r="I414" s="193" t="s">
        <v>650</v>
      </c>
      <c r="J414" s="193" t="s">
        <v>943</v>
      </c>
      <c r="K414" s="193" t="s">
        <v>650</v>
      </c>
      <c r="L414" s="193" t="s">
        <v>944</v>
      </c>
      <c r="M414" s="199" t="str">
        <f t="shared" si="8"/>
        <v>View on Google Map</v>
      </c>
      <c r="N414" s="193">
        <f t="shared" si="7"/>
        <v>60</v>
      </c>
    </row>
    <row r="415" spans="1:14" x14ac:dyDescent="0.2">
      <c r="A415" s="193">
        <v>349</v>
      </c>
      <c r="B415" s="193" t="s">
        <v>1494</v>
      </c>
      <c r="C415" s="193" t="s">
        <v>1495</v>
      </c>
      <c r="D415" s="193">
        <v>68.638723598300004</v>
      </c>
      <c r="E415" s="193">
        <v>-149.17862426400001</v>
      </c>
      <c r="F415" s="193" t="s">
        <v>650</v>
      </c>
      <c r="G415" s="193" t="s">
        <v>661</v>
      </c>
      <c r="H415" s="193" t="s">
        <v>1496</v>
      </c>
      <c r="I415" s="193" t="s">
        <v>650</v>
      </c>
      <c r="J415" s="193" t="s">
        <v>943</v>
      </c>
      <c r="K415" s="193" t="s">
        <v>650</v>
      </c>
      <c r="L415" s="193" t="s">
        <v>944</v>
      </c>
      <c r="M415" s="199" t="str">
        <f t="shared" si="8"/>
        <v>View on Google Map</v>
      </c>
      <c r="N415" s="193">
        <f t="shared" si="7"/>
        <v>61</v>
      </c>
    </row>
    <row r="416" spans="1:14" x14ac:dyDescent="0.2">
      <c r="A416" s="193">
        <v>350</v>
      </c>
      <c r="B416" s="193" t="s">
        <v>1497</v>
      </c>
      <c r="C416" s="193" t="s">
        <v>1498</v>
      </c>
      <c r="D416" s="193">
        <v>68.634874735899999</v>
      </c>
      <c r="E416" s="193">
        <v>-149.193728236</v>
      </c>
      <c r="F416" s="193" t="s">
        <v>650</v>
      </c>
      <c r="G416" s="193" t="s">
        <v>661</v>
      </c>
      <c r="H416" s="193" t="s">
        <v>1499</v>
      </c>
      <c r="I416" s="193" t="s">
        <v>650</v>
      </c>
      <c r="J416" s="193" t="s">
        <v>943</v>
      </c>
      <c r="K416" s="193" t="s">
        <v>650</v>
      </c>
      <c r="L416" s="193" t="s">
        <v>944</v>
      </c>
      <c r="M416" s="199" t="str">
        <f t="shared" si="8"/>
        <v>View on Google Map</v>
      </c>
      <c r="N416" s="193">
        <f t="shared" si="7"/>
        <v>62</v>
      </c>
    </row>
    <row r="417" spans="1:14" x14ac:dyDescent="0.2">
      <c r="A417" s="193">
        <v>351</v>
      </c>
      <c r="B417" s="193" t="s">
        <v>1500</v>
      </c>
      <c r="C417" s="193" t="s">
        <v>1501</v>
      </c>
      <c r="D417" s="193">
        <v>68.630921065799996</v>
      </c>
      <c r="E417" s="193">
        <v>-149.19135200100001</v>
      </c>
      <c r="F417" s="193" t="s">
        <v>650</v>
      </c>
      <c r="G417" s="193" t="s">
        <v>661</v>
      </c>
      <c r="H417" s="193" t="s">
        <v>1502</v>
      </c>
      <c r="I417" s="193" t="s">
        <v>650</v>
      </c>
      <c r="J417" s="193" t="s">
        <v>943</v>
      </c>
      <c r="K417" s="193" t="s">
        <v>650</v>
      </c>
      <c r="L417" s="193" t="s">
        <v>944</v>
      </c>
      <c r="M417" s="199" t="str">
        <f t="shared" si="8"/>
        <v>View on Google Map</v>
      </c>
      <c r="N417" s="193">
        <f t="shared" si="7"/>
        <v>63</v>
      </c>
    </row>
    <row r="418" spans="1:14" x14ac:dyDescent="0.2">
      <c r="A418" s="193">
        <v>352</v>
      </c>
      <c r="B418" s="193" t="s">
        <v>1503</v>
      </c>
      <c r="C418" s="193" t="s">
        <v>1504</v>
      </c>
      <c r="D418" s="193">
        <v>68.635774522800006</v>
      </c>
      <c r="E418" s="193">
        <v>-149.20688041899999</v>
      </c>
      <c r="F418" s="193" t="s">
        <v>650</v>
      </c>
      <c r="G418" s="193" t="s">
        <v>661</v>
      </c>
      <c r="H418" s="193" t="s">
        <v>1505</v>
      </c>
      <c r="I418" s="193" t="s">
        <v>650</v>
      </c>
      <c r="J418" s="193" t="s">
        <v>943</v>
      </c>
      <c r="K418" s="193" t="s">
        <v>650</v>
      </c>
      <c r="L418" s="193" t="s">
        <v>944</v>
      </c>
      <c r="M418" s="199" t="str">
        <f t="shared" si="8"/>
        <v>View on Google Map</v>
      </c>
      <c r="N418" s="193">
        <f t="shared" si="7"/>
        <v>64</v>
      </c>
    </row>
    <row r="419" spans="1:14" x14ac:dyDescent="0.2">
      <c r="A419" s="193">
        <v>353</v>
      </c>
      <c r="B419" s="193" t="s">
        <v>1506</v>
      </c>
      <c r="C419" s="193" t="s">
        <v>1507</v>
      </c>
      <c r="D419" s="193">
        <v>68.585080002200002</v>
      </c>
      <c r="E419" s="193">
        <v>-149.208359645</v>
      </c>
      <c r="F419" s="193">
        <v>898</v>
      </c>
      <c r="G419" s="193" t="s">
        <v>661</v>
      </c>
      <c r="H419" s="193" t="s">
        <v>1508</v>
      </c>
      <c r="I419" s="193" t="s">
        <v>650</v>
      </c>
      <c r="J419" s="193" t="s">
        <v>943</v>
      </c>
      <c r="K419" s="193" t="s">
        <v>650</v>
      </c>
      <c r="L419" s="193" t="s">
        <v>944</v>
      </c>
      <c r="M419" s="199" t="str">
        <f t="shared" si="8"/>
        <v>View on Google Map</v>
      </c>
      <c r="N419" s="193">
        <f t="shared" si="7"/>
        <v>65</v>
      </c>
    </row>
    <row r="420" spans="1:14" x14ac:dyDescent="0.2">
      <c r="A420" s="193">
        <v>354</v>
      </c>
      <c r="B420" s="193" t="s">
        <v>1509</v>
      </c>
      <c r="C420" s="193" t="s">
        <v>1510</v>
      </c>
      <c r="D420" s="193">
        <v>68.583148055099997</v>
      </c>
      <c r="E420" s="193">
        <v>-149.19950362399999</v>
      </c>
      <c r="F420" s="193">
        <v>896</v>
      </c>
      <c r="G420" s="193" t="s">
        <v>661</v>
      </c>
      <c r="H420" s="193" t="s">
        <v>1511</v>
      </c>
      <c r="I420" s="193" t="s">
        <v>650</v>
      </c>
      <c r="J420" s="193" t="s">
        <v>943</v>
      </c>
      <c r="K420" s="193" t="s">
        <v>650</v>
      </c>
      <c r="L420" s="193" t="s">
        <v>944</v>
      </c>
      <c r="M420" s="199" t="str">
        <f t="shared" si="8"/>
        <v>View on Google Map</v>
      </c>
      <c r="N420" s="193">
        <f t="shared" ref="N420:N434" si="9">VALUE(MID(H420,5,3))</f>
        <v>66</v>
      </c>
    </row>
    <row r="421" spans="1:14" x14ac:dyDescent="0.2">
      <c r="A421" s="193">
        <v>355</v>
      </c>
      <c r="B421" s="193" t="s">
        <v>1512</v>
      </c>
      <c r="C421" s="193" t="s">
        <v>1513</v>
      </c>
      <c r="D421" s="193">
        <v>68.589302268899999</v>
      </c>
      <c r="E421" s="193">
        <v>-149.18432651699999</v>
      </c>
      <c r="F421" s="193">
        <v>880</v>
      </c>
      <c r="G421" s="193" t="s">
        <v>661</v>
      </c>
      <c r="H421" s="193" t="s">
        <v>1514</v>
      </c>
      <c r="I421" s="193" t="s">
        <v>650</v>
      </c>
      <c r="J421" s="193" t="s">
        <v>943</v>
      </c>
      <c r="K421" s="193" t="s">
        <v>650</v>
      </c>
      <c r="L421" s="193" t="s">
        <v>944</v>
      </c>
      <c r="M421" s="199" t="str">
        <f t="shared" si="8"/>
        <v>View on Google Map</v>
      </c>
      <c r="N421" s="193">
        <f t="shared" si="9"/>
        <v>67</v>
      </c>
    </row>
    <row r="422" spans="1:14" x14ac:dyDescent="0.2">
      <c r="A422" s="193">
        <v>357</v>
      </c>
      <c r="B422" s="193" t="s">
        <v>1515</v>
      </c>
      <c r="C422" s="193" t="s">
        <v>1516</v>
      </c>
      <c r="D422" s="193">
        <v>68.595953562800005</v>
      </c>
      <c r="E422" s="193">
        <v>-149.161045868</v>
      </c>
      <c r="F422" s="193" t="s">
        <v>650</v>
      </c>
      <c r="G422" s="193" t="s">
        <v>661</v>
      </c>
      <c r="H422" s="193" t="s">
        <v>1517</v>
      </c>
      <c r="I422" s="193" t="s">
        <v>650</v>
      </c>
      <c r="J422" s="193" t="s">
        <v>943</v>
      </c>
      <c r="K422" s="193" t="s">
        <v>650</v>
      </c>
      <c r="L422" s="193" t="s">
        <v>944</v>
      </c>
      <c r="M422" s="199" t="str">
        <f t="shared" si="8"/>
        <v>View on Google Map</v>
      </c>
      <c r="N422" s="193">
        <f t="shared" si="9"/>
        <v>69</v>
      </c>
    </row>
    <row r="423" spans="1:14" x14ac:dyDescent="0.2">
      <c r="A423" s="193">
        <v>358</v>
      </c>
      <c r="B423" s="193" t="s">
        <v>1518</v>
      </c>
      <c r="C423" s="193" t="s">
        <v>1519</v>
      </c>
      <c r="D423" s="193">
        <v>68.590721600400002</v>
      </c>
      <c r="E423" s="193">
        <v>-149.17612158099999</v>
      </c>
      <c r="F423" s="193" t="s">
        <v>650</v>
      </c>
      <c r="G423" s="193" t="s">
        <v>661</v>
      </c>
      <c r="H423" s="193" t="s">
        <v>1520</v>
      </c>
      <c r="I423" s="193" t="s">
        <v>650</v>
      </c>
      <c r="J423" s="193" t="s">
        <v>943</v>
      </c>
      <c r="K423" s="193" t="s">
        <v>650</v>
      </c>
      <c r="L423" s="193" t="s">
        <v>944</v>
      </c>
      <c r="M423" s="199" t="str">
        <f t="shared" si="8"/>
        <v>View on Google Map</v>
      </c>
      <c r="N423" s="193">
        <f t="shared" si="9"/>
        <v>70</v>
      </c>
    </row>
    <row r="424" spans="1:14" x14ac:dyDescent="0.2">
      <c r="A424" s="193">
        <v>359</v>
      </c>
      <c r="B424" s="193" t="s">
        <v>1521</v>
      </c>
      <c r="C424" s="193" t="s">
        <v>1522</v>
      </c>
      <c r="D424" s="193">
        <v>68.600362864999994</v>
      </c>
      <c r="E424" s="193">
        <v>-149.14055367099999</v>
      </c>
      <c r="F424" s="193" t="s">
        <v>650</v>
      </c>
      <c r="G424" s="193" t="s">
        <v>661</v>
      </c>
      <c r="H424" s="193" t="s">
        <v>1523</v>
      </c>
      <c r="I424" s="193" t="s">
        <v>650</v>
      </c>
      <c r="J424" s="193" t="s">
        <v>943</v>
      </c>
      <c r="K424" s="193" t="s">
        <v>650</v>
      </c>
      <c r="L424" s="193" t="s">
        <v>944</v>
      </c>
      <c r="M424" s="199" t="str">
        <f t="shared" si="8"/>
        <v>View on Google Map</v>
      </c>
      <c r="N424" s="193">
        <f t="shared" si="9"/>
        <v>71</v>
      </c>
    </row>
    <row r="425" spans="1:14" x14ac:dyDescent="0.2">
      <c r="A425" s="193">
        <v>360</v>
      </c>
      <c r="B425" s="193" t="s">
        <v>1524</v>
      </c>
      <c r="C425" s="193" t="s">
        <v>1525</v>
      </c>
      <c r="D425" s="193">
        <v>68.610380375800005</v>
      </c>
      <c r="E425" s="193">
        <v>-149.15074315300001</v>
      </c>
      <c r="F425" s="193" t="s">
        <v>650</v>
      </c>
      <c r="G425" s="193" t="s">
        <v>661</v>
      </c>
      <c r="H425" s="193" t="s">
        <v>1526</v>
      </c>
      <c r="I425" s="193" t="s">
        <v>650</v>
      </c>
      <c r="J425" s="193" t="s">
        <v>943</v>
      </c>
      <c r="K425" s="193" t="s">
        <v>650</v>
      </c>
      <c r="L425" s="193" t="s">
        <v>944</v>
      </c>
      <c r="M425" s="199" t="str">
        <f t="shared" si="8"/>
        <v>View on Google Map</v>
      </c>
      <c r="N425" s="193">
        <f t="shared" si="9"/>
        <v>72</v>
      </c>
    </row>
    <row r="426" spans="1:14" x14ac:dyDescent="0.2">
      <c r="A426" s="193">
        <v>361</v>
      </c>
      <c r="B426" s="193" t="s">
        <v>1527</v>
      </c>
      <c r="C426" s="193" t="s">
        <v>1528</v>
      </c>
      <c r="D426" s="193">
        <v>68.6163784405</v>
      </c>
      <c r="E426" s="193">
        <v>-149.16060521700001</v>
      </c>
      <c r="F426" s="193" t="s">
        <v>650</v>
      </c>
      <c r="G426" s="193" t="s">
        <v>661</v>
      </c>
      <c r="H426" s="193" t="s">
        <v>1529</v>
      </c>
      <c r="I426" s="193" t="s">
        <v>650</v>
      </c>
      <c r="J426" s="193" t="s">
        <v>943</v>
      </c>
      <c r="K426" s="193" t="s">
        <v>650</v>
      </c>
      <c r="L426" s="193" t="s">
        <v>944</v>
      </c>
      <c r="M426" s="199" t="str">
        <f t="shared" si="8"/>
        <v>View on Google Map</v>
      </c>
      <c r="N426" s="193">
        <f t="shared" si="9"/>
        <v>73</v>
      </c>
    </row>
    <row r="427" spans="1:14" x14ac:dyDescent="0.2">
      <c r="A427" s="193">
        <v>362</v>
      </c>
      <c r="B427" s="193" t="s">
        <v>1530</v>
      </c>
      <c r="C427" s="193" t="s">
        <v>1531</v>
      </c>
      <c r="D427" s="193">
        <v>68.617934232500005</v>
      </c>
      <c r="E427" s="193">
        <v>-149.18594585299999</v>
      </c>
      <c r="F427" s="193" t="s">
        <v>650</v>
      </c>
      <c r="G427" s="193" t="s">
        <v>661</v>
      </c>
      <c r="H427" s="193" t="s">
        <v>1532</v>
      </c>
      <c r="I427" s="193" t="s">
        <v>650</v>
      </c>
      <c r="J427" s="193" t="s">
        <v>943</v>
      </c>
      <c r="K427" s="193" t="s">
        <v>650</v>
      </c>
      <c r="L427" s="193" t="s">
        <v>944</v>
      </c>
      <c r="M427" s="199" t="str">
        <f t="shared" si="8"/>
        <v>View on Google Map</v>
      </c>
      <c r="N427" s="193">
        <f t="shared" si="9"/>
        <v>74</v>
      </c>
    </row>
    <row r="428" spans="1:14" x14ac:dyDescent="0.2">
      <c r="A428" s="193">
        <v>363</v>
      </c>
      <c r="B428" s="193" t="s">
        <v>1533</v>
      </c>
      <c r="C428" s="193" t="s">
        <v>1534</v>
      </c>
      <c r="D428" s="193">
        <v>68.614396448299999</v>
      </c>
      <c r="E428" s="193">
        <v>-149.19403818800001</v>
      </c>
      <c r="F428" s="193" t="s">
        <v>650</v>
      </c>
      <c r="G428" s="193" t="s">
        <v>661</v>
      </c>
      <c r="H428" s="193" t="s">
        <v>1535</v>
      </c>
      <c r="I428" s="193" t="s">
        <v>650</v>
      </c>
      <c r="J428" s="193" t="s">
        <v>943</v>
      </c>
      <c r="K428" s="193" t="s">
        <v>650</v>
      </c>
      <c r="L428" s="193" t="s">
        <v>944</v>
      </c>
      <c r="M428" s="199" t="str">
        <f t="shared" si="8"/>
        <v>View on Google Map</v>
      </c>
      <c r="N428" s="193">
        <f t="shared" si="9"/>
        <v>75</v>
      </c>
    </row>
    <row r="429" spans="1:14" x14ac:dyDescent="0.2">
      <c r="A429" s="193">
        <v>364</v>
      </c>
      <c r="B429" s="193" t="s">
        <v>1536</v>
      </c>
      <c r="C429" s="193" t="s">
        <v>1537</v>
      </c>
      <c r="D429" s="193">
        <v>68.694256581000005</v>
      </c>
      <c r="E429" s="193">
        <v>-149.73679655699999</v>
      </c>
      <c r="F429" s="193" t="s">
        <v>650</v>
      </c>
      <c r="G429" s="193" t="s">
        <v>661</v>
      </c>
      <c r="H429" s="193" t="s">
        <v>1538</v>
      </c>
      <c r="I429" s="193" t="s">
        <v>650</v>
      </c>
      <c r="J429" s="193" t="s">
        <v>943</v>
      </c>
      <c r="K429" s="193" t="s">
        <v>650</v>
      </c>
      <c r="L429" s="193" t="s">
        <v>944</v>
      </c>
      <c r="M429" s="199" t="str">
        <f t="shared" si="8"/>
        <v>View on Google Map</v>
      </c>
      <c r="N429" s="193">
        <f t="shared" si="9"/>
        <v>76</v>
      </c>
    </row>
    <row r="430" spans="1:14" x14ac:dyDescent="0.2">
      <c r="A430" s="193">
        <v>365</v>
      </c>
      <c r="B430" s="193" t="s">
        <v>1539</v>
      </c>
      <c r="C430" s="193" t="s">
        <v>1540</v>
      </c>
      <c r="D430" s="193">
        <v>68.696056827099994</v>
      </c>
      <c r="E430" s="193">
        <v>-149.73131395300001</v>
      </c>
      <c r="F430" s="193" t="s">
        <v>650</v>
      </c>
      <c r="G430" s="193" t="s">
        <v>661</v>
      </c>
      <c r="H430" s="193" t="s">
        <v>1541</v>
      </c>
      <c r="I430" s="193" t="s">
        <v>650</v>
      </c>
      <c r="J430" s="193" t="s">
        <v>943</v>
      </c>
      <c r="K430" s="193" t="s">
        <v>650</v>
      </c>
      <c r="L430" s="193" t="s">
        <v>944</v>
      </c>
      <c r="M430" s="199" t="str">
        <f t="shared" si="8"/>
        <v>View on Google Map</v>
      </c>
      <c r="N430" s="193">
        <f t="shared" si="9"/>
        <v>77</v>
      </c>
    </row>
    <row r="431" spans="1:14" x14ac:dyDescent="0.2">
      <c r="A431" s="193">
        <v>366</v>
      </c>
      <c r="B431" s="193" t="s">
        <v>1542</v>
      </c>
      <c r="C431" s="193" t="s">
        <v>1543</v>
      </c>
      <c r="D431" s="193">
        <v>68.696468206399999</v>
      </c>
      <c r="E431" s="193">
        <v>-149.708828248</v>
      </c>
      <c r="F431" s="193" t="s">
        <v>650</v>
      </c>
      <c r="G431" s="193" t="s">
        <v>661</v>
      </c>
      <c r="H431" s="193" t="s">
        <v>1544</v>
      </c>
      <c r="I431" s="193" t="s">
        <v>650</v>
      </c>
      <c r="J431" s="193" t="s">
        <v>943</v>
      </c>
      <c r="K431" s="193" t="s">
        <v>650</v>
      </c>
      <c r="L431" s="193" t="s">
        <v>944</v>
      </c>
      <c r="M431" s="199" t="str">
        <f t="shared" si="8"/>
        <v>View on Google Map</v>
      </c>
      <c r="N431" s="193">
        <f t="shared" si="9"/>
        <v>78</v>
      </c>
    </row>
    <row r="432" spans="1:14" x14ac:dyDescent="0.2">
      <c r="A432" s="193">
        <v>367</v>
      </c>
      <c r="B432" s="193" t="s">
        <v>1545</v>
      </c>
      <c r="C432" s="193" t="s">
        <v>1546</v>
      </c>
      <c r="D432" s="193">
        <v>68.688141157800004</v>
      </c>
      <c r="E432" s="193">
        <v>-149.73555264800001</v>
      </c>
      <c r="F432" s="193" t="s">
        <v>650</v>
      </c>
      <c r="G432" s="193" t="s">
        <v>661</v>
      </c>
      <c r="H432" s="193" t="s">
        <v>1547</v>
      </c>
      <c r="I432" s="193" t="s">
        <v>650</v>
      </c>
      <c r="J432" s="193" t="s">
        <v>943</v>
      </c>
      <c r="K432" s="193" t="s">
        <v>650</v>
      </c>
      <c r="L432" s="193" t="s">
        <v>944</v>
      </c>
      <c r="M432" s="199" t="str">
        <f t="shared" si="8"/>
        <v>View on Google Map</v>
      </c>
      <c r="N432" s="193">
        <f t="shared" si="9"/>
        <v>79</v>
      </c>
    </row>
    <row r="433" spans="1:14" x14ac:dyDescent="0.2">
      <c r="A433" s="193">
        <v>368</v>
      </c>
      <c r="B433" s="193" t="s">
        <v>1548</v>
      </c>
      <c r="C433" s="193" t="s">
        <v>1549</v>
      </c>
      <c r="D433" s="193">
        <v>68.682810930000002</v>
      </c>
      <c r="E433" s="193">
        <v>-149.73974315500001</v>
      </c>
      <c r="F433" s="193" t="s">
        <v>650</v>
      </c>
      <c r="G433" s="193" t="s">
        <v>661</v>
      </c>
      <c r="H433" s="193" t="s">
        <v>1550</v>
      </c>
      <c r="I433" s="193" t="s">
        <v>650</v>
      </c>
      <c r="J433" s="193" t="s">
        <v>943</v>
      </c>
      <c r="K433" s="193" t="s">
        <v>650</v>
      </c>
      <c r="L433" s="193" t="s">
        <v>944</v>
      </c>
      <c r="M433" s="199" t="str">
        <f t="shared" si="8"/>
        <v>View on Google Map</v>
      </c>
      <c r="N433" s="193">
        <f t="shared" si="9"/>
        <v>80</v>
      </c>
    </row>
    <row r="434" spans="1:14" x14ac:dyDescent="0.2">
      <c r="A434" s="193">
        <v>369</v>
      </c>
      <c r="B434" s="193" t="s">
        <v>1551</v>
      </c>
      <c r="C434" s="193" t="s">
        <v>1552</v>
      </c>
      <c r="D434" s="193">
        <v>68.682815967099998</v>
      </c>
      <c r="E434" s="193">
        <v>-149.759701116</v>
      </c>
      <c r="F434" s="193" t="s">
        <v>650</v>
      </c>
      <c r="G434" s="193" t="s">
        <v>661</v>
      </c>
      <c r="H434" s="193" t="s">
        <v>1553</v>
      </c>
      <c r="I434" s="193" t="s">
        <v>650</v>
      </c>
      <c r="J434" s="193" t="s">
        <v>943</v>
      </c>
      <c r="K434" s="193" t="s">
        <v>650</v>
      </c>
      <c r="L434" s="193" t="s">
        <v>944</v>
      </c>
      <c r="M434" s="199" t="str">
        <f t="shared" si="8"/>
        <v>View on Google Map</v>
      </c>
      <c r="N434" s="193">
        <f t="shared" si="9"/>
        <v>81</v>
      </c>
    </row>
    <row r="435" spans="1:14" x14ac:dyDescent="0.2">
      <c r="A435" s="193">
        <v>1225</v>
      </c>
      <c r="B435" s="193" t="s">
        <v>1554</v>
      </c>
      <c r="C435" s="110" t="s">
        <v>1555</v>
      </c>
      <c r="D435" s="193">
        <v>68.641727000000003</v>
      </c>
      <c r="E435" s="193">
        <v>-149.58665300000001</v>
      </c>
      <c r="F435" s="193">
        <v>724</v>
      </c>
      <c r="G435" s="193" t="s">
        <v>651</v>
      </c>
      <c r="H435" s="193" t="s">
        <v>650</v>
      </c>
      <c r="I435" s="193" t="s">
        <v>650</v>
      </c>
      <c r="J435" s="193" t="s">
        <v>676</v>
      </c>
      <c r="K435" s="193" t="s">
        <v>650</v>
      </c>
      <c r="L435" s="193" t="s">
        <v>650</v>
      </c>
      <c r="M435" s="199" t="str">
        <f t="shared" si="8"/>
        <v>View on Google Map</v>
      </c>
    </row>
    <row r="436" spans="1:14" x14ac:dyDescent="0.2">
      <c r="B436" s="193" t="s">
        <v>1556</v>
      </c>
      <c r="C436" s="201" t="s">
        <v>1557</v>
      </c>
      <c r="D436" s="193">
        <v>68.622865000000004</v>
      </c>
      <c r="E436" s="193">
        <v>-149.60854499999999</v>
      </c>
      <c r="F436" s="193">
        <v>758</v>
      </c>
      <c r="G436" s="193" t="s">
        <v>651</v>
      </c>
      <c r="J436" s="193" t="s">
        <v>676</v>
      </c>
      <c r="M436" s="199" t="str">
        <f t="shared" si="8"/>
        <v>View on Google Map</v>
      </c>
    </row>
    <row r="437" spans="1:14" x14ac:dyDescent="0.2">
      <c r="A437" s="193">
        <v>1220</v>
      </c>
      <c r="B437" s="193" t="s">
        <v>1558</v>
      </c>
      <c r="C437" s="110" t="s">
        <v>1559</v>
      </c>
      <c r="D437" s="193">
        <v>68.624410999999995</v>
      </c>
      <c r="E437" s="193">
        <v>-149.609589</v>
      </c>
      <c r="F437" s="193">
        <v>750</v>
      </c>
      <c r="G437" s="193" t="s">
        <v>651</v>
      </c>
      <c r="H437" s="193" t="s">
        <v>650</v>
      </c>
      <c r="I437" s="193" t="s">
        <v>650</v>
      </c>
      <c r="J437" s="193" t="s">
        <v>676</v>
      </c>
      <c r="K437" s="193" t="s">
        <v>650</v>
      </c>
      <c r="L437" s="193" t="s">
        <v>650</v>
      </c>
      <c r="M437" s="199" t="str">
        <f t="shared" si="8"/>
        <v>View on Google Map</v>
      </c>
    </row>
    <row r="438" spans="1:14" x14ac:dyDescent="0.2">
      <c r="A438" s="193">
        <v>1222</v>
      </c>
      <c r="B438" s="193" t="s">
        <v>1560</v>
      </c>
      <c r="C438" s="110" t="s">
        <v>1561</v>
      </c>
      <c r="D438" s="193">
        <v>68.629636000000005</v>
      </c>
      <c r="E438" s="193">
        <v>-149.57565600000001</v>
      </c>
      <c r="F438" s="193">
        <v>755</v>
      </c>
      <c r="G438" s="193" t="s">
        <v>651</v>
      </c>
      <c r="H438" s="193" t="s">
        <v>650</v>
      </c>
      <c r="I438" s="193" t="s">
        <v>650</v>
      </c>
      <c r="J438" s="193" t="s">
        <v>676</v>
      </c>
      <c r="K438" s="193" t="s">
        <v>650</v>
      </c>
      <c r="L438" s="193" t="s">
        <v>650</v>
      </c>
      <c r="M438" s="199" t="str">
        <f t="shared" si="8"/>
        <v>View on Google Map</v>
      </c>
    </row>
    <row r="439" spans="1:14" x14ac:dyDescent="0.2">
      <c r="A439" s="193">
        <v>1228</v>
      </c>
      <c r="B439" s="193" t="s">
        <v>1562</v>
      </c>
      <c r="C439" s="110" t="s">
        <v>1563</v>
      </c>
      <c r="D439" s="193">
        <v>68.634530999999996</v>
      </c>
      <c r="E439" s="193">
        <v>-149.64205799999999</v>
      </c>
      <c r="F439" s="193">
        <v>748</v>
      </c>
      <c r="G439" s="193" t="s">
        <v>651</v>
      </c>
      <c r="H439" s="193" t="s">
        <v>650</v>
      </c>
      <c r="I439" s="193" t="s">
        <v>650</v>
      </c>
      <c r="J439" s="193" t="s">
        <v>676</v>
      </c>
      <c r="K439" s="193" t="s">
        <v>650</v>
      </c>
      <c r="L439" s="193" t="s">
        <v>650</v>
      </c>
      <c r="M439" s="199" t="str">
        <f t="shared" si="8"/>
        <v>View on Google Map</v>
      </c>
    </row>
    <row r="440" spans="1:14" x14ac:dyDescent="0.2">
      <c r="A440" s="193">
        <v>1227</v>
      </c>
      <c r="B440" s="193" t="s">
        <v>1564</v>
      </c>
      <c r="C440" s="110" t="s">
        <v>1565</v>
      </c>
      <c r="D440" s="193">
        <v>68.634039000000001</v>
      </c>
      <c r="E440" s="193">
        <v>-149.63704899999999</v>
      </c>
      <c r="F440" s="193">
        <v>750</v>
      </c>
      <c r="G440" s="193" t="s">
        <v>651</v>
      </c>
      <c r="H440" s="193" t="s">
        <v>650</v>
      </c>
      <c r="I440" s="193" t="s">
        <v>650</v>
      </c>
      <c r="J440" s="193" t="s">
        <v>676</v>
      </c>
      <c r="K440" s="193" t="s">
        <v>650</v>
      </c>
      <c r="L440" s="193" t="s">
        <v>650</v>
      </c>
      <c r="M440" s="199" t="str">
        <f t="shared" si="8"/>
        <v>View on Google Map</v>
      </c>
    </row>
    <row r="441" spans="1:14" x14ac:dyDescent="0.2">
      <c r="A441" s="193">
        <v>1223</v>
      </c>
      <c r="B441" s="193" t="s">
        <v>1566</v>
      </c>
      <c r="C441" s="110" t="s">
        <v>1567</v>
      </c>
      <c r="D441" s="193">
        <v>68.635624000000007</v>
      </c>
      <c r="E441" s="193">
        <v>-149.587064</v>
      </c>
      <c r="F441" s="193">
        <v>745</v>
      </c>
      <c r="G441" s="193" t="s">
        <v>651</v>
      </c>
      <c r="H441" s="193" t="s">
        <v>650</v>
      </c>
      <c r="I441" s="193" t="s">
        <v>650</v>
      </c>
      <c r="J441" s="193" t="s">
        <v>676</v>
      </c>
      <c r="K441" s="193" t="s">
        <v>650</v>
      </c>
      <c r="L441" s="193" t="s">
        <v>650</v>
      </c>
      <c r="M441" s="199" t="str">
        <f t="shared" si="8"/>
        <v>View on Google Map</v>
      </c>
    </row>
    <row r="442" spans="1:14" x14ac:dyDescent="0.2">
      <c r="A442" s="193">
        <v>1224</v>
      </c>
      <c r="B442" s="193" t="s">
        <v>1568</v>
      </c>
      <c r="C442" s="110" t="s">
        <v>1569</v>
      </c>
      <c r="D442" s="193">
        <v>68.638692000000006</v>
      </c>
      <c r="E442" s="193">
        <v>-149.567789</v>
      </c>
      <c r="F442" s="193">
        <v>731</v>
      </c>
      <c r="G442" s="193" t="s">
        <v>651</v>
      </c>
      <c r="H442" s="193" t="s">
        <v>650</v>
      </c>
      <c r="I442" s="193" t="s">
        <v>650</v>
      </c>
      <c r="J442" s="193" t="s">
        <v>676</v>
      </c>
      <c r="K442" s="193" t="s">
        <v>650</v>
      </c>
      <c r="L442" s="193" t="s">
        <v>650</v>
      </c>
      <c r="M442" s="199" t="str">
        <f t="shared" si="8"/>
        <v>View on Google Map</v>
      </c>
    </row>
    <row r="443" spans="1:14" x14ac:dyDescent="0.2">
      <c r="A443" s="193">
        <v>1221</v>
      </c>
      <c r="B443" s="193" t="s">
        <v>1570</v>
      </c>
      <c r="C443" s="110" t="s">
        <v>1571</v>
      </c>
      <c r="D443" s="193">
        <v>68.625440999999995</v>
      </c>
      <c r="E443" s="193">
        <v>-149.60287299999999</v>
      </c>
      <c r="F443" s="193">
        <v>717</v>
      </c>
      <c r="G443" s="193" t="s">
        <v>651</v>
      </c>
      <c r="H443" s="193" t="s">
        <v>650</v>
      </c>
      <c r="I443" s="193" t="s">
        <v>650</v>
      </c>
      <c r="J443" s="193" t="s">
        <v>676</v>
      </c>
      <c r="K443" s="193" t="s">
        <v>650</v>
      </c>
      <c r="L443" s="193" t="s">
        <v>650</v>
      </c>
      <c r="M443" s="199" t="str">
        <f t="shared" si="8"/>
        <v>View on Google Map</v>
      </c>
    </row>
    <row r="444" spans="1:14" x14ac:dyDescent="0.2">
      <c r="A444" s="193">
        <v>1226</v>
      </c>
      <c r="B444" s="110" t="s">
        <v>1572</v>
      </c>
      <c r="C444" s="110" t="s">
        <v>1573</v>
      </c>
      <c r="D444" s="193">
        <v>68.647621999999998</v>
      </c>
      <c r="E444" s="193">
        <v>-149.57729800000001</v>
      </c>
      <c r="F444" s="193">
        <v>719</v>
      </c>
      <c r="G444" s="193" t="s">
        <v>651</v>
      </c>
      <c r="H444" s="193" t="s">
        <v>650</v>
      </c>
      <c r="I444" s="193" t="s">
        <v>650</v>
      </c>
      <c r="J444" s="193" t="s">
        <v>676</v>
      </c>
      <c r="K444" s="193" t="s">
        <v>650</v>
      </c>
      <c r="L444" s="193" t="s">
        <v>650</v>
      </c>
      <c r="M444" s="199" t="str">
        <f t="shared" si="8"/>
        <v>View on Google Map</v>
      </c>
    </row>
    <row r="445" spans="1:14" x14ac:dyDescent="0.2">
      <c r="A445" s="193">
        <v>487</v>
      </c>
      <c r="B445" s="193" t="s">
        <v>1574</v>
      </c>
      <c r="C445" s="193" t="s">
        <v>650</v>
      </c>
      <c r="D445" s="193">
        <v>68.961583332999993</v>
      </c>
      <c r="E445" s="193">
        <v>-150.20961666700001</v>
      </c>
      <c r="F445" s="193">
        <v>380</v>
      </c>
      <c r="G445" s="193" t="s">
        <v>661</v>
      </c>
      <c r="H445" s="193" t="s">
        <v>650</v>
      </c>
      <c r="I445" s="193" t="s">
        <v>650</v>
      </c>
      <c r="J445" s="193" t="s">
        <v>711</v>
      </c>
      <c r="K445" s="193" t="s">
        <v>650</v>
      </c>
      <c r="L445" s="193" t="s">
        <v>658</v>
      </c>
      <c r="M445" s="199" t="str">
        <f t="shared" si="8"/>
        <v>View on Google Map</v>
      </c>
    </row>
    <row r="446" spans="1:14" x14ac:dyDescent="0.2">
      <c r="A446" s="193">
        <v>23</v>
      </c>
      <c r="B446" s="193" t="s">
        <v>1575</v>
      </c>
      <c r="C446" s="193" t="s">
        <v>650</v>
      </c>
      <c r="D446" s="193" t="s">
        <v>650</v>
      </c>
      <c r="E446" s="193" t="s">
        <v>650</v>
      </c>
      <c r="F446" s="193" t="s">
        <v>650</v>
      </c>
      <c r="G446" s="193" t="s">
        <v>675</v>
      </c>
      <c r="H446" s="193" t="s">
        <v>650</v>
      </c>
      <c r="I446" s="193" t="s">
        <v>650</v>
      </c>
      <c r="J446" s="193" t="s">
        <v>676</v>
      </c>
      <c r="K446" s="193" t="s">
        <v>650</v>
      </c>
      <c r="L446" s="193" t="s">
        <v>650</v>
      </c>
      <c r="M446" s="199" t="str">
        <f t="shared" si="8"/>
        <v>View on Google Map</v>
      </c>
    </row>
    <row r="447" spans="1:14" x14ac:dyDescent="0.2">
      <c r="A447" s="193">
        <v>529</v>
      </c>
      <c r="B447" s="193" t="s">
        <v>1576</v>
      </c>
      <c r="C447" s="193" t="s">
        <v>1056</v>
      </c>
      <c r="D447" s="193">
        <v>68.672934999999995</v>
      </c>
      <c r="E447" s="193">
        <v>-149.61752300000001</v>
      </c>
      <c r="F447" s="193">
        <v>708</v>
      </c>
      <c r="G447" s="193" t="s">
        <v>661</v>
      </c>
      <c r="H447" s="193" t="s">
        <v>650</v>
      </c>
      <c r="I447" s="193" t="s">
        <v>650</v>
      </c>
      <c r="J447" s="193" t="s">
        <v>662</v>
      </c>
      <c r="K447" s="193" t="s">
        <v>650</v>
      </c>
      <c r="L447" s="193" t="s">
        <v>1057</v>
      </c>
      <c r="M447" s="199" t="str">
        <f t="shared" si="8"/>
        <v>View on Google Map</v>
      </c>
    </row>
    <row r="448" spans="1:14" x14ac:dyDescent="0.2">
      <c r="A448" s="193">
        <v>494</v>
      </c>
      <c r="B448" s="193" t="s">
        <v>1577</v>
      </c>
      <c r="C448" s="193" t="s">
        <v>650</v>
      </c>
      <c r="D448" s="193">
        <v>68.673756999999995</v>
      </c>
      <c r="E448" s="193">
        <v>-149.618268</v>
      </c>
      <c r="F448" s="193">
        <v>701</v>
      </c>
      <c r="G448" s="193" t="s">
        <v>675</v>
      </c>
      <c r="H448" s="193" t="s">
        <v>650</v>
      </c>
      <c r="I448" s="193" t="s">
        <v>650</v>
      </c>
      <c r="J448" s="193" t="s">
        <v>1578</v>
      </c>
      <c r="K448" s="193" t="s">
        <v>650</v>
      </c>
      <c r="L448" s="193" t="s">
        <v>1057</v>
      </c>
      <c r="M448" s="199" t="str">
        <f t="shared" si="8"/>
        <v>View on Google Map</v>
      </c>
    </row>
    <row r="449" spans="1:13" x14ac:dyDescent="0.2">
      <c r="A449" s="193">
        <v>189</v>
      </c>
      <c r="B449" s="193" t="s">
        <v>1579</v>
      </c>
      <c r="C449" s="193" t="s">
        <v>650</v>
      </c>
      <c r="D449" s="193">
        <v>68.622</v>
      </c>
      <c r="E449" s="193">
        <v>-149.590666</v>
      </c>
      <c r="F449" s="193">
        <v>725</v>
      </c>
      <c r="G449" s="193" t="s">
        <v>675</v>
      </c>
      <c r="H449" s="193" t="s">
        <v>1580</v>
      </c>
      <c r="I449" s="193" t="s">
        <v>1581</v>
      </c>
      <c r="J449" s="193" t="s">
        <v>676</v>
      </c>
      <c r="K449" s="193" t="s">
        <v>650</v>
      </c>
      <c r="L449" s="193" t="s">
        <v>1065</v>
      </c>
      <c r="M449" s="199" t="str">
        <f t="shared" si="8"/>
        <v>View on Google Map</v>
      </c>
    </row>
    <row r="450" spans="1:13" x14ac:dyDescent="0.2">
      <c r="A450" s="193">
        <v>273</v>
      </c>
      <c r="B450" s="193" t="s">
        <v>1582</v>
      </c>
      <c r="C450" s="193" t="s">
        <v>650</v>
      </c>
      <c r="D450" s="193">
        <v>68.620166670000003</v>
      </c>
      <c r="E450" s="193">
        <v>-149.56816599999999</v>
      </c>
      <c r="F450" s="193">
        <v>739</v>
      </c>
      <c r="G450" s="193" t="s">
        <v>675</v>
      </c>
      <c r="H450" s="193" t="s">
        <v>1583</v>
      </c>
      <c r="I450" s="193" t="s">
        <v>1584</v>
      </c>
      <c r="J450" s="193" t="s">
        <v>676</v>
      </c>
      <c r="K450" s="193" t="s">
        <v>650</v>
      </c>
      <c r="L450" s="193" t="s">
        <v>1065</v>
      </c>
      <c r="M450" s="199" t="str">
        <f t="shared" si="8"/>
        <v>View on Google Map</v>
      </c>
    </row>
    <row r="451" spans="1:13" x14ac:dyDescent="0.2">
      <c r="A451" s="193">
        <v>1175</v>
      </c>
      <c r="B451" s="193" t="s">
        <v>1585</v>
      </c>
      <c r="C451" s="193" t="s">
        <v>650</v>
      </c>
      <c r="D451" s="193">
        <v>68.951925000000003</v>
      </c>
      <c r="E451" s="193">
        <v>-150.20976669999999</v>
      </c>
      <c r="F451" s="193" t="s">
        <v>650</v>
      </c>
      <c r="G451" s="193" t="s">
        <v>675</v>
      </c>
      <c r="H451" s="193" t="s">
        <v>650</v>
      </c>
      <c r="I451" s="193" t="s">
        <v>650</v>
      </c>
      <c r="J451" s="193" t="s">
        <v>1205</v>
      </c>
      <c r="K451" s="193" t="s">
        <v>650</v>
      </c>
      <c r="L451" s="193" t="s">
        <v>650</v>
      </c>
      <c r="M451" s="199" t="str">
        <f t="shared" ref="M451:M514" si="10">HYPERLINK("http://maps.google.com/maps?q="&amp;D451&amp;","&amp;E451,"View on Google Map")</f>
        <v>View on Google Map</v>
      </c>
    </row>
    <row r="452" spans="1:13" x14ac:dyDescent="0.2">
      <c r="A452" s="193">
        <v>103</v>
      </c>
      <c r="B452" s="193" t="s">
        <v>1586</v>
      </c>
      <c r="C452" s="193" t="s">
        <v>650</v>
      </c>
      <c r="D452" s="193">
        <v>68.639893935800004</v>
      </c>
      <c r="E452" s="193">
        <v>-149.606965643</v>
      </c>
      <c r="F452" s="193">
        <v>731</v>
      </c>
      <c r="G452" s="193" t="s">
        <v>661</v>
      </c>
      <c r="H452" s="193" t="s">
        <v>1587</v>
      </c>
      <c r="I452" s="193" t="s">
        <v>1588</v>
      </c>
      <c r="J452" s="193" t="s">
        <v>676</v>
      </c>
      <c r="K452" s="193" t="s">
        <v>650</v>
      </c>
      <c r="L452" s="193" t="s">
        <v>650</v>
      </c>
      <c r="M452" s="199" t="str">
        <f t="shared" si="10"/>
        <v>View on Google Map</v>
      </c>
    </row>
    <row r="453" spans="1:13" x14ac:dyDescent="0.2">
      <c r="A453" s="193">
        <v>104</v>
      </c>
      <c r="B453" s="193" t="s">
        <v>1589</v>
      </c>
      <c r="C453" s="193" t="s">
        <v>650</v>
      </c>
      <c r="D453" s="193">
        <v>68.640947234500004</v>
      </c>
      <c r="E453" s="193">
        <v>-149.625086307</v>
      </c>
      <c r="F453" s="193">
        <v>724</v>
      </c>
      <c r="G453" s="193" t="s">
        <v>661</v>
      </c>
      <c r="H453" s="193" t="s">
        <v>1590</v>
      </c>
      <c r="I453" s="193" t="s">
        <v>1591</v>
      </c>
      <c r="J453" s="193" t="s">
        <v>676</v>
      </c>
      <c r="K453" s="193" t="s">
        <v>650</v>
      </c>
      <c r="L453" s="193" t="s">
        <v>650</v>
      </c>
      <c r="M453" s="199" t="str">
        <f t="shared" si="10"/>
        <v>View on Google Map</v>
      </c>
    </row>
    <row r="454" spans="1:13" x14ac:dyDescent="0.2">
      <c r="A454" s="193">
        <v>105</v>
      </c>
      <c r="B454" s="193" t="s">
        <v>1592</v>
      </c>
      <c r="C454" s="193" t="s">
        <v>650</v>
      </c>
      <c r="D454" s="193">
        <v>68.642385337299999</v>
      </c>
      <c r="E454" s="193">
        <v>-149.630769851</v>
      </c>
      <c r="F454" s="193" t="s">
        <v>650</v>
      </c>
      <c r="G454" s="193" t="s">
        <v>661</v>
      </c>
      <c r="H454" s="193" t="s">
        <v>1593</v>
      </c>
      <c r="I454" s="193" t="s">
        <v>650</v>
      </c>
      <c r="J454" s="193" t="s">
        <v>676</v>
      </c>
      <c r="K454" s="193" t="s">
        <v>650</v>
      </c>
      <c r="L454" s="193" t="s">
        <v>650</v>
      </c>
      <c r="M454" s="199" t="str">
        <f t="shared" si="10"/>
        <v>View on Google Map</v>
      </c>
    </row>
    <row r="455" spans="1:13" x14ac:dyDescent="0.2">
      <c r="A455" s="193">
        <v>245</v>
      </c>
      <c r="B455" s="193" t="s">
        <v>1594</v>
      </c>
      <c r="C455" s="193" t="s">
        <v>650</v>
      </c>
      <c r="D455" s="193">
        <v>68.645120702900002</v>
      </c>
      <c r="E455" s="193">
        <v>-149.64028014900001</v>
      </c>
      <c r="F455" s="193" t="s">
        <v>650</v>
      </c>
      <c r="G455" s="193" t="s">
        <v>661</v>
      </c>
      <c r="H455" s="193" t="s">
        <v>1595</v>
      </c>
      <c r="I455" s="193" t="s">
        <v>650</v>
      </c>
      <c r="J455" s="193" t="s">
        <v>676</v>
      </c>
      <c r="K455" s="193" t="s">
        <v>650</v>
      </c>
      <c r="L455" s="193" t="s">
        <v>650</v>
      </c>
      <c r="M455" s="199" t="str">
        <f t="shared" si="10"/>
        <v>View on Google Map</v>
      </c>
    </row>
    <row r="456" spans="1:13" x14ac:dyDescent="0.2">
      <c r="A456" s="193">
        <v>240</v>
      </c>
      <c r="B456" s="193" t="s">
        <v>1596</v>
      </c>
      <c r="C456" s="193" t="s">
        <v>650</v>
      </c>
      <c r="D456" s="193">
        <v>68.645428204500007</v>
      </c>
      <c r="E456" s="193">
        <v>-149.62885531000001</v>
      </c>
      <c r="F456" s="193" t="s">
        <v>650</v>
      </c>
      <c r="G456" s="193" t="s">
        <v>661</v>
      </c>
      <c r="H456" s="193" t="s">
        <v>1597</v>
      </c>
      <c r="I456" s="193" t="s">
        <v>650</v>
      </c>
      <c r="J456" s="193" t="s">
        <v>676</v>
      </c>
      <c r="K456" s="193" t="s">
        <v>650</v>
      </c>
      <c r="L456" s="193" t="s">
        <v>650</v>
      </c>
      <c r="M456" s="199" t="str">
        <f t="shared" si="10"/>
        <v>View on Google Map</v>
      </c>
    </row>
    <row r="457" spans="1:13" x14ac:dyDescent="0.2">
      <c r="A457" s="193">
        <v>508</v>
      </c>
      <c r="B457" s="193" t="s">
        <v>1598</v>
      </c>
      <c r="C457" s="193" t="s">
        <v>660</v>
      </c>
      <c r="D457" s="193">
        <v>68.396288999999996</v>
      </c>
      <c r="E457" s="193">
        <v>-150.58781500000001</v>
      </c>
      <c r="F457" s="193">
        <v>841</v>
      </c>
      <c r="G457" s="193" t="s">
        <v>661</v>
      </c>
      <c r="H457" s="193" t="s">
        <v>663</v>
      </c>
      <c r="I457" s="193" t="s">
        <v>650</v>
      </c>
      <c r="J457" s="193" t="s">
        <v>662</v>
      </c>
      <c r="K457" s="193" t="s">
        <v>650</v>
      </c>
      <c r="L457" s="193" t="s">
        <v>663</v>
      </c>
      <c r="M457" s="199" t="str">
        <f t="shared" si="10"/>
        <v>View on Google Map</v>
      </c>
    </row>
    <row r="458" spans="1:13" x14ac:dyDescent="0.2">
      <c r="A458" s="193">
        <v>513</v>
      </c>
      <c r="B458" s="193" t="s">
        <v>1599</v>
      </c>
      <c r="C458" s="193" t="s">
        <v>660</v>
      </c>
      <c r="D458" s="193">
        <v>68.362488999999997</v>
      </c>
      <c r="E458" s="193">
        <v>-151.70717300000001</v>
      </c>
      <c r="F458" s="193">
        <v>792</v>
      </c>
      <c r="G458" s="193" t="s">
        <v>661</v>
      </c>
      <c r="H458" s="193" t="s">
        <v>650</v>
      </c>
      <c r="I458" s="193" t="s">
        <v>650</v>
      </c>
      <c r="J458" s="193" t="s">
        <v>662</v>
      </c>
      <c r="K458" s="193" t="s">
        <v>650</v>
      </c>
      <c r="L458" s="193" t="s">
        <v>663</v>
      </c>
      <c r="M458" s="199" t="str">
        <f t="shared" si="10"/>
        <v>View on Google Map</v>
      </c>
    </row>
    <row r="459" spans="1:13" x14ac:dyDescent="0.2">
      <c r="A459" s="193">
        <v>512</v>
      </c>
      <c r="B459" s="193" t="s">
        <v>1600</v>
      </c>
      <c r="C459" s="193" t="s">
        <v>660</v>
      </c>
      <c r="D459" s="193">
        <v>68.351332999999997</v>
      </c>
      <c r="E459" s="193">
        <v>-151.702167</v>
      </c>
      <c r="F459" s="193">
        <v>789</v>
      </c>
      <c r="G459" s="193" t="s">
        <v>661</v>
      </c>
      <c r="H459" s="193" t="s">
        <v>650</v>
      </c>
      <c r="I459" s="193" t="s">
        <v>650</v>
      </c>
      <c r="J459" s="193" t="s">
        <v>662</v>
      </c>
      <c r="K459" s="193" t="s">
        <v>650</v>
      </c>
      <c r="L459" s="193" t="s">
        <v>663</v>
      </c>
      <c r="M459" s="199" t="str">
        <f t="shared" si="10"/>
        <v>View on Google Map</v>
      </c>
    </row>
    <row r="460" spans="1:13" x14ac:dyDescent="0.2">
      <c r="A460" s="193">
        <v>511</v>
      </c>
      <c r="B460" s="193" t="s">
        <v>1601</v>
      </c>
      <c r="C460" s="193" t="s">
        <v>660</v>
      </c>
      <c r="D460" s="193">
        <v>68.347333000000006</v>
      </c>
      <c r="E460" s="193">
        <v>-151.70316700000001</v>
      </c>
      <c r="F460" s="193">
        <v>798</v>
      </c>
      <c r="G460" s="193" t="s">
        <v>661</v>
      </c>
      <c r="H460" s="193" t="s">
        <v>650</v>
      </c>
      <c r="I460" s="193" t="s">
        <v>650</v>
      </c>
      <c r="J460" s="193" t="s">
        <v>662</v>
      </c>
      <c r="K460" s="193" t="s">
        <v>650</v>
      </c>
      <c r="L460" s="193" t="s">
        <v>663</v>
      </c>
      <c r="M460" s="199" t="str">
        <f t="shared" si="10"/>
        <v>View on Google Map</v>
      </c>
    </row>
    <row r="461" spans="1:13" x14ac:dyDescent="0.2">
      <c r="A461" s="193">
        <v>510</v>
      </c>
      <c r="B461" s="193" t="s">
        <v>1602</v>
      </c>
      <c r="C461" s="193" t="s">
        <v>660</v>
      </c>
      <c r="D461" s="193">
        <v>68.351332999999997</v>
      </c>
      <c r="E461" s="193">
        <v>-151.702167</v>
      </c>
      <c r="F461" s="193">
        <v>810</v>
      </c>
      <c r="G461" s="193" t="s">
        <v>661</v>
      </c>
      <c r="H461" s="193" t="s">
        <v>650</v>
      </c>
      <c r="I461" s="193" t="s">
        <v>650</v>
      </c>
      <c r="J461" s="193" t="s">
        <v>662</v>
      </c>
      <c r="K461" s="193" t="s">
        <v>650</v>
      </c>
      <c r="L461" s="193" t="s">
        <v>663</v>
      </c>
      <c r="M461" s="199" t="str">
        <f t="shared" si="10"/>
        <v>View on Google Map</v>
      </c>
    </row>
    <row r="462" spans="1:13" x14ac:dyDescent="0.2">
      <c r="A462" s="193">
        <v>233</v>
      </c>
      <c r="B462" s="193" t="s">
        <v>1603</v>
      </c>
      <c r="C462" s="193" t="s">
        <v>650</v>
      </c>
      <c r="D462" s="193">
        <v>68.643783170000006</v>
      </c>
      <c r="E462" s="193">
        <v>-149.58949436200001</v>
      </c>
      <c r="F462" s="193">
        <v>716</v>
      </c>
      <c r="G462" s="193" t="s">
        <v>661</v>
      </c>
      <c r="H462" s="193" t="s">
        <v>1604</v>
      </c>
      <c r="I462" s="193" t="s">
        <v>650</v>
      </c>
      <c r="J462" s="193" t="s">
        <v>676</v>
      </c>
      <c r="K462" s="193" t="s">
        <v>650</v>
      </c>
      <c r="L462" s="193" t="s">
        <v>650</v>
      </c>
      <c r="M462" s="199" t="str">
        <f t="shared" si="10"/>
        <v>View on Google Map</v>
      </c>
    </row>
    <row r="463" spans="1:13" x14ac:dyDescent="0.2">
      <c r="A463" s="193">
        <v>147</v>
      </c>
      <c r="B463" s="193" t="s">
        <v>1605</v>
      </c>
      <c r="C463" s="193" t="s">
        <v>650</v>
      </c>
      <c r="D463" s="193">
        <v>68.646325005500003</v>
      </c>
      <c r="E463" s="193">
        <v>-149.58272243900001</v>
      </c>
      <c r="F463" s="193">
        <v>716</v>
      </c>
      <c r="G463" s="193" t="s">
        <v>661</v>
      </c>
      <c r="H463" s="193" t="s">
        <v>1606</v>
      </c>
      <c r="I463" s="193" t="s">
        <v>650</v>
      </c>
      <c r="J463" s="193" t="s">
        <v>676</v>
      </c>
      <c r="K463" s="193" t="s">
        <v>650</v>
      </c>
      <c r="L463" s="193" t="s">
        <v>650</v>
      </c>
      <c r="M463" s="199" t="str">
        <f t="shared" si="10"/>
        <v>View on Google Map</v>
      </c>
    </row>
    <row r="464" spans="1:13" x14ac:dyDescent="0.2">
      <c r="A464" s="193">
        <v>234</v>
      </c>
      <c r="B464" s="193" t="s">
        <v>1607</v>
      </c>
      <c r="C464" s="193" t="s">
        <v>650</v>
      </c>
      <c r="D464" s="193">
        <v>68.650192520999994</v>
      </c>
      <c r="E464" s="193">
        <v>-149.58255972500001</v>
      </c>
      <c r="F464" s="193">
        <v>731</v>
      </c>
      <c r="G464" s="193" t="s">
        <v>661</v>
      </c>
      <c r="H464" s="193" t="s">
        <v>1608</v>
      </c>
      <c r="I464" s="193" t="s">
        <v>650</v>
      </c>
      <c r="J464" s="193" t="s">
        <v>676</v>
      </c>
      <c r="K464" s="193" t="s">
        <v>650</v>
      </c>
      <c r="L464" s="193" t="s">
        <v>650</v>
      </c>
      <c r="M464" s="199" t="str">
        <f t="shared" si="10"/>
        <v>View on Google Map</v>
      </c>
    </row>
    <row r="465" spans="1:13" x14ac:dyDescent="0.2">
      <c r="A465" s="193">
        <v>306</v>
      </c>
      <c r="B465" s="193" t="s">
        <v>1609</v>
      </c>
      <c r="C465" s="193" t="s">
        <v>650</v>
      </c>
      <c r="D465" s="193" t="s">
        <v>650</v>
      </c>
      <c r="E465" s="193" t="s">
        <v>650</v>
      </c>
      <c r="F465" s="193">
        <v>731</v>
      </c>
      <c r="G465" s="193" t="s">
        <v>661</v>
      </c>
      <c r="H465" s="193" t="s">
        <v>1610</v>
      </c>
      <c r="I465" s="193" t="s">
        <v>650</v>
      </c>
      <c r="J465" s="193" t="s">
        <v>676</v>
      </c>
      <c r="K465" s="193" t="s">
        <v>650</v>
      </c>
      <c r="L465" s="193" t="s">
        <v>650</v>
      </c>
      <c r="M465" s="199" t="str">
        <f t="shared" si="10"/>
        <v>View on Google Map</v>
      </c>
    </row>
    <row r="466" spans="1:13" x14ac:dyDescent="0.2">
      <c r="A466" s="193">
        <v>235</v>
      </c>
      <c r="B466" s="193" t="s">
        <v>1611</v>
      </c>
      <c r="C466" s="193" t="s">
        <v>650</v>
      </c>
      <c r="D466" s="193" t="s">
        <v>650</v>
      </c>
      <c r="E466" s="193" t="s">
        <v>650</v>
      </c>
      <c r="F466" s="193">
        <v>716</v>
      </c>
      <c r="G466" s="193" t="s">
        <v>661</v>
      </c>
      <c r="H466" s="193" t="s">
        <v>1612</v>
      </c>
      <c r="I466" s="193" t="s">
        <v>650</v>
      </c>
      <c r="J466" s="193" t="s">
        <v>676</v>
      </c>
      <c r="K466" s="193" t="s">
        <v>650</v>
      </c>
      <c r="L466" s="193" t="s">
        <v>650</v>
      </c>
      <c r="M466" s="199" t="str">
        <f t="shared" si="10"/>
        <v>View on Google Map</v>
      </c>
    </row>
    <row r="467" spans="1:13" x14ac:dyDescent="0.2">
      <c r="A467" s="193">
        <v>307</v>
      </c>
      <c r="B467" s="193" t="s">
        <v>1613</v>
      </c>
      <c r="C467" s="193" t="s">
        <v>650</v>
      </c>
      <c r="D467" s="193" t="s">
        <v>650</v>
      </c>
      <c r="E467" s="193" t="s">
        <v>650</v>
      </c>
      <c r="F467" s="193">
        <v>716</v>
      </c>
      <c r="G467" s="193" t="s">
        <v>661</v>
      </c>
      <c r="H467" s="193" t="s">
        <v>1614</v>
      </c>
      <c r="I467" s="193" t="s">
        <v>650</v>
      </c>
      <c r="J467" s="193" t="s">
        <v>676</v>
      </c>
      <c r="K467" s="193" t="s">
        <v>650</v>
      </c>
      <c r="L467" s="193" t="s">
        <v>650</v>
      </c>
      <c r="M467" s="199" t="str">
        <f t="shared" si="10"/>
        <v>View on Google Map</v>
      </c>
    </row>
    <row r="468" spans="1:13" x14ac:dyDescent="0.2">
      <c r="A468" s="193">
        <v>236</v>
      </c>
      <c r="B468" s="193" t="s">
        <v>1615</v>
      </c>
      <c r="C468" s="193" t="s">
        <v>650</v>
      </c>
      <c r="D468" s="193">
        <v>68.653572283900004</v>
      </c>
      <c r="E468" s="193">
        <v>-149.58091106399999</v>
      </c>
      <c r="F468" s="193">
        <v>731</v>
      </c>
      <c r="G468" s="193" t="s">
        <v>661</v>
      </c>
      <c r="H468" s="193" t="s">
        <v>1616</v>
      </c>
      <c r="I468" s="193" t="s">
        <v>650</v>
      </c>
      <c r="J468" s="193" t="s">
        <v>676</v>
      </c>
      <c r="K468" s="193" t="s">
        <v>650</v>
      </c>
      <c r="L468" s="193" t="s">
        <v>650</v>
      </c>
      <c r="M468" s="199" t="str">
        <f t="shared" si="10"/>
        <v>View on Google Map</v>
      </c>
    </row>
    <row r="469" spans="1:13" x14ac:dyDescent="0.2">
      <c r="A469" s="193">
        <v>308</v>
      </c>
      <c r="B469" s="193" t="s">
        <v>1617</v>
      </c>
      <c r="C469" s="193" t="s">
        <v>650</v>
      </c>
      <c r="D469" s="193">
        <v>68.652551279199997</v>
      </c>
      <c r="E469" s="193">
        <v>-149.58676006799999</v>
      </c>
      <c r="F469" s="193">
        <v>731</v>
      </c>
      <c r="G469" s="193" t="s">
        <v>661</v>
      </c>
      <c r="H469" s="193" t="s">
        <v>1618</v>
      </c>
      <c r="I469" s="193" t="s">
        <v>650</v>
      </c>
      <c r="J469" s="193" t="s">
        <v>676</v>
      </c>
      <c r="K469" s="193" t="s">
        <v>650</v>
      </c>
      <c r="L469" s="193" t="s">
        <v>650</v>
      </c>
      <c r="M469" s="199" t="str">
        <f t="shared" si="10"/>
        <v>View on Google Map</v>
      </c>
    </row>
    <row r="470" spans="1:13" x14ac:dyDescent="0.2">
      <c r="A470" s="193">
        <v>446</v>
      </c>
      <c r="B470" s="193" t="s">
        <v>1619</v>
      </c>
      <c r="C470" s="193" t="s">
        <v>650</v>
      </c>
      <c r="D470" s="193">
        <v>68.653536133599999</v>
      </c>
      <c r="E470" s="193">
        <v>-149.59622183299999</v>
      </c>
      <c r="F470" s="193">
        <v>747</v>
      </c>
      <c r="G470" s="193" t="s">
        <v>661</v>
      </c>
      <c r="H470" s="193" t="s">
        <v>1620</v>
      </c>
      <c r="I470" s="193" t="s">
        <v>650</v>
      </c>
      <c r="J470" s="193" t="s">
        <v>676</v>
      </c>
      <c r="K470" s="193" t="s">
        <v>650</v>
      </c>
      <c r="L470" s="193" t="s">
        <v>650</v>
      </c>
      <c r="M470" s="199" t="str">
        <f t="shared" si="10"/>
        <v>View on Google Map</v>
      </c>
    </row>
    <row r="471" spans="1:13" x14ac:dyDescent="0.2">
      <c r="A471" s="193">
        <v>447</v>
      </c>
      <c r="B471" s="193" t="s">
        <v>1621</v>
      </c>
      <c r="C471" s="193" t="s">
        <v>650</v>
      </c>
      <c r="D471" s="193">
        <v>68.652588284900006</v>
      </c>
      <c r="E471" s="193">
        <v>-149.60764069300001</v>
      </c>
      <c r="F471" s="193" t="s">
        <v>650</v>
      </c>
      <c r="G471" s="193" t="s">
        <v>661</v>
      </c>
      <c r="H471" s="193" t="s">
        <v>1622</v>
      </c>
      <c r="I471" s="193" t="s">
        <v>650</v>
      </c>
      <c r="J471" s="193" t="s">
        <v>676</v>
      </c>
      <c r="K471" s="193" t="s">
        <v>650</v>
      </c>
      <c r="L471" s="193" t="s">
        <v>650</v>
      </c>
      <c r="M471" s="199" t="str">
        <f t="shared" si="10"/>
        <v>View on Google Map</v>
      </c>
    </row>
    <row r="472" spans="1:13" x14ac:dyDescent="0.2">
      <c r="A472" s="193">
        <v>504</v>
      </c>
      <c r="B472" s="193" t="s">
        <v>1623</v>
      </c>
      <c r="C472" s="193" t="s">
        <v>650</v>
      </c>
      <c r="D472" s="193">
        <v>68.647407723699999</v>
      </c>
      <c r="E472" s="193">
        <v>-149.60936597400001</v>
      </c>
      <c r="F472" s="193">
        <v>731</v>
      </c>
      <c r="G472" s="193" t="s">
        <v>661</v>
      </c>
      <c r="H472" s="193" t="s">
        <v>650</v>
      </c>
      <c r="I472" s="193" t="s">
        <v>650</v>
      </c>
      <c r="J472" s="193" t="s">
        <v>676</v>
      </c>
      <c r="K472" s="193" t="s">
        <v>650</v>
      </c>
      <c r="L472" s="193" t="s">
        <v>650</v>
      </c>
      <c r="M472" s="199" t="str">
        <f t="shared" si="10"/>
        <v>View on Google Map</v>
      </c>
    </row>
    <row r="473" spans="1:13" x14ac:dyDescent="0.2">
      <c r="A473" s="193">
        <v>108</v>
      </c>
      <c r="B473" s="193" t="s">
        <v>1624</v>
      </c>
      <c r="C473" s="193" t="s">
        <v>650</v>
      </c>
      <c r="D473" s="193">
        <v>68.650000000000006</v>
      </c>
      <c r="E473" s="193">
        <v>-149.61666666666667</v>
      </c>
      <c r="F473" s="193">
        <v>699</v>
      </c>
      <c r="G473" s="193" t="s">
        <v>661</v>
      </c>
      <c r="H473" s="193" t="s">
        <v>1625</v>
      </c>
      <c r="I473" s="193" t="s">
        <v>650</v>
      </c>
      <c r="J473" s="193" t="s">
        <v>676</v>
      </c>
      <c r="K473" s="193" t="s">
        <v>650</v>
      </c>
      <c r="L473" s="193" t="s">
        <v>650</v>
      </c>
      <c r="M473" s="199" t="str">
        <f t="shared" si="10"/>
        <v>View on Google Map</v>
      </c>
    </row>
    <row r="474" spans="1:13" x14ac:dyDescent="0.2">
      <c r="A474" s="193">
        <v>309</v>
      </c>
      <c r="B474" s="193" t="s">
        <v>1626</v>
      </c>
      <c r="C474" s="193" t="s">
        <v>650</v>
      </c>
      <c r="D474" s="193" t="s">
        <v>650</v>
      </c>
      <c r="E474" s="193" t="s">
        <v>650</v>
      </c>
      <c r="F474" s="193" t="s">
        <v>650</v>
      </c>
      <c r="G474" s="193" t="s">
        <v>661</v>
      </c>
      <c r="H474" s="193" t="s">
        <v>1627</v>
      </c>
      <c r="I474" s="193" t="s">
        <v>650</v>
      </c>
      <c r="J474" s="193" t="s">
        <v>676</v>
      </c>
      <c r="K474" s="193" t="s">
        <v>650</v>
      </c>
      <c r="L474" s="193" t="s">
        <v>650</v>
      </c>
      <c r="M474" s="199" t="str">
        <f t="shared" si="10"/>
        <v>View on Google Map</v>
      </c>
    </row>
    <row r="475" spans="1:13" x14ac:dyDescent="0.2">
      <c r="A475" s="193">
        <v>109</v>
      </c>
      <c r="B475" s="193" t="s">
        <v>1628</v>
      </c>
      <c r="C475" s="193" t="s">
        <v>650</v>
      </c>
      <c r="D475" s="193">
        <v>68.683333333333337</v>
      </c>
      <c r="E475" s="193">
        <v>-149.61666666666667</v>
      </c>
      <c r="F475" s="193">
        <v>701</v>
      </c>
      <c r="G475" s="193" t="s">
        <v>661</v>
      </c>
      <c r="H475" s="193" t="s">
        <v>1629</v>
      </c>
      <c r="I475" s="193" t="s">
        <v>650</v>
      </c>
      <c r="J475" s="193" t="s">
        <v>676</v>
      </c>
      <c r="K475" s="193" t="s">
        <v>650</v>
      </c>
      <c r="L475" s="193" t="s">
        <v>650</v>
      </c>
      <c r="M475" s="199" t="str">
        <f t="shared" si="10"/>
        <v>View on Google Map</v>
      </c>
    </row>
    <row r="476" spans="1:13" x14ac:dyDescent="0.2">
      <c r="A476" s="193">
        <v>497</v>
      </c>
      <c r="B476" s="193" t="s">
        <v>1630</v>
      </c>
      <c r="C476" s="193" t="s">
        <v>1631</v>
      </c>
      <c r="D476" s="193">
        <v>68.674931999999998</v>
      </c>
      <c r="E476" s="193">
        <v>-149.625439</v>
      </c>
      <c r="F476" s="193">
        <v>701</v>
      </c>
      <c r="G476" s="193" t="s">
        <v>661</v>
      </c>
      <c r="H476" s="193" t="s">
        <v>650</v>
      </c>
      <c r="I476" s="193" t="s">
        <v>650</v>
      </c>
      <c r="J476" s="193" t="s">
        <v>1578</v>
      </c>
      <c r="K476" s="193" t="s">
        <v>650</v>
      </c>
      <c r="L476" s="193" t="s">
        <v>1057</v>
      </c>
      <c r="M476" s="199" t="str">
        <f t="shared" si="10"/>
        <v>View on Google Map</v>
      </c>
    </row>
    <row r="477" spans="1:13" x14ac:dyDescent="0.2">
      <c r="A477" s="193">
        <v>498</v>
      </c>
      <c r="B477" s="193" t="s">
        <v>1632</v>
      </c>
      <c r="C477" s="193" t="s">
        <v>650</v>
      </c>
      <c r="D477" s="193">
        <v>68.677723</v>
      </c>
      <c r="E477" s="193">
        <v>-149.62402800000001</v>
      </c>
      <c r="F477" s="193">
        <v>701</v>
      </c>
      <c r="G477" s="193" t="s">
        <v>675</v>
      </c>
      <c r="H477" s="193" t="s">
        <v>650</v>
      </c>
      <c r="I477" s="193" t="s">
        <v>650</v>
      </c>
      <c r="J477" s="193" t="s">
        <v>1578</v>
      </c>
      <c r="K477" s="193" t="s">
        <v>650</v>
      </c>
      <c r="L477" s="193" t="s">
        <v>1057</v>
      </c>
      <c r="M477" s="199" t="str">
        <f t="shared" si="10"/>
        <v>View on Google Map</v>
      </c>
    </row>
    <row r="478" spans="1:13" x14ac:dyDescent="0.2">
      <c r="A478" s="193">
        <v>495</v>
      </c>
      <c r="B478" s="193" t="s">
        <v>1633</v>
      </c>
      <c r="C478" s="193" t="s">
        <v>650</v>
      </c>
      <c r="D478" s="193">
        <v>68.674121999999997</v>
      </c>
      <c r="E478" s="193">
        <v>-149.62885</v>
      </c>
      <c r="F478" s="193">
        <v>701</v>
      </c>
      <c r="G478" s="193" t="s">
        <v>675</v>
      </c>
      <c r="H478" s="193" t="s">
        <v>650</v>
      </c>
      <c r="I478" s="193" t="s">
        <v>650</v>
      </c>
      <c r="J478" s="193" t="s">
        <v>1578</v>
      </c>
      <c r="K478" s="193" t="s">
        <v>650</v>
      </c>
      <c r="L478" s="193" t="s">
        <v>1057</v>
      </c>
      <c r="M478" s="199" t="str">
        <f t="shared" si="10"/>
        <v>View on Google Map</v>
      </c>
    </row>
    <row r="479" spans="1:13" x14ac:dyDescent="0.2">
      <c r="A479" s="193">
        <v>448</v>
      </c>
      <c r="B479" s="193" t="s">
        <v>1634</v>
      </c>
      <c r="C479" s="193" t="s">
        <v>650</v>
      </c>
      <c r="D479" s="193">
        <v>68.655874034999997</v>
      </c>
      <c r="E479" s="193">
        <v>-149.58555905599999</v>
      </c>
      <c r="F479" s="193" t="s">
        <v>650</v>
      </c>
      <c r="G479" s="193" t="s">
        <v>661</v>
      </c>
      <c r="H479" s="193" t="s">
        <v>1635</v>
      </c>
      <c r="I479" s="193" t="s">
        <v>650</v>
      </c>
      <c r="J479" s="193" t="s">
        <v>676</v>
      </c>
      <c r="K479" s="193" t="s">
        <v>650</v>
      </c>
      <c r="L479" s="193" t="s">
        <v>650</v>
      </c>
      <c r="M479" s="199" t="str">
        <f t="shared" si="10"/>
        <v>View on Google Map</v>
      </c>
    </row>
    <row r="480" spans="1:13" x14ac:dyDescent="0.2">
      <c r="A480" s="193">
        <v>449</v>
      </c>
      <c r="B480" s="193" t="s">
        <v>1636</v>
      </c>
      <c r="C480" s="193" t="s">
        <v>650</v>
      </c>
      <c r="D480" s="193">
        <v>68.661045276899998</v>
      </c>
      <c r="E480" s="193">
        <v>-149.586664767</v>
      </c>
      <c r="F480" s="193" t="s">
        <v>650</v>
      </c>
      <c r="G480" s="193" t="s">
        <v>661</v>
      </c>
      <c r="H480" s="193" t="s">
        <v>1637</v>
      </c>
      <c r="I480" s="193" t="s">
        <v>650</v>
      </c>
      <c r="J480" s="193" t="s">
        <v>676</v>
      </c>
      <c r="K480" s="193" t="s">
        <v>650</v>
      </c>
      <c r="L480" s="193" t="s">
        <v>650</v>
      </c>
      <c r="M480" s="199" t="str">
        <f t="shared" si="10"/>
        <v>View on Google Map</v>
      </c>
    </row>
    <row r="481" spans="1:13" x14ac:dyDescent="0.2">
      <c r="A481" s="193">
        <v>171</v>
      </c>
      <c r="B481" s="193" t="s">
        <v>1638</v>
      </c>
      <c r="C481" s="193" t="s">
        <v>650</v>
      </c>
      <c r="D481" s="193">
        <v>68.652645483100002</v>
      </c>
      <c r="E481" s="193">
        <v>-149.59947366200001</v>
      </c>
      <c r="F481" s="193">
        <v>747</v>
      </c>
      <c r="G481" s="193" t="s">
        <v>661</v>
      </c>
      <c r="H481" s="193" t="s">
        <v>1639</v>
      </c>
      <c r="I481" s="193" t="s">
        <v>1640</v>
      </c>
      <c r="J481" s="193" t="s">
        <v>676</v>
      </c>
      <c r="K481" s="193" t="s">
        <v>650</v>
      </c>
      <c r="L481" s="193" t="s">
        <v>650</v>
      </c>
      <c r="M481" s="199" t="str">
        <f t="shared" si="10"/>
        <v>View on Google Map</v>
      </c>
    </row>
    <row r="482" spans="1:13" x14ac:dyDescent="0.2">
      <c r="A482" s="193">
        <v>499</v>
      </c>
      <c r="B482" s="193" t="s">
        <v>1641</v>
      </c>
      <c r="C482" s="193" t="s">
        <v>650</v>
      </c>
      <c r="D482" s="193">
        <v>68.829610000000002</v>
      </c>
      <c r="E482" s="193">
        <v>-149.77901</v>
      </c>
      <c r="F482" s="193">
        <v>633</v>
      </c>
      <c r="G482" s="193" t="s">
        <v>661</v>
      </c>
      <c r="H482" s="193" t="s">
        <v>1642</v>
      </c>
      <c r="I482" s="193" t="s">
        <v>1643</v>
      </c>
      <c r="J482" s="193" t="s">
        <v>662</v>
      </c>
      <c r="K482" s="193" t="s">
        <v>650</v>
      </c>
      <c r="L482" s="193" t="s">
        <v>650</v>
      </c>
      <c r="M482" s="199" t="str">
        <f t="shared" si="10"/>
        <v>View on Google Map</v>
      </c>
    </row>
    <row r="483" spans="1:13" x14ac:dyDescent="0.2">
      <c r="A483" s="193">
        <v>500</v>
      </c>
      <c r="B483" s="193" t="s">
        <v>1644</v>
      </c>
      <c r="C483" s="193" t="s">
        <v>650</v>
      </c>
      <c r="D483" s="193">
        <v>68.832999999999998</v>
      </c>
      <c r="E483" s="193">
        <v>-149.76808</v>
      </c>
      <c r="F483" s="193">
        <v>624</v>
      </c>
      <c r="G483" s="193" t="s">
        <v>661</v>
      </c>
      <c r="H483" s="193" t="s">
        <v>1645</v>
      </c>
      <c r="I483" s="193" t="s">
        <v>1646</v>
      </c>
      <c r="J483" s="193" t="s">
        <v>662</v>
      </c>
      <c r="K483" s="193" t="s">
        <v>650</v>
      </c>
      <c r="L483" s="193" t="s">
        <v>650</v>
      </c>
      <c r="M483" s="199" t="str">
        <f t="shared" si="10"/>
        <v>View on Google Map</v>
      </c>
    </row>
    <row r="484" spans="1:13" x14ac:dyDescent="0.2">
      <c r="A484" s="193">
        <v>501</v>
      </c>
      <c r="B484" s="193" t="s">
        <v>1647</v>
      </c>
      <c r="C484" s="193" t="s">
        <v>650</v>
      </c>
      <c r="D484" s="193">
        <v>68.828299999999999</v>
      </c>
      <c r="E484" s="193">
        <v>-149.76473999999999</v>
      </c>
      <c r="F484" s="193">
        <v>624</v>
      </c>
      <c r="G484" s="193" t="s">
        <v>661</v>
      </c>
      <c r="H484" s="193" t="s">
        <v>1648</v>
      </c>
      <c r="I484" s="193" t="s">
        <v>1649</v>
      </c>
      <c r="J484" s="193" t="s">
        <v>662</v>
      </c>
      <c r="K484" s="193" t="s">
        <v>650</v>
      </c>
      <c r="L484" s="193" t="s">
        <v>650</v>
      </c>
      <c r="M484" s="199" t="str">
        <f t="shared" si="10"/>
        <v>View on Google Map</v>
      </c>
    </row>
    <row r="485" spans="1:13" x14ac:dyDescent="0.2">
      <c r="A485" s="193">
        <v>502</v>
      </c>
      <c r="B485" s="193" t="s">
        <v>1650</v>
      </c>
      <c r="C485" s="193" t="s">
        <v>650</v>
      </c>
      <c r="D485" s="193">
        <v>68.826520000000002</v>
      </c>
      <c r="E485" s="193">
        <v>-149.75897000000001</v>
      </c>
      <c r="F485" s="193">
        <v>592</v>
      </c>
      <c r="G485" s="193" t="s">
        <v>661</v>
      </c>
      <c r="H485" s="193" t="s">
        <v>1651</v>
      </c>
      <c r="I485" s="193" t="s">
        <v>1652</v>
      </c>
      <c r="J485" s="193" t="s">
        <v>662</v>
      </c>
      <c r="K485" s="193" t="s">
        <v>650</v>
      </c>
      <c r="L485" s="193" t="s">
        <v>650</v>
      </c>
      <c r="M485" s="199" t="str">
        <f t="shared" si="10"/>
        <v>View on Google Map</v>
      </c>
    </row>
    <row r="486" spans="1:13" x14ac:dyDescent="0.2">
      <c r="A486" s="193">
        <v>503</v>
      </c>
      <c r="B486" s="193" t="s">
        <v>1653</v>
      </c>
      <c r="C486" s="193" t="s">
        <v>650</v>
      </c>
      <c r="D486" s="193">
        <v>68.827259999999995</v>
      </c>
      <c r="E486" s="193">
        <v>-149.75089</v>
      </c>
      <c r="F486" s="193">
        <v>592</v>
      </c>
      <c r="G486" s="193" t="s">
        <v>661</v>
      </c>
      <c r="H486" s="193" t="s">
        <v>1654</v>
      </c>
      <c r="I486" s="193" t="s">
        <v>1655</v>
      </c>
      <c r="J486" s="193" t="s">
        <v>662</v>
      </c>
      <c r="K486" s="193" t="s">
        <v>650</v>
      </c>
      <c r="L486" s="193" t="s">
        <v>650</v>
      </c>
      <c r="M486" s="199" t="str">
        <f t="shared" si="10"/>
        <v>View on Google Map</v>
      </c>
    </row>
    <row r="487" spans="1:13" x14ac:dyDescent="0.2">
      <c r="A487" s="193">
        <v>488</v>
      </c>
      <c r="B487" s="193" t="s">
        <v>1656</v>
      </c>
      <c r="C487" s="193" t="s">
        <v>650</v>
      </c>
      <c r="D487" s="193">
        <v>69.329949999999997</v>
      </c>
      <c r="E487" s="193">
        <v>-150.95275000000001</v>
      </c>
      <c r="F487" s="193">
        <v>127</v>
      </c>
      <c r="G487" s="193" t="s">
        <v>661</v>
      </c>
      <c r="H487" s="193" t="s">
        <v>650</v>
      </c>
      <c r="I487" s="193" t="s">
        <v>650</v>
      </c>
      <c r="J487" s="193" t="s">
        <v>711</v>
      </c>
      <c r="K487" s="193" t="s">
        <v>650</v>
      </c>
      <c r="L487" s="193" t="s">
        <v>658</v>
      </c>
      <c r="M487" s="199" t="str">
        <f t="shared" si="10"/>
        <v>View on Google Map</v>
      </c>
    </row>
    <row r="488" spans="1:13" x14ac:dyDescent="0.2">
      <c r="A488" s="193">
        <v>489</v>
      </c>
      <c r="B488" s="193" t="s">
        <v>1657</v>
      </c>
      <c r="C488" s="193" t="s">
        <v>650</v>
      </c>
      <c r="D488" s="193" t="s">
        <v>650</v>
      </c>
      <c r="E488" s="193" t="s">
        <v>650</v>
      </c>
      <c r="F488" s="193">
        <v>127</v>
      </c>
      <c r="G488" s="193" t="s">
        <v>675</v>
      </c>
      <c r="H488" s="193" t="s">
        <v>650</v>
      </c>
      <c r="I488" s="193" t="s">
        <v>650</v>
      </c>
      <c r="J488" s="193" t="s">
        <v>711</v>
      </c>
      <c r="K488" s="193" t="s">
        <v>650</v>
      </c>
      <c r="L488" s="193" t="s">
        <v>658</v>
      </c>
      <c r="M488" s="199" t="str">
        <f t="shared" si="10"/>
        <v>View on Google Map</v>
      </c>
    </row>
    <row r="489" spans="1:13" x14ac:dyDescent="0.2">
      <c r="A489" s="193">
        <v>490</v>
      </c>
      <c r="B489" s="193" t="s">
        <v>1658</v>
      </c>
      <c r="C489" s="193" t="s">
        <v>650</v>
      </c>
      <c r="D489" s="193" t="s">
        <v>650</v>
      </c>
      <c r="E489" s="193" t="s">
        <v>650</v>
      </c>
      <c r="F489" s="193">
        <v>127</v>
      </c>
      <c r="G489" s="193" t="s">
        <v>661</v>
      </c>
      <c r="H489" s="193" t="s">
        <v>650</v>
      </c>
      <c r="I489" s="193" t="s">
        <v>650</v>
      </c>
      <c r="J489" s="193" t="s">
        <v>711</v>
      </c>
      <c r="K489" s="193" t="s">
        <v>650</v>
      </c>
      <c r="L489" s="193" t="s">
        <v>658</v>
      </c>
      <c r="M489" s="199" t="str">
        <f t="shared" si="10"/>
        <v>View on Google Map</v>
      </c>
    </row>
    <row r="490" spans="1:13" x14ac:dyDescent="0.2">
      <c r="A490" s="193">
        <v>34</v>
      </c>
      <c r="B490" s="193" t="s">
        <v>1659</v>
      </c>
      <c r="C490" s="193" t="s">
        <v>650</v>
      </c>
      <c r="D490" s="193">
        <v>69.057400000000001</v>
      </c>
      <c r="E490" s="193">
        <v>-150.39599999999999</v>
      </c>
      <c r="F490" s="193">
        <v>274</v>
      </c>
      <c r="G490" s="193" t="s">
        <v>675</v>
      </c>
      <c r="H490" s="193" t="s">
        <v>650</v>
      </c>
      <c r="I490" s="193" t="s">
        <v>650</v>
      </c>
      <c r="J490" s="193" t="s">
        <v>711</v>
      </c>
      <c r="K490" s="193" t="s">
        <v>650</v>
      </c>
      <c r="L490" s="193" t="s">
        <v>658</v>
      </c>
      <c r="M490" s="199" t="str">
        <f t="shared" si="10"/>
        <v>View on Google Map</v>
      </c>
    </row>
    <row r="491" spans="1:13" x14ac:dyDescent="0.2">
      <c r="A491" s="193">
        <v>45</v>
      </c>
      <c r="B491" s="193" t="s">
        <v>1660</v>
      </c>
      <c r="C491" s="193" t="s">
        <v>650</v>
      </c>
      <c r="D491" s="193">
        <v>69.063298000000003</v>
      </c>
      <c r="E491" s="193">
        <v>-150.394711</v>
      </c>
      <c r="F491" s="193" t="s">
        <v>650</v>
      </c>
      <c r="G491" s="193" t="s">
        <v>675</v>
      </c>
      <c r="H491" s="193" t="s">
        <v>650</v>
      </c>
      <c r="I491" s="193" t="s">
        <v>650</v>
      </c>
      <c r="J491" s="193" t="s">
        <v>1661</v>
      </c>
      <c r="K491" s="193" t="s">
        <v>650</v>
      </c>
      <c r="L491" s="193" t="s">
        <v>658</v>
      </c>
      <c r="M491" s="199" t="str">
        <f t="shared" si="10"/>
        <v>View on Google Map</v>
      </c>
    </row>
    <row r="492" spans="1:13" x14ac:dyDescent="0.2">
      <c r="B492" s="193" t="s">
        <v>1662</v>
      </c>
      <c r="C492" s="193" t="s">
        <v>1663</v>
      </c>
      <c r="D492" s="193">
        <v>69.138333333333335</v>
      </c>
      <c r="E492" s="193">
        <v>-150.64916666666701</v>
      </c>
      <c r="G492" s="193" t="s">
        <v>669</v>
      </c>
      <c r="J492" s="193" t="s">
        <v>657</v>
      </c>
      <c r="L492" s="193" t="s">
        <v>658</v>
      </c>
      <c r="M492" s="199" t="str">
        <f t="shared" si="10"/>
        <v>View on Google Map</v>
      </c>
    </row>
    <row r="493" spans="1:13" x14ac:dyDescent="0.2">
      <c r="B493" s="193" t="s">
        <v>1664</v>
      </c>
      <c r="C493" s="193" t="s">
        <v>1047</v>
      </c>
      <c r="D493" s="193">
        <v>69.152500000000003</v>
      </c>
      <c r="E493" s="193">
        <v>-150.706111111111</v>
      </c>
      <c r="G493" s="193" t="s">
        <v>669</v>
      </c>
      <c r="J493" s="193" t="s">
        <v>657</v>
      </c>
      <c r="L493" s="193" t="s">
        <v>658</v>
      </c>
      <c r="M493" s="199" t="str">
        <f t="shared" si="10"/>
        <v>View on Google Map</v>
      </c>
    </row>
    <row r="494" spans="1:13" x14ac:dyDescent="0.2">
      <c r="A494" s="193">
        <v>35</v>
      </c>
      <c r="B494" s="193" t="s">
        <v>1665</v>
      </c>
      <c r="C494" s="193" t="s">
        <v>650</v>
      </c>
      <c r="D494" s="193">
        <v>69.063333333333333</v>
      </c>
      <c r="E494" s="193">
        <v>-150.39333333333335</v>
      </c>
      <c r="F494" s="193">
        <v>281</v>
      </c>
      <c r="G494" s="193" t="s">
        <v>675</v>
      </c>
      <c r="H494" s="193" t="s">
        <v>650</v>
      </c>
      <c r="I494" s="193" t="s">
        <v>650</v>
      </c>
      <c r="J494" s="193" t="s">
        <v>711</v>
      </c>
      <c r="K494" s="193" t="s">
        <v>650</v>
      </c>
      <c r="L494" s="193" t="s">
        <v>658</v>
      </c>
      <c r="M494" s="199" t="str">
        <f t="shared" si="10"/>
        <v>View on Google Map</v>
      </c>
    </row>
    <row r="495" spans="1:13" x14ac:dyDescent="0.2">
      <c r="A495" s="193">
        <v>161</v>
      </c>
      <c r="B495" s="193" t="s">
        <v>1666</v>
      </c>
      <c r="C495" s="193" t="s">
        <v>1667</v>
      </c>
      <c r="D495" s="193">
        <v>68.599999999999994</v>
      </c>
      <c r="E495" s="193">
        <v>-149.18333333333334</v>
      </c>
      <c r="F495" s="193">
        <v>876</v>
      </c>
      <c r="G495" s="193" t="s">
        <v>661</v>
      </c>
      <c r="H495" s="193" t="s">
        <v>1668</v>
      </c>
      <c r="I495" s="193" t="s">
        <v>650</v>
      </c>
      <c r="J495" s="193" t="s">
        <v>676</v>
      </c>
      <c r="K495" s="193" t="s">
        <v>650</v>
      </c>
      <c r="L495" s="193" t="s">
        <v>677</v>
      </c>
      <c r="M495" s="199" t="str">
        <f t="shared" si="10"/>
        <v>View on Google Map</v>
      </c>
    </row>
    <row r="496" spans="1:13" x14ac:dyDescent="0.2">
      <c r="A496" s="193">
        <v>162</v>
      </c>
      <c r="B496" s="193" t="s">
        <v>1669</v>
      </c>
      <c r="C496" s="193" t="s">
        <v>1667</v>
      </c>
      <c r="D496" s="193">
        <v>68.583333333333329</v>
      </c>
      <c r="E496" s="193">
        <v>-149.19999999999999</v>
      </c>
      <c r="F496" s="193">
        <v>892</v>
      </c>
      <c r="G496" s="193" t="s">
        <v>661</v>
      </c>
      <c r="H496" s="193" t="s">
        <v>1670</v>
      </c>
      <c r="I496" s="193" t="s">
        <v>650</v>
      </c>
      <c r="J496" s="193" t="s">
        <v>676</v>
      </c>
      <c r="K496" s="193" t="s">
        <v>650</v>
      </c>
      <c r="L496" s="193" t="s">
        <v>677</v>
      </c>
      <c r="M496" s="199" t="str">
        <f t="shared" si="10"/>
        <v>View on Google Map</v>
      </c>
    </row>
    <row r="497" spans="1:13" x14ac:dyDescent="0.2">
      <c r="A497" s="193">
        <v>163</v>
      </c>
      <c r="B497" s="193" t="s">
        <v>1671</v>
      </c>
      <c r="C497" s="193" t="s">
        <v>1667</v>
      </c>
      <c r="D497" s="193">
        <v>68.599999999999994</v>
      </c>
      <c r="E497" s="193">
        <v>-149.16666666666666</v>
      </c>
      <c r="F497" s="193">
        <v>876</v>
      </c>
      <c r="G497" s="193" t="s">
        <v>661</v>
      </c>
      <c r="H497" s="193" t="s">
        <v>1672</v>
      </c>
      <c r="I497" s="193" t="s">
        <v>650</v>
      </c>
      <c r="J497" s="193" t="s">
        <v>676</v>
      </c>
      <c r="K497" s="193" t="s">
        <v>650</v>
      </c>
      <c r="L497" s="193" t="s">
        <v>677</v>
      </c>
      <c r="M497" s="199" t="str">
        <f t="shared" si="10"/>
        <v>View on Google Map</v>
      </c>
    </row>
    <row r="498" spans="1:13" x14ac:dyDescent="0.2">
      <c r="A498" s="193">
        <v>5</v>
      </c>
      <c r="B498" s="193" t="s">
        <v>1673</v>
      </c>
      <c r="C498" s="193" t="s">
        <v>1262</v>
      </c>
      <c r="D498" s="193">
        <v>68.671486221999999</v>
      </c>
      <c r="E498" s="193">
        <v>-149.1281271</v>
      </c>
      <c r="F498" s="193">
        <v>761.75599999999997</v>
      </c>
      <c r="G498" s="193" t="s">
        <v>1187</v>
      </c>
      <c r="J498" s="110" t="s">
        <v>676</v>
      </c>
      <c r="M498" s="199" t="str">
        <f t="shared" si="10"/>
        <v>View on Google Map</v>
      </c>
    </row>
    <row r="499" spans="1:13" x14ac:dyDescent="0.2">
      <c r="A499" s="193">
        <v>5</v>
      </c>
      <c r="B499" s="193" t="s">
        <v>1674</v>
      </c>
      <c r="C499" s="193" t="s">
        <v>1262</v>
      </c>
      <c r="D499" s="193">
        <v>68.671371694000001</v>
      </c>
      <c r="E499" s="193">
        <v>-149.131155484</v>
      </c>
      <c r="F499" s="193">
        <v>763.88099999999997</v>
      </c>
      <c r="G499" s="193" t="s">
        <v>1187</v>
      </c>
      <c r="J499" s="110" t="s">
        <v>676</v>
      </c>
      <c r="M499" s="199" t="str">
        <f t="shared" si="10"/>
        <v>View on Google Map</v>
      </c>
    </row>
    <row r="500" spans="1:13" x14ac:dyDescent="0.2">
      <c r="A500" s="193">
        <v>5</v>
      </c>
      <c r="B500" s="193" t="s">
        <v>1675</v>
      </c>
      <c r="C500" s="193" t="s">
        <v>1262</v>
      </c>
      <c r="D500" s="193">
        <v>68.671018009999997</v>
      </c>
      <c r="E500" s="193">
        <v>-149.13789268599999</v>
      </c>
      <c r="F500" s="193">
        <v>764.53700000000003</v>
      </c>
      <c r="G500" s="193" t="s">
        <v>1187</v>
      </c>
      <c r="J500" s="110" t="s">
        <v>676</v>
      </c>
      <c r="M500" s="199" t="str">
        <f t="shared" si="10"/>
        <v>View on Google Map</v>
      </c>
    </row>
    <row r="501" spans="1:13" x14ac:dyDescent="0.2">
      <c r="A501" s="193">
        <v>5</v>
      </c>
      <c r="B501" s="193" t="s">
        <v>1676</v>
      </c>
      <c r="C501" s="193" t="s">
        <v>1272</v>
      </c>
      <c r="D501" s="193">
        <v>68.677193270000004</v>
      </c>
      <c r="E501" s="193">
        <v>-149.121792258</v>
      </c>
      <c r="F501" s="193">
        <v>763.74300000000005</v>
      </c>
      <c r="G501" s="193" t="s">
        <v>1187</v>
      </c>
      <c r="J501" s="110" t="s">
        <v>676</v>
      </c>
      <c r="M501" s="199" t="str">
        <f t="shared" si="10"/>
        <v>View on Google Map</v>
      </c>
    </row>
    <row r="502" spans="1:13" x14ac:dyDescent="0.2">
      <c r="A502" s="193">
        <v>5</v>
      </c>
      <c r="B502" s="193" t="s">
        <v>1677</v>
      </c>
      <c r="C502" s="193" t="s">
        <v>1272</v>
      </c>
      <c r="D502" s="193">
        <v>68.679780992000005</v>
      </c>
      <c r="E502" s="193">
        <v>-149.114206438</v>
      </c>
      <c r="F502" s="193">
        <v>762.678</v>
      </c>
      <c r="G502" s="193" t="s">
        <v>1187</v>
      </c>
      <c r="J502" s="110" t="s">
        <v>676</v>
      </c>
      <c r="M502" s="199" t="str">
        <f t="shared" si="10"/>
        <v>View on Google Map</v>
      </c>
    </row>
    <row r="503" spans="1:13" x14ac:dyDescent="0.2">
      <c r="A503" s="193">
        <v>5</v>
      </c>
      <c r="B503" s="193" t="s">
        <v>1678</v>
      </c>
      <c r="C503" s="193" t="s">
        <v>674</v>
      </c>
      <c r="D503" s="193">
        <v>68.687399999999997</v>
      </c>
      <c r="E503" s="193">
        <v>-149.095</v>
      </c>
      <c r="F503" s="193">
        <v>754</v>
      </c>
      <c r="G503" s="193" t="s">
        <v>675</v>
      </c>
      <c r="H503" s="193" t="s">
        <v>1679</v>
      </c>
      <c r="I503" s="193" t="s">
        <v>1680</v>
      </c>
      <c r="J503" s="193" t="s">
        <v>676</v>
      </c>
      <c r="K503" s="193" t="s">
        <v>650</v>
      </c>
      <c r="L503" s="193" t="s">
        <v>677</v>
      </c>
      <c r="M503" s="199" t="str">
        <f t="shared" si="10"/>
        <v>View on Google Map</v>
      </c>
    </row>
    <row r="504" spans="1:13" x14ac:dyDescent="0.2">
      <c r="A504" s="193">
        <v>5</v>
      </c>
      <c r="B504" s="193" t="s">
        <v>1681</v>
      </c>
      <c r="C504" s="193" t="s">
        <v>1292</v>
      </c>
      <c r="D504" s="193">
        <v>68.672870447999998</v>
      </c>
      <c r="E504" s="193">
        <v>-149.124843486</v>
      </c>
      <c r="G504" s="193" t="s">
        <v>1187</v>
      </c>
      <c r="J504" s="110" t="s">
        <v>676</v>
      </c>
      <c r="M504" s="199" t="str">
        <f t="shared" si="10"/>
        <v>View on Google Map</v>
      </c>
    </row>
    <row r="505" spans="1:13" x14ac:dyDescent="0.2">
      <c r="A505" s="193">
        <v>5</v>
      </c>
      <c r="B505" s="193" t="s">
        <v>1682</v>
      </c>
      <c r="C505" s="193" t="s">
        <v>1683</v>
      </c>
      <c r="D505" s="193">
        <v>68.686037823000007</v>
      </c>
      <c r="E505" s="193">
        <v>-149.0990032</v>
      </c>
      <c r="G505" s="193" t="s">
        <v>1187</v>
      </c>
      <c r="J505" s="110" t="s">
        <v>676</v>
      </c>
      <c r="M505" s="199" t="str">
        <f t="shared" si="10"/>
        <v>View on Google Map</v>
      </c>
    </row>
    <row r="506" spans="1:13" x14ac:dyDescent="0.2">
      <c r="A506" s="193">
        <v>491</v>
      </c>
      <c r="B506" s="193" t="s">
        <v>1684</v>
      </c>
      <c r="C506" s="193" t="s">
        <v>650</v>
      </c>
      <c r="D506" s="193">
        <v>68.941266666999994</v>
      </c>
      <c r="E506" s="193">
        <v>-150.5068</v>
      </c>
      <c r="F506" s="193">
        <v>408</v>
      </c>
      <c r="G506" s="193" t="s">
        <v>661</v>
      </c>
      <c r="H506" s="193" t="s">
        <v>1685</v>
      </c>
      <c r="I506" s="193" t="s">
        <v>650</v>
      </c>
      <c r="J506" s="193" t="s">
        <v>711</v>
      </c>
      <c r="K506" s="193" t="s">
        <v>650</v>
      </c>
      <c r="L506" s="193" t="s">
        <v>658</v>
      </c>
      <c r="M506" s="199" t="str">
        <f t="shared" si="10"/>
        <v>View on Google Map</v>
      </c>
    </row>
    <row r="507" spans="1:13" x14ac:dyDescent="0.2">
      <c r="A507" s="193">
        <v>492</v>
      </c>
      <c r="B507" s="193" t="s">
        <v>1686</v>
      </c>
      <c r="C507" s="193" t="s">
        <v>650</v>
      </c>
      <c r="D507" s="193" t="s">
        <v>650</v>
      </c>
      <c r="E507" s="193" t="s">
        <v>650</v>
      </c>
      <c r="F507" s="193">
        <v>408</v>
      </c>
      <c r="G507" s="193" t="s">
        <v>661</v>
      </c>
      <c r="H507" s="193" t="s">
        <v>1687</v>
      </c>
      <c r="I507" s="193" t="s">
        <v>650</v>
      </c>
      <c r="J507" s="193" t="s">
        <v>711</v>
      </c>
      <c r="K507" s="193" t="s">
        <v>650</v>
      </c>
      <c r="L507" s="193" t="s">
        <v>658</v>
      </c>
      <c r="M507" s="199" t="str">
        <f t="shared" si="10"/>
        <v>View on Google Map</v>
      </c>
    </row>
    <row r="508" spans="1:13" x14ac:dyDescent="0.2">
      <c r="A508" s="193">
        <v>1172</v>
      </c>
      <c r="B508" s="193" t="s">
        <v>1688</v>
      </c>
      <c r="C508" s="193" t="s">
        <v>650</v>
      </c>
      <c r="D508" s="193">
        <v>68.99666666666667</v>
      </c>
      <c r="E508" s="193">
        <v>-150.21249999999998</v>
      </c>
      <c r="F508" s="193" t="s">
        <v>650</v>
      </c>
      <c r="G508" s="193" t="s">
        <v>651</v>
      </c>
      <c r="H508" s="193" t="s">
        <v>1689</v>
      </c>
      <c r="I508" s="193" t="s">
        <v>650</v>
      </c>
      <c r="J508" s="193" t="s">
        <v>657</v>
      </c>
      <c r="K508" s="193" t="s">
        <v>650</v>
      </c>
      <c r="L508" s="193" t="s">
        <v>658</v>
      </c>
      <c r="M508" s="199" t="str">
        <f t="shared" si="10"/>
        <v>View on Google Map</v>
      </c>
    </row>
    <row r="509" spans="1:13" x14ac:dyDescent="0.2">
      <c r="A509" s="193">
        <v>493</v>
      </c>
      <c r="B509" s="193" t="s">
        <v>1690</v>
      </c>
      <c r="C509" s="193" t="s">
        <v>650</v>
      </c>
      <c r="D509" s="193">
        <v>68.974933332999996</v>
      </c>
      <c r="E509" s="193">
        <v>-150.221066667</v>
      </c>
      <c r="F509" s="193">
        <v>364</v>
      </c>
      <c r="G509" s="193" t="s">
        <v>661</v>
      </c>
      <c r="H509" s="193" t="s">
        <v>650</v>
      </c>
      <c r="I509" s="193" t="s">
        <v>650</v>
      </c>
      <c r="J509" s="193" t="s">
        <v>711</v>
      </c>
      <c r="K509" s="193" t="s">
        <v>650</v>
      </c>
      <c r="L509" s="193" t="s">
        <v>658</v>
      </c>
      <c r="M509" s="199" t="str">
        <f t="shared" si="10"/>
        <v>View on Google Map</v>
      </c>
    </row>
    <row r="510" spans="1:13" x14ac:dyDescent="0.2">
      <c r="A510" s="193">
        <v>405</v>
      </c>
      <c r="B510" s="193" t="s">
        <v>1691</v>
      </c>
      <c r="C510" s="193" t="s">
        <v>650</v>
      </c>
      <c r="D510" s="193" t="s">
        <v>650</v>
      </c>
      <c r="E510" s="193" t="s">
        <v>650</v>
      </c>
      <c r="F510" s="193" t="s">
        <v>650</v>
      </c>
      <c r="G510" s="193" t="s">
        <v>661</v>
      </c>
      <c r="H510" s="193" t="s">
        <v>650</v>
      </c>
      <c r="I510" s="193" t="s">
        <v>650</v>
      </c>
      <c r="J510" s="193" t="s">
        <v>676</v>
      </c>
      <c r="K510" s="193" t="s">
        <v>650</v>
      </c>
      <c r="L510" s="193" t="s">
        <v>832</v>
      </c>
      <c r="M510" s="199" t="str">
        <f t="shared" si="10"/>
        <v>View on Google Map</v>
      </c>
    </row>
    <row r="511" spans="1:13" x14ac:dyDescent="0.2">
      <c r="A511" s="193">
        <v>505</v>
      </c>
      <c r="B511" s="193" t="s">
        <v>1692</v>
      </c>
      <c r="C511" s="193" t="s">
        <v>650</v>
      </c>
      <c r="D511" s="193">
        <v>68.921059</v>
      </c>
      <c r="E511" s="193">
        <v>-150.34784300000001</v>
      </c>
      <c r="F511" s="193" t="s">
        <v>650</v>
      </c>
      <c r="G511" s="193" t="s">
        <v>661</v>
      </c>
      <c r="H511" s="193" t="s">
        <v>650</v>
      </c>
      <c r="I511" s="193" t="s">
        <v>650</v>
      </c>
      <c r="J511" s="193" t="s">
        <v>711</v>
      </c>
      <c r="K511" s="193" t="s">
        <v>650</v>
      </c>
      <c r="L511" s="193" t="s">
        <v>658</v>
      </c>
      <c r="M511" s="199" t="str">
        <f t="shared" si="10"/>
        <v>View on Google Map</v>
      </c>
    </row>
    <row r="512" spans="1:13" x14ac:dyDescent="0.2">
      <c r="A512" s="193">
        <v>506</v>
      </c>
      <c r="B512" s="193" t="s">
        <v>1693</v>
      </c>
      <c r="C512" s="193" t="s">
        <v>650</v>
      </c>
      <c r="D512" s="193">
        <v>68.921186000000006</v>
      </c>
      <c r="E512" s="193">
        <v>-150.37015</v>
      </c>
      <c r="F512" s="193" t="s">
        <v>650</v>
      </c>
      <c r="G512" s="193" t="s">
        <v>661</v>
      </c>
      <c r="H512" s="193" t="s">
        <v>650</v>
      </c>
      <c r="I512" s="193" t="s">
        <v>650</v>
      </c>
      <c r="J512" s="193" t="s">
        <v>711</v>
      </c>
      <c r="K512" s="193" t="s">
        <v>650</v>
      </c>
      <c r="L512" s="193" t="s">
        <v>658</v>
      </c>
      <c r="M512" s="199" t="str">
        <f t="shared" si="10"/>
        <v>View on Google Map</v>
      </c>
    </row>
    <row r="513" spans="1:13" x14ac:dyDescent="0.2">
      <c r="A513" s="193">
        <v>507</v>
      </c>
      <c r="B513" s="193" t="s">
        <v>1694</v>
      </c>
      <c r="C513" s="193" t="s">
        <v>650</v>
      </c>
      <c r="D513" s="193">
        <v>68.936953000000003</v>
      </c>
      <c r="E513" s="193">
        <v>-150.35309699999999</v>
      </c>
      <c r="F513" s="193" t="s">
        <v>650</v>
      </c>
      <c r="G513" s="193" t="s">
        <v>661</v>
      </c>
      <c r="H513" s="193" t="s">
        <v>650</v>
      </c>
      <c r="I513" s="193" t="s">
        <v>650</v>
      </c>
      <c r="J513" s="193" t="s">
        <v>711</v>
      </c>
      <c r="K513" s="193" t="s">
        <v>650</v>
      </c>
      <c r="L513" s="193" t="s">
        <v>658</v>
      </c>
      <c r="M513" s="199" t="str">
        <f t="shared" si="10"/>
        <v>View on Google Map</v>
      </c>
    </row>
    <row r="514" spans="1:13" x14ac:dyDescent="0.2">
      <c r="A514" s="193">
        <v>12</v>
      </c>
      <c r="B514" s="193" t="s">
        <v>1695</v>
      </c>
      <c r="C514" s="193" t="s">
        <v>650</v>
      </c>
      <c r="D514" s="193" t="s">
        <v>650</v>
      </c>
      <c r="E514" s="193" t="s">
        <v>650</v>
      </c>
      <c r="F514" s="193" t="s">
        <v>650</v>
      </c>
      <c r="G514" s="193" t="s">
        <v>675</v>
      </c>
      <c r="H514" s="193" t="s">
        <v>650</v>
      </c>
      <c r="I514" s="193" t="s">
        <v>650</v>
      </c>
      <c r="J514" s="193" t="s">
        <v>676</v>
      </c>
      <c r="K514" s="193" t="s">
        <v>650</v>
      </c>
      <c r="L514" s="193" t="s">
        <v>650</v>
      </c>
      <c r="M514" s="199" t="str">
        <f t="shared" si="10"/>
        <v>View on Google Map</v>
      </c>
    </row>
    <row r="515" spans="1:13" x14ac:dyDescent="0.2">
      <c r="A515" s="193">
        <v>4</v>
      </c>
      <c r="B515" s="193" t="s">
        <v>1696</v>
      </c>
      <c r="C515" s="193" t="s">
        <v>674</v>
      </c>
      <c r="D515" s="193">
        <v>68.38333333333334</v>
      </c>
      <c r="E515" s="193">
        <v>-149.31666666666666</v>
      </c>
      <c r="F515" s="193">
        <v>869</v>
      </c>
      <c r="G515" s="193" t="s">
        <v>675</v>
      </c>
      <c r="H515" s="193" t="s">
        <v>1697</v>
      </c>
      <c r="I515" s="193" t="s">
        <v>1698</v>
      </c>
      <c r="J515" s="193" t="s">
        <v>676</v>
      </c>
      <c r="K515" s="193" t="s">
        <v>650</v>
      </c>
      <c r="L515" s="193" t="s">
        <v>677</v>
      </c>
      <c r="M515" s="199" t="str">
        <f t="shared" ref="M515:M578" si="11">HYPERLINK("http://maps.google.com/maps?q="&amp;D515&amp;","&amp;E515,"View on Google Map")</f>
        <v>View on Google Map</v>
      </c>
    </row>
    <row r="516" spans="1:13" x14ac:dyDescent="0.2">
      <c r="A516" s="193">
        <v>148</v>
      </c>
      <c r="B516" s="193" t="s">
        <v>1699</v>
      </c>
      <c r="C516" s="193" t="s">
        <v>650</v>
      </c>
      <c r="D516" s="193">
        <v>68.624535966600007</v>
      </c>
      <c r="E516" s="193">
        <v>-149.60216609099999</v>
      </c>
      <c r="F516" s="193">
        <v>720</v>
      </c>
      <c r="G516" s="193" t="s">
        <v>661</v>
      </c>
      <c r="H516" s="193" t="s">
        <v>650</v>
      </c>
      <c r="I516" s="193" t="s">
        <v>650</v>
      </c>
      <c r="J516" s="193" t="s">
        <v>676</v>
      </c>
      <c r="K516" s="193" t="s">
        <v>650</v>
      </c>
      <c r="L516" s="193" t="s">
        <v>650</v>
      </c>
      <c r="M516" s="199" t="str">
        <f t="shared" si="11"/>
        <v>View on Google Map</v>
      </c>
    </row>
    <row r="517" spans="1:13" x14ac:dyDescent="0.2">
      <c r="A517" s="193">
        <v>241</v>
      </c>
      <c r="B517" s="193" t="s">
        <v>1699</v>
      </c>
      <c r="C517" s="193" t="s">
        <v>650</v>
      </c>
      <c r="D517" s="193">
        <v>68.624535966600007</v>
      </c>
      <c r="E517" s="193">
        <v>-149.60216609099999</v>
      </c>
      <c r="F517" s="193" t="s">
        <v>650</v>
      </c>
      <c r="G517" s="193" t="s">
        <v>661</v>
      </c>
      <c r="H517" s="193" t="s">
        <v>650</v>
      </c>
      <c r="I517" s="193" t="s">
        <v>650</v>
      </c>
      <c r="J517" s="193" t="s">
        <v>676</v>
      </c>
      <c r="K517" s="193" t="s">
        <v>650</v>
      </c>
      <c r="L517" s="193" t="s">
        <v>650</v>
      </c>
      <c r="M517" s="199" t="str">
        <f t="shared" si="11"/>
        <v>View on Google Map</v>
      </c>
    </row>
    <row r="518" spans="1:13" x14ac:dyDescent="0.2">
      <c r="A518" s="193">
        <v>149</v>
      </c>
      <c r="B518" s="193" t="s">
        <v>1700</v>
      </c>
      <c r="C518" s="193" t="s">
        <v>650</v>
      </c>
      <c r="D518" s="193">
        <v>68.627169078600005</v>
      </c>
      <c r="E518" s="193">
        <v>-149.61135296200001</v>
      </c>
      <c r="F518" s="193">
        <v>720</v>
      </c>
      <c r="G518" s="193" t="s">
        <v>661</v>
      </c>
      <c r="H518" s="193" t="s">
        <v>650</v>
      </c>
      <c r="I518" s="193" t="s">
        <v>650</v>
      </c>
      <c r="J518" s="193" t="s">
        <v>676</v>
      </c>
      <c r="K518" s="193" t="s">
        <v>650</v>
      </c>
      <c r="L518" s="193" t="s">
        <v>650</v>
      </c>
      <c r="M518" s="199" t="str">
        <f t="shared" si="11"/>
        <v>View on Google Map</v>
      </c>
    </row>
    <row r="519" spans="1:13" x14ac:dyDescent="0.2">
      <c r="A519" s="193">
        <v>150</v>
      </c>
      <c r="B519" s="193" t="s">
        <v>1701</v>
      </c>
      <c r="C519" s="193" t="s">
        <v>650</v>
      </c>
      <c r="D519" s="193">
        <v>68.628818623300006</v>
      </c>
      <c r="E519" s="193">
        <v>-149.62482197599999</v>
      </c>
      <c r="F519" s="193">
        <v>720</v>
      </c>
      <c r="G519" s="193" t="s">
        <v>661</v>
      </c>
      <c r="H519" s="193" t="s">
        <v>650</v>
      </c>
      <c r="I519" s="193" t="s">
        <v>650</v>
      </c>
      <c r="J519" s="193" t="s">
        <v>676</v>
      </c>
      <c r="K519" s="193" t="s">
        <v>650</v>
      </c>
      <c r="L519" s="193" t="s">
        <v>650</v>
      </c>
      <c r="M519" s="199" t="str">
        <f t="shared" si="11"/>
        <v>View on Google Map</v>
      </c>
    </row>
    <row r="520" spans="1:13" x14ac:dyDescent="0.2">
      <c r="A520" s="193">
        <v>151</v>
      </c>
      <c r="B520" s="193" t="s">
        <v>1702</v>
      </c>
      <c r="C520" s="193" t="s">
        <v>650</v>
      </c>
      <c r="D520" s="193">
        <v>68.630949932700005</v>
      </c>
      <c r="E520" s="193">
        <v>-149.62993150400001</v>
      </c>
      <c r="F520" s="193" t="s">
        <v>650</v>
      </c>
      <c r="G520" s="193" t="s">
        <v>661</v>
      </c>
      <c r="H520" s="193" t="s">
        <v>650</v>
      </c>
      <c r="I520" s="193" t="s">
        <v>650</v>
      </c>
      <c r="J520" s="193" t="s">
        <v>676</v>
      </c>
      <c r="K520" s="193" t="s">
        <v>650</v>
      </c>
      <c r="L520" s="193" t="s">
        <v>650</v>
      </c>
      <c r="M520" s="199" t="str">
        <f t="shared" si="11"/>
        <v>View on Google Map</v>
      </c>
    </row>
    <row r="521" spans="1:13" x14ac:dyDescent="0.2">
      <c r="A521" s="193">
        <v>106</v>
      </c>
      <c r="B521" s="193" t="s">
        <v>1703</v>
      </c>
      <c r="C521" s="193" t="s">
        <v>650</v>
      </c>
      <c r="D521" s="193">
        <v>68.631431924799998</v>
      </c>
      <c r="E521" s="193">
        <v>-149.63669249099999</v>
      </c>
      <c r="F521" s="193">
        <v>725</v>
      </c>
      <c r="G521" s="193" t="s">
        <v>661</v>
      </c>
      <c r="H521" s="193" t="s">
        <v>1704</v>
      </c>
      <c r="I521" s="193" t="s">
        <v>650</v>
      </c>
      <c r="J521" s="193" t="s">
        <v>676</v>
      </c>
      <c r="K521" s="193" t="s">
        <v>650</v>
      </c>
      <c r="L521" s="193" t="s">
        <v>650</v>
      </c>
      <c r="M521" s="199" t="str">
        <f t="shared" si="11"/>
        <v>View on Google Map</v>
      </c>
    </row>
    <row r="522" spans="1:13" x14ac:dyDescent="0.2">
      <c r="A522" s="193">
        <v>107</v>
      </c>
      <c r="B522" s="193" t="s">
        <v>1705</v>
      </c>
      <c r="C522" s="193" t="s">
        <v>650</v>
      </c>
      <c r="D522" s="193">
        <v>68.629379781599994</v>
      </c>
      <c r="E522" s="193">
        <v>-149.64162329499999</v>
      </c>
      <c r="F522" s="193">
        <v>731</v>
      </c>
      <c r="G522" s="193" t="s">
        <v>661</v>
      </c>
      <c r="H522" s="193" t="s">
        <v>1706</v>
      </c>
      <c r="I522" s="193" t="s">
        <v>650</v>
      </c>
      <c r="J522" s="193" t="s">
        <v>676</v>
      </c>
      <c r="K522" s="193" t="s">
        <v>650</v>
      </c>
      <c r="L522" s="193" t="s">
        <v>650</v>
      </c>
      <c r="M522" s="199" t="str">
        <f t="shared" si="11"/>
        <v>View on Google Map</v>
      </c>
    </row>
    <row r="523" spans="1:13" x14ac:dyDescent="0.2">
      <c r="A523" s="193">
        <v>1603</v>
      </c>
      <c r="B523" s="193" t="s">
        <v>1707</v>
      </c>
      <c r="C523" s="193" t="s">
        <v>650</v>
      </c>
      <c r="D523" s="193" t="s">
        <v>650</v>
      </c>
      <c r="E523" s="193" t="s">
        <v>650</v>
      </c>
      <c r="F523" s="193" t="s">
        <v>650</v>
      </c>
      <c r="G523" s="193" t="s">
        <v>675</v>
      </c>
      <c r="H523" s="193" t="s">
        <v>1708</v>
      </c>
      <c r="I523" s="193" t="s">
        <v>1709</v>
      </c>
      <c r="J523" s="193" t="s">
        <v>676</v>
      </c>
      <c r="K523" s="193" t="s">
        <v>650</v>
      </c>
      <c r="L523" s="193" t="s">
        <v>650</v>
      </c>
      <c r="M523" s="199" t="str">
        <f t="shared" si="11"/>
        <v>View on Google Map</v>
      </c>
    </row>
    <row r="524" spans="1:13" x14ac:dyDescent="0.2">
      <c r="A524" s="193">
        <v>152</v>
      </c>
      <c r="B524" s="193" t="s">
        <v>1710</v>
      </c>
      <c r="C524" s="193" t="s">
        <v>650</v>
      </c>
      <c r="D524" s="193">
        <v>68.630062744699998</v>
      </c>
      <c r="E524" s="193">
        <v>-149.64444178900001</v>
      </c>
      <c r="F524" s="193">
        <v>731</v>
      </c>
      <c r="G524" s="193" t="s">
        <v>661</v>
      </c>
      <c r="H524" s="193" t="s">
        <v>650</v>
      </c>
      <c r="I524" s="193" t="s">
        <v>650</v>
      </c>
      <c r="J524" s="193" t="s">
        <v>676</v>
      </c>
      <c r="K524" s="193" t="s">
        <v>650</v>
      </c>
      <c r="L524" s="193" t="s">
        <v>650</v>
      </c>
      <c r="M524" s="199" t="str">
        <f t="shared" si="11"/>
        <v>View on Google Map</v>
      </c>
    </row>
    <row r="525" spans="1:13" x14ac:dyDescent="0.2">
      <c r="A525" s="193">
        <v>1601</v>
      </c>
      <c r="B525" s="193" t="s">
        <v>1711</v>
      </c>
      <c r="C525" s="193" t="s">
        <v>650</v>
      </c>
      <c r="D525" s="193" t="s">
        <v>650</v>
      </c>
      <c r="E525" s="193" t="s">
        <v>650</v>
      </c>
      <c r="F525" s="193" t="s">
        <v>650</v>
      </c>
      <c r="G525" s="193" t="s">
        <v>650</v>
      </c>
      <c r="H525" s="193" t="s">
        <v>1712</v>
      </c>
      <c r="I525" s="193" t="s">
        <v>1713</v>
      </c>
      <c r="J525" s="110" t="s">
        <v>676</v>
      </c>
      <c r="K525" s="193" t="s">
        <v>650</v>
      </c>
      <c r="L525" s="193" t="s">
        <v>650</v>
      </c>
      <c r="M525" s="199" t="str">
        <f t="shared" si="11"/>
        <v>View on Google Map</v>
      </c>
    </row>
    <row r="526" spans="1:13" x14ac:dyDescent="0.2">
      <c r="A526" s="193">
        <v>1602</v>
      </c>
      <c r="B526" s="193" t="s">
        <v>1714</v>
      </c>
      <c r="C526" s="193" t="s">
        <v>650</v>
      </c>
      <c r="D526" s="193" t="s">
        <v>650</v>
      </c>
      <c r="E526" s="193" t="s">
        <v>650</v>
      </c>
      <c r="F526" s="193" t="s">
        <v>650</v>
      </c>
      <c r="G526" s="193" t="s">
        <v>650</v>
      </c>
      <c r="H526" s="193" t="s">
        <v>1715</v>
      </c>
      <c r="I526" s="193" t="s">
        <v>1716</v>
      </c>
      <c r="J526" s="110" t="s">
        <v>676</v>
      </c>
      <c r="K526" s="193" t="s">
        <v>650</v>
      </c>
      <c r="L526" s="193" t="s">
        <v>650</v>
      </c>
      <c r="M526" s="199" t="str">
        <f t="shared" si="11"/>
        <v>View on Google Map</v>
      </c>
    </row>
    <row r="527" spans="1:13" x14ac:dyDescent="0.2">
      <c r="A527" s="193">
        <v>153</v>
      </c>
      <c r="B527" s="193" t="s">
        <v>1717</v>
      </c>
      <c r="C527" s="193" t="s">
        <v>650</v>
      </c>
      <c r="D527" s="193" t="s">
        <v>650</v>
      </c>
      <c r="E527" s="193" t="s">
        <v>650</v>
      </c>
      <c r="F527" s="193" t="s">
        <v>650</v>
      </c>
      <c r="G527" s="193" t="s">
        <v>661</v>
      </c>
      <c r="H527" s="193" t="s">
        <v>650</v>
      </c>
      <c r="I527" s="193" t="s">
        <v>650</v>
      </c>
      <c r="J527" s="193" t="s">
        <v>676</v>
      </c>
      <c r="K527" s="193" t="s">
        <v>650</v>
      </c>
      <c r="L527" s="193" t="s">
        <v>650</v>
      </c>
      <c r="M527" s="199" t="str">
        <f t="shared" si="11"/>
        <v>View on Google Map</v>
      </c>
    </row>
    <row r="528" spans="1:13" x14ac:dyDescent="0.2">
      <c r="A528" s="193">
        <v>154</v>
      </c>
      <c r="B528" s="193" t="s">
        <v>1718</v>
      </c>
      <c r="C528" s="193" t="s">
        <v>650</v>
      </c>
      <c r="D528" s="193" t="s">
        <v>650</v>
      </c>
      <c r="E528" s="193" t="s">
        <v>650</v>
      </c>
      <c r="F528" s="193" t="s">
        <v>650</v>
      </c>
      <c r="G528" s="193" t="s">
        <v>661</v>
      </c>
      <c r="H528" s="193" t="s">
        <v>650</v>
      </c>
      <c r="I528" s="193" t="s">
        <v>650</v>
      </c>
      <c r="J528" s="193" t="s">
        <v>676</v>
      </c>
      <c r="K528" s="193" t="s">
        <v>650</v>
      </c>
      <c r="L528" s="193" t="s">
        <v>650</v>
      </c>
      <c r="M528" s="199" t="str">
        <f t="shared" si="11"/>
        <v>View on Google Map</v>
      </c>
    </row>
    <row r="529" spans="1:13" x14ac:dyDescent="0.2">
      <c r="A529" s="193">
        <v>155</v>
      </c>
      <c r="B529" s="193" t="s">
        <v>1719</v>
      </c>
      <c r="C529" s="193" t="s">
        <v>650</v>
      </c>
      <c r="D529" s="193" t="s">
        <v>650</v>
      </c>
      <c r="E529" s="193" t="s">
        <v>650</v>
      </c>
      <c r="F529" s="193" t="s">
        <v>650</v>
      </c>
      <c r="G529" s="193" t="s">
        <v>661</v>
      </c>
      <c r="H529" s="193" t="s">
        <v>650</v>
      </c>
      <c r="I529" s="193" t="s">
        <v>650</v>
      </c>
      <c r="J529" s="193" t="s">
        <v>676</v>
      </c>
      <c r="K529" s="193" t="s">
        <v>650</v>
      </c>
      <c r="L529" s="193" t="s">
        <v>650</v>
      </c>
      <c r="M529" s="199" t="str">
        <f t="shared" si="11"/>
        <v>View on Google Map</v>
      </c>
    </row>
    <row r="530" spans="1:13" x14ac:dyDescent="0.2">
      <c r="A530" s="193">
        <v>156</v>
      </c>
      <c r="B530" s="193" t="s">
        <v>1720</v>
      </c>
      <c r="C530" s="193" t="s">
        <v>650</v>
      </c>
      <c r="D530" s="193">
        <v>68.630148048999999</v>
      </c>
      <c r="E530" s="193">
        <v>-149.65057914499999</v>
      </c>
      <c r="F530" s="193">
        <v>750</v>
      </c>
      <c r="G530" s="193" t="s">
        <v>661</v>
      </c>
      <c r="H530" s="193" t="s">
        <v>650</v>
      </c>
      <c r="I530" s="193" t="s">
        <v>650</v>
      </c>
      <c r="J530" s="193" t="s">
        <v>676</v>
      </c>
      <c r="K530" s="193" t="s">
        <v>650</v>
      </c>
      <c r="L530" s="193" t="s">
        <v>650</v>
      </c>
      <c r="M530" s="199" t="str">
        <f t="shared" si="11"/>
        <v>View on Google Map</v>
      </c>
    </row>
    <row r="531" spans="1:13" x14ac:dyDescent="0.2">
      <c r="A531" s="193">
        <v>157</v>
      </c>
      <c r="B531" s="193" t="s">
        <v>1721</v>
      </c>
      <c r="C531" s="193" t="s">
        <v>650</v>
      </c>
      <c r="D531" s="193">
        <v>68.629627802900004</v>
      </c>
      <c r="E531" s="193">
        <v>-149.655880887</v>
      </c>
      <c r="F531" s="193">
        <v>754</v>
      </c>
      <c r="G531" s="193" t="s">
        <v>661</v>
      </c>
      <c r="H531" s="193" t="s">
        <v>650</v>
      </c>
      <c r="I531" s="193" t="s">
        <v>650</v>
      </c>
      <c r="J531" s="193" t="s">
        <v>676</v>
      </c>
      <c r="K531" s="193" t="s">
        <v>650</v>
      </c>
      <c r="L531" s="193" t="s">
        <v>650</v>
      </c>
      <c r="M531" s="199" t="str">
        <f t="shared" si="11"/>
        <v>View on Google Map</v>
      </c>
    </row>
    <row r="532" spans="1:13" x14ac:dyDescent="0.2">
      <c r="A532" s="193">
        <v>158</v>
      </c>
      <c r="B532" s="193" t="s">
        <v>1722</v>
      </c>
      <c r="C532" s="193" t="s">
        <v>650</v>
      </c>
      <c r="D532" s="193">
        <v>68.631486568699998</v>
      </c>
      <c r="E532" s="193">
        <v>-149.65910231699999</v>
      </c>
      <c r="F532" s="193">
        <v>754</v>
      </c>
      <c r="G532" s="193" t="s">
        <v>661</v>
      </c>
      <c r="H532" s="193" t="s">
        <v>650</v>
      </c>
      <c r="I532" s="193" t="s">
        <v>650</v>
      </c>
      <c r="J532" s="193" t="s">
        <v>676</v>
      </c>
      <c r="K532" s="193" t="s">
        <v>650</v>
      </c>
      <c r="L532" s="193" t="s">
        <v>650</v>
      </c>
      <c r="M532" s="199" t="str">
        <f t="shared" si="11"/>
        <v>View on Google Map</v>
      </c>
    </row>
    <row r="533" spans="1:13" x14ac:dyDescent="0.2">
      <c r="A533" s="193">
        <v>169</v>
      </c>
      <c r="B533" s="193" t="s">
        <v>1723</v>
      </c>
      <c r="C533" s="193" t="s">
        <v>650</v>
      </c>
      <c r="D533" s="193" t="s">
        <v>650</v>
      </c>
      <c r="E533" s="193" t="s">
        <v>650</v>
      </c>
      <c r="F533" s="193" t="s">
        <v>650</v>
      </c>
      <c r="G533" s="193" t="s">
        <v>661</v>
      </c>
      <c r="H533" s="193" t="s">
        <v>650</v>
      </c>
      <c r="I533" s="193" t="s">
        <v>650</v>
      </c>
      <c r="J533" s="193" t="s">
        <v>676</v>
      </c>
      <c r="K533" s="193" t="s">
        <v>650</v>
      </c>
      <c r="L533" s="193" t="s">
        <v>650</v>
      </c>
      <c r="M533" s="199" t="str">
        <f t="shared" si="11"/>
        <v>View on Google Map</v>
      </c>
    </row>
    <row r="534" spans="1:13" x14ac:dyDescent="0.2">
      <c r="A534" s="193">
        <v>170</v>
      </c>
      <c r="B534" s="193" t="s">
        <v>1724</v>
      </c>
      <c r="C534" s="193" t="s">
        <v>650</v>
      </c>
      <c r="D534" s="193" t="s">
        <v>650</v>
      </c>
      <c r="E534" s="193" t="s">
        <v>650</v>
      </c>
      <c r="F534" s="193" t="s">
        <v>650</v>
      </c>
      <c r="G534" s="193" t="s">
        <v>661</v>
      </c>
      <c r="H534" s="193" t="s">
        <v>650</v>
      </c>
      <c r="I534" s="193" t="s">
        <v>650</v>
      </c>
      <c r="J534" s="193" t="s">
        <v>676</v>
      </c>
      <c r="K534" s="193" t="s">
        <v>650</v>
      </c>
      <c r="L534" s="193" t="s">
        <v>650</v>
      </c>
      <c r="M534" s="199" t="str">
        <f t="shared" si="11"/>
        <v>View on Google Map</v>
      </c>
    </row>
    <row r="535" spans="1:13" x14ac:dyDescent="0.2">
      <c r="A535" s="193">
        <v>136</v>
      </c>
      <c r="B535" s="193" t="s">
        <v>1725</v>
      </c>
      <c r="C535" s="193" t="s">
        <v>650</v>
      </c>
      <c r="D535" s="193">
        <v>70.233333333333334</v>
      </c>
      <c r="E535" s="193">
        <v>-148.25</v>
      </c>
      <c r="F535" s="193">
        <v>10</v>
      </c>
      <c r="G535" s="193" t="s">
        <v>661</v>
      </c>
      <c r="H535" s="193" t="s">
        <v>1726</v>
      </c>
      <c r="I535" s="193" t="s">
        <v>650</v>
      </c>
      <c r="J535" s="193" t="s">
        <v>676</v>
      </c>
      <c r="K535" s="193" t="s">
        <v>650</v>
      </c>
      <c r="L535" s="193" t="s">
        <v>677</v>
      </c>
      <c r="M535" s="199" t="str">
        <f t="shared" si="11"/>
        <v>View on Google Map</v>
      </c>
    </row>
    <row r="536" spans="1:13" x14ac:dyDescent="0.2">
      <c r="A536" s="193">
        <v>6</v>
      </c>
      <c r="B536" s="193" t="s">
        <v>1727</v>
      </c>
      <c r="C536" s="193" t="s">
        <v>650</v>
      </c>
      <c r="D536" s="193" t="s">
        <v>650</v>
      </c>
      <c r="E536" s="193" t="s">
        <v>650</v>
      </c>
      <c r="F536" s="193">
        <v>457</v>
      </c>
      <c r="G536" s="193" t="s">
        <v>675</v>
      </c>
      <c r="H536" s="193" t="s">
        <v>1728</v>
      </c>
      <c r="I536" s="193" t="s">
        <v>1729</v>
      </c>
      <c r="J536" s="193" t="s">
        <v>676</v>
      </c>
      <c r="K536" s="193" t="s">
        <v>650</v>
      </c>
      <c r="L536" s="193" t="s">
        <v>677</v>
      </c>
      <c r="M536" s="199" t="str">
        <f t="shared" si="11"/>
        <v>View on Google Map</v>
      </c>
    </row>
    <row r="537" spans="1:13" x14ac:dyDescent="0.2">
      <c r="A537" s="193">
        <v>20</v>
      </c>
      <c r="B537" s="193" t="s">
        <v>1730</v>
      </c>
      <c r="C537" s="193" t="s">
        <v>650</v>
      </c>
      <c r="D537" s="193" t="s">
        <v>650</v>
      </c>
      <c r="E537" s="193" t="s">
        <v>650</v>
      </c>
      <c r="F537" s="193" t="s">
        <v>650</v>
      </c>
      <c r="G537" s="193" t="s">
        <v>675</v>
      </c>
      <c r="H537" s="193" t="s">
        <v>650</v>
      </c>
      <c r="I537" s="193" t="s">
        <v>650</v>
      </c>
      <c r="J537" s="193" t="s">
        <v>676</v>
      </c>
      <c r="K537" s="193" t="s">
        <v>650</v>
      </c>
      <c r="L537" s="193" t="s">
        <v>650</v>
      </c>
      <c r="M537" s="199" t="str">
        <f t="shared" si="11"/>
        <v>View on Google Map</v>
      </c>
    </row>
    <row r="538" spans="1:13" x14ac:dyDescent="0.2">
      <c r="A538" s="193">
        <v>1176</v>
      </c>
      <c r="B538" s="193" t="s">
        <v>1731</v>
      </c>
      <c r="C538" s="193" t="s">
        <v>682</v>
      </c>
      <c r="D538" s="193">
        <v>68.996418329999997</v>
      </c>
      <c r="E538" s="193">
        <v>-150.27895670000001</v>
      </c>
      <c r="F538" s="193" t="s">
        <v>650</v>
      </c>
      <c r="G538" s="193" t="s">
        <v>651</v>
      </c>
      <c r="H538" s="193" t="s">
        <v>650</v>
      </c>
      <c r="I538" s="193" t="s">
        <v>650</v>
      </c>
      <c r="J538" s="193" t="s">
        <v>657</v>
      </c>
      <c r="K538" s="193" t="s">
        <v>650</v>
      </c>
      <c r="L538" s="193" t="s">
        <v>658</v>
      </c>
      <c r="M538" s="199" t="str">
        <f t="shared" si="11"/>
        <v>View on Google Map</v>
      </c>
    </row>
    <row r="539" spans="1:13" x14ac:dyDescent="0.2">
      <c r="A539" s="193">
        <v>509</v>
      </c>
      <c r="B539" s="193" t="s">
        <v>1732</v>
      </c>
      <c r="C539" s="193" t="s">
        <v>660</v>
      </c>
      <c r="D539" s="193">
        <v>68.338126000000003</v>
      </c>
      <c r="E539" s="193">
        <v>-151.061735</v>
      </c>
      <c r="F539" s="193">
        <v>840</v>
      </c>
      <c r="G539" s="193" t="s">
        <v>661</v>
      </c>
      <c r="H539" s="193" t="s">
        <v>650</v>
      </c>
      <c r="I539" s="193" t="s">
        <v>650</v>
      </c>
      <c r="J539" s="193" t="s">
        <v>662</v>
      </c>
      <c r="K539" s="193" t="s">
        <v>650</v>
      </c>
      <c r="L539" s="193" t="s">
        <v>663</v>
      </c>
      <c r="M539" s="199" t="str">
        <f t="shared" si="11"/>
        <v>View on Google Map</v>
      </c>
    </row>
    <row r="540" spans="1:13" x14ac:dyDescent="0.2">
      <c r="A540" s="193">
        <v>36</v>
      </c>
      <c r="B540" s="193" t="s">
        <v>1733</v>
      </c>
      <c r="C540" s="193" t="s">
        <v>650</v>
      </c>
      <c r="D540" s="193">
        <v>69.233333333333334</v>
      </c>
      <c r="E540" s="193">
        <v>-150.804383333</v>
      </c>
      <c r="F540" s="193">
        <v>181.97</v>
      </c>
      <c r="G540" s="193" t="s">
        <v>675</v>
      </c>
      <c r="H540" s="193" t="s">
        <v>650</v>
      </c>
      <c r="I540" s="193" t="s">
        <v>650</v>
      </c>
      <c r="J540" s="193" t="s">
        <v>711</v>
      </c>
      <c r="K540" s="193" t="s">
        <v>650</v>
      </c>
      <c r="L540" s="193" t="s">
        <v>658</v>
      </c>
      <c r="M540" s="199" t="str">
        <f t="shared" si="11"/>
        <v>View on Google Map</v>
      </c>
    </row>
    <row r="541" spans="1:13" x14ac:dyDescent="0.2">
      <c r="A541" s="193">
        <v>37</v>
      </c>
      <c r="B541" s="193" t="s">
        <v>1734</v>
      </c>
      <c r="C541" s="193" t="s">
        <v>650</v>
      </c>
      <c r="D541" s="193">
        <v>68.289683333333329</v>
      </c>
      <c r="E541" s="193">
        <v>-150.91499999999999</v>
      </c>
      <c r="F541" s="193">
        <v>392</v>
      </c>
      <c r="G541" s="193" t="s">
        <v>675</v>
      </c>
      <c r="H541" s="193" t="s">
        <v>650</v>
      </c>
      <c r="I541" s="193" t="s">
        <v>650</v>
      </c>
      <c r="J541" s="193" t="s">
        <v>711</v>
      </c>
      <c r="K541" s="193" t="s">
        <v>650</v>
      </c>
      <c r="L541" s="193" t="s">
        <v>658</v>
      </c>
      <c r="M541" s="199" t="str">
        <f t="shared" si="11"/>
        <v>View on Google Map</v>
      </c>
    </row>
    <row r="542" spans="1:13" x14ac:dyDescent="0.2">
      <c r="A542" s="193">
        <v>130</v>
      </c>
      <c r="B542" s="193" t="s">
        <v>1735</v>
      </c>
      <c r="C542" s="193" t="s">
        <v>1736</v>
      </c>
      <c r="D542" s="193">
        <v>70.083333333333329</v>
      </c>
      <c r="E542" s="193">
        <v>-148.53333333333299</v>
      </c>
      <c r="F542" s="193">
        <v>24</v>
      </c>
      <c r="G542" s="193" t="s">
        <v>661</v>
      </c>
      <c r="H542" s="193" t="s">
        <v>1737</v>
      </c>
      <c r="I542" s="193" t="s">
        <v>650</v>
      </c>
      <c r="J542" s="193" t="s">
        <v>676</v>
      </c>
      <c r="K542" s="193" t="s">
        <v>650</v>
      </c>
      <c r="L542" s="193" t="s">
        <v>677</v>
      </c>
      <c r="M542" s="199" t="str">
        <f t="shared" si="11"/>
        <v>View on Google Map</v>
      </c>
    </row>
    <row r="543" spans="1:13" x14ac:dyDescent="0.2">
      <c r="A543" s="193">
        <v>519</v>
      </c>
      <c r="B543" s="193" t="s">
        <v>1738</v>
      </c>
      <c r="C543" s="193" t="s">
        <v>660</v>
      </c>
      <c r="D543" s="193">
        <v>68.802636000000007</v>
      </c>
      <c r="E543" s="193">
        <v>-150.78539699999999</v>
      </c>
      <c r="F543" s="193">
        <v>411</v>
      </c>
      <c r="G543" s="193" t="s">
        <v>661</v>
      </c>
      <c r="H543" s="193" t="s">
        <v>650</v>
      </c>
      <c r="I543" s="193" t="s">
        <v>650</v>
      </c>
      <c r="J543" s="193" t="s">
        <v>662</v>
      </c>
      <c r="K543" s="193" t="s">
        <v>650</v>
      </c>
      <c r="L543" s="193" t="s">
        <v>663</v>
      </c>
      <c r="M543" s="199" t="str">
        <f t="shared" si="11"/>
        <v>View on Google Map</v>
      </c>
    </row>
    <row r="544" spans="1:13" x14ac:dyDescent="0.2">
      <c r="A544" s="193">
        <v>452</v>
      </c>
      <c r="B544" s="193" t="s">
        <v>1739</v>
      </c>
      <c r="C544" s="193" t="s">
        <v>650</v>
      </c>
      <c r="D544" s="193">
        <v>68.794960000000003</v>
      </c>
      <c r="E544" s="193">
        <v>-149.04813999999999</v>
      </c>
      <c r="F544" s="193">
        <v>754</v>
      </c>
      <c r="G544" s="193" t="s">
        <v>661</v>
      </c>
      <c r="H544" s="193" t="s">
        <v>650</v>
      </c>
      <c r="I544" s="193" t="s">
        <v>650</v>
      </c>
      <c r="J544" s="193" t="s">
        <v>662</v>
      </c>
      <c r="K544" s="193" t="s">
        <v>650</v>
      </c>
      <c r="L544" s="193" t="s">
        <v>650</v>
      </c>
      <c r="M544" s="199" t="str">
        <f t="shared" si="11"/>
        <v>View on Google Map</v>
      </c>
    </row>
    <row r="545" spans="1:13" x14ac:dyDescent="0.2">
      <c r="A545" s="193">
        <v>453</v>
      </c>
      <c r="B545" s="193" t="s">
        <v>1740</v>
      </c>
      <c r="C545" s="193" t="s">
        <v>650</v>
      </c>
      <c r="D545" s="193">
        <v>68.810460000000006</v>
      </c>
      <c r="E545" s="193">
        <v>-149.05207999999999</v>
      </c>
      <c r="F545" s="193">
        <v>727</v>
      </c>
      <c r="G545" s="193" t="s">
        <v>661</v>
      </c>
      <c r="H545" s="193" t="s">
        <v>650</v>
      </c>
      <c r="I545" s="193" t="s">
        <v>650</v>
      </c>
      <c r="J545" s="193" t="s">
        <v>662</v>
      </c>
      <c r="K545" s="193" t="s">
        <v>650</v>
      </c>
      <c r="L545" s="193" t="s">
        <v>650</v>
      </c>
      <c r="M545" s="199" t="str">
        <f t="shared" si="11"/>
        <v>View on Google Map</v>
      </c>
    </row>
    <row r="546" spans="1:13" x14ac:dyDescent="0.2">
      <c r="A546" s="193">
        <v>454</v>
      </c>
      <c r="B546" s="193" t="s">
        <v>1741</v>
      </c>
      <c r="C546" s="193" t="s">
        <v>650</v>
      </c>
      <c r="D546" s="193">
        <v>68.815870000000004</v>
      </c>
      <c r="E546" s="193">
        <v>-149.06173999999999</v>
      </c>
      <c r="F546" s="193">
        <v>715</v>
      </c>
      <c r="G546" s="193" t="s">
        <v>661</v>
      </c>
      <c r="H546" s="193" t="s">
        <v>650</v>
      </c>
      <c r="I546" s="193" t="s">
        <v>650</v>
      </c>
      <c r="J546" s="193" t="s">
        <v>662</v>
      </c>
      <c r="K546" s="193" t="s">
        <v>650</v>
      </c>
      <c r="L546" s="193" t="s">
        <v>650</v>
      </c>
      <c r="M546" s="199" t="str">
        <f t="shared" si="11"/>
        <v>View on Google Map</v>
      </c>
    </row>
    <row r="547" spans="1:13" x14ac:dyDescent="0.2">
      <c r="A547" s="193">
        <v>455</v>
      </c>
      <c r="B547" s="193" t="s">
        <v>1742</v>
      </c>
      <c r="C547" s="193" t="s">
        <v>650</v>
      </c>
      <c r="D547" s="193">
        <v>68.810519999999997</v>
      </c>
      <c r="E547" s="193">
        <v>-149.06282999999999</v>
      </c>
      <c r="F547" s="193">
        <v>728</v>
      </c>
      <c r="G547" s="193" t="s">
        <v>661</v>
      </c>
      <c r="H547" s="193" t="s">
        <v>650</v>
      </c>
      <c r="I547" s="193" t="s">
        <v>650</v>
      </c>
      <c r="J547" s="193" t="s">
        <v>662</v>
      </c>
      <c r="K547" s="193" t="s">
        <v>650</v>
      </c>
      <c r="L547" s="193" t="s">
        <v>650</v>
      </c>
      <c r="M547" s="199" t="str">
        <f t="shared" si="11"/>
        <v>View on Google Map</v>
      </c>
    </row>
    <row r="548" spans="1:13" x14ac:dyDescent="0.2">
      <c r="A548" s="193">
        <v>456</v>
      </c>
      <c r="B548" s="193" t="s">
        <v>1743</v>
      </c>
      <c r="C548" s="193" t="s">
        <v>650</v>
      </c>
      <c r="D548" s="193">
        <v>68.812290000000004</v>
      </c>
      <c r="E548" s="193">
        <v>-149.06899000000001</v>
      </c>
      <c r="F548" s="193">
        <v>730</v>
      </c>
      <c r="G548" s="193" t="s">
        <v>661</v>
      </c>
      <c r="H548" s="193" t="s">
        <v>650</v>
      </c>
      <c r="I548" s="193" t="s">
        <v>650</v>
      </c>
      <c r="J548" s="193" t="s">
        <v>662</v>
      </c>
      <c r="K548" s="193" t="s">
        <v>650</v>
      </c>
      <c r="L548" s="193" t="s">
        <v>650</v>
      </c>
      <c r="M548" s="199" t="str">
        <f t="shared" si="11"/>
        <v>View on Google Map</v>
      </c>
    </row>
    <row r="549" spans="1:13" x14ac:dyDescent="0.2">
      <c r="A549" s="193">
        <v>457</v>
      </c>
      <c r="B549" s="193" t="s">
        <v>1744</v>
      </c>
      <c r="C549" s="193" t="s">
        <v>650</v>
      </c>
      <c r="D549" s="193">
        <v>68.814369999999997</v>
      </c>
      <c r="E549" s="193">
        <v>-149.06774999999999</v>
      </c>
      <c r="F549" s="193">
        <v>724</v>
      </c>
      <c r="G549" s="193" t="s">
        <v>661</v>
      </c>
      <c r="H549" s="193" t="s">
        <v>650</v>
      </c>
      <c r="I549" s="193" t="s">
        <v>650</v>
      </c>
      <c r="J549" s="193" t="s">
        <v>662</v>
      </c>
      <c r="K549" s="193" t="s">
        <v>650</v>
      </c>
      <c r="L549" s="193" t="s">
        <v>650</v>
      </c>
      <c r="M549" s="199" t="str">
        <f t="shared" si="11"/>
        <v>View on Google Map</v>
      </c>
    </row>
    <row r="550" spans="1:13" x14ac:dyDescent="0.2">
      <c r="A550" s="193">
        <v>38</v>
      </c>
      <c r="B550" s="193" t="s">
        <v>1745</v>
      </c>
      <c r="C550" s="193" t="s">
        <v>650</v>
      </c>
      <c r="D550" s="193">
        <v>69.011899999999997</v>
      </c>
      <c r="E550" s="193">
        <v>-150.30000000000001</v>
      </c>
      <c r="F550" s="193">
        <v>321</v>
      </c>
      <c r="G550" s="193" t="s">
        <v>675</v>
      </c>
      <c r="H550" s="193" t="s">
        <v>1746</v>
      </c>
      <c r="I550" s="193" t="s">
        <v>1747</v>
      </c>
      <c r="J550" s="193" t="s">
        <v>711</v>
      </c>
      <c r="K550" s="193" t="s">
        <v>650</v>
      </c>
      <c r="L550" s="193" t="s">
        <v>658</v>
      </c>
      <c r="M550" s="199" t="str">
        <f t="shared" si="11"/>
        <v>View on Google Map</v>
      </c>
    </row>
    <row r="551" spans="1:13" x14ac:dyDescent="0.2">
      <c r="A551" s="193">
        <v>1211</v>
      </c>
      <c r="B551" s="193" t="s">
        <v>1748</v>
      </c>
      <c r="C551" s="193" t="s">
        <v>834</v>
      </c>
      <c r="D551" s="193">
        <v>68.996700000000004</v>
      </c>
      <c r="E551" s="193">
        <v>-150.28142</v>
      </c>
      <c r="F551" s="193" t="s">
        <v>650</v>
      </c>
      <c r="G551" s="193" t="s">
        <v>651</v>
      </c>
      <c r="H551" s="193" t="s">
        <v>650</v>
      </c>
      <c r="I551" s="193" t="s">
        <v>650</v>
      </c>
      <c r="J551" s="193" t="s">
        <v>657</v>
      </c>
      <c r="K551" s="193" t="s">
        <v>650</v>
      </c>
      <c r="L551" s="193" t="s">
        <v>658</v>
      </c>
      <c r="M551" s="199" t="str">
        <f t="shared" si="11"/>
        <v>View on Google Map</v>
      </c>
    </row>
    <row r="552" spans="1:13" x14ac:dyDescent="0.2">
      <c r="A552" s="193">
        <v>1210</v>
      </c>
      <c r="B552" s="193" t="s">
        <v>1749</v>
      </c>
      <c r="C552" s="193" t="s">
        <v>834</v>
      </c>
      <c r="D552" s="193">
        <v>68.996700000000004</v>
      </c>
      <c r="E552" s="193">
        <v>-150.28142</v>
      </c>
      <c r="F552" s="193" t="s">
        <v>650</v>
      </c>
      <c r="G552" s="193" t="s">
        <v>651</v>
      </c>
      <c r="H552" s="193" t="s">
        <v>650</v>
      </c>
      <c r="I552" s="193" t="s">
        <v>650</v>
      </c>
      <c r="J552" s="193" t="s">
        <v>657</v>
      </c>
      <c r="K552" s="193" t="s">
        <v>650</v>
      </c>
      <c r="L552" s="193" t="s">
        <v>658</v>
      </c>
      <c r="M552" s="199" t="str">
        <f t="shared" si="11"/>
        <v>View on Google Map</v>
      </c>
    </row>
    <row r="553" spans="1:13" x14ac:dyDescent="0.2">
      <c r="B553" s="193" t="s">
        <v>1750</v>
      </c>
      <c r="C553" s="193" t="s">
        <v>1663</v>
      </c>
      <c r="D553" s="193">
        <v>69.007500000000007</v>
      </c>
      <c r="E553" s="193">
        <v>-150.31388888888901</v>
      </c>
      <c r="G553" s="193" t="s">
        <v>669</v>
      </c>
      <c r="J553" s="193" t="s">
        <v>657</v>
      </c>
      <c r="L553" s="193" t="s">
        <v>658</v>
      </c>
      <c r="M553" s="199" t="str">
        <f t="shared" si="11"/>
        <v>View on Google Map</v>
      </c>
    </row>
    <row r="554" spans="1:13" x14ac:dyDescent="0.2">
      <c r="B554" s="193" t="s">
        <v>1751</v>
      </c>
      <c r="C554" s="193" t="s">
        <v>1047</v>
      </c>
      <c r="D554" s="193">
        <v>69.043055555555554</v>
      </c>
      <c r="E554" s="193">
        <v>-150.42916666666699</v>
      </c>
      <c r="G554" s="193" t="s">
        <v>669</v>
      </c>
      <c r="J554" s="193" t="s">
        <v>657</v>
      </c>
      <c r="L554" s="193" t="s">
        <v>658</v>
      </c>
      <c r="M554" s="199" t="str">
        <f t="shared" si="11"/>
        <v>View on Google Map</v>
      </c>
    </row>
    <row r="555" spans="1:13" x14ac:dyDescent="0.2">
      <c r="A555" s="193">
        <v>39</v>
      </c>
      <c r="B555" s="193" t="s">
        <v>1752</v>
      </c>
      <c r="C555" s="193" t="s">
        <v>650</v>
      </c>
      <c r="D555" s="193">
        <v>68.994600000000005</v>
      </c>
      <c r="E555" s="193">
        <v>-150.30699999999999</v>
      </c>
      <c r="F555" s="193">
        <v>307</v>
      </c>
      <c r="G555" s="193" t="s">
        <v>675</v>
      </c>
      <c r="H555" s="193" t="s">
        <v>1753</v>
      </c>
      <c r="I555" s="193" t="s">
        <v>650</v>
      </c>
      <c r="J555" s="193" t="s">
        <v>711</v>
      </c>
      <c r="K555" s="193" t="s">
        <v>650</v>
      </c>
      <c r="L555" s="193" t="s">
        <v>658</v>
      </c>
      <c r="M555" s="199" t="str">
        <f t="shared" si="11"/>
        <v>View on Google Map</v>
      </c>
    </row>
    <row r="556" spans="1:13" x14ac:dyDescent="0.2">
      <c r="B556" s="193" t="s">
        <v>1754</v>
      </c>
      <c r="C556" s="193" t="s">
        <v>668</v>
      </c>
      <c r="D556" s="193">
        <v>69.570555555555558</v>
      </c>
      <c r="E556" s="193">
        <v>-150.893333333333</v>
      </c>
      <c r="G556" s="193" t="s">
        <v>669</v>
      </c>
      <c r="J556" s="193" t="s">
        <v>657</v>
      </c>
      <c r="L556" s="193" t="s">
        <v>658</v>
      </c>
      <c r="M556" s="199" t="str">
        <f t="shared" si="11"/>
        <v>View on Google Map</v>
      </c>
    </row>
    <row r="557" spans="1:13" x14ac:dyDescent="0.2">
      <c r="A557" s="193">
        <v>46</v>
      </c>
      <c r="B557" s="193" t="s">
        <v>1755</v>
      </c>
      <c r="C557" s="193" t="s">
        <v>650</v>
      </c>
      <c r="D557" s="193">
        <v>68.891069000000002</v>
      </c>
      <c r="E557" s="193">
        <v>-150.58501899999999</v>
      </c>
      <c r="F557" s="193" t="s">
        <v>650</v>
      </c>
      <c r="G557" s="193" t="s">
        <v>675</v>
      </c>
      <c r="H557" s="193" t="s">
        <v>650</v>
      </c>
      <c r="I557" s="193" t="s">
        <v>650</v>
      </c>
      <c r="J557" s="193" t="s">
        <v>1661</v>
      </c>
      <c r="K557" s="193" t="s">
        <v>650</v>
      </c>
      <c r="L557" s="193" t="s">
        <v>658</v>
      </c>
      <c r="M557" s="199" t="str">
        <f t="shared" si="11"/>
        <v>View on Google Map</v>
      </c>
    </row>
    <row r="558" spans="1:13" x14ac:dyDescent="0.2">
      <c r="A558" s="193">
        <v>47</v>
      </c>
      <c r="B558" s="193" t="s">
        <v>1756</v>
      </c>
      <c r="C558" s="193" t="s">
        <v>650</v>
      </c>
      <c r="D558" s="193">
        <v>68.966999999999999</v>
      </c>
      <c r="E558" s="193">
        <v>-150.56673000000001</v>
      </c>
      <c r="F558" s="193" t="s">
        <v>650</v>
      </c>
      <c r="G558" s="193" t="s">
        <v>675</v>
      </c>
      <c r="H558" s="193" t="s">
        <v>650</v>
      </c>
      <c r="I558" s="193" t="s">
        <v>650</v>
      </c>
      <c r="J558" s="193" t="s">
        <v>1661</v>
      </c>
      <c r="K558" s="193" t="s">
        <v>650</v>
      </c>
      <c r="L558" s="193" t="s">
        <v>658</v>
      </c>
      <c r="M558" s="199" t="str">
        <f t="shared" si="11"/>
        <v>View on Google Map</v>
      </c>
    </row>
    <row r="559" spans="1:13" x14ac:dyDescent="0.2">
      <c r="A559" s="193">
        <v>100</v>
      </c>
      <c r="B559" s="193" t="s">
        <v>247</v>
      </c>
      <c r="C559" s="193" t="s">
        <v>1757</v>
      </c>
      <c r="D559" s="193">
        <v>68.629960999999994</v>
      </c>
      <c r="E559" s="193">
        <v>-149.61263299999999</v>
      </c>
      <c r="F559" s="193">
        <v>719</v>
      </c>
      <c r="G559" s="193" t="s">
        <v>661</v>
      </c>
      <c r="H559" s="193" t="s">
        <v>1758</v>
      </c>
      <c r="I559" s="193" t="s">
        <v>1759</v>
      </c>
      <c r="J559" s="193" t="s">
        <v>676</v>
      </c>
      <c r="K559" s="193" t="s">
        <v>650</v>
      </c>
      <c r="L559" s="193" t="s">
        <v>650</v>
      </c>
      <c r="M559" s="199" t="str">
        <f t="shared" si="11"/>
        <v>View on Google Map</v>
      </c>
    </row>
    <row r="560" spans="1:13" x14ac:dyDescent="0.2">
      <c r="A560" s="193">
        <v>523</v>
      </c>
      <c r="B560" s="193" t="s">
        <v>1760</v>
      </c>
      <c r="C560" s="193" t="s">
        <v>1761</v>
      </c>
      <c r="D560" s="193">
        <v>68.626671999999999</v>
      </c>
      <c r="E560" s="193">
        <v>-149.59784400000001</v>
      </c>
      <c r="F560" s="193">
        <v>719</v>
      </c>
      <c r="G560" s="193" t="s">
        <v>661</v>
      </c>
      <c r="H560" s="193" t="s">
        <v>650</v>
      </c>
      <c r="I560" s="193" t="s">
        <v>650</v>
      </c>
      <c r="J560" s="193" t="s">
        <v>662</v>
      </c>
      <c r="K560" s="193" t="s">
        <v>650</v>
      </c>
      <c r="L560" s="193" t="s">
        <v>1762</v>
      </c>
      <c r="M560" s="199" t="str">
        <f t="shared" si="11"/>
        <v>View on Google Map</v>
      </c>
    </row>
    <row r="561" spans="1:13" x14ac:dyDescent="0.2">
      <c r="A561" s="193">
        <v>524</v>
      </c>
      <c r="B561" s="193" t="s">
        <v>1763</v>
      </c>
      <c r="C561" s="193" t="s">
        <v>1761</v>
      </c>
      <c r="D561" s="193">
        <v>68.632586000000003</v>
      </c>
      <c r="E561" s="193">
        <v>-149.60089500000001</v>
      </c>
      <c r="F561" s="193">
        <v>719</v>
      </c>
      <c r="G561" s="193" t="s">
        <v>661</v>
      </c>
      <c r="H561" s="193" t="s">
        <v>650</v>
      </c>
      <c r="I561" s="193" t="s">
        <v>650</v>
      </c>
      <c r="J561" s="193" t="s">
        <v>662</v>
      </c>
      <c r="K561" s="193" t="s">
        <v>650</v>
      </c>
      <c r="L561" s="193" t="s">
        <v>1762</v>
      </c>
      <c r="M561" s="199" t="str">
        <f t="shared" si="11"/>
        <v>View on Google Map</v>
      </c>
    </row>
    <row r="562" spans="1:13" x14ac:dyDescent="0.2">
      <c r="A562" s="193">
        <v>525</v>
      </c>
      <c r="B562" s="193" t="s">
        <v>1764</v>
      </c>
      <c r="C562" s="193" t="s">
        <v>1761</v>
      </c>
      <c r="D562" s="193">
        <v>68.636390000000006</v>
      </c>
      <c r="E562" s="193">
        <v>-149.594774</v>
      </c>
      <c r="F562" s="193">
        <v>719</v>
      </c>
      <c r="G562" s="193" t="s">
        <v>661</v>
      </c>
      <c r="H562" s="193" t="s">
        <v>650</v>
      </c>
      <c r="I562" s="193" t="s">
        <v>650</v>
      </c>
      <c r="J562" s="193" t="s">
        <v>662</v>
      </c>
      <c r="K562" s="193" t="s">
        <v>650</v>
      </c>
      <c r="L562" s="193" t="s">
        <v>1762</v>
      </c>
      <c r="M562" s="199" t="str">
        <f t="shared" si="11"/>
        <v>View on Google Map</v>
      </c>
    </row>
    <row r="563" spans="1:13" x14ac:dyDescent="0.2">
      <c r="A563" s="193">
        <v>13</v>
      </c>
      <c r="B563" s="193" t="s">
        <v>1765</v>
      </c>
      <c r="C563" s="193" t="s">
        <v>650</v>
      </c>
      <c r="D563" s="193">
        <v>68.625600000000006</v>
      </c>
      <c r="E563" s="193">
        <v>-149.59604999999999</v>
      </c>
      <c r="F563" s="193">
        <v>719</v>
      </c>
      <c r="G563" s="193" t="s">
        <v>675</v>
      </c>
      <c r="H563" s="193" t="s">
        <v>1766</v>
      </c>
      <c r="I563" s="193" t="s">
        <v>1767</v>
      </c>
      <c r="J563" s="193" t="s">
        <v>676</v>
      </c>
      <c r="K563" s="193">
        <v>190</v>
      </c>
      <c r="L563" s="193" t="s">
        <v>1065</v>
      </c>
      <c r="M563" s="199" t="str">
        <f t="shared" si="11"/>
        <v>View on Google Map</v>
      </c>
    </row>
    <row r="564" spans="1:13" x14ac:dyDescent="0.2">
      <c r="A564" s="193">
        <v>522</v>
      </c>
      <c r="B564" s="193" t="s">
        <v>1768</v>
      </c>
      <c r="C564" s="193" t="s">
        <v>1761</v>
      </c>
      <c r="D564" s="193">
        <v>68.625966000000005</v>
      </c>
      <c r="E564" s="193">
        <v>-149.59902199999999</v>
      </c>
      <c r="F564" s="193">
        <v>719</v>
      </c>
      <c r="G564" s="193" t="s">
        <v>661</v>
      </c>
      <c r="H564" s="193" t="s">
        <v>650</v>
      </c>
      <c r="I564" s="193" t="s">
        <v>650</v>
      </c>
      <c r="J564" s="193" t="s">
        <v>662</v>
      </c>
      <c r="K564" s="193" t="s">
        <v>650</v>
      </c>
      <c r="L564" s="193" t="s">
        <v>1762</v>
      </c>
      <c r="M564" s="199" t="str">
        <f t="shared" si="11"/>
        <v>View on Google Map</v>
      </c>
    </row>
    <row r="565" spans="1:13" x14ac:dyDescent="0.2">
      <c r="A565" s="193">
        <v>101</v>
      </c>
      <c r="B565" s="193" t="s">
        <v>1769</v>
      </c>
      <c r="C565" s="193" t="s">
        <v>1770</v>
      </c>
      <c r="D565" s="193" t="s">
        <v>650</v>
      </c>
      <c r="E565" s="193" t="s">
        <v>650</v>
      </c>
      <c r="F565" s="193">
        <v>719</v>
      </c>
      <c r="G565" s="193" t="s">
        <v>661</v>
      </c>
      <c r="H565" s="193" t="s">
        <v>650</v>
      </c>
      <c r="I565" s="193" t="s">
        <v>650</v>
      </c>
      <c r="J565" s="193" t="s">
        <v>676</v>
      </c>
      <c r="K565" s="193" t="s">
        <v>650</v>
      </c>
      <c r="L565" s="193" t="s">
        <v>650</v>
      </c>
      <c r="M565" s="199" t="str">
        <f t="shared" si="11"/>
        <v>View on Google Map</v>
      </c>
    </row>
    <row r="566" spans="1:13" x14ac:dyDescent="0.2">
      <c r="A566" s="193">
        <v>102</v>
      </c>
      <c r="B566" s="193" t="s">
        <v>1771</v>
      </c>
      <c r="C566" s="193" t="s">
        <v>1772</v>
      </c>
      <c r="D566" s="193">
        <v>68.638623999999993</v>
      </c>
      <c r="E566" s="193">
        <v>-149.610737</v>
      </c>
      <c r="F566" s="193">
        <v>719</v>
      </c>
      <c r="G566" s="193" t="s">
        <v>661</v>
      </c>
      <c r="H566" s="193" t="s">
        <v>1773</v>
      </c>
      <c r="I566" s="193" t="s">
        <v>1774</v>
      </c>
      <c r="J566" s="193" t="s">
        <v>676</v>
      </c>
      <c r="K566" s="193" t="s">
        <v>650</v>
      </c>
      <c r="L566" s="193" t="s">
        <v>650</v>
      </c>
      <c r="M566" s="199" t="str">
        <f t="shared" si="11"/>
        <v>View on Google Map</v>
      </c>
    </row>
    <row r="567" spans="1:13" x14ac:dyDescent="0.2">
      <c r="A567" s="193">
        <v>526</v>
      </c>
      <c r="B567" s="193" t="s">
        <v>1775</v>
      </c>
      <c r="C567" s="193" t="s">
        <v>1761</v>
      </c>
      <c r="D567" s="193">
        <v>68.633232000000007</v>
      </c>
      <c r="E567" s="193">
        <v>-149.61149</v>
      </c>
      <c r="F567" s="193">
        <v>719</v>
      </c>
      <c r="G567" s="193" t="s">
        <v>661</v>
      </c>
      <c r="H567" s="193" t="s">
        <v>650</v>
      </c>
      <c r="I567" s="193" t="s">
        <v>650</v>
      </c>
      <c r="J567" s="193" t="s">
        <v>662</v>
      </c>
      <c r="K567" s="193" t="s">
        <v>650</v>
      </c>
      <c r="L567" s="193" t="s">
        <v>1762</v>
      </c>
      <c r="M567" s="199" t="str">
        <f t="shared" si="11"/>
        <v>View on Google Map</v>
      </c>
    </row>
    <row r="568" spans="1:13" x14ac:dyDescent="0.2">
      <c r="A568" s="193">
        <v>14</v>
      </c>
      <c r="B568" s="193" t="s">
        <v>1776</v>
      </c>
      <c r="C568" s="193" t="s">
        <v>650</v>
      </c>
      <c r="D568" s="193" t="s">
        <v>650</v>
      </c>
      <c r="E568" s="193" t="s">
        <v>650</v>
      </c>
      <c r="F568" s="193">
        <v>719</v>
      </c>
      <c r="G568" s="193" t="s">
        <v>675</v>
      </c>
      <c r="H568" s="193" t="s">
        <v>1777</v>
      </c>
      <c r="I568" s="193" t="s">
        <v>650</v>
      </c>
      <c r="J568" s="193" t="s">
        <v>676</v>
      </c>
      <c r="K568" s="193" t="s">
        <v>650</v>
      </c>
      <c r="L568" s="193" t="s">
        <v>650</v>
      </c>
      <c r="M568" s="199" t="str">
        <f t="shared" si="11"/>
        <v>View on Google Map</v>
      </c>
    </row>
    <row r="569" spans="1:13" x14ac:dyDescent="0.2">
      <c r="A569" s="193">
        <v>527</v>
      </c>
      <c r="B569" s="193" t="s">
        <v>1778</v>
      </c>
      <c r="C569" s="193" t="s">
        <v>1761</v>
      </c>
      <c r="D569" s="193">
        <v>68.639894999999996</v>
      </c>
      <c r="E569" s="193">
        <v>-149.59610599999999</v>
      </c>
      <c r="F569" s="193">
        <v>719</v>
      </c>
      <c r="G569" s="193" t="s">
        <v>661</v>
      </c>
      <c r="H569" s="193" t="s">
        <v>650</v>
      </c>
      <c r="I569" s="193" t="s">
        <v>650</v>
      </c>
      <c r="J569" s="193" t="s">
        <v>662</v>
      </c>
      <c r="K569" s="193" t="s">
        <v>650</v>
      </c>
      <c r="L569" s="193" t="s">
        <v>1762</v>
      </c>
      <c r="M569" s="199" t="str">
        <f t="shared" si="11"/>
        <v>View on Google Map</v>
      </c>
    </row>
    <row r="570" spans="1:13" x14ac:dyDescent="0.2">
      <c r="A570" s="193">
        <v>9</v>
      </c>
      <c r="B570" s="193" t="s">
        <v>1779</v>
      </c>
      <c r="C570" s="193" t="s">
        <v>650</v>
      </c>
      <c r="D570" s="193" t="s">
        <v>650</v>
      </c>
      <c r="E570" s="193" t="s">
        <v>650</v>
      </c>
      <c r="F570" s="193">
        <v>823</v>
      </c>
      <c r="G570" s="193" t="s">
        <v>675</v>
      </c>
      <c r="H570" s="193" t="s">
        <v>650</v>
      </c>
      <c r="I570" s="193" t="s">
        <v>650</v>
      </c>
      <c r="J570" s="193" t="s">
        <v>676</v>
      </c>
      <c r="K570" s="193" t="s">
        <v>650</v>
      </c>
      <c r="L570" s="193" t="s">
        <v>650</v>
      </c>
      <c r="M570" s="199" t="str">
        <f t="shared" si="11"/>
        <v>View on Google Map</v>
      </c>
    </row>
    <row r="571" spans="1:13" x14ac:dyDescent="0.2">
      <c r="A571" s="193">
        <v>22</v>
      </c>
      <c r="B571" s="193" t="s">
        <v>1780</v>
      </c>
      <c r="C571" s="193" t="s">
        <v>650</v>
      </c>
      <c r="D571" s="193" t="s">
        <v>650</v>
      </c>
      <c r="E571" s="193" t="s">
        <v>650</v>
      </c>
      <c r="F571" s="193" t="s">
        <v>650</v>
      </c>
      <c r="G571" s="193" t="s">
        <v>675</v>
      </c>
      <c r="H571" s="193" t="s">
        <v>1781</v>
      </c>
      <c r="I571" s="193" t="s">
        <v>650</v>
      </c>
      <c r="J571" s="193" t="s">
        <v>676</v>
      </c>
      <c r="K571" s="193" t="s">
        <v>650</v>
      </c>
      <c r="L571" s="193" t="s">
        <v>650</v>
      </c>
      <c r="M571" s="199" t="str">
        <f t="shared" si="11"/>
        <v>View on Google Map</v>
      </c>
    </row>
    <row r="572" spans="1:13" x14ac:dyDescent="0.2">
      <c r="A572" s="193">
        <v>528</v>
      </c>
      <c r="B572" s="193" t="s">
        <v>1782</v>
      </c>
      <c r="C572" s="193" t="s">
        <v>1761</v>
      </c>
      <c r="D572" s="193">
        <v>68.634241000000003</v>
      </c>
      <c r="E572" s="193">
        <v>-149.60275899999999</v>
      </c>
      <c r="F572" s="193">
        <v>719</v>
      </c>
      <c r="G572" s="193" t="s">
        <v>661</v>
      </c>
      <c r="H572" s="193" t="s">
        <v>650</v>
      </c>
      <c r="I572" s="193" t="s">
        <v>650</v>
      </c>
      <c r="J572" s="193" t="s">
        <v>662</v>
      </c>
      <c r="K572" s="193" t="s">
        <v>650</v>
      </c>
      <c r="L572" s="193" t="s">
        <v>1762</v>
      </c>
      <c r="M572" s="199" t="str">
        <f t="shared" si="11"/>
        <v>View on Google Map</v>
      </c>
    </row>
    <row r="573" spans="1:13" x14ac:dyDescent="0.2">
      <c r="A573" s="193">
        <v>521</v>
      </c>
      <c r="B573" s="193" t="s">
        <v>1783</v>
      </c>
      <c r="C573" s="193" t="s">
        <v>1761</v>
      </c>
      <c r="D573" s="193">
        <v>68.628656000000007</v>
      </c>
      <c r="E573" s="193">
        <v>-149.59960599999999</v>
      </c>
      <c r="F573" s="193">
        <v>719</v>
      </c>
      <c r="G573" s="193" t="s">
        <v>661</v>
      </c>
      <c r="H573" s="193" t="s">
        <v>650</v>
      </c>
      <c r="I573" s="193" t="s">
        <v>650</v>
      </c>
      <c r="J573" s="193" t="s">
        <v>662</v>
      </c>
      <c r="K573" s="193" t="s">
        <v>650</v>
      </c>
      <c r="L573" s="193" t="s">
        <v>1762</v>
      </c>
      <c r="M573" s="199" t="str">
        <f t="shared" si="11"/>
        <v>View on Google Map</v>
      </c>
    </row>
    <row r="574" spans="1:13" x14ac:dyDescent="0.2">
      <c r="A574" s="193">
        <v>520</v>
      </c>
      <c r="B574" s="193" t="s">
        <v>1784</v>
      </c>
      <c r="C574" s="193" t="s">
        <v>1761</v>
      </c>
      <c r="D574" s="193">
        <v>68.633064000000005</v>
      </c>
      <c r="E574" s="193">
        <v>-149.62826999999999</v>
      </c>
      <c r="F574" s="193">
        <v>719</v>
      </c>
      <c r="G574" s="193" t="s">
        <v>661</v>
      </c>
      <c r="H574" s="193" t="s">
        <v>650</v>
      </c>
      <c r="I574" s="193" t="s">
        <v>650</v>
      </c>
      <c r="J574" s="193" t="s">
        <v>662</v>
      </c>
      <c r="K574" s="193" t="s">
        <v>650</v>
      </c>
      <c r="L574" s="193" t="s">
        <v>1762</v>
      </c>
      <c r="M574" s="199" t="str">
        <f t="shared" si="11"/>
        <v>View on Google Map</v>
      </c>
    </row>
    <row r="575" spans="1:13" x14ac:dyDescent="0.2">
      <c r="B575" s="193" t="s">
        <v>1785</v>
      </c>
      <c r="C575" s="193" t="s">
        <v>1047</v>
      </c>
      <c r="D575" s="193">
        <v>68.695505999999995</v>
      </c>
      <c r="E575" s="193">
        <v>-149.207807</v>
      </c>
      <c r="G575" s="193" t="s">
        <v>1187</v>
      </c>
      <c r="J575" s="110" t="s">
        <v>676</v>
      </c>
      <c r="M575" s="199" t="str">
        <f t="shared" si="11"/>
        <v>View on Google Map</v>
      </c>
    </row>
    <row r="576" spans="1:13" x14ac:dyDescent="0.2">
      <c r="B576" s="193" t="s">
        <v>1786</v>
      </c>
      <c r="C576" s="193" t="s">
        <v>1047</v>
      </c>
      <c r="D576" s="193">
        <v>68.695696999999996</v>
      </c>
      <c r="E576" s="193">
        <v>-149.20482699999999</v>
      </c>
      <c r="G576" s="193" t="s">
        <v>1187</v>
      </c>
      <c r="J576" s="110" t="s">
        <v>676</v>
      </c>
      <c r="M576" s="199" t="str">
        <f t="shared" si="11"/>
        <v>View on Google Map</v>
      </c>
    </row>
    <row r="577" spans="1:13" x14ac:dyDescent="0.2">
      <c r="B577" s="193" t="s">
        <v>1787</v>
      </c>
      <c r="C577" s="193" t="s">
        <v>1047</v>
      </c>
      <c r="D577" s="193">
        <v>68.690700000000007</v>
      </c>
      <c r="E577" s="193">
        <v>-149.208371</v>
      </c>
      <c r="G577" s="193" t="s">
        <v>1187</v>
      </c>
      <c r="J577" s="110" t="s">
        <v>676</v>
      </c>
      <c r="M577" s="199" t="str">
        <f t="shared" si="11"/>
        <v>View on Google Map</v>
      </c>
    </row>
    <row r="578" spans="1:13" x14ac:dyDescent="0.2">
      <c r="B578" s="193" t="s">
        <v>1788</v>
      </c>
      <c r="C578" s="193" t="s">
        <v>1047</v>
      </c>
      <c r="D578" s="193">
        <v>68.693759</v>
      </c>
      <c r="E578" s="193">
        <v>-149.20405500000001</v>
      </c>
      <c r="G578" s="193" t="s">
        <v>1187</v>
      </c>
      <c r="J578" s="110" t="s">
        <v>676</v>
      </c>
      <c r="M578" s="199" t="str">
        <f t="shared" si="11"/>
        <v>View on Google Map</v>
      </c>
    </row>
    <row r="579" spans="1:13" x14ac:dyDescent="0.2">
      <c r="B579" s="193" t="s">
        <v>1789</v>
      </c>
      <c r="C579" s="193" t="s">
        <v>1790</v>
      </c>
      <c r="D579" s="193">
        <v>68.628228973000006</v>
      </c>
      <c r="E579" s="193">
        <v>-149.596001285</v>
      </c>
      <c r="F579" s="193">
        <v>726.5</v>
      </c>
      <c r="J579" s="193" t="s">
        <v>676</v>
      </c>
      <c r="M579" s="193" t="str">
        <f>HYPERLINK("http://maps.google.com/maps?q="&amp;D579&amp;","&amp;E579,"View on Google Map")</f>
        <v>View on Google Map</v>
      </c>
    </row>
    <row r="580" spans="1:13" x14ac:dyDescent="0.2">
      <c r="A580" s="193">
        <v>901</v>
      </c>
      <c r="B580" s="193" t="s">
        <v>1791</v>
      </c>
      <c r="C580" s="193" t="s">
        <v>1792</v>
      </c>
      <c r="D580" s="193" t="s">
        <v>650</v>
      </c>
      <c r="E580" s="193" t="s">
        <v>650</v>
      </c>
      <c r="F580" s="193" t="s">
        <v>650</v>
      </c>
      <c r="G580" s="193" t="s">
        <v>650</v>
      </c>
      <c r="H580" s="193" t="s">
        <v>1793</v>
      </c>
      <c r="I580" s="193" t="s">
        <v>650</v>
      </c>
      <c r="J580" s="110" t="s">
        <v>676</v>
      </c>
      <c r="K580" s="193" t="s">
        <v>650</v>
      </c>
      <c r="L580" s="193" t="s">
        <v>650</v>
      </c>
      <c r="M580" s="199" t="str">
        <f t="shared" ref="M580:M638" si="12">HYPERLINK("http://maps.google.com/maps?q="&amp;D580&amp;","&amp;E580,"View on Google Map")</f>
        <v>View on Google Map</v>
      </c>
    </row>
    <row r="581" spans="1:13" x14ac:dyDescent="0.2">
      <c r="A581" s="193">
        <v>902</v>
      </c>
      <c r="B581" s="193" t="s">
        <v>1794</v>
      </c>
      <c r="C581" s="193" t="s">
        <v>1792</v>
      </c>
      <c r="D581" s="193" t="s">
        <v>650</v>
      </c>
      <c r="E581" s="193" t="s">
        <v>650</v>
      </c>
      <c r="F581" s="193">
        <v>757</v>
      </c>
      <c r="G581" s="193" t="s">
        <v>651</v>
      </c>
      <c r="H581" s="193" t="s">
        <v>1795</v>
      </c>
      <c r="I581" s="193" t="s">
        <v>650</v>
      </c>
      <c r="J581" s="193" t="s">
        <v>676</v>
      </c>
      <c r="K581" s="193" t="s">
        <v>650</v>
      </c>
      <c r="L581" s="193" t="s">
        <v>650</v>
      </c>
      <c r="M581" s="199" t="str">
        <f t="shared" si="12"/>
        <v>View on Google Map</v>
      </c>
    </row>
    <row r="582" spans="1:13" x14ac:dyDescent="0.2">
      <c r="A582" s="193">
        <v>903</v>
      </c>
      <c r="B582" s="193" t="s">
        <v>1796</v>
      </c>
      <c r="C582" s="193" t="s">
        <v>1792</v>
      </c>
      <c r="D582" s="193" t="s">
        <v>650</v>
      </c>
      <c r="E582" s="193" t="s">
        <v>650</v>
      </c>
      <c r="F582" s="193">
        <v>770</v>
      </c>
      <c r="G582" s="193" t="s">
        <v>651</v>
      </c>
      <c r="H582" s="193" t="s">
        <v>1797</v>
      </c>
      <c r="I582" s="193" t="s">
        <v>650</v>
      </c>
      <c r="J582" s="193" t="s">
        <v>676</v>
      </c>
      <c r="K582" s="193" t="s">
        <v>650</v>
      </c>
      <c r="L582" s="193" t="s">
        <v>650</v>
      </c>
      <c r="M582" s="199" t="str">
        <f t="shared" si="12"/>
        <v>View on Google Map</v>
      </c>
    </row>
    <row r="583" spans="1:13" x14ac:dyDescent="0.2">
      <c r="A583" s="193">
        <v>904</v>
      </c>
      <c r="B583" s="193" t="s">
        <v>1798</v>
      </c>
      <c r="C583" s="193" t="s">
        <v>1792</v>
      </c>
      <c r="D583" s="193" t="s">
        <v>650</v>
      </c>
      <c r="E583" s="193" t="s">
        <v>650</v>
      </c>
      <c r="F583" s="193">
        <v>770</v>
      </c>
      <c r="G583" s="193" t="s">
        <v>651</v>
      </c>
      <c r="H583" s="193" t="s">
        <v>1799</v>
      </c>
      <c r="I583" s="193" t="s">
        <v>650</v>
      </c>
      <c r="J583" s="193" t="s">
        <v>676</v>
      </c>
      <c r="K583" s="193" t="s">
        <v>650</v>
      </c>
      <c r="L583" s="193" t="s">
        <v>650</v>
      </c>
      <c r="M583" s="199" t="str">
        <f t="shared" si="12"/>
        <v>View on Google Map</v>
      </c>
    </row>
    <row r="584" spans="1:13" x14ac:dyDescent="0.2">
      <c r="A584" s="193">
        <v>905</v>
      </c>
      <c r="B584" s="193" t="s">
        <v>1800</v>
      </c>
      <c r="C584" s="193" t="s">
        <v>1792</v>
      </c>
      <c r="D584" s="193" t="s">
        <v>650</v>
      </c>
      <c r="E584" s="193" t="s">
        <v>650</v>
      </c>
      <c r="F584" s="193">
        <v>769</v>
      </c>
      <c r="G584" s="193" t="s">
        <v>651</v>
      </c>
      <c r="H584" s="193" t="s">
        <v>1801</v>
      </c>
      <c r="I584" s="193" t="s">
        <v>650</v>
      </c>
      <c r="J584" s="193" t="s">
        <v>676</v>
      </c>
      <c r="K584" s="193" t="s">
        <v>650</v>
      </c>
      <c r="L584" s="193" t="s">
        <v>650</v>
      </c>
      <c r="M584" s="199" t="str">
        <f t="shared" si="12"/>
        <v>View on Google Map</v>
      </c>
    </row>
    <row r="585" spans="1:13" x14ac:dyDescent="0.2">
      <c r="A585" s="193">
        <v>906</v>
      </c>
      <c r="B585" s="193" t="s">
        <v>1802</v>
      </c>
      <c r="C585" s="193" t="s">
        <v>1792</v>
      </c>
      <c r="D585" s="193" t="s">
        <v>650</v>
      </c>
      <c r="E585" s="193" t="s">
        <v>650</v>
      </c>
      <c r="F585" s="193">
        <v>769</v>
      </c>
      <c r="G585" s="193" t="s">
        <v>651</v>
      </c>
      <c r="H585" s="193" t="s">
        <v>1803</v>
      </c>
      <c r="I585" s="193" t="s">
        <v>650</v>
      </c>
      <c r="J585" s="193" t="s">
        <v>676</v>
      </c>
      <c r="K585" s="193" t="s">
        <v>650</v>
      </c>
      <c r="L585" s="193" t="s">
        <v>650</v>
      </c>
      <c r="M585" s="199" t="str">
        <f t="shared" si="12"/>
        <v>View on Google Map</v>
      </c>
    </row>
    <row r="586" spans="1:13" x14ac:dyDescent="0.2">
      <c r="A586" s="193">
        <v>907</v>
      </c>
      <c r="B586" s="193" t="s">
        <v>1804</v>
      </c>
      <c r="C586" s="193" t="s">
        <v>1792</v>
      </c>
      <c r="D586" s="193" t="s">
        <v>650</v>
      </c>
      <c r="E586" s="193" t="s">
        <v>650</v>
      </c>
      <c r="F586" s="193">
        <v>770</v>
      </c>
      <c r="G586" s="193" t="s">
        <v>651</v>
      </c>
      <c r="H586" s="193" t="s">
        <v>1805</v>
      </c>
      <c r="I586" s="193" t="s">
        <v>650</v>
      </c>
      <c r="J586" s="193" t="s">
        <v>676</v>
      </c>
      <c r="K586" s="193" t="s">
        <v>650</v>
      </c>
      <c r="L586" s="193" t="s">
        <v>650</v>
      </c>
      <c r="M586" s="199" t="str">
        <f t="shared" si="12"/>
        <v>View on Google Map</v>
      </c>
    </row>
    <row r="587" spans="1:13" x14ac:dyDescent="0.2">
      <c r="A587" s="193">
        <v>908</v>
      </c>
      <c r="B587" s="193" t="s">
        <v>1806</v>
      </c>
      <c r="C587" s="193" t="s">
        <v>1792</v>
      </c>
      <c r="D587" s="193" t="s">
        <v>650</v>
      </c>
      <c r="E587" s="193" t="s">
        <v>650</v>
      </c>
      <c r="F587" s="193">
        <v>770</v>
      </c>
      <c r="G587" s="193" t="s">
        <v>651</v>
      </c>
      <c r="H587" s="193" t="s">
        <v>1807</v>
      </c>
      <c r="I587" s="193" t="s">
        <v>650</v>
      </c>
      <c r="J587" s="193" t="s">
        <v>676</v>
      </c>
      <c r="K587" s="193" t="s">
        <v>650</v>
      </c>
      <c r="L587" s="193" t="s">
        <v>650</v>
      </c>
      <c r="M587" s="199" t="str">
        <f t="shared" si="12"/>
        <v>View on Google Map</v>
      </c>
    </row>
    <row r="588" spans="1:13" x14ac:dyDescent="0.2">
      <c r="A588" s="193">
        <v>909</v>
      </c>
      <c r="B588" s="193" t="s">
        <v>1808</v>
      </c>
      <c r="C588" s="193" t="s">
        <v>1792</v>
      </c>
      <c r="D588" s="193" t="s">
        <v>650</v>
      </c>
      <c r="E588" s="193" t="s">
        <v>650</v>
      </c>
      <c r="F588" s="193">
        <v>764</v>
      </c>
      <c r="G588" s="193" t="s">
        <v>651</v>
      </c>
      <c r="H588" s="193" t="s">
        <v>1809</v>
      </c>
      <c r="I588" s="193" t="s">
        <v>650</v>
      </c>
      <c r="J588" s="193" t="s">
        <v>676</v>
      </c>
      <c r="K588" s="193" t="s">
        <v>650</v>
      </c>
      <c r="L588" s="193" t="s">
        <v>650</v>
      </c>
      <c r="M588" s="199" t="str">
        <f t="shared" si="12"/>
        <v>View on Google Map</v>
      </c>
    </row>
    <row r="589" spans="1:13" x14ac:dyDescent="0.2">
      <c r="A589" s="193">
        <v>910</v>
      </c>
      <c r="B589" s="193" t="s">
        <v>1810</v>
      </c>
      <c r="C589" s="193" t="s">
        <v>1792</v>
      </c>
      <c r="D589" s="193" t="s">
        <v>650</v>
      </c>
      <c r="E589" s="193" t="s">
        <v>650</v>
      </c>
      <c r="F589" s="193">
        <v>764</v>
      </c>
      <c r="G589" s="193" t="s">
        <v>651</v>
      </c>
      <c r="H589" s="193" t="s">
        <v>1811</v>
      </c>
      <c r="I589" s="193" t="s">
        <v>650</v>
      </c>
      <c r="J589" s="193" t="s">
        <v>676</v>
      </c>
      <c r="K589" s="193" t="s">
        <v>650</v>
      </c>
      <c r="L589" s="193" t="s">
        <v>650</v>
      </c>
      <c r="M589" s="199" t="str">
        <f t="shared" si="12"/>
        <v>View on Google Map</v>
      </c>
    </row>
    <row r="590" spans="1:13" x14ac:dyDescent="0.2">
      <c r="A590" s="193">
        <v>911</v>
      </c>
      <c r="B590" s="193" t="s">
        <v>1812</v>
      </c>
      <c r="C590" s="193" t="s">
        <v>1792</v>
      </c>
      <c r="D590" s="193" t="s">
        <v>650</v>
      </c>
      <c r="E590" s="193" t="s">
        <v>650</v>
      </c>
      <c r="F590" s="193">
        <v>760</v>
      </c>
      <c r="G590" s="193" t="s">
        <v>651</v>
      </c>
      <c r="H590" s="193" t="s">
        <v>1813</v>
      </c>
      <c r="I590" s="193" t="s">
        <v>650</v>
      </c>
      <c r="J590" s="193" t="s">
        <v>676</v>
      </c>
      <c r="K590" s="193" t="s">
        <v>650</v>
      </c>
      <c r="L590" s="193" t="s">
        <v>650</v>
      </c>
      <c r="M590" s="199" t="str">
        <f t="shared" si="12"/>
        <v>View on Google Map</v>
      </c>
    </row>
    <row r="591" spans="1:13" x14ac:dyDescent="0.2">
      <c r="A591" s="193">
        <v>912</v>
      </c>
      <c r="B591" s="193" t="s">
        <v>1814</v>
      </c>
      <c r="C591" s="193" t="s">
        <v>1792</v>
      </c>
      <c r="D591" s="193" t="s">
        <v>650</v>
      </c>
      <c r="E591" s="193" t="s">
        <v>650</v>
      </c>
      <c r="F591" s="193">
        <v>760</v>
      </c>
      <c r="G591" s="193" t="s">
        <v>651</v>
      </c>
      <c r="H591" s="193" t="s">
        <v>1815</v>
      </c>
      <c r="I591" s="193" t="s">
        <v>650</v>
      </c>
      <c r="J591" s="193" t="s">
        <v>676</v>
      </c>
      <c r="K591" s="193" t="s">
        <v>650</v>
      </c>
      <c r="L591" s="193" t="s">
        <v>650</v>
      </c>
      <c r="M591" s="199" t="str">
        <f t="shared" si="12"/>
        <v>View on Google Map</v>
      </c>
    </row>
    <row r="592" spans="1:13" x14ac:dyDescent="0.2">
      <c r="A592" s="193">
        <v>913</v>
      </c>
      <c r="B592" s="193" t="s">
        <v>1816</v>
      </c>
      <c r="C592" s="193" t="s">
        <v>1792</v>
      </c>
      <c r="D592" s="193" t="s">
        <v>650</v>
      </c>
      <c r="E592" s="193" t="s">
        <v>650</v>
      </c>
      <c r="F592" s="193">
        <v>759</v>
      </c>
      <c r="G592" s="193" t="s">
        <v>651</v>
      </c>
      <c r="H592" s="193" t="s">
        <v>1817</v>
      </c>
      <c r="I592" s="193" t="s">
        <v>650</v>
      </c>
      <c r="J592" s="193" t="s">
        <v>676</v>
      </c>
      <c r="K592" s="193" t="s">
        <v>650</v>
      </c>
      <c r="L592" s="193" t="s">
        <v>650</v>
      </c>
      <c r="M592" s="199" t="str">
        <f t="shared" si="12"/>
        <v>View on Google Map</v>
      </c>
    </row>
    <row r="593" spans="1:13" x14ac:dyDescent="0.2">
      <c r="A593" s="193">
        <v>914</v>
      </c>
      <c r="B593" s="193" t="s">
        <v>1818</v>
      </c>
      <c r="C593" s="193" t="s">
        <v>1792</v>
      </c>
      <c r="D593" s="193" t="s">
        <v>650</v>
      </c>
      <c r="E593" s="193" t="s">
        <v>650</v>
      </c>
      <c r="F593" s="193">
        <v>758</v>
      </c>
      <c r="G593" s="193" t="s">
        <v>651</v>
      </c>
      <c r="H593" s="193" t="s">
        <v>1819</v>
      </c>
      <c r="I593" s="193" t="s">
        <v>650</v>
      </c>
      <c r="J593" s="193" t="s">
        <v>676</v>
      </c>
      <c r="K593" s="193" t="s">
        <v>650</v>
      </c>
      <c r="L593" s="193" t="s">
        <v>650</v>
      </c>
      <c r="M593" s="199" t="str">
        <f t="shared" si="12"/>
        <v>View on Google Map</v>
      </c>
    </row>
    <row r="594" spans="1:13" x14ac:dyDescent="0.2">
      <c r="A594" s="193">
        <v>915</v>
      </c>
      <c r="B594" s="193" t="s">
        <v>1820</v>
      </c>
      <c r="C594" s="193" t="s">
        <v>1821</v>
      </c>
      <c r="D594" s="193">
        <v>68.627900999999994</v>
      </c>
      <c r="E594" s="193">
        <v>-149.61295100000001</v>
      </c>
      <c r="F594" s="193">
        <v>759</v>
      </c>
      <c r="G594" s="193" t="s">
        <v>651</v>
      </c>
      <c r="H594" s="193" t="s">
        <v>1822</v>
      </c>
      <c r="I594" s="193" t="s">
        <v>1823</v>
      </c>
      <c r="J594" s="193" t="s">
        <v>676</v>
      </c>
      <c r="K594" s="193" t="s">
        <v>650</v>
      </c>
      <c r="L594" s="193" t="s">
        <v>650</v>
      </c>
      <c r="M594" s="199" t="str">
        <f t="shared" si="12"/>
        <v>View on Google Map</v>
      </c>
    </row>
    <row r="595" spans="1:13" x14ac:dyDescent="0.2">
      <c r="A595" s="193">
        <v>900</v>
      </c>
      <c r="B595" s="193" t="s">
        <v>1824</v>
      </c>
      <c r="C595" s="193" t="s">
        <v>650</v>
      </c>
      <c r="D595" s="193">
        <v>68.623487999999995</v>
      </c>
      <c r="E595" s="193">
        <v>-149.616559</v>
      </c>
      <c r="F595" s="193">
        <v>761</v>
      </c>
      <c r="G595" s="193" t="s">
        <v>651</v>
      </c>
      <c r="H595" s="193" t="s">
        <v>1825</v>
      </c>
      <c r="I595" s="193" t="s">
        <v>1826</v>
      </c>
      <c r="J595" s="193" t="s">
        <v>676</v>
      </c>
      <c r="K595" s="193" t="s">
        <v>650</v>
      </c>
      <c r="L595" s="193" t="s">
        <v>650</v>
      </c>
      <c r="M595" s="199" t="str">
        <f t="shared" si="12"/>
        <v>View on Google Map</v>
      </c>
    </row>
    <row r="596" spans="1:13" x14ac:dyDescent="0.2">
      <c r="B596" s="193" t="s">
        <v>1827</v>
      </c>
      <c r="C596" s="193" t="s">
        <v>1262</v>
      </c>
      <c r="D596" s="193">
        <v>68.549263888888888</v>
      </c>
      <c r="E596" s="193">
        <v>-149.306022222222</v>
      </c>
      <c r="G596" s="193" t="s">
        <v>1187</v>
      </c>
      <c r="J596" s="110" t="s">
        <v>676</v>
      </c>
      <c r="M596" s="199" t="str">
        <f t="shared" si="12"/>
        <v>View on Google Map</v>
      </c>
    </row>
    <row r="597" spans="1:13" x14ac:dyDescent="0.2">
      <c r="B597" s="193" t="s">
        <v>1828</v>
      </c>
      <c r="C597" s="193" t="s">
        <v>1262</v>
      </c>
      <c r="D597" s="193">
        <v>68.550188888888883</v>
      </c>
      <c r="E597" s="193">
        <v>-149.310305555556</v>
      </c>
      <c r="G597" s="193" t="s">
        <v>1187</v>
      </c>
      <c r="J597" s="110" t="s">
        <v>676</v>
      </c>
      <c r="M597" s="199" t="str">
        <f t="shared" si="12"/>
        <v>View on Google Map</v>
      </c>
    </row>
    <row r="598" spans="1:13" x14ac:dyDescent="0.2">
      <c r="B598" s="193" t="s">
        <v>1829</v>
      </c>
      <c r="C598" s="193" t="s">
        <v>1262</v>
      </c>
      <c r="D598" s="193">
        <v>68.549108333333336</v>
      </c>
      <c r="E598" s="193">
        <v>-149.30837777777799</v>
      </c>
      <c r="G598" s="193" t="s">
        <v>1187</v>
      </c>
      <c r="J598" s="110" t="s">
        <v>676</v>
      </c>
      <c r="M598" s="199" t="str">
        <f t="shared" si="12"/>
        <v>View on Google Map</v>
      </c>
    </row>
    <row r="599" spans="1:13" x14ac:dyDescent="0.2">
      <c r="A599" s="193">
        <v>42</v>
      </c>
      <c r="B599" s="193" t="s">
        <v>1830</v>
      </c>
      <c r="C599" s="193" t="s">
        <v>650</v>
      </c>
      <c r="D599" s="193">
        <v>68.960555999999997</v>
      </c>
      <c r="E599" s="193">
        <v>-150.63055600000001</v>
      </c>
      <c r="F599" s="193" t="s">
        <v>650</v>
      </c>
      <c r="G599" s="193" t="s">
        <v>675</v>
      </c>
      <c r="H599" s="193" t="s">
        <v>1831</v>
      </c>
      <c r="I599" s="193" t="s">
        <v>650</v>
      </c>
      <c r="J599" s="193" t="s">
        <v>1661</v>
      </c>
      <c r="K599" s="193" t="s">
        <v>650</v>
      </c>
      <c r="L599" s="193" t="s">
        <v>658</v>
      </c>
      <c r="M599" s="199" t="str">
        <f t="shared" si="12"/>
        <v>View on Google Map</v>
      </c>
    </row>
    <row r="600" spans="1:13" x14ac:dyDescent="0.2">
      <c r="A600" s="193">
        <v>43</v>
      </c>
      <c r="B600" s="193" t="s">
        <v>1832</v>
      </c>
      <c r="C600" s="193" t="s">
        <v>650</v>
      </c>
      <c r="D600" s="193">
        <v>68.935101000000003</v>
      </c>
      <c r="E600" s="193">
        <v>-150.68391700000001</v>
      </c>
      <c r="F600" s="193" t="s">
        <v>650</v>
      </c>
      <c r="G600" s="193" t="s">
        <v>675</v>
      </c>
      <c r="H600" s="193" t="s">
        <v>1833</v>
      </c>
      <c r="I600" s="193" t="s">
        <v>650</v>
      </c>
      <c r="J600" s="193" t="s">
        <v>1661</v>
      </c>
      <c r="K600" s="193" t="s">
        <v>650</v>
      </c>
      <c r="L600" s="193" t="s">
        <v>658</v>
      </c>
      <c r="M600" s="199" t="str">
        <f t="shared" si="12"/>
        <v>View on Google Map</v>
      </c>
    </row>
    <row r="601" spans="1:13" x14ac:dyDescent="0.2">
      <c r="A601" s="193">
        <v>44</v>
      </c>
      <c r="B601" s="193" t="s">
        <v>1834</v>
      </c>
      <c r="C601" s="193" t="s">
        <v>650</v>
      </c>
      <c r="D601" s="193">
        <v>68.916987000000006</v>
      </c>
      <c r="E601" s="193">
        <v>-150.659291</v>
      </c>
      <c r="F601" s="193" t="s">
        <v>650</v>
      </c>
      <c r="G601" s="193" t="s">
        <v>675</v>
      </c>
      <c r="H601" s="193" t="s">
        <v>1835</v>
      </c>
      <c r="I601" s="193" t="s">
        <v>650</v>
      </c>
      <c r="J601" s="193" t="s">
        <v>1661</v>
      </c>
      <c r="K601" s="193" t="s">
        <v>650</v>
      </c>
      <c r="L601" s="193" t="s">
        <v>658</v>
      </c>
      <c r="M601" s="199" t="str">
        <f t="shared" si="12"/>
        <v>View on Google Map</v>
      </c>
    </row>
    <row r="602" spans="1:13" x14ac:dyDescent="0.2">
      <c r="B602" s="193" t="s">
        <v>1836</v>
      </c>
      <c r="C602" s="193" t="s">
        <v>1663</v>
      </c>
      <c r="D602" s="193">
        <v>69.132777777777775</v>
      </c>
      <c r="E602" s="193">
        <v>-150.710833333333</v>
      </c>
      <c r="G602" s="193" t="s">
        <v>669</v>
      </c>
      <c r="J602" s="193" t="s">
        <v>657</v>
      </c>
      <c r="L602" s="193" t="s">
        <v>658</v>
      </c>
      <c r="M602" s="199" t="str">
        <f t="shared" si="12"/>
        <v>View on Google Map</v>
      </c>
    </row>
    <row r="603" spans="1:13" x14ac:dyDescent="0.2">
      <c r="B603" s="193" t="s">
        <v>1837</v>
      </c>
      <c r="C603" s="193" t="s">
        <v>1047</v>
      </c>
      <c r="D603" s="193">
        <v>69.13944444444445</v>
      </c>
      <c r="E603" s="193">
        <v>-150.68388888888899</v>
      </c>
      <c r="G603" s="193" t="s">
        <v>669</v>
      </c>
      <c r="J603" s="193" t="s">
        <v>657</v>
      </c>
      <c r="L603" s="193" t="s">
        <v>658</v>
      </c>
      <c r="M603" s="199" t="str">
        <f t="shared" si="12"/>
        <v>View on Google Map</v>
      </c>
    </row>
    <row r="604" spans="1:13" x14ac:dyDescent="0.2">
      <c r="B604" s="193" t="s">
        <v>1838</v>
      </c>
      <c r="C604" s="193" t="s">
        <v>1663</v>
      </c>
      <c r="D604" s="193">
        <v>68.960833333333341</v>
      </c>
      <c r="E604" s="193">
        <v>-150.719722222222</v>
      </c>
      <c r="G604" s="193" t="s">
        <v>669</v>
      </c>
      <c r="J604" s="193" t="s">
        <v>657</v>
      </c>
      <c r="L604" s="193" t="s">
        <v>658</v>
      </c>
      <c r="M604" s="199" t="str">
        <f t="shared" si="12"/>
        <v>View on Google Map</v>
      </c>
    </row>
    <row r="605" spans="1:13" x14ac:dyDescent="0.2">
      <c r="B605" s="193" t="s">
        <v>1839</v>
      </c>
      <c r="C605" s="193" t="s">
        <v>1047</v>
      </c>
      <c r="D605" s="193">
        <v>69.055277777777775</v>
      </c>
      <c r="E605" s="193">
        <v>-150.80972222222201</v>
      </c>
      <c r="G605" s="193" t="s">
        <v>669</v>
      </c>
      <c r="J605" s="193" t="s">
        <v>657</v>
      </c>
      <c r="L605" s="193" t="s">
        <v>658</v>
      </c>
      <c r="M605" s="199" t="str">
        <f t="shared" si="12"/>
        <v>View on Google Map</v>
      </c>
    </row>
    <row r="606" spans="1:13" x14ac:dyDescent="0.2">
      <c r="A606" s="193">
        <v>932</v>
      </c>
      <c r="B606" s="193" t="s">
        <v>1840</v>
      </c>
      <c r="C606" s="193" t="s">
        <v>650</v>
      </c>
      <c r="D606" s="193" t="s">
        <v>650</v>
      </c>
      <c r="E606" s="193" t="s">
        <v>650</v>
      </c>
      <c r="F606" s="193">
        <v>750</v>
      </c>
      <c r="G606" s="193" t="s">
        <v>651</v>
      </c>
      <c r="H606" s="193" t="s">
        <v>1841</v>
      </c>
      <c r="I606" s="193" t="s">
        <v>1842</v>
      </c>
      <c r="J606" s="193" t="s">
        <v>676</v>
      </c>
      <c r="K606" s="193" t="s">
        <v>650</v>
      </c>
      <c r="L606" s="193" t="s">
        <v>650</v>
      </c>
      <c r="M606" s="199" t="str">
        <f t="shared" si="12"/>
        <v>View on Google Map</v>
      </c>
    </row>
    <row r="607" spans="1:13" x14ac:dyDescent="0.2">
      <c r="A607" s="193">
        <v>920</v>
      </c>
      <c r="B607" s="193" t="s">
        <v>1843</v>
      </c>
      <c r="C607" s="193" t="s">
        <v>650</v>
      </c>
      <c r="D607" s="193" t="s">
        <v>650</v>
      </c>
      <c r="E607" s="193" t="s">
        <v>650</v>
      </c>
      <c r="F607" s="193">
        <v>760</v>
      </c>
      <c r="G607" s="193" t="s">
        <v>651</v>
      </c>
      <c r="H607" s="193" t="s">
        <v>1844</v>
      </c>
      <c r="I607" s="193" t="s">
        <v>1845</v>
      </c>
      <c r="J607" s="193" t="s">
        <v>676</v>
      </c>
      <c r="K607" s="193" t="s">
        <v>650</v>
      </c>
      <c r="L607" s="193" t="s">
        <v>650</v>
      </c>
      <c r="M607" s="199" t="str">
        <f t="shared" si="12"/>
        <v>View on Google Map</v>
      </c>
    </row>
    <row r="608" spans="1:13" x14ac:dyDescent="0.2">
      <c r="A608" s="193">
        <v>921</v>
      </c>
      <c r="B608" s="193" t="s">
        <v>1846</v>
      </c>
      <c r="C608" s="193" t="s">
        <v>650</v>
      </c>
      <c r="D608" s="193" t="s">
        <v>650</v>
      </c>
      <c r="E608" s="193" t="s">
        <v>650</v>
      </c>
      <c r="F608" s="193">
        <v>720</v>
      </c>
      <c r="G608" s="193" t="s">
        <v>651</v>
      </c>
      <c r="H608" s="193" t="s">
        <v>1847</v>
      </c>
      <c r="I608" s="193" t="s">
        <v>1848</v>
      </c>
      <c r="J608" s="193" t="s">
        <v>676</v>
      </c>
      <c r="K608" s="193" t="s">
        <v>650</v>
      </c>
      <c r="L608" s="193" t="s">
        <v>650</v>
      </c>
      <c r="M608" s="199" t="str">
        <f t="shared" si="12"/>
        <v>View on Google Map</v>
      </c>
    </row>
    <row r="609" spans="1:13" x14ac:dyDescent="0.2">
      <c r="A609" s="193">
        <v>922</v>
      </c>
      <c r="B609" s="193" t="s">
        <v>1849</v>
      </c>
      <c r="C609" s="193" t="s">
        <v>650</v>
      </c>
      <c r="D609" s="193" t="s">
        <v>650</v>
      </c>
      <c r="E609" s="193" t="s">
        <v>650</v>
      </c>
      <c r="F609" s="193">
        <v>750</v>
      </c>
      <c r="G609" s="193" t="s">
        <v>651</v>
      </c>
      <c r="H609" s="193" t="s">
        <v>1850</v>
      </c>
      <c r="I609" s="193" t="s">
        <v>1851</v>
      </c>
      <c r="J609" s="193" t="s">
        <v>676</v>
      </c>
      <c r="K609" s="193" t="s">
        <v>650</v>
      </c>
      <c r="L609" s="193" t="s">
        <v>650</v>
      </c>
      <c r="M609" s="199" t="str">
        <f t="shared" si="12"/>
        <v>View on Google Map</v>
      </c>
    </row>
    <row r="610" spans="1:13" x14ac:dyDescent="0.2">
      <c r="A610" s="193">
        <v>923</v>
      </c>
      <c r="B610" s="193" t="s">
        <v>1852</v>
      </c>
      <c r="C610" s="193" t="s">
        <v>650</v>
      </c>
      <c r="D610" s="193" t="s">
        <v>650</v>
      </c>
      <c r="E610" s="193" t="s">
        <v>650</v>
      </c>
      <c r="F610" s="193">
        <v>750</v>
      </c>
      <c r="G610" s="193" t="s">
        <v>651</v>
      </c>
      <c r="H610" s="193" t="s">
        <v>1853</v>
      </c>
      <c r="I610" s="193" t="s">
        <v>1854</v>
      </c>
      <c r="J610" s="193" t="s">
        <v>676</v>
      </c>
      <c r="K610" s="193" t="s">
        <v>650</v>
      </c>
      <c r="L610" s="193" t="s">
        <v>650</v>
      </c>
      <c r="M610" s="199" t="str">
        <f t="shared" si="12"/>
        <v>View on Google Map</v>
      </c>
    </row>
    <row r="611" spans="1:13" x14ac:dyDescent="0.2">
      <c r="A611" s="193">
        <v>924</v>
      </c>
      <c r="B611" s="193" t="s">
        <v>1855</v>
      </c>
      <c r="C611" s="193" t="s">
        <v>650</v>
      </c>
      <c r="D611" s="193" t="s">
        <v>650</v>
      </c>
      <c r="E611" s="193" t="s">
        <v>650</v>
      </c>
      <c r="F611" s="193">
        <v>750</v>
      </c>
      <c r="G611" s="193" t="s">
        <v>651</v>
      </c>
      <c r="H611" s="193" t="s">
        <v>1856</v>
      </c>
      <c r="I611" s="193" t="s">
        <v>1857</v>
      </c>
      <c r="J611" s="193" t="s">
        <v>676</v>
      </c>
      <c r="K611" s="193" t="s">
        <v>650</v>
      </c>
      <c r="L611" s="193" t="s">
        <v>650</v>
      </c>
      <c r="M611" s="199" t="str">
        <f t="shared" si="12"/>
        <v>View on Google Map</v>
      </c>
    </row>
    <row r="612" spans="1:13" x14ac:dyDescent="0.2">
      <c r="A612" s="193">
        <v>925</v>
      </c>
      <c r="B612" s="193" t="s">
        <v>1858</v>
      </c>
      <c r="C612" s="193" t="s">
        <v>650</v>
      </c>
      <c r="D612" s="193" t="s">
        <v>650</v>
      </c>
      <c r="E612" s="193" t="s">
        <v>650</v>
      </c>
      <c r="F612" s="193">
        <v>750</v>
      </c>
      <c r="G612" s="193" t="s">
        <v>651</v>
      </c>
      <c r="H612" s="193" t="s">
        <v>1859</v>
      </c>
      <c r="I612" s="193" t="s">
        <v>1860</v>
      </c>
      <c r="J612" s="193" t="s">
        <v>676</v>
      </c>
      <c r="K612" s="193" t="s">
        <v>650</v>
      </c>
      <c r="L612" s="193" t="s">
        <v>650</v>
      </c>
      <c r="M612" s="199" t="str">
        <f t="shared" si="12"/>
        <v>View on Google Map</v>
      </c>
    </row>
    <row r="613" spans="1:13" x14ac:dyDescent="0.2">
      <c r="A613" s="193">
        <v>926</v>
      </c>
      <c r="B613" s="193" t="s">
        <v>1861</v>
      </c>
      <c r="C613" s="193" t="s">
        <v>650</v>
      </c>
      <c r="D613" s="193" t="s">
        <v>650</v>
      </c>
      <c r="E613" s="193" t="s">
        <v>650</v>
      </c>
      <c r="F613" s="193">
        <v>750</v>
      </c>
      <c r="G613" s="193" t="s">
        <v>651</v>
      </c>
      <c r="H613" s="193" t="s">
        <v>1862</v>
      </c>
      <c r="I613" s="193" t="s">
        <v>1863</v>
      </c>
      <c r="J613" s="193" t="s">
        <v>676</v>
      </c>
      <c r="K613" s="193" t="s">
        <v>650</v>
      </c>
      <c r="L613" s="193" t="s">
        <v>650</v>
      </c>
      <c r="M613" s="199" t="str">
        <f t="shared" si="12"/>
        <v>View on Google Map</v>
      </c>
    </row>
    <row r="614" spans="1:13" x14ac:dyDescent="0.2">
      <c r="A614" s="193">
        <v>927</v>
      </c>
      <c r="B614" s="193" t="s">
        <v>1864</v>
      </c>
      <c r="C614" s="193" t="s">
        <v>650</v>
      </c>
      <c r="D614" s="193" t="s">
        <v>650</v>
      </c>
      <c r="E614" s="193" t="s">
        <v>650</v>
      </c>
      <c r="F614" s="193">
        <v>750</v>
      </c>
      <c r="G614" s="193" t="s">
        <v>651</v>
      </c>
      <c r="H614" s="193" t="s">
        <v>1865</v>
      </c>
      <c r="I614" s="193" t="s">
        <v>1866</v>
      </c>
      <c r="J614" s="193" t="s">
        <v>676</v>
      </c>
      <c r="K614" s="193" t="s">
        <v>650</v>
      </c>
      <c r="L614" s="193" t="s">
        <v>650</v>
      </c>
      <c r="M614" s="199" t="str">
        <f t="shared" si="12"/>
        <v>View on Google Map</v>
      </c>
    </row>
    <row r="615" spans="1:13" x14ac:dyDescent="0.2">
      <c r="A615" s="193">
        <v>928</v>
      </c>
      <c r="B615" s="193" t="s">
        <v>1867</v>
      </c>
      <c r="C615" s="193" t="s">
        <v>650</v>
      </c>
      <c r="D615" s="193" t="s">
        <v>650</v>
      </c>
      <c r="E615" s="193" t="s">
        <v>650</v>
      </c>
      <c r="F615" s="193">
        <v>750</v>
      </c>
      <c r="G615" s="193" t="s">
        <v>651</v>
      </c>
      <c r="H615" s="193" t="s">
        <v>1868</v>
      </c>
      <c r="I615" s="193" t="s">
        <v>1869</v>
      </c>
      <c r="J615" s="193" t="s">
        <v>676</v>
      </c>
      <c r="K615" s="193" t="s">
        <v>650</v>
      </c>
      <c r="L615" s="193" t="s">
        <v>650</v>
      </c>
      <c r="M615" s="199" t="str">
        <f t="shared" si="12"/>
        <v>View on Google Map</v>
      </c>
    </row>
    <row r="616" spans="1:13" x14ac:dyDescent="0.2">
      <c r="A616" s="193">
        <v>929</v>
      </c>
      <c r="B616" s="193" t="s">
        <v>1870</v>
      </c>
      <c r="C616" s="193" t="s">
        <v>650</v>
      </c>
      <c r="D616" s="193" t="s">
        <v>650</v>
      </c>
      <c r="E616" s="193" t="s">
        <v>650</v>
      </c>
      <c r="F616" s="193">
        <v>750</v>
      </c>
      <c r="G616" s="193" t="s">
        <v>651</v>
      </c>
      <c r="H616" s="193" t="s">
        <v>1871</v>
      </c>
      <c r="I616" s="193" t="s">
        <v>1872</v>
      </c>
      <c r="J616" s="193" t="s">
        <v>676</v>
      </c>
      <c r="K616" s="193" t="s">
        <v>650</v>
      </c>
      <c r="L616" s="193" t="s">
        <v>650</v>
      </c>
      <c r="M616" s="199" t="str">
        <f t="shared" si="12"/>
        <v>View on Google Map</v>
      </c>
    </row>
    <row r="617" spans="1:13" x14ac:dyDescent="0.2">
      <c r="A617" s="193">
        <v>930</v>
      </c>
      <c r="B617" s="193" t="s">
        <v>1873</v>
      </c>
      <c r="C617" s="193" t="s">
        <v>650</v>
      </c>
      <c r="D617" s="193" t="s">
        <v>650</v>
      </c>
      <c r="E617" s="193" t="s">
        <v>650</v>
      </c>
      <c r="F617" s="193">
        <v>750</v>
      </c>
      <c r="G617" s="193" t="s">
        <v>651</v>
      </c>
      <c r="H617" s="193" t="s">
        <v>1874</v>
      </c>
      <c r="I617" s="193" t="s">
        <v>1875</v>
      </c>
      <c r="J617" s="193" t="s">
        <v>676</v>
      </c>
      <c r="K617" s="193" t="s">
        <v>650</v>
      </c>
      <c r="L617" s="193" t="s">
        <v>650</v>
      </c>
      <c r="M617" s="199" t="str">
        <f t="shared" si="12"/>
        <v>View on Google Map</v>
      </c>
    </row>
    <row r="618" spans="1:13" x14ac:dyDescent="0.2">
      <c r="A618" s="193">
        <v>931</v>
      </c>
      <c r="B618" s="193" t="s">
        <v>1876</v>
      </c>
      <c r="C618" s="193" t="s">
        <v>650</v>
      </c>
      <c r="D618" s="193" t="s">
        <v>650</v>
      </c>
      <c r="E618" s="193" t="s">
        <v>650</v>
      </c>
      <c r="F618" s="193">
        <v>750</v>
      </c>
      <c r="G618" s="193" t="s">
        <v>651</v>
      </c>
      <c r="H618" s="193" t="s">
        <v>1877</v>
      </c>
      <c r="I618" s="193" t="s">
        <v>1878</v>
      </c>
      <c r="J618" s="193" t="s">
        <v>676</v>
      </c>
      <c r="K618" s="193" t="s">
        <v>650</v>
      </c>
      <c r="L618" s="193" t="s">
        <v>650</v>
      </c>
      <c r="M618" s="199" t="str">
        <f t="shared" si="12"/>
        <v>View on Google Map</v>
      </c>
    </row>
    <row r="619" spans="1:13" x14ac:dyDescent="0.2">
      <c r="A619" s="193">
        <v>370</v>
      </c>
      <c r="B619" s="193" t="s">
        <v>1879</v>
      </c>
      <c r="C619" s="193" t="s">
        <v>650</v>
      </c>
      <c r="D619" s="193" t="s">
        <v>650</v>
      </c>
      <c r="E619" s="193" t="s">
        <v>650</v>
      </c>
      <c r="F619" s="193" t="s">
        <v>650</v>
      </c>
      <c r="G619" s="193" t="s">
        <v>661</v>
      </c>
      <c r="H619" s="193" t="s">
        <v>650</v>
      </c>
      <c r="I619" s="193" t="s">
        <v>650</v>
      </c>
      <c r="J619" s="193" t="s">
        <v>676</v>
      </c>
      <c r="K619" s="193" t="s">
        <v>650</v>
      </c>
      <c r="L619" s="193" t="s">
        <v>1880</v>
      </c>
      <c r="M619" s="199" t="str">
        <f t="shared" si="12"/>
        <v>View on Google Map</v>
      </c>
    </row>
    <row r="620" spans="1:13" x14ac:dyDescent="0.2">
      <c r="A620" s="193">
        <v>371</v>
      </c>
      <c r="B620" s="193" t="s">
        <v>1881</v>
      </c>
      <c r="C620" s="193" t="s">
        <v>650</v>
      </c>
      <c r="D620" s="193" t="s">
        <v>650</v>
      </c>
      <c r="E620" s="193" t="s">
        <v>650</v>
      </c>
      <c r="F620" s="193" t="s">
        <v>650</v>
      </c>
      <c r="G620" s="193" t="s">
        <v>661</v>
      </c>
      <c r="H620" s="193" t="s">
        <v>650</v>
      </c>
      <c r="I620" s="193" t="s">
        <v>650</v>
      </c>
      <c r="J620" s="193" t="s">
        <v>676</v>
      </c>
      <c r="K620" s="193" t="s">
        <v>650</v>
      </c>
      <c r="L620" s="193" t="s">
        <v>1880</v>
      </c>
      <c r="M620" s="199" t="str">
        <f t="shared" si="12"/>
        <v>View on Google Map</v>
      </c>
    </row>
    <row r="621" spans="1:13" x14ac:dyDescent="0.2">
      <c r="A621" s="193">
        <v>372</v>
      </c>
      <c r="B621" s="193" t="s">
        <v>1882</v>
      </c>
      <c r="C621" s="193" t="s">
        <v>650</v>
      </c>
      <c r="D621" s="193" t="s">
        <v>650</v>
      </c>
      <c r="E621" s="193" t="s">
        <v>650</v>
      </c>
      <c r="F621" s="193" t="s">
        <v>650</v>
      </c>
      <c r="G621" s="193" t="s">
        <v>661</v>
      </c>
      <c r="H621" s="193" t="s">
        <v>650</v>
      </c>
      <c r="I621" s="193" t="s">
        <v>650</v>
      </c>
      <c r="J621" s="193" t="s">
        <v>676</v>
      </c>
      <c r="K621" s="193" t="s">
        <v>650</v>
      </c>
      <c r="L621" s="193" t="s">
        <v>1880</v>
      </c>
      <c r="M621" s="199" t="str">
        <f t="shared" si="12"/>
        <v>View on Google Map</v>
      </c>
    </row>
    <row r="622" spans="1:13" x14ac:dyDescent="0.2">
      <c r="A622" s="193">
        <v>373</v>
      </c>
      <c r="B622" s="193" t="s">
        <v>1883</v>
      </c>
      <c r="C622" s="193" t="s">
        <v>650</v>
      </c>
      <c r="D622" s="193" t="s">
        <v>650</v>
      </c>
      <c r="E622" s="193" t="s">
        <v>650</v>
      </c>
      <c r="F622" s="193" t="s">
        <v>650</v>
      </c>
      <c r="G622" s="193" t="s">
        <v>661</v>
      </c>
      <c r="H622" s="193" t="s">
        <v>650</v>
      </c>
      <c r="I622" s="193" t="s">
        <v>650</v>
      </c>
      <c r="J622" s="193" t="s">
        <v>676</v>
      </c>
      <c r="K622" s="193" t="s">
        <v>650</v>
      </c>
      <c r="L622" s="193" t="s">
        <v>1880</v>
      </c>
      <c r="M622" s="199" t="str">
        <f t="shared" si="12"/>
        <v>View on Google Map</v>
      </c>
    </row>
    <row r="623" spans="1:13" x14ac:dyDescent="0.2">
      <c r="A623" s="193">
        <v>374</v>
      </c>
      <c r="B623" s="193" t="s">
        <v>1884</v>
      </c>
      <c r="C623" s="193" t="s">
        <v>650</v>
      </c>
      <c r="D623" s="193" t="s">
        <v>650</v>
      </c>
      <c r="E623" s="193" t="s">
        <v>650</v>
      </c>
      <c r="F623" s="193" t="s">
        <v>650</v>
      </c>
      <c r="G623" s="193" t="s">
        <v>661</v>
      </c>
      <c r="H623" s="193" t="s">
        <v>650</v>
      </c>
      <c r="I623" s="193" t="s">
        <v>650</v>
      </c>
      <c r="J623" s="193" t="s">
        <v>676</v>
      </c>
      <c r="K623" s="193" t="s">
        <v>650</v>
      </c>
      <c r="L623" s="193" t="s">
        <v>1880</v>
      </c>
      <c r="M623" s="199" t="str">
        <f t="shared" si="12"/>
        <v>View on Google Map</v>
      </c>
    </row>
    <row r="624" spans="1:13" x14ac:dyDescent="0.2">
      <c r="A624" s="193">
        <v>375</v>
      </c>
      <c r="B624" s="193" t="s">
        <v>1885</v>
      </c>
      <c r="C624" s="193" t="s">
        <v>650</v>
      </c>
      <c r="D624" s="193" t="s">
        <v>650</v>
      </c>
      <c r="E624" s="193" t="s">
        <v>650</v>
      </c>
      <c r="F624" s="193" t="s">
        <v>650</v>
      </c>
      <c r="G624" s="193" t="s">
        <v>661</v>
      </c>
      <c r="H624" s="193" t="s">
        <v>650</v>
      </c>
      <c r="I624" s="193" t="s">
        <v>650</v>
      </c>
      <c r="J624" s="193" t="s">
        <v>676</v>
      </c>
      <c r="K624" s="193" t="s">
        <v>650</v>
      </c>
      <c r="L624" s="193" t="s">
        <v>1880</v>
      </c>
      <c r="M624" s="199" t="str">
        <f t="shared" si="12"/>
        <v>View on Google Map</v>
      </c>
    </row>
    <row r="625" spans="1:13" x14ac:dyDescent="0.2">
      <c r="A625" s="193">
        <v>376</v>
      </c>
      <c r="B625" s="193" t="s">
        <v>1886</v>
      </c>
      <c r="C625" s="193" t="s">
        <v>650</v>
      </c>
      <c r="D625" s="193" t="s">
        <v>650</v>
      </c>
      <c r="E625" s="193" t="s">
        <v>650</v>
      </c>
      <c r="F625" s="193" t="s">
        <v>650</v>
      </c>
      <c r="G625" s="193" t="s">
        <v>661</v>
      </c>
      <c r="H625" s="193" t="s">
        <v>650</v>
      </c>
      <c r="I625" s="193" t="s">
        <v>650</v>
      </c>
      <c r="J625" s="193" t="s">
        <v>676</v>
      </c>
      <c r="K625" s="193" t="s">
        <v>650</v>
      </c>
      <c r="L625" s="193" t="s">
        <v>1880</v>
      </c>
      <c r="M625" s="199" t="str">
        <f t="shared" si="12"/>
        <v>View on Google Map</v>
      </c>
    </row>
    <row r="626" spans="1:13" x14ac:dyDescent="0.2">
      <c r="A626" s="193">
        <v>377</v>
      </c>
      <c r="B626" s="193" t="s">
        <v>1887</v>
      </c>
      <c r="C626" s="193" t="s">
        <v>650</v>
      </c>
      <c r="D626" s="193" t="s">
        <v>650</v>
      </c>
      <c r="E626" s="193" t="s">
        <v>650</v>
      </c>
      <c r="F626" s="193" t="s">
        <v>650</v>
      </c>
      <c r="G626" s="193" t="s">
        <v>661</v>
      </c>
      <c r="H626" s="193" t="s">
        <v>650</v>
      </c>
      <c r="I626" s="193" t="s">
        <v>650</v>
      </c>
      <c r="J626" s="193" t="s">
        <v>676</v>
      </c>
      <c r="K626" s="193" t="s">
        <v>650</v>
      </c>
      <c r="L626" s="193" t="s">
        <v>1880</v>
      </c>
      <c r="M626" s="199" t="str">
        <f t="shared" si="12"/>
        <v>View on Google Map</v>
      </c>
    </row>
    <row r="627" spans="1:13" x14ac:dyDescent="0.2">
      <c r="A627" s="193">
        <v>378</v>
      </c>
      <c r="B627" s="193" t="s">
        <v>1888</v>
      </c>
      <c r="C627" s="193" t="s">
        <v>650</v>
      </c>
      <c r="D627" s="193" t="s">
        <v>650</v>
      </c>
      <c r="E627" s="193" t="s">
        <v>650</v>
      </c>
      <c r="F627" s="193" t="s">
        <v>650</v>
      </c>
      <c r="G627" s="193" t="s">
        <v>661</v>
      </c>
      <c r="H627" s="193" t="s">
        <v>650</v>
      </c>
      <c r="I627" s="193" t="s">
        <v>650</v>
      </c>
      <c r="J627" s="193" t="s">
        <v>676</v>
      </c>
      <c r="K627" s="193" t="s">
        <v>650</v>
      </c>
      <c r="L627" s="193" t="s">
        <v>1880</v>
      </c>
      <c r="M627" s="199" t="str">
        <f t="shared" si="12"/>
        <v>View on Google Map</v>
      </c>
    </row>
    <row r="628" spans="1:13" x14ac:dyDescent="0.2">
      <c r="A628" s="193">
        <v>379</v>
      </c>
      <c r="B628" s="193" t="s">
        <v>1889</v>
      </c>
      <c r="C628" s="193" t="s">
        <v>650</v>
      </c>
      <c r="D628" s="193" t="s">
        <v>650</v>
      </c>
      <c r="E628" s="193" t="s">
        <v>650</v>
      </c>
      <c r="F628" s="193" t="s">
        <v>650</v>
      </c>
      <c r="G628" s="193" t="s">
        <v>661</v>
      </c>
      <c r="H628" s="193" t="s">
        <v>650</v>
      </c>
      <c r="I628" s="193" t="s">
        <v>650</v>
      </c>
      <c r="J628" s="193" t="s">
        <v>676</v>
      </c>
      <c r="K628" s="193" t="s">
        <v>650</v>
      </c>
      <c r="L628" s="193" t="s">
        <v>1880</v>
      </c>
      <c r="M628" s="199" t="str">
        <f t="shared" si="12"/>
        <v>View on Google Map</v>
      </c>
    </row>
    <row r="629" spans="1:13" x14ac:dyDescent="0.2">
      <c r="A629" s="193">
        <v>458</v>
      </c>
      <c r="B629" s="193" t="s">
        <v>1890</v>
      </c>
      <c r="C629" s="193" t="s">
        <v>650</v>
      </c>
      <c r="D629" s="193">
        <v>68.986329999999995</v>
      </c>
      <c r="E629" s="193">
        <v>-149.89803000000001</v>
      </c>
      <c r="F629" s="193">
        <v>419</v>
      </c>
      <c r="G629" s="193" t="s">
        <v>661</v>
      </c>
      <c r="H629" s="193" t="s">
        <v>650</v>
      </c>
      <c r="I629" s="193" t="s">
        <v>650</v>
      </c>
      <c r="J629" s="193" t="s">
        <v>662</v>
      </c>
      <c r="K629" s="193" t="s">
        <v>650</v>
      </c>
      <c r="L629" s="193" t="s">
        <v>650</v>
      </c>
      <c r="M629" s="199" t="str">
        <f t="shared" si="12"/>
        <v>View on Google Map</v>
      </c>
    </row>
    <row r="630" spans="1:13" x14ac:dyDescent="0.2">
      <c r="A630" s="193">
        <v>459</v>
      </c>
      <c r="B630" s="193" t="s">
        <v>1891</v>
      </c>
      <c r="C630" s="193" t="s">
        <v>650</v>
      </c>
      <c r="D630" s="193">
        <v>68.983530000000002</v>
      </c>
      <c r="E630" s="193">
        <v>-149.89436000000001</v>
      </c>
      <c r="F630" s="193">
        <v>408</v>
      </c>
      <c r="G630" s="193" t="s">
        <v>661</v>
      </c>
      <c r="H630" s="193" t="s">
        <v>650</v>
      </c>
      <c r="I630" s="193" t="s">
        <v>650</v>
      </c>
      <c r="J630" s="193" t="s">
        <v>662</v>
      </c>
      <c r="K630" s="193" t="s">
        <v>650</v>
      </c>
      <c r="L630" s="193" t="s">
        <v>650</v>
      </c>
      <c r="M630" s="199" t="str">
        <f t="shared" si="12"/>
        <v>View on Google Map</v>
      </c>
    </row>
    <row r="631" spans="1:13" x14ac:dyDescent="0.2">
      <c r="A631" s="193">
        <v>460</v>
      </c>
      <c r="B631" s="193" t="s">
        <v>1892</v>
      </c>
      <c r="C631" s="193" t="s">
        <v>650</v>
      </c>
      <c r="D631" s="193">
        <v>68.978710000000007</v>
      </c>
      <c r="E631" s="193">
        <v>-149.89182</v>
      </c>
      <c r="F631" s="193">
        <v>394</v>
      </c>
      <c r="G631" s="193" t="s">
        <v>661</v>
      </c>
      <c r="H631" s="193" t="s">
        <v>650</v>
      </c>
      <c r="I631" s="193" t="s">
        <v>650</v>
      </c>
      <c r="J631" s="193" t="s">
        <v>662</v>
      </c>
      <c r="K631" s="193" t="s">
        <v>650</v>
      </c>
      <c r="L631" s="193" t="s">
        <v>650</v>
      </c>
      <c r="M631" s="199" t="str">
        <f t="shared" si="12"/>
        <v>View on Google Map</v>
      </c>
    </row>
    <row r="632" spans="1:13" x14ac:dyDescent="0.2">
      <c r="A632" s="193">
        <v>461</v>
      </c>
      <c r="B632" s="193" t="s">
        <v>1893</v>
      </c>
      <c r="C632" s="193" t="s">
        <v>650</v>
      </c>
      <c r="D632" s="193">
        <v>68.861750000000001</v>
      </c>
      <c r="E632" s="193">
        <v>-149.03908000000001</v>
      </c>
      <c r="F632" s="193">
        <v>651</v>
      </c>
      <c r="G632" s="193" t="s">
        <v>661</v>
      </c>
      <c r="H632" s="193" t="s">
        <v>650</v>
      </c>
      <c r="I632" s="193" t="s">
        <v>650</v>
      </c>
      <c r="J632" s="193" t="s">
        <v>662</v>
      </c>
      <c r="K632" s="193" t="s">
        <v>650</v>
      </c>
      <c r="L632" s="193" t="s">
        <v>650</v>
      </c>
      <c r="M632" s="199" t="str">
        <f t="shared" si="12"/>
        <v>View on Google Map</v>
      </c>
    </row>
    <row r="633" spans="1:13" x14ac:dyDescent="0.2">
      <c r="A633" s="193">
        <v>462</v>
      </c>
      <c r="B633" s="193" t="s">
        <v>1894</v>
      </c>
      <c r="C633" s="193" t="s">
        <v>650</v>
      </c>
      <c r="D633" s="193">
        <v>68.867549999999994</v>
      </c>
      <c r="E633" s="193">
        <v>-149.03557000000001</v>
      </c>
      <c r="F633" s="193">
        <v>638</v>
      </c>
      <c r="G633" s="193" t="s">
        <v>661</v>
      </c>
      <c r="H633" s="193" t="s">
        <v>650</v>
      </c>
      <c r="I633" s="193" t="s">
        <v>650</v>
      </c>
      <c r="J633" s="193" t="s">
        <v>662</v>
      </c>
      <c r="K633" s="193" t="s">
        <v>650</v>
      </c>
      <c r="L633" s="193" t="s">
        <v>650</v>
      </c>
      <c r="M633" s="199" t="str">
        <f t="shared" si="12"/>
        <v>View on Google Map</v>
      </c>
    </row>
    <row r="634" spans="1:13" x14ac:dyDescent="0.2">
      <c r="A634" s="200">
        <v>463</v>
      </c>
      <c r="B634" s="200" t="s">
        <v>1895</v>
      </c>
      <c r="C634" s="200" t="s">
        <v>650</v>
      </c>
      <c r="D634" s="200">
        <v>68.873149999999995</v>
      </c>
      <c r="E634" s="200">
        <v>-149.04128</v>
      </c>
      <c r="F634" s="200">
        <v>637</v>
      </c>
      <c r="G634" s="200" t="s">
        <v>661</v>
      </c>
      <c r="H634" s="200" t="s">
        <v>650</v>
      </c>
      <c r="I634" s="200" t="s">
        <v>650</v>
      </c>
      <c r="J634" s="200" t="s">
        <v>662</v>
      </c>
      <c r="K634" s="200" t="s">
        <v>650</v>
      </c>
      <c r="L634" s="200" t="s">
        <v>650</v>
      </c>
      <c r="M634" s="199" t="str">
        <f t="shared" si="12"/>
        <v>View on Google Map</v>
      </c>
    </row>
    <row r="635" spans="1:13" x14ac:dyDescent="0.2">
      <c r="A635" s="193">
        <v>129</v>
      </c>
      <c r="B635" s="193" t="s">
        <v>1896</v>
      </c>
      <c r="C635" s="193" t="s">
        <v>1736</v>
      </c>
      <c r="D635" s="193">
        <v>69.966666666666669</v>
      </c>
      <c r="E635" s="193">
        <v>-148.73333333333301</v>
      </c>
      <c r="F635" s="193">
        <v>57</v>
      </c>
      <c r="G635" s="193" t="s">
        <v>661</v>
      </c>
      <c r="H635" s="193" t="s">
        <v>1897</v>
      </c>
      <c r="I635" s="193" t="s">
        <v>650</v>
      </c>
      <c r="J635" s="193" t="s">
        <v>676</v>
      </c>
      <c r="K635" s="193" t="s">
        <v>650</v>
      </c>
      <c r="L635" s="193" t="s">
        <v>677</v>
      </c>
      <c r="M635" s="199" t="str">
        <f t="shared" si="12"/>
        <v>View on Google Map</v>
      </c>
    </row>
    <row r="636" spans="1:13" x14ac:dyDescent="0.2">
      <c r="A636" s="193">
        <v>17</v>
      </c>
      <c r="B636" s="193" t="s">
        <v>1898</v>
      </c>
      <c r="C636" s="193" t="s">
        <v>1899</v>
      </c>
      <c r="D636" s="193" t="s">
        <v>650</v>
      </c>
      <c r="E636" s="193" t="s">
        <v>650</v>
      </c>
      <c r="F636" s="193" t="s">
        <v>650</v>
      </c>
      <c r="G636" s="193" t="s">
        <v>675</v>
      </c>
      <c r="H636" s="193" t="s">
        <v>650</v>
      </c>
      <c r="I636" s="193" t="s">
        <v>650</v>
      </c>
      <c r="J636" s="193" t="s">
        <v>676</v>
      </c>
      <c r="K636" s="193" t="s">
        <v>650</v>
      </c>
      <c r="L636" s="193" t="s">
        <v>650</v>
      </c>
      <c r="M636" s="199" t="str">
        <f t="shared" si="12"/>
        <v>View on Google Map</v>
      </c>
    </row>
    <row r="637" spans="1:13" x14ac:dyDescent="0.2">
      <c r="A637" s="193">
        <v>530</v>
      </c>
      <c r="B637" s="193" t="s">
        <v>1900</v>
      </c>
      <c r="C637" s="193" t="s">
        <v>1056</v>
      </c>
      <c r="D637" s="193">
        <v>68.674332000000007</v>
      </c>
      <c r="E637" s="193">
        <v>-149.61694399999999</v>
      </c>
      <c r="F637" s="193">
        <v>701</v>
      </c>
      <c r="G637" s="193" t="s">
        <v>661</v>
      </c>
      <c r="H637" s="193" t="s">
        <v>650</v>
      </c>
      <c r="I637" s="193" t="s">
        <v>650</v>
      </c>
      <c r="J637" s="193" t="s">
        <v>662</v>
      </c>
      <c r="K637" s="193" t="s">
        <v>650</v>
      </c>
      <c r="L637" s="193" t="s">
        <v>1057</v>
      </c>
      <c r="M637" s="199" t="str">
        <f t="shared" si="12"/>
        <v>View on Google Map</v>
      </c>
    </row>
    <row r="638" spans="1:13" x14ac:dyDescent="0.2">
      <c r="A638" s="193">
        <v>496</v>
      </c>
      <c r="B638" s="193" t="s">
        <v>1901</v>
      </c>
      <c r="C638" s="193" t="s">
        <v>650</v>
      </c>
      <c r="D638" s="193">
        <v>68.674149999999997</v>
      </c>
      <c r="E638" s="193">
        <v>-149.61810299999999</v>
      </c>
      <c r="F638" s="193">
        <v>701</v>
      </c>
      <c r="G638" s="193" t="s">
        <v>675</v>
      </c>
      <c r="H638" s="193" t="s">
        <v>1902</v>
      </c>
      <c r="I638" s="193" t="s">
        <v>650</v>
      </c>
      <c r="J638" s="193" t="s">
        <v>1578</v>
      </c>
      <c r="K638" s="193" t="s">
        <v>650</v>
      </c>
      <c r="L638" s="193" t="s">
        <v>1057</v>
      </c>
      <c r="M638" s="199" t="str">
        <f t="shared" si="12"/>
        <v>View on Google Map</v>
      </c>
    </row>
  </sheetData>
  <autoFilter ref="A2:N638">
    <sortState ref="A3:N637">
      <sortCondition ref="B2"/>
    </sortState>
  </autoFilter>
  <conditionalFormatting sqref="B2">
    <cfRule type="cellIs" dxfId="0" priority="1" stopIfTrue="1" operator="equal">
      <formula>"NOT ASSIGNED:"</formula>
    </cfRule>
  </conditionalFormatting>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123</vt:i4>
      </vt:variant>
    </vt:vector>
  </HeadingPairs>
  <TitlesOfParts>
    <vt:vector size="128" baseType="lpstr">
      <vt:lpstr>Metadata_PF_CHN</vt:lpstr>
      <vt:lpstr>PF_CHN_Data</vt:lpstr>
      <vt:lpstr>PF_CHN_QAQC</vt:lpstr>
      <vt:lpstr>Duplicates</vt:lpstr>
      <vt:lpstr>Sites(Do NOT Edit)</vt:lpstr>
      <vt:lpstr>Metadata_PF_CHN!ABSTRACT</vt:lpstr>
      <vt:lpstr>'Sites(Do NOT Edit)'!ABSTRACT</vt:lpstr>
      <vt:lpstr>Metadata_PF_CHN!Address_line_2</vt:lpstr>
      <vt:lpstr>'Sites(Do NOT Edit)'!Address_line_2</vt:lpstr>
      <vt:lpstr>Metadata_PF_CHN!Address_line_3</vt:lpstr>
      <vt:lpstr>'Sites(Do NOT Edit)'!Address_line_3</vt:lpstr>
      <vt:lpstr>Metadata_PF_CHN!Availability_Status</vt:lpstr>
      <vt:lpstr>'Sites(Do NOT Edit)'!Availability_Status</vt:lpstr>
      <vt:lpstr>Metadata_PF_CHN!Beginning_Date</vt:lpstr>
      <vt:lpstr>'Sites(Do NOT Edit)'!Beginning_Date</vt:lpstr>
      <vt:lpstr>Metadata_PF_CHN!City</vt:lpstr>
      <vt:lpstr>'Sites(Do NOT Edit)'!City</vt:lpstr>
      <vt:lpstr>Metadata_PF_CHN!Code_Information</vt:lpstr>
      <vt:lpstr>'Sites(Do NOT Edit)'!Code_Information</vt:lpstr>
      <vt:lpstr>Metadata_PF_CHN!Country</vt:lpstr>
      <vt:lpstr>'Sites(Do NOT Edit)'!Country</vt:lpstr>
      <vt:lpstr>Metadata_PF_CHN!DATA_FILE_INFORMATION</vt:lpstr>
      <vt:lpstr>'Sites(Do NOT Edit)'!DATA_FILE_INFORMATION</vt:lpstr>
      <vt:lpstr>Metadata_PF_CHN!Data_File_Name</vt:lpstr>
      <vt:lpstr>'Sites(Do NOT Edit)'!Data_File_Name</vt:lpstr>
      <vt:lpstr>Metadata_PF_CHN!Data_File_URL</vt:lpstr>
      <vt:lpstr>'Sites(Do NOT Edit)'!Data_File_URL</vt:lpstr>
      <vt:lpstr>Metadata_PF_CHN!Data_Type</vt:lpstr>
      <vt:lpstr>'Sites(Do NOT Edit)'!Data_Type</vt:lpstr>
      <vt:lpstr>Metadata_PF_CHN!DATASET_ID</vt:lpstr>
      <vt:lpstr>'Sites(Do NOT Edit)'!DATASET_ID</vt:lpstr>
      <vt:lpstr>Metadata_PF_CHN!DATASET_TITLE</vt:lpstr>
      <vt:lpstr>'Sites(Do NOT Edit)'!DATASET_TITLE</vt:lpstr>
      <vt:lpstr>Metadata_PF_CHN!DateTime_Format</vt:lpstr>
      <vt:lpstr>'Sites(Do NOT Edit)'!DateTime_Format</vt:lpstr>
      <vt:lpstr>Metadata_PF_CHN!Distribution_URL_for_file</vt:lpstr>
      <vt:lpstr>'Sites(Do NOT Edit)'!Distribution_URL_for_file</vt:lpstr>
      <vt:lpstr>Metadata_PF_CHN!East_Bounding_Coordinate</vt:lpstr>
      <vt:lpstr>'Sites(Do NOT Edit)'!East_Bounding_Coordinate</vt:lpstr>
      <vt:lpstr>Metadata_PF_CHN!Elevation</vt:lpstr>
      <vt:lpstr>'Sites(Do NOT Edit)'!Elevation</vt:lpstr>
      <vt:lpstr>Metadata_PF_CHN!Email</vt:lpstr>
      <vt:lpstr>'Sites(Do NOT Edit)'!Email</vt:lpstr>
      <vt:lpstr>Metadata_PF_CHN!End_Date</vt:lpstr>
      <vt:lpstr>'Sites(Do NOT Edit)'!End_Date</vt:lpstr>
      <vt:lpstr>Metadata_PF_CHN!First_Name</vt:lpstr>
      <vt:lpstr>'Sites(Do NOT Edit)'!First_Name</vt:lpstr>
      <vt:lpstr>Metadata_PF_CHN!Geographic_Description</vt:lpstr>
      <vt:lpstr>'Sites(Do NOT Edit)'!Geographic_Description</vt:lpstr>
      <vt:lpstr>Metadata_PF_CHN!INVESTIGATOR_INFORMATION</vt:lpstr>
      <vt:lpstr>'Sites(Do NOT Edit)'!INVESTIGATOR_INFORMATION</vt:lpstr>
      <vt:lpstr>Metadata_PF_CHN!KEYWORD_INFORMATION</vt:lpstr>
      <vt:lpstr>'Sites(Do NOT Edit)'!KEYWORD_INFORMATION</vt:lpstr>
      <vt:lpstr>Metadata_PF_CHN!KEYWORDS</vt:lpstr>
      <vt:lpstr>'Sites(Do NOT Edit)'!KEYWORDS</vt:lpstr>
      <vt:lpstr>Metadata_PF_CHN!Last_Name</vt:lpstr>
      <vt:lpstr>'Sites(Do NOT Edit)'!Last_Name</vt:lpstr>
      <vt:lpstr>Metadata_PF_CHN!Latitude</vt:lpstr>
      <vt:lpstr>'Sites(Do NOT Edit)'!Latitude</vt:lpstr>
      <vt:lpstr>Link_to_Google_Map</vt:lpstr>
      <vt:lpstr>Metadata_PF_CHN!Location_Bounding_Box</vt:lpstr>
      <vt:lpstr>'Sites(Do NOT Edit)'!Location_Bounding_Box</vt:lpstr>
      <vt:lpstr>Metadata_PF_CHN!Location_Name</vt:lpstr>
      <vt:lpstr>'Sites(Do NOT Edit)'!Location_Name</vt:lpstr>
      <vt:lpstr>Metadata_PF_CHN!Log_of_Changes</vt:lpstr>
      <vt:lpstr>'Sites(Do NOT Edit)'!Log_of_Changes</vt:lpstr>
      <vt:lpstr>Metadata_PF_CHN!Longitude</vt:lpstr>
      <vt:lpstr>'Sites(Do NOT Edit)'!Longitude</vt:lpstr>
      <vt:lpstr>LTER_Sites_number</vt:lpstr>
      <vt:lpstr>Metadata_PF_CHN!Maintenance_Description</vt:lpstr>
      <vt:lpstr>'Sites(Do NOT Edit)'!Maintenance_Description</vt:lpstr>
      <vt:lpstr>Metadata_PF_CHN!Metacat_Package_ID</vt:lpstr>
      <vt:lpstr>'Sites(Do NOT Edit)'!Metacat_Package_ID</vt:lpstr>
      <vt:lpstr>Metadata_PF_CHN!METHODS</vt:lpstr>
      <vt:lpstr>'Sites(Do NOT Edit)'!METHODS</vt:lpstr>
      <vt:lpstr>Metadata_PF_CHN!Missing_Value_Code</vt:lpstr>
      <vt:lpstr>'Sites(Do NOT Edit)'!Missing_Value_Code</vt:lpstr>
      <vt:lpstr>Metadata_PF_CHN!North_Bounding_Coordinate</vt:lpstr>
      <vt:lpstr>'Sites(Do NOT Edit)'!North_Bounding_Coordinate</vt:lpstr>
      <vt:lpstr>Metadata_PF_CHN!Number_of_Data_Records</vt:lpstr>
      <vt:lpstr>'Sites(Do NOT Edit)'!Number_of_Data_Records</vt:lpstr>
      <vt:lpstr>Metadata_PF_CHN!OR</vt:lpstr>
      <vt:lpstr>'Sites(Do NOT Edit)'!OR</vt:lpstr>
      <vt:lpstr>Metadata_PF_CHN!OR_if_single_point_location</vt:lpstr>
      <vt:lpstr>'Sites(Do NOT Edit)'!OR_if_single_point_location</vt:lpstr>
      <vt:lpstr>Metadata_PF_CHN!Organisms_studied</vt:lpstr>
      <vt:lpstr>'Sites(Do NOT Edit)'!Organisms_studied</vt:lpstr>
      <vt:lpstr>Metadata_PF_CHN!Organization</vt:lpstr>
      <vt:lpstr>'Sites(Do NOT Edit)'!Organization</vt:lpstr>
      <vt:lpstr>Metadata_PF_CHN!Other_Files_to_Reference</vt:lpstr>
      <vt:lpstr>'Sites(Do NOT Edit)'!Other_Files_to_Reference</vt:lpstr>
      <vt:lpstr>Metadata_PF_CHN!Protocol_Document</vt:lpstr>
      <vt:lpstr>'Sites(Do NOT Edit)'!Protocol_Document</vt:lpstr>
      <vt:lpstr>Metadata_PF_CHN!Protocol_Title</vt:lpstr>
      <vt:lpstr>'Sites(Do NOT Edit)'!Protocol_Title</vt:lpstr>
      <vt:lpstr>Metadata_PF_CHN!Quality_Control_Information</vt:lpstr>
      <vt:lpstr>'Sites(Do NOT Edit)'!Quality_Control_Information</vt:lpstr>
      <vt:lpstr>Metadata_PF_CHN!RESEARCH_LOCATION</vt:lpstr>
      <vt:lpstr>'Sites(Do NOT Edit)'!RESEARCH_LOCATION</vt:lpstr>
      <vt:lpstr>Metadata_PF_CHN!Role</vt:lpstr>
      <vt:lpstr>'Sites(Do NOT Edit)'!Role</vt:lpstr>
      <vt:lpstr>Metadata_PF_CHN!Sampling_and_or_Lab_Protocols</vt:lpstr>
      <vt:lpstr>'Sites(Do NOT Edit)'!Sampling_and_or_Lab_Protocols</vt:lpstr>
      <vt:lpstr>Site_name</vt:lpstr>
      <vt:lpstr>Site_name_list</vt:lpstr>
      <vt:lpstr>Sites</vt:lpstr>
      <vt:lpstr>Metadata_PF_CHN!South_Bounding_Coordinate</vt:lpstr>
      <vt:lpstr>'Sites(Do NOT Edit)'!South_Bounding_Coordinate</vt:lpstr>
      <vt:lpstr>Metadata_PF_CHN!State</vt:lpstr>
      <vt:lpstr>'Sites(Do NOT Edit)'!State</vt:lpstr>
      <vt:lpstr>Metadata_PF_CHN!TAXONOMIC_COVERAGE</vt:lpstr>
      <vt:lpstr>'Sites(Do NOT Edit)'!TAXONOMIC_COVERAGE</vt:lpstr>
      <vt:lpstr>Metadata_PF_CHN!Units</vt:lpstr>
      <vt:lpstr>'Sites(Do NOT Edit)'!Units</vt:lpstr>
      <vt:lpstr>Metadata_PF_CHN!URL_of_online_Protocol</vt:lpstr>
      <vt:lpstr>'Sites(Do NOT Edit)'!URL_of_online_Protocol</vt:lpstr>
      <vt:lpstr>Metadata_PF_CHN!Variable_Description</vt:lpstr>
      <vt:lpstr>'Sites(Do NOT Edit)'!Variable_Description</vt:lpstr>
      <vt:lpstr>Metadata_PF_CHN!VARIABLE_DESCRIPTIONS</vt:lpstr>
      <vt:lpstr>'Sites(Do NOT Edit)'!VARIABLE_DESCRIPTIONS</vt:lpstr>
      <vt:lpstr>Metadata_PF_CHN!Variable_Name</vt:lpstr>
      <vt:lpstr>'Sites(Do NOT Edit)'!Variable_Name</vt:lpstr>
      <vt:lpstr>Metadata_PF_CHN!West_Bounding_Coordinate</vt:lpstr>
      <vt:lpstr>'Sites(Do NOT Edit)'!West_Bounding_Coordinate</vt:lpstr>
      <vt:lpstr>Metadata_PF_CHN!Year_Released_to_Public</vt:lpstr>
      <vt:lpstr>'Sites(Do NOT Edit)'!Year_Released_to_Public</vt:lpstr>
      <vt:lpstr>Metadata_PF_CHN!Zip_Code</vt:lpstr>
      <vt:lpstr>'Sites(Do NOT Edit)'!Zip_Code</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Laura</dc:creator>
  <cp:lastModifiedBy>jiml</cp:lastModifiedBy>
  <cp:lastPrinted>2012-11-13T18:28:56Z</cp:lastPrinted>
  <dcterms:created xsi:type="dcterms:W3CDTF">2012-09-20T14:47:35Z</dcterms:created>
  <dcterms:modified xsi:type="dcterms:W3CDTF">2013-05-22T22:35:11Z</dcterms:modified>
</cp:coreProperties>
</file>