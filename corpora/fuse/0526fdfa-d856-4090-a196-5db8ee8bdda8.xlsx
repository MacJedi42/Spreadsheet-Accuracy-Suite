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5" windowWidth="22980" windowHeight="9345"/>
  </bookViews>
  <sheets>
    <sheet name="Trajectory_Table_for_UCA" sheetId="8" r:id="rId1"/>
  </sheets>
  <definedNames>
    <definedName name="_xlnm.Print_Area" localSheetId="0">Trajectory_Table_for_UCA!$B$2:$H$99</definedName>
  </definedNames>
  <calcPr calcId="145621"/>
</workbook>
</file>

<file path=xl/calcChain.xml><?xml version="1.0" encoding="utf-8"?>
<calcChain xmlns="http://schemas.openxmlformats.org/spreadsheetml/2006/main">
  <c r="D15" i="8" l="1"/>
  <c r="B6" i="8"/>
  <c r="B7" i="8" s="1"/>
  <c r="B8" i="8" l="1"/>
  <c r="B9" i="8" l="1"/>
  <c r="B10" i="8" l="1"/>
  <c r="B11" i="8" s="1"/>
  <c r="B12" i="8" s="1"/>
  <c r="B13" i="8" s="1"/>
  <c r="B14" i="8" s="1"/>
  <c r="B15" i="8" s="1"/>
  <c r="E15" i="8" l="1"/>
  <c r="B16" i="8"/>
  <c r="D16" i="8" l="1"/>
  <c r="E16" i="8"/>
  <c r="B17" i="8"/>
  <c r="D17" i="8" l="1"/>
  <c r="E17" i="8"/>
  <c r="B18" i="8"/>
  <c r="D18" i="8" l="1"/>
  <c r="E18" i="8"/>
  <c r="B19" i="8"/>
  <c r="D19" i="8" l="1"/>
  <c r="E19" i="8"/>
  <c r="B20" i="8"/>
  <c r="D20" i="8" l="1"/>
  <c r="E20" i="8"/>
  <c r="B21" i="8"/>
  <c r="D21" i="8" l="1"/>
  <c r="E21" i="8"/>
  <c r="B22" i="8"/>
  <c r="D22" i="8" l="1"/>
  <c r="E22" i="8" s="1"/>
  <c r="B23" i="8"/>
  <c r="D23" i="8" l="1"/>
  <c r="E23" i="8" s="1"/>
  <c r="B24" i="8"/>
  <c r="D24" i="8" l="1"/>
  <c r="E24" i="8" s="1"/>
  <c r="B25" i="8"/>
  <c r="F24" i="8"/>
  <c r="D25" i="8" l="1"/>
  <c r="E25" i="8"/>
  <c r="G24" i="8"/>
  <c r="H24" i="8" s="1"/>
  <c r="B26" i="8"/>
  <c r="F25" i="8"/>
  <c r="D26" i="8" l="1"/>
  <c r="E26" i="8"/>
  <c r="G25" i="8"/>
  <c r="H25" i="8" s="1"/>
  <c r="F26" i="8"/>
  <c r="B27" i="8"/>
  <c r="D27" i="8" l="1"/>
  <c r="E27" i="8"/>
  <c r="B28" i="8"/>
  <c r="F27" i="8"/>
  <c r="G26" i="8"/>
  <c r="H26" i="8" s="1"/>
  <c r="D28" i="8" l="1"/>
  <c r="E28" i="8"/>
  <c r="G27" i="8"/>
  <c r="H27" i="8" s="1"/>
  <c r="B29" i="8"/>
  <c r="F28" i="8"/>
  <c r="D29" i="8" l="1"/>
  <c r="E29" i="8"/>
  <c r="G28" i="8"/>
  <c r="H28" i="8" s="1"/>
  <c r="B30" i="8"/>
  <c r="F29" i="8"/>
  <c r="D30" i="8" l="1"/>
  <c r="E30" i="8"/>
  <c r="F30" i="8"/>
  <c r="B31" i="8"/>
  <c r="G29" i="8"/>
  <c r="H29" i="8" s="1"/>
  <c r="D31" i="8" l="1"/>
  <c r="E31" i="8"/>
  <c r="B32" i="8"/>
  <c r="F31" i="8"/>
  <c r="G30" i="8"/>
  <c r="H30" i="8" s="1"/>
  <c r="D32" i="8" l="1"/>
  <c r="E32" i="8"/>
  <c r="G31" i="8"/>
  <c r="H31" i="8" s="1"/>
  <c r="B33" i="8"/>
  <c r="F32" i="8"/>
  <c r="D33" i="8" l="1"/>
  <c r="E33" i="8"/>
  <c r="G32" i="8"/>
  <c r="H32" i="8" s="1"/>
  <c r="B34" i="8"/>
  <c r="F33" i="8"/>
  <c r="D34" i="8" l="1"/>
  <c r="E34" i="8"/>
  <c r="G33" i="8"/>
  <c r="H33" i="8" s="1"/>
  <c r="F34" i="8"/>
  <c r="B35" i="8"/>
  <c r="D35" i="8" l="1"/>
  <c r="E35" i="8"/>
  <c r="B36" i="8"/>
  <c r="F35" i="8"/>
  <c r="G34" i="8"/>
  <c r="H34" i="8" s="1"/>
  <c r="D36" i="8" l="1"/>
  <c r="E36" i="8"/>
  <c r="G35" i="8"/>
  <c r="H35" i="8" s="1"/>
  <c r="B37" i="8"/>
  <c r="F36" i="8"/>
  <c r="D37" i="8" l="1"/>
  <c r="E37" i="8"/>
  <c r="B38" i="8"/>
  <c r="F37" i="8"/>
  <c r="G36" i="8"/>
  <c r="H36" i="8" s="1"/>
  <c r="D38" i="8" l="1"/>
  <c r="E38" i="8"/>
  <c r="G37" i="8"/>
  <c r="H37" i="8" s="1"/>
  <c r="B39" i="8"/>
  <c r="F38" i="8"/>
  <c r="D39" i="8" l="1"/>
  <c r="E39" i="8"/>
  <c r="G38" i="8"/>
  <c r="H38" i="8" s="1"/>
  <c r="B40" i="8"/>
  <c r="F39" i="8"/>
  <c r="D40" i="8" l="1"/>
  <c r="E40" i="8"/>
  <c r="B41" i="8"/>
  <c r="F40" i="8"/>
  <c r="G39" i="8"/>
  <c r="H39" i="8" s="1"/>
  <c r="D41" i="8" l="1"/>
  <c r="E41" i="8"/>
  <c r="G40" i="8"/>
  <c r="H40" i="8" s="1"/>
  <c r="B42" i="8"/>
  <c r="F41" i="8"/>
  <c r="D42" i="8" l="1"/>
  <c r="E42" i="8"/>
  <c r="G41" i="8"/>
  <c r="H41" i="8" s="1"/>
  <c r="F42" i="8"/>
  <c r="B43" i="8"/>
  <c r="D43" i="8" l="1"/>
  <c r="E43" i="8"/>
  <c r="F43" i="8"/>
  <c r="B44" i="8"/>
  <c r="G42" i="8"/>
  <c r="H42" i="8" s="1"/>
  <c r="D44" i="8" l="1"/>
  <c r="E44" i="8"/>
  <c r="B45" i="8"/>
  <c r="F44" i="8"/>
  <c r="G43" i="8"/>
  <c r="H43" i="8" s="1"/>
  <c r="D45" i="8" l="1"/>
  <c r="E45" i="8"/>
  <c r="G44" i="8"/>
  <c r="H44" i="8" s="1"/>
  <c r="B46" i="8"/>
  <c r="F45" i="8"/>
  <c r="D46" i="8" l="1"/>
  <c r="E46" i="8"/>
  <c r="F46" i="8"/>
  <c r="B47" i="8"/>
  <c r="G45" i="8"/>
  <c r="H45" i="8" s="1"/>
  <c r="D47" i="8" l="1"/>
  <c r="E47" i="8"/>
  <c r="F47" i="8"/>
  <c r="B48" i="8"/>
  <c r="G46" i="8"/>
  <c r="H46" i="8" s="1"/>
  <c r="D48" i="8" l="1"/>
  <c r="E48" i="8"/>
  <c r="B49" i="8"/>
  <c r="F48" i="8"/>
  <c r="G47" i="8"/>
  <c r="H47" i="8" s="1"/>
  <c r="D49" i="8" l="1"/>
  <c r="E49" i="8"/>
  <c r="G48" i="8"/>
  <c r="H48" i="8" s="1"/>
  <c r="B50" i="8"/>
  <c r="F49" i="8"/>
  <c r="D50" i="8" l="1"/>
  <c r="E50" i="8"/>
  <c r="G49" i="8"/>
  <c r="H49" i="8" s="1"/>
  <c r="F50" i="8"/>
  <c r="B51" i="8"/>
  <c r="D51" i="8" l="1"/>
  <c r="E51" i="8"/>
  <c r="B52" i="8"/>
  <c r="F51" i="8"/>
  <c r="G50" i="8"/>
  <c r="H50" i="8" s="1"/>
  <c r="D52" i="8" l="1"/>
  <c r="E52" i="8"/>
  <c r="G51" i="8"/>
  <c r="H51" i="8" s="1"/>
  <c r="B53" i="8"/>
  <c r="F52" i="8"/>
  <c r="D53" i="8" l="1"/>
  <c r="E53" i="8"/>
  <c r="G52" i="8"/>
  <c r="H52" i="8" s="1"/>
  <c r="B54" i="8"/>
  <c r="F53" i="8"/>
  <c r="D54" i="8" l="1"/>
  <c r="E54" i="8"/>
  <c r="G53" i="8"/>
  <c r="H53" i="8" s="1"/>
  <c r="F54" i="8"/>
  <c r="B55" i="8"/>
  <c r="D55" i="8" l="1"/>
  <c r="E55" i="8"/>
  <c r="B56" i="8"/>
  <c r="F55" i="8"/>
  <c r="G54" i="8"/>
  <c r="H54" i="8" s="1"/>
  <c r="D56" i="8" l="1"/>
  <c r="E56" i="8"/>
  <c r="G55" i="8"/>
  <c r="H55" i="8" s="1"/>
  <c r="B57" i="8"/>
  <c r="F56" i="8"/>
  <c r="D57" i="8" l="1"/>
  <c r="E57" i="8"/>
  <c r="B58" i="8"/>
  <c r="F57" i="8"/>
  <c r="G56" i="8"/>
  <c r="H56" i="8" s="1"/>
  <c r="D58" i="8" l="1"/>
  <c r="E58" i="8"/>
  <c r="B59" i="8"/>
  <c r="F58" i="8"/>
  <c r="G57" i="8"/>
  <c r="H57" i="8" s="1"/>
  <c r="D59" i="8" l="1"/>
  <c r="E59" i="8"/>
  <c r="G58" i="8"/>
  <c r="H58" i="8" s="1"/>
  <c r="F59" i="8"/>
  <c r="B60" i="8"/>
  <c r="D60" i="8" l="1"/>
  <c r="E60" i="8"/>
  <c r="B61" i="8"/>
  <c r="F60" i="8"/>
  <c r="G59" i="8"/>
  <c r="H59" i="8" s="1"/>
  <c r="D61" i="8" l="1"/>
  <c r="E61" i="8"/>
  <c r="G60" i="8"/>
  <c r="H60" i="8" s="1"/>
  <c r="F61" i="8"/>
  <c r="B62" i="8"/>
  <c r="D62" i="8" l="1"/>
  <c r="E62" i="8"/>
  <c r="B63" i="8"/>
  <c r="F62" i="8"/>
  <c r="G61" i="8"/>
  <c r="H61" i="8" s="1"/>
  <c r="D63" i="8" l="1"/>
  <c r="E63" i="8"/>
  <c r="B64" i="8"/>
  <c r="F63" i="8"/>
  <c r="G62" i="8"/>
  <c r="H62" i="8" s="1"/>
  <c r="D64" i="8" l="1"/>
  <c r="E64" i="8"/>
  <c r="B65" i="8"/>
  <c r="F64" i="8"/>
  <c r="G63" i="8"/>
  <c r="H63" i="8" s="1"/>
  <c r="D65" i="8" l="1"/>
  <c r="E65" i="8"/>
  <c r="B66" i="8"/>
  <c r="F65" i="8"/>
  <c r="G64" i="8"/>
  <c r="H64" i="8" s="1"/>
  <c r="D66" i="8" l="1"/>
  <c r="E66" i="8"/>
  <c r="G65" i="8"/>
  <c r="H65" i="8" s="1"/>
  <c r="F66" i="8"/>
  <c r="B67" i="8"/>
  <c r="D67" i="8" l="1"/>
  <c r="E67" i="8"/>
  <c r="F67" i="8"/>
  <c r="B68" i="8"/>
  <c r="G66" i="8"/>
  <c r="H66" i="8" s="1"/>
  <c r="D68" i="8" l="1"/>
  <c r="E68" i="8"/>
  <c r="F68" i="8"/>
  <c r="B69" i="8"/>
  <c r="G67" i="8"/>
  <c r="H67" i="8" s="1"/>
  <c r="D69" i="8" l="1"/>
  <c r="E69" i="8"/>
  <c r="F69" i="8"/>
  <c r="B70" i="8"/>
  <c r="G68" i="8"/>
  <c r="H68" i="8" s="1"/>
  <c r="D70" i="8" l="1"/>
  <c r="E70" i="8"/>
  <c r="F70" i="8"/>
  <c r="B71" i="8"/>
  <c r="G69" i="8"/>
  <c r="H69" i="8" s="1"/>
  <c r="D71" i="8" l="1"/>
  <c r="E71" i="8"/>
  <c r="B72" i="8"/>
  <c r="F71" i="8"/>
  <c r="G70" i="8"/>
  <c r="H70" i="8" s="1"/>
  <c r="D72" i="8" l="1"/>
  <c r="E72" i="8"/>
  <c r="G71" i="8"/>
  <c r="H71" i="8" s="1"/>
  <c r="B73" i="8"/>
  <c r="F72" i="8"/>
  <c r="D73" i="8" l="1"/>
  <c r="E73" i="8"/>
  <c r="G72" i="8"/>
  <c r="H72" i="8" s="1"/>
  <c r="B74" i="8"/>
  <c r="F73" i="8"/>
  <c r="D74" i="8" l="1"/>
  <c r="E74" i="8"/>
  <c r="G73" i="8"/>
  <c r="H73" i="8" s="1"/>
  <c r="F74" i="8"/>
  <c r="B75" i="8"/>
  <c r="D75" i="8" l="1"/>
  <c r="E75" i="8"/>
  <c r="F75" i="8"/>
  <c r="B76" i="8"/>
  <c r="G74" i="8"/>
  <c r="H74" i="8" s="1"/>
  <c r="D76" i="8" l="1"/>
  <c r="E76" i="8"/>
  <c r="F76" i="8"/>
  <c r="B77" i="8"/>
  <c r="G75" i="8"/>
  <c r="H75" i="8" s="1"/>
  <c r="D77" i="8" l="1"/>
  <c r="E77" i="8"/>
  <c r="B78" i="8"/>
  <c r="F77" i="8"/>
  <c r="G76" i="8"/>
  <c r="H76" i="8" s="1"/>
  <c r="D78" i="8" l="1"/>
  <c r="E78" i="8"/>
  <c r="G77" i="8"/>
  <c r="H77" i="8" s="1"/>
  <c r="F78" i="8"/>
  <c r="B79" i="8"/>
  <c r="D79" i="8" l="1"/>
  <c r="E79" i="8"/>
  <c r="B80" i="8"/>
  <c r="F79" i="8"/>
  <c r="G78" i="8"/>
  <c r="H78" i="8" s="1"/>
  <c r="D80" i="8" l="1"/>
  <c r="E80" i="8"/>
  <c r="G79" i="8"/>
  <c r="H79" i="8" s="1"/>
  <c r="F80" i="8"/>
  <c r="B81" i="8"/>
  <c r="D81" i="8" l="1"/>
  <c r="E81" i="8"/>
  <c r="B82" i="8"/>
  <c r="F81" i="8"/>
  <c r="G80" i="8"/>
  <c r="H80" i="8" s="1"/>
  <c r="D82" i="8" l="1"/>
  <c r="E82" i="8"/>
  <c r="G81" i="8"/>
  <c r="H81" i="8" s="1"/>
  <c r="F82" i="8"/>
  <c r="B83" i="8"/>
  <c r="D83" i="8" l="1"/>
  <c r="E83" i="8"/>
  <c r="F83" i="8"/>
  <c r="B84" i="8"/>
  <c r="G82" i="8"/>
  <c r="H82" i="8" s="1"/>
  <c r="D84" i="8" l="1"/>
  <c r="E84" i="8"/>
  <c r="F84" i="8"/>
  <c r="B85" i="8"/>
  <c r="G83" i="8"/>
  <c r="H83" i="8" s="1"/>
  <c r="D85" i="8" l="1"/>
  <c r="E85" i="8"/>
  <c r="B86" i="8"/>
  <c r="F85" i="8"/>
  <c r="G84" i="8"/>
  <c r="H84" i="8" s="1"/>
  <c r="D86" i="8" l="1"/>
  <c r="E86" i="8"/>
  <c r="G85" i="8"/>
  <c r="H85" i="8" s="1"/>
  <c r="B87" i="8"/>
  <c r="F86" i="8"/>
  <c r="D87" i="8" l="1"/>
  <c r="E87" i="8"/>
  <c r="G86" i="8"/>
  <c r="H86" i="8" s="1"/>
  <c r="F87" i="8"/>
  <c r="B88" i="8"/>
  <c r="D88" i="8" l="1"/>
  <c r="E88" i="8"/>
  <c r="B89" i="8"/>
  <c r="F88" i="8"/>
  <c r="G87" i="8"/>
  <c r="H87" i="8" s="1"/>
  <c r="D89" i="8" l="1"/>
  <c r="E89" i="8"/>
  <c r="G88" i="8"/>
  <c r="H88" i="8" s="1"/>
  <c r="B90" i="8"/>
  <c r="F89" i="8"/>
  <c r="D90" i="8" l="1"/>
  <c r="E90" i="8"/>
  <c r="F90" i="8"/>
  <c r="B91" i="8"/>
  <c r="G89" i="8"/>
  <c r="H89" i="8" s="1"/>
  <c r="D91" i="8" l="1"/>
  <c r="E91" i="8"/>
  <c r="F91" i="8"/>
  <c r="B92" i="8"/>
  <c r="G90" i="8"/>
  <c r="H90" i="8" s="1"/>
  <c r="D92" i="8" l="1"/>
  <c r="E92" i="8"/>
  <c r="B93" i="8"/>
  <c r="F92" i="8"/>
  <c r="G91" i="8"/>
  <c r="H91" i="8" s="1"/>
  <c r="D93" i="8" l="1"/>
  <c r="E93" i="8"/>
  <c r="G92" i="8"/>
  <c r="H92" i="8" s="1"/>
  <c r="B94" i="8"/>
  <c r="F93" i="8"/>
  <c r="D94" i="8" l="1"/>
  <c r="E94" i="8"/>
  <c r="G93" i="8"/>
  <c r="H93" i="8" s="1"/>
  <c r="F94" i="8"/>
  <c r="B95" i="8"/>
  <c r="D95" i="8" l="1"/>
  <c r="E95" i="8"/>
  <c r="F95" i="8"/>
  <c r="B96" i="8"/>
  <c r="G94" i="8"/>
  <c r="H94" i="8" s="1"/>
  <c r="D96" i="8" l="1"/>
  <c r="E96" i="8"/>
  <c r="B97" i="8"/>
  <c r="F96" i="8"/>
  <c r="G95" i="8"/>
  <c r="H95" i="8" s="1"/>
  <c r="D97" i="8" l="1"/>
  <c r="E97" i="8"/>
  <c r="G96" i="8"/>
  <c r="H96" i="8" s="1"/>
  <c r="B98" i="8"/>
  <c r="F97" i="8"/>
  <c r="B99" i="8" l="1"/>
  <c r="D98" i="8"/>
  <c r="E98" i="8" s="1"/>
  <c r="G97" i="8"/>
  <c r="H97" i="8" s="1"/>
  <c r="F98" i="8"/>
  <c r="B100" i="8" l="1"/>
  <c r="D99" i="8"/>
  <c r="F99" i="8"/>
  <c r="G99" i="8" s="1"/>
  <c r="H99" i="8" s="1"/>
  <c r="E99" i="8"/>
  <c r="G98" i="8"/>
  <c r="H98" i="8" s="1"/>
  <c r="B101" i="8" l="1"/>
  <c r="F100" i="8"/>
  <c r="G100" i="8" s="1"/>
  <c r="H100" i="8" s="1"/>
  <c r="D100" i="8"/>
  <c r="E100" i="8" s="1"/>
  <c r="B102" i="8" l="1"/>
  <c r="F101" i="8"/>
  <c r="G101" i="8" s="1"/>
  <c r="H101" i="8" s="1"/>
  <c r="D101" i="8"/>
  <c r="E101" i="8" s="1"/>
  <c r="B103" i="8" l="1"/>
  <c r="F102" i="8"/>
  <c r="G102" i="8" s="1"/>
  <c r="H102" i="8" s="1"/>
  <c r="D102" i="8"/>
  <c r="E102" i="8" s="1"/>
  <c r="B104" i="8" l="1"/>
  <c r="F103" i="8"/>
  <c r="G103" i="8" s="1"/>
  <c r="H103" i="8" s="1"/>
  <c r="D103" i="8"/>
  <c r="E103" i="8" s="1"/>
  <c r="F104" i="8" l="1"/>
  <c r="G104" i="8" s="1"/>
  <c r="H104" i="8" s="1"/>
  <c r="D104" i="8"/>
  <c r="E104" i="8" s="1"/>
</calcChain>
</file>

<file path=xl/sharedStrings.xml><?xml version="1.0" encoding="utf-8"?>
<sst xmlns="http://schemas.openxmlformats.org/spreadsheetml/2006/main" count="387" uniqueCount="8">
  <si>
    <t>Ultimate Goal</t>
  </si>
  <si>
    <t>2014 Goal</t>
  </si>
  <si>
    <t>2013 Actual</t>
  </si>
  <si>
    <t>Option A</t>
  </si>
  <si>
    <t>Option B</t>
  </si>
  <si>
    <t>Average Annual Gain</t>
  </si>
  <si>
    <t>Option C</t>
  </si>
  <si>
    <t>̶―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</si>
</sst>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.000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theme="1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3" fillId="0" borderId="0" xfId="0" applyFont="1" applyBorder="1"/>
    <xf numFmtId="0" fontId="3" fillId="0" borderId="0" xfId="0" applyFont="1" applyBorder="1" applyAlignment="1">
      <alignment horizontal="centerContinuous"/>
    </xf>
    <xf numFmtId="164" fontId="3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Continuous" vertical="center"/>
    </xf>
    <xf numFmtId="164" fontId="4" fillId="0" borderId="0" xfId="2" applyNumberFormat="1" applyFont="1" applyBorder="1" applyAlignment="1">
      <alignment horizontal="right" vertical="top"/>
    </xf>
    <xf numFmtId="164" fontId="4" fillId="0" borderId="2" xfId="1" applyNumberFormat="1" applyFont="1" applyBorder="1" applyAlignment="1">
      <alignment horizontal="right" vertical="top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64" fontId="3" fillId="0" borderId="2" xfId="0" applyNumberFormat="1" applyFont="1" applyBorder="1" applyAlignment="1">
      <alignment vertical="top"/>
    </xf>
    <xf numFmtId="0" fontId="5" fillId="0" borderId="5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/>
    </xf>
    <xf numFmtId="0" fontId="3" fillId="0" borderId="4" xfId="0" applyFont="1" applyBorder="1" applyAlignment="1">
      <alignment horizontal="centerContinuous" vertical="center"/>
    </xf>
    <xf numFmtId="0" fontId="6" fillId="0" borderId="2" xfId="1" applyFont="1" applyBorder="1" applyAlignment="1">
      <alignment horizontal="center" wrapText="1"/>
    </xf>
    <xf numFmtId="0" fontId="6" fillId="0" borderId="0" xfId="1" applyFont="1" applyBorder="1" applyAlignment="1">
      <alignment horizontal="center" wrapText="1"/>
    </xf>
    <xf numFmtId="0" fontId="6" fillId="0" borderId="1" xfId="1" applyFont="1" applyBorder="1" applyAlignment="1">
      <alignment horizontal="center" wrapText="1"/>
    </xf>
    <xf numFmtId="0" fontId="6" fillId="0" borderId="3" xfId="1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165" fontId="3" fillId="0" borderId="0" xfId="0" applyNumberFormat="1" applyFont="1" applyBorder="1" applyAlignment="1">
      <alignment vertical="top"/>
    </xf>
  </cellXfs>
  <cellStyles count="3">
    <cellStyle name="Normal" xfId="0" builtinId="0"/>
    <cellStyle name="Normal_Sheet10" xfId="2"/>
    <cellStyle name="Normal_Sheet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6"/>
  <sheetViews>
    <sheetView tabSelected="1" zoomScaleNormal="100" workbookViewId="0">
      <selection activeCell="O7" sqref="O7"/>
    </sheetView>
  </sheetViews>
  <sheetFormatPr defaultColWidth="8.85546875" defaultRowHeight="12" x14ac:dyDescent="0.2"/>
  <cols>
    <col min="1" max="1" width="8.85546875" style="1"/>
    <col min="2" max="11" width="10.28515625" style="1" customWidth="1"/>
    <col min="12" max="16384" width="8.85546875" style="1"/>
  </cols>
  <sheetData>
    <row r="1" spans="2:11" ht="13.9" customHeight="1" x14ac:dyDescent="0.2"/>
    <row r="2" spans="2:11" ht="13.9" customHeight="1" x14ac:dyDescent="0.2">
      <c r="B2" s="4"/>
      <c r="C2" s="12" t="s">
        <v>3</v>
      </c>
      <c r="D2" s="13"/>
      <c r="E2" s="13"/>
      <c r="F2" s="12" t="s">
        <v>4</v>
      </c>
      <c r="G2" s="14"/>
      <c r="H2" s="14"/>
      <c r="I2" s="12" t="s">
        <v>6</v>
      </c>
      <c r="J2" s="5"/>
      <c r="K2" s="2"/>
    </row>
    <row r="3" spans="2:11" ht="24" customHeight="1" x14ac:dyDescent="0.25">
      <c r="B3" s="8" t="s">
        <v>2</v>
      </c>
      <c r="C3" s="9" t="s">
        <v>0</v>
      </c>
      <c r="D3" s="10" t="s">
        <v>5</v>
      </c>
      <c r="E3" s="10" t="s">
        <v>1</v>
      </c>
      <c r="F3" s="9" t="s">
        <v>0</v>
      </c>
      <c r="G3" s="10" t="s">
        <v>5</v>
      </c>
      <c r="H3" s="10" t="s">
        <v>1</v>
      </c>
      <c r="I3" s="9" t="s">
        <v>0</v>
      </c>
      <c r="J3" s="19" t="s">
        <v>5</v>
      </c>
      <c r="K3" s="19" t="s">
        <v>1</v>
      </c>
    </row>
    <row r="4" spans="2:11" ht="13.9" customHeight="1" x14ac:dyDescent="0.2">
      <c r="B4" s="6">
        <v>1</v>
      </c>
      <c r="C4" s="15" t="s">
        <v>7</v>
      </c>
      <c r="D4" s="17" t="s">
        <v>7</v>
      </c>
      <c r="E4" s="16" t="s">
        <v>7</v>
      </c>
      <c r="F4" s="18" t="s">
        <v>7</v>
      </c>
      <c r="G4" s="16" t="s">
        <v>7</v>
      </c>
      <c r="H4" s="16" t="s">
        <v>7</v>
      </c>
      <c r="I4" s="11">
        <v>0.9</v>
      </c>
      <c r="J4" s="16" t="s">
        <v>7</v>
      </c>
      <c r="K4" s="3">
        <v>0.9</v>
      </c>
    </row>
    <row r="5" spans="2:11" ht="13.9" customHeight="1" x14ac:dyDescent="0.2">
      <c r="B5" s="6">
        <v>0.99</v>
      </c>
      <c r="C5" s="15" t="s">
        <v>7</v>
      </c>
      <c r="D5" s="16" t="s">
        <v>7</v>
      </c>
      <c r="E5" s="16" t="s">
        <v>7</v>
      </c>
      <c r="F5" s="15" t="s">
        <v>7</v>
      </c>
      <c r="G5" s="16" t="s">
        <v>7</v>
      </c>
      <c r="H5" s="16" t="s">
        <v>7</v>
      </c>
      <c r="I5" s="11">
        <v>0.9</v>
      </c>
      <c r="J5" s="16" t="s">
        <v>7</v>
      </c>
      <c r="K5" s="3">
        <v>0.9</v>
      </c>
    </row>
    <row r="6" spans="2:11" ht="13.9" customHeight="1" x14ac:dyDescent="0.2">
      <c r="B6" s="6">
        <f t="shared" ref="B6:B9" si="0">B5-0.01</f>
        <v>0.98</v>
      </c>
      <c r="C6" s="15" t="s">
        <v>7</v>
      </c>
      <c r="D6" s="16" t="s">
        <v>7</v>
      </c>
      <c r="E6" s="16" t="s">
        <v>7</v>
      </c>
      <c r="F6" s="15" t="s">
        <v>7</v>
      </c>
      <c r="G6" s="16" t="s">
        <v>7</v>
      </c>
      <c r="H6" s="16" t="s">
        <v>7</v>
      </c>
      <c r="I6" s="11">
        <v>0.9</v>
      </c>
      <c r="J6" s="16" t="s">
        <v>7</v>
      </c>
      <c r="K6" s="3">
        <v>0.9</v>
      </c>
    </row>
    <row r="7" spans="2:11" ht="13.9" customHeight="1" x14ac:dyDescent="0.2">
      <c r="B7" s="6">
        <f t="shared" si="0"/>
        <v>0.97</v>
      </c>
      <c r="C7" s="15" t="s">
        <v>7</v>
      </c>
      <c r="D7" s="16" t="s">
        <v>7</v>
      </c>
      <c r="E7" s="16" t="s">
        <v>7</v>
      </c>
      <c r="F7" s="15" t="s">
        <v>7</v>
      </c>
      <c r="G7" s="16" t="s">
        <v>7</v>
      </c>
      <c r="H7" s="16" t="s">
        <v>7</v>
      </c>
      <c r="I7" s="11">
        <v>0.9</v>
      </c>
      <c r="J7" s="16" t="s">
        <v>7</v>
      </c>
      <c r="K7" s="3">
        <v>0.9</v>
      </c>
    </row>
    <row r="8" spans="2:11" ht="13.9" customHeight="1" x14ac:dyDescent="0.2">
      <c r="B8" s="6">
        <f t="shared" si="0"/>
        <v>0.96</v>
      </c>
      <c r="C8" s="15" t="s">
        <v>7</v>
      </c>
      <c r="D8" s="16" t="s">
        <v>7</v>
      </c>
      <c r="E8" s="16" t="s">
        <v>7</v>
      </c>
      <c r="F8" s="15" t="s">
        <v>7</v>
      </c>
      <c r="G8" s="16" t="s">
        <v>7</v>
      </c>
      <c r="H8" s="16" t="s">
        <v>7</v>
      </c>
      <c r="I8" s="11">
        <v>0.9</v>
      </c>
      <c r="J8" s="16" t="s">
        <v>7</v>
      </c>
      <c r="K8" s="3">
        <v>0.9</v>
      </c>
    </row>
    <row r="9" spans="2:11" ht="13.9" customHeight="1" x14ac:dyDescent="0.2">
      <c r="B9" s="6">
        <f t="shared" si="0"/>
        <v>0.95</v>
      </c>
      <c r="C9" s="15" t="s">
        <v>7</v>
      </c>
      <c r="D9" s="16" t="s">
        <v>7</v>
      </c>
      <c r="E9" s="16" t="s">
        <v>7</v>
      </c>
      <c r="F9" s="15" t="s">
        <v>7</v>
      </c>
      <c r="G9" s="16" t="s">
        <v>7</v>
      </c>
      <c r="H9" s="16" t="s">
        <v>7</v>
      </c>
      <c r="I9" s="11">
        <v>0.9</v>
      </c>
      <c r="J9" s="16" t="s">
        <v>7</v>
      </c>
      <c r="K9" s="3">
        <v>0.9</v>
      </c>
    </row>
    <row r="10" spans="2:11" ht="13.9" customHeight="1" x14ac:dyDescent="0.2">
      <c r="B10" s="6">
        <f>B9-0.01</f>
        <v>0.94</v>
      </c>
      <c r="C10" s="15" t="s">
        <v>7</v>
      </c>
      <c r="D10" s="16" t="s">
        <v>7</v>
      </c>
      <c r="E10" s="16" t="s">
        <v>7</v>
      </c>
      <c r="F10" s="15" t="s">
        <v>7</v>
      </c>
      <c r="G10" s="16" t="s">
        <v>7</v>
      </c>
      <c r="H10" s="16" t="s">
        <v>7</v>
      </c>
      <c r="I10" s="11">
        <v>0.9</v>
      </c>
      <c r="J10" s="16" t="s">
        <v>7</v>
      </c>
      <c r="K10" s="3">
        <v>0.9</v>
      </c>
    </row>
    <row r="11" spans="2:11" ht="13.9" customHeight="1" x14ac:dyDescent="0.2">
      <c r="B11" s="6">
        <f t="shared" ref="B11:B74" si="1">B10-0.01</f>
        <v>0.92999999999999994</v>
      </c>
      <c r="C11" s="15" t="s">
        <v>7</v>
      </c>
      <c r="D11" s="16" t="s">
        <v>7</v>
      </c>
      <c r="E11" s="16" t="s">
        <v>7</v>
      </c>
      <c r="F11" s="15" t="s">
        <v>7</v>
      </c>
      <c r="G11" s="16" t="s">
        <v>7</v>
      </c>
      <c r="H11" s="16" t="s">
        <v>7</v>
      </c>
      <c r="I11" s="11">
        <v>0.9</v>
      </c>
      <c r="J11" s="16" t="s">
        <v>7</v>
      </c>
      <c r="K11" s="3">
        <v>0.9</v>
      </c>
    </row>
    <row r="12" spans="2:11" ht="13.9" customHeight="1" x14ac:dyDescent="0.2">
      <c r="B12" s="6">
        <f t="shared" si="1"/>
        <v>0.91999999999999993</v>
      </c>
      <c r="C12" s="15" t="s">
        <v>7</v>
      </c>
      <c r="D12" s="16" t="s">
        <v>7</v>
      </c>
      <c r="E12" s="16" t="s">
        <v>7</v>
      </c>
      <c r="F12" s="15" t="s">
        <v>7</v>
      </c>
      <c r="G12" s="16" t="s">
        <v>7</v>
      </c>
      <c r="H12" s="16" t="s">
        <v>7</v>
      </c>
      <c r="I12" s="11">
        <v>0.9</v>
      </c>
      <c r="J12" s="16" t="s">
        <v>7</v>
      </c>
      <c r="K12" s="3">
        <v>0.9</v>
      </c>
    </row>
    <row r="13" spans="2:11" ht="13.9" customHeight="1" x14ac:dyDescent="0.2">
      <c r="B13" s="6">
        <f t="shared" si="1"/>
        <v>0.90999999999999992</v>
      </c>
      <c r="C13" s="15" t="s">
        <v>7</v>
      </c>
      <c r="D13" s="16" t="s">
        <v>7</v>
      </c>
      <c r="E13" s="16" t="s">
        <v>7</v>
      </c>
      <c r="F13" s="15" t="s">
        <v>7</v>
      </c>
      <c r="G13" s="16" t="s">
        <v>7</v>
      </c>
      <c r="H13" s="16" t="s">
        <v>7</v>
      </c>
      <c r="I13" s="11">
        <v>0.9</v>
      </c>
      <c r="J13" s="16" t="s">
        <v>7</v>
      </c>
      <c r="K13" s="3">
        <v>0.9</v>
      </c>
    </row>
    <row r="14" spans="2:11" ht="13.9" customHeight="1" x14ac:dyDescent="0.2">
      <c r="B14" s="6">
        <f t="shared" si="1"/>
        <v>0.89999999999999991</v>
      </c>
      <c r="C14" s="15" t="s">
        <v>7</v>
      </c>
      <c r="D14" s="16" t="s">
        <v>7</v>
      </c>
      <c r="E14" s="16" t="s">
        <v>7</v>
      </c>
      <c r="F14" s="15" t="s">
        <v>7</v>
      </c>
      <c r="G14" s="16" t="s">
        <v>7</v>
      </c>
      <c r="H14" s="16" t="s">
        <v>7</v>
      </c>
      <c r="I14" s="11">
        <v>0.9</v>
      </c>
      <c r="J14" s="16" t="s">
        <v>7</v>
      </c>
      <c r="K14" s="3">
        <v>0.9</v>
      </c>
    </row>
    <row r="15" spans="2:11" ht="13.9" customHeight="1" x14ac:dyDescent="0.2">
      <c r="B15" s="6">
        <f t="shared" si="1"/>
        <v>0.8899999999999999</v>
      </c>
      <c r="C15" s="7">
        <v>0.9</v>
      </c>
      <c r="D15" s="20">
        <f>(C15-B15)/(2020-2013)</f>
        <v>1.4285714285714457E-3</v>
      </c>
      <c r="E15" s="3">
        <f>B15+D15</f>
        <v>0.89142857142857135</v>
      </c>
      <c r="F15" s="15" t="s">
        <v>7</v>
      </c>
      <c r="G15" s="16" t="s">
        <v>7</v>
      </c>
      <c r="H15" s="16" t="s">
        <v>7</v>
      </c>
      <c r="I15" s="15" t="s">
        <v>7</v>
      </c>
      <c r="J15" s="16" t="s">
        <v>7</v>
      </c>
      <c r="K15" s="16" t="s">
        <v>7</v>
      </c>
    </row>
    <row r="16" spans="2:11" ht="13.9" customHeight="1" x14ac:dyDescent="0.2">
      <c r="B16" s="6">
        <f t="shared" si="1"/>
        <v>0.87999999999999989</v>
      </c>
      <c r="C16" s="7">
        <v>0.9</v>
      </c>
      <c r="D16" s="20">
        <f t="shared" ref="D16:D79" si="2">(C16-B16)/(2020-2013)</f>
        <v>2.8571428571428754E-3</v>
      </c>
      <c r="E16" s="3">
        <f t="shared" ref="E16:E79" si="3">B16+D16</f>
        <v>0.88285714285714278</v>
      </c>
      <c r="F16" s="15" t="s">
        <v>7</v>
      </c>
      <c r="G16" s="16" t="s">
        <v>7</v>
      </c>
      <c r="H16" s="16" t="s">
        <v>7</v>
      </c>
      <c r="I16" s="15" t="s">
        <v>7</v>
      </c>
      <c r="J16" s="16" t="s">
        <v>7</v>
      </c>
      <c r="K16" s="16" t="s">
        <v>7</v>
      </c>
    </row>
    <row r="17" spans="2:11" ht="13.9" customHeight="1" x14ac:dyDescent="0.2">
      <c r="B17" s="6">
        <f t="shared" si="1"/>
        <v>0.86999999999999988</v>
      </c>
      <c r="C17" s="7">
        <v>0.9</v>
      </c>
      <c r="D17" s="20">
        <f t="shared" si="2"/>
        <v>4.285714285714305E-3</v>
      </c>
      <c r="E17" s="3">
        <f t="shared" si="3"/>
        <v>0.87428571428571422</v>
      </c>
      <c r="F17" s="15" t="s">
        <v>7</v>
      </c>
      <c r="G17" s="16" t="s">
        <v>7</v>
      </c>
      <c r="H17" s="16" t="s">
        <v>7</v>
      </c>
      <c r="I17" s="15" t="s">
        <v>7</v>
      </c>
      <c r="J17" s="16" t="s">
        <v>7</v>
      </c>
      <c r="K17" s="16" t="s">
        <v>7</v>
      </c>
    </row>
    <row r="18" spans="2:11" ht="13.9" customHeight="1" x14ac:dyDescent="0.2">
      <c r="B18" s="6">
        <f t="shared" si="1"/>
        <v>0.85999999999999988</v>
      </c>
      <c r="C18" s="7">
        <v>0.9</v>
      </c>
      <c r="D18" s="20">
        <f t="shared" si="2"/>
        <v>5.7142857142857351E-3</v>
      </c>
      <c r="E18" s="3">
        <f t="shared" si="3"/>
        <v>0.86571428571428566</v>
      </c>
      <c r="F18" s="15" t="s">
        <v>7</v>
      </c>
      <c r="G18" s="16" t="s">
        <v>7</v>
      </c>
      <c r="H18" s="16" t="s">
        <v>7</v>
      </c>
      <c r="I18" s="15" t="s">
        <v>7</v>
      </c>
      <c r="J18" s="16" t="s">
        <v>7</v>
      </c>
      <c r="K18" s="16" t="s">
        <v>7</v>
      </c>
    </row>
    <row r="19" spans="2:11" ht="13.9" customHeight="1" x14ac:dyDescent="0.2">
      <c r="B19" s="6">
        <f t="shared" si="1"/>
        <v>0.84999999999999987</v>
      </c>
      <c r="C19" s="7">
        <v>0.9</v>
      </c>
      <c r="D19" s="20">
        <f t="shared" si="2"/>
        <v>7.1428571428571652E-3</v>
      </c>
      <c r="E19" s="3">
        <f t="shared" si="3"/>
        <v>0.85714285714285698</v>
      </c>
      <c r="F19" s="15" t="s">
        <v>7</v>
      </c>
      <c r="G19" s="16" t="s">
        <v>7</v>
      </c>
      <c r="H19" s="16" t="s">
        <v>7</v>
      </c>
      <c r="I19" s="15" t="s">
        <v>7</v>
      </c>
      <c r="J19" s="16" t="s">
        <v>7</v>
      </c>
      <c r="K19" s="16" t="s">
        <v>7</v>
      </c>
    </row>
    <row r="20" spans="2:11" ht="13.9" customHeight="1" x14ac:dyDescent="0.2">
      <c r="B20" s="6">
        <f t="shared" si="1"/>
        <v>0.83999999999999986</v>
      </c>
      <c r="C20" s="7">
        <v>0.9</v>
      </c>
      <c r="D20" s="20">
        <f t="shared" si="2"/>
        <v>8.5714285714285944E-3</v>
      </c>
      <c r="E20" s="3">
        <f t="shared" si="3"/>
        <v>0.84857142857142842</v>
      </c>
      <c r="F20" s="15" t="s">
        <v>7</v>
      </c>
      <c r="G20" s="16" t="s">
        <v>7</v>
      </c>
      <c r="H20" s="16" t="s">
        <v>7</v>
      </c>
      <c r="I20" s="15" t="s">
        <v>7</v>
      </c>
      <c r="J20" s="16" t="s">
        <v>7</v>
      </c>
      <c r="K20" s="16" t="s">
        <v>7</v>
      </c>
    </row>
    <row r="21" spans="2:11" ht="13.9" customHeight="1" x14ac:dyDescent="0.2">
      <c r="B21" s="6">
        <f t="shared" si="1"/>
        <v>0.82999999999999985</v>
      </c>
      <c r="C21" s="7">
        <v>0.9</v>
      </c>
      <c r="D21" s="20">
        <f t="shared" si="2"/>
        <v>1.0000000000000024E-2</v>
      </c>
      <c r="E21" s="3">
        <f t="shared" si="3"/>
        <v>0.83999999999999986</v>
      </c>
      <c r="F21" s="15" t="s">
        <v>7</v>
      </c>
      <c r="G21" s="16" t="s">
        <v>7</v>
      </c>
      <c r="H21" s="16" t="s">
        <v>7</v>
      </c>
      <c r="I21" s="15" t="s">
        <v>7</v>
      </c>
      <c r="J21" s="16" t="s">
        <v>7</v>
      </c>
      <c r="K21" s="16" t="s">
        <v>7</v>
      </c>
    </row>
    <row r="22" spans="2:11" ht="13.9" customHeight="1" x14ac:dyDescent="0.2">
      <c r="B22" s="6">
        <f t="shared" si="1"/>
        <v>0.81999999999999984</v>
      </c>
      <c r="C22" s="7">
        <v>0.9</v>
      </c>
      <c r="D22" s="20">
        <f t="shared" si="2"/>
        <v>1.1428571428571455E-2</v>
      </c>
      <c r="E22" s="3">
        <f t="shared" si="3"/>
        <v>0.83142857142857129</v>
      </c>
      <c r="F22" s="15" t="s">
        <v>7</v>
      </c>
      <c r="G22" s="16" t="s">
        <v>7</v>
      </c>
      <c r="H22" s="16" t="s">
        <v>7</v>
      </c>
      <c r="I22" s="15" t="s">
        <v>7</v>
      </c>
      <c r="J22" s="16" t="s">
        <v>7</v>
      </c>
      <c r="K22" s="16" t="s">
        <v>7</v>
      </c>
    </row>
    <row r="23" spans="2:11" ht="13.9" customHeight="1" x14ac:dyDescent="0.2">
      <c r="B23" s="6">
        <f t="shared" si="1"/>
        <v>0.80999999999999983</v>
      </c>
      <c r="C23" s="7">
        <v>0.9</v>
      </c>
      <c r="D23" s="20">
        <f t="shared" si="2"/>
        <v>1.2857142857142885E-2</v>
      </c>
      <c r="E23" s="3">
        <f t="shared" si="3"/>
        <v>0.82285714285714273</v>
      </c>
      <c r="F23" s="15" t="s">
        <v>7</v>
      </c>
      <c r="G23" s="16" t="s">
        <v>7</v>
      </c>
      <c r="H23" s="16" t="s">
        <v>7</v>
      </c>
      <c r="I23" s="15" t="s">
        <v>7</v>
      </c>
      <c r="J23" s="16" t="s">
        <v>7</v>
      </c>
      <c r="K23" s="16" t="s">
        <v>7</v>
      </c>
    </row>
    <row r="24" spans="2:11" ht="13.9" customHeight="1" x14ac:dyDescent="0.2">
      <c r="B24" s="6">
        <f t="shared" si="1"/>
        <v>0.79999999999999982</v>
      </c>
      <c r="C24" s="7">
        <v>0.9</v>
      </c>
      <c r="D24" s="20">
        <f t="shared" si="2"/>
        <v>1.4285714285714315E-2</v>
      </c>
      <c r="E24" s="3">
        <f t="shared" si="3"/>
        <v>0.81428571428571417</v>
      </c>
      <c r="F24" s="11">
        <f t="shared" ref="F24:F55" si="4">((1-B24)/2)+B24</f>
        <v>0.89999999999999991</v>
      </c>
      <c r="G24" s="20">
        <f t="shared" ref="G24:G55" si="5">(F24-B24)/(2020-2013)</f>
        <v>1.4285714285714299E-2</v>
      </c>
      <c r="H24" s="3">
        <f>B24+G24</f>
        <v>0.81428571428571417</v>
      </c>
      <c r="I24" s="15" t="s">
        <v>7</v>
      </c>
      <c r="J24" s="16" t="s">
        <v>7</v>
      </c>
      <c r="K24" s="16" t="s">
        <v>7</v>
      </c>
    </row>
    <row r="25" spans="2:11" ht="13.9" customHeight="1" x14ac:dyDescent="0.2">
      <c r="B25" s="6">
        <f t="shared" si="1"/>
        <v>0.78999999999999981</v>
      </c>
      <c r="C25" s="7">
        <v>0.9</v>
      </c>
      <c r="D25" s="20">
        <f t="shared" si="2"/>
        <v>1.5714285714285743E-2</v>
      </c>
      <c r="E25" s="3">
        <f t="shared" si="3"/>
        <v>0.80571428571428561</v>
      </c>
      <c r="F25" s="11">
        <f t="shared" si="4"/>
        <v>0.89499999999999991</v>
      </c>
      <c r="G25" s="20">
        <f t="shared" si="5"/>
        <v>1.5000000000000013E-2</v>
      </c>
      <c r="H25" s="3">
        <f t="shared" ref="H25:H88" si="6">B25+G25</f>
        <v>0.80499999999999983</v>
      </c>
      <c r="I25" s="15" t="s">
        <v>7</v>
      </c>
      <c r="J25" s="16" t="s">
        <v>7</v>
      </c>
      <c r="K25" s="16" t="s">
        <v>7</v>
      </c>
    </row>
    <row r="26" spans="2:11" ht="13.9" customHeight="1" x14ac:dyDescent="0.2">
      <c r="B26" s="6">
        <f t="shared" si="1"/>
        <v>0.7799999999999998</v>
      </c>
      <c r="C26" s="7">
        <v>0.9</v>
      </c>
      <c r="D26" s="20">
        <f t="shared" si="2"/>
        <v>1.7142857142857175E-2</v>
      </c>
      <c r="E26" s="3">
        <f t="shared" si="3"/>
        <v>0.79714285714285693</v>
      </c>
      <c r="F26" s="11">
        <f t="shared" si="4"/>
        <v>0.8899999999999999</v>
      </c>
      <c r="G26" s="20">
        <f t="shared" si="5"/>
        <v>1.5714285714285729E-2</v>
      </c>
      <c r="H26" s="3">
        <f t="shared" si="6"/>
        <v>0.79571428571428549</v>
      </c>
      <c r="I26" s="15" t="s">
        <v>7</v>
      </c>
      <c r="J26" s="16" t="s">
        <v>7</v>
      </c>
      <c r="K26" s="16" t="s">
        <v>7</v>
      </c>
    </row>
    <row r="27" spans="2:11" ht="13.9" customHeight="1" x14ac:dyDescent="0.2">
      <c r="B27" s="6">
        <f t="shared" si="1"/>
        <v>0.7699999999999998</v>
      </c>
      <c r="C27" s="7">
        <v>0.9</v>
      </c>
      <c r="D27" s="20">
        <f t="shared" si="2"/>
        <v>1.8571428571428603E-2</v>
      </c>
      <c r="E27" s="3">
        <f t="shared" si="3"/>
        <v>0.78857142857142837</v>
      </c>
      <c r="F27" s="11">
        <f t="shared" si="4"/>
        <v>0.8849999999999999</v>
      </c>
      <c r="G27" s="20">
        <f t="shared" si="5"/>
        <v>1.6428571428571442E-2</v>
      </c>
      <c r="H27" s="3">
        <f t="shared" si="6"/>
        <v>0.78642857142857125</v>
      </c>
      <c r="I27" s="15" t="s">
        <v>7</v>
      </c>
      <c r="J27" s="16" t="s">
        <v>7</v>
      </c>
      <c r="K27" s="16" t="s">
        <v>7</v>
      </c>
    </row>
    <row r="28" spans="2:11" ht="13.9" customHeight="1" x14ac:dyDescent="0.2">
      <c r="B28" s="6">
        <f t="shared" si="1"/>
        <v>0.75999999999999979</v>
      </c>
      <c r="C28" s="7">
        <v>0.9</v>
      </c>
      <c r="D28" s="20">
        <f t="shared" si="2"/>
        <v>2.0000000000000035E-2</v>
      </c>
      <c r="E28" s="3">
        <f t="shared" si="3"/>
        <v>0.7799999999999998</v>
      </c>
      <c r="F28" s="11">
        <f t="shared" si="4"/>
        <v>0.87999999999999989</v>
      </c>
      <c r="G28" s="20">
        <f t="shared" si="5"/>
        <v>1.7142857142857158E-2</v>
      </c>
      <c r="H28" s="3">
        <f t="shared" si="6"/>
        <v>0.77714285714285691</v>
      </c>
      <c r="I28" s="15" t="s">
        <v>7</v>
      </c>
      <c r="J28" s="16" t="s">
        <v>7</v>
      </c>
      <c r="K28" s="16" t="s">
        <v>7</v>
      </c>
    </row>
    <row r="29" spans="2:11" ht="13.9" customHeight="1" x14ac:dyDescent="0.2">
      <c r="B29" s="6">
        <f t="shared" si="1"/>
        <v>0.74999999999999978</v>
      </c>
      <c r="C29" s="7">
        <v>0.9</v>
      </c>
      <c r="D29" s="20">
        <f t="shared" si="2"/>
        <v>2.1428571428571463E-2</v>
      </c>
      <c r="E29" s="3">
        <f t="shared" si="3"/>
        <v>0.77142857142857124</v>
      </c>
      <c r="F29" s="11">
        <f t="shared" si="4"/>
        <v>0.87499999999999989</v>
      </c>
      <c r="G29" s="20">
        <f t="shared" si="5"/>
        <v>1.7857142857142873E-2</v>
      </c>
      <c r="H29" s="3">
        <f t="shared" si="6"/>
        <v>0.76785714285714268</v>
      </c>
      <c r="I29" s="15" t="s">
        <v>7</v>
      </c>
      <c r="J29" s="16" t="s">
        <v>7</v>
      </c>
      <c r="K29" s="16" t="s">
        <v>7</v>
      </c>
    </row>
    <row r="30" spans="2:11" ht="13.9" customHeight="1" x14ac:dyDescent="0.2">
      <c r="B30" s="6">
        <f t="shared" si="1"/>
        <v>0.73999999999999977</v>
      </c>
      <c r="C30" s="7">
        <v>0.9</v>
      </c>
      <c r="D30" s="20">
        <f t="shared" si="2"/>
        <v>2.2857142857142892E-2</v>
      </c>
      <c r="E30" s="3">
        <f t="shared" si="3"/>
        <v>0.76285714285714268</v>
      </c>
      <c r="F30" s="11">
        <f t="shared" si="4"/>
        <v>0.86999999999999988</v>
      </c>
      <c r="G30" s="20">
        <f t="shared" si="5"/>
        <v>1.8571428571428589E-2</v>
      </c>
      <c r="H30" s="3">
        <f t="shared" si="6"/>
        <v>0.75857142857142834</v>
      </c>
      <c r="I30" s="15" t="s">
        <v>7</v>
      </c>
      <c r="J30" s="16" t="s">
        <v>7</v>
      </c>
      <c r="K30" s="16" t="s">
        <v>7</v>
      </c>
    </row>
    <row r="31" spans="2:11" ht="13.9" customHeight="1" x14ac:dyDescent="0.2">
      <c r="B31" s="6">
        <f t="shared" si="1"/>
        <v>0.72999999999999976</v>
      </c>
      <c r="C31" s="7">
        <v>0.9</v>
      </c>
      <c r="D31" s="20">
        <f t="shared" si="2"/>
        <v>2.4285714285714324E-2</v>
      </c>
      <c r="E31" s="3">
        <f t="shared" si="3"/>
        <v>0.75428571428571412</v>
      </c>
      <c r="F31" s="11">
        <f t="shared" si="4"/>
        <v>0.86499999999999988</v>
      </c>
      <c r="G31" s="20">
        <f t="shared" si="5"/>
        <v>1.9285714285714302E-2</v>
      </c>
      <c r="H31" s="3">
        <f t="shared" si="6"/>
        <v>0.74928571428571411</v>
      </c>
      <c r="I31" s="15" t="s">
        <v>7</v>
      </c>
      <c r="J31" s="16" t="s">
        <v>7</v>
      </c>
      <c r="K31" s="16" t="s">
        <v>7</v>
      </c>
    </row>
    <row r="32" spans="2:11" ht="13.9" customHeight="1" x14ac:dyDescent="0.2">
      <c r="B32" s="6">
        <f t="shared" si="1"/>
        <v>0.71999999999999975</v>
      </c>
      <c r="C32" s="7">
        <v>0.9</v>
      </c>
      <c r="D32" s="20">
        <f t="shared" si="2"/>
        <v>2.5714285714285752E-2</v>
      </c>
      <c r="E32" s="3">
        <f t="shared" si="3"/>
        <v>0.74571428571428555</v>
      </c>
      <c r="F32" s="11">
        <f t="shared" si="4"/>
        <v>0.85999999999999988</v>
      </c>
      <c r="G32" s="20">
        <f t="shared" si="5"/>
        <v>2.0000000000000018E-2</v>
      </c>
      <c r="H32" s="3">
        <f t="shared" si="6"/>
        <v>0.73999999999999977</v>
      </c>
      <c r="I32" s="15" t="s">
        <v>7</v>
      </c>
      <c r="J32" s="16" t="s">
        <v>7</v>
      </c>
      <c r="K32" s="16" t="s">
        <v>7</v>
      </c>
    </row>
    <row r="33" spans="2:11" ht="13.9" customHeight="1" x14ac:dyDescent="0.2">
      <c r="B33" s="6">
        <f t="shared" si="1"/>
        <v>0.70999999999999974</v>
      </c>
      <c r="C33" s="7">
        <v>0.9</v>
      </c>
      <c r="D33" s="20">
        <f t="shared" si="2"/>
        <v>2.7142857142857184E-2</v>
      </c>
      <c r="E33" s="3">
        <f t="shared" si="3"/>
        <v>0.73714285714285688</v>
      </c>
      <c r="F33" s="11">
        <f t="shared" si="4"/>
        <v>0.85499999999999987</v>
      </c>
      <c r="G33" s="20">
        <f t="shared" si="5"/>
        <v>2.0714285714285734E-2</v>
      </c>
      <c r="H33" s="3">
        <f t="shared" si="6"/>
        <v>0.73071428571428543</v>
      </c>
      <c r="I33" s="15" t="s">
        <v>7</v>
      </c>
      <c r="J33" s="16" t="s">
        <v>7</v>
      </c>
      <c r="K33" s="16" t="s">
        <v>7</v>
      </c>
    </row>
    <row r="34" spans="2:11" ht="13.9" customHeight="1" x14ac:dyDescent="0.2">
      <c r="B34" s="6">
        <f t="shared" si="1"/>
        <v>0.69999999999999973</v>
      </c>
      <c r="C34" s="7">
        <v>0.9</v>
      </c>
      <c r="D34" s="20">
        <f t="shared" si="2"/>
        <v>2.8571428571428612E-2</v>
      </c>
      <c r="E34" s="3">
        <f t="shared" si="3"/>
        <v>0.72857142857142831</v>
      </c>
      <c r="F34" s="11">
        <f t="shared" si="4"/>
        <v>0.84999999999999987</v>
      </c>
      <c r="G34" s="20">
        <f t="shared" si="5"/>
        <v>2.1428571428571446E-2</v>
      </c>
      <c r="H34" s="3">
        <f t="shared" si="6"/>
        <v>0.7214285714285712</v>
      </c>
      <c r="I34" s="15" t="s">
        <v>7</v>
      </c>
      <c r="J34" s="16" t="s">
        <v>7</v>
      </c>
      <c r="K34" s="16" t="s">
        <v>7</v>
      </c>
    </row>
    <row r="35" spans="2:11" ht="13.9" customHeight="1" x14ac:dyDescent="0.2">
      <c r="B35" s="6">
        <f t="shared" si="1"/>
        <v>0.68999999999999972</v>
      </c>
      <c r="C35" s="7">
        <v>0.9</v>
      </c>
      <c r="D35" s="20">
        <f t="shared" si="2"/>
        <v>3.0000000000000044E-2</v>
      </c>
      <c r="E35" s="3">
        <f t="shared" si="3"/>
        <v>0.71999999999999975</v>
      </c>
      <c r="F35" s="11">
        <f t="shared" si="4"/>
        <v>0.84499999999999986</v>
      </c>
      <c r="G35" s="20">
        <f t="shared" si="5"/>
        <v>2.2142857142857162E-2</v>
      </c>
      <c r="H35" s="3">
        <f t="shared" si="6"/>
        <v>0.71214285714285686</v>
      </c>
      <c r="I35" s="15" t="s">
        <v>7</v>
      </c>
      <c r="J35" s="16" t="s">
        <v>7</v>
      </c>
      <c r="K35" s="16" t="s">
        <v>7</v>
      </c>
    </row>
    <row r="36" spans="2:11" ht="13.9" customHeight="1" x14ac:dyDescent="0.2">
      <c r="B36" s="6">
        <f t="shared" si="1"/>
        <v>0.67999999999999972</v>
      </c>
      <c r="C36" s="7">
        <v>0.9</v>
      </c>
      <c r="D36" s="20">
        <f t="shared" si="2"/>
        <v>3.1428571428571472E-2</v>
      </c>
      <c r="E36" s="3">
        <f t="shared" si="3"/>
        <v>0.71142857142857119</v>
      </c>
      <c r="F36" s="11">
        <f t="shared" si="4"/>
        <v>0.83999999999999986</v>
      </c>
      <c r="G36" s="20">
        <f t="shared" si="5"/>
        <v>2.2857142857142878E-2</v>
      </c>
      <c r="H36" s="3">
        <f t="shared" si="6"/>
        <v>0.70285714285714262</v>
      </c>
      <c r="I36" s="15" t="s">
        <v>7</v>
      </c>
      <c r="J36" s="16" t="s">
        <v>7</v>
      </c>
      <c r="K36" s="16" t="s">
        <v>7</v>
      </c>
    </row>
    <row r="37" spans="2:11" ht="13.9" customHeight="1" x14ac:dyDescent="0.2">
      <c r="B37" s="6">
        <f t="shared" si="1"/>
        <v>0.66999999999999971</v>
      </c>
      <c r="C37" s="7">
        <v>0.9</v>
      </c>
      <c r="D37" s="20">
        <f t="shared" si="2"/>
        <v>3.2857142857142904E-2</v>
      </c>
      <c r="E37" s="3">
        <f t="shared" si="3"/>
        <v>0.70285714285714262</v>
      </c>
      <c r="F37" s="11">
        <f t="shared" si="4"/>
        <v>0.83499999999999985</v>
      </c>
      <c r="G37" s="20">
        <f t="shared" si="5"/>
        <v>2.3571428571428594E-2</v>
      </c>
      <c r="H37" s="3">
        <f t="shared" si="6"/>
        <v>0.69357142857142828</v>
      </c>
      <c r="I37" s="15" t="s">
        <v>7</v>
      </c>
      <c r="J37" s="16" t="s">
        <v>7</v>
      </c>
      <c r="K37" s="16" t="s">
        <v>7</v>
      </c>
    </row>
    <row r="38" spans="2:11" ht="13.9" customHeight="1" x14ac:dyDescent="0.2">
      <c r="B38" s="6">
        <f t="shared" si="1"/>
        <v>0.6599999999999997</v>
      </c>
      <c r="C38" s="7">
        <v>0.9</v>
      </c>
      <c r="D38" s="20">
        <f t="shared" si="2"/>
        <v>3.4285714285714329E-2</v>
      </c>
      <c r="E38" s="3">
        <f t="shared" si="3"/>
        <v>0.69428571428571406</v>
      </c>
      <c r="F38" s="11">
        <f t="shared" si="4"/>
        <v>0.82999999999999985</v>
      </c>
      <c r="G38" s="20">
        <f t="shared" si="5"/>
        <v>2.4285714285714306E-2</v>
      </c>
      <c r="H38" s="3">
        <f t="shared" si="6"/>
        <v>0.68428571428571405</v>
      </c>
      <c r="I38" s="15" t="s">
        <v>7</v>
      </c>
      <c r="J38" s="16" t="s">
        <v>7</v>
      </c>
      <c r="K38" s="16" t="s">
        <v>7</v>
      </c>
    </row>
    <row r="39" spans="2:11" ht="13.9" customHeight="1" x14ac:dyDescent="0.2">
      <c r="B39" s="6">
        <f t="shared" si="1"/>
        <v>0.64999999999999969</v>
      </c>
      <c r="C39" s="7">
        <v>0.9</v>
      </c>
      <c r="D39" s="20">
        <f t="shared" si="2"/>
        <v>3.5714285714285761E-2</v>
      </c>
      <c r="E39" s="3">
        <f t="shared" si="3"/>
        <v>0.6857142857142855</v>
      </c>
      <c r="F39" s="11">
        <f t="shared" si="4"/>
        <v>0.82499999999999984</v>
      </c>
      <c r="G39" s="20">
        <f t="shared" si="5"/>
        <v>2.5000000000000022E-2</v>
      </c>
      <c r="H39" s="3">
        <f t="shared" si="6"/>
        <v>0.67499999999999971</v>
      </c>
      <c r="I39" s="15" t="s">
        <v>7</v>
      </c>
      <c r="J39" s="16" t="s">
        <v>7</v>
      </c>
      <c r="K39" s="16" t="s">
        <v>7</v>
      </c>
    </row>
    <row r="40" spans="2:11" ht="13.9" customHeight="1" x14ac:dyDescent="0.2">
      <c r="B40" s="6">
        <f t="shared" si="1"/>
        <v>0.63999999999999968</v>
      </c>
      <c r="C40" s="7">
        <v>0.9</v>
      </c>
      <c r="D40" s="20">
        <f t="shared" si="2"/>
        <v>3.7142857142857193E-2</v>
      </c>
      <c r="E40" s="3">
        <f t="shared" si="3"/>
        <v>0.67714285714285682</v>
      </c>
      <c r="F40" s="11">
        <f t="shared" si="4"/>
        <v>0.81999999999999984</v>
      </c>
      <c r="G40" s="20">
        <f t="shared" si="5"/>
        <v>2.5714285714285738E-2</v>
      </c>
      <c r="H40" s="3">
        <f t="shared" si="6"/>
        <v>0.66571428571428537</v>
      </c>
      <c r="I40" s="15" t="s">
        <v>7</v>
      </c>
      <c r="J40" s="16" t="s">
        <v>7</v>
      </c>
      <c r="K40" s="16" t="s">
        <v>7</v>
      </c>
    </row>
    <row r="41" spans="2:11" ht="13.9" customHeight="1" x14ac:dyDescent="0.2">
      <c r="B41" s="6">
        <f t="shared" si="1"/>
        <v>0.62999999999999967</v>
      </c>
      <c r="C41" s="7">
        <v>0.9</v>
      </c>
      <c r="D41" s="20">
        <f t="shared" si="2"/>
        <v>3.8571428571428625E-2</v>
      </c>
      <c r="E41" s="3">
        <f t="shared" si="3"/>
        <v>0.66857142857142826</v>
      </c>
      <c r="F41" s="11">
        <f t="shared" si="4"/>
        <v>0.81499999999999984</v>
      </c>
      <c r="G41" s="20">
        <f t="shared" si="5"/>
        <v>2.6428571428571451E-2</v>
      </c>
      <c r="H41" s="3">
        <f t="shared" si="6"/>
        <v>0.65642857142857114</v>
      </c>
      <c r="I41" s="15" t="s">
        <v>7</v>
      </c>
      <c r="J41" s="16" t="s">
        <v>7</v>
      </c>
      <c r="K41" s="16" t="s">
        <v>7</v>
      </c>
    </row>
    <row r="42" spans="2:11" ht="13.9" customHeight="1" x14ac:dyDescent="0.2">
      <c r="B42" s="6">
        <f t="shared" si="1"/>
        <v>0.61999999999999966</v>
      </c>
      <c r="C42" s="7">
        <v>0.9</v>
      </c>
      <c r="D42" s="20">
        <f t="shared" si="2"/>
        <v>4.0000000000000049E-2</v>
      </c>
      <c r="E42" s="3">
        <f t="shared" si="3"/>
        <v>0.6599999999999997</v>
      </c>
      <c r="F42" s="11">
        <f t="shared" si="4"/>
        <v>0.80999999999999983</v>
      </c>
      <c r="G42" s="20">
        <f t="shared" si="5"/>
        <v>2.7142857142857166E-2</v>
      </c>
      <c r="H42" s="3">
        <f t="shared" si="6"/>
        <v>0.6471428571428568</v>
      </c>
      <c r="I42" s="15" t="s">
        <v>7</v>
      </c>
      <c r="J42" s="16" t="s">
        <v>7</v>
      </c>
      <c r="K42" s="16" t="s">
        <v>7</v>
      </c>
    </row>
    <row r="43" spans="2:11" ht="13.9" customHeight="1" x14ac:dyDescent="0.2">
      <c r="B43" s="6">
        <f t="shared" si="1"/>
        <v>0.60999999999999965</v>
      </c>
      <c r="C43" s="7">
        <v>0.9</v>
      </c>
      <c r="D43" s="20">
        <f t="shared" si="2"/>
        <v>4.1428571428571481E-2</v>
      </c>
      <c r="E43" s="3">
        <f t="shared" si="3"/>
        <v>0.65142857142857113</v>
      </c>
      <c r="F43" s="11">
        <f t="shared" si="4"/>
        <v>0.80499999999999983</v>
      </c>
      <c r="G43" s="20">
        <f t="shared" si="5"/>
        <v>2.7857142857142882E-2</v>
      </c>
      <c r="H43" s="3">
        <f t="shared" si="6"/>
        <v>0.63785714285714257</v>
      </c>
      <c r="I43" s="15" t="s">
        <v>7</v>
      </c>
      <c r="J43" s="16" t="s">
        <v>7</v>
      </c>
      <c r="K43" s="16" t="s">
        <v>7</v>
      </c>
    </row>
    <row r="44" spans="2:11" ht="13.9" customHeight="1" x14ac:dyDescent="0.2">
      <c r="B44" s="6">
        <f t="shared" si="1"/>
        <v>0.59999999999999964</v>
      </c>
      <c r="C44" s="7">
        <v>0.9</v>
      </c>
      <c r="D44" s="20">
        <f t="shared" si="2"/>
        <v>4.2857142857142913E-2</v>
      </c>
      <c r="E44" s="3">
        <f t="shared" si="3"/>
        <v>0.64285714285714257</v>
      </c>
      <c r="F44" s="11">
        <f t="shared" si="4"/>
        <v>0.79999999999999982</v>
      </c>
      <c r="G44" s="20">
        <f t="shared" si="5"/>
        <v>2.8571428571428598E-2</v>
      </c>
      <c r="H44" s="3">
        <f t="shared" si="6"/>
        <v>0.62857142857142823</v>
      </c>
      <c r="I44" s="15" t="s">
        <v>7</v>
      </c>
      <c r="J44" s="16" t="s">
        <v>7</v>
      </c>
      <c r="K44" s="16" t="s">
        <v>7</v>
      </c>
    </row>
    <row r="45" spans="2:11" ht="13.9" customHeight="1" x14ac:dyDescent="0.2">
      <c r="B45" s="6">
        <f t="shared" si="1"/>
        <v>0.58999999999999964</v>
      </c>
      <c r="C45" s="7">
        <v>0.9</v>
      </c>
      <c r="D45" s="20">
        <f t="shared" si="2"/>
        <v>4.4285714285714338E-2</v>
      </c>
      <c r="E45" s="3">
        <f t="shared" si="3"/>
        <v>0.63428571428571401</v>
      </c>
      <c r="F45" s="11">
        <f t="shared" si="4"/>
        <v>0.79499999999999982</v>
      </c>
      <c r="G45" s="20">
        <f t="shared" si="5"/>
        <v>2.9285714285714311E-2</v>
      </c>
      <c r="H45" s="3">
        <f t="shared" si="6"/>
        <v>0.619285714285714</v>
      </c>
      <c r="I45" s="15" t="s">
        <v>7</v>
      </c>
      <c r="J45" s="16" t="s">
        <v>7</v>
      </c>
      <c r="K45" s="16" t="s">
        <v>7</v>
      </c>
    </row>
    <row r="46" spans="2:11" ht="13.9" customHeight="1" x14ac:dyDescent="0.2">
      <c r="B46" s="6">
        <f t="shared" si="1"/>
        <v>0.57999999999999963</v>
      </c>
      <c r="C46" s="7">
        <v>0.9</v>
      </c>
      <c r="D46" s="20">
        <f t="shared" si="2"/>
        <v>4.571428571428577E-2</v>
      </c>
      <c r="E46" s="3">
        <f t="shared" si="3"/>
        <v>0.62571428571428545</v>
      </c>
      <c r="F46" s="11">
        <f t="shared" si="4"/>
        <v>0.78999999999999981</v>
      </c>
      <c r="G46" s="20">
        <f t="shared" si="5"/>
        <v>3.0000000000000027E-2</v>
      </c>
      <c r="H46" s="3">
        <f t="shared" si="6"/>
        <v>0.60999999999999965</v>
      </c>
      <c r="I46" s="15" t="s">
        <v>7</v>
      </c>
      <c r="J46" s="16" t="s">
        <v>7</v>
      </c>
      <c r="K46" s="16" t="s">
        <v>7</v>
      </c>
    </row>
    <row r="47" spans="2:11" ht="13.9" customHeight="1" x14ac:dyDescent="0.2">
      <c r="B47" s="6">
        <f t="shared" si="1"/>
        <v>0.56999999999999962</v>
      </c>
      <c r="C47" s="7">
        <v>0.9</v>
      </c>
      <c r="D47" s="20">
        <f t="shared" si="2"/>
        <v>4.7142857142857202E-2</v>
      </c>
      <c r="E47" s="3">
        <f t="shared" si="3"/>
        <v>0.61714285714285677</v>
      </c>
      <c r="F47" s="11">
        <f t="shared" si="4"/>
        <v>0.78499999999999981</v>
      </c>
      <c r="G47" s="20">
        <f t="shared" si="5"/>
        <v>3.0714285714285743E-2</v>
      </c>
      <c r="H47" s="3">
        <f t="shared" si="6"/>
        <v>0.60071428571428531</v>
      </c>
      <c r="I47" s="15" t="s">
        <v>7</v>
      </c>
      <c r="J47" s="16" t="s">
        <v>7</v>
      </c>
      <c r="K47" s="16" t="s">
        <v>7</v>
      </c>
    </row>
    <row r="48" spans="2:11" ht="13.9" customHeight="1" x14ac:dyDescent="0.2">
      <c r="B48" s="6">
        <f t="shared" si="1"/>
        <v>0.55999999999999961</v>
      </c>
      <c r="C48" s="7">
        <v>0.9</v>
      </c>
      <c r="D48" s="20">
        <f t="shared" si="2"/>
        <v>4.8571428571428633E-2</v>
      </c>
      <c r="E48" s="3">
        <f t="shared" si="3"/>
        <v>0.60857142857142821</v>
      </c>
      <c r="F48" s="11">
        <f t="shared" si="4"/>
        <v>0.7799999999999998</v>
      </c>
      <c r="G48" s="20">
        <f t="shared" si="5"/>
        <v>3.1428571428571458E-2</v>
      </c>
      <c r="H48" s="3">
        <f t="shared" si="6"/>
        <v>0.59142857142857108</v>
      </c>
      <c r="I48" s="15" t="s">
        <v>7</v>
      </c>
      <c r="J48" s="16" t="s">
        <v>7</v>
      </c>
      <c r="K48" s="16" t="s">
        <v>7</v>
      </c>
    </row>
    <row r="49" spans="2:11" ht="13.9" customHeight="1" x14ac:dyDescent="0.2">
      <c r="B49" s="6">
        <f t="shared" si="1"/>
        <v>0.5499999999999996</v>
      </c>
      <c r="C49" s="7">
        <v>0.9</v>
      </c>
      <c r="D49" s="20">
        <f t="shared" si="2"/>
        <v>5.0000000000000058E-2</v>
      </c>
      <c r="E49" s="3">
        <f t="shared" si="3"/>
        <v>0.59999999999999964</v>
      </c>
      <c r="F49" s="11">
        <f t="shared" si="4"/>
        <v>0.7749999999999998</v>
      </c>
      <c r="G49" s="20">
        <f t="shared" si="5"/>
        <v>3.2142857142857174E-2</v>
      </c>
      <c r="H49" s="3">
        <f t="shared" si="6"/>
        <v>0.58214285714285674</v>
      </c>
      <c r="I49" s="15" t="s">
        <v>7</v>
      </c>
      <c r="J49" s="16" t="s">
        <v>7</v>
      </c>
      <c r="K49" s="16" t="s">
        <v>7</v>
      </c>
    </row>
    <row r="50" spans="2:11" ht="13.9" customHeight="1" x14ac:dyDescent="0.2">
      <c r="B50" s="6">
        <f t="shared" si="1"/>
        <v>0.53999999999999959</v>
      </c>
      <c r="C50" s="7">
        <v>0.9</v>
      </c>
      <c r="D50" s="20">
        <f t="shared" si="2"/>
        <v>5.142857142857149E-2</v>
      </c>
      <c r="E50" s="3">
        <f t="shared" si="3"/>
        <v>0.59142857142857108</v>
      </c>
      <c r="F50" s="11">
        <f t="shared" si="4"/>
        <v>0.7699999999999998</v>
      </c>
      <c r="G50" s="20">
        <f t="shared" si="5"/>
        <v>3.2857142857142883E-2</v>
      </c>
      <c r="H50" s="3">
        <f t="shared" si="6"/>
        <v>0.57285714285714251</v>
      </c>
      <c r="I50" s="15" t="s">
        <v>7</v>
      </c>
      <c r="J50" s="16" t="s">
        <v>7</v>
      </c>
      <c r="K50" s="16" t="s">
        <v>7</v>
      </c>
    </row>
    <row r="51" spans="2:11" ht="13.9" customHeight="1" x14ac:dyDescent="0.2">
      <c r="B51" s="6">
        <f t="shared" si="1"/>
        <v>0.52999999999999958</v>
      </c>
      <c r="C51" s="7">
        <v>0.9</v>
      </c>
      <c r="D51" s="20">
        <f t="shared" si="2"/>
        <v>5.2857142857142922E-2</v>
      </c>
      <c r="E51" s="3">
        <f t="shared" si="3"/>
        <v>0.58285714285714252</v>
      </c>
      <c r="F51" s="11">
        <f t="shared" si="4"/>
        <v>0.76499999999999979</v>
      </c>
      <c r="G51" s="20">
        <f t="shared" si="5"/>
        <v>3.3571428571428599E-2</v>
      </c>
      <c r="H51" s="3">
        <f t="shared" si="6"/>
        <v>0.56357142857142817</v>
      </c>
      <c r="I51" s="15" t="s">
        <v>7</v>
      </c>
      <c r="J51" s="16" t="s">
        <v>7</v>
      </c>
      <c r="K51" s="16" t="s">
        <v>7</v>
      </c>
    </row>
    <row r="52" spans="2:11" ht="13.9" customHeight="1" x14ac:dyDescent="0.2">
      <c r="B52" s="6">
        <f t="shared" si="1"/>
        <v>0.51999999999999957</v>
      </c>
      <c r="C52" s="7">
        <v>0.9</v>
      </c>
      <c r="D52" s="20">
        <f t="shared" si="2"/>
        <v>5.4285714285714347E-2</v>
      </c>
      <c r="E52" s="3">
        <f t="shared" si="3"/>
        <v>0.57428571428571396</v>
      </c>
      <c r="F52" s="11">
        <f t="shared" si="4"/>
        <v>0.75999999999999979</v>
      </c>
      <c r="G52" s="20">
        <f t="shared" si="5"/>
        <v>3.4285714285714315E-2</v>
      </c>
      <c r="H52" s="3">
        <f t="shared" si="6"/>
        <v>0.55428571428571394</v>
      </c>
      <c r="I52" s="15" t="s">
        <v>7</v>
      </c>
      <c r="J52" s="16" t="s">
        <v>7</v>
      </c>
      <c r="K52" s="16" t="s">
        <v>7</v>
      </c>
    </row>
    <row r="53" spans="2:11" ht="13.9" customHeight="1" x14ac:dyDescent="0.2">
      <c r="B53" s="6">
        <f t="shared" si="1"/>
        <v>0.50999999999999956</v>
      </c>
      <c r="C53" s="7">
        <v>0.9</v>
      </c>
      <c r="D53" s="20">
        <f t="shared" si="2"/>
        <v>5.5714285714285779E-2</v>
      </c>
      <c r="E53" s="3">
        <f t="shared" si="3"/>
        <v>0.56571428571428539</v>
      </c>
      <c r="F53" s="11">
        <f t="shared" si="4"/>
        <v>0.75499999999999978</v>
      </c>
      <c r="G53" s="20">
        <f t="shared" si="5"/>
        <v>3.5000000000000031E-2</v>
      </c>
      <c r="H53" s="3">
        <f t="shared" si="6"/>
        <v>0.5449999999999996</v>
      </c>
      <c r="I53" s="15" t="s">
        <v>7</v>
      </c>
      <c r="J53" s="16" t="s">
        <v>7</v>
      </c>
      <c r="K53" s="16" t="s">
        <v>7</v>
      </c>
    </row>
    <row r="54" spans="2:11" ht="13.9" customHeight="1" x14ac:dyDescent="0.2">
      <c r="B54" s="6">
        <f t="shared" si="1"/>
        <v>0.49999999999999956</v>
      </c>
      <c r="C54" s="7">
        <v>0.9</v>
      </c>
      <c r="D54" s="20">
        <f t="shared" si="2"/>
        <v>5.714285714285721E-2</v>
      </c>
      <c r="E54" s="3">
        <f t="shared" si="3"/>
        <v>0.55714285714285672</v>
      </c>
      <c r="F54" s="11">
        <f t="shared" si="4"/>
        <v>0.74999999999999978</v>
      </c>
      <c r="G54" s="20">
        <f t="shared" si="5"/>
        <v>3.5714285714285747E-2</v>
      </c>
      <c r="H54" s="3">
        <f t="shared" si="6"/>
        <v>0.53571428571428525</v>
      </c>
      <c r="I54" s="15" t="s">
        <v>7</v>
      </c>
      <c r="J54" s="16" t="s">
        <v>7</v>
      </c>
      <c r="K54" s="16" t="s">
        <v>7</v>
      </c>
    </row>
    <row r="55" spans="2:11" ht="13.9" customHeight="1" x14ac:dyDescent="0.2">
      <c r="B55" s="6">
        <f t="shared" si="1"/>
        <v>0.48999999999999955</v>
      </c>
      <c r="C55" s="7">
        <v>0.9</v>
      </c>
      <c r="D55" s="20">
        <f t="shared" si="2"/>
        <v>5.8571428571428642E-2</v>
      </c>
      <c r="E55" s="3">
        <f t="shared" si="3"/>
        <v>0.54857142857142815</v>
      </c>
      <c r="F55" s="11">
        <f t="shared" si="4"/>
        <v>0.74499999999999977</v>
      </c>
      <c r="G55" s="20">
        <f t="shared" si="5"/>
        <v>3.6428571428571463E-2</v>
      </c>
      <c r="H55" s="3">
        <f t="shared" si="6"/>
        <v>0.52642857142857102</v>
      </c>
      <c r="I55" s="15" t="s">
        <v>7</v>
      </c>
      <c r="J55" s="16" t="s">
        <v>7</v>
      </c>
      <c r="K55" s="16" t="s">
        <v>7</v>
      </c>
    </row>
    <row r="56" spans="2:11" ht="13.9" customHeight="1" x14ac:dyDescent="0.2">
      <c r="B56" s="6">
        <f t="shared" si="1"/>
        <v>0.47999999999999954</v>
      </c>
      <c r="C56" s="7">
        <v>0.9</v>
      </c>
      <c r="D56" s="20">
        <f t="shared" si="2"/>
        <v>6.0000000000000067E-2</v>
      </c>
      <c r="E56" s="3">
        <f t="shared" si="3"/>
        <v>0.53999999999999959</v>
      </c>
      <c r="F56" s="11">
        <f t="shared" ref="F56:F87" si="7">((1-B56)/2)+B56</f>
        <v>0.73999999999999977</v>
      </c>
      <c r="G56" s="20">
        <f t="shared" ref="G56:G87" si="8">(F56-B56)/(2020-2013)</f>
        <v>3.7142857142857179E-2</v>
      </c>
      <c r="H56" s="3">
        <f t="shared" si="6"/>
        <v>0.51714285714285668</v>
      </c>
      <c r="I56" s="15" t="s">
        <v>7</v>
      </c>
      <c r="J56" s="16" t="s">
        <v>7</v>
      </c>
      <c r="K56" s="16" t="s">
        <v>7</v>
      </c>
    </row>
    <row r="57" spans="2:11" ht="13.9" customHeight="1" x14ac:dyDescent="0.2">
      <c r="B57" s="6">
        <f t="shared" si="1"/>
        <v>0.46999999999999953</v>
      </c>
      <c r="C57" s="7">
        <v>0.9</v>
      </c>
      <c r="D57" s="20">
        <f t="shared" si="2"/>
        <v>6.1428571428571499E-2</v>
      </c>
      <c r="E57" s="3">
        <f t="shared" si="3"/>
        <v>0.53142857142857103</v>
      </c>
      <c r="F57" s="11">
        <f t="shared" si="7"/>
        <v>0.73499999999999976</v>
      </c>
      <c r="G57" s="20">
        <f t="shared" si="8"/>
        <v>3.7857142857142888E-2</v>
      </c>
      <c r="H57" s="3">
        <f t="shared" si="6"/>
        <v>0.50785714285714245</v>
      </c>
      <c r="I57" s="15" t="s">
        <v>7</v>
      </c>
      <c r="J57" s="16" t="s">
        <v>7</v>
      </c>
      <c r="K57" s="16" t="s">
        <v>7</v>
      </c>
    </row>
    <row r="58" spans="2:11" ht="13.9" customHeight="1" x14ac:dyDescent="0.2">
      <c r="B58" s="6">
        <f t="shared" si="1"/>
        <v>0.45999999999999952</v>
      </c>
      <c r="C58" s="7">
        <v>0.9</v>
      </c>
      <c r="D58" s="20">
        <f t="shared" si="2"/>
        <v>6.2857142857142931E-2</v>
      </c>
      <c r="E58" s="3">
        <f t="shared" si="3"/>
        <v>0.52285714285714247</v>
      </c>
      <c r="F58" s="11">
        <f t="shared" si="7"/>
        <v>0.72999999999999976</v>
      </c>
      <c r="G58" s="20">
        <f t="shared" si="8"/>
        <v>3.8571428571428604E-2</v>
      </c>
      <c r="H58" s="3">
        <f t="shared" si="6"/>
        <v>0.49857142857142811</v>
      </c>
      <c r="I58" s="15" t="s">
        <v>7</v>
      </c>
      <c r="J58" s="16" t="s">
        <v>7</v>
      </c>
      <c r="K58" s="16" t="s">
        <v>7</v>
      </c>
    </row>
    <row r="59" spans="2:11" ht="13.9" customHeight="1" x14ac:dyDescent="0.2">
      <c r="B59" s="6">
        <f t="shared" si="1"/>
        <v>0.44999999999999951</v>
      </c>
      <c r="C59" s="7">
        <v>0.9</v>
      </c>
      <c r="D59" s="20">
        <f t="shared" si="2"/>
        <v>6.4285714285714363E-2</v>
      </c>
      <c r="E59" s="3">
        <f t="shared" si="3"/>
        <v>0.5142857142857139</v>
      </c>
      <c r="F59" s="11">
        <f t="shared" si="7"/>
        <v>0.72499999999999976</v>
      </c>
      <c r="G59" s="20">
        <f t="shared" si="8"/>
        <v>3.928571428571432E-2</v>
      </c>
      <c r="H59" s="3">
        <f t="shared" si="6"/>
        <v>0.48928571428571382</v>
      </c>
      <c r="I59" s="15" t="s">
        <v>7</v>
      </c>
      <c r="J59" s="16" t="s">
        <v>7</v>
      </c>
      <c r="K59" s="16" t="s">
        <v>7</v>
      </c>
    </row>
    <row r="60" spans="2:11" ht="13.9" customHeight="1" x14ac:dyDescent="0.2">
      <c r="B60" s="6">
        <f t="shared" si="1"/>
        <v>0.4399999999999995</v>
      </c>
      <c r="C60" s="7">
        <v>0.9</v>
      </c>
      <c r="D60" s="20">
        <f t="shared" si="2"/>
        <v>6.5714285714285794E-2</v>
      </c>
      <c r="E60" s="3">
        <f t="shared" si="3"/>
        <v>0.50571428571428534</v>
      </c>
      <c r="F60" s="11">
        <f t="shared" si="7"/>
        <v>0.71999999999999975</v>
      </c>
      <c r="G60" s="20">
        <f t="shared" si="8"/>
        <v>4.0000000000000036E-2</v>
      </c>
      <c r="H60" s="3">
        <f t="shared" si="6"/>
        <v>0.47999999999999954</v>
      </c>
      <c r="I60" s="15" t="s">
        <v>7</v>
      </c>
      <c r="J60" s="16" t="s">
        <v>7</v>
      </c>
      <c r="K60" s="16" t="s">
        <v>7</v>
      </c>
    </row>
    <row r="61" spans="2:11" ht="13.9" customHeight="1" x14ac:dyDescent="0.2">
      <c r="B61" s="6">
        <f t="shared" si="1"/>
        <v>0.42999999999999949</v>
      </c>
      <c r="C61" s="7">
        <v>0.9</v>
      </c>
      <c r="D61" s="20">
        <f t="shared" si="2"/>
        <v>6.7142857142857212E-2</v>
      </c>
      <c r="E61" s="3">
        <f t="shared" si="3"/>
        <v>0.49714285714285672</v>
      </c>
      <c r="F61" s="11">
        <f t="shared" si="7"/>
        <v>0.71499999999999975</v>
      </c>
      <c r="G61" s="20">
        <f t="shared" si="8"/>
        <v>4.0714285714285751E-2</v>
      </c>
      <c r="H61" s="3">
        <f t="shared" si="6"/>
        <v>0.47071428571428525</v>
      </c>
      <c r="I61" s="15" t="s">
        <v>7</v>
      </c>
      <c r="J61" s="16" t="s">
        <v>7</v>
      </c>
      <c r="K61" s="16" t="s">
        <v>7</v>
      </c>
    </row>
    <row r="62" spans="2:11" ht="13.9" customHeight="1" x14ac:dyDescent="0.2">
      <c r="B62" s="6">
        <f t="shared" si="1"/>
        <v>0.41999999999999948</v>
      </c>
      <c r="C62" s="7">
        <v>0.9</v>
      </c>
      <c r="D62" s="20">
        <f t="shared" si="2"/>
        <v>6.8571428571428644E-2</v>
      </c>
      <c r="E62" s="3">
        <f t="shared" si="3"/>
        <v>0.4885714285714281</v>
      </c>
      <c r="F62" s="11">
        <f t="shared" si="7"/>
        <v>0.70999999999999974</v>
      </c>
      <c r="G62" s="20">
        <f t="shared" si="8"/>
        <v>4.1428571428571467E-2</v>
      </c>
      <c r="H62" s="3">
        <f t="shared" si="6"/>
        <v>0.46142857142857097</v>
      </c>
      <c r="I62" s="15" t="s">
        <v>7</v>
      </c>
      <c r="J62" s="16" t="s">
        <v>7</v>
      </c>
      <c r="K62" s="16" t="s">
        <v>7</v>
      </c>
    </row>
    <row r="63" spans="2:11" ht="13.9" customHeight="1" x14ac:dyDescent="0.2">
      <c r="B63" s="6">
        <f t="shared" si="1"/>
        <v>0.40999999999999948</v>
      </c>
      <c r="C63" s="7">
        <v>0.9</v>
      </c>
      <c r="D63" s="20">
        <f t="shared" si="2"/>
        <v>7.0000000000000076E-2</v>
      </c>
      <c r="E63" s="3">
        <f t="shared" si="3"/>
        <v>0.47999999999999954</v>
      </c>
      <c r="F63" s="11">
        <f t="shared" si="7"/>
        <v>0.70499999999999974</v>
      </c>
      <c r="G63" s="20">
        <f t="shared" si="8"/>
        <v>4.2142857142857183E-2</v>
      </c>
      <c r="H63" s="3">
        <f t="shared" si="6"/>
        <v>0.45214285714285668</v>
      </c>
      <c r="I63" s="15" t="s">
        <v>7</v>
      </c>
      <c r="J63" s="16" t="s">
        <v>7</v>
      </c>
      <c r="K63" s="16" t="s">
        <v>7</v>
      </c>
    </row>
    <row r="64" spans="2:11" ht="13.9" customHeight="1" x14ac:dyDescent="0.2">
      <c r="B64" s="6">
        <f t="shared" si="1"/>
        <v>0.39999999999999947</v>
      </c>
      <c r="C64" s="7">
        <v>0.9</v>
      </c>
      <c r="D64" s="20">
        <f t="shared" si="2"/>
        <v>7.1428571428571508E-2</v>
      </c>
      <c r="E64" s="3">
        <f t="shared" si="3"/>
        <v>0.47142857142857097</v>
      </c>
      <c r="F64" s="11">
        <f t="shared" si="7"/>
        <v>0.69999999999999973</v>
      </c>
      <c r="G64" s="20">
        <f t="shared" si="8"/>
        <v>4.2857142857142892E-2</v>
      </c>
      <c r="H64" s="3">
        <f t="shared" si="6"/>
        <v>0.44285714285714234</v>
      </c>
      <c r="I64" s="15" t="s">
        <v>7</v>
      </c>
      <c r="J64" s="16" t="s">
        <v>7</v>
      </c>
      <c r="K64" s="16" t="s">
        <v>7</v>
      </c>
    </row>
    <row r="65" spans="2:11" ht="13.9" customHeight="1" x14ac:dyDescent="0.2">
      <c r="B65" s="6">
        <f t="shared" si="1"/>
        <v>0.38999999999999946</v>
      </c>
      <c r="C65" s="7">
        <v>0.9</v>
      </c>
      <c r="D65" s="20">
        <f t="shared" si="2"/>
        <v>7.285714285714294E-2</v>
      </c>
      <c r="E65" s="3">
        <f t="shared" si="3"/>
        <v>0.46285714285714241</v>
      </c>
      <c r="F65" s="11">
        <f t="shared" si="7"/>
        <v>0.69499999999999973</v>
      </c>
      <c r="G65" s="20">
        <f t="shared" si="8"/>
        <v>4.3571428571428608E-2</v>
      </c>
      <c r="H65" s="3">
        <f t="shared" si="6"/>
        <v>0.43357142857142805</v>
      </c>
      <c r="I65" s="15" t="s">
        <v>7</v>
      </c>
      <c r="J65" s="16" t="s">
        <v>7</v>
      </c>
      <c r="K65" s="16" t="s">
        <v>7</v>
      </c>
    </row>
    <row r="66" spans="2:11" ht="13.9" customHeight="1" x14ac:dyDescent="0.2">
      <c r="B66" s="6">
        <f t="shared" si="1"/>
        <v>0.37999999999999945</v>
      </c>
      <c r="C66" s="7">
        <v>0.9</v>
      </c>
      <c r="D66" s="20">
        <f t="shared" si="2"/>
        <v>7.4285714285714372E-2</v>
      </c>
      <c r="E66" s="3">
        <f t="shared" si="3"/>
        <v>0.45428571428571385</v>
      </c>
      <c r="F66" s="11">
        <f t="shared" si="7"/>
        <v>0.68999999999999972</v>
      </c>
      <c r="G66" s="20">
        <f t="shared" si="8"/>
        <v>4.4285714285714324E-2</v>
      </c>
      <c r="H66" s="3">
        <f t="shared" si="6"/>
        <v>0.42428571428571377</v>
      </c>
      <c r="I66" s="15" t="s">
        <v>7</v>
      </c>
      <c r="J66" s="16" t="s">
        <v>7</v>
      </c>
      <c r="K66" s="16" t="s">
        <v>7</v>
      </c>
    </row>
    <row r="67" spans="2:11" ht="13.9" customHeight="1" x14ac:dyDescent="0.2">
      <c r="B67" s="6">
        <f t="shared" si="1"/>
        <v>0.36999999999999944</v>
      </c>
      <c r="C67" s="7">
        <v>0.9</v>
      </c>
      <c r="D67" s="20">
        <f t="shared" si="2"/>
        <v>7.5714285714285803E-2</v>
      </c>
      <c r="E67" s="3">
        <f t="shared" si="3"/>
        <v>0.44571428571428523</v>
      </c>
      <c r="F67" s="11">
        <f t="shared" si="7"/>
        <v>0.68499999999999972</v>
      </c>
      <c r="G67" s="20">
        <f t="shared" si="8"/>
        <v>4.500000000000004E-2</v>
      </c>
      <c r="H67" s="3">
        <f t="shared" si="6"/>
        <v>0.41499999999999948</v>
      </c>
      <c r="I67" s="15" t="s">
        <v>7</v>
      </c>
      <c r="J67" s="16" t="s">
        <v>7</v>
      </c>
      <c r="K67" s="16" t="s">
        <v>7</v>
      </c>
    </row>
    <row r="68" spans="2:11" ht="13.9" customHeight="1" x14ac:dyDescent="0.2">
      <c r="B68" s="6">
        <f t="shared" si="1"/>
        <v>0.35999999999999943</v>
      </c>
      <c r="C68" s="7">
        <v>0.9</v>
      </c>
      <c r="D68" s="20">
        <f t="shared" si="2"/>
        <v>7.7142857142857221E-2</v>
      </c>
      <c r="E68" s="3">
        <f t="shared" si="3"/>
        <v>0.43714285714285667</v>
      </c>
      <c r="F68" s="11">
        <f t="shared" si="7"/>
        <v>0.67999999999999972</v>
      </c>
      <c r="G68" s="20">
        <f t="shared" si="8"/>
        <v>4.5714285714285756E-2</v>
      </c>
      <c r="H68" s="3">
        <f t="shared" si="6"/>
        <v>0.40571428571428519</v>
      </c>
      <c r="I68" s="15" t="s">
        <v>7</v>
      </c>
      <c r="J68" s="16" t="s">
        <v>7</v>
      </c>
      <c r="K68" s="16" t="s">
        <v>7</v>
      </c>
    </row>
    <row r="69" spans="2:11" ht="13.9" customHeight="1" x14ac:dyDescent="0.2">
      <c r="B69" s="6">
        <f t="shared" si="1"/>
        <v>0.34999999999999942</v>
      </c>
      <c r="C69" s="7">
        <v>0.9</v>
      </c>
      <c r="D69" s="20">
        <f t="shared" si="2"/>
        <v>7.8571428571428653E-2</v>
      </c>
      <c r="E69" s="3">
        <f t="shared" si="3"/>
        <v>0.42857142857142805</v>
      </c>
      <c r="F69" s="11">
        <f t="shared" si="7"/>
        <v>0.67499999999999971</v>
      </c>
      <c r="G69" s="20">
        <f t="shared" si="8"/>
        <v>4.6428571428571472E-2</v>
      </c>
      <c r="H69" s="3">
        <f t="shared" si="6"/>
        <v>0.39642857142857091</v>
      </c>
      <c r="I69" s="15" t="s">
        <v>7</v>
      </c>
      <c r="J69" s="16" t="s">
        <v>7</v>
      </c>
      <c r="K69" s="16" t="s">
        <v>7</v>
      </c>
    </row>
    <row r="70" spans="2:11" ht="13.9" customHeight="1" x14ac:dyDescent="0.2">
      <c r="B70" s="6">
        <f t="shared" si="1"/>
        <v>0.33999999999999941</v>
      </c>
      <c r="C70" s="7">
        <v>0.9</v>
      </c>
      <c r="D70" s="20">
        <f t="shared" si="2"/>
        <v>8.0000000000000085E-2</v>
      </c>
      <c r="E70" s="3">
        <f t="shared" si="3"/>
        <v>0.41999999999999948</v>
      </c>
      <c r="F70" s="11">
        <f t="shared" si="7"/>
        <v>0.66999999999999971</v>
      </c>
      <c r="G70" s="20">
        <f t="shared" si="8"/>
        <v>4.7142857142857188E-2</v>
      </c>
      <c r="H70" s="3">
        <f t="shared" si="6"/>
        <v>0.38714285714285662</v>
      </c>
      <c r="I70" s="15" t="s">
        <v>7</v>
      </c>
      <c r="J70" s="16" t="s">
        <v>7</v>
      </c>
      <c r="K70" s="16" t="s">
        <v>7</v>
      </c>
    </row>
    <row r="71" spans="2:11" ht="13.9" customHeight="1" x14ac:dyDescent="0.2">
      <c r="B71" s="6">
        <f t="shared" si="1"/>
        <v>0.3299999999999994</v>
      </c>
      <c r="C71" s="7">
        <v>0.9</v>
      </c>
      <c r="D71" s="20">
        <f t="shared" si="2"/>
        <v>8.1428571428571517E-2</v>
      </c>
      <c r="E71" s="3">
        <f t="shared" si="3"/>
        <v>0.41142857142857092</v>
      </c>
      <c r="F71" s="11">
        <f t="shared" si="7"/>
        <v>0.6649999999999997</v>
      </c>
      <c r="G71" s="20">
        <f t="shared" si="8"/>
        <v>4.7857142857142897E-2</v>
      </c>
      <c r="H71" s="3">
        <f t="shared" si="6"/>
        <v>0.37785714285714228</v>
      </c>
      <c r="I71" s="15" t="s">
        <v>7</v>
      </c>
      <c r="J71" s="16" t="s">
        <v>7</v>
      </c>
      <c r="K71" s="16" t="s">
        <v>7</v>
      </c>
    </row>
    <row r="72" spans="2:11" ht="13.9" customHeight="1" x14ac:dyDescent="0.2">
      <c r="B72" s="6">
        <f t="shared" si="1"/>
        <v>0.3199999999999994</v>
      </c>
      <c r="C72" s="7">
        <v>0.9</v>
      </c>
      <c r="D72" s="20">
        <f t="shared" si="2"/>
        <v>8.2857142857142949E-2</v>
      </c>
      <c r="E72" s="3">
        <f t="shared" si="3"/>
        <v>0.40285714285714236</v>
      </c>
      <c r="F72" s="11">
        <f t="shared" si="7"/>
        <v>0.6599999999999997</v>
      </c>
      <c r="G72" s="20">
        <f t="shared" si="8"/>
        <v>4.8571428571428613E-2</v>
      </c>
      <c r="H72" s="3">
        <f t="shared" si="6"/>
        <v>0.36857142857142799</v>
      </c>
      <c r="I72" s="15" t="s">
        <v>7</v>
      </c>
      <c r="J72" s="16" t="s">
        <v>7</v>
      </c>
      <c r="K72" s="16" t="s">
        <v>7</v>
      </c>
    </row>
    <row r="73" spans="2:11" ht="13.9" customHeight="1" x14ac:dyDescent="0.2">
      <c r="B73" s="6">
        <f t="shared" si="1"/>
        <v>0.30999999999999939</v>
      </c>
      <c r="C73" s="7">
        <v>0.9</v>
      </c>
      <c r="D73" s="20">
        <f t="shared" si="2"/>
        <v>8.428571428571438E-2</v>
      </c>
      <c r="E73" s="3">
        <f t="shared" si="3"/>
        <v>0.3942857142857138</v>
      </c>
      <c r="F73" s="11">
        <f t="shared" si="7"/>
        <v>0.65499999999999969</v>
      </c>
      <c r="G73" s="20">
        <f t="shared" si="8"/>
        <v>4.9285714285714328E-2</v>
      </c>
      <c r="H73" s="3">
        <f t="shared" si="6"/>
        <v>0.35928571428571371</v>
      </c>
      <c r="I73" s="15" t="s">
        <v>7</v>
      </c>
      <c r="J73" s="16" t="s">
        <v>7</v>
      </c>
      <c r="K73" s="16" t="s">
        <v>7</v>
      </c>
    </row>
    <row r="74" spans="2:11" ht="13.9" customHeight="1" x14ac:dyDescent="0.2">
      <c r="B74" s="6">
        <f t="shared" si="1"/>
        <v>0.29999999999999938</v>
      </c>
      <c r="C74" s="7">
        <v>0.9</v>
      </c>
      <c r="D74" s="20">
        <f t="shared" si="2"/>
        <v>8.5714285714285812E-2</v>
      </c>
      <c r="E74" s="3">
        <f t="shared" si="3"/>
        <v>0.38571428571428518</v>
      </c>
      <c r="F74" s="11">
        <f t="shared" si="7"/>
        <v>0.64999999999999969</v>
      </c>
      <c r="G74" s="20">
        <f t="shared" si="8"/>
        <v>5.0000000000000044E-2</v>
      </c>
      <c r="H74" s="3">
        <f t="shared" si="6"/>
        <v>0.34999999999999942</v>
      </c>
      <c r="I74" s="15" t="s">
        <v>7</v>
      </c>
      <c r="J74" s="16" t="s">
        <v>7</v>
      </c>
      <c r="K74" s="16" t="s">
        <v>7</v>
      </c>
    </row>
    <row r="75" spans="2:11" ht="13.9" customHeight="1" x14ac:dyDescent="0.2">
      <c r="B75" s="6">
        <f t="shared" ref="B75:B104" si="9">B74-0.01</f>
        <v>0.28999999999999937</v>
      </c>
      <c r="C75" s="7">
        <v>0.9</v>
      </c>
      <c r="D75" s="20">
        <f t="shared" si="2"/>
        <v>8.714285714285723E-2</v>
      </c>
      <c r="E75" s="3">
        <f t="shared" si="3"/>
        <v>0.37714285714285661</v>
      </c>
      <c r="F75" s="11">
        <f t="shared" si="7"/>
        <v>0.64499999999999968</v>
      </c>
      <c r="G75" s="20">
        <f t="shared" si="8"/>
        <v>5.071428571428576E-2</v>
      </c>
      <c r="H75" s="3">
        <f t="shared" si="6"/>
        <v>0.34071428571428514</v>
      </c>
      <c r="I75" s="15" t="s">
        <v>7</v>
      </c>
      <c r="J75" s="16" t="s">
        <v>7</v>
      </c>
      <c r="K75" s="16" t="s">
        <v>7</v>
      </c>
    </row>
    <row r="76" spans="2:11" ht="13.9" customHeight="1" x14ac:dyDescent="0.2">
      <c r="B76" s="6">
        <f t="shared" si="9"/>
        <v>0.27999999999999936</v>
      </c>
      <c r="C76" s="7">
        <v>0.9</v>
      </c>
      <c r="D76" s="20">
        <f t="shared" si="2"/>
        <v>8.8571428571428662E-2</v>
      </c>
      <c r="E76" s="3">
        <f t="shared" si="3"/>
        <v>0.36857142857142799</v>
      </c>
      <c r="F76" s="11">
        <f t="shared" si="7"/>
        <v>0.63999999999999968</v>
      </c>
      <c r="G76" s="20">
        <f t="shared" si="8"/>
        <v>5.1428571428571476E-2</v>
      </c>
      <c r="H76" s="3">
        <f t="shared" si="6"/>
        <v>0.33142857142857085</v>
      </c>
      <c r="I76" s="15" t="s">
        <v>7</v>
      </c>
      <c r="J76" s="16" t="s">
        <v>7</v>
      </c>
      <c r="K76" s="16" t="s">
        <v>7</v>
      </c>
    </row>
    <row r="77" spans="2:11" ht="13.9" customHeight="1" x14ac:dyDescent="0.2">
      <c r="B77" s="6">
        <f t="shared" si="9"/>
        <v>0.26999999999999935</v>
      </c>
      <c r="C77" s="7">
        <v>0.9</v>
      </c>
      <c r="D77" s="20">
        <f t="shared" si="2"/>
        <v>9.0000000000000094E-2</v>
      </c>
      <c r="E77" s="3">
        <f t="shared" si="3"/>
        <v>0.35999999999999943</v>
      </c>
      <c r="F77" s="11">
        <f t="shared" si="7"/>
        <v>0.63499999999999968</v>
      </c>
      <c r="G77" s="20">
        <f t="shared" si="8"/>
        <v>5.2142857142857192E-2</v>
      </c>
      <c r="H77" s="3">
        <f t="shared" si="6"/>
        <v>0.32214285714285656</v>
      </c>
      <c r="I77" s="15" t="s">
        <v>7</v>
      </c>
      <c r="J77" s="16" t="s">
        <v>7</v>
      </c>
      <c r="K77" s="16" t="s">
        <v>7</v>
      </c>
    </row>
    <row r="78" spans="2:11" ht="13.9" customHeight="1" x14ac:dyDescent="0.2">
      <c r="B78" s="6">
        <f t="shared" si="9"/>
        <v>0.25999999999999934</v>
      </c>
      <c r="C78" s="7">
        <v>0.9</v>
      </c>
      <c r="D78" s="20">
        <f t="shared" si="2"/>
        <v>9.1428571428571526E-2</v>
      </c>
      <c r="E78" s="3">
        <f t="shared" si="3"/>
        <v>0.35142857142857087</v>
      </c>
      <c r="F78" s="11">
        <f t="shared" si="7"/>
        <v>0.62999999999999967</v>
      </c>
      <c r="G78" s="20">
        <f t="shared" si="8"/>
        <v>5.2857142857142901E-2</v>
      </c>
      <c r="H78" s="3">
        <f t="shared" si="6"/>
        <v>0.31285714285714222</v>
      </c>
      <c r="I78" s="15" t="s">
        <v>7</v>
      </c>
      <c r="J78" s="16" t="s">
        <v>7</v>
      </c>
      <c r="K78" s="16" t="s">
        <v>7</v>
      </c>
    </row>
    <row r="79" spans="2:11" ht="13.9" customHeight="1" x14ac:dyDescent="0.2">
      <c r="B79" s="6">
        <f t="shared" si="9"/>
        <v>0.24999999999999933</v>
      </c>
      <c r="C79" s="7">
        <v>0.9</v>
      </c>
      <c r="D79" s="20">
        <f t="shared" si="2"/>
        <v>9.2857142857142957E-2</v>
      </c>
      <c r="E79" s="3">
        <f t="shared" si="3"/>
        <v>0.34285714285714231</v>
      </c>
      <c r="F79" s="11">
        <f t="shared" si="7"/>
        <v>0.62499999999999967</v>
      </c>
      <c r="G79" s="20">
        <f t="shared" si="8"/>
        <v>5.3571428571428617E-2</v>
      </c>
      <c r="H79" s="3">
        <f t="shared" si="6"/>
        <v>0.30357142857142794</v>
      </c>
      <c r="I79" s="15" t="s">
        <v>7</v>
      </c>
      <c r="J79" s="16" t="s">
        <v>7</v>
      </c>
      <c r="K79" s="16" t="s">
        <v>7</v>
      </c>
    </row>
    <row r="80" spans="2:11" ht="13.9" customHeight="1" x14ac:dyDescent="0.2">
      <c r="B80" s="6">
        <f t="shared" si="9"/>
        <v>0.23999999999999932</v>
      </c>
      <c r="C80" s="7">
        <v>0.9</v>
      </c>
      <c r="D80" s="20">
        <f t="shared" ref="D80:D98" si="10">(C80-B80)/(2020-2013)</f>
        <v>9.4285714285714389E-2</v>
      </c>
      <c r="E80" s="3">
        <f t="shared" ref="E80:E98" si="11">B80+D80</f>
        <v>0.33428571428571374</v>
      </c>
      <c r="F80" s="11">
        <f t="shared" si="7"/>
        <v>0.61999999999999966</v>
      </c>
      <c r="G80" s="20">
        <f t="shared" si="8"/>
        <v>5.4285714285714333E-2</v>
      </c>
      <c r="H80" s="3">
        <f t="shared" si="6"/>
        <v>0.29428571428571365</v>
      </c>
      <c r="I80" s="15" t="s">
        <v>7</v>
      </c>
      <c r="J80" s="16" t="s">
        <v>7</v>
      </c>
      <c r="K80" s="16" t="s">
        <v>7</v>
      </c>
    </row>
    <row r="81" spans="2:11" ht="13.9" customHeight="1" x14ac:dyDescent="0.2">
      <c r="B81" s="6">
        <f t="shared" si="9"/>
        <v>0.22999999999999932</v>
      </c>
      <c r="C81" s="7">
        <v>0.9</v>
      </c>
      <c r="D81" s="20">
        <f t="shared" si="10"/>
        <v>9.5714285714285821E-2</v>
      </c>
      <c r="E81" s="3">
        <f t="shared" si="11"/>
        <v>0.32571428571428512</v>
      </c>
      <c r="F81" s="11">
        <f t="shared" si="7"/>
        <v>0.61499999999999966</v>
      </c>
      <c r="G81" s="20">
        <f t="shared" si="8"/>
        <v>5.5000000000000049E-2</v>
      </c>
      <c r="H81" s="3">
        <f t="shared" si="6"/>
        <v>0.28499999999999936</v>
      </c>
      <c r="I81" s="15" t="s">
        <v>7</v>
      </c>
      <c r="J81" s="16" t="s">
        <v>7</v>
      </c>
      <c r="K81" s="16" t="s">
        <v>7</v>
      </c>
    </row>
    <row r="82" spans="2:11" ht="13.9" customHeight="1" x14ac:dyDescent="0.2">
      <c r="B82" s="6">
        <f t="shared" si="9"/>
        <v>0.21999999999999931</v>
      </c>
      <c r="C82" s="7">
        <v>0.9</v>
      </c>
      <c r="D82" s="20">
        <f t="shared" si="10"/>
        <v>9.7142857142857239E-2</v>
      </c>
      <c r="E82" s="3">
        <f t="shared" si="11"/>
        <v>0.31714285714285656</v>
      </c>
      <c r="F82" s="11">
        <f t="shared" si="7"/>
        <v>0.60999999999999965</v>
      </c>
      <c r="G82" s="20">
        <f t="shared" si="8"/>
        <v>5.5714285714285765E-2</v>
      </c>
      <c r="H82" s="3">
        <f t="shared" si="6"/>
        <v>0.27571428571428508</v>
      </c>
      <c r="I82" s="15" t="s">
        <v>7</v>
      </c>
      <c r="J82" s="16" t="s">
        <v>7</v>
      </c>
      <c r="K82" s="16" t="s">
        <v>7</v>
      </c>
    </row>
    <row r="83" spans="2:11" ht="13.9" customHeight="1" x14ac:dyDescent="0.2">
      <c r="B83" s="6">
        <f t="shared" si="9"/>
        <v>0.2099999999999993</v>
      </c>
      <c r="C83" s="7">
        <v>0.9</v>
      </c>
      <c r="D83" s="20">
        <f t="shared" si="10"/>
        <v>9.8571428571428671E-2</v>
      </c>
      <c r="E83" s="3">
        <f t="shared" si="11"/>
        <v>0.30857142857142794</v>
      </c>
      <c r="F83" s="11">
        <f t="shared" si="7"/>
        <v>0.60499999999999965</v>
      </c>
      <c r="G83" s="20">
        <f t="shared" si="8"/>
        <v>5.6428571428571481E-2</v>
      </c>
      <c r="H83" s="3">
        <f t="shared" si="6"/>
        <v>0.26642857142857079</v>
      </c>
      <c r="I83" s="15" t="s">
        <v>7</v>
      </c>
      <c r="J83" s="16" t="s">
        <v>7</v>
      </c>
      <c r="K83" s="16" t="s">
        <v>7</v>
      </c>
    </row>
    <row r="84" spans="2:11" ht="13.9" customHeight="1" x14ac:dyDescent="0.2">
      <c r="B84" s="6">
        <f t="shared" si="9"/>
        <v>0.19999999999999929</v>
      </c>
      <c r="C84" s="7">
        <v>0.9</v>
      </c>
      <c r="D84" s="20">
        <f t="shared" si="10"/>
        <v>0.1000000000000001</v>
      </c>
      <c r="E84" s="3">
        <f t="shared" si="11"/>
        <v>0.29999999999999938</v>
      </c>
      <c r="F84" s="11">
        <f t="shared" si="7"/>
        <v>0.59999999999999964</v>
      </c>
      <c r="G84" s="20">
        <f t="shared" si="8"/>
        <v>5.7142857142857197E-2</v>
      </c>
      <c r="H84" s="3">
        <f t="shared" si="6"/>
        <v>0.25714285714285651</v>
      </c>
      <c r="I84" s="15" t="s">
        <v>7</v>
      </c>
      <c r="J84" s="16" t="s">
        <v>7</v>
      </c>
      <c r="K84" s="16" t="s">
        <v>7</v>
      </c>
    </row>
    <row r="85" spans="2:11" ht="13.9" customHeight="1" x14ac:dyDescent="0.2">
      <c r="B85" s="6">
        <f t="shared" si="9"/>
        <v>0.18999999999999928</v>
      </c>
      <c r="C85" s="7">
        <v>0.9</v>
      </c>
      <c r="D85" s="20">
        <f t="shared" si="10"/>
        <v>0.10142857142857153</v>
      </c>
      <c r="E85" s="3">
        <f t="shared" si="11"/>
        <v>0.29142857142857082</v>
      </c>
      <c r="F85" s="11">
        <f t="shared" si="7"/>
        <v>0.59499999999999964</v>
      </c>
      <c r="G85" s="20">
        <f t="shared" si="8"/>
        <v>5.7857142857142906E-2</v>
      </c>
      <c r="H85" s="3">
        <f t="shared" si="6"/>
        <v>0.24785714285714219</v>
      </c>
      <c r="I85" s="15" t="s">
        <v>7</v>
      </c>
      <c r="J85" s="16" t="s">
        <v>7</v>
      </c>
      <c r="K85" s="16" t="s">
        <v>7</v>
      </c>
    </row>
    <row r="86" spans="2:11" ht="13.9" customHeight="1" x14ac:dyDescent="0.2">
      <c r="B86" s="6">
        <f t="shared" si="9"/>
        <v>0.17999999999999927</v>
      </c>
      <c r="C86" s="7">
        <v>0.9</v>
      </c>
      <c r="D86" s="20">
        <f t="shared" si="10"/>
        <v>0.10285714285714297</v>
      </c>
      <c r="E86" s="3">
        <f t="shared" si="11"/>
        <v>0.28285714285714225</v>
      </c>
      <c r="F86" s="11">
        <f t="shared" si="7"/>
        <v>0.58999999999999964</v>
      </c>
      <c r="G86" s="20">
        <f t="shared" si="8"/>
        <v>5.8571428571428621E-2</v>
      </c>
      <c r="H86" s="3">
        <f t="shared" si="6"/>
        <v>0.23857142857142788</v>
      </c>
      <c r="I86" s="15" t="s">
        <v>7</v>
      </c>
      <c r="J86" s="16" t="s">
        <v>7</v>
      </c>
      <c r="K86" s="16" t="s">
        <v>7</v>
      </c>
    </row>
    <row r="87" spans="2:11" ht="13.9" customHeight="1" x14ac:dyDescent="0.2">
      <c r="B87" s="6">
        <f t="shared" si="9"/>
        <v>0.16999999999999926</v>
      </c>
      <c r="C87" s="7">
        <v>0.9</v>
      </c>
      <c r="D87" s="20">
        <f t="shared" si="10"/>
        <v>0.1042857142857144</v>
      </c>
      <c r="E87" s="3">
        <f t="shared" si="11"/>
        <v>0.27428571428571369</v>
      </c>
      <c r="F87" s="11">
        <f t="shared" si="7"/>
        <v>0.58499999999999963</v>
      </c>
      <c r="G87" s="20">
        <f t="shared" si="8"/>
        <v>5.9285714285714337E-2</v>
      </c>
      <c r="H87" s="3">
        <f t="shared" si="6"/>
        <v>0.22928571428571359</v>
      </c>
      <c r="I87" s="15" t="s">
        <v>7</v>
      </c>
      <c r="J87" s="16" t="s">
        <v>7</v>
      </c>
      <c r="K87" s="16" t="s">
        <v>7</v>
      </c>
    </row>
    <row r="88" spans="2:11" ht="13.9" customHeight="1" x14ac:dyDescent="0.2">
      <c r="B88" s="6">
        <f t="shared" si="9"/>
        <v>0.15999999999999925</v>
      </c>
      <c r="C88" s="7">
        <v>0.9</v>
      </c>
      <c r="D88" s="20">
        <f t="shared" si="10"/>
        <v>0.10571428571428583</v>
      </c>
      <c r="E88" s="3">
        <f t="shared" si="11"/>
        <v>0.26571428571428507</v>
      </c>
      <c r="F88" s="11">
        <f t="shared" ref="F88:F98" si="12">((1-B88)/2)+B88</f>
        <v>0.57999999999999963</v>
      </c>
      <c r="G88" s="20">
        <f t="shared" ref="G88:G98" si="13">(F88-B88)/(2020-2013)</f>
        <v>6.0000000000000053E-2</v>
      </c>
      <c r="H88" s="3">
        <f t="shared" si="6"/>
        <v>0.21999999999999931</v>
      </c>
      <c r="I88" s="15" t="s">
        <v>7</v>
      </c>
      <c r="J88" s="16" t="s">
        <v>7</v>
      </c>
      <c r="K88" s="16" t="s">
        <v>7</v>
      </c>
    </row>
    <row r="89" spans="2:11" ht="13.9" customHeight="1" x14ac:dyDescent="0.2">
      <c r="B89" s="6">
        <f t="shared" si="9"/>
        <v>0.14999999999999925</v>
      </c>
      <c r="C89" s="7">
        <v>0.9</v>
      </c>
      <c r="D89" s="20">
        <f t="shared" si="10"/>
        <v>0.10714285714285725</v>
      </c>
      <c r="E89" s="3">
        <f t="shared" si="11"/>
        <v>0.25714285714285651</v>
      </c>
      <c r="F89" s="11">
        <f t="shared" si="12"/>
        <v>0.57499999999999962</v>
      </c>
      <c r="G89" s="20">
        <f t="shared" si="13"/>
        <v>6.0714285714285769E-2</v>
      </c>
      <c r="H89" s="3">
        <f t="shared" ref="H89:H98" si="14">B89+G89</f>
        <v>0.21071428571428502</v>
      </c>
      <c r="I89" s="15" t="s">
        <v>7</v>
      </c>
      <c r="J89" s="16" t="s">
        <v>7</v>
      </c>
      <c r="K89" s="16" t="s">
        <v>7</v>
      </c>
    </row>
    <row r="90" spans="2:11" ht="13.9" customHeight="1" x14ac:dyDescent="0.2">
      <c r="B90" s="6">
        <f t="shared" si="9"/>
        <v>0.13999999999999924</v>
      </c>
      <c r="C90" s="7">
        <v>0.9</v>
      </c>
      <c r="D90" s="20">
        <f t="shared" si="10"/>
        <v>0.10857142857142868</v>
      </c>
      <c r="E90" s="3">
        <f t="shared" si="11"/>
        <v>0.24857142857142792</v>
      </c>
      <c r="F90" s="11">
        <f t="shared" si="12"/>
        <v>0.56999999999999962</v>
      </c>
      <c r="G90" s="20">
        <f t="shared" si="13"/>
        <v>6.1428571428571485E-2</v>
      </c>
      <c r="H90" s="3">
        <f t="shared" si="14"/>
        <v>0.20142857142857074</v>
      </c>
      <c r="I90" s="15" t="s">
        <v>7</v>
      </c>
      <c r="J90" s="16" t="s">
        <v>7</v>
      </c>
      <c r="K90" s="16" t="s">
        <v>7</v>
      </c>
    </row>
    <row r="91" spans="2:11" ht="13.9" customHeight="1" x14ac:dyDescent="0.2">
      <c r="B91" s="6">
        <f t="shared" si="9"/>
        <v>0.12999999999999923</v>
      </c>
      <c r="C91" s="7">
        <v>0.9</v>
      </c>
      <c r="D91" s="20">
        <f t="shared" si="10"/>
        <v>0.11000000000000011</v>
      </c>
      <c r="E91" s="3">
        <f t="shared" si="11"/>
        <v>0.23999999999999932</v>
      </c>
      <c r="F91" s="11">
        <f t="shared" si="12"/>
        <v>0.56499999999999961</v>
      </c>
      <c r="G91" s="20">
        <f t="shared" si="13"/>
        <v>6.2142857142857201E-2</v>
      </c>
      <c r="H91" s="3">
        <f t="shared" si="14"/>
        <v>0.19214285714285642</v>
      </c>
      <c r="I91" s="15" t="s">
        <v>7</v>
      </c>
      <c r="J91" s="16" t="s">
        <v>7</v>
      </c>
      <c r="K91" s="16" t="s">
        <v>7</v>
      </c>
    </row>
    <row r="92" spans="2:11" ht="13.9" customHeight="1" x14ac:dyDescent="0.2">
      <c r="B92" s="6">
        <f t="shared" si="9"/>
        <v>0.11999999999999923</v>
      </c>
      <c r="C92" s="7">
        <v>0.9</v>
      </c>
      <c r="D92" s="20">
        <f t="shared" si="10"/>
        <v>0.11142857142857154</v>
      </c>
      <c r="E92" s="3">
        <f t="shared" si="11"/>
        <v>0.23142857142857076</v>
      </c>
      <c r="F92" s="11">
        <f t="shared" si="12"/>
        <v>0.55999999999999961</v>
      </c>
      <c r="G92" s="20">
        <f t="shared" si="13"/>
        <v>6.2857142857142917E-2</v>
      </c>
      <c r="H92" s="3">
        <f t="shared" si="14"/>
        <v>0.18285714285714216</v>
      </c>
      <c r="I92" s="15" t="s">
        <v>7</v>
      </c>
      <c r="J92" s="16" t="s">
        <v>7</v>
      </c>
      <c r="K92" s="16" t="s">
        <v>7</v>
      </c>
    </row>
    <row r="93" spans="2:11" ht="13.9" customHeight="1" x14ac:dyDescent="0.2">
      <c r="B93" s="6">
        <f t="shared" si="9"/>
        <v>0.10999999999999924</v>
      </c>
      <c r="C93" s="7">
        <v>0.9</v>
      </c>
      <c r="D93" s="20">
        <f t="shared" si="10"/>
        <v>0.11285714285714298</v>
      </c>
      <c r="E93" s="3">
        <f t="shared" si="11"/>
        <v>0.2228571428571422</v>
      </c>
      <c r="F93" s="11">
        <f t="shared" si="12"/>
        <v>0.5549999999999996</v>
      </c>
      <c r="G93" s="20">
        <f t="shared" si="13"/>
        <v>6.3571428571428626E-2</v>
      </c>
      <c r="H93" s="3">
        <f t="shared" si="14"/>
        <v>0.17357142857142788</v>
      </c>
      <c r="I93" s="15" t="s">
        <v>7</v>
      </c>
      <c r="J93" s="16" t="s">
        <v>7</v>
      </c>
      <c r="K93" s="16" t="s">
        <v>7</v>
      </c>
    </row>
    <row r="94" spans="2:11" ht="13.9" customHeight="1" x14ac:dyDescent="0.2">
      <c r="B94" s="6">
        <f t="shared" si="9"/>
        <v>9.9999999999999242E-2</v>
      </c>
      <c r="C94" s="7">
        <v>0.9</v>
      </c>
      <c r="D94" s="20">
        <f t="shared" si="10"/>
        <v>0.11428571428571441</v>
      </c>
      <c r="E94" s="3">
        <f t="shared" si="11"/>
        <v>0.21428571428571364</v>
      </c>
      <c r="F94" s="11">
        <f t="shared" si="12"/>
        <v>0.5499999999999996</v>
      </c>
      <c r="G94" s="20">
        <f t="shared" si="13"/>
        <v>6.4285714285714335E-2</v>
      </c>
      <c r="H94" s="3">
        <f t="shared" si="14"/>
        <v>0.16428571428571359</v>
      </c>
      <c r="I94" s="15" t="s">
        <v>7</v>
      </c>
      <c r="J94" s="16" t="s">
        <v>7</v>
      </c>
      <c r="K94" s="16" t="s">
        <v>7</v>
      </c>
    </row>
    <row r="95" spans="2:11" ht="13.9" customHeight="1" x14ac:dyDescent="0.2">
      <c r="B95" s="6">
        <f t="shared" si="9"/>
        <v>8.9999999999999247E-2</v>
      </c>
      <c r="C95" s="7">
        <v>0.9</v>
      </c>
      <c r="D95" s="20">
        <f t="shared" si="10"/>
        <v>0.11571428571428581</v>
      </c>
      <c r="E95" s="3">
        <f t="shared" si="11"/>
        <v>0.20571428571428507</v>
      </c>
      <c r="F95" s="11">
        <f t="shared" si="12"/>
        <v>0.54499999999999971</v>
      </c>
      <c r="G95" s="20">
        <f t="shared" si="13"/>
        <v>6.5000000000000072E-2</v>
      </c>
      <c r="H95" s="3">
        <f t="shared" si="14"/>
        <v>0.15499999999999931</v>
      </c>
      <c r="I95" s="15" t="s">
        <v>7</v>
      </c>
      <c r="J95" s="16" t="s">
        <v>7</v>
      </c>
      <c r="K95" s="16" t="s">
        <v>7</v>
      </c>
    </row>
    <row r="96" spans="2:11" ht="13.9" customHeight="1" x14ac:dyDescent="0.2">
      <c r="B96" s="6">
        <f t="shared" si="9"/>
        <v>7.9999999999999252E-2</v>
      </c>
      <c r="C96" s="7">
        <v>0.9</v>
      </c>
      <c r="D96" s="20">
        <f t="shared" si="10"/>
        <v>0.11714285714285724</v>
      </c>
      <c r="E96" s="3">
        <f t="shared" si="11"/>
        <v>0.19714285714285651</v>
      </c>
      <c r="F96" s="11">
        <f t="shared" si="12"/>
        <v>0.53999999999999959</v>
      </c>
      <c r="G96" s="20">
        <f t="shared" si="13"/>
        <v>6.5714285714285767E-2</v>
      </c>
      <c r="H96" s="3">
        <f t="shared" si="14"/>
        <v>0.14571428571428502</v>
      </c>
      <c r="I96" s="15" t="s">
        <v>7</v>
      </c>
      <c r="J96" s="16" t="s">
        <v>7</v>
      </c>
      <c r="K96" s="16" t="s">
        <v>7</v>
      </c>
    </row>
    <row r="97" spans="2:11" ht="13.9" customHeight="1" x14ac:dyDescent="0.2">
      <c r="B97" s="6">
        <f t="shared" si="9"/>
        <v>6.9999999999999257E-2</v>
      </c>
      <c r="C97" s="7">
        <v>0.9</v>
      </c>
      <c r="D97" s="20">
        <f t="shared" si="10"/>
        <v>0.11857142857142867</v>
      </c>
      <c r="E97" s="3">
        <f t="shared" si="11"/>
        <v>0.18857142857142795</v>
      </c>
      <c r="F97" s="11">
        <f t="shared" si="12"/>
        <v>0.53499999999999959</v>
      </c>
      <c r="G97" s="20">
        <f t="shared" si="13"/>
        <v>6.6428571428571476E-2</v>
      </c>
      <c r="H97" s="3">
        <f t="shared" si="14"/>
        <v>0.13642857142857073</v>
      </c>
      <c r="I97" s="15" t="s">
        <v>7</v>
      </c>
      <c r="J97" s="16" t="s">
        <v>7</v>
      </c>
      <c r="K97" s="16" t="s">
        <v>7</v>
      </c>
    </row>
    <row r="98" spans="2:11" ht="13.9" customHeight="1" x14ac:dyDescent="0.2">
      <c r="B98" s="6">
        <f t="shared" si="9"/>
        <v>5.9999999999999255E-2</v>
      </c>
      <c r="C98" s="7">
        <v>0.9</v>
      </c>
      <c r="D98" s="20">
        <f t="shared" si="10"/>
        <v>0.12000000000000011</v>
      </c>
      <c r="E98" s="3">
        <f t="shared" si="11"/>
        <v>0.17999999999999935</v>
      </c>
      <c r="F98" s="11">
        <f t="shared" si="12"/>
        <v>0.52999999999999958</v>
      </c>
      <c r="G98" s="20">
        <f t="shared" si="13"/>
        <v>6.7142857142857185E-2</v>
      </c>
      <c r="H98" s="3">
        <f t="shared" si="14"/>
        <v>0.12714285714285645</v>
      </c>
      <c r="I98" s="15" t="s">
        <v>7</v>
      </c>
      <c r="J98" s="16" t="s">
        <v>7</v>
      </c>
      <c r="K98" s="16" t="s">
        <v>7</v>
      </c>
    </row>
    <row r="99" spans="2:11" ht="13.9" customHeight="1" x14ac:dyDescent="0.2">
      <c r="B99" s="6">
        <f t="shared" si="9"/>
        <v>4.9999999999999253E-2</v>
      </c>
      <c r="C99" s="7">
        <v>0.9</v>
      </c>
      <c r="D99" s="20">
        <f t="shared" ref="D99:D104" si="15">(C99-B99)/(2020-2013)</f>
        <v>0.12142857142857154</v>
      </c>
      <c r="E99" s="3">
        <f t="shared" ref="E99:E104" si="16">B99+D99</f>
        <v>0.17142857142857079</v>
      </c>
      <c r="F99" s="11">
        <f t="shared" ref="F99:F104" si="17">((1-B99)/2)+B99</f>
        <v>0.52499999999999958</v>
      </c>
      <c r="G99" s="20">
        <f t="shared" ref="G99:G104" si="18">(F99-B99)/(2020-2013)</f>
        <v>6.7857142857142907E-2</v>
      </c>
      <c r="H99" s="3">
        <f t="shared" ref="H99:H104" si="19">B99+G99</f>
        <v>0.11785714285714216</v>
      </c>
      <c r="I99" s="15" t="s">
        <v>7</v>
      </c>
      <c r="J99" s="16" t="s">
        <v>7</v>
      </c>
      <c r="K99" s="16" t="s">
        <v>7</v>
      </c>
    </row>
    <row r="100" spans="2:11" ht="13.9" customHeight="1" x14ac:dyDescent="0.2">
      <c r="B100" s="6">
        <f t="shared" si="9"/>
        <v>3.9999999999999251E-2</v>
      </c>
      <c r="C100" s="7">
        <v>0.9</v>
      </c>
      <c r="D100" s="20">
        <f t="shared" si="15"/>
        <v>0.12285714285714297</v>
      </c>
      <c r="E100" s="3">
        <f t="shared" si="16"/>
        <v>0.16285714285714223</v>
      </c>
      <c r="F100" s="11">
        <f t="shared" si="17"/>
        <v>0.51999999999999957</v>
      </c>
      <c r="G100" s="20">
        <f t="shared" si="18"/>
        <v>6.8571428571428616E-2</v>
      </c>
      <c r="H100" s="3">
        <f t="shared" si="19"/>
        <v>0.10857142857142787</v>
      </c>
      <c r="I100" s="15" t="s">
        <v>7</v>
      </c>
      <c r="J100" s="16" t="s">
        <v>7</v>
      </c>
      <c r="K100" s="16" t="s">
        <v>7</v>
      </c>
    </row>
    <row r="101" spans="2:11" ht="13.9" customHeight="1" x14ac:dyDescent="0.2">
      <c r="B101" s="6">
        <f t="shared" si="9"/>
        <v>2.9999999999999249E-2</v>
      </c>
      <c r="C101" s="7">
        <v>0.9</v>
      </c>
      <c r="D101" s="20">
        <f t="shared" si="15"/>
        <v>0.1242857142857144</v>
      </c>
      <c r="E101" s="3">
        <f t="shared" si="16"/>
        <v>0.15428571428571364</v>
      </c>
      <c r="F101" s="11">
        <f t="shared" si="17"/>
        <v>0.51499999999999968</v>
      </c>
      <c r="G101" s="20">
        <f t="shared" si="18"/>
        <v>6.9285714285714353E-2</v>
      </c>
      <c r="H101" s="3">
        <f t="shared" si="19"/>
        <v>9.9285714285713603E-2</v>
      </c>
      <c r="I101" s="15" t="s">
        <v>7</v>
      </c>
      <c r="J101" s="16" t="s">
        <v>7</v>
      </c>
      <c r="K101" s="16" t="s">
        <v>7</v>
      </c>
    </row>
    <row r="102" spans="2:11" ht="13.9" customHeight="1" x14ac:dyDescent="0.2">
      <c r="B102" s="6">
        <f t="shared" si="9"/>
        <v>1.9999999999999248E-2</v>
      </c>
      <c r="C102" s="7">
        <v>0.9</v>
      </c>
      <c r="D102" s="20">
        <f t="shared" si="15"/>
        <v>0.12571428571428583</v>
      </c>
      <c r="E102" s="3">
        <f t="shared" si="16"/>
        <v>0.14571428571428507</v>
      </c>
      <c r="F102" s="11">
        <f t="shared" si="17"/>
        <v>0.50999999999999968</v>
      </c>
      <c r="G102" s="20">
        <f t="shared" si="18"/>
        <v>7.0000000000000062E-2</v>
      </c>
      <c r="H102" s="3">
        <f t="shared" si="19"/>
        <v>8.9999999999999303E-2</v>
      </c>
      <c r="I102" s="15" t="s">
        <v>7</v>
      </c>
      <c r="J102" s="16" t="s">
        <v>7</v>
      </c>
      <c r="K102" s="16" t="s">
        <v>7</v>
      </c>
    </row>
    <row r="103" spans="2:11" ht="13.9" customHeight="1" x14ac:dyDescent="0.2">
      <c r="B103" s="6">
        <f t="shared" si="9"/>
        <v>9.9999999999992473E-3</v>
      </c>
      <c r="C103" s="7">
        <v>0.9</v>
      </c>
      <c r="D103" s="20">
        <f t="shared" si="15"/>
        <v>0.12714285714285725</v>
      </c>
      <c r="E103" s="3">
        <f t="shared" si="16"/>
        <v>0.13714285714285651</v>
      </c>
      <c r="F103" s="11">
        <f t="shared" si="17"/>
        <v>0.50499999999999967</v>
      </c>
      <c r="G103" s="20">
        <f t="shared" si="18"/>
        <v>7.0714285714285771E-2</v>
      </c>
      <c r="H103" s="3">
        <f t="shared" si="19"/>
        <v>8.0714285714285017E-2</v>
      </c>
      <c r="I103" s="15" t="s">
        <v>7</v>
      </c>
      <c r="J103" s="16" t="s">
        <v>7</v>
      </c>
      <c r="K103" s="16" t="s">
        <v>7</v>
      </c>
    </row>
    <row r="104" spans="2:11" ht="13.9" customHeight="1" x14ac:dyDescent="0.2">
      <c r="B104" s="6">
        <f t="shared" si="9"/>
        <v>-7.5286998857393428E-16</v>
      </c>
      <c r="C104" s="7">
        <v>0.9</v>
      </c>
      <c r="D104" s="20">
        <f t="shared" si="15"/>
        <v>0.1285714285714287</v>
      </c>
      <c r="E104" s="3">
        <f t="shared" si="16"/>
        <v>0.12857142857142795</v>
      </c>
      <c r="F104" s="11">
        <f t="shared" si="17"/>
        <v>0.49999999999999956</v>
      </c>
      <c r="G104" s="20">
        <f t="shared" si="18"/>
        <v>7.142857142857148E-2</v>
      </c>
      <c r="H104" s="3">
        <f t="shared" si="19"/>
        <v>7.1428571428570731E-2</v>
      </c>
      <c r="I104" s="15" t="s">
        <v>7</v>
      </c>
      <c r="J104" s="16" t="s">
        <v>7</v>
      </c>
      <c r="K104" s="16" t="s">
        <v>7</v>
      </c>
    </row>
    <row r="105" spans="2:11" x14ac:dyDescent="0.2">
      <c r="B105" s="6"/>
    </row>
    <row r="106" spans="2:11" x14ac:dyDescent="0.2">
      <c r="B106" s="6"/>
    </row>
    <row r="107" spans="2:11" x14ac:dyDescent="0.2">
      <c r="B107" s="6"/>
    </row>
    <row r="108" spans="2:11" x14ac:dyDescent="0.2">
      <c r="B108" s="6"/>
    </row>
    <row r="109" spans="2:11" x14ac:dyDescent="0.2">
      <c r="B109" s="6"/>
    </row>
    <row r="110" spans="2:11" x14ac:dyDescent="0.2">
      <c r="B110" s="6"/>
    </row>
    <row r="111" spans="2:11" x14ac:dyDescent="0.2">
      <c r="B111" s="6"/>
    </row>
    <row r="112" spans="2:11" x14ac:dyDescent="0.2">
      <c r="B112" s="6"/>
    </row>
    <row r="113" spans="2:2" x14ac:dyDescent="0.2">
      <c r="B113" s="6"/>
    </row>
    <row r="114" spans="2:2" x14ac:dyDescent="0.2">
      <c r="B114" s="6"/>
    </row>
    <row r="115" spans="2:2" x14ac:dyDescent="0.2">
      <c r="B115" s="6"/>
    </row>
    <row r="116" spans="2:2" x14ac:dyDescent="0.2">
      <c r="B116" s="6"/>
    </row>
    <row r="117" spans="2:2" x14ac:dyDescent="0.2">
      <c r="B117" s="6"/>
    </row>
    <row r="118" spans="2:2" x14ac:dyDescent="0.2">
      <c r="B118" s="6"/>
    </row>
    <row r="119" spans="2:2" x14ac:dyDescent="0.2">
      <c r="B119" s="6"/>
    </row>
    <row r="120" spans="2:2" x14ac:dyDescent="0.2">
      <c r="B120" s="6"/>
    </row>
    <row r="121" spans="2:2" x14ac:dyDescent="0.2">
      <c r="B121" s="6"/>
    </row>
    <row r="122" spans="2:2" x14ac:dyDescent="0.2">
      <c r="B122" s="6"/>
    </row>
    <row r="123" spans="2:2" x14ac:dyDescent="0.2">
      <c r="B123" s="6"/>
    </row>
    <row r="124" spans="2:2" x14ac:dyDescent="0.2">
      <c r="B124" s="6"/>
    </row>
    <row r="125" spans="2:2" x14ac:dyDescent="0.2">
      <c r="B125" s="6"/>
    </row>
    <row r="126" spans="2:2" x14ac:dyDescent="0.2">
      <c r="B126" s="6"/>
    </row>
    <row r="127" spans="2:2" x14ac:dyDescent="0.2">
      <c r="B127" s="6"/>
    </row>
    <row r="128" spans="2:2" x14ac:dyDescent="0.2">
      <c r="B128" s="6"/>
    </row>
    <row r="129" spans="2:2" x14ac:dyDescent="0.2">
      <c r="B129" s="6"/>
    </row>
    <row r="130" spans="2:2" x14ac:dyDescent="0.2">
      <c r="B130" s="6"/>
    </row>
    <row r="131" spans="2:2" x14ac:dyDescent="0.2">
      <c r="B131" s="6"/>
    </row>
    <row r="132" spans="2:2" x14ac:dyDescent="0.2">
      <c r="B132" s="6"/>
    </row>
    <row r="133" spans="2:2" x14ac:dyDescent="0.2">
      <c r="B133" s="6"/>
    </row>
    <row r="134" spans="2:2" x14ac:dyDescent="0.2">
      <c r="B134" s="6"/>
    </row>
    <row r="135" spans="2:2" x14ac:dyDescent="0.2">
      <c r="B135" s="6"/>
    </row>
    <row r="136" spans="2:2" x14ac:dyDescent="0.2">
      <c r="B136" s="6"/>
    </row>
    <row r="137" spans="2:2" x14ac:dyDescent="0.2">
      <c r="B137" s="6"/>
    </row>
    <row r="138" spans="2:2" x14ac:dyDescent="0.2">
      <c r="B138" s="6"/>
    </row>
    <row r="139" spans="2:2" x14ac:dyDescent="0.2">
      <c r="B139" s="6"/>
    </row>
    <row r="140" spans="2:2" x14ac:dyDescent="0.2">
      <c r="B140" s="6"/>
    </row>
    <row r="141" spans="2:2" x14ac:dyDescent="0.2">
      <c r="B141" s="6"/>
    </row>
    <row r="142" spans="2:2" x14ac:dyDescent="0.2">
      <c r="B142" s="6"/>
    </row>
    <row r="143" spans="2:2" x14ac:dyDescent="0.2">
      <c r="B143" s="6"/>
    </row>
    <row r="144" spans="2:2" x14ac:dyDescent="0.2">
      <c r="B144" s="6"/>
    </row>
    <row r="145" spans="2:2" x14ac:dyDescent="0.2">
      <c r="B145" s="6"/>
    </row>
    <row r="146" spans="2:2" x14ac:dyDescent="0.2">
      <c r="B146" s="6"/>
    </row>
    <row r="147" spans="2:2" x14ac:dyDescent="0.2">
      <c r="B147" s="6"/>
    </row>
    <row r="148" spans="2:2" x14ac:dyDescent="0.2">
      <c r="B148" s="6"/>
    </row>
    <row r="149" spans="2:2" x14ac:dyDescent="0.2">
      <c r="B149" s="6"/>
    </row>
    <row r="150" spans="2:2" x14ac:dyDescent="0.2">
      <c r="B150" s="6"/>
    </row>
    <row r="151" spans="2:2" x14ac:dyDescent="0.2">
      <c r="B151" s="6"/>
    </row>
    <row r="152" spans="2:2" x14ac:dyDescent="0.2">
      <c r="B152" s="6"/>
    </row>
    <row r="153" spans="2:2" x14ac:dyDescent="0.2">
      <c r="B153" s="6"/>
    </row>
    <row r="154" spans="2:2" x14ac:dyDescent="0.2">
      <c r="B154" s="6"/>
    </row>
    <row r="155" spans="2:2" x14ac:dyDescent="0.2">
      <c r="B155" s="6"/>
    </row>
    <row r="156" spans="2:2" x14ac:dyDescent="0.2">
      <c r="B156" s="6"/>
    </row>
    <row r="157" spans="2:2" x14ac:dyDescent="0.2">
      <c r="B157" s="6"/>
    </row>
    <row r="158" spans="2:2" x14ac:dyDescent="0.2">
      <c r="B158" s="6"/>
    </row>
    <row r="159" spans="2:2" x14ac:dyDescent="0.2">
      <c r="B159" s="6"/>
    </row>
    <row r="160" spans="2:2" x14ac:dyDescent="0.2">
      <c r="B160" s="6"/>
    </row>
    <row r="161" spans="2:2" x14ac:dyDescent="0.2">
      <c r="B161" s="6"/>
    </row>
    <row r="162" spans="2:2" x14ac:dyDescent="0.2">
      <c r="B162" s="6"/>
    </row>
    <row r="163" spans="2:2" x14ac:dyDescent="0.2">
      <c r="B163" s="6"/>
    </row>
    <row r="164" spans="2:2" x14ac:dyDescent="0.2">
      <c r="B164" s="6"/>
    </row>
    <row r="165" spans="2:2" x14ac:dyDescent="0.2">
      <c r="B165" s="6"/>
    </row>
    <row r="166" spans="2:2" x14ac:dyDescent="0.2">
      <c r="B166" s="6"/>
    </row>
    <row r="167" spans="2:2" x14ac:dyDescent="0.2">
      <c r="B167" s="6"/>
    </row>
    <row r="168" spans="2:2" x14ac:dyDescent="0.2">
      <c r="B168" s="6"/>
    </row>
    <row r="169" spans="2:2" x14ac:dyDescent="0.2">
      <c r="B169" s="6"/>
    </row>
    <row r="170" spans="2:2" x14ac:dyDescent="0.2">
      <c r="B170" s="6"/>
    </row>
    <row r="171" spans="2:2" x14ac:dyDescent="0.2">
      <c r="B171" s="6"/>
    </row>
    <row r="172" spans="2:2" x14ac:dyDescent="0.2">
      <c r="B172" s="6"/>
    </row>
    <row r="173" spans="2:2" x14ac:dyDescent="0.2">
      <c r="B173" s="6"/>
    </row>
    <row r="174" spans="2:2" x14ac:dyDescent="0.2">
      <c r="B174" s="6"/>
    </row>
    <row r="175" spans="2:2" x14ac:dyDescent="0.2">
      <c r="B175" s="6"/>
    </row>
    <row r="176" spans="2:2" x14ac:dyDescent="0.2">
      <c r="B176" s="6"/>
    </row>
    <row r="177" spans="2:2" x14ac:dyDescent="0.2">
      <c r="B177" s="6"/>
    </row>
    <row r="178" spans="2:2" x14ac:dyDescent="0.2">
      <c r="B178" s="6"/>
    </row>
    <row r="179" spans="2:2" x14ac:dyDescent="0.2">
      <c r="B179" s="6"/>
    </row>
    <row r="180" spans="2:2" x14ac:dyDescent="0.2">
      <c r="B180" s="6"/>
    </row>
    <row r="181" spans="2:2" x14ac:dyDescent="0.2">
      <c r="B181" s="6"/>
    </row>
    <row r="182" spans="2:2" x14ac:dyDescent="0.2">
      <c r="B182" s="6"/>
    </row>
    <row r="183" spans="2:2" x14ac:dyDescent="0.2">
      <c r="B183" s="6"/>
    </row>
    <row r="184" spans="2:2" x14ac:dyDescent="0.2">
      <c r="B184" s="6"/>
    </row>
    <row r="185" spans="2:2" x14ac:dyDescent="0.2">
      <c r="B185" s="6"/>
    </row>
    <row r="186" spans="2:2" x14ac:dyDescent="0.2">
      <c r="B186" s="6"/>
    </row>
  </sheetData>
  <pageMargins left="0.7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Trajectory_Table_for_UCA</vt:lpstr>
      <vt:lpstr>Trajectory_Table_for_UCA!Print_Area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Raphael, Randy</dc:creator>
  <cp:lastModifiedBy>Hall, Tiffany</cp:lastModifiedBy>
  <cp:lastPrinted>2013-09-09T20:27:37Z</cp:lastPrinted>
  <dcterms:created xsi:type="dcterms:W3CDTF">2013-05-28T21:24:48Z</dcterms:created>
  <dcterms:modified xsi:type="dcterms:W3CDTF">2013-09-09T20:27:53Z</dcterms:modified>
</cp:coreProperties>
</file>