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filterPrivacy="1" showInkAnnotation="0" codeName="ThisWorkbook" autoCompressPictures="0"/>
  <bookViews>
    <workbookView xWindow="0" yWindow="0" windowWidth="31540" windowHeight="19500" tabRatio="500"/>
  </bookViews>
  <sheets>
    <sheet name="Color Targets" sheetId="1" r:id="rId1"/>
    <sheet name="Gamma Target" sheetId="2" r:id="rId2"/>
    <sheet name="Calculation" sheetId="3" r:id="rId3"/>
    <sheet name="Worksheet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5" i="1" l="1"/>
  <c r="J34" i="1"/>
  <c r="C98" i="3"/>
  <c r="B98" i="3"/>
  <c r="D98" i="3"/>
  <c r="R98" i="3"/>
  <c r="J36" i="1"/>
  <c r="C99" i="3"/>
  <c r="B99" i="3"/>
  <c r="D99" i="3"/>
  <c r="R99" i="3"/>
  <c r="J37" i="1"/>
  <c r="C100" i="3"/>
  <c r="B100" i="3"/>
  <c r="D100" i="3"/>
  <c r="R100" i="3"/>
  <c r="J38" i="1"/>
  <c r="C101" i="3"/>
  <c r="B101" i="3"/>
  <c r="D101" i="3"/>
  <c r="R101" i="3"/>
  <c r="J39" i="1"/>
  <c r="C102" i="3"/>
  <c r="B102" i="3"/>
  <c r="D102" i="3"/>
  <c r="R102" i="3"/>
  <c r="J40" i="1"/>
  <c r="C103" i="3"/>
  <c r="B103" i="3"/>
  <c r="D103" i="3"/>
  <c r="R103" i="3"/>
  <c r="J41" i="1"/>
  <c r="C104" i="3"/>
  <c r="B104" i="3"/>
  <c r="D104" i="3"/>
  <c r="R104" i="3"/>
  <c r="J42" i="1"/>
  <c r="C105" i="3"/>
  <c r="B105" i="3"/>
  <c r="D105" i="3"/>
  <c r="R105" i="3"/>
  <c r="J43" i="1"/>
  <c r="C106" i="3"/>
  <c r="B106" i="3"/>
  <c r="D106" i="3"/>
  <c r="R106" i="3"/>
  <c r="J44" i="1"/>
  <c r="C107" i="3"/>
  <c r="B107" i="3"/>
  <c r="D107" i="3"/>
  <c r="R107" i="3"/>
  <c r="J45" i="1"/>
  <c r="C108" i="3"/>
  <c r="B108" i="3"/>
  <c r="D108" i="3"/>
  <c r="R108" i="3"/>
  <c r="B97" i="3"/>
  <c r="D97" i="3"/>
  <c r="C97" i="3"/>
  <c r="R97" i="3"/>
  <c r="Q98" i="3"/>
  <c r="Q99" i="3"/>
  <c r="Q100" i="3"/>
  <c r="Q101" i="3"/>
  <c r="Q102" i="3"/>
  <c r="Q103" i="3"/>
  <c r="Q104" i="3"/>
  <c r="Q105" i="3"/>
  <c r="Q106" i="3"/>
  <c r="Q107" i="3"/>
  <c r="Q108" i="3"/>
  <c r="Q97" i="3"/>
  <c r="D2" i="2"/>
  <c r="E2" i="2"/>
  <c r="D16" i="2"/>
  <c r="D37" i="2"/>
  <c r="D15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14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J37" i="2"/>
  <c r="B4" i="3"/>
  <c r="C4" i="3"/>
  <c r="D4" i="3"/>
  <c r="B5" i="3"/>
  <c r="C5" i="3"/>
  <c r="D5" i="3"/>
  <c r="C3" i="3"/>
  <c r="D3" i="3"/>
  <c r="B3" i="3"/>
  <c r="B2" i="3"/>
  <c r="F97" i="3"/>
  <c r="I97" i="3"/>
  <c r="K97" i="3"/>
  <c r="I14" i="2"/>
  <c r="I15" i="2"/>
  <c r="I16" i="2"/>
  <c r="I17" i="2"/>
  <c r="I18" i="2"/>
  <c r="B128" i="3"/>
  <c r="C128" i="3"/>
  <c r="J18" i="2"/>
  <c r="J17" i="2"/>
  <c r="D128" i="3"/>
  <c r="J16" i="2"/>
  <c r="E128" i="3"/>
  <c r="F128" i="3"/>
  <c r="G128" i="3"/>
  <c r="H128" i="3"/>
  <c r="B129" i="3"/>
  <c r="C129" i="3"/>
  <c r="D129" i="3"/>
  <c r="E129" i="3"/>
  <c r="F129" i="3"/>
  <c r="G129" i="3"/>
  <c r="H129" i="3"/>
  <c r="B130" i="3"/>
  <c r="C130" i="3"/>
  <c r="D130" i="3"/>
  <c r="E130" i="3"/>
  <c r="F130" i="3"/>
  <c r="G130" i="3"/>
  <c r="H130" i="3"/>
  <c r="B131" i="3"/>
  <c r="C131" i="3"/>
  <c r="D131" i="3"/>
  <c r="E131" i="3"/>
  <c r="F131" i="3"/>
  <c r="G131" i="3"/>
  <c r="H131" i="3"/>
  <c r="B132" i="3"/>
  <c r="C132" i="3"/>
  <c r="D132" i="3"/>
  <c r="E132" i="3"/>
  <c r="F132" i="3"/>
  <c r="G132" i="3"/>
  <c r="H132" i="3"/>
  <c r="B133" i="3"/>
  <c r="C133" i="3"/>
  <c r="D133" i="3"/>
  <c r="E133" i="3"/>
  <c r="F133" i="3"/>
  <c r="G133" i="3"/>
  <c r="H133" i="3"/>
  <c r="B134" i="3"/>
  <c r="C134" i="3"/>
  <c r="D134" i="3"/>
  <c r="E134" i="3"/>
  <c r="F134" i="3"/>
  <c r="G134" i="3"/>
  <c r="H134" i="3"/>
  <c r="B135" i="3"/>
  <c r="C135" i="3"/>
  <c r="D135" i="3"/>
  <c r="E135" i="3"/>
  <c r="F135" i="3"/>
  <c r="G135" i="3"/>
  <c r="H135" i="3"/>
  <c r="B136" i="3"/>
  <c r="C136" i="3"/>
  <c r="D136" i="3"/>
  <c r="E136" i="3"/>
  <c r="F136" i="3"/>
  <c r="G136" i="3"/>
  <c r="H136" i="3"/>
  <c r="B137" i="3"/>
  <c r="C137" i="3"/>
  <c r="D137" i="3"/>
  <c r="E137" i="3"/>
  <c r="F137" i="3"/>
  <c r="G137" i="3"/>
  <c r="H137" i="3"/>
  <c r="B138" i="3"/>
  <c r="C138" i="3"/>
  <c r="D138" i="3"/>
  <c r="E138" i="3"/>
  <c r="F138" i="3"/>
  <c r="G138" i="3"/>
  <c r="H138" i="3"/>
  <c r="B139" i="3"/>
  <c r="C139" i="3"/>
  <c r="D139" i="3"/>
  <c r="E139" i="3"/>
  <c r="F139" i="3"/>
  <c r="G139" i="3"/>
  <c r="H139" i="3"/>
  <c r="B140" i="3"/>
  <c r="C140" i="3"/>
  <c r="D140" i="3"/>
  <c r="E140" i="3"/>
  <c r="F140" i="3"/>
  <c r="G140" i="3"/>
  <c r="H140" i="3"/>
  <c r="B141" i="3"/>
  <c r="C141" i="3"/>
  <c r="D141" i="3"/>
  <c r="E141" i="3"/>
  <c r="F141" i="3"/>
  <c r="G141" i="3"/>
  <c r="H141" i="3"/>
  <c r="B142" i="3"/>
  <c r="C142" i="3"/>
  <c r="D142" i="3"/>
  <c r="E142" i="3"/>
  <c r="F142" i="3"/>
  <c r="G142" i="3"/>
  <c r="H142" i="3"/>
  <c r="B143" i="3"/>
  <c r="C143" i="3"/>
  <c r="D143" i="3"/>
  <c r="E143" i="3"/>
  <c r="F143" i="3"/>
  <c r="G143" i="3"/>
  <c r="H143" i="3"/>
  <c r="A144" i="3"/>
  <c r="B144" i="3"/>
  <c r="C144" i="3"/>
  <c r="D144" i="3"/>
  <c r="E144" i="3"/>
  <c r="F144" i="3"/>
  <c r="G144" i="3"/>
  <c r="H144" i="3"/>
  <c r="A145" i="3"/>
  <c r="B145" i="3"/>
  <c r="C145" i="3"/>
  <c r="D145" i="3"/>
  <c r="E145" i="3"/>
  <c r="F145" i="3"/>
  <c r="G145" i="3"/>
  <c r="H145" i="3"/>
  <c r="A146" i="3"/>
  <c r="B146" i="3"/>
  <c r="C146" i="3"/>
  <c r="D146" i="3"/>
  <c r="E146" i="3"/>
  <c r="F146" i="3"/>
  <c r="G146" i="3"/>
  <c r="H146" i="3"/>
  <c r="A147" i="3"/>
  <c r="B147" i="3"/>
  <c r="C147" i="3"/>
  <c r="D147" i="3"/>
  <c r="E147" i="3"/>
  <c r="F147" i="3"/>
  <c r="G147" i="3"/>
  <c r="H147" i="3"/>
  <c r="A148" i="3"/>
  <c r="B148" i="3"/>
  <c r="C148" i="3"/>
  <c r="D148" i="3"/>
  <c r="E148" i="3"/>
  <c r="F148" i="3"/>
  <c r="G148" i="3"/>
  <c r="H148" i="3"/>
  <c r="A149" i="3"/>
  <c r="B149" i="3"/>
  <c r="C149" i="3"/>
  <c r="D149" i="3"/>
  <c r="E149" i="3"/>
  <c r="F149" i="3"/>
  <c r="G149" i="3"/>
  <c r="H149" i="3"/>
  <c r="A150" i="3"/>
  <c r="B150" i="3"/>
  <c r="C150" i="3"/>
  <c r="D150" i="3"/>
  <c r="E150" i="3"/>
  <c r="F150" i="3"/>
  <c r="G150" i="3"/>
  <c r="H150" i="3"/>
  <c r="A151" i="3"/>
  <c r="B151" i="3"/>
  <c r="C151" i="3"/>
  <c r="D151" i="3"/>
  <c r="E151" i="3"/>
  <c r="F151" i="3"/>
  <c r="G151" i="3"/>
  <c r="H151" i="3"/>
  <c r="A152" i="3"/>
  <c r="B152" i="3"/>
  <c r="C152" i="3"/>
  <c r="D152" i="3"/>
  <c r="E152" i="3"/>
  <c r="F152" i="3"/>
  <c r="G152" i="3"/>
  <c r="H152" i="3"/>
  <c r="A153" i="3"/>
  <c r="B153" i="3"/>
  <c r="C153" i="3"/>
  <c r="D153" i="3"/>
  <c r="E153" i="3"/>
  <c r="F153" i="3"/>
  <c r="G153" i="3"/>
  <c r="H153" i="3"/>
  <c r="A154" i="3"/>
  <c r="B154" i="3"/>
  <c r="C154" i="3"/>
  <c r="D154" i="3"/>
  <c r="E154" i="3"/>
  <c r="F154" i="3"/>
  <c r="G154" i="3"/>
  <c r="H154" i="3"/>
  <c r="A155" i="3"/>
  <c r="B155" i="3"/>
  <c r="C155" i="3"/>
  <c r="D155" i="3"/>
  <c r="E155" i="3"/>
  <c r="F155" i="3"/>
  <c r="G155" i="3"/>
  <c r="H155" i="3"/>
  <c r="A156" i="3"/>
  <c r="B156" i="3"/>
  <c r="C156" i="3"/>
  <c r="D156" i="3"/>
  <c r="E156" i="3"/>
  <c r="F156" i="3"/>
  <c r="G156" i="3"/>
  <c r="H156" i="3"/>
  <c r="A157" i="3"/>
  <c r="B157" i="3"/>
  <c r="C157" i="3"/>
  <c r="D157" i="3"/>
  <c r="E157" i="3"/>
  <c r="F157" i="3"/>
  <c r="G157" i="3"/>
  <c r="H157" i="3"/>
  <c r="A158" i="3"/>
  <c r="B158" i="3"/>
  <c r="C158" i="3"/>
  <c r="D158" i="3"/>
  <c r="E158" i="3"/>
  <c r="F158" i="3"/>
  <c r="G158" i="3"/>
  <c r="H158" i="3"/>
  <c r="A159" i="3"/>
  <c r="B159" i="3"/>
  <c r="C159" i="3"/>
  <c r="D159" i="3"/>
  <c r="E159" i="3"/>
  <c r="F159" i="3"/>
  <c r="G159" i="3"/>
  <c r="H159" i="3"/>
  <c r="A160" i="3"/>
  <c r="B160" i="3"/>
  <c r="C160" i="3"/>
  <c r="D160" i="3"/>
  <c r="E160" i="3"/>
  <c r="F160" i="3"/>
  <c r="G160" i="3"/>
  <c r="H160" i="3"/>
  <c r="A161" i="3"/>
  <c r="B161" i="3"/>
  <c r="C161" i="3"/>
  <c r="D161" i="3"/>
  <c r="E161" i="3"/>
  <c r="F161" i="3"/>
  <c r="G161" i="3"/>
  <c r="H161" i="3"/>
  <c r="A162" i="3"/>
  <c r="B162" i="3"/>
  <c r="C162" i="3"/>
  <c r="D162" i="3"/>
  <c r="E162" i="3"/>
  <c r="F162" i="3"/>
  <c r="G162" i="3"/>
  <c r="H162" i="3"/>
  <c r="A163" i="3"/>
  <c r="B163" i="3"/>
  <c r="C163" i="3"/>
  <c r="D163" i="3"/>
  <c r="E163" i="3"/>
  <c r="F163" i="3"/>
  <c r="G163" i="3"/>
  <c r="H163" i="3"/>
  <c r="A164" i="3"/>
  <c r="B164" i="3"/>
  <c r="C164" i="3"/>
  <c r="D164" i="3"/>
  <c r="E164" i="3"/>
  <c r="F164" i="3"/>
  <c r="G164" i="3"/>
  <c r="H164" i="3"/>
  <c r="A165" i="3"/>
  <c r="B165" i="3"/>
  <c r="C165" i="3"/>
  <c r="D165" i="3"/>
  <c r="E165" i="3"/>
  <c r="F165" i="3"/>
  <c r="G165" i="3"/>
  <c r="H165" i="3"/>
  <c r="A166" i="3"/>
  <c r="B166" i="3"/>
  <c r="C166" i="3"/>
  <c r="D166" i="3"/>
  <c r="E166" i="3"/>
  <c r="F166" i="3"/>
  <c r="G166" i="3"/>
  <c r="H166" i="3"/>
  <c r="A167" i="3"/>
  <c r="B167" i="3"/>
  <c r="C167" i="3"/>
  <c r="D167" i="3"/>
  <c r="E167" i="3"/>
  <c r="F167" i="3"/>
  <c r="G167" i="3"/>
  <c r="H167" i="3"/>
  <c r="A168" i="3"/>
  <c r="B168" i="3"/>
  <c r="C168" i="3"/>
  <c r="D168" i="3"/>
  <c r="E168" i="3"/>
  <c r="F168" i="3"/>
  <c r="G168" i="3"/>
  <c r="H168" i="3"/>
  <c r="A169" i="3"/>
  <c r="B169" i="3"/>
  <c r="C169" i="3"/>
  <c r="D169" i="3"/>
  <c r="E169" i="3"/>
  <c r="F169" i="3"/>
  <c r="G169" i="3"/>
  <c r="H169" i="3"/>
  <c r="A170" i="3"/>
  <c r="B170" i="3"/>
  <c r="C170" i="3"/>
  <c r="D170" i="3"/>
  <c r="E170" i="3"/>
  <c r="F170" i="3"/>
  <c r="G170" i="3"/>
  <c r="H170" i="3"/>
  <c r="A171" i="3"/>
  <c r="B171" i="3"/>
  <c r="C171" i="3"/>
  <c r="D171" i="3"/>
  <c r="E171" i="3"/>
  <c r="F171" i="3"/>
  <c r="G171" i="3"/>
  <c r="H171" i="3"/>
  <c r="A172" i="3"/>
  <c r="B172" i="3"/>
  <c r="C172" i="3"/>
  <c r="D172" i="3"/>
  <c r="E172" i="3"/>
  <c r="F172" i="3"/>
  <c r="G172" i="3"/>
  <c r="H172" i="3"/>
  <c r="A173" i="3"/>
  <c r="B173" i="3"/>
  <c r="C173" i="3"/>
  <c r="D173" i="3"/>
  <c r="E173" i="3"/>
  <c r="F173" i="3"/>
  <c r="G173" i="3"/>
  <c r="H173" i="3"/>
  <c r="A174" i="3"/>
  <c r="B174" i="3"/>
  <c r="C174" i="3"/>
  <c r="D174" i="3"/>
  <c r="E174" i="3"/>
  <c r="F174" i="3"/>
  <c r="G174" i="3"/>
  <c r="H174" i="3"/>
  <c r="A175" i="3"/>
  <c r="B175" i="3"/>
  <c r="C175" i="3"/>
  <c r="D175" i="3"/>
  <c r="E175" i="3"/>
  <c r="F175" i="3"/>
  <c r="G175" i="3"/>
  <c r="H175" i="3"/>
  <c r="A176" i="3"/>
  <c r="B176" i="3"/>
  <c r="C176" i="3"/>
  <c r="D176" i="3"/>
  <c r="E176" i="3"/>
  <c r="F176" i="3"/>
  <c r="G176" i="3"/>
  <c r="H176" i="3"/>
  <c r="A177" i="3"/>
  <c r="B177" i="3"/>
  <c r="C177" i="3"/>
  <c r="D177" i="3"/>
  <c r="E177" i="3"/>
  <c r="F177" i="3"/>
  <c r="G177" i="3"/>
  <c r="H177" i="3"/>
  <c r="A178" i="3"/>
  <c r="B178" i="3"/>
  <c r="C178" i="3"/>
  <c r="D178" i="3"/>
  <c r="E178" i="3"/>
  <c r="F178" i="3"/>
  <c r="G178" i="3"/>
  <c r="H178" i="3"/>
  <c r="A179" i="3"/>
  <c r="B179" i="3"/>
  <c r="C179" i="3"/>
  <c r="D179" i="3"/>
  <c r="E179" i="3"/>
  <c r="F179" i="3"/>
  <c r="G179" i="3"/>
  <c r="H179" i="3"/>
  <c r="A180" i="3"/>
  <c r="B180" i="3"/>
  <c r="C180" i="3"/>
  <c r="D180" i="3"/>
  <c r="E180" i="3"/>
  <c r="F180" i="3"/>
  <c r="G180" i="3"/>
  <c r="H180" i="3"/>
  <c r="A181" i="3"/>
  <c r="B181" i="3"/>
  <c r="C181" i="3"/>
  <c r="D181" i="3"/>
  <c r="E181" i="3"/>
  <c r="F181" i="3"/>
  <c r="G181" i="3"/>
  <c r="H181" i="3"/>
  <c r="A182" i="3"/>
  <c r="B182" i="3"/>
  <c r="C182" i="3"/>
  <c r="D182" i="3"/>
  <c r="E182" i="3"/>
  <c r="F182" i="3"/>
  <c r="G182" i="3"/>
  <c r="H182" i="3"/>
  <c r="A183" i="3"/>
  <c r="B183" i="3"/>
  <c r="C183" i="3"/>
  <c r="D183" i="3"/>
  <c r="E183" i="3"/>
  <c r="F183" i="3"/>
  <c r="G183" i="3"/>
  <c r="H183" i="3"/>
  <c r="A184" i="3"/>
  <c r="B184" i="3"/>
  <c r="C184" i="3"/>
  <c r="D184" i="3"/>
  <c r="E184" i="3"/>
  <c r="F184" i="3"/>
  <c r="G184" i="3"/>
  <c r="H184" i="3"/>
  <c r="A185" i="3"/>
  <c r="B185" i="3"/>
  <c r="C185" i="3"/>
  <c r="D185" i="3"/>
  <c r="E185" i="3"/>
  <c r="F185" i="3"/>
  <c r="G185" i="3"/>
  <c r="H185" i="3"/>
  <c r="A186" i="3"/>
  <c r="B186" i="3"/>
  <c r="C186" i="3"/>
  <c r="D186" i="3"/>
  <c r="E186" i="3"/>
  <c r="F186" i="3"/>
  <c r="G186" i="3"/>
  <c r="H186" i="3"/>
  <c r="A187" i="3"/>
  <c r="B187" i="3"/>
  <c r="C187" i="3"/>
  <c r="D187" i="3"/>
  <c r="E187" i="3"/>
  <c r="F187" i="3"/>
  <c r="G187" i="3"/>
  <c r="H187" i="3"/>
  <c r="A188" i="3"/>
  <c r="B188" i="3"/>
  <c r="C188" i="3"/>
  <c r="D188" i="3"/>
  <c r="E188" i="3"/>
  <c r="F188" i="3"/>
  <c r="G188" i="3"/>
  <c r="H188" i="3"/>
  <c r="A189" i="3"/>
  <c r="B189" i="3"/>
  <c r="C189" i="3"/>
  <c r="D189" i="3"/>
  <c r="E189" i="3"/>
  <c r="F189" i="3"/>
  <c r="G189" i="3"/>
  <c r="H189" i="3"/>
  <c r="A190" i="3"/>
  <c r="B190" i="3"/>
  <c r="C190" i="3"/>
  <c r="D190" i="3"/>
  <c r="E190" i="3"/>
  <c r="F190" i="3"/>
  <c r="G190" i="3"/>
  <c r="H190" i="3"/>
  <c r="A191" i="3"/>
  <c r="B191" i="3"/>
  <c r="C191" i="3"/>
  <c r="D191" i="3"/>
  <c r="E191" i="3"/>
  <c r="F191" i="3"/>
  <c r="G191" i="3"/>
  <c r="H191" i="3"/>
  <c r="A192" i="3"/>
  <c r="B192" i="3"/>
  <c r="C192" i="3"/>
  <c r="D192" i="3"/>
  <c r="E192" i="3"/>
  <c r="F192" i="3"/>
  <c r="G192" i="3"/>
  <c r="H192" i="3"/>
  <c r="A193" i="3"/>
  <c r="B193" i="3"/>
  <c r="C193" i="3"/>
  <c r="D193" i="3"/>
  <c r="E193" i="3"/>
  <c r="F193" i="3"/>
  <c r="G193" i="3"/>
  <c r="H193" i="3"/>
  <c r="A194" i="3"/>
  <c r="B194" i="3"/>
  <c r="C194" i="3"/>
  <c r="D194" i="3"/>
  <c r="E194" i="3"/>
  <c r="F194" i="3"/>
  <c r="G194" i="3"/>
  <c r="H194" i="3"/>
  <c r="A195" i="3"/>
  <c r="B195" i="3"/>
  <c r="C195" i="3"/>
  <c r="D195" i="3"/>
  <c r="E195" i="3"/>
  <c r="F195" i="3"/>
  <c r="G195" i="3"/>
  <c r="H195" i="3"/>
  <c r="A196" i="3"/>
  <c r="B196" i="3"/>
  <c r="C196" i="3"/>
  <c r="D196" i="3"/>
  <c r="E196" i="3"/>
  <c r="F196" i="3"/>
  <c r="G196" i="3"/>
  <c r="H196" i="3"/>
  <c r="A197" i="3"/>
  <c r="B197" i="3"/>
  <c r="C197" i="3"/>
  <c r="D197" i="3"/>
  <c r="E197" i="3"/>
  <c r="F197" i="3"/>
  <c r="G197" i="3"/>
  <c r="H197" i="3"/>
  <c r="A198" i="3"/>
  <c r="B198" i="3"/>
  <c r="C198" i="3"/>
  <c r="D198" i="3"/>
  <c r="E198" i="3"/>
  <c r="F198" i="3"/>
  <c r="G198" i="3"/>
  <c r="H198" i="3"/>
  <c r="A199" i="3"/>
  <c r="B199" i="3"/>
  <c r="C199" i="3"/>
  <c r="D199" i="3"/>
  <c r="E199" i="3"/>
  <c r="F199" i="3"/>
  <c r="G199" i="3"/>
  <c r="H199" i="3"/>
  <c r="A200" i="3"/>
  <c r="B200" i="3"/>
  <c r="C200" i="3"/>
  <c r="D200" i="3"/>
  <c r="E200" i="3"/>
  <c r="F200" i="3"/>
  <c r="G200" i="3"/>
  <c r="H200" i="3"/>
  <c r="A201" i="3"/>
  <c r="B201" i="3"/>
  <c r="C201" i="3"/>
  <c r="D201" i="3"/>
  <c r="E201" i="3"/>
  <c r="F201" i="3"/>
  <c r="G201" i="3"/>
  <c r="H201" i="3"/>
  <c r="A202" i="3"/>
  <c r="B202" i="3"/>
  <c r="C202" i="3"/>
  <c r="D202" i="3"/>
  <c r="E202" i="3"/>
  <c r="F202" i="3"/>
  <c r="G202" i="3"/>
  <c r="H202" i="3"/>
  <c r="A203" i="3"/>
  <c r="B203" i="3"/>
  <c r="C203" i="3"/>
  <c r="D203" i="3"/>
  <c r="E203" i="3"/>
  <c r="F203" i="3"/>
  <c r="G203" i="3"/>
  <c r="H203" i="3"/>
  <c r="A204" i="3"/>
  <c r="B204" i="3"/>
  <c r="C204" i="3"/>
  <c r="D204" i="3"/>
  <c r="E204" i="3"/>
  <c r="F204" i="3"/>
  <c r="G204" i="3"/>
  <c r="H204" i="3"/>
  <c r="A205" i="3"/>
  <c r="B205" i="3"/>
  <c r="C205" i="3"/>
  <c r="D205" i="3"/>
  <c r="E205" i="3"/>
  <c r="F205" i="3"/>
  <c r="G205" i="3"/>
  <c r="H205" i="3"/>
  <c r="A206" i="3"/>
  <c r="B206" i="3"/>
  <c r="C206" i="3"/>
  <c r="D206" i="3"/>
  <c r="E206" i="3"/>
  <c r="F206" i="3"/>
  <c r="G206" i="3"/>
  <c r="H206" i="3"/>
  <c r="A207" i="3"/>
  <c r="B207" i="3"/>
  <c r="C207" i="3"/>
  <c r="D207" i="3"/>
  <c r="E207" i="3"/>
  <c r="F207" i="3"/>
  <c r="G207" i="3"/>
  <c r="H207" i="3"/>
  <c r="A208" i="3"/>
  <c r="B208" i="3"/>
  <c r="C208" i="3"/>
  <c r="D208" i="3"/>
  <c r="E208" i="3"/>
  <c r="F208" i="3"/>
  <c r="G208" i="3"/>
  <c r="H208" i="3"/>
  <c r="A209" i="3"/>
  <c r="B209" i="3"/>
  <c r="C209" i="3"/>
  <c r="D209" i="3"/>
  <c r="E209" i="3"/>
  <c r="F209" i="3"/>
  <c r="G209" i="3"/>
  <c r="H209" i="3"/>
  <c r="A210" i="3"/>
  <c r="B210" i="3"/>
  <c r="C210" i="3"/>
  <c r="D210" i="3"/>
  <c r="E210" i="3"/>
  <c r="F210" i="3"/>
  <c r="G210" i="3"/>
  <c r="H210" i="3"/>
  <c r="A211" i="3"/>
  <c r="B211" i="3"/>
  <c r="C211" i="3"/>
  <c r="D211" i="3"/>
  <c r="E211" i="3"/>
  <c r="F211" i="3"/>
  <c r="G211" i="3"/>
  <c r="H211" i="3"/>
  <c r="A212" i="3"/>
  <c r="B212" i="3"/>
  <c r="C212" i="3"/>
  <c r="D212" i="3"/>
  <c r="E212" i="3"/>
  <c r="F212" i="3"/>
  <c r="G212" i="3"/>
  <c r="H212" i="3"/>
  <c r="A213" i="3"/>
  <c r="B213" i="3"/>
  <c r="C213" i="3"/>
  <c r="D213" i="3"/>
  <c r="E213" i="3"/>
  <c r="F213" i="3"/>
  <c r="G213" i="3"/>
  <c r="H213" i="3"/>
  <c r="A214" i="3"/>
  <c r="B214" i="3"/>
  <c r="C214" i="3"/>
  <c r="D214" i="3"/>
  <c r="E214" i="3"/>
  <c r="F214" i="3"/>
  <c r="G214" i="3"/>
  <c r="H214" i="3"/>
  <c r="A215" i="3"/>
  <c r="B215" i="3"/>
  <c r="C215" i="3"/>
  <c r="D215" i="3"/>
  <c r="E215" i="3"/>
  <c r="F215" i="3"/>
  <c r="G215" i="3"/>
  <c r="H215" i="3"/>
  <c r="A216" i="3"/>
  <c r="B216" i="3"/>
  <c r="C216" i="3"/>
  <c r="D216" i="3"/>
  <c r="E216" i="3"/>
  <c r="F216" i="3"/>
  <c r="G216" i="3"/>
  <c r="H216" i="3"/>
  <c r="A217" i="3"/>
  <c r="B217" i="3"/>
  <c r="C217" i="3"/>
  <c r="D217" i="3"/>
  <c r="E217" i="3"/>
  <c r="F217" i="3"/>
  <c r="G217" i="3"/>
  <c r="H217" i="3"/>
  <c r="A218" i="3"/>
  <c r="B218" i="3"/>
  <c r="C218" i="3"/>
  <c r="D218" i="3"/>
  <c r="E218" i="3"/>
  <c r="F218" i="3"/>
  <c r="G218" i="3"/>
  <c r="H218" i="3"/>
  <c r="A219" i="3"/>
  <c r="B219" i="3"/>
  <c r="C219" i="3"/>
  <c r="D219" i="3"/>
  <c r="E219" i="3"/>
  <c r="F219" i="3"/>
  <c r="G219" i="3"/>
  <c r="H219" i="3"/>
  <c r="A220" i="3"/>
  <c r="B220" i="3"/>
  <c r="C220" i="3"/>
  <c r="D220" i="3"/>
  <c r="E220" i="3"/>
  <c r="F220" i="3"/>
  <c r="G220" i="3"/>
  <c r="H220" i="3"/>
  <c r="A221" i="3"/>
  <c r="B221" i="3"/>
  <c r="C221" i="3"/>
  <c r="D221" i="3"/>
  <c r="E221" i="3"/>
  <c r="F221" i="3"/>
  <c r="G221" i="3"/>
  <c r="H221" i="3"/>
  <c r="A222" i="3"/>
  <c r="B222" i="3"/>
  <c r="C222" i="3"/>
  <c r="D222" i="3"/>
  <c r="E222" i="3"/>
  <c r="F222" i="3"/>
  <c r="G222" i="3"/>
  <c r="H222" i="3"/>
  <c r="A223" i="3"/>
  <c r="B223" i="3"/>
  <c r="C223" i="3"/>
  <c r="D223" i="3"/>
  <c r="E223" i="3"/>
  <c r="F223" i="3"/>
  <c r="G223" i="3"/>
  <c r="H223" i="3"/>
  <c r="A224" i="3"/>
  <c r="B224" i="3"/>
  <c r="C224" i="3"/>
  <c r="D224" i="3"/>
  <c r="E224" i="3"/>
  <c r="F224" i="3"/>
  <c r="G224" i="3"/>
  <c r="H224" i="3"/>
  <c r="A225" i="3"/>
  <c r="B225" i="3"/>
  <c r="C225" i="3"/>
  <c r="D225" i="3"/>
  <c r="E225" i="3"/>
  <c r="F225" i="3"/>
  <c r="G225" i="3"/>
  <c r="H225" i="3"/>
  <c r="A226" i="3"/>
  <c r="B226" i="3"/>
  <c r="C226" i="3"/>
  <c r="D226" i="3"/>
  <c r="E226" i="3"/>
  <c r="F226" i="3"/>
  <c r="G226" i="3"/>
  <c r="H226" i="3"/>
  <c r="A227" i="3"/>
  <c r="B227" i="3"/>
  <c r="C227" i="3"/>
  <c r="D227" i="3"/>
  <c r="E227" i="3"/>
  <c r="F227" i="3"/>
  <c r="G227" i="3"/>
  <c r="H227" i="3"/>
  <c r="A228" i="3"/>
  <c r="B228" i="3"/>
  <c r="C228" i="3"/>
  <c r="D228" i="3"/>
  <c r="E228" i="3"/>
  <c r="F228" i="3"/>
  <c r="G228" i="3"/>
  <c r="H228" i="3"/>
  <c r="A229" i="3"/>
  <c r="B229" i="3"/>
  <c r="C229" i="3"/>
  <c r="D229" i="3"/>
  <c r="E229" i="3"/>
  <c r="F229" i="3"/>
  <c r="G229" i="3"/>
  <c r="H229" i="3"/>
  <c r="A230" i="3"/>
  <c r="B230" i="3"/>
  <c r="C230" i="3"/>
  <c r="D230" i="3"/>
  <c r="E230" i="3"/>
  <c r="F230" i="3"/>
  <c r="G230" i="3"/>
  <c r="H230" i="3"/>
  <c r="A231" i="3"/>
  <c r="B231" i="3"/>
  <c r="C231" i="3"/>
  <c r="D231" i="3"/>
  <c r="E231" i="3"/>
  <c r="F231" i="3"/>
  <c r="G231" i="3"/>
  <c r="H231" i="3"/>
  <c r="A232" i="3"/>
  <c r="B232" i="3"/>
  <c r="C232" i="3"/>
  <c r="D232" i="3"/>
  <c r="E232" i="3"/>
  <c r="F232" i="3"/>
  <c r="G232" i="3"/>
  <c r="H232" i="3"/>
  <c r="A233" i="3"/>
  <c r="B233" i="3"/>
  <c r="C233" i="3"/>
  <c r="D233" i="3"/>
  <c r="E233" i="3"/>
  <c r="F233" i="3"/>
  <c r="G233" i="3"/>
  <c r="H233" i="3"/>
  <c r="A234" i="3"/>
  <c r="B234" i="3"/>
  <c r="C234" i="3"/>
  <c r="D234" i="3"/>
  <c r="E234" i="3"/>
  <c r="F234" i="3"/>
  <c r="G234" i="3"/>
  <c r="H234" i="3"/>
  <c r="A235" i="3"/>
  <c r="B235" i="3"/>
  <c r="C235" i="3"/>
  <c r="D235" i="3"/>
  <c r="E235" i="3"/>
  <c r="F235" i="3"/>
  <c r="G235" i="3"/>
  <c r="H235" i="3"/>
  <c r="A236" i="3"/>
  <c r="B236" i="3"/>
  <c r="C236" i="3"/>
  <c r="D236" i="3"/>
  <c r="E236" i="3"/>
  <c r="F236" i="3"/>
  <c r="G236" i="3"/>
  <c r="H236" i="3"/>
  <c r="A237" i="3"/>
  <c r="B237" i="3"/>
  <c r="C237" i="3"/>
  <c r="D237" i="3"/>
  <c r="E237" i="3"/>
  <c r="F237" i="3"/>
  <c r="G237" i="3"/>
  <c r="H237" i="3"/>
  <c r="F108" i="3"/>
  <c r="I108" i="3"/>
  <c r="K108" i="3"/>
  <c r="E108" i="3"/>
  <c r="H108" i="3"/>
  <c r="L108" i="3"/>
  <c r="G108" i="3"/>
  <c r="J108" i="3"/>
  <c r="M108" i="3"/>
  <c r="D122" i="3"/>
  <c r="F107" i="3"/>
  <c r="I107" i="3"/>
  <c r="K107" i="3"/>
  <c r="E107" i="3"/>
  <c r="H107" i="3"/>
  <c r="L107" i="3"/>
  <c r="G107" i="3"/>
  <c r="J107" i="3"/>
  <c r="M107" i="3"/>
  <c r="D121" i="3"/>
  <c r="F106" i="3"/>
  <c r="I106" i="3"/>
  <c r="K106" i="3"/>
  <c r="E106" i="3"/>
  <c r="H106" i="3"/>
  <c r="L106" i="3"/>
  <c r="G106" i="3"/>
  <c r="J106" i="3"/>
  <c r="M106" i="3"/>
  <c r="D120" i="3"/>
  <c r="F105" i="3"/>
  <c r="I105" i="3"/>
  <c r="K105" i="3"/>
  <c r="E105" i="3"/>
  <c r="H105" i="3"/>
  <c r="L105" i="3"/>
  <c r="G105" i="3"/>
  <c r="J105" i="3"/>
  <c r="M105" i="3"/>
  <c r="D119" i="3"/>
  <c r="F104" i="3"/>
  <c r="I104" i="3"/>
  <c r="K104" i="3"/>
  <c r="E104" i="3"/>
  <c r="H104" i="3"/>
  <c r="L104" i="3"/>
  <c r="G104" i="3"/>
  <c r="J104" i="3"/>
  <c r="M104" i="3"/>
  <c r="D118" i="3"/>
  <c r="F103" i="3"/>
  <c r="I103" i="3"/>
  <c r="K103" i="3"/>
  <c r="E103" i="3"/>
  <c r="H103" i="3"/>
  <c r="L103" i="3"/>
  <c r="G103" i="3"/>
  <c r="J103" i="3"/>
  <c r="M103" i="3"/>
  <c r="D117" i="3"/>
  <c r="F102" i="3"/>
  <c r="I102" i="3"/>
  <c r="K102" i="3"/>
  <c r="E102" i="3"/>
  <c r="H102" i="3"/>
  <c r="L102" i="3"/>
  <c r="G102" i="3"/>
  <c r="J102" i="3"/>
  <c r="M102" i="3"/>
  <c r="D116" i="3"/>
  <c r="F101" i="3"/>
  <c r="I101" i="3"/>
  <c r="K101" i="3"/>
  <c r="E101" i="3"/>
  <c r="H101" i="3"/>
  <c r="L101" i="3"/>
  <c r="G101" i="3"/>
  <c r="J101" i="3"/>
  <c r="M101" i="3"/>
  <c r="D115" i="3"/>
  <c r="F100" i="3"/>
  <c r="I100" i="3"/>
  <c r="K100" i="3"/>
  <c r="E100" i="3"/>
  <c r="H100" i="3"/>
  <c r="L100" i="3"/>
  <c r="G100" i="3"/>
  <c r="J100" i="3"/>
  <c r="M100" i="3"/>
  <c r="D114" i="3"/>
  <c r="F99" i="3"/>
  <c r="I99" i="3"/>
  <c r="K99" i="3"/>
  <c r="E99" i="3"/>
  <c r="H99" i="3"/>
  <c r="L99" i="3"/>
  <c r="G99" i="3"/>
  <c r="J99" i="3"/>
  <c r="M99" i="3"/>
  <c r="D113" i="3"/>
  <c r="F98" i="3"/>
  <c r="I98" i="3"/>
  <c r="K98" i="3"/>
  <c r="E98" i="3"/>
  <c r="H98" i="3"/>
  <c r="L98" i="3"/>
  <c r="G98" i="3"/>
  <c r="J98" i="3"/>
  <c r="M98" i="3"/>
  <c r="D112" i="3"/>
  <c r="E97" i="3"/>
  <c r="H97" i="3"/>
  <c r="L97" i="3"/>
  <c r="G97" i="3"/>
  <c r="J97" i="3"/>
  <c r="M97" i="3"/>
  <c r="D111" i="3"/>
  <c r="I37" i="2"/>
  <c r="N1" i="3"/>
  <c r="I39" i="3"/>
  <c r="P39" i="3"/>
  <c r="J40" i="3"/>
  <c r="Q40" i="3"/>
  <c r="K41" i="3"/>
  <c r="R41" i="3"/>
  <c r="L39" i="3"/>
  <c r="S39" i="3"/>
  <c r="L40" i="3"/>
  <c r="S40" i="3"/>
  <c r="M40" i="3"/>
  <c r="T40" i="3"/>
  <c r="M41" i="3"/>
  <c r="T41" i="3"/>
  <c r="N41" i="3"/>
  <c r="U41" i="3"/>
  <c r="N39" i="3"/>
  <c r="U39" i="3"/>
  <c r="O26" i="3"/>
  <c r="V26" i="3"/>
  <c r="O25" i="3"/>
  <c r="V25" i="3"/>
  <c r="O24" i="3"/>
  <c r="V24" i="3"/>
  <c r="N24" i="3"/>
  <c r="U24" i="3"/>
  <c r="N26" i="3"/>
  <c r="U26" i="3"/>
  <c r="M26" i="3"/>
  <c r="T26" i="3"/>
  <c r="M25" i="3"/>
  <c r="T25" i="3"/>
  <c r="L25" i="3"/>
  <c r="S25" i="3"/>
  <c r="L24" i="3"/>
  <c r="S24" i="3"/>
  <c r="K26" i="3"/>
  <c r="R26" i="3"/>
  <c r="J25" i="3"/>
  <c r="Q25" i="3"/>
  <c r="I24" i="3"/>
  <c r="P24" i="3"/>
  <c r="N51" i="3"/>
  <c r="U51" i="3"/>
  <c r="M51" i="3"/>
  <c r="T51" i="3"/>
  <c r="L51" i="3"/>
  <c r="S51" i="3"/>
  <c r="K51" i="3"/>
  <c r="R51" i="3"/>
  <c r="J51" i="3"/>
  <c r="Q51" i="3"/>
  <c r="I51" i="3"/>
  <c r="P51" i="3"/>
  <c r="N50" i="3"/>
  <c r="U50" i="3"/>
  <c r="M50" i="3"/>
  <c r="T50" i="3"/>
  <c r="L50" i="3"/>
  <c r="S50" i="3"/>
  <c r="K50" i="3"/>
  <c r="R50" i="3"/>
  <c r="J50" i="3"/>
  <c r="Q50" i="3"/>
  <c r="I50" i="3"/>
  <c r="P50" i="3"/>
  <c r="N49" i="3"/>
  <c r="U49" i="3"/>
  <c r="M49" i="3"/>
  <c r="T49" i="3"/>
  <c r="L49" i="3"/>
  <c r="S49" i="3"/>
  <c r="K49" i="3"/>
  <c r="R49" i="3"/>
  <c r="J49" i="3"/>
  <c r="Q49" i="3"/>
  <c r="I49" i="3"/>
  <c r="P49" i="3"/>
  <c r="N46" i="3"/>
  <c r="U46" i="3"/>
  <c r="M46" i="3"/>
  <c r="T46" i="3"/>
  <c r="L46" i="3"/>
  <c r="S46" i="3"/>
  <c r="K46" i="3"/>
  <c r="R46" i="3"/>
  <c r="J46" i="3"/>
  <c r="Q46" i="3"/>
  <c r="I46" i="3"/>
  <c r="P46" i="3"/>
  <c r="N45" i="3"/>
  <c r="U45" i="3"/>
  <c r="M45" i="3"/>
  <c r="T45" i="3"/>
  <c r="L45" i="3"/>
  <c r="S45" i="3"/>
  <c r="K45" i="3"/>
  <c r="R45" i="3"/>
  <c r="J45" i="3"/>
  <c r="Q45" i="3"/>
  <c r="I45" i="3"/>
  <c r="P45" i="3"/>
  <c r="N44" i="3"/>
  <c r="U44" i="3"/>
  <c r="M44" i="3"/>
  <c r="T44" i="3"/>
  <c r="L44" i="3"/>
  <c r="S44" i="3"/>
  <c r="K44" i="3"/>
  <c r="R44" i="3"/>
  <c r="J44" i="3"/>
  <c r="Q44" i="3"/>
  <c r="I44" i="3"/>
  <c r="P44" i="3"/>
  <c r="N36" i="3"/>
  <c r="U36" i="3"/>
  <c r="M36" i="3"/>
  <c r="T36" i="3"/>
  <c r="L36" i="3"/>
  <c r="S36" i="3"/>
  <c r="K36" i="3"/>
  <c r="R36" i="3"/>
  <c r="J36" i="3"/>
  <c r="Q36" i="3"/>
  <c r="I36" i="3"/>
  <c r="P36" i="3"/>
  <c r="N35" i="3"/>
  <c r="U35" i="3"/>
  <c r="M35" i="3"/>
  <c r="T35" i="3"/>
  <c r="L35" i="3"/>
  <c r="S35" i="3"/>
  <c r="K35" i="3"/>
  <c r="R35" i="3"/>
  <c r="J35" i="3"/>
  <c r="Q35" i="3"/>
  <c r="I35" i="3"/>
  <c r="P35" i="3"/>
  <c r="N34" i="3"/>
  <c r="U34" i="3"/>
  <c r="M34" i="3"/>
  <c r="T34" i="3"/>
  <c r="L34" i="3"/>
  <c r="S34" i="3"/>
  <c r="K34" i="3"/>
  <c r="R34" i="3"/>
  <c r="J34" i="3"/>
  <c r="Q34" i="3"/>
  <c r="I34" i="3"/>
  <c r="P34" i="3"/>
  <c r="N31" i="3"/>
  <c r="U31" i="3"/>
  <c r="M31" i="3"/>
  <c r="T31" i="3"/>
  <c r="L31" i="3"/>
  <c r="S31" i="3"/>
  <c r="K31" i="3"/>
  <c r="R31" i="3"/>
  <c r="J31" i="3"/>
  <c r="Q31" i="3"/>
  <c r="I31" i="3"/>
  <c r="P31" i="3"/>
  <c r="N30" i="3"/>
  <c r="U30" i="3"/>
  <c r="M30" i="3"/>
  <c r="T30" i="3"/>
  <c r="L30" i="3"/>
  <c r="S30" i="3"/>
  <c r="K30" i="3"/>
  <c r="R30" i="3"/>
  <c r="J30" i="3"/>
  <c r="Q30" i="3"/>
  <c r="I30" i="3"/>
  <c r="P30" i="3"/>
  <c r="N29" i="3"/>
  <c r="U29" i="3"/>
  <c r="M29" i="3"/>
  <c r="T29" i="3"/>
  <c r="L29" i="3"/>
  <c r="S29" i="3"/>
  <c r="K29" i="3"/>
  <c r="R29" i="3"/>
  <c r="J29" i="3"/>
  <c r="Q29" i="3"/>
  <c r="I29" i="3"/>
  <c r="P29" i="3"/>
  <c r="N21" i="3"/>
  <c r="U21" i="3"/>
  <c r="M21" i="3"/>
  <c r="T21" i="3"/>
  <c r="L21" i="3"/>
  <c r="S21" i="3"/>
  <c r="K21" i="3"/>
  <c r="R21" i="3"/>
  <c r="J21" i="3"/>
  <c r="Q21" i="3"/>
  <c r="I21" i="3"/>
  <c r="P21" i="3"/>
  <c r="N20" i="3"/>
  <c r="U20" i="3"/>
  <c r="M20" i="3"/>
  <c r="T20" i="3"/>
  <c r="L20" i="3"/>
  <c r="S20" i="3"/>
  <c r="K20" i="3"/>
  <c r="R20" i="3"/>
  <c r="J20" i="3"/>
  <c r="Q20" i="3"/>
  <c r="I20" i="3"/>
  <c r="P20" i="3"/>
  <c r="N19" i="3"/>
  <c r="U19" i="3"/>
  <c r="M19" i="3"/>
  <c r="T19" i="3"/>
  <c r="L19" i="3"/>
  <c r="S19" i="3"/>
  <c r="K19" i="3"/>
  <c r="R19" i="3"/>
  <c r="J19" i="3"/>
  <c r="Q19" i="3"/>
  <c r="I19" i="3"/>
  <c r="P19" i="3"/>
  <c r="N56" i="3"/>
  <c r="Z56" i="3"/>
  <c r="O56" i="3"/>
  <c r="AA56" i="3"/>
  <c r="P56" i="3"/>
  <c r="AB56" i="3"/>
  <c r="Q56" i="3"/>
  <c r="AC56" i="3"/>
  <c r="R56" i="3"/>
  <c r="AD56" i="3"/>
  <c r="S56" i="3"/>
  <c r="AE56" i="3"/>
  <c r="T56" i="3"/>
  <c r="AF56" i="3"/>
  <c r="U56" i="3"/>
  <c r="AG56" i="3"/>
  <c r="V56" i="3"/>
  <c r="AH56" i="3"/>
  <c r="W56" i="3"/>
  <c r="AI56" i="3"/>
  <c r="X56" i="3"/>
  <c r="AJ56" i="3"/>
  <c r="Y56" i="3"/>
  <c r="AK56" i="3"/>
  <c r="N57" i="3"/>
  <c r="Z57" i="3"/>
  <c r="O57" i="3"/>
  <c r="AA57" i="3"/>
  <c r="P57" i="3"/>
  <c r="AB57" i="3"/>
  <c r="Q57" i="3"/>
  <c r="AC57" i="3"/>
  <c r="R57" i="3"/>
  <c r="AD57" i="3"/>
  <c r="S57" i="3"/>
  <c r="AE57" i="3"/>
  <c r="T57" i="3"/>
  <c r="AF57" i="3"/>
  <c r="U57" i="3"/>
  <c r="AG57" i="3"/>
  <c r="V57" i="3"/>
  <c r="AH57" i="3"/>
  <c r="W57" i="3"/>
  <c r="AI57" i="3"/>
  <c r="X57" i="3"/>
  <c r="AJ57" i="3"/>
  <c r="Y57" i="3"/>
  <c r="AK57" i="3"/>
  <c r="O55" i="3"/>
  <c r="AA55" i="3"/>
  <c r="P55" i="3"/>
  <c r="AB55" i="3"/>
  <c r="Q55" i="3"/>
  <c r="AC55" i="3"/>
  <c r="R55" i="3"/>
  <c r="AD55" i="3"/>
  <c r="S55" i="3"/>
  <c r="AE55" i="3"/>
  <c r="T55" i="3"/>
  <c r="AF55" i="3"/>
  <c r="U55" i="3"/>
  <c r="AG55" i="3"/>
  <c r="V55" i="3"/>
  <c r="AH55" i="3"/>
  <c r="W55" i="3"/>
  <c r="AI55" i="3"/>
  <c r="X55" i="3"/>
  <c r="AJ55" i="3"/>
  <c r="Y55" i="3"/>
  <c r="AK55" i="3"/>
  <c r="N55" i="3"/>
  <c r="Z55" i="3"/>
  <c r="I15" i="3"/>
  <c r="P15" i="3"/>
  <c r="J15" i="3"/>
  <c r="Q15" i="3"/>
  <c r="K15" i="3"/>
  <c r="R15" i="3"/>
  <c r="L15" i="3"/>
  <c r="S15" i="3"/>
  <c r="M15" i="3"/>
  <c r="T15" i="3"/>
  <c r="N15" i="3"/>
  <c r="U15" i="3"/>
  <c r="I16" i="3"/>
  <c r="P16" i="3"/>
  <c r="J16" i="3"/>
  <c r="Q16" i="3"/>
  <c r="K16" i="3"/>
  <c r="R16" i="3"/>
  <c r="L16" i="3"/>
  <c r="S16" i="3"/>
  <c r="M16" i="3"/>
  <c r="T16" i="3"/>
  <c r="N16" i="3"/>
  <c r="U16" i="3"/>
  <c r="J14" i="3"/>
  <c r="Q14" i="3"/>
  <c r="K14" i="3"/>
  <c r="R14" i="3"/>
  <c r="L14" i="3"/>
  <c r="S14" i="3"/>
  <c r="M14" i="3"/>
  <c r="T14" i="3"/>
  <c r="N14" i="3"/>
  <c r="U14" i="3"/>
  <c r="I14" i="3"/>
  <c r="P14" i="3"/>
  <c r="J14" i="2"/>
  <c r="J15" i="2"/>
  <c r="C3" i="1"/>
  <c r="O41" i="3"/>
  <c r="V41" i="3"/>
  <c r="O40" i="3"/>
  <c r="V40" i="3"/>
  <c r="O39" i="3"/>
  <c r="V39" i="3"/>
  <c r="O51" i="3"/>
  <c r="V51" i="3"/>
  <c r="O50" i="3"/>
  <c r="V50" i="3"/>
  <c r="O49" i="3"/>
  <c r="V49" i="3"/>
  <c r="O45" i="3"/>
  <c r="V45" i="3"/>
  <c r="O46" i="3"/>
  <c r="V46" i="3"/>
  <c r="O44" i="3"/>
  <c r="V44" i="3"/>
  <c r="O36" i="3"/>
  <c r="V36" i="3"/>
  <c r="O35" i="3"/>
  <c r="V35" i="3"/>
  <c r="O34" i="3"/>
  <c r="V34" i="3"/>
  <c r="O30" i="3"/>
  <c r="V30" i="3"/>
  <c r="O31" i="3"/>
  <c r="V31" i="3"/>
  <c r="O29" i="3"/>
  <c r="V29" i="3"/>
  <c r="J24" i="3"/>
  <c r="Q24" i="3"/>
  <c r="K24" i="3"/>
  <c r="R24" i="3"/>
  <c r="M24" i="3"/>
  <c r="T24" i="3"/>
  <c r="I25" i="3"/>
  <c r="P25" i="3"/>
  <c r="K25" i="3"/>
  <c r="R25" i="3"/>
  <c r="N25" i="3"/>
  <c r="U25" i="3"/>
  <c r="I26" i="3"/>
  <c r="P26" i="3"/>
  <c r="J26" i="3"/>
  <c r="Q26" i="3"/>
  <c r="L26" i="3"/>
  <c r="S26" i="3"/>
  <c r="AL56" i="3"/>
  <c r="AL57" i="3"/>
  <c r="AL55" i="3"/>
  <c r="G23" i="1" a="1"/>
  <c r="I10" i="3"/>
  <c r="P10" i="3"/>
  <c r="I11" i="3"/>
  <c r="P11" i="3"/>
  <c r="I9" i="3"/>
  <c r="P9" i="3"/>
  <c r="W9" i="3" a="1"/>
  <c r="W9" i="3"/>
  <c r="W10" i="3"/>
  <c r="W11" i="3"/>
  <c r="AD9" i="3"/>
  <c r="AD10" i="3"/>
  <c r="AD11" i="3"/>
  <c r="L41" i="3"/>
  <c r="S41" i="3"/>
  <c r="J41" i="3"/>
  <c r="Q41" i="3"/>
  <c r="I41" i="3"/>
  <c r="P41" i="3"/>
  <c r="N40" i="3"/>
  <c r="U40" i="3"/>
  <c r="K40" i="3"/>
  <c r="R40" i="3"/>
  <c r="I40" i="3"/>
  <c r="P40" i="3"/>
  <c r="M39" i="3"/>
  <c r="T39" i="3"/>
  <c r="K39" i="3"/>
  <c r="R39" i="3"/>
  <c r="J39" i="3"/>
  <c r="Q39" i="3"/>
  <c r="O21" i="3"/>
  <c r="V21" i="3"/>
  <c r="O20" i="3"/>
  <c r="V20" i="3"/>
  <c r="O19" i="3"/>
  <c r="V19" i="3"/>
  <c r="O16" i="3"/>
  <c r="V16" i="3"/>
  <c r="O15" i="3"/>
  <c r="V15" i="3"/>
  <c r="O14" i="3"/>
  <c r="V14" i="3"/>
  <c r="J10" i="3"/>
  <c r="Q10" i="3"/>
  <c r="K10" i="3"/>
  <c r="R10" i="3"/>
  <c r="L10" i="3"/>
  <c r="S10" i="3"/>
  <c r="M10" i="3"/>
  <c r="T10" i="3"/>
  <c r="N10" i="3"/>
  <c r="U10" i="3"/>
  <c r="O10" i="3"/>
  <c r="V10" i="3"/>
  <c r="J11" i="3"/>
  <c r="Q11" i="3"/>
  <c r="K11" i="3"/>
  <c r="R11" i="3"/>
  <c r="L11" i="3"/>
  <c r="S11" i="3"/>
  <c r="M11" i="3"/>
  <c r="T11" i="3"/>
  <c r="N11" i="3"/>
  <c r="U11" i="3"/>
  <c r="O11" i="3"/>
  <c r="V11" i="3"/>
  <c r="O9" i="3"/>
  <c r="V9" i="3"/>
  <c r="J9" i="3"/>
  <c r="Q9" i="3"/>
  <c r="K9" i="3"/>
  <c r="R9" i="3"/>
  <c r="L9" i="3"/>
  <c r="S9" i="3"/>
  <c r="M9" i="3"/>
  <c r="T9" i="3"/>
  <c r="N9" i="3"/>
  <c r="U9" i="3"/>
  <c r="I2" i="2"/>
  <c r="E37" i="2"/>
  <c r="E36" i="2"/>
  <c r="G36" i="2"/>
  <c r="F36" i="2"/>
  <c r="E35" i="2"/>
  <c r="G35" i="2"/>
  <c r="F35" i="2"/>
  <c r="E34" i="2"/>
  <c r="G34" i="2"/>
  <c r="F34" i="2"/>
  <c r="E33" i="2"/>
  <c r="G33" i="2"/>
  <c r="F33" i="2"/>
  <c r="E32" i="2"/>
  <c r="G32" i="2"/>
  <c r="F32" i="2"/>
  <c r="E31" i="2"/>
  <c r="G31" i="2"/>
  <c r="F31" i="2"/>
  <c r="E30" i="2"/>
  <c r="G30" i="2"/>
  <c r="F30" i="2"/>
  <c r="E29" i="2"/>
  <c r="G29" i="2"/>
  <c r="F29" i="2"/>
  <c r="E28" i="2"/>
  <c r="G28" i="2"/>
  <c r="F28" i="2"/>
  <c r="E27" i="2"/>
  <c r="G27" i="2"/>
  <c r="F27" i="2"/>
  <c r="E26" i="2"/>
  <c r="G26" i="2"/>
  <c r="F26" i="2"/>
  <c r="E25" i="2"/>
  <c r="G25" i="2"/>
  <c r="F25" i="2"/>
  <c r="E24" i="2"/>
  <c r="G24" i="2"/>
  <c r="F24" i="2"/>
  <c r="E23" i="2"/>
  <c r="G23" i="2"/>
  <c r="F23" i="2"/>
  <c r="E22" i="2"/>
  <c r="G22" i="2"/>
  <c r="F22" i="2"/>
  <c r="E21" i="2"/>
  <c r="G21" i="2"/>
  <c r="F21" i="2"/>
  <c r="E20" i="2"/>
  <c r="G20" i="2"/>
  <c r="F20" i="2"/>
  <c r="E19" i="2"/>
  <c r="G19" i="2"/>
  <c r="F19" i="2"/>
  <c r="E18" i="2"/>
  <c r="G18" i="2"/>
  <c r="F18" i="2"/>
  <c r="E17" i="2"/>
  <c r="G17" i="2"/>
  <c r="F17" i="2"/>
  <c r="E16" i="2"/>
  <c r="G16" i="2"/>
  <c r="F16" i="2"/>
  <c r="E15" i="2"/>
  <c r="G15" i="2"/>
  <c r="F15" i="2"/>
  <c r="E14" i="2"/>
  <c r="G14" i="2"/>
  <c r="F14" i="2"/>
  <c r="E10" i="2"/>
  <c r="AC9" i="3" a="1"/>
  <c r="AC10" i="3"/>
  <c r="AJ11" i="3"/>
  <c r="AB9" i="3" a="1"/>
  <c r="AB10" i="3"/>
  <c r="AI11" i="3"/>
  <c r="AA9" i="3" a="1"/>
  <c r="AA10" i="3"/>
  <c r="AH11" i="3"/>
  <c r="Z9" i="3" a="1"/>
  <c r="Z10" i="3"/>
  <c r="AG11" i="3"/>
  <c r="Y9" i="3" a="1"/>
  <c r="Y10" i="3"/>
  <c r="AF11" i="3"/>
  <c r="X9" i="3" a="1"/>
  <c r="X10" i="3"/>
  <c r="AE11" i="3"/>
  <c r="AC9" i="3"/>
  <c r="AC11" i="3"/>
  <c r="AJ10" i="3"/>
  <c r="AB9" i="3"/>
  <c r="AB11" i="3"/>
  <c r="AI10" i="3"/>
  <c r="AA9" i="3"/>
  <c r="AA11" i="3"/>
  <c r="AH10" i="3"/>
  <c r="Z9" i="3"/>
  <c r="Z11" i="3"/>
  <c r="AG10" i="3"/>
  <c r="Y9" i="3"/>
  <c r="Y11" i="3"/>
  <c r="AF10" i="3"/>
  <c r="X9" i="3"/>
  <c r="X11" i="3"/>
  <c r="AE10" i="3"/>
  <c r="AJ9" i="3"/>
  <c r="AI9" i="3"/>
  <c r="AH9" i="3"/>
  <c r="AG9" i="3"/>
  <c r="AF9" i="3"/>
  <c r="AE9" i="3"/>
  <c r="W14" i="3" a="1"/>
  <c r="W14" i="3"/>
  <c r="W15" i="3"/>
  <c r="W16" i="3"/>
  <c r="AD14" i="3"/>
  <c r="X14" i="3" a="1"/>
  <c r="X14" i="3"/>
  <c r="X15" i="3"/>
  <c r="X16" i="3"/>
  <c r="AE14" i="3"/>
  <c r="Y14" i="3" a="1"/>
  <c r="Y14" i="3"/>
  <c r="Y15" i="3"/>
  <c r="Y16" i="3"/>
  <c r="AF14" i="3"/>
  <c r="Z14" i="3" a="1"/>
  <c r="Z14" i="3"/>
  <c r="Z15" i="3"/>
  <c r="Z16" i="3"/>
  <c r="AG14" i="3"/>
  <c r="AA14" i="3" a="1"/>
  <c r="AA14" i="3"/>
  <c r="AA15" i="3"/>
  <c r="AA16" i="3"/>
  <c r="AH14" i="3"/>
  <c r="AB14" i="3" a="1"/>
  <c r="AB14" i="3"/>
  <c r="AB15" i="3"/>
  <c r="AB16" i="3"/>
  <c r="AI14" i="3"/>
  <c r="AC14" i="3" a="1"/>
  <c r="AC14" i="3"/>
  <c r="AC15" i="3"/>
  <c r="AC16" i="3"/>
  <c r="AJ14" i="3"/>
  <c r="AD15" i="3"/>
  <c r="AE15" i="3"/>
  <c r="AF15" i="3"/>
  <c r="AG15" i="3"/>
  <c r="AH15" i="3"/>
  <c r="AI15" i="3"/>
  <c r="AJ15" i="3"/>
  <c r="AD16" i="3"/>
  <c r="AE16" i="3"/>
  <c r="AF16" i="3"/>
  <c r="AG16" i="3"/>
  <c r="AH16" i="3"/>
  <c r="AI16" i="3"/>
  <c r="AJ16" i="3"/>
  <c r="W19" i="3" a="1"/>
  <c r="W19" i="3"/>
  <c r="W20" i="3"/>
  <c r="W21" i="3"/>
  <c r="AD19" i="3"/>
  <c r="X19" i="3" a="1"/>
  <c r="X19" i="3"/>
  <c r="X20" i="3"/>
  <c r="X21" i="3"/>
  <c r="AE19" i="3"/>
  <c r="Y19" i="3" a="1"/>
  <c r="Y19" i="3"/>
  <c r="Y20" i="3"/>
  <c r="Y21" i="3"/>
  <c r="AF19" i="3"/>
  <c r="Z19" i="3" a="1"/>
  <c r="Z19" i="3"/>
  <c r="Z20" i="3"/>
  <c r="Z21" i="3"/>
  <c r="AG19" i="3"/>
  <c r="AA19" i="3" a="1"/>
  <c r="AA19" i="3"/>
  <c r="AA20" i="3"/>
  <c r="AA21" i="3"/>
  <c r="AH19" i="3"/>
  <c r="AB19" i="3" a="1"/>
  <c r="AB19" i="3"/>
  <c r="AB20" i="3"/>
  <c r="AB21" i="3"/>
  <c r="AI19" i="3"/>
  <c r="AC19" i="3" a="1"/>
  <c r="AC19" i="3"/>
  <c r="AC20" i="3"/>
  <c r="AC21" i="3"/>
  <c r="AJ19" i="3"/>
  <c r="AD20" i="3"/>
  <c r="AE20" i="3"/>
  <c r="AF20" i="3"/>
  <c r="AG20" i="3"/>
  <c r="AH20" i="3"/>
  <c r="AI20" i="3"/>
  <c r="AJ20" i="3"/>
  <c r="AD21" i="3"/>
  <c r="AE21" i="3"/>
  <c r="AF21" i="3"/>
  <c r="AG21" i="3"/>
  <c r="AH21" i="3"/>
  <c r="AI21" i="3"/>
  <c r="AJ21" i="3"/>
  <c r="W24" i="3" a="1"/>
  <c r="W24" i="3"/>
  <c r="W25" i="3"/>
  <c r="W26" i="3"/>
  <c r="AD24" i="3"/>
  <c r="X24" i="3" a="1"/>
  <c r="X24" i="3"/>
  <c r="X25" i="3"/>
  <c r="X26" i="3"/>
  <c r="AE24" i="3"/>
  <c r="Y24" i="3" a="1"/>
  <c r="Y24" i="3"/>
  <c r="Y25" i="3"/>
  <c r="Y26" i="3"/>
  <c r="AF24" i="3"/>
  <c r="Z24" i="3" a="1"/>
  <c r="Z24" i="3"/>
  <c r="Z25" i="3"/>
  <c r="Z26" i="3"/>
  <c r="AG24" i="3"/>
  <c r="AA24" i="3" a="1"/>
  <c r="AA24" i="3"/>
  <c r="AA25" i="3"/>
  <c r="AA26" i="3"/>
  <c r="AH24" i="3"/>
  <c r="AB24" i="3" a="1"/>
  <c r="AB24" i="3"/>
  <c r="AB25" i="3"/>
  <c r="AB26" i="3"/>
  <c r="AI24" i="3"/>
  <c r="AC24" i="3" a="1"/>
  <c r="AC24" i="3"/>
  <c r="AC25" i="3"/>
  <c r="AC26" i="3"/>
  <c r="AJ24" i="3"/>
  <c r="AD25" i="3"/>
  <c r="AE25" i="3"/>
  <c r="AF25" i="3"/>
  <c r="AG25" i="3"/>
  <c r="AH25" i="3"/>
  <c r="AI25" i="3"/>
  <c r="AJ25" i="3"/>
  <c r="AD26" i="3"/>
  <c r="AE26" i="3"/>
  <c r="AF26" i="3"/>
  <c r="AG26" i="3"/>
  <c r="AH26" i="3"/>
  <c r="AI26" i="3"/>
  <c r="AJ26" i="3"/>
  <c r="W29" i="3" a="1"/>
  <c r="W29" i="3"/>
  <c r="W30" i="3"/>
  <c r="W31" i="3"/>
  <c r="AD29" i="3"/>
  <c r="X29" i="3" a="1"/>
  <c r="X29" i="3"/>
  <c r="X30" i="3"/>
  <c r="X31" i="3"/>
  <c r="AE29" i="3"/>
  <c r="Y29" i="3" a="1"/>
  <c r="Y29" i="3"/>
  <c r="Y30" i="3"/>
  <c r="Y31" i="3"/>
  <c r="AF29" i="3"/>
  <c r="Z29" i="3" a="1"/>
  <c r="Z29" i="3"/>
  <c r="Z30" i="3"/>
  <c r="Z31" i="3"/>
  <c r="AG29" i="3"/>
  <c r="AA29" i="3" a="1"/>
  <c r="AA29" i="3"/>
  <c r="AA30" i="3"/>
  <c r="AA31" i="3"/>
  <c r="AH29" i="3"/>
  <c r="AB29" i="3" a="1"/>
  <c r="AB29" i="3"/>
  <c r="AB30" i="3"/>
  <c r="AB31" i="3"/>
  <c r="AI29" i="3"/>
  <c r="AC29" i="3" a="1"/>
  <c r="AC29" i="3"/>
  <c r="AC30" i="3"/>
  <c r="AC31" i="3"/>
  <c r="AJ29" i="3"/>
  <c r="AD30" i="3"/>
  <c r="AE30" i="3"/>
  <c r="AF30" i="3"/>
  <c r="AG30" i="3"/>
  <c r="AH30" i="3"/>
  <c r="AI30" i="3"/>
  <c r="AJ30" i="3"/>
  <c r="AD31" i="3"/>
  <c r="AE31" i="3"/>
  <c r="AF31" i="3"/>
  <c r="AG31" i="3"/>
  <c r="AH31" i="3"/>
  <c r="AI31" i="3"/>
  <c r="AJ31" i="3"/>
  <c r="W34" i="3" a="1"/>
  <c r="W34" i="3"/>
  <c r="W35" i="3"/>
  <c r="W36" i="3"/>
  <c r="AD34" i="3"/>
  <c r="X34" i="3" a="1"/>
  <c r="X34" i="3"/>
  <c r="X35" i="3"/>
  <c r="X36" i="3"/>
  <c r="AE34" i="3"/>
  <c r="Y34" i="3" a="1"/>
  <c r="Y34" i="3"/>
  <c r="Y35" i="3"/>
  <c r="Y36" i="3"/>
  <c r="AF34" i="3"/>
  <c r="Z34" i="3" a="1"/>
  <c r="Z34" i="3"/>
  <c r="Z35" i="3"/>
  <c r="Z36" i="3"/>
  <c r="AG34" i="3"/>
  <c r="AA34" i="3" a="1"/>
  <c r="AA34" i="3"/>
  <c r="AA35" i="3"/>
  <c r="AA36" i="3"/>
  <c r="AH34" i="3"/>
  <c r="AB34" i="3" a="1"/>
  <c r="AB34" i="3"/>
  <c r="AB35" i="3"/>
  <c r="AB36" i="3"/>
  <c r="AI34" i="3"/>
  <c r="AC34" i="3" a="1"/>
  <c r="AC34" i="3"/>
  <c r="AC35" i="3"/>
  <c r="AC36" i="3"/>
  <c r="AJ34" i="3"/>
  <c r="AD35" i="3"/>
  <c r="AE35" i="3"/>
  <c r="AF35" i="3"/>
  <c r="AG35" i="3"/>
  <c r="AH35" i="3"/>
  <c r="AI35" i="3"/>
  <c r="AJ35" i="3"/>
  <c r="AD36" i="3"/>
  <c r="AE36" i="3"/>
  <c r="AF36" i="3"/>
  <c r="AG36" i="3"/>
  <c r="AH36" i="3"/>
  <c r="AI36" i="3"/>
  <c r="AJ36" i="3"/>
  <c r="W39" i="3" a="1"/>
  <c r="W39" i="3"/>
  <c r="W40" i="3"/>
  <c r="W41" i="3"/>
  <c r="AD39" i="3"/>
  <c r="X39" i="3" a="1"/>
  <c r="X39" i="3"/>
  <c r="X40" i="3"/>
  <c r="X41" i="3"/>
  <c r="AE39" i="3"/>
  <c r="Y39" i="3" a="1"/>
  <c r="Y39" i="3"/>
  <c r="Y40" i="3"/>
  <c r="Y41" i="3"/>
  <c r="AF39" i="3"/>
  <c r="Z39" i="3" a="1"/>
  <c r="Z39" i="3"/>
  <c r="Z40" i="3"/>
  <c r="Z41" i="3"/>
  <c r="AG39" i="3"/>
  <c r="AA39" i="3" a="1"/>
  <c r="AA39" i="3"/>
  <c r="AA40" i="3"/>
  <c r="AA41" i="3"/>
  <c r="AH39" i="3"/>
  <c r="AB39" i="3" a="1"/>
  <c r="AB39" i="3"/>
  <c r="AB40" i="3"/>
  <c r="AB41" i="3"/>
  <c r="AI39" i="3"/>
  <c r="AC39" i="3" a="1"/>
  <c r="AC39" i="3"/>
  <c r="AC40" i="3"/>
  <c r="AC41" i="3"/>
  <c r="AJ39" i="3"/>
  <c r="AD40" i="3"/>
  <c r="AE40" i="3"/>
  <c r="AF40" i="3"/>
  <c r="AG40" i="3"/>
  <c r="AH40" i="3"/>
  <c r="AI40" i="3"/>
  <c r="AJ40" i="3"/>
  <c r="AD41" i="3"/>
  <c r="AE41" i="3"/>
  <c r="AF41" i="3"/>
  <c r="AG41" i="3"/>
  <c r="AH41" i="3"/>
  <c r="AI41" i="3"/>
  <c r="AJ41" i="3"/>
  <c r="W49" i="3" a="1"/>
  <c r="W49" i="3"/>
  <c r="W50" i="3"/>
  <c r="W51" i="3"/>
  <c r="AD49" i="3"/>
  <c r="X49" i="3" a="1"/>
  <c r="X49" i="3"/>
  <c r="X50" i="3"/>
  <c r="X51" i="3"/>
  <c r="AE49" i="3"/>
  <c r="Y49" i="3" a="1"/>
  <c r="Y49" i="3"/>
  <c r="Y50" i="3"/>
  <c r="Y51" i="3"/>
  <c r="AF49" i="3"/>
  <c r="Z49" i="3" a="1"/>
  <c r="Z49" i="3"/>
  <c r="Z50" i="3"/>
  <c r="Z51" i="3"/>
  <c r="AG49" i="3"/>
  <c r="AA49" i="3" a="1"/>
  <c r="AA49" i="3"/>
  <c r="AA50" i="3"/>
  <c r="AA51" i="3"/>
  <c r="AH49" i="3"/>
  <c r="AB49" i="3" a="1"/>
  <c r="AB49" i="3"/>
  <c r="AB50" i="3"/>
  <c r="AB51" i="3"/>
  <c r="AI49" i="3"/>
  <c r="AC49" i="3" a="1"/>
  <c r="AC49" i="3"/>
  <c r="AC50" i="3"/>
  <c r="AC51" i="3"/>
  <c r="AJ49" i="3"/>
  <c r="AD50" i="3"/>
  <c r="AE50" i="3"/>
  <c r="AF50" i="3"/>
  <c r="AG50" i="3"/>
  <c r="AH50" i="3"/>
  <c r="AI50" i="3"/>
  <c r="AJ50" i="3"/>
  <c r="AD51" i="3"/>
  <c r="AE51" i="3"/>
  <c r="AF51" i="3"/>
  <c r="AG51" i="3"/>
  <c r="AH51" i="3"/>
  <c r="AI51" i="3"/>
  <c r="AJ51" i="3"/>
  <c r="B5" i="1" a="1"/>
  <c r="D5" i="1"/>
  <c r="E5" i="1"/>
  <c r="D11" i="1"/>
  <c r="E11" i="1"/>
  <c r="D10" i="1"/>
  <c r="E10" i="1"/>
  <c r="D9" i="1"/>
  <c r="E9" i="1"/>
  <c r="D8" i="1"/>
  <c r="E8" i="1"/>
  <c r="D7" i="1"/>
  <c r="E7" i="1"/>
  <c r="D6" i="1"/>
  <c r="E6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G5" i="1" a="1"/>
  <c r="I11" i="1"/>
  <c r="J11" i="1"/>
  <c r="I10" i="1"/>
  <c r="J10" i="1"/>
  <c r="I9" i="1"/>
  <c r="J9" i="1"/>
  <c r="I8" i="1"/>
  <c r="J8" i="1"/>
  <c r="I7" i="1"/>
  <c r="J7" i="1"/>
  <c r="I6" i="1"/>
  <c r="J6" i="1"/>
  <c r="I5" i="1"/>
  <c r="J5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L5" i="1" a="1"/>
  <c r="N5" i="1"/>
  <c r="O5" i="1"/>
  <c r="N11" i="1"/>
  <c r="O11" i="1"/>
  <c r="N10" i="1"/>
  <c r="O10" i="1"/>
  <c r="N9" i="1"/>
  <c r="O9" i="1"/>
  <c r="N8" i="1"/>
  <c r="O8" i="1"/>
  <c r="N7" i="1"/>
  <c r="O7" i="1"/>
  <c r="N6" i="1"/>
  <c r="O6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B14" i="1" a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G14" i="1" a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L14" i="1" a="1"/>
  <c r="N14" i="1"/>
  <c r="O14" i="1"/>
  <c r="N20" i="1"/>
  <c r="O20" i="1"/>
  <c r="N19" i="1"/>
  <c r="O19" i="1"/>
  <c r="N18" i="1"/>
  <c r="O18" i="1"/>
  <c r="N17" i="1"/>
  <c r="O17" i="1"/>
  <c r="N16" i="1"/>
  <c r="O16" i="1"/>
  <c r="N15" i="1"/>
  <c r="O15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B23" i="1" a="1"/>
  <c r="D23" i="1"/>
  <c r="E23" i="1"/>
  <c r="D29" i="1"/>
  <c r="E29" i="1"/>
  <c r="D28" i="1"/>
  <c r="E28" i="1"/>
  <c r="D27" i="1"/>
  <c r="E27" i="1"/>
  <c r="D26" i="1"/>
  <c r="E26" i="1"/>
  <c r="D25" i="1"/>
  <c r="E25" i="1"/>
  <c r="D24" i="1"/>
  <c r="E24" i="1"/>
  <c r="W44" i="3" a="1"/>
  <c r="W45" i="3"/>
  <c r="AD46" i="3"/>
  <c r="I23" i="1"/>
  <c r="J23" i="1"/>
  <c r="AC44" i="3" a="1"/>
  <c r="AC45" i="3"/>
  <c r="AJ46" i="3"/>
  <c r="I29" i="1"/>
  <c r="J29" i="1"/>
  <c r="AB44" i="3" a="1"/>
  <c r="AB45" i="3"/>
  <c r="AI46" i="3"/>
  <c r="I28" i="1"/>
  <c r="J28" i="1"/>
  <c r="AA44" i="3" a="1"/>
  <c r="AA45" i="3"/>
  <c r="AH46" i="3"/>
  <c r="I27" i="1"/>
  <c r="J27" i="1"/>
  <c r="Z44" i="3" a="1"/>
  <c r="Z45" i="3"/>
  <c r="AG46" i="3"/>
  <c r="I26" i="1"/>
  <c r="J26" i="1"/>
  <c r="Y44" i="3" a="1"/>
  <c r="Y45" i="3"/>
  <c r="AF46" i="3"/>
  <c r="I25" i="1"/>
  <c r="J25" i="1"/>
  <c r="X44" i="3" a="1"/>
  <c r="X45" i="3"/>
  <c r="AE46" i="3"/>
  <c r="I24" i="1"/>
  <c r="J24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AC44" i="3"/>
  <c r="AC46" i="3"/>
  <c r="AJ45" i="3"/>
  <c r="H29" i="1"/>
  <c r="AJ44" i="3"/>
  <c r="G29" i="1"/>
  <c r="AB44" i="3"/>
  <c r="AB46" i="3"/>
  <c r="AI45" i="3"/>
  <c r="H28" i="1"/>
  <c r="AI44" i="3"/>
  <c r="G28" i="1"/>
  <c r="AA44" i="3"/>
  <c r="AA46" i="3"/>
  <c r="AH45" i="3"/>
  <c r="H27" i="1"/>
  <c r="AH44" i="3"/>
  <c r="G27" i="1"/>
  <c r="Z44" i="3"/>
  <c r="Z46" i="3"/>
  <c r="AG45" i="3"/>
  <c r="H26" i="1"/>
  <c r="AG44" i="3"/>
  <c r="G26" i="1"/>
  <c r="Y44" i="3"/>
  <c r="Y46" i="3"/>
  <c r="AF45" i="3"/>
  <c r="H25" i="1"/>
  <c r="AF44" i="3"/>
  <c r="G25" i="1"/>
  <c r="X44" i="3"/>
  <c r="X46" i="3"/>
  <c r="AE45" i="3"/>
  <c r="H24" i="1"/>
  <c r="AE44" i="3"/>
  <c r="G24" i="1"/>
  <c r="W44" i="3"/>
  <c r="W46" i="3"/>
  <c r="AD45" i="3"/>
  <c r="H23" i="1"/>
  <c r="AD44" i="3"/>
  <c r="G23" i="1"/>
  <c r="L23" i="1" a="1"/>
  <c r="N23" i="1"/>
  <c r="O23" i="1"/>
  <c r="N29" i="1"/>
  <c r="O29" i="1"/>
  <c r="N28" i="1"/>
  <c r="O28" i="1"/>
  <c r="N27" i="1"/>
  <c r="O27" i="1"/>
  <c r="N26" i="1"/>
  <c r="O26" i="1"/>
  <c r="N25" i="1"/>
  <c r="O25" i="1"/>
  <c r="N24" i="1"/>
  <c r="O24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AM55" i="3" a="1"/>
  <c r="AM55" i="3"/>
  <c r="AM56" i="3"/>
  <c r="AM57" i="3"/>
  <c r="AY55" i="3"/>
  <c r="AY56" i="3"/>
  <c r="AY57" i="3"/>
  <c r="AX55" i="3" a="1"/>
  <c r="AX56" i="3"/>
  <c r="BJ57" i="3"/>
  <c r="AW55" i="3" a="1"/>
  <c r="AW56" i="3"/>
  <c r="BI57" i="3"/>
  <c r="AV55" i="3" a="1"/>
  <c r="AV56" i="3"/>
  <c r="BH57" i="3"/>
  <c r="AU55" i="3" a="1"/>
  <c r="AU56" i="3"/>
  <c r="BG57" i="3"/>
  <c r="AT55" i="3" a="1"/>
  <c r="AT56" i="3"/>
  <c r="BF57" i="3"/>
  <c r="AS55" i="3" a="1"/>
  <c r="AS56" i="3"/>
  <c r="BE57" i="3"/>
  <c r="AR55" i="3" a="1"/>
  <c r="AR56" i="3"/>
  <c r="BD57" i="3"/>
  <c r="AQ55" i="3" a="1"/>
  <c r="AQ56" i="3"/>
  <c r="BC57" i="3"/>
  <c r="AP55" i="3" a="1"/>
  <c r="AP56" i="3"/>
  <c r="BB57" i="3"/>
  <c r="AO55" i="3" a="1"/>
  <c r="AO56" i="3"/>
  <c r="BA57" i="3"/>
  <c r="AN55" i="3" a="1"/>
  <c r="AN56" i="3"/>
  <c r="AZ57" i="3"/>
  <c r="AX55" i="3"/>
  <c r="AX57" i="3"/>
  <c r="BJ56" i="3"/>
  <c r="AW55" i="3"/>
  <c r="AW57" i="3"/>
  <c r="BI56" i="3"/>
  <c r="AV55" i="3"/>
  <c r="AV57" i="3"/>
  <c r="BH56" i="3"/>
  <c r="AU55" i="3"/>
  <c r="AU57" i="3"/>
  <c r="BG56" i="3"/>
  <c r="AT55" i="3"/>
  <c r="AT57" i="3"/>
  <c r="BF56" i="3"/>
  <c r="AS55" i="3"/>
  <c r="AS57" i="3"/>
  <c r="BE56" i="3"/>
  <c r="AR55" i="3"/>
  <c r="AR57" i="3"/>
  <c r="BD56" i="3"/>
  <c r="AQ55" i="3"/>
  <c r="AQ57" i="3"/>
  <c r="BC56" i="3"/>
  <c r="AP55" i="3"/>
  <c r="AP57" i="3"/>
  <c r="BB56" i="3"/>
  <c r="AO55" i="3"/>
  <c r="AO57" i="3"/>
  <c r="BA56" i="3"/>
  <c r="AN55" i="3"/>
  <c r="AN57" i="3"/>
  <c r="AZ56" i="3"/>
  <c r="BJ55" i="3"/>
  <c r="BI55" i="3"/>
  <c r="BH55" i="3"/>
  <c r="BG55" i="3"/>
  <c r="BF55" i="3"/>
  <c r="BE55" i="3"/>
  <c r="BD55" i="3"/>
  <c r="BC55" i="3"/>
  <c r="BB55" i="3"/>
  <c r="BA55" i="3"/>
  <c r="AZ55" i="3"/>
  <c r="B34" i="1" a="1"/>
  <c r="B35" i="1"/>
  <c r="D35" i="1"/>
  <c r="C35" i="1"/>
  <c r="B82" i="3"/>
  <c r="C82" i="3"/>
  <c r="D82" i="3"/>
  <c r="Q82" i="3"/>
  <c r="S82" i="3"/>
  <c r="R82" i="3"/>
  <c r="T82" i="3"/>
  <c r="B36" i="1"/>
  <c r="D36" i="1"/>
  <c r="C36" i="1"/>
  <c r="B83" i="3"/>
  <c r="C83" i="3"/>
  <c r="D83" i="3"/>
  <c r="Q83" i="3"/>
  <c r="S83" i="3"/>
  <c r="R83" i="3"/>
  <c r="T83" i="3"/>
  <c r="B37" i="1"/>
  <c r="D37" i="1"/>
  <c r="C37" i="1"/>
  <c r="B84" i="3"/>
  <c r="C84" i="3"/>
  <c r="D84" i="3"/>
  <c r="Q84" i="3"/>
  <c r="S84" i="3"/>
  <c r="R84" i="3"/>
  <c r="T84" i="3"/>
  <c r="B38" i="1"/>
  <c r="D38" i="1"/>
  <c r="C38" i="1"/>
  <c r="B85" i="3"/>
  <c r="C85" i="3"/>
  <c r="D85" i="3"/>
  <c r="Q85" i="3"/>
  <c r="S85" i="3"/>
  <c r="R85" i="3"/>
  <c r="T85" i="3"/>
  <c r="B39" i="1"/>
  <c r="D39" i="1"/>
  <c r="C39" i="1"/>
  <c r="B86" i="3"/>
  <c r="C86" i="3"/>
  <c r="D86" i="3"/>
  <c r="Q86" i="3"/>
  <c r="S86" i="3"/>
  <c r="R86" i="3"/>
  <c r="T86" i="3"/>
  <c r="B40" i="1"/>
  <c r="D40" i="1"/>
  <c r="C40" i="1"/>
  <c r="B87" i="3"/>
  <c r="C87" i="3"/>
  <c r="D87" i="3"/>
  <c r="Q87" i="3"/>
  <c r="S87" i="3"/>
  <c r="R87" i="3"/>
  <c r="T87" i="3"/>
  <c r="B41" i="1"/>
  <c r="D41" i="1"/>
  <c r="C41" i="1"/>
  <c r="B88" i="3"/>
  <c r="C88" i="3"/>
  <c r="D88" i="3"/>
  <c r="Q88" i="3"/>
  <c r="S88" i="3"/>
  <c r="R88" i="3"/>
  <c r="T88" i="3"/>
  <c r="B42" i="1"/>
  <c r="D42" i="1"/>
  <c r="C42" i="1"/>
  <c r="B89" i="3"/>
  <c r="C89" i="3"/>
  <c r="D89" i="3"/>
  <c r="Q89" i="3"/>
  <c r="S89" i="3"/>
  <c r="R89" i="3"/>
  <c r="T89" i="3"/>
  <c r="B43" i="1"/>
  <c r="D43" i="1"/>
  <c r="C43" i="1"/>
  <c r="B90" i="3"/>
  <c r="C90" i="3"/>
  <c r="D90" i="3"/>
  <c r="Q90" i="3"/>
  <c r="S90" i="3"/>
  <c r="R90" i="3"/>
  <c r="T90" i="3"/>
  <c r="B44" i="1"/>
  <c r="D44" i="1"/>
  <c r="C44" i="1"/>
  <c r="B91" i="3"/>
  <c r="C91" i="3"/>
  <c r="D91" i="3"/>
  <c r="Q91" i="3"/>
  <c r="S91" i="3"/>
  <c r="R91" i="3"/>
  <c r="T91" i="3"/>
  <c r="B45" i="1"/>
  <c r="D45" i="1"/>
  <c r="C45" i="1"/>
  <c r="B92" i="3"/>
  <c r="C92" i="3"/>
  <c r="D92" i="3"/>
  <c r="Q92" i="3"/>
  <c r="S92" i="3"/>
  <c r="R92" i="3"/>
  <c r="T92" i="3"/>
  <c r="D34" i="1"/>
  <c r="C81" i="3"/>
  <c r="B34" i="1"/>
  <c r="C34" i="1"/>
  <c r="B81" i="3"/>
  <c r="D81" i="3"/>
  <c r="R81" i="3"/>
  <c r="T81" i="3"/>
  <c r="Q81" i="3"/>
  <c r="S81" i="3"/>
  <c r="E81" i="3"/>
  <c r="H81" i="3"/>
  <c r="F81" i="3"/>
  <c r="I81" i="3"/>
  <c r="L81" i="3"/>
  <c r="G81" i="3"/>
  <c r="J81" i="3"/>
  <c r="M81" i="3"/>
  <c r="M34" i="1"/>
  <c r="N34" i="1"/>
  <c r="E82" i="3"/>
  <c r="H82" i="3"/>
  <c r="F82" i="3"/>
  <c r="I82" i="3"/>
  <c r="L82" i="3"/>
  <c r="G82" i="3"/>
  <c r="J82" i="3"/>
  <c r="M82" i="3"/>
  <c r="M35" i="1"/>
  <c r="N35" i="1"/>
  <c r="E83" i="3"/>
  <c r="H83" i="3"/>
  <c r="F83" i="3"/>
  <c r="I83" i="3"/>
  <c r="L83" i="3"/>
  <c r="G83" i="3"/>
  <c r="J83" i="3"/>
  <c r="M83" i="3"/>
  <c r="M36" i="1"/>
  <c r="N36" i="1"/>
  <c r="E84" i="3"/>
  <c r="H84" i="3"/>
  <c r="F84" i="3"/>
  <c r="I84" i="3"/>
  <c r="L84" i="3"/>
  <c r="G84" i="3"/>
  <c r="J84" i="3"/>
  <c r="M84" i="3"/>
  <c r="M37" i="1"/>
  <c r="N37" i="1"/>
  <c r="E85" i="3"/>
  <c r="H85" i="3"/>
  <c r="F85" i="3"/>
  <c r="I85" i="3"/>
  <c r="L85" i="3"/>
  <c r="G85" i="3"/>
  <c r="J85" i="3"/>
  <c r="M85" i="3"/>
  <c r="M38" i="1"/>
  <c r="N38" i="1"/>
  <c r="E86" i="3"/>
  <c r="H86" i="3"/>
  <c r="F86" i="3"/>
  <c r="I86" i="3"/>
  <c r="L86" i="3"/>
  <c r="G86" i="3"/>
  <c r="J86" i="3"/>
  <c r="M86" i="3"/>
  <c r="M39" i="1"/>
  <c r="N39" i="1"/>
  <c r="E87" i="3"/>
  <c r="H87" i="3"/>
  <c r="F87" i="3"/>
  <c r="I87" i="3"/>
  <c r="L87" i="3"/>
  <c r="G87" i="3"/>
  <c r="J87" i="3"/>
  <c r="M87" i="3"/>
  <c r="M40" i="1"/>
  <c r="N40" i="1"/>
  <c r="E88" i="3"/>
  <c r="H88" i="3"/>
  <c r="F88" i="3"/>
  <c r="I88" i="3"/>
  <c r="L88" i="3"/>
  <c r="G88" i="3"/>
  <c r="J88" i="3"/>
  <c r="M88" i="3"/>
  <c r="M41" i="1"/>
  <c r="N41" i="1"/>
  <c r="E89" i="3"/>
  <c r="H89" i="3"/>
  <c r="F89" i="3"/>
  <c r="I89" i="3"/>
  <c r="L89" i="3"/>
  <c r="G89" i="3"/>
  <c r="J89" i="3"/>
  <c r="M89" i="3"/>
  <c r="M42" i="1"/>
  <c r="N42" i="1"/>
  <c r="E90" i="3"/>
  <c r="H90" i="3"/>
  <c r="F90" i="3"/>
  <c r="I90" i="3"/>
  <c r="L90" i="3"/>
  <c r="G90" i="3"/>
  <c r="J90" i="3"/>
  <c r="M90" i="3"/>
  <c r="M43" i="1"/>
  <c r="N43" i="1"/>
  <c r="E91" i="3"/>
  <c r="H91" i="3"/>
  <c r="F91" i="3"/>
  <c r="I91" i="3"/>
  <c r="L91" i="3"/>
  <c r="G91" i="3"/>
  <c r="J91" i="3"/>
  <c r="M91" i="3"/>
  <c r="M44" i="1"/>
  <c r="N44" i="1"/>
  <c r="E92" i="3"/>
  <c r="H92" i="3"/>
  <c r="F92" i="3"/>
  <c r="I92" i="3"/>
  <c r="L92" i="3"/>
  <c r="G92" i="3"/>
  <c r="J92" i="3"/>
  <c r="M92" i="3"/>
  <c r="M45" i="1"/>
  <c r="N45" i="1"/>
  <c r="N48" i="1"/>
  <c r="N47" i="1"/>
  <c r="N46" i="1"/>
  <c r="M48" i="1"/>
  <c r="M47" i="1"/>
  <c r="M46" i="1"/>
  <c r="K81" i="3"/>
  <c r="L34" i="1"/>
  <c r="K82" i="3"/>
  <c r="L35" i="1"/>
  <c r="K83" i="3"/>
  <c r="L36" i="1"/>
  <c r="K84" i="3"/>
  <c r="L37" i="1"/>
  <c r="K85" i="3"/>
  <c r="L38" i="1"/>
  <c r="K86" i="3"/>
  <c r="L39" i="1"/>
  <c r="K87" i="3"/>
  <c r="L40" i="1"/>
  <c r="K88" i="3"/>
  <c r="L41" i="1"/>
  <c r="K89" i="3"/>
  <c r="L42" i="1"/>
  <c r="K90" i="3"/>
  <c r="L43" i="1"/>
  <c r="K91" i="3"/>
  <c r="L44" i="1"/>
  <c r="K92" i="3"/>
  <c r="L45" i="1"/>
  <c r="L48" i="1"/>
  <c r="L47" i="1"/>
  <c r="L46" i="1"/>
  <c r="Q111" i="3"/>
  <c r="B111" i="3"/>
  <c r="T111" i="3"/>
  <c r="C111" i="3"/>
  <c r="E111" i="3"/>
  <c r="F111" i="3"/>
  <c r="H111" i="3"/>
  <c r="J111" i="3"/>
  <c r="G111" i="3"/>
  <c r="I111" i="3"/>
  <c r="R111" i="3"/>
  <c r="K111" i="3"/>
  <c r="U111" i="3"/>
  <c r="M111" i="3"/>
  <c r="L111" i="3"/>
  <c r="P111" i="3"/>
  <c r="S111" i="3"/>
  <c r="N111" i="3"/>
  <c r="O111" i="3"/>
  <c r="V111" i="3"/>
  <c r="X111" i="3"/>
  <c r="W111" i="3"/>
  <c r="Y111" i="3"/>
  <c r="Z111" i="3"/>
  <c r="P34" i="1"/>
  <c r="Q112" i="3"/>
  <c r="B112" i="3"/>
  <c r="T112" i="3"/>
  <c r="C112" i="3"/>
  <c r="E112" i="3"/>
  <c r="F112" i="3"/>
  <c r="H112" i="3"/>
  <c r="J112" i="3"/>
  <c r="G112" i="3"/>
  <c r="I112" i="3"/>
  <c r="R112" i="3"/>
  <c r="K112" i="3"/>
  <c r="U112" i="3"/>
  <c r="M112" i="3"/>
  <c r="L112" i="3"/>
  <c r="P112" i="3"/>
  <c r="S112" i="3"/>
  <c r="N112" i="3"/>
  <c r="O112" i="3"/>
  <c r="V112" i="3"/>
  <c r="X112" i="3"/>
  <c r="W112" i="3"/>
  <c r="Y112" i="3"/>
  <c r="Z112" i="3"/>
  <c r="P35" i="1"/>
  <c r="Q113" i="3"/>
  <c r="B113" i="3"/>
  <c r="T113" i="3"/>
  <c r="C113" i="3"/>
  <c r="E113" i="3"/>
  <c r="F113" i="3"/>
  <c r="H113" i="3"/>
  <c r="J113" i="3"/>
  <c r="G113" i="3"/>
  <c r="I113" i="3"/>
  <c r="R113" i="3"/>
  <c r="K113" i="3"/>
  <c r="U113" i="3"/>
  <c r="M113" i="3"/>
  <c r="L113" i="3"/>
  <c r="P113" i="3"/>
  <c r="S113" i="3"/>
  <c r="N113" i="3"/>
  <c r="O113" i="3"/>
  <c r="V113" i="3"/>
  <c r="X113" i="3"/>
  <c r="W113" i="3"/>
  <c r="Y113" i="3"/>
  <c r="Z113" i="3"/>
  <c r="P36" i="1"/>
  <c r="Q114" i="3"/>
  <c r="B114" i="3"/>
  <c r="T114" i="3"/>
  <c r="C114" i="3"/>
  <c r="E114" i="3"/>
  <c r="F114" i="3"/>
  <c r="H114" i="3"/>
  <c r="J114" i="3"/>
  <c r="G114" i="3"/>
  <c r="I114" i="3"/>
  <c r="R114" i="3"/>
  <c r="K114" i="3"/>
  <c r="U114" i="3"/>
  <c r="M114" i="3"/>
  <c r="L114" i="3"/>
  <c r="P114" i="3"/>
  <c r="S114" i="3"/>
  <c r="N114" i="3"/>
  <c r="O114" i="3"/>
  <c r="V114" i="3"/>
  <c r="X114" i="3"/>
  <c r="W114" i="3"/>
  <c r="Y114" i="3"/>
  <c r="Z114" i="3"/>
  <c r="P37" i="1"/>
  <c r="Q115" i="3"/>
  <c r="B115" i="3"/>
  <c r="T115" i="3"/>
  <c r="C115" i="3"/>
  <c r="E115" i="3"/>
  <c r="F115" i="3"/>
  <c r="H115" i="3"/>
  <c r="J115" i="3"/>
  <c r="G115" i="3"/>
  <c r="I115" i="3"/>
  <c r="R115" i="3"/>
  <c r="K115" i="3"/>
  <c r="U115" i="3"/>
  <c r="M115" i="3"/>
  <c r="L115" i="3"/>
  <c r="P115" i="3"/>
  <c r="S115" i="3"/>
  <c r="N115" i="3"/>
  <c r="O115" i="3"/>
  <c r="V115" i="3"/>
  <c r="X115" i="3"/>
  <c r="W115" i="3"/>
  <c r="Y115" i="3"/>
  <c r="Z115" i="3"/>
  <c r="P38" i="1"/>
  <c r="Q116" i="3"/>
  <c r="B116" i="3"/>
  <c r="T116" i="3"/>
  <c r="C116" i="3"/>
  <c r="E116" i="3"/>
  <c r="F116" i="3"/>
  <c r="H116" i="3"/>
  <c r="J116" i="3"/>
  <c r="G116" i="3"/>
  <c r="I116" i="3"/>
  <c r="R116" i="3"/>
  <c r="K116" i="3"/>
  <c r="U116" i="3"/>
  <c r="M116" i="3"/>
  <c r="L116" i="3"/>
  <c r="P116" i="3"/>
  <c r="S116" i="3"/>
  <c r="N116" i="3"/>
  <c r="O116" i="3"/>
  <c r="V116" i="3"/>
  <c r="X116" i="3"/>
  <c r="W116" i="3"/>
  <c r="Y116" i="3"/>
  <c r="Z116" i="3"/>
  <c r="P39" i="1"/>
  <c r="Q117" i="3"/>
  <c r="B117" i="3"/>
  <c r="T117" i="3"/>
  <c r="C117" i="3"/>
  <c r="E117" i="3"/>
  <c r="F117" i="3"/>
  <c r="H117" i="3"/>
  <c r="J117" i="3"/>
  <c r="G117" i="3"/>
  <c r="I117" i="3"/>
  <c r="R117" i="3"/>
  <c r="K117" i="3"/>
  <c r="U117" i="3"/>
  <c r="M117" i="3"/>
  <c r="L117" i="3"/>
  <c r="P117" i="3"/>
  <c r="S117" i="3"/>
  <c r="N117" i="3"/>
  <c r="O117" i="3"/>
  <c r="V117" i="3"/>
  <c r="X117" i="3"/>
  <c r="W117" i="3"/>
  <c r="Y117" i="3"/>
  <c r="Z117" i="3"/>
  <c r="P40" i="1"/>
  <c r="Q118" i="3"/>
  <c r="B118" i="3"/>
  <c r="T118" i="3"/>
  <c r="C118" i="3"/>
  <c r="E118" i="3"/>
  <c r="F118" i="3"/>
  <c r="H118" i="3"/>
  <c r="J118" i="3"/>
  <c r="G118" i="3"/>
  <c r="I118" i="3"/>
  <c r="R118" i="3"/>
  <c r="K118" i="3"/>
  <c r="U118" i="3"/>
  <c r="M118" i="3"/>
  <c r="L118" i="3"/>
  <c r="P118" i="3"/>
  <c r="S118" i="3"/>
  <c r="N118" i="3"/>
  <c r="O118" i="3"/>
  <c r="V118" i="3"/>
  <c r="X118" i="3"/>
  <c r="W118" i="3"/>
  <c r="Y118" i="3"/>
  <c r="Z118" i="3"/>
  <c r="P41" i="1"/>
  <c r="Q119" i="3"/>
  <c r="B119" i="3"/>
  <c r="T119" i="3"/>
  <c r="C119" i="3"/>
  <c r="E119" i="3"/>
  <c r="F119" i="3"/>
  <c r="H119" i="3"/>
  <c r="J119" i="3"/>
  <c r="G119" i="3"/>
  <c r="I119" i="3"/>
  <c r="R119" i="3"/>
  <c r="K119" i="3"/>
  <c r="U119" i="3"/>
  <c r="M119" i="3"/>
  <c r="L119" i="3"/>
  <c r="P119" i="3"/>
  <c r="S119" i="3"/>
  <c r="N119" i="3"/>
  <c r="O119" i="3"/>
  <c r="V119" i="3"/>
  <c r="X119" i="3"/>
  <c r="W119" i="3"/>
  <c r="Y119" i="3"/>
  <c r="Z119" i="3"/>
  <c r="P42" i="1"/>
  <c r="Q120" i="3"/>
  <c r="B120" i="3"/>
  <c r="T120" i="3"/>
  <c r="C120" i="3"/>
  <c r="E120" i="3"/>
  <c r="F120" i="3"/>
  <c r="H120" i="3"/>
  <c r="J120" i="3"/>
  <c r="G120" i="3"/>
  <c r="I120" i="3"/>
  <c r="R120" i="3"/>
  <c r="K120" i="3"/>
  <c r="U120" i="3"/>
  <c r="M120" i="3"/>
  <c r="L120" i="3"/>
  <c r="P120" i="3"/>
  <c r="S120" i="3"/>
  <c r="N120" i="3"/>
  <c r="O120" i="3"/>
  <c r="V120" i="3"/>
  <c r="X120" i="3"/>
  <c r="W120" i="3"/>
  <c r="Y120" i="3"/>
  <c r="Z120" i="3"/>
  <c r="P43" i="1"/>
  <c r="Q121" i="3"/>
  <c r="B121" i="3"/>
  <c r="T121" i="3"/>
  <c r="C121" i="3"/>
  <c r="E121" i="3"/>
  <c r="F121" i="3"/>
  <c r="H121" i="3"/>
  <c r="J121" i="3"/>
  <c r="G121" i="3"/>
  <c r="I121" i="3"/>
  <c r="R121" i="3"/>
  <c r="K121" i="3"/>
  <c r="U121" i="3"/>
  <c r="M121" i="3"/>
  <c r="L121" i="3"/>
  <c r="P121" i="3"/>
  <c r="S121" i="3"/>
  <c r="N121" i="3"/>
  <c r="O121" i="3"/>
  <c r="V121" i="3"/>
  <c r="X121" i="3"/>
  <c r="W121" i="3"/>
  <c r="Y121" i="3"/>
  <c r="Z121" i="3"/>
  <c r="P44" i="1"/>
  <c r="Q122" i="3"/>
  <c r="B122" i="3"/>
  <c r="T122" i="3"/>
  <c r="C122" i="3"/>
  <c r="E122" i="3"/>
  <c r="F122" i="3"/>
  <c r="H122" i="3"/>
  <c r="J122" i="3"/>
  <c r="G122" i="3"/>
  <c r="I122" i="3"/>
  <c r="R122" i="3"/>
  <c r="K122" i="3"/>
  <c r="U122" i="3"/>
  <c r="M122" i="3"/>
  <c r="L122" i="3"/>
  <c r="P122" i="3"/>
  <c r="S122" i="3"/>
  <c r="N122" i="3"/>
  <c r="O122" i="3"/>
  <c r="V122" i="3"/>
  <c r="X122" i="3"/>
  <c r="W122" i="3"/>
  <c r="Y122" i="3"/>
  <c r="Z122" i="3"/>
  <c r="P45" i="1"/>
  <c r="P48" i="1"/>
  <c r="O81" i="3"/>
  <c r="P81" i="3"/>
  <c r="O34" i="1"/>
  <c r="O82" i="3"/>
  <c r="P82" i="3"/>
  <c r="O35" i="1"/>
  <c r="O83" i="3"/>
  <c r="P83" i="3"/>
  <c r="O36" i="1"/>
  <c r="O84" i="3"/>
  <c r="P84" i="3"/>
  <c r="O37" i="1"/>
  <c r="O85" i="3"/>
  <c r="P85" i="3"/>
  <c r="O38" i="1"/>
  <c r="O86" i="3"/>
  <c r="P86" i="3"/>
  <c r="O39" i="1"/>
  <c r="O87" i="3"/>
  <c r="P87" i="3"/>
  <c r="O40" i="1"/>
  <c r="O88" i="3"/>
  <c r="P88" i="3"/>
  <c r="O41" i="1"/>
  <c r="O89" i="3"/>
  <c r="P89" i="3"/>
  <c r="O42" i="1"/>
  <c r="O90" i="3"/>
  <c r="P90" i="3"/>
  <c r="O43" i="1"/>
  <c r="O91" i="3"/>
  <c r="P91" i="3"/>
  <c r="O44" i="1"/>
  <c r="O92" i="3"/>
  <c r="P92" i="3"/>
  <c r="O45" i="1"/>
  <c r="O48" i="1"/>
  <c r="P47" i="1"/>
  <c r="O47" i="1"/>
  <c r="P46" i="1"/>
  <c r="O46" i="1"/>
  <c r="E34" i="1"/>
  <c r="E35" i="1"/>
  <c r="E36" i="1"/>
  <c r="E37" i="1"/>
  <c r="E38" i="1"/>
  <c r="E39" i="1"/>
  <c r="E40" i="1"/>
  <c r="E41" i="1"/>
  <c r="E42" i="1"/>
  <c r="E43" i="1"/>
  <c r="E44" i="1"/>
  <c r="E45" i="1"/>
</calcChain>
</file>

<file path=xl/sharedStrings.xml><?xml version="1.0" encoding="utf-8"?>
<sst xmlns="http://schemas.openxmlformats.org/spreadsheetml/2006/main" count="362" uniqueCount="165">
  <si>
    <t>R</t>
  </si>
  <si>
    <t>G</t>
  </si>
  <si>
    <t>B</t>
  </si>
  <si>
    <t>Y</t>
  </si>
  <si>
    <t>C</t>
  </si>
  <si>
    <t>M</t>
  </si>
  <si>
    <t>W</t>
  </si>
  <si>
    <t>x</t>
  </si>
  <si>
    <t>y</t>
  </si>
  <si>
    <t>GCD xyY Target locations</t>
  </si>
  <si>
    <t>Y [%]</t>
  </si>
  <si>
    <t>100L,100S</t>
  </si>
  <si>
    <t>100L,75S</t>
  </si>
  <si>
    <t>100L,50S</t>
  </si>
  <si>
    <t>75L,100S</t>
  </si>
  <si>
    <t>75L,75S</t>
  </si>
  <si>
    <t>75L,50S</t>
  </si>
  <si>
    <t>50L,100S</t>
  </si>
  <si>
    <t>50L,75S</t>
  </si>
  <si>
    <t>50L,50S</t>
  </si>
  <si>
    <t>display gamma</t>
  </si>
  <si>
    <t>dark skin</t>
  </si>
  <si>
    <t>light skin</t>
  </si>
  <si>
    <t>blue sky</t>
  </si>
  <si>
    <t>foliage</t>
  </si>
  <si>
    <t>blue flower</t>
  </si>
  <si>
    <t>bluish green</t>
  </si>
  <si>
    <t>orange</t>
  </si>
  <si>
    <t>purplish blue</t>
  </si>
  <si>
    <t>moderate red</t>
  </si>
  <si>
    <t>purple</t>
  </si>
  <si>
    <t>yellow green</t>
  </si>
  <si>
    <t>orange yellow</t>
  </si>
  <si>
    <t>R'</t>
  </si>
  <si>
    <t>G'</t>
  </si>
  <si>
    <t>B'</t>
  </si>
  <si>
    <t>(16-235)</t>
  </si>
  <si>
    <t>Primaries/Secondaries</t>
  </si>
  <si>
    <t>Vectors</t>
  </si>
  <si>
    <t>Companded</t>
  </si>
  <si>
    <t>gamma</t>
  </si>
  <si>
    <t>BT.1886 Caculator</t>
  </si>
  <si>
    <t>a</t>
  </si>
  <si>
    <t>b</t>
  </si>
  <si>
    <t>vc</t>
  </si>
  <si>
    <t>a1</t>
  </si>
  <si>
    <t>a2</t>
  </si>
  <si>
    <t>k</t>
  </si>
  <si>
    <t>White</t>
  </si>
  <si>
    <t>L(1.83%)</t>
  </si>
  <si>
    <t>Black</t>
  </si>
  <si>
    <t>Alt_b</t>
  </si>
  <si>
    <t>Stimulus[%]</t>
  </si>
  <si>
    <t>L Primary</t>
  </si>
  <si>
    <t>L Alternate</t>
  </si>
  <si>
    <t>gamma [primary]</t>
  </si>
  <si>
    <t>gamma [alternate]</t>
  </si>
  <si>
    <t>Note: If black levels are &lt; 0.01 cd/m^2 BT.1886 recommends setting Black=0.0 cd/m^2</t>
  </si>
  <si>
    <t>Peak white of alternate is fixed at 100 cd/m^2 reference</t>
  </si>
  <si>
    <t>http://www.itu.int/dms_pubrec/itu-r/rec/bt/R-REC-BT.1886-0-201103-I!!PDF-E.pdf</t>
  </si>
  <si>
    <t>Normalized</t>
  </si>
  <si>
    <t>gammafied</t>
  </si>
  <si>
    <t>XYZ</t>
  </si>
  <si>
    <t>xyY</t>
  </si>
  <si>
    <t>100/100</t>
  </si>
  <si>
    <t>100/75</t>
  </si>
  <si>
    <t>100/50</t>
  </si>
  <si>
    <t>75/100</t>
  </si>
  <si>
    <t>75/75</t>
  </si>
  <si>
    <t>75/50</t>
  </si>
  <si>
    <t>50/100</t>
  </si>
  <si>
    <t>50/75</t>
  </si>
  <si>
    <t>50/50</t>
  </si>
  <si>
    <t>Color checker</t>
  </si>
  <si>
    <t>Color checker patterns</t>
  </si>
  <si>
    <t>Color Checker Palette</t>
  </si>
  <si>
    <t>BT.709 color matrix</t>
  </si>
  <si>
    <t>Measured luminance</t>
  </si>
  <si>
    <t>Measured gamma</t>
  </si>
  <si>
    <t>average</t>
  </si>
  <si>
    <t>interpolated gamma</t>
  </si>
  <si>
    <t>zoyd@avsforum</t>
  </si>
  <si>
    <t>Flat gamma</t>
  </si>
  <si>
    <t>Measured gamma LUT</t>
  </si>
  <si>
    <t>normalized luminance</t>
  </si>
  <si>
    <t>&lt;-Enter 100%  white Y</t>
  </si>
  <si>
    <t>Measured</t>
  </si>
  <si>
    <t>L</t>
  </si>
  <si>
    <t>X</t>
  </si>
  <si>
    <t>Z</t>
  </si>
  <si>
    <t>xr</t>
  </si>
  <si>
    <t>yr</t>
  </si>
  <si>
    <t>zr</t>
  </si>
  <si>
    <t>fx</t>
  </si>
  <si>
    <t>fy</t>
  </si>
  <si>
    <t>fz</t>
  </si>
  <si>
    <t>SL</t>
  </si>
  <si>
    <t>Sc</t>
  </si>
  <si>
    <t>sl</t>
  </si>
  <si>
    <t>sc</t>
  </si>
  <si>
    <t>sh</t>
  </si>
  <si>
    <t>D65</t>
  </si>
  <si>
    <t>e</t>
  </si>
  <si>
    <t>gamma low</t>
  </si>
  <si>
    <t>gamma high</t>
  </si>
  <si>
    <t>gap ratio</t>
  </si>
  <si>
    <t>bracket low</t>
  </si>
  <si>
    <t>bracket high</t>
  </si>
  <si>
    <t>interpolated stimulus</t>
  </si>
  <si>
    <t>Enter 10 or 20 step grey scale Y's here</t>
  </si>
  <si>
    <t>ΔL</t>
  </si>
  <si>
    <t>ΔC</t>
  </si>
  <si>
    <t>ΔH</t>
  </si>
  <si>
    <t>ΔE94</t>
  </si>
  <si>
    <r>
      <t>100% Y [cd/m</t>
    </r>
    <r>
      <rPr>
        <b/>
        <vertAlign val="superscript"/>
        <sz val="12"/>
        <color theme="1"/>
        <rFont val="Calibri"/>
        <scheme val="minor"/>
      </rPr>
      <t>2</t>
    </r>
    <r>
      <rPr>
        <b/>
        <sz val="12"/>
        <color theme="1"/>
        <rFont val="Calibri"/>
        <family val="2"/>
        <scheme val="minor"/>
      </rPr>
      <t>]</t>
    </r>
  </si>
  <si>
    <r>
      <t>Y [cd/m</t>
    </r>
    <r>
      <rPr>
        <b/>
        <vertAlign val="superscript"/>
        <sz val="12"/>
        <color theme="1"/>
        <rFont val="Calibri"/>
        <scheme val="minor"/>
      </rPr>
      <t>2</t>
    </r>
    <r>
      <rPr>
        <b/>
        <sz val="12"/>
        <color theme="1"/>
        <rFont val="Calibri"/>
        <family val="2"/>
        <scheme val="minor"/>
      </rPr>
      <t>]</t>
    </r>
  </si>
  <si>
    <r>
      <t>Y [cd/m</t>
    </r>
    <r>
      <rPr>
        <vertAlign val="superscript"/>
        <sz val="12"/>
        <color theme="1"/>
        <rFont val="Calibri"/>
        <scheme val="minor"/>
      </rPr>
      <t>2</t>
    </r>
    <r>
      <rPr>
        <sz val="12"/>
        <color theme="1"/>
        <rFont val="Calibri"/>
        <family val="2"/>
        <scheme val="minor"/>
      </rPr>
      <t>]</t>
    </r>
  </si>
  <si>
    <r>
      <t>Y [cd/m</t>
    </r>
    <r>
      <rPr>
        <b/>
        <vertAlign val="superscript"/>
        <sz val="12"/>
        <color rgb="FF000000"/>
        <rFont val="Calibri"/>
        <scheme val="minor"/>
      </rPr>
      <t>2</t>
    </r>
    <r>
      <rPr>
        <b/>
        <sz val="12"/>
        <color rgb="FF000000"/>
        <rFont val="Calibri"/>
        <family val="2"/>
        <scheme val="minor"/>
      </rPr>
      <t>]</t>
    </r>
  </si>
  <si>
    <t>dE94</t>
  </si>
  <si>
    <t>dE2000</t>
  </si>
  <si>
    <t>reference</t>
  </si>
  <si>
    <t>measured</t>
  </si>
  <si>
    <t>C1</t>
  </si>
  <si>
    <t>C2</t>
  </si>
  <si>
    <t>cbar</t>
  </si>
  <si>
    <t>a1'</t>
  </si>
  <si>
    <t>a2'</t>
  </si>
  <si>
    <t>c1'</t>
  </si>
  <si>
    <t>c2'</t>
  </si>
  <si>
    <t>cbar'</t>
  </si>
  <si>
    <t>h1'</t>
  </si>
  <si>
    <t>h2'</t>
  </si>
  <si>
    <t>hbar'</t>
  </si>
  <si>
    <t>T</t>
  </si>
  <si>
    <t>delh'</t>
  </si>
  <si>
    <t>delL'</t>
  </si>
  <si>
    <t>delC'</t>
  </si>
  <si>
    <t>delH'</t>
  </si>
  <si>
    <t>Sh</t>
  </si>
  <si>
    <t>deltheta</t>
  </si>
  <si>
    <t>Rc</t>
  </si>
  <si>
    <t>Rt</t>
  </si>
  <si>
    <t>Lbar'</t>
  </si>
  <si>
    <t>dE</t>
  </si>
  <si>
    <t>ΔE2000</t>
  </si>
  <si>
    <t xml:space="preserve">Enter xyY values - uses peak white </t>
  </si>
  <si>
    <t>from above for normalization and assumes D65</t>
  </si>
  <si>
    <t>Average</t>
  </si>
  <si>
    <t>Min</t>
  </si>
  <si>
    <t>Max</t>
  </si>
  <si>
    <t>&lt;-Adjust this to get luminance of measured</t>
  </si>
  <si>
    <t xml:space="preserve"> 1.83% pattern for alternate CRT emulation</t>
  </si>
  <si>
    <t>adjust 10 pt controls to hit L primary targets</t>
  </si>
  <si>
    <t>Enter Peak white and mll values and then</t>
  </si>
  <si>
    <t>BT.601 color matrix</t>
  </si>
  <si>
    <t>BT.709</t>
  </si>
  <si>
    <t>BT.601</t>
  </si>
  <si>
    <t>10-100%</t>
  </si>
  <si>
    <t>u</t>
  </si>
  <si>
    <t>v</t>
  </si>
  <si>
    <t>u'</t>
  </si>
  <si>
    <t>v'</t>
  </si>
  <si>
    <t>delu'</t>
  </si>
  <si>
    <t>delv'</t>
  </si>
  <si>
    <t>Target Coordinates for EBU color grading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</si>
</sst>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.0%"/>
    <numFmt numFmtId="167" formatCode="0.0000"/>
    <numFmt numFmtId="168" formatCode="0.000E+00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b/>
      <sz val="12"/>
      <color rgb="FFFFFF00"/>
      <name val="Calibri"/>
      <scheme val="minor"/>
    </font>
    <font>
      <b/>
      <sz val="14"/>
      <color rgb="FF000000"/>
      <name val="Calibri"/>
      <scheme val="minor"/>
    </font>
    <font>
      <sz val="12"/>
      <color rgb="FFFFFF00"/>
      <name val="Calibri"/>
      <scheme val="minor"/>
    </font>
    <font>
      <sz val="14"/>
      <color theme="1"/>
      <name val="Calibri"/>
      <family val="2"/>
      <scheme val="minor"/>
    </font>
    <font>
      <b/>
      <sz val="12"/>
      <color indexed="9"/>
      <name val="Times New Roman"/>
    </font>
    <font>
      <b/>
      <sz val="12"/>
      <name val="Times New Roman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FFFF00"/>
      <name val="Calibri"/>
      <scheme val="minor"/>
    </font>
    <font>
      <sz val="12"/>
      <name val="Calibri"/>
      <scheme val="minor"/>
    </font>
    <font>
      <b/>
      <sz val="12"/>
      <color rgb="FFFFFF00"/>
      <name val="Cambria"/>
      <scheme val="major"/>
    </font>
    <font>
      <b/>
      <vertAlign val="superscript"/>
      <sz val="12"/>
      <color theme="1"/>
      <name val="Calibri"/>
      <scheme val="minor"/>
    </font>
    <font>
      <vertAlign val="superscript"/>
      <sz val="12"/>
      <color theme="1"/>
      <name val="Calibri"/>
      <scheme val="minor"/>
    </font>
    <font>
      <b/>
      <vertAlign val="superscript"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0"/>
      <color indexed="10"/>
      <name val="Arial"/>
      <family val="2"/>
    </font>
    <font>
      <sz val="10"/>
      <color indexed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86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Fill="1" applyBorder="1"/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/>
    <xf numFmtId="164" fontId="1" fillId="0" borderId="6" xfId="0" applyNumberFormat="1" applyFont="1" applyBorder="1"/>
    <xf numFmtId="165" fontId="1" fillId="0" borderId="4" xfId="0" applyNumberFormat="1" applyFont="1" applyBorder="1"/>
    <xf numFmtId="165" fontId="1" fillId="0" borderId="7" xfId="0" applyNumberFormat="1" applyFont="1" applyBorder="1"/>
    <xf numFmtId="166" fontId="1" fillId="0" borderId="1" xfId="0" applyNumberFormat="1" applyFont="1" applyBorder="1"/>
    <xf numFmtId="166" fontId="1" fillId="0" borderId="6" xfId="0" applyNumberFormat="1" applyFont="1" applyBorder="1"/>
    <xf numFmtId="166" fontId="1" fillId="0" borderId="0" xfId="0" applyNumberFormat="1" applyFont="1" applyFill="1" applyBorder="1" applyAlignment="1">
      <alignment wrapText="1"/>
    </xf>
    <xf numFmtId="166" fontId="0" fillId="0" borderId="0" xfId="0" applyNumberFormat="1"/>
    <xf numFmtId="166" fontId="1" fillId="0" borderId="2" xfId="0" applyNumberFormat="1" applyFont="1" applyBorder="1"/>
    <xf numFmtId="3" fontId="7" fillId="15" borderId="11" xfId="0" applyNumberFormat="1" applyFont="1" applyFill="1" applyBorder="1" applyAlignment="1">
      <alignment horizontal="center"/>
    </xf>
    <xf numFmtId="0" fontId="0" fillId="17" borderId="0" xfId="0" applyFill="1"/>
    <xf numFmtId="166" fontId="0" fillId="17" borderId="0" xfId="0" applyNumberFormat="1" applyFill="1"/>
    <xf numFmtId="3" fontId="7" fillId="15" borderId="2" xfId="0" applyNumberFormat="1" applyFont="1" applyFill="1" applyBorder="1" applyAlignment="1">
      <alignment horizontal="center"/>
    </xf>
    <xf numFmtId="0" fontId="4" fillId="0" borderId="2" xfId="0" applyFont="1" applyBorder="1"/>
    <xf numFmtId="165" fontId="1" fillId="0" borderId="1" xfId="0" applyNumberFormat="1" applyFont="1" applyBorder="1"/>
    <xf numFmtId="165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165" fontId="1" fillId="0" borderId="12" xfId="0" applyNumberFormat="1" applyFont="1" applyBorder="1"/>
    <xf numFmtId="165" fontId="1" fillId="0" borderId="13" xfId="0" applyNumberFormat="1" applyFont="1" applyBorder="1"/>
    <xf numFmtId="3" fontId="7" fillId="15" borderId="8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/>
    <xf numFmtId="0" fontId="8" fillId="0" borderId="0" xfId="0" applyFont="1" applyFill="1" applyBorder="1"/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16" borderId="1" xfId="0" applyFill="1" applyBorder="1"/>
    <xf numFmtId="164" fontId="0" fillId="16" borderId="1" xfId="0" applyNumberFormat="1" applyFill="1" applyBorder="1"/>
    <xf numFmtId="164" fontId="0" fillId="16" borderId="0" xfId="0" applyNumberFormat="1" applyFill="1"/>
    <xf numFmtId="0" fontId="0" fillId="0" borderId="0" xfId="0" applyBorder="1"/>
    <xf numFmtId="0" fontId="10" fillId="0" borderId="1" xfId="0" applyFont="1" applyBorder="1"/>
    <xf numFmtId="49" fontId="9" fillId="31" borderId="16" xfId="0" applyNumberFormat="1" applyFont="1" applyFill="1" applyBorder="1" applyAlignment="1">
      <alignment wrapText="1"/>
    </xf>
    <xf numFmtId="0" fontId="0" fillId="30" borderId="17" xfId="0" applyFill="1" applyBorder="1"/>
    <xf numFmtId="0" fontId="0" fillId="30" borderId="17" xfId="0" applyFill="1" applyBorder="1" applyAlignment="1">
      <alignment wrapText="1"/>
    </xf>
    <xf numFmtId="0" fontId="0" fillId="0" borderId="0" xfId="0" applyAlignment="1">
      <alignment wrapText="1"/>
    </xf>
    <xf numFmtId="0" fontId="0" fillId="14" borderId="0" xfId="0" applyFill="1"/>
    <xf numFmtId="0" fontId="0" fillId="33" borderId="0" xfId="0" applyFill="1"/>
    <xf numFmtId="0" fontId="0" fillId="0" borderId="0" xfId="0" applyProtection="1">
      <protection hidden="1"/>
    </xf>
    <xf numFmtId="0" fontId="14" fillId="0" borderId="0" xfId="0" quotePrefix="1" applyFont="1" applyProtection="1">
      <protection hidden="1"/>
    </xf>
    <xf numFmtId="0" fontId="0" fillId="30" borderId="0" xfId="0" applyFill="1" applyProtection="1">
      <protection locked="0"/>
    </xf>
    <xf numFmtId="0" fontId="0" fillId="33" borderId="0" xfId="0" applyFill="1" applyProtection="1"/>
    <xf numFmtId="0" fontId="4" fillId="33" borderId="0" xfId="0" applyFont="1" applyFill="1" applyProtection="1"/>
    <xf numFmtId="0" fontId="5" fillId="33" borderId="0" xfId="0" applyFont="1" applyFill="1" applyProtection="1"/>
    <xf numFmtId="166" fontId="0" fillId="0" borderId="0" xfId="0" applyNumberFormat="1" applyProtection="1">
      <protection hidden="1"/>
    </xf>
    <xf numFmtId="166" fontId="16" fillId="0" borderId="0" xfId="0" applyNumberFormat="1" applyFont="1" applyProtection="1">
      <protection hidden="1"/>
    </xf>
    <xf numFmtId="1" fontId="13" fillId="0" borderId="0" xfId="0" applyNumberFormat="1" applyFont="1" applyProtection="1">
      <protection locked="0" hidden="1"/>
    </xf>
    <xf numFmtId="10" fontId="0" fillId="0" borderId="0" xfId="0" applyNumberFormat="1"/>
    <xf numFmtId="0" fontId="10" fillId="0" borderId="1" xfId="0" applyFont="1" applyFill="1" applyBorder="1"/>
    <xf numFmtId="0" fontId="11" fillId="18" borderId="18" xfId="0" applyFont="1" applyFill="1" applyBorder="1" applyAlignment="1">
      <alignment vertical="center"/>
    </xf>
    <xf numFmtId="0" fontId="12" fillId="19" borderId="19" xfId="0" applyFont="1" applyFill="1" applyBorder="1" applyAlignment="1">
      <alignment vertical="center"/>
    </xf>
    <xf numFmtId="0" fontId="12" fillId="20" borderId="19" xfId="0" applyFont="1" applyFill="1" applyBorder="1" applyAlignment="1">
      <alignment vertical="center"/>
    </xf>
    <xf numFmtId="0" fontId="11" fillId="21" borderId="19" xfId="0" applyFont="1" applyFill="1" applyBorder="1" applyAlignment="1">
      <alignment vertical="center"/>
    </xf>
    <xf numFmtId="0" fontId="12" fillId="22" borderId="19" xfId="0" applyFont="1" applyFill="1" applyBorder="1" applyAlignment="1">
      <alignment vertical="center"/>
    </xf>
    <xf numFmtId="0" fontId="12" fillId="23" borderId="19" xfId="0" applyFont="1" applyFill="1" applyBorder="1" applyAlignment="1">
      <alignment vertical="center"/>
    </xf>
    <xf numFmtId="0" fontId="12" fillId="24" borderId="19" xfId="0" applyFont="1" applyFill="1" applyBorder="1" applyAlignment="1">
      <alignment vertical="center"/>
    </xf>
    <xf numFmtId="0" fontId="11" fillId="25" borderId="19" xfId="0" applyFont="1" applyFill="1" applyBorder="1" applyAlignment="1">
      <alignment vertical="center"/>
    </xf>
    <xf numFmtId="0" fontId="11" fillId="26" borderId="19" xfId="0" applyFont="1" applyFill="1" applyBorder="1" applyAlignment="1">
      <alignment vertical="center"/>
    </xf>
    <xf numFmtId="0" fontId="11" fillId="27" borderId="19" xfId="0" applyFont="1" applyFill="1" applyBorder="1" applyAlignment="1">
      <alignment vertical="center"/>
    </xf>
    <xf numFmtId="0" fontId="12" fillId="28" borderId="19" xfId="0" applyFont="1" applyFill="1" applyBorder="1" applyAlignment="1">
      <alignment vertical="center"/>
    </xf>
    <xf numFmtId="0" fontId="12" fillId="29" borderId="20" xfId="0" applyFont="1" applyFill="1" applyBorder="1" applyAlignment="1">
      <alignment vertical="center"/>
    </xf>
    <xf numFmtId="164" fontId="1" fillId="0" borderId="17" xfId="0" applyNumberFormat="1" applyFont="1" applyBorder="1"/>
    <xf numFmtId="10" fontId="1" fillId="0" borderId="17" xfId="0" applyNumberFormat="1" applyFont="1" applyBorder="1"/>
    <xf numFmtId="164" fontId="1" fillId="0" borderId="16" xfId="0" applyNumberFormat="1" applyFont="1" applyBorder="1"/>
    <xf numFmtId="10" fontId="1" fillId="0" borderId="16" xfId="0" applyNumberFormat="1" applyFont="1" applyBorder="1"/>
    <xf numFmtId="164" fontId="1" fillId="0" borderId="21" xfId="0" applyNumberFormat="1" applyFont="1" applyBorder="1"/>
    <xf numFmtId="10" fontId="1" fillId="0" borderId="21" xfId="0" applyNumberFormat="1" applyFont="1" applyBorder="1"/>
    <xf numFmtId="0" fontId="5" fillId="35" borderId="0" xfId="0" applyFont="1" applyFill="1"/>
    <xf numFmtId="0" fontId="0" fillId="0" borderId="0" xfId="0" quotePrefix="1"/>
    <xf numFmtId="10" fontId="1" fillId="35" borderId="1" xfId="0" applyNumberFormat="1" applyFont="1" applyFill="1" applyBorder="1"/>
    <xf numFmtId="164" fontId="0" fillId="35" borderId="1" xfId="0" applyNumberFormat="1" applyFill="1" applyBorder="1"/>
    <xf numFmtId="0" fontId="1" fillId="36" borderId="23" xfId="0" applyFont="1" applyFill="1" applyBorder="1" applyAlignment="1">
      <alignment wrapText="1"/>
    </xf>
    <xf numFmtId="0" fontId="1" fillId="36" borderId="24" xfId="0" applyFont="1" applyFill="1" applyBorder="1" applyAlignment="1">
      <alignment wrapText="1"/>
    </xf>
    <xf numFmtId="164" fontId="1" fillId="0" borderId="0" xfId="0" applyNumberFormat="1" applyFont="1" applyBorder="1"/>
    <xf numFmtId="0" fontId="0" fillId="36" borderId="14" xfId="0" applyFont="1" applyFill="1" applyBorder="1" applyAlignment="1">
      <alignment wrapText="1"/>
    </xf>
    <xf numFmtId="0" fontId="4" fillId="37" borderId="0" xfId="0" applyFont="1" applyFill="1" applyBorder="1" applyAlignment="1">
      <alignment wrapText="1"/>
    </xf>
    <xf numFmtId="9" fontId="0" fillId="35" borderId="1" xfId="0" applyNumberFormat="1" applyFill="1" applyBorder="1"/>
    <xf numFmtId="2" fontId="0" fillId="35" borderId="1" xfId="0" applyNumberFormat="1" applyFill="1" applyBorder="1"/>
    <xf numFmtId="0" fontId="0" fillId="35" borderId="1" xfId="0" applyFill="1" applyBorder="1"/>
    <xf numFmtId="2" fontId="0" fillId="35" borderId="1" xfId="0" applyNumberFormat="1" applyFont="1" applyFill="1" applyBorder="1"/>
    <xf numFmtId="2" fontId="17" fillId="34" borderId="17" xfId="0" applyNumberFormat="1" applyFont="1" applyFill="1" applyBorder="1" applyAlignment="1">
      <alignment horizontal="center"/>
    </xf>
    <xf numFmtId="2" fontId="17" fillId="34" borderId="16" xfId="0" applyNumberFormat="1" applyFont="1" applyFill="1" applyBorder="1" applyAlignment="1">
      <alignment horizontal="center"/>
    </xf>
    <xf numFmtId="2" fontId="17" fillId="34" borderId="21" xfId="0" applyNumberFormat="1" applyFont="1" applyFill="1" applyBorder="1" applyAlignment="1">
      <alignment horizontal="center"/>
    </xf>
    <xf numFmtId="165" fontId="1" fillId="0" borderId="17" xfId="0" applyNumberFormat="1" applyFont="1" applyBorder="1"/>
    <xf numFmtId="165" fontId="1" fillId="0" borderId="16" xfId="0" applyNumberFormat="1" applyFont="1" applyBorder="1"/>
    <xf numFmtId="165" fontId="1" fillId="0" borderId="21" xfId="0" applyNumberFormat="1" applyFont="1" applyBorder="1"/>
    <xf numFmtId="2" fontId="1" fillId="35" borderId="1" xfId="0" applyNumberFormat="1" applyFont="1" applyFill="1" applyBorder="1"/>
    <xf numFmtId="164" fontId="0" fillId="0" borderId="0" xfId="0" applyNumberFormat="1"/>
    <xf numFmtId="168" fontId="0" fillId="0" borderId="0" xfId="0" applyNumberFormat="1"/>
    <xf numFmtId="167" fontId="5" fillId="0" borderId="0" xfId="0" applyNumberFormat="1" applyFont="1"/>
    <xf numFmtId="0" fontId="7" fillId="38" borderId="0" xfId="0" applyFont="1" applyFill="1"/>
    <xf numFmtId="2" fontId="7" fillId="39" borderId="0" xfId="0" applyNumberFormat="1" applyFont="1" applyFill="1"/>
    <xf numFmtId="2" fontId="7" fillId="39" borderId="0" xfId="0" applyNumberFormat="1" applyFont="1" applyFill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21" xfId="0" applyBorder="1"/>
    <xf numFmtId="2" fontId="0" fillId="0" borderId="16" xfId="0" applyNumberFormat="1" applyBorder="1"/>
    <xf numFmtId="0" fontId="21" fillId="40" borderId="0" xfId="0" applyFont="1" applyFill="1"/>
    <xf numFmtId="0" fontId="13" fillId="0" borderId="0" xfId="0" quotePrefix="1" applyFont="1" applyProtection="1">
      <protection hidden="1"/>
    </xf>
    <xf numFmtId="0" fontId="13" fillId="0" borderId="0" xfId="0" applyFont="1"/>
    <xf numFmtId="0" fontId="16" fillId="0" borderId="0" xfId="0" applyFont="1"/>
    <xf numFmtId="0" fontId="1" fillId="41" borderId="0" xfId="0" applyFont="1" applyFill="1" applyAlignment="1">
      <alignment wrapText="1"/>
    </xf>
    <xf numFmtId="0" fontId="5" fillId="41" borderId="0" xfId="0" applyFont="1" applyFill="1" applyProtection="1">
      <protection locked="0"/>
    </xf>
    <xf numFmtId="0" fontId="5" fillId="41" borderId="10" xfId="0" applyFont="1" applyFill="1" applyBorder="1" applyProtection="1">
      <protection locked="0"/>
    </xf>
    <xf numFmtId="0" fontId="1" fillId="41" borderId="9" xfId="0" applyFont="1" applyFill="1" applyBorder="1" applyAlignment="1">
      <alignment wrapText="1"/>
    </xf>
    <xf numFmtId="9" fontId="0" fillId="0" borderId="0" xfId="0" applyNumberFormat="1"/>
    <xf numFmtId="0" fontId="15" fillId="32" borderId="2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10" fillId="33" borderId="0" xfId="0" applyFont="1" applyFill="1" applyAlignment="1"/>
    <xf numFmtId="166" fontId="13" fillId="0" borderId="0" xfId="0" applyNumberFormat="1" applyFont="1" applyFill="1" applyAlignment="1" applyProtection="1">
      <protection hidden="1"/>
    </xf>
    <xf numFmtId="0" fontId="13" fillId="0" borderId="0" xfId="0" applyFont="1" applyFill="1" applyAlignment="1" applyProtection="1">
      <protection hidden="1"/>
    </xf>
    <xf numFmtId="0" fontId="13" fillId="0" borderId="0" xfId="0" applyFont="1" applyFill="1" applyBorder="1" applyAlignment="1" applyProtection="1">
      <protection hidden="1"/>
    </xf>
    <xf numFmtId="167" fontId="0" fillId="0" borderId="0" xfId="0" applyNumberFormat="1" applyBorder="1"/>
    <xf numFmtId="0" fontId="0" fillId="0" borderId="0" xfId="0" applyFill="1" applyBorder="1"/>
    <xf numFmtId="164" fontId="22" fillId="0" borderId="0" xfId="0" applyNumberFormat="1" applyFont="1" applyFill="1" applyBorder="1" applyAlignment="1" applyProtection="1">
      <alignment horizontal="center"/>
      <protection locked="0"/>
    </xf>
    <xf numFmtId="164" fontId="22" fillId="0" borderId="0" xfId="0" applyNumberFormat="1" applyFont="1" applyFill="1" applyBorder="1" applyProtection="1">
      <protection locked="0"/>
    </xf>
    <xf numFmtId="0" fontId="0" fillId="0" borderId="0" xfId="0" applyFill="1" applyBorder="1" applyAlignment="1">
      <alignment horizontal="center"/>
    </xf>
    <xf numFmtId="164" fontId="23" fillId="0" borderId="0" xfId="0" applyNumberFormat="1" applyFont="1" applyFill="1" applyBorder="1" applyAlignment="1" applyProtection="1">
      <alignment horizontal="center"/>
    </xf>
  </cellXfs>
  <cellStyles count="8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Normal" xfId="0" builtinId="0"/>
  </cellStyles>
  <dxfs count="0"/>
  <tableStyles count="0" defaultTableStyle="TableStyleMedium9" defaultPivotStyle="PivotStyleMedium4"/>
  <colors>
    <mruColors>
      <color rgb="FFFF00FF"/>
      <color rgb="FF00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Δ</a:t>
            </a:r>
            <a:r>
              <a:rPr lang="en-US"/>
              <a:t>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65391768513598"/>
          <c:y val="0.235051546391753"/>
          <c:w val="0.916157915076566"/>
          <c:h val="0.404212192548096"/>
        </c:manualLayout>
      </c:layout>
      <c:barChart>
        <c:barDir val="col"/>
        <c:grouping val="clustered"/>
        <c:varyColors val="0"/>
        <c:ser>
          <c:idx val="0"/>
          <c:order val="0"/>
          <c:tx>
            <c:v>dE94</c:v>
          </c:tx>
          <c:spPr>
            <a:effectLst>
              <a:glow rad="101600">
                <a:schemeClr val="accent2">
                  <a:alpha val="75000"/>
                </a:schemeClr>
              </a:glow>
            </a:effectLst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Targets'!$O$34:$O$45</c:f>
              <c:numCache>
                <c:formatCode>0.00</c:formatCode>
                <c:ptCount val="12"/>
                <c:pt idx="0">
                  <c:v>0.774206247931996</c:v>
                </c:pt>
                <c:pt idx="1">
                  <c:v>1.442209758593784</c:v>
                </c:pt>
                <c:pt idx="2">
                  <c:v>1.03642513851263</c:v>
                </c:pt>
                <c:pt idx="3">
                  <c:v>1.181054627925984</c:v>
                </c:pt>
                <c:pt idx="4">
                  <c:v>1.256366234281573</c:v>
                </c:pt>
                <c:pt idx="5">
                  <c:v>0.67858260018933</c:v>
                </c:pt>
                <c:pt idx="6">
                  <c:v>0.856477154646998</c:v>
                </c:pt>
                <c:pt idx="7">
                  <c:v>0.582755584942761</c:v>
                </c:pt>
                <c:pt idx="8">
                  <c:v>1.043515328073464</c:v>
                </c:pt>
                <c:pt idx="9">
                  <c:v>1.041407330439794</c:v>
                </c:pt>
                <c:pt idx="10">
                  <c:v>0.529500858460766</c:v>
                </c:pt>
                <c:pt idx="11">
                  <c:v>0.661984673891448</c:v>
                </c:pt>
              </c:numCache>
            </c:numRef>
          </c:val>
        </c:ser>
        <c:ser>
          <c:idx val="1"/>
          <c:order val="1"/>
          <c:tx>
            <c:v>dE2000</c:v>
          </c:tx>
          <c:spPr>
            <a:effectLst>
              <a:glow rad="101600">
                <a:schemeClr val="tx2">
                  <a:lumMod val="60000"/>
                  <a:lumOff val="40000"/>
                  <a:alpha val="75000"/>
                </a:schemeClr>
              </a:glow>
            </a:effectLst>
          </c:spPr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Targets'!$P$34:$P$45</c:f>
              <c:numCache>
                <c:formatCode>0.00</c:formatCode>
                <c:ptCount val="12"/>
                <c:pt idx="0">
                  <c:v>0.80704163865283</c:v>
                </c:pt>
                <c:pt idx="1">
                  <c:v>1.516627819310863</c:v>
                </c:pt>
                <c:pt idx="2">
                  <c:v>1.169302150027325</c:v>
                </c:pt>
                <c:pt idx="3">
                  <c:v>1.187713224004926</c:v>
                </c:pt>
                <c:pt idx="4">
                  <c:v>1.239050442064129</c:v>
                </c:pt>
                <c:pt idx="5">
                  <c:v>0.609159184146495</c:v>
                </c:pt>
                <c:pt idx="6">
                  <c:v>0.73870332718322</c:v>
                </c:pt>
                <c:pt idx="7">
                  <c:v>0.537320011536772</c:v>
                </c:pt>
                <c:pt idx="8">
                  <c:v>1.172923779741826</c:v>
                </c:pt>
                <c:pt idx="9">
                  <c:v>0.975202805162327</c:v>
                </c:pt>
                <c:pt idx="10">
                  <c:v>0.511144255807235</c:v>
                </c:pt>
                <c:pt idx="11">
                  <c:v>0.626029061464054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847720"/>
        <c:axId val="571850872"/>
      </c:barChart>
      <c:catAx>
        <c:axId val="5718477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 i="0">
                <a:solidFill>
                  <a:schemeClr val="tx2"/>
                </a:solidFill>
              </a:defRPr>
            </a:pPr>
            <a:endParaRPr lang="en-US"/>
          </a:p>
        </c:txPr>
        <c:crossAx val="571850872"/>
        <c:crosses val="autoZero"/>
        <c:auto val="1"/>
        <c:lblAlgn val="ctr"/>
        <c:lblOffset val="100"/>
        <c:noMultiLvlLbl val="0"/>
      </c:catAx>
      <c:valAx>
        <c:axId val="571850872"/>
        <c:scaling>
          <c:orientation val="minMax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1100" b="1" i="0"/>
            </a:pPr>
            <a:endParaRPr lang="en-US"/>
          </a:p>
        </c:txPr>
        <c:crossAx val="571847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60437660016424"/>
          <c:y val="0.0681293124441919"/>
          <c:w val="0.176985652867011"/>
          <c:h val="0.207040344183781"/>
        </c:manualLayout>
      </c:layout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40091968503937"/>
          <c:y val="0.0"/>
          <c:w val="0.919941496798881"/>
          <c:h val="0.852228847116654"/>
        </c:manualLayout>
      </c:layout>
      <c:barChart>
        <c:barDir val="col"/>
        <c:grouping val="clustered"/>
        <c:varyColors val="0"/>
        <c:ser>
          <c:idx val="0"/>
          <c:order val="0"/>
          <c:tx>
            <c:v>Lightness</c:v>
          </c:tx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Targets'!$L$34:$L$45</c:f>
              <c:numCache>
                <c:formatCode>0.00</c:formatCode>
                <c:ptCount val="12"/>
                <c:pt idx="0">
                  <c:v>-0.302464826285302</c:v>
                </c:pt>
                <c:pt idx="1">
                  <c:v>-0.429088423144677</c:v>
                </c:pt>
                <c:pt idx="2">
                  <c:v>-0.669977449494667</c:v>
                </c:pt>
                <c:pt idx="3">
                  <c:v>0.0332809910665759</c:v>
                </c:pt>
                <c:pt idx="4">
                  <c:v>-0.743071545689617</c:v>
                </c:pt>
                <c:pt idx="5">
                  <c:v>-0.477370987350795</c:v>
                </c:pt>
                <c:pt idx="6">
                  <c:v>0.849630555565326</c:v>
                </c:pt>
                <c:pt idx="7">
                  <c:v>-0.122928421305929</c:v>
                </c:pt>
                <c:pt idx="8">
                  <c:v>0.641742157727236</c:v>
                </c:pt>
                <c:pt idx="9">
                  <c:v>-0.535674550337696</c:v>
                </c:pt>
                <c:pt idx="10">
                  <c:v>0.205720646756006</c:v>
                </c:pt>
                <c:pt idx="11">
                  <c:v>0.288676619375437</c:v>
                </c:pt>
              </c:numCache>
            </c:numRef>
          </c:val>
        </c:ser>
        <c:ser>
          <c:idx val="1"/>
          <c:order val="1"/>
          <c:tx>
            <c:v>Chromaticity</c:v>
          </c:tx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Targets'!$M$34:$M$45</c:f>
              <c:numCache>
                <c:formatCode>0.00</c:formatCode>
                <c:ptCount val="12"/>
                <c:pt idx="0">
                  <c:v>1.311614331442854</c:v>
                </c:pt>
                <c:pt idx="1">
                  <c:v>2.492956890602056</c:v>
                </c:pt>
                <c:pt idx="2">
                  <c:v>0.696068272157266</c:v>
                </c:pt>
                <c:pt idx="3">
                  <c:v>2.481012619446322</c:v>
                </c:pt>
                <c:pt idx="4">
                  <c:v>1.968044380929861</c:v>
                </c:pt>
                <c:pt idx="5">
                  <c:v>-0.952133241902175</c:v>
                </c:pt>
                <c:pt idx="6">
                  <c:v>-0.393513631694503</c:v>
                </c:pt>
                <c:pt idx="7">
                  <c:v>0.950062070620923</c:v>
                </c:pt>
                <c:pt idx="8">
                  <c:v>0.882572932910257</c:v>
                </c:pt>
                <c:pt idx="9">
                  <c:v>2.119806226506686</c:v>
                </c:pt>
                <c:pt idx="10">
                  <c:v>-1.812274749871477</c:v>
                </c:pt>
                <c:pt idx="11">
                  <c:v>-0.704704866429893</c:v>
                </c:pt>
              </c:numCache>
            </c:numRef>
          </c:val>
        </c:ser>
        <c:ser>
          <c:idx val="2"/>
          <c:order val="2"/>
          <c:tx>
            <c:v>Hue</c:v>
          </c:tx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Targets'!$N$34:$N$45</c:f>
              <c:numCache>
                <c:formatCode>0.00</c:formatCode>
                <c:ptCount val="12"/>
                <c:pt idx="0">
                  <c:v>0.0688168286054909</c:v>
                </c:pt>
                <c:pt idx="1">
                  <c:v>0.989827452036737</c:v>
                </c:pt>
                <c:pt idx="2">
                  <c:v>0.933550509860264</c:v>
                </c:pt>
                <c:pt idx="3">
                  <c:v>0.42728555594388</c:v>
                </c:pt>
                <c:pt idx="4">
                  <c:v>0.672719501430232</c:v>
                </c:pt>
                <c:pt idx="5">
                  <c:v>0.450515483341342</c:v>
                </c:pt>
                <c:pt idx="6">
                  <c:v>0.0808029296616276</c:v>
                </c:pt>
                <c:pt idx="7">
                  <c:v>0.82462744065923</c:v>
                </c:pt>
                <c:pt idx="8">
                  <c:v>1.364844729037273</c:v>
                </c:pt>
                <c:pt idx="9">
                  <c:v>0.235626301217797</c:v>
                </c:pt>
                <c:pt idx="10">
                  <c:v>0.3037319557644</c:v>
                </c:pt>
                <c:pt idx="11">
                  <c:v>1.156840788295749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893368"/>
        <c:axId val="571896376"/>
      </c:barChart>
      <c:catAx>
        <c:axId val="5718933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vert="horz" anchor="b" anchorCtr="1"/>
          <a:lstStyle/>
          <a:p>
            <a:pPr>
              <a:defRPr sz="1100" b="1"/>
            </a:pPr>
            <a:endParaRPr lang="en-US"/>
          </a:p>
        </c:txPr>
        <c:crossAx val="571896376"/>
        <c:crosses val="autoZero"/>
        <c:auto val="1"/>
        <c:lblAlgn val="ctr"/>
        <c:lblOffset val="100"/>
        <c:tickMarkSkip val="1"/>
        <c:noMultiLvlLbl val="0"/>
      </c:catAx>
      <c:valAx>
        <c:axId val="571896376"/>
        <c:scaling>
          <c:orientation val="minMax"/>
        </c:scaling>
        <c:delete val="0"/>
        <c:axPos val="r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71893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221207962322467"/>
          <c:y val="0.818225606414583"/>
          <c:w val="0.454804498736723"/>
          <c:h val="0.180398315595166"/>
        </c:manualLayout>
      </c:layout>
      <c:overlay val="0"/>
      <c:txPr>
        <a:bodyPr/>
        <a:lstStyle/>
        <a:p>
          <a:pPr rtl="0">
            <a:defRPr sz="14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GCD Coverage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570595660275"/>
          <c:y val="0.162200768564217"/>
          <c:w val="0.824239105607982"/>
          <c:h val="0.712009757751573"/>
        </c:manualLayout>
      </c:layout>
      <c:scatterChart>
        <c:scatterStyle val="lineMarker"/>
        <c:varyColors val="0"/>
        <c:ser>
          <c:idx val="0"/>
          <c:order val="0"/>
          <c:tx>
            <c:v>100% Saturation</c:v>
          </c:tx>
          <c:spPr>
            <a:ln w="47625">
              <a:noFill/>
            </a:ln>
          </c:spPr>
          <c:xVal>
            <c:numRef>
              <c:f>'Color Targets'!$B$5:$B$11</c:f>
              <c:numCache>
                <c:formatCode>0.000</c:formatCode>
                <c:ptCount val="7"/>
                <c:pt idx="0">
                  <c:v>0.639999925519409</c:v>
                </c:pt>
                <c:pt idx="1">
                  <c:v>0.300000008389823</c:v>
                </c:pt>
                <c:pt idx="2">
                  <c:v>0.150000008313128</c:v>
                </c:pt>
                <c:pt idx="3">
                  <c:v>0.419320092998004</c:v>
                </c:pt>
                <c:pt idx="4">
                  <c:v>0.224655633124744</c:v>
                </c:pt>
                <c:pt idx="5">
                  <c:v>0.320937741118529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Targets'!$C$5:$C$11</c:f>
              <c:numCache>
                <c:formatCode>0.000</c:formatCode>
                <c:ptCount val="7"/>
                <c:pt idx="0">
                  <c:v>0.330000068273875</c:v>
                </c:pt>
                <c:pt idx="1">
                  <c:v>0.600000016779645</c:v>
                </c:pt>
                <c:pt idx="2">
                  <c:v>0.0600000033252513</c:v>
                </c:pt>
                <c:pt idx="3">
                  <c:v>0.50524582692014</c:v>
                </c:pt>
                <c:pt idx="4">
                  <c:v>0.328760259205961</c:v>
                </c:pt>
                <c:pt idx="5">
                  <c:v>0.154190221198694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1"/>
          <c:order val="1"/>
          <c:tx>
            <c:v>75% Saturation</c:v>
          </c:tx>
          <c:spPr>
            <a:ln w="47625">
              <a:noFill/>
            </a:ln>
          </c:spPr>
          <c:xVal>
            <c:numRef>
              <c:f>'Color Targets'!$G$5:$G$11</c:f>
              <c:numCache>
                <c:formatCode>0.000</c:formatCode>
                <c:ptCount val="7"/>
                <c:pt idx="0">
                  <c:v>0.559551610791843</c:v>
                </c:pt>
                <c:pt idx="1">
                  <c:v>0.30298298264931</c:v>
                </c:pt>
                <c:pt idx="2">
                  <c:v>0.191180975342603</c:v>
                </c:pt>
                <c:pt idx="3">
                  <c:v>0.394403979475534</c:v>
                </c:pt>
                <c:pt idx="4">
                  <c:v>0.245362997458451</c:v>
                </c:pt>
                <c:pt idx="5">
                  <c:v>0.318999955928488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Targets'!$H$5:$H$11</c:f>
              <c:numCache>
                <c:formatCode>0.000</c:formatCode>
                <c:ptCount val="7"/>
                <c:pt idx="0">
                  <c:v>0.329759928823487</c:v>
                </c:pt>
                <c:pt idx="1">
                  <c:v>0.536486017337775</c:v>
                </c:pt>
                <c:pt idx="2">
                  <c:v>0.128081273992184</c:v>
                </c:pt>
                <c:pt idx="3">
                  <c:v>0.464053965945209</c:v>
                </c:pt>
                <c:pt idx="4">
                  <c:v>0.328822071005337</c:v>
                </c:pt>
                <c:pt idx="5">
                  <c:v>0.19544987574894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2"/>
          <c:order val="2"/>
          <c:tx>
            <c:v>50% Saturation</c:v>
          </c:tx>
          <c:spPr>
            <a:ln w="47625">
              <a:noFill/>
            </a:ln>
          </c:spPr>
          <c:xVal>
            <c:numRef>
              <c:f>'Color Targets'!$L$5:$L$11</c:f>
              <c:numCache>
                <c:formatCode>0.000</c:formatCode>
                <c:ptCount val="7"/>
                <c:pt idx="0">
                  <c:v>0.482861135128682</c:v>
                </c:pt>
                <c:pt idx="1">
                  <c:v>0.306242326168006</c:v>
                </c:pt>
                <c:pt idx="2">
                  <c:v>0.228554118860821</c:v>
                </c:pt>
                <c:pt idx="3">
                  <c:v>0.368077291469037</c:v>
                </c:pt>
                <c:pt idx="4">
                  <c:v>0.267477257533277</c:v>
                </c:pt>
                <c:pt idx="5">
                  <c:v>0.316873927680445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Targets'!$M$5:$M$11</c:f>
              <c:numCache>
                <c:formatCode>0.000</c:formatCode>
                <c:ptCount val="7"/>
                <c:pt idx="0">
                  <c:v>0.329531006580203</c:v>
                </c:pt>
                <c:pt idx="1">
                  <c:v>0.467087516238088</c:v>
                </c:pt>
                <c:pt idx="2">
                  <c:v>0.189867367983537</c:v>
                </c:pt>
                <c:pt idx="3">
                  <c:v>0.420530112543434</c:v>
                </c:pt>
                <c:pt idx="4">
                  <c:v>0.328888082410027</c:v>
                </c:pt>
                <c:pt idx="5">
                  <c:v>0.24071763376937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3"/>
          <c:order val="3"/>
          <c:spPr>
            <a:ln w="6350" cmpd="sng">
              <a:solidFill>
                <a:srgbClr val="0000FF"/>
              </a:solidFill>
            </a:ln>
          </c:spPr>
          <c:xVal>
            <c:numRef>
              <c:f>('Color Targets'!$B$6,'Color Targets'!$B$10)</c:f>
              <c:numCache>
                <c:formatCode>0.000</c:formatCode>
                <c:ptCount val="2"/>
                <c:pt idx="0">
                  <c:v>0.300000008389823</c:v>
                </c:pt>
                <c:pt idx="1">
                  <c:v>0.320937741118529</c:v>
                </c:pt>
              </c:numCache>
            </c:numRef>
          </c:xVal>
          <c:yVal>
            <c:numRef>
              <c:f>('Color Targets'!$C$6,'Color Targets'!$C$10)</c:f>
              <c:numCache>
                <c:formatCode>0.000</c:formatCode>
                <c:ptCount val="2"/>
                <c:pt idx="0">
                  <c:v>0.600000016779645</c:v>
                </c:pt>
                <c:pt idx="1">
                  <c:v>0.154190221198694</c:v>
                </c:pt>
              </c:numCache>
            </c:numRef>
          </c:yVal>
          <c:smooth val="0"/>
        </c:ser>
        <c:ser>
          <c:idx val="4"/>
          <c:order val="4"/>
          <c:spPr>
            <a:ln w="9525" cmpd="sng">
              <a:solidFill>
                <a:srgbClr val="0000FF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('Color Targets'!$B$5,'Color Targets'!$B$9)</c:f>
              <c:numCache>
                <c:formatCode>0.000</c:formatCode>
                <c:ptCount val="2"/>
                <c:pt idx="0">
                  <c:v>0.639999925519409</c:v>
                </c:pt>
                <c:pt idx="1">
                  <c:v>0.224655633124744</c:v>
                </c:pt>
              </c:numCache>
            </c:numRef>
          </c:xVal>
          <c:yVal>
            <c:numRef>
              <c:f>('Color Targets'!$C$5,'Color Targets'!$C$9)</c:f>
              <c:numCache>
                <c:formatCode>0.000</c:formatCode>
                <c:ptCount val="2"/>
                <c:pt idx="0">
                  <c:v>0.330000068273875</c:v>
                </c:pt>
                <c:pt idx="1">
                  <c:v>0.328760259205961</c:v>
                </c:pt>
              </c:numCache>
            </c:numRef>
          </c:yVal>
          <c:smooth val="0"/>
        </c:ser>
        <c:ser>
          <c:idx val="5"/>
          <c:order val="5"/>
          <c:spPr>
            <a:ln w="9525" cmpd="sng">
              <a:solidFill>
                <a:srgbClr val="0000FF"/>
              </a:solidFill>
            </a:ln>
          </c:spPr>
          <c:xVal>
            <c:numRef>
              <c:f>'Color Targets'!$B$7:$B$8</c:f>
              <c:numCache>
                <c:formatCode>0.000</c:formatCode>
                <c:ptCount val="2"/>
                <c:pt idx="0">
                  <c:v>0.150000008313128</c:v>
                </c:pt>
                <c:pt idx="1">
                  <c:v>0.419320092998004</c:v>
                </c:pt>
              </c:numCache>
            </c:numRef>
          </c:xVal>
          <c:yVal>
            <c:numRef>
              <c:f>'Color Targets'!$C$7:$C$8</c:f>
              <c:numCache>
                <c:formatCode>0.000</c:formatCode>
                <c:ptCount val="2"/>
                <c:pt idx="0">
                  <c:v>0.0600000033252513</c:v>
                </c:pt>
                <c:pt idx="1">
                  <c:v>0.50524582692014</c:v>
                </c:pt>
              </c:numCache>
            </c:numRef>
          </c:yVal>
          <c:smooth val="0"/>
        </c:ser>
        <c:ser>
          <c:idx val="6"/>
          <c:order val="6"/>
          <c:tx>
            <c:v>Color Checker</c:v>
          </c:tx>
          <c:spPr>
            <a:ln w="47625">
              <a:noFill/>
            </a:ln>
            <a:effectLst>
              <a:glow rad="88900">
                <a:srgbClr val="FFFF00">
                  <a:alpha val="75000"/>
                </a:srgbClr>
              </a:glow>
            </a:effectLst>
          </c:spPr>
          <c:marker>
            <c:symbol val="plus"/>
            <c:size val="6"/>
            <c:spPr>
              <a:solidFill>
                <a:srgbClr val="000090"/>
              </a:solidFill>
              <a:effectLst>
                <a:glow rad="88900">
                  <a:srgbClr val="FFFF00">
                    <a:alpha val="75000"/>
                  </a:srgbClr>
                </a:glow>
              </a:effectLst>
            </c:spPr>
          </c:marker>
          <c:dLbls>
            <c:dLbl>
              <c:idx val="0"/>
              <c:layout/>
              <c:tx>
                <c:strRef>
                  <c:f>'Color Targets'!$A$34</c:f>
                  <c:strCache>
                    <c:ptCount val="1"/>
                    <c:pt idx="0">
                      <c:v>dark skin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0262751159196291"/>
                  <c:y val="0.0137297969332781"/>
                </c:manualLayout>
              </c:layout>
              <c:tx>
                <c:strRef>
                  <c:f>'Color Targets'!$A$35</c:f>
                  <c:strCache>
                    <c:ptCount val="1"/>
                    <c:pt idx="0">
                      <c:v>light skin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'Color Targets'!$A$36</c:f>
                  <c:strCache>
                    <c:ptCount val="1"/>
                    <c:pt idx="0">
                      <c:v>blue sky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'Color Targets'!$A$37</c:f>
                  <c:strCache>
                    <c:ptCount val="1"/>
                    <c:pt idx="0">
                      <c:v>foliage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'Color Targets'!$A$38</c:f>
                  <c:strCache>
                    <c:ptCount val="1"/>
                    <c:pt idx="0">
                      <c:v>blue flower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'Color Targets'!$A$39</c:f>
                  <c:strCache>
                    <c:ptCount val="1"/>
                    <c:pt idx="0">
                      <c:v>bluish green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'Color Targets'!$A$40</c:f>
                  <c:strCache>
                    <c:ptCount val="1"/>
                    <c:pt idx="0">
                      <c:v>orange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'Color Targets'!$A$41</c:f>
                  <c:strCache>
                    <c:ptCount val="1"/>
                    <c:pt idx="0">
                      <c:v>purplish blue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'Color Targets'!$A$42</c:f>
                  <c:strCache>
                    <c:ptCount val="1"/>
                    <c:pt idx="0">
                      <c:v>moderate red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tx>
                <c:strRef>
                  <c:f>'Color Targets'!$A$43</c:f>
                  <c:strCache>
                    <c:ptCount val="1"/>
                    <c:pt idx="0">
                      <c:v>purple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tx>
                <c:strRef>
                  <c:f>'Color Targets'!$A$44</c:f>
                  <c:strCache>
                    <c:ptCount val="1"/>
                    <c:pt idx="0">
                      <c:v>yellow green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 val="-0.0794871794871795"/>
                  <c:y val="-0.00592885375494067"/>
                </c:manualLayout>
              </c:layout>
              <c:tx>
                <c:strRef>
                  <c:f>'Color Targets'!$A$45</c:f>
                  <c:strCache>
                    <c:ptCount val="1"/>
                    <c:pt idx="0">
                      <c:v>orange yellow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strRef>
                  <c:f>Sheet1!#REF!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strRef>
                  <c:f>Sheet1!#REF!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strRef>
                  <c:f>Sheet1!#REF!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'Color Targets'!$B$34:$B$45</c:f>
              <c:numCache>
                <c:formatCode>0.000</c:formatCode>
                <c:ptCount val="12"/>
                <c:pt idx="0">
                  <c:v>0.401663729569583</c:v>
                </c:pt>
                <c:pt idx="1">
                  <c:v>0.389965245177969</c:v>
                </c:pt>
                <c:pt idx="2">
                  <c:v>0.246363277535434</c:v>
                </c:pt>
                <c:pt idx="3">
                  <c:v>0.340535818935698</c:v>
                </c:pt>
                <c:pt idx="4">
                  <c:v>0.267929577871619</c:v>
                </c:pt>
                <c:pt idx="5">
                  <c:v>0.256882298320494</c:v>
                </c:pt>
                <c:pt idx="6">
                  <c:v>0.51215756636247</c:v>
                </c:pt>
                <c:pt idx="7">
                  <c:v>0.207606491113821</c:v>
                </c:pt>
                <c:pt idx="8">
                  <c:v>0.473036409774962</c:v>
                </c:pt>
                <c:pt idx="9">
                  <c:v>0.293861126881777</c:v>
                </c:pt>
                <c:pt idx="10">
                  <c:v>0.374269316436287</c:v>
                </c:pt>
                <c:pt idx="11">
                  <c:v>0.478829622014692</c:v>
                </c:pt>
              </c:numCache>
            </c:numRef>
          </c:xVal>
          <c:yVal>
            <c:numRef>
              <c:f>'Color Targets'!$C$34:$C$45</c:f>
              <c:numCache>
                <c:formatCode>0.000</c:formatCode>
                <c:ptCount val="12"/>
                <c:pt idx="0">
                  <c:v>0.359199699070956</c:v>
                </c:pt>
                <c:pt idx="1">
                  <c:v>0.353000247613505</c:v>
                </c:pt>
                <c:pt idx="2">
                  <c:v>0.266193558332584</c:v>
                </c:pt>
                <c:pt idx="3">
                  <c:v>0.431481583755666</c:v>
                </c:pt>
                <c:pt idx="4">
                  <c:v>0.253347818068769</c:v>
                </c:pt>
                <c:pt idx="5">
                  <c:v>0.359736165743626</c:v>
                </c:pt>
                <c:pt idx="6">
                  <c:v>0.400386824376893</c:v>
                </c:pt>
                <c:pt idx="7">
                  <c:v>0.178972573101821</c:v>
                </c:pt>
                <c:pt idx="8">
                  <c:v>0.312693824500712</c:v>
                </c:pt>
                <c:pt idx="9">
                  <c:v>0.220479008221682</c:v>
                </c:pt>
                <c:pt idx="10">
                  <c:v>0.498933050005552</c:v>
                </c:pt>
                <c:pt idx="11">
                  <c:v>0.439873502013827</c:v>
                </c:pt>
              </c:numCache>
            </c:numRef>
          </c:yVal>
          <c:smooth val="0"/>
        </c:ser>
        <c:ser>
          <c:idx val="7"/>
          <c:order val="7"/>
          <c:tx>
            <c:v>Measured Color Checker</c:v>
          </c:tx>
          <c:spPr>
            <a:ln w="47625">
              <a:noFill/>
            </a:ln>
          </c:spPr>
          <c:marker>
            <c:symbol val="plus"/>
            <c:size val="5"/>
            <c:spPr>
              <a:solidFill>
                <a:schemeClr val="tx1"/>
              </a:solidFill>
            </c:spPr>
          </c:marker>
          <c:xVal>
            <c:numRef>
              <c:f>'Color Targets'!$H$34:$H$45</c:f>
              <c:numCache>
                <c:formatCode>General</c:formatCode>
                <c:ptCount val="12"/>
                <c:pt idx="0">
                  <c:v>0.408419</c:v>
                </c:pt>
                <c:pt idx="1">
                  <c:v>0.39773</c:v>
                </c:pt>
                <c:pt idx="2">
                  <c:v>0.242143</c:v>
                </c:pt>
                <c:pt idx="3">
                  <c:v>0.34057</c:v>
                </c:pt>
                <c:pt idx="4">
                  <c:v>0.266168</c:v>
                </c:pt>
                <c:pt idx="5">
                  <c:v>0.257224</c:v>
                </c:pt>
                <c:pt idx="6">
                  <c:v>0.509411</c:v>
                </c:pt>
                <c:pt idx="7">
                  <c:v>0.207919</c:v>
                </c:pt>
                <c:pt idx="8">
                  <c:v>0.471151</c:v>
                </c:pt>
                <c:pt idx="9">
                  <c:v>0.293227</c:v>
                </c:pt>
                <c:pt idx="10">
                  <c:v>0.374033</c:v>
                </c:pt>
                <c:pt idx="11">
                  <c:v>0.478792</c:v>
                </c:pt>
              </c:numCache>
            </c:numRef>
          </c:xVal>
          <c:yVal>
            <c:numRef>
              <c:f>'Color Targets'!$I$34:$I$45</c:f>
              <c:numCache>
                <c:formatCode>General</c:formatCode>
                <c:ptCount val="12"/>
                <c:pt idx="0">
                  <c:v>0.360653</c:v>
                </c:pt>
                <c:pt idx="1">
                  <c:v>0.352444</c:v>
                </c:pt>
                <c:pt idx="2" formatCode="0.00">
                  <c:v>0.264637</c:v>
                </c:pt>
                <c:pt idx="3">
                  <c:v>0.441484</c:v>
                </c:pt>
                <c:pt idx="4">
                  <c:v>0.247941</c:v>
                </c:pt>
                <c:pt idx="5">
                  <c:v>0.357795</c:v>
                </c:pt>
                <c:pt idx="6">
                  <c:v>0.399923</c:v>
                </c:pt>
                <c:pt idx="7">
                  <c:v>0.176846</c:v>
                </c:pt>
                <c:pt idx="8">
                  <c:v>0.309233</c:v>
                </c:pt>
                <c:pt idx="9">
                  <c:v>0.213986</c:v>
                </c:pt>
                <c:pt idx="10">
                  <c:v>0.493785</c:v>
                </c:pt>
                <c:pt idx="11">
                  <c:v>0.436887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993096"/>
        <c:axId val="572000712"/>
      </c:scatterChart>
      <c:valAx>
        <c:axId val="571993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x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72000712"/>
        <c:crosses val="autoZero"/>
        <c:crossBetween val="midCat"/>
      </c:valAx>
      <c:valAx>
        <c:axId val="572000712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 sz="1200" b="1"/>
                </a:pPr>
                <a:r>
                  <a:rPr lang="en-US" sz="1200" b="1"/>
                  <a:t>y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71993096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0394966640620304"/>
          <c:y val="0.0829798817013902"/>
          <c:w val="0.91317509166316"/>
          <c:h val="0.0488725841088046"/>
        </c:manualLayout>
      </c:layout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baseline="0">
          <a:solidFill>
            <a:schemeClr val="tx2"/>
          </a:solidFill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BT.1886 Gamma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Primary</c:v>
          </c:tx>
          <c:xVal>
            <c:numRef>
              <c:f>'Gamma Target'!$C$14:$C$37</c:f>
              <c:numCache>
                <c:formatCode>0%</c:formatCode>
                <c:ptCount val="2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  <c:pt idx="23">
                  <c:v>1.0</c:v>
                </c:pt>
              </c:numCache>
            </c:numRef>
          </c:xVal>
          <c:yVal>
            <c:numRef>
              <c:f>'Gamma Target'!$F$14:$F$37</c:f>
              <c:numCache>
                <c:formatCode>0.00</c:formatCode>
                <c:ptCount val="24"/>
                <c:pt idx="0">
                  <c:v>1.663599967203775</c:v>
                </c:pt>
                <c:pt idx="1">
                  <c:v>1.828492540310911</c:v>
                </c:pt>
                <c:pt idx="2">
                  <c:v>1.92041182586558</c:v>
                </c:pt>
                <c:pt idx="3">
                  <c:v>1.98124365080445</c:v>
                </c:pt>
                <c:pt idx="4">
                  <c:v>2.026055299974737</c:v>
                </c:pt>
                <c:pt idx="5">
                  <c:v>2.141248511386985</c:v>
                </c:pt>
                <c:pt idx="6">
                  <c:v>2.193371193087993</c:v>
                </c:pt>
                <c:pt idx="7">
                  <c:v>2.224027683860704</c:v>
                </c:pt>
                <c:pt idx="8">
                  <c:v>2.244553175380426</c:v>
                </c:pt>
                <c:pt idx="9">
                  <c:v>2.259415759810145</c:v>
                </c:pt>
                <c:pt idx="10">
                  <c:v>2.270760383638128</c:v>
                </c:pt>
                <c:pt idx="11">
                  <c:v>2.279754732829326</c:v>
                </c:pt>
                <c:pt idx="12">
                  <c:v>2.28709298899544</c:v>
                </c:pt>
                <c:pt idx="13">
                  <c:v>2.293215720313137</c:v>
                </c:pt>
                <c:pt idx="14">
                  <c:v>2.297976411134516</c:v>
                </c:pt>
                <c:pt idx="15">
                  <c:v>2.302519178410619</c:v>
                </c:pt>
                <c:pt idx="16">
                  <c:v>2.306480304274826</c:v>
                </c:pt>
                <c:pt idx="17">
                  <c:v>2.309971153704236</c:v>
                </c:pt>
                <c:pt idx="18">
                  <c:v>2.313075727580618</c:v>
                </c:pt>
                <c:pt idx="19">
                  <c:v>2.315858679387841</c:v>
                </c:pt>
                <c:pt idx="20">
                  <c:v>2.318370649750557</c:v>
                </c:pt>
                <c:pt idx="21">
                  <c:v>2.320651915297922</c:v>
                </c:pt>
                <c:pt idx="22">
                  <c:v>2.322734945185891</c:v>
                </c:pt>
              </c:numCache>
            </c:numRef>
          </c:yVal>
          <c:smooth val="1"/>
        </c:ser>
        <c:ser>
          <c:idx val="1"/>
          <c:order val="1"/>
          <c:tx>
            <c:v>Alternate</c:v>
          </c:tx>
          <c:xVal>
            <c:numRef>
              <c:f>'Gamma Target'!$C$14:$C$37</c:f>
              <c:numCache>
                <c:formatCode>0%</c:formatCode>
                <c:ptCount val="2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  <c:pt idx="23">
                  <c:v>1.0</c:v>
                </c:pt>
              </c:numCache>
            </c:numRef>
          </c:xVal>
          <c:yVal>
            <c:numRef>
              <c:f>'Gamma Target'!$G$14:$G$37</c:f>
              <c:numCache>
                <c:formatCode>0.00</c:formatCode>
                <c:ptCount val="24"/>
                <c:pt idx="0">
                  <c:v>1.780731211481046</c:v>
                </c:pt>
                <c:pt idx="1">
                  <c:v>1.978034953821113</c:v>
                </c:pt>
                <c:pt idx="2">
                  <c:v>2.092514734356334</c:v>
                </c:pt>
                <c:pt idx="3">
                  <c:v>2.16975594587668</c:v>
                </c:pt>
                <c:pt idx="4">
                  <c:v>2.226967215306765</c:v>
                </c:pt>
                <c:pt idx="5">
                  <c:v>2.36836823466546</c:v>
                </c:pt>
                <c:pt idx="6">
                  <c:v>2.41914938880955</c:v>
                </c:pt>
                <c:pt idx="7">
                  <c:v>2.43524573610751</c:v>
                </c:pt>
                <c:pt idx="8">
                  <c:v>2.432343440967101</c:v>
                </c:pt>
                <c:pt idx="9">
                  <c:v>2.416245369365177</c:v>
                </c:pt>
                <c:pt idx="10">
                  <c:v>2.390627996186252</c:v>
                </c:pt>
                <c:pt idx="11">
                  <c:v>2.40469322842993</c:v>
                </c:pt>
                <c:pt idx="12">
                  <c:v>2.416234672723492</c:v>
                </c:pt>
                <c:pt idx="13">
                  <c:v>2.425909175299073</c:v>
                </c:pt>
                <c:pt idx="14">
                  <c:v>2.433459342788786</c:v>
                </c:pt>
                <c:pt idx="15">
                  <c:v>2.440686309004855</c:v>
                </c:pt>
                <c:pt idx="16">
                  <c:v>2.4470056039945</c:v>
                </c:pt>
                <c:pt idx="17">
                  <c:v>2.452588113967378</c:v>
                </c:pt>
                <c:pt idx="18">
                  <c:v>2.457563366064189</c:v>
                </c:pt>
                <c:pt idx="19">
                  <c:v>2.462031479440406</c:v>
                </c:pt>
                <c:pt idx="20">
                  <c:v>2.466071168068068</c:v>
                </c:pt>
                <c:pt idx="21">
                  <c:v>2.469745245103155</c:v>
                </c:pt>
                <c:pt idx="22">
                  <c:v>2.47310449842592</c:v>
                </c:pt>
              </c:numCache>
            </c:numRef>
          </c:yVal>
          <c:smooth val="1"/>
        </c:ser>
        <c:ser>
          <c:idx val="2"/>
          <c:order val="2"/>
          <c:tx>
            <c:v>Measured</c:v>
          </c:tx>
          <c:spPr>
            <a:ln>
              <a:noFill/>
            </a:ln>
          </c:spPr>
          <c:xVal>
            <c:numRef>
              <c:f>'Gamma Target'!$C$14:$C$36</c:f>
              <c:numCache>
                <c:formatCode>0%</c:formatCode>
                <c:ptCount val="2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</c:numCache>
            </c:numRef>
          </c:xVal>
          <c:yVal>
            <c:numRef>
              <c:f>'Gamma Target'!$J$14:$J$36</c:f>
              <c:numCache>
                <c:formatCode>0.00</c:formatCode>
                <c:ptCount val="23"/>
                <c:pt idx="0">
                  <c:v>1.732208327066171</c:v>
                </c:pt>
                <c:pt idx="1">
                  <c:v>1.917193033924671</c:v>
                </c:pt>
                <c:pt idx="2">
                  <c:v>1.990048962962276</c:v>
                </c:pt>
                <c:pt idx="3">
                  <c:v>2.043569238889412</c:v>
                </c:pt>
                <c:pt idx="4">
                  <c:v>2.055161868073951</c:v>
                </c:pt>
                <c:pt idx="5">
                  <c:v>2.131259105906495</c:v>
                </c:pt>
                <c:pt idx="6">
                  <c:v>2.186276347370676</c:v>
                </c:pt>
                <c:pt idx="7">
                  <c:v>2.215576651339722</c:v>
                </c:pt>
                <c:pt idx="8">
                  <c:v>2.259344080286555</c:v>
                </c:pt>
                <c:pt idx="9">
                  <c:v>2.257054309697175</c:v>
                </c:pt>
                <c:pt idx="10">
                  <c:v>2.288044802612342</c:v>
                </c:pt>
                <c:pt idx="11">
                  <c:v>2.289689310483288</c:v>
                </c:pt>
                <c:pt idx="12">
                  <c:v>2.27722800864195</c:v>
                </c:pt>
                <c:pt idx="13">
                  <c:v>2.291083883948267</c:v>
                </c:pt>
                <c:pt idx="14">
                  <c:v>2.286429144793199</c:v>
                </c:pt>
                <c:pt idx="15">
                  <c:v>2.307593059808907</c:v>
                </c:pt>
                <c:pt idx="16">
                  <c:v>2.357648078978403</c:v>
                </c:pt>
                <c:pt idx="17">
                  <c:v>2.33558237935853</c:v>
                </c:pt>
                <c:pt idx="18">
                  <c:v>2.287476922147892</c:v>
                </c:pt>
                <c:pt idx="19">
                  <c:v>2.32808809778886</c:v>
                </c:pt>
                <c:pt idx="20">
                  <c:v>2.29780272742772</c:v>
                </c:pt>
                <c:pt idx="21">
                  <c:v>2.334854078561359</c:v>
                </c:pt>
                <c:pt idx="22">
                  <c:v>0.0</c:v>
                </c:pt>
              </c:numCache>
            </c:numRef>
          </c:yVal>
          <c:smooth val="1"/>
        </c:ser>
        <c:ser>
          <c:idx val="3"/>
          <c:order val="3"/>
          <c:tx>
            <c:v>Interpolated</c:v>
          </c:tx>
          <c:xVal>
            <c:numRef>
              <c:f>Calculation!$H$128:$H$237</c:f>
              <c:numCache>
                <c:formatCode>General</c:formatCode>
                <c:ptCount val="110"/>
                <c:pt idx="0">
                  <c:v>0.0315129975568306</c:v>
                </c:pt>
                <c:pt idx="1">
                  <c:v>0.0484571170278405</c:v>
                </c:pt>
                <c:pt idx="2">
                  <c:v>0.0602176159188154</c:v>
                </c:pt>
                <c:pt idx="3">
                  <c:v>0.0704882874942112</c:v>
                </c:pt>
                <c:pt idx="4">
                  <c:v>0.0798372421384694</c:v>
                </c:pt>
                <c:pt idx="5">
                  <c:v>0.117155754693736</c:v>
                </c:pt>
                <c:pt idx="6">
                  <c:v>0.145669136891315</c:v>
                </c:pt>
                <c:pt idx="7">
                  <c:v>0.168351989812738</c:v>
                </c:pt>
                <c:pt idx="8">
                  <c:v>0.188017598425811</c:v>
                </c:pt>
                <c:pt idx="9">
                  <c:v>0.206018693958356</c:v>
                </c:pt>
                <c:pt idx="10">
                  <c:v>0.222950896010513</c:v>
                </c:pt>
                <c:pt idx="11">
                  <c:v>0.238834808920202</c:v>
                </c:pt>
                <c:pt idx="12">
                  <c:v>0.253442067282553</c:v>
                </c:pt>
                <c:pt idx="13">
                  <c:v>0.265462527436921</c:v>
                </c:pt>
                <c:pt idx="14">
                  <c:v>0.276824115757937</c:v>
                </c:pt>
                <c:pt idx="15">
                  <c:v>0.287618238278814</c:v>
                </c:pt>
                <c:pt idx="16">
                  <c:v>0.308490501586113</c:v>
                </c:pt>
                <c:pt idx="17">
                  <c:v>0.329275875395405</c:v>
                </c:pt>
                <c:pt idx="18">
                  <c:v>0.34879983463918</c:v>
                </c:pt>
                <c:pt idx="19">
                  <c:v>0.365618303429336</c:v>
                </c:pt>
                <c:pt idx="20">
                  <c:v>0.381248342261839</c:v>
                </c:pt>
                <c:pt idx="21">
                  <c:v>0.396100835305504</c:v>
                </c:pt>
                <c:pt idx="22">
                  <c:v>0.409926720966351</c:v>
                </c:pt>
                <c:pt idx="23">
                  <c:v>0.422926707434664</c:v>
                </c:pt>
                <c:pt idx="24">
                  <c:v>0.435398950666532</c:v>
                </c:pt>
                <c:pt idx="25">
                  <c:v>0.447399125367422</c:v>
                </c:pt>
                <c:pt idx="26">
                  <c:v>0.459576517595579</c:v>
                </c:pt>
                <c:pt idx="27">
                  <c:v>0.471754566132569</c:v>
                </c:pt>
                <c:pt idx="28">
                  <c:v>0.483564759766101</c:v>
                </c:pt>
                <c:pt idx="29">
                  <c:v>0.495035414058839</c:v>
                </c:pt>
                <c:pt idx="30">
                  <c:v>0.505964426968573</c:v>
                </c:pt>
                <c:pt idx="31">
                  <c:v>0.516194599851576</c:v>
                </c:pt>
                <c:pt idx="32">
                  <c:v>0.526165191720076</c:v>
                </c:pt>
                <c:pt idx="33">
                  <c:v>0.535893980832776</c:v>
                </c:pt>
                <c:pt idx="34">
                  <c:v>0.54539686280291</c:v>
                </c:pt>
                <c:pt idx="35">
                  <c:v>0.555209779302887</c:v>
                </c:pt>
                <c:pt idx="36">
                  <c:v>0.565003118470814</c:v>
                </c:pt>
                <c:pt idx="37">
                  <c:v>0.574590684450913</c:v>
                </c:pt>
                <c:pt idx="38">
                  <c:v>0.583982716141215</c:v>
                </c:pt>
                <c:pt idx="39">
                  <c:v>0.593188576959469</c:v>
                </c:pt>
                <c:pt idx="40">
                  <c:v>0.602523919728365</c:v>
                </c:pt>
                <c:pt idx="41">
                  <c:v>0.612046859997439</c:v>
                </c:pt>
                <c:pt idx="42">
                  <c:v>0.621382955714533</c:v>
                </c:pt>
                <c:pt idx="43">
                  <c:v>0.630538899214509</c:v>
                </c:pt>
                <c:pt idx="44">
                  <c:v>0.639520942032183</c:v>
                </c:pt>
                <c:pt idx="45">
                  <c:v>0.648334938118647</c:v>
                </c:pt>
                <c:pt idx="46">
                  <c:v>0.655567954573055</c:v>
                </c:pt>
                <c:pt idx="47">
                  <c:v>0.662683282696472</c:v>
                </c:pt>
                <c:pt idx="48">
                  <c:v>0.669696968031031</c:v>
                </c:pt>
                <c:pt idx="49">
                  <c:v>0.676613587694942</c:v>
                </c:pt>
                <c:pt idx="50">
                  <c:v>0.683437424142946</c:v>
                </c:pt>
                <c:pt idx="51">
                  <c:v>0.690172490916871</c:v>
                </c:pt>
                <c:pt idx="52">
                  <c:v>0.696822555595277</c:v>
                </c:pt>
                <c:pt idx="53">
                  <c:v>0.703180214377699</c:v>
                </c:pt>
                <c:pt idx="54">
                  <c:v>0.709387604855946</c:v>
                </c:pt>
                <c:pt idx="55">
                  <c:v>0.71552873418733</c:v>
                </c:pt>
                <c:pt idx="56">
                  <c:v>0.721606654021055</c:v>
                </c:pt>
                <c:pt idx="57">
                  <c:v>0.727624253149285</c:v>
                </c:pt>
                <c:pt idx="58">
                  <c:v>0.73358426992281</c:v>
                </c:pt>
                <c:pt idx="59">
                  <c:v>0.739489303504006</c:v>
                </c:pt>
                <c:pt idx="60">
                  <c:v>0.745341824087134</c:v>
                </c:pt>
                <c:pt idx="61">
                  <c:v>0.751553459958487</c:v>
                </c:pt>
                <c:pt idx="62">
                  <c:v>0.758314111073587</c:v>
                </c:pt>
                <c:pt idx="63">
                  <c:v>0.764985799231451</c:v>
                </c:pt>
                <c:pt idx="64">
                  <c:v>0.771570525981586</c:v>
                </c:pt>
                <c:pt idx="65">
                  <c:v>0.778070212166896</c:v>
                </c:pt>
                <c:pt idx="66">
                  <c:v>0.784486702817177</c:v>
                </c:pt>
                <c:pt idx="67">
                  <c:v>0.79082177165769</c:v>
                </c:pt>
                <c:pt idx="68">
                  <c:v>0.797077125269322</c:v>
                </c:pt>
                <c:pt idx="69">
                  <c:v>0.802820350664989</c:v>
                </c:pt>
                <c:pt idx="70">
                  <c:v>0.808307307020051</c:v>
                </c:pt>
                <c:pt idx="71">
                  <c:v>0.813752884789337</c:v>
                </c:pt>
                <c:pt idx="72">
                  <c:v>0.81915845620622</c:v>
                </c:pt>
                <c:pt idx="73">
                  <c:v>0.824525338340043</c:v>
                </c:pt>
                <c:pt idx="74">
                  <c:v>0.829854796229326</c:v>
                </c:pt>
                <c:pt idx="75">
                  <c:v>0.835148045793688</c:v>
                </c:pt>
                <c:pt idx="76">
                  <c:v>0.840406256543224</c:v>
                </c:pt>
                <c:pt idx="77">
                  <c:v>0.845630554102229</c:v>
                </c:pt>
                <c:pt idx="78">
                  <c:v>0.850946788936024</c:v>
                </c:pt>
                <c:pt idx="79">
                  <c:v>0.856517069675855</c:v>
                </c:pt>
                <c:pt idx="80">
                  <c:v>0.862028298200559</c:v>
                </c:pt>
                <c:pt idx="81">
                  <c:v>0.867481505119995</c:v>
                </c:pt>
                <c:pt idx="82">
                  <c:v>0.872877689386499</c:v>
                </c:pt>
                <c:pt idx="83">
                  <c:v>0.878217819759992</c:v>
                </c:pt>
                <c:pt idx="84">
                  <c:v>0.883502836184529</c:v>
                </c:pt>
                <c:pt idx="85">
                  <c:v>0.888733651082775</c:v>
                </c:pt>
                <c:pt idx="86">
                  <c:v>0.893911150574347</c:v>
                </c:pt>
                <c:pt idx="87">
                  <c:v>0.899036195623461</c:v>
                </c:pt>
                <c:pt idx="88">
                  <c:v>0.903955596232122</c:v>
                </c:pt>
                <c:pt idx="89">
                  <c:v>0.908839527838335</c:v>
                </c:pt>
                <c:pt idx="90">
                  <c:v>0.913688684799146</c:v>
                </c:pt>
                <c:pt idx="91">
                  <c:v>0.918503739502821</c:v>
                </c:pt>
                <c:pt idx="92">
                  <c:v>0.923285343322489</c:v>
                </c:pt>
                <c:pt idx="93">
                  <c:v>0.928034127517423</c:v>
                </c:pt>
                <c:pt idx="94">
                  <c:v>0.932750704085444</c:v>
                </c:pt>
                <c:pt idx="95">
                  <c:v>0.937435666569614</c:v>
                </c:pt>
                <c:pt idx="96">
                  <c:v>0.942089590822202</c:v>
                </c:pt>
                <c:pt idx="97">
                  <c:v>0.946713035728613</c:v>
                </c:pt>
                <c:pt idx="98">
                  <c:v>0.951306543893847</c:v>
                </c:pt>
                <c:pt idx="99">
                  <c:v>0.955870642293792</c:v>
                </c:pt>
                <c:pt idx="100">
                  <c:v>0.960405842893543</c:v>
                </c:pt>
                <c:pt idx="101">
                  <c:v>0.964912643234754</c:v>
                </c:pt>
                <c:pt idx="102">
                  <c:v>0.969391526993882</c:v>
                </c:pt>
                <c:pt idx="103">
                  <c:v>0.973842964513086</c:v>
                </c:pt>
                <c:pt idx="104">
                  <c:v>0.978267413305368</c:v>
                </c:pt>
                <c:pt idx="105">
                  <c:v>0.982665318535487</c:v>
                </c:pt>
                <c:pt idx="106">
                  <c:v>0.987037113478029</c:v>
                </c:pt>
                <c:pt idx="107">
                  <c:v>0.99138321995396</c:v>
                </c:pt>
                <c:pt idx="108">
                  <c:v>0.99570404874686</c:v>
                </c:pt>
                <c:pt idx="109">
                  <c:v>1.0</c:v>
                </c:pt>
              </c:numCache>
            </c:numRef>
          </c:xVal>
          <c:yVal>
            <c:numRef>
              <c:f>Calculation!$G$128:$G$237</c:f>
              <c:numCache>
                <c:formatCode>General</c:formatCode>
                <c:ptCount val="110"/>
                <c:pt idx="0">
                  <c:v>1.997988313196803</c:v>
                </c:pt>
                <c:pt idx="1">
                  <c:v>2.053006921889325</c:v>
                </c:pt>
                <c:pt idx="2">
                  <c:v>2.06746492601976</c:v>
                </c:pt>
                <c:pt idx="3">
                  <c:v>2.081756501725296</c:v>
                </c:pt>
                <c:pt idx="4">
                  <c:v>2.096048077430832</c:v>
                </c:pt>
                <c:pt idx="5">
                  <c:v>2.147682431515973</c:v>
                </c:pt>
                <c:pt idx="6">
                  <c:v>2.180059755469322</c:v>
                </c:pt>
                <c:pt idx="7">
                  <c:v>2.195670824184202</c:v>
                </c:pt>
                <c:pt idx="8">
                  <c:v>2.207297716679381</c:v>
                </c:pt>
                <c:pt idx="9">
                  <c:v>2.219637750665222</c:v>
                </c:pt>
                <c:pt idx="10">
                  <c:v>2.233741263194104</c:v>
                </c:pt>
                <c:pt idx="11">
                  <c:v>2.247844775722985</c:v>
                </c:pt>
                <c:pt idx="12">
                  <c:v>2.259250745812057</c:v>
                </c:pt>
                <c:pt idx="13">
                  <c:v>2.258745277758823</c:v>
                </c:pt>
                <c:pt idx="14">
                  <c:v>2.258239809705588</c:v>
                </c:pt>
                <c:pt idx="15">
                  <c:v>2.257734341652353</c:v>
                </c:pt>
                <c:pt idx="16">
                  <c:v>2.261152052838236</c:v>
                </c:pt>
                <c:pt idx="17">
                  <c:v>2.273670954399822</c:v>
                </c:pt>
                <c:pt idx="18">
                  <c:v>2.28618985596141</c:v>
                </c:pt>
                <c:pt idx="19">
                  <c:v>2.28847577804947</c:v>
                </c:pt>
                <c:pt idx="20">
                  <c:v>2.288981719711646</c:v>
                </c:pt>
                <c:pt idx="21">
                  <c:v>2.289487661373823</c:v>
                </c:pt>
                <c:pt idx="22">
                  <c:v>2.28781538240853</c:v>
                </c:pt>
                <c:pt idx="23">
                  <c:v>2.284699636470966</c:v>
                </c:pt>
                <c:pt idx="24">
                  <c:v>2.281583890533402</c:v>
                </c:pt>
                <c:pt idx="25">
                  <c:v>2.278468144595839</c:v>
                </c:pt>
                <c:pt idx="26">
                  <c:v>2.279191247299974</c:v>
                </c:pt>
                <c:pt idx="27">
                  <c:v>2.282452561179965</c:v>
                </c:pt>
                <c:pt idx="28">
                  <c:v>2.285713875059955</c:v>
                </c:pt>
                <c:pt idx="29">
                  <c:v>2.288975188939946</c:v>
                </c:pt>
                <c:pt idx="30">
                  <c:v>2.29072822824624</c:v>
                </c:pt>
                <c:pt idx="31">
                  <c:v>2.289721906984262</c:v>
                </c:pt>
                <c:pt idx="32">
                  <c:v>2.288715585722285</c:v>
                </c:pt>
                <c:pt idx="33">
                  <c:v>2.287709264460307</c:v>
                </c:pt>
                <c:pt idx="34">
                  <c:v>2.286702943198331</c:v>
                </c:pt>
                <c:pt idx="35">
                  <c:v>2.289348160993029</c:v>
                </c:pt>
                <c:pt idx="36">
                  <c:v>2.293358231175128</c:v>
                </c:pt>
                <c:pt idx="37">
                  <c:v>2.297368301357227</c:v>
                </c:pt>
                <c:pt idx="38">
                  <c:v>2.301378371539325</c:v>
                </c:pt>
                <c:pt idx="39">
                  <c:v>2.305388441721424</c:v>
                </c:pt>
                <c:pt idx="40">
                  <c:v>2.311722173289571</c:v>
                </c:pt>
                <c:pt idx="41">
                  <c:v>2.32089330272396</c:v>
                </c:pt>
                <c:pt idx="42">
                  <c:v>2.33006443215835</c:v>
                </c:pt>
                <c:pt idx="43">
                  <c:v>2.339235561592739</c:v>
                </c:pt>
                <c:pt idx="44">
                  <c:v>2.348406691027129</c:v>
                </c:pt>
                <c:pt idx="45">
                  <c:v>2.357577820461518</c:v>
                </c:pt>
                <c:pt idx="46">
                  <c:v>2.354634630663051</c:v>
                </c:pt>
                <c:pt idx="47">
                  <c:v>2.351597918595114</c:v>
                </c:pt>
                <c:pt idx="48">
                  <c:v>2.348561206527176</c:v>
                </c:pt>
                <c:pt idx="49">
                  <c:v>2.345524494459238</c:v>
                </c:pt>
                <c:pt idx="50">
                  <c:v>2.3424877823913</c:v>
                </c:pt>
                <c:pt idx="51">
                  <c:v>2.339451070323363</c:v>
                </c:pt>
                <c:pt idx="52">
                  <c:v>2.336414358255425</c:v>
                </c:pt>
                <c:pt idx="53">
                  <c:v>2.331390149156221</c:v>
                </c:pt>
                <c:pt idx="54">
                  <c:v>2.325615937467421</c:v>
                </c:pt>
                <c:pt idx="55">
                  <c:v>2.31984172577862</c:v>
                </c:pt>
                <c:pt idx="56">
                  <c:v>2.314067514089818</c:v>
                </c:pt>
                <c:pt idx="57">
                  <c:v>2.308293302401017</c:v>
                </c:pt>
                <c:pt idx="58">
                  <c:v>2.302519090712217</c:v>
                </c:pt>
                <c:pt idx="59">
                  <c:v>2.296744879023416</c:v>
                </c:pt>
                <c:pt idx="60">
                  <c:v>2.290970667334615</c:v>
                </c:pt>
                <c:pt idx="61">
                  <c:v>2.289554806781062</c:v>
                </c:pt>
                <c:pt idx="62">
                  <c:v>2.294816074914531</c:v>
                </c:pt>
                <c:pt idx="63">
                  <c:v>2.300077343048</c:v>
                </c:pt>
                <c:pt idx="64">
                  <c:v>2.305338611181468</c:v>
                </c:pt>
                <c:pt idx="65">
                  <c:v>2.310599879314937</c:v>
                </c:pt>
                <c:pt idx="66">
                  <c:v>2.315861147448406</c:v>
                </c:pt>
                <c:pt idx="67">
                  <c:v>2.321122415581874</c:v>
                </c:pt>
                <c:pt idx="68">
                  <c:v>2.326383683715343</c:v>
                </c:pt>
                <c:pt idx="69">
                  <c:v>2.325906532454273</c:v>
                </c:pt>
                <c:pt idx="70">
                  <c:v>2.322679579652027</c:v>
                </c:pt>
                <c:pt idx="71">
                  <c:v>2.319452626849781</c:v>
                </c:pt>
                <c:pt idx="72">
                  <c:v>2.316225674047535</c:v>
                </c:pt>
                <c:pt idx="73">
                  <c:v>2.312998721245289</c:v>
                </c:pt>
                <c:pt idx="74">
                  <c:v>2.309771768443043</c:v>
                </c:pt>
                <c:pt idx="75">
                  <c:v>2.306544815640797</c:v>
                </c:pt>
                <c:pt idx="76">
                  <c:v>2.303317862838551</c:v>
                </c:pt>
                <c:pt idx="77">
                  <c:v>2.300090910036305</c:v>
                </c:pt>
                <c:pt idx="78">
                  <c:v>2.298950577624996</c:v>
                </c:pt>
                <c:pt idx="79">
                  <c:v>2.302896227407734</c:v>
                </c:pt>
                <c:pt idx="80">
                  <c:v>2.306841877190472</c:v>
                </c:pt>
                <c:pt idx="81">
                  <c:v>2.310787526973209</c:v>
                </c:pt>
                <c:pt idx="82">
                  <c:v>2.314733176755947</c:v>
                </c:pt>
                <c:pt idx="83">
                  <c:v>2.318678826538685</c:v>
                </c:pt>
                <c:pt idx="84">
                  <c:v>2.322624476321422</c:v>
                </c:pt>
                <c:pt idx="85">
                  <c:v>2.32657012610416</c:v>
                </c:pt>
                <c:pt idx="86">
                  <c:v>2.330515775886898</c:v>
                </c:pt>
                <c:pt idx="87">
                  <c:v>2.334461425669636</c:v>
                </c:pt>
                <c:pt idx="88">
                  <c:v>2.334461425669636</c:v>
                </c:pt>
                <c:pt idx="89">
                  <c:v>2.334461425669636</c:v>
                </c:pt>
                <c:pt idx="90">
                  <c:v>2.334461425669636</c:v>
                </c:pt>
                <c:pt idx="91">
                  <c:v>2.334461425669636</c:v>
                </c:pt>
                <c:pt idx="92">
                  <c:v>2.334461425669636</c:v>
                </c:pt>
                <c:pt idx="93">
                  <c:v>2.334461425669636</c:v>
                </c:pt>
                <c:pt idx="94">
                  <c:v>2.334461425669636</c:v>
                </c:pt>
                <c:pt idx="95">
                  <c:v>2.334461425669636</c:v>
                </c:pt>
                <c:pt idx="96">
                  <c:v>2.334461425669636</c:v>
                </c:pt>
                <c:pt idx="97">
                  <c:v>2.334461425669636</c:v>
                </c:pt>
                <c:pt idx="98">
                  <c:v>2.334461425669636</c:v>
                </c:pt>
                <c:pt idx="99">
                  <c:v>2.334461425669636</c:v>
                </c:pt>
                <c:pt idx="100">
                  <c:v>2.334461425669636</c:v>
                </c:pt>
                <c:pt idx="101">
                  <c:v>2.334461425669636</c:v>
                </c:pt>
                <c:pt idx="102">
                  <c:v>2.334461425669636</c:v>
                </c:pt>
                <c:pt idx="103">
                  <c:v>2.334461425669636</c:v>
                </c:pt>
                <c:pt idx="104">
                  <c:v>2.334461425669636</c:v>
                </c:pt>
                <c:pt idx="105">
                  <c:v>2.334461425669636</c:v>
                </c:pt>
                <c:pt idx="106">
                  <c:v>2.334461425669636</c:v>
                </c:pt>
                <c:pt idx="107">
                  <c:v>2.334461425669636</c:v>
                </c:pt>
                <c:pt idx="108">
                  <c:v>2.334461425669636</c:v>
                </c:pt>
                <c:pt idx="109">
                  <c:v>2.334461425669636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68296"/>
        <c:axId val="112173816"/>
      </c:scatterChart>
      <c:valAx>
        <c:axId val="112168296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Stimulus</a:t>
                </a:r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crossAx val="112173816"/>
        <c:crosses val="autoZero"/>
        <c:crossBetween val="midCat"/>
      </c:valAx>
      <c:valAx>
        <c:axId val="112173816"/>
        <c:scaling>
          <c:orientation val="minMax"/>
          <c:max val="2.5"/>
          <c:min val="2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Gamma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12168296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trlProps/ctrlProp1.xml><?xml version="1.0" encoding="utf-8"?>
<formControlPr xmlns="http://schemas.microsoft.com/office/spreadsheetml/2009/9/main" objectType="Drop" dropLines="83" dropStyle="combo" dx="16" fmlaLink="$AA$1" fmlaRange="'Color Targets'!$AF$2:$AF$3" sel="2" val="0"/>
</file>

<file path=xl/ctrlProps/ctrlProp2.xml><?xml version="1.0" encoding="utf-8"?>
<formControlPr xmlns="http://schemas.microsoft.com/office/spreadsheetml/2009/9/main" objectType="Drop" dropLines="83" dropStyle="combo" dx="16" fmlaLink="$AA$2" fmlaRange="$AG$2:$AG$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63500</xdr:colOff>
      <xdr:row>31</xdr:row>
      <xdr:rowOff>190500</xdr:rowOff>
    </xdr:from>
    <xdr:to>
      <xdr:col>25</xdr:col>
      <xdr:colOff>558800</xdr:colOff>
      <xdr:row>44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45</xdr:row>
      <xdr:rowOff>12700</xdr:rowOff>
    </xdr:from>
    <xdr:to>
      <xdr:col>7</xdr:col>
      <xdr:colOff>736600</xdr:colOff>
      <xdr:row>46</xdr:row>
      <xdr:rowOff>165100</xdr:rowOff>
    </xdr:to>
    <xdr:sp macro="" textlink="">
      <xdr:nvSpPr>
        <xdr:cNvPr id="5" name="Up Arrow 4"/>
        <xdr:cNvSpPr/>
      </xdr:nvSpPr>
      <xdr:spPr>
        <a:xfrm>
          <a:off x="5689600" y="9321800"/>
          <a:ext cx="4318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45</xdr:row>
      <xdr:rowOff>0</xdr:rowOff>
    </xdr:from>
    <xdr:to>
      <xdr:col>8</xdr:col>
      <xdr:colOff>546100</xdr:colOff>
      <xdr:row>46</xdr:row>
      <xdr:rowOff>152400</xdr:rowOff>
    </xdr:to>
    <xdr:sp macro="" textlink="">
      <xdr:nvSpPr>
        <xdr:cNvPr id="6" name="Up Arrow 5"/>
        <xdr:cNvSpPr/>
      </xdr:nvSpPr>
      <xdr:spPr>
        <a:xfrm>
          <a:off x="6400800" y="9309100"/>
          <a:ext cx="4445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279400</xdr:colOff>
      <xdr:row>45</xdr:row>
      <xdr:rowOff>25400</xdr:rowOff>
    </xdr:from>
    <xdr:to>
      <xdr:col>10</xdr:col>
      <xdr:colOff>711200</xdr:colOff>
      <xdr:row>46</xdr:row>
      <xdr:rowOff>177800</xdr:rowOff>
    </xdr:to>
    <xdr:sp macro="" textlink="">
      <xdr:nvSpPr>
        <xdr:cNvPr id="7" name="Up Arrow 6"/>
        <xdr:cNvSpPr/>
      </xdr:nvSpPr>
      <xdr:spPr>
        <a:xfrm>
          <a:off x="7988300" y="9334500"/>
          <a:ext cx="4318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698500</xdr:colOff>
      <xdr:row>49</xdr:row>
      <xdr:rowOff>76200</xdr:rowOff>
    </xdr:from>
    <xdr:to>
      <xdr:col>16</xdr:col>
      <xdr:colOff>800100</xdr:colOff>
      <xdr:row>67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355600</xdr:rowOff>
        </xdr:from>
        <xdr:to>
          <xdr:col>7</xdr:col>
          <xdr:colOff>152400</xdr:colOff>
          <xdr:row>2</xdr:row>
          <xdr:rowOff>177800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139700</xdr:colOff>
          <xdr:row>1</xdr:row>
          <xdr:rowOff>63500</xdr:rowOff>
        </xdr:from>
        <xdr:to>
          <xdr:col>7</xdr:col>
          <xdr:colOff>152400</xdr:colOff>
          <xdr:row>1</xdr:row>
          <xdr:rowOff>304800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15</xdr:col>
      <xdr:colOff>482600</xdr:colOff>
      <xdr:row>3</xdr:row>
      <xdr:rowOff>0</xdr:rowOff>
    </xdr:from>
    <xdr:to>
      <xdr:col>25</xdr:col>
      <xdr:colOff>165100</xdr:colOff>
      <xdr:row>30</xdr:row>
      <xdr:rowOff>165100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8</xdr:row>
      <xdr:rowOff>76200</xdr:rowOff>
    </xdr:from>
    <xdr:to>
      <xdr:col>7</xdr:col>
      <xdr:colOff>673100</xdr:colOff>
      <xdr:row>12</xdr:row>
      <xdr:rowOff>139700</xdr:rowOff>
    </xdr:to>
    <xdr:sp macro="" textlink="">
      <xdr:nvSpPr>
        <xdr:cNvPr id="2" name="Down Arrow 1"/>
        <xdr:cNvSpPr/>
      </xdr:nvSpPr>
      <xdr:spPr>
        <a:xfrm>
          <a:off x="5753100" y="1028700"/>
          <a:ext cx="469900" cy="825500"/>
        </a:xfrm>
        <a:prstGeom prst="down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95250</xdr:colOff>
      <xdr:row>10</xdr:row>
      <xdr:rowOff>114300</xdr:rowOff>
    </xdr:from>
    <xdr:to>
      <xdr:col>21</xdr:col>
      <xdr:colOff>177800</xdr:colOff>
      <xdr:row>37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/>
  <dimension ref="A1:AV129"/>
  <sheetViews>
    <sheetView tabSelected="1" workbookViewId="0">
      <selection activeCell="B3" sqref="B3"/>
    </sheetView>
  </sheetViews>
  <sheetFormatPr baseColWidth="10" defaultRowHeight="15" x14ac:dyDescent="0"/>
  <cols>
    <col min="1" max="1" width="13" customWidth="1"/>
    <col min="2" max="2" width="8.83203125" customWidth="1"/>
    <col min="3" max="3" width="7.1640625" customWidth="1"/>
    <col min="4" max="4" width="8.5" style="19" customWidth="1"/>
    <col min="5" max="5" width="11.33203125" customWidth="1"/>
    <col min="6" max="6" width="10.5" customWidth="1"/>
    <col min="7" max="7" width="12.6640625" customWidth="1"/>
    <col min="8" max="8" width="12" customWidth="1"/>
    <col min="9" max="9" width="8.5" style="19" customWidth="1"/>
    <col min="10" max="10" width="10" customWidth="1"/>
    <col min="11" max="11" width="11" customWidth="1"/>
    <col min="12" max="12" width="10.6640625" customWidth="1"/>
    <col min="13" max="13" width="8.1640625" customWidth="1"/>
    <col min="14" max="14" width="8.1640625" style="19" customWidth="1"/>
    <col min="23" max="23" width="15.5" bestFit="1" customWidth="1"/>
    <col min="38" max="38" width="15.1640625" customWidth="1"/>
  </cols>
  <sheetData>
    <row r="1" spans="1:38" ht="18">
      <c r="B1" s="1"/>
      <c r="C1" s="1"/>
      <c r="D1" s="18"/>
      <c r="E1" s="3"/>
      <c r="F1" s="2" t="s">
        <v>9</v>
      </c>
      <c r="G1" s="1"/>
      <c r="H1" s="1"/>
      <c r="I1" s="18"/>
      <c r="J1" s="1" t="s">
        <v>81</v>
      </c>
      <c r="K1" s="1"/>
      <c r="L1" s="1"/>
      <c r="M1" s="1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69">
        <v>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3" thickBot="1">
      <c r="A2" s="124" t="s">
        <v>114</v>
      </c>
      <c r="B2" s="125">
        <v>121.5</v>
      </c>
      <c r="C2" s="131" t="s">
        <v>85</v>
      </c>
      <c r="D2" s="131"/>
      <c r="E2" s="131"/>
      <c r="F2" s="64"/>
      <c r="G2" s="65"/>
      <c r="H2" s="64"/>
      <c r="I2" s="132"/>
      <c r="J2" s="133"/>
      <c r="K2" s="61"/>
      <c r="M2" s="123"/>
      <c r="N2" s="67"/>
      <c r="AA2" s="122">
        <v>1</v>
      </c>
      <c r="AF2" s="62" t="s">
        <v>82</v>
      </c>
      <c r="AG2" s="121" t="s">
        <v>155</v>
      </c>
    </row>
    <row r="3" spans="1:38" ht="38" customHeight="1" thickTop="1" thickBot="1">
      <c r="A3" s="127" t="s">
        <v>20</v>
      </c>
      <c r="B3" s="126">
        <v>2.2200000000000002</v>
      </c>
      <c r="C3" s="129" t="str">
        <f>IF(AA1=1,"&lt;-Enter average gamma","Using measured gamma")</f>
        <v>Using measured gamma</v>
      </c>
      <c r="D3" s="130"/>
      <c r="E3" s="130"/>
      <c r="F3" s="66" t="s">
        <v>37</v>
      </c>
      <c r="G3" s="65"/>
      <c r="H3" s="64"/>
      <c r="I3" s="134"/>
      <c r="J3" s="134"/>
      <c r="K3" s="61"/>
      <c r="N3" s="68"/>
      <c r="AF3" s="62" t="s">
        <v>78</v>
      </c>
      <c r="AG3" s="121" t="s">
        <v>156</v>
      </c>
    </row>
    <row r="4" spans="1:38" ht="17" thickTop="1">
      <c r="A4" s="21" t="s">
        <v>11</v>
      </c>
      <c r="B4" s="4" t="s">
        <v>7</v>
      </c>
      <c r="C4" s="4" t="s">
        <v>8</v>
      </c>
      <c r="D4" s="20" t="s">
        <v>10</v>
      </c>
      <c r="E4" s="94" t="s">
        <v>115</v>
      </c>
      <c r="F4" s="24" t="s">
        <v>12</v>
      </c>
      <c r="G4" s="4" t="s">
        <v>7</v>
      </c>
      <c r="H4" s="4" t="s">
        <v>8</v>
      </c>
      <c r="I4" s="20" t="s">
        <v>10</v>
      </c>
      <c r="J4" s="94" t="s">
        <v>115</v>
      </c>
      <c r="K4" s="31" t="s">
        <v>13</v>
      </c>
      <c r="L4" s="25" t="s">
        <v>7</v>
      </c>
      <c r="M4" s="25" t="s">
        <v>8</v>
      </c>
      <c r="N4" s="20" t="s">
        <v>10</v>
      </c>
      <c r="O4" s="95" t="s">
        <v>115</v>
      </c>
    </row>
    <row r="5" spans="1:38">
      <c r="A5" s="5" t="s">
        <v>0</v>
      </c>
      <c r="B5" s="12">
        <f t="array" ref="B5:D11">TRANSPOSE(Calculation!AD9:AJ11)</f>
        <v>0.63999992551940899</v>
      </c>
      <c r="C5" s="12">
        <v>0.33000006827387507</v>
      </c>
      <c r="D5" s="16">
        <v>0.2126729</v>
      </c>
      <c r="E5" s="29">
        <f t="shared" ref="E5:E11" si="0">D5*$B$2</f>
        <v>25.839757349999999</v>
      </c>
      <c r="F5" s="39" t="s">
        <v>0</v>
      </c>
      <c r="G5" s="12">
        <f t="array" ref="G5:I11">TRANSPOSE(Calculation!AD14:AJ16)</f>
        <v>0.55955161079184346</v>
      </c>
      <c r="H5" s="12">
        <v>0.32975992882348665</v>
      </c>
      <c r="I5" s="16">
        <v>0.21076652960207304</v>
      </c>
      <c r="J5" s="26">
        <f t="shared" ref="J5:J11" si="1">I5*$B$2</f>
        <v>25.608133346651876</v>
      </c>
      <c r="K5" s="32" t="s">
        <v>0</v>
      </c>
      <c r="L5" s="12">
        <f t="array" ref="L5:N11">TRANSPOSE(Calculation!AD19:AJ21)</f>
        <v>0.48286113512868167</v>
      </c>
      <c r="M5" s="12">
        <v>0.3295310065802034</v>
      </c>
      <c r="N5" s="16">
        <v>0.20273712333565438</v>
      </c>
      <c r="O5" s="14">
        <f>N5*$B$2</f>
        <v>24.632560485282006</v>
      </c>
    </row>
    <row r="6" spans="1:38">
      <c r="A6" s="6" t="s">
        <v>1</v>
      </c>
      <c r="B6" s="12">
        <v>0.30000000838982271</v>
      </c>
      <c r="C6" s="12">
        <v>0.60000001677964543</v>
      </c>
      <c r="D6" s="16">
        <v>0.71515220000000002</v>
      </c>
      <c r="E6" s="29">
        <f t="shared" si="0"/>
        <v>86.890992300000008</v>
      </c>
      <c r="F6" s="40" t="s">
        <v>1</v>
      </c>
      <c r="G6" s="12">
        <v>0.30298298264930956</v>
      </c>
      <c r="H6" s="12">
        <v>0.53648601733777512</v>
      </c>
      <c r="I6" s="16">
        <v>0.71427724607618581</v>
      </c>
      <c r="J6" s="26">
        <f t="shared" si="1"/>
        <v>86.78468539825657</v>
      </c>
      <c r="K6" s="33" t="s">
        <v>1</v>
      </c>
      <c r="L6" s="12">
        <v>0.30624232616800584</v>
      </c>
      <c r="M6" s="12">
        <v>0.4670875162380882</v>
      </c>
      <c r="N6" s="16">
        <v>0.70330905246486686</v>
      </c>
      <c r="O6" s="14">
        <f t="shared" ref="O6:O11" si="2">N6*$B$2</f>
        <v>85.452049874481318</v>
      </c>
    </row>
    <row r="7" spans="1:38">
      <c r="A7" s="7" t="s">
        <v>2</v>
      </c>
      <c r="B7" s="12">
        <v>0.15000000831312826</v>
      </c>
      <c r="C7" s="12">
        <v>6.0000003325251315E-2</v>
      </c>
      <c r="D7" s="16">
        <v>7.2175000000000003E-2</v>
      </c>
      <c r="E7" s="29">
        <f t="shared" si="0"/>
        <v>8.7692625</v>
      </c>
      <c r="F7" s="41" t="s">
        <v>2</v>
      </c>
      <c r="G7" s="12">
        <v>0.19118097534260292</v>
      </c>
      <c r="H7" s="12">
        <v>0.1280812739921845</v>
      </c>
      <c r="I7" s="16">
        <v>6.8886056794747394E-2</v>
      </c>
      <c r="J7" s="26">
        <f t="shared" si="1"/>
        <v>8.3696559005618081</v>
      </c>
      <c r="K7" s="34" t="s">
        <v>2</v>
      </c>
      <c r="L7" s="12">
        <v>0.22855411886082075</v>
      </c>
      <c r="M7" s="12">
        <v>0.18986736798353732</v>
      </c>
      <c r="N7" s="16">
        <v>6.6670294447567405E-2</v>
      </c>
      <c r="O7" s="14">
        <f t="shared" si="2"/>
        <v>8.1004407753794396</v>
      </c>
    </row>
    <row r="8" spans="1:38">
      <c r="A8" s="8" t="s">
        <v>3</v>
      </c>
      <c r="B8" s="12">
        <v>0.41932009299800399</v>
      </c>
      <c r="C8" s="12">
        <v>0.50524582692013953</v>
      </c>
      <c r="D8" s="16">
        <v>0.92782509999999996</v>
      </c>
      <c r="E8" s="29">
        <f t="shared" si="0"/>
        <v>112.73074964999999</v>
      </c>
      <c r="F8" s="42" t="s">
        <v>3</v>
      </c>
      <c r="G8" s="12">
        <v>0.39440397947553429</v>
      </c>
      <c r="H8" s="12">
        <v>0.46405396594520948</v>
      </c>
      <c r="I8" s="16">
        <v>0.91915969216087545</v>
      </c>
      <c r="J8" s="26">
        <f t="shared" si="1"/>
        <v>111.67790259754636</v>
      </c>
      <c r="K8" s="35" t="s">
        <v>3</v>
      </c>
      <c r="L8" s="12">
        <v>0.36807729146903734</v>
      </c>
      <c r="M8" s="12">
        <v>0.42053011254343359</v>
      </c>
      <c r="N8" s="16">
        <v>0.93350664119517068</v>
      </c>
      <c r="O8" s="14">
        <f t="shared" si="2"/>
        <v>113.42105690521323</v>
      </c>
    </row>
    <row r="9" spans="1:38">
      <c r="A9" s="9" t="s">
        <v>4</v>
      </c>
      <c r="B9" s="12">
        <v>0.22465563312474432</v>
      </c>
      <c r="C9" s="12">
        <v>0.32876025920596097</v>
      </c>
      <c r="D9" s="16">
        <v>0.7873272</v>
      </c>
      <c r="E9" s="29">
        <f t="shared" si="0"/>
        <v>95.660254800000004</v>
      </c>
      <c r="F9" s="43" t="s">
        <v>4</v>
      </c>
      <c r="G9" s="96">
        <v>0.24536299745845119</v>
      </c>
      <c r="H9" s="12">
        <v>0.32882207100533711</v>
      </c>
      <c r="I9" s="16">
        <v>0.79388671396547938</v>
      </c>
      <c r="J9" s="26">
        <f t="shared" si="1"/>
        <v>96.45723574680575</v>
      </c>
      <c r="K9" s="36" t="s">
        <v>4</v>
      </c>
      <c r="L9" s="96">
        <v>0.26747725753327678</v>
      </c>
      <c r="M9" s="12">
        <v>0.3288880824100272</v>
      </c>
      <c r="N9" s="16">
        <v>0.77863254583333608</v>
      </c>
      <c r="O9" s="14">
        <f t="shared" si="2"/>
        <v>94.603854318750336</v>
      </c>
    </row>
    <row r="10" spans="1:38">
      <c r="A10" s="10" t="s">
        <v>5</v>
      </c>
      <c r="B10" s="12">
        <v>0.32093774111852907</v>
      </c>
      <c r="C10" s="12">
        <v>0.15419022119869449</v>
      </c>
      <c r="D10" s="16">
        <v>0.28484789999999999</v>
      </c>
      <c r="E10" s="29">
        <f t="shared" si="0"/>
        <v>34.609019849999996</v>
      </c>
      <c r="F10" s="44" t="s">
        <v>5</v>
      </c>
      <c r="G10" s="12">
        <v>0.31899995592848851</v>
      </c>
      <c r="H10" s="12">
        <v>0.19544987574893991</v>
      </c>
      <c r="I10" s="16">
        <v>0.27328808557613382</v>
      </c>
      <c r="J10" s="26">
        <f t="shared" si="1"/>
        <v>33.204502397500256</v>
      </c>
      <c r="K10" s="37" t="s">
        <v>5</v>
      </c>
      <c r="L10" s="12">
        <v>0.31687392768044514</v>
      </c>
      <c r="M10" s="12">
        <v>0.24071763376937003</v>
      </c>
      <c r="N10" s="16">
        <v>0.27610040254145096</v>
      </c>
      <c r="O10" s="14">
        <f t="shared" si="2"/>
        <v>33.546198908786295</v>
      </c>
    </row>
    <row r="11" spans="1:38" ht="16" thickBot="1">
      <c r="A11" s="11" t="s">
        <v>6</v>
      </c>
      <c r="B11" s="13">
        <v>0.31272660439158345</v>
      </c>
      <c r="C11" s="13">
        <v>0.32902315240275221</v>
      </c>
      <c r="D11" s="17">
        <v>1.0000001000000001</v>
      </c>
      <c r="E11" s="30">
        <f t="shared" si="0"/>
        <v>121.50001215</v>
      </c>
      <c r="F11" s="28" t="s">
        <v>6</v>
      </c>
      <c r="G11" s="13">
        <v>0.31272660439158345</v>
      </c>
      <c r="H11" s="13">
        <v>0.32902315240275221</v>
      </c>
      <c r="I11" s="17">
        <v>1.0000001000000001</v>
      </c>
      <c r="J11" s="27">
        <f t="shared" si="1"/>
        <v>121.50001215</v>
      </c>
      <c r="K11" s="38" t="s">
        <v>6</v>
      </c>
      <c r="L11" s="13">
        <v>0.31272660439158345</v>
      </c>
      <c r="M11" s="13">
        <v>0.32902315240275221</v>
      </c>
      <c r="N11" s="17">
        <v>1.0000001000000001</v>
      </c>
      <c r="O11" s="15">
        <f t="shared" si="2"/>
        <v>121.50001215</v>
      </c>
    </row>
    <row r="12" spans="1:38" ht="17" thickTop="1" thickBot="1">
      <c r="A12" s="22"/>
      <c r="B12" s="22"/>
      <c r="C12" s="22"/>
      <c r="D12" s="23"/>
      <c r="E12" s="22"/>
      <c r="F12" s="22"/>
      <c r="G12" s="22"/>
      <c r="H12" s="22"/>
      <c r="I12" s="23"/>
      <c r="J12" s="22"/>
      <c r="K12" s="22"/>
      <c r="L12" s="22"/>
      <c r="M12" s="22"/>
      <c r="N12" s="23"/>
      <c r="O12" s="22"/>
    </row>
    <row r="13" spans="1:38" ht="17" thickTop="1">
      <c r="A13" s="21" t="s">
        <v>14</v>
      </c>
      <c r="B13" s="4" t="s">
        <v>7</v>
      </c>
      <c r="C13" s="4" t="s">
        <v>8</v>
      </c>
      <c r="D13" s="20" t="s">
        <v>10</v>
      </c>
      <c r="E13" s="94" t="s">
        <v>115</v>
      </c>
      <c r="F13" s="24" t="s">
        <v>15</v>
      </c>
      <c r="G13" s="4" t="s">
        <v>7</v>
      </c>
      <c r="H13" s="4" t="s">
        <v>8</v>
      </c>
      <c r="I13" s="20" t="s">
        <v>10</v>
      </c>
      <c r="J13" s="94" t="s">
        <v>115</v>
      </c>
      <c r="K13" s="31" t="s">
        <v>16</v>
      </c>
      <c r="L13" s="25" t="s">
        <v>7</v>
      </c>
      <c r="M13" s="25" t="s">
        <v>8</v>
      </c>
      <c r="N13" s="20" t="s">
        <v>10</v>
      </c>
      <c r="O13" s="95" t="s">
        <v>115</v>
      </c>
    </row>
    <row r="14" spans="1:38">
      <c r="A14" s="5" t="s">
        <v>0</v>
      </c>
      <c r="B14" s="12">
        <f t="array" ref="B14:D20">TRANSPOSE(Calculation!AD24:AJ26)</f>
        <v>0.6399999255194091</v>
      </c>
      <c r="C14" s="12">
        <v>0.33000006827387507</v>
      </c>
      <c r="D14" s="16">
        <v>0.10963914146244808</v>
      </c>
      <c r="E14" s="29">
        <f t="shared" ref="E14:E20" si="3">D14*$B$2</f>
        <v>13.32115568768744</v>
      </c>
      <c r="F14" s="39" t="s">
        <v>0</v>
      </c>
      <c r="G14" s="12">
        <f t="array" ref="G14:I20">TRANSPOSE(Calculation!AD29:AJ31)</f>
        <v>0.55288461187796323</v>
      </c>
      <c r="H14" s="12">
        <v>0.32974002772971794</v>
      </c>
      <c r="I14" s="16">
        <v>0.10896668606456374</v>
      </c>
      <c r="J14" s="26">
        <f t="shared" ref="J14:J20" si="4">I14*$B$2</f>
        <v>13.239452356844494</v>
      </c>
      <c r="K14" s="32" t="s">
        <v>0</v>
      </c>
      <c r="L14" s="12">
        <f t="array" ref="L14:N20">TRANSPOSE(Calculation!AD34:AJ36)</f>
        <v>0.47976871549221128</v>
      </c>
      <c r="M14" s="12">
        <v>0.32952177566027202</v>
      </c>
      <c r="N14" s="16">
        <v>0.10574448379428446</v>
      </c>
      <c r="O14" s="14">
        <f>N14*$B$2</f>
        <v>12.847954781005562</v>
      </c>
    </row>
    <row r="15" spans="1:38">
      <c r="A15" s="6" t="s">
        <v>1</v>
      </c>
      <c r="B15" s="12">
        <v>0.30000000838982266</v>
      </c>
      <c r="C15" s="12">
        <v>0.60000001677964532</v>
      </c>
      <c r="D15" s="16">
        <v>0.36868201460073646</v>
      </c>
      <c r="E15" s="29">
        <f t="shared" si="3"/>
        <v>44.794864773989481</v>
      </c>
      <c r="F15" s="40" t="s">
        <v>1</v>
      </c>
      <c r="G15" s="12">
        <v>0.30316986370007376</v>
      </c>
      <c r="H15" s="12">
        <v>0.53250691395926586</v>
      </c>
      <c r="I15" s="16">
        <v>0.36240191883218426</v>
      </c>
      <c r="J15" s="26">
        <f t="shared" si="4"/>
        <v>44.031833138110386</v>
      </c>
      <c r="K15" s="33" t="s">
        <v>1</v>
      </c>
      <c r="L15" s="12">
        <v>0.30629862933698038</v>
      </c>
      <c r="M15" s="12">
        <v>0.46588869950963202</v>
      </c>
      <c r="N15" s="16">
        <v>0.35479190972751662</v>
      </c>
      <c r="O15" s="14">
        <f t="shared" ref="O15:O20" si="5">N15*$B$2</f>
        <v>43.107217031893271</v>
      </c>
    </row>
    <row r="16" spans="1:38">
      <c r="A16" s="7" t="s">
        <v>2</v>
      </c>
      <c r="B16" s="12">
        <v>0.15000000831312826</v>
      </c>
      <c r="C16" s="12">
        <v>6.0000003325251315E-2</v>
      </c>
      <c r="D16" s="16">
        <v>3.7208337475306871E-2</v>
      </c>
      <c r="E16" s="29">
        <f t="shared" si="3"/>
        <v>4.5208130032497849</v>
      </c>
      <c r="F16" s="41" t="s">
        <v>2</v>
      </c>
      <c r="G16" s="12">
        <v>0.19353865308436108</v>
      </c>
      <c r="H16" s="12">
        <v>0.13197903813082537</v>
      </c>
      <c r="I16" s="16">
        <v>3.9156122467249192E-2</v>
      </c>
      <c r="J16" s="26">
        <f t="shared" si="4"/>
        <v>4.7574688797707765</v>
      </c>
      <c r="K16" s="34" t="s">
        <v>2</v>
      </c>
      <c r="L16" s="12">
        <v>0.23233740631454494</v>
      </c>
      <c r="M16" s="12">
        <v>0.19612198111497392</v>
      </c>
      <c r="N16" s="16">
        <v>3.6892934452468412E-2</v>
      </c>
      <c r="O16" s="14">
        <f t="shared" si="5"/>
        <v>4.482491535974912</v>
      </c>
    </row>
    <row r="17" spans="1:15">
      <c r="A17" s="8" t="s">
        <v>3</v>
      </c>
      <c r="B17" s="12">
        <v>0.41932009299800393</v>
      </c>
      <c r="C17" s="12">
        <v>0.50524582692013942</v>
      </c>
      <c r="D17" s="16">
        <v>0.47832115606318454</v>
      </c>
      <c r="E17" s="29">
        <f t="shared" si="3"/>
        <v>58.116020461676925</v>
      </c>
      <c r="F17" s="42" t="s">
        <v>3</v>
      </c>
      <c r="G17" s="12">
        <v>0.39423384730319122</v>
      </c>
      <c r="H17" s="12">
        <v>0.4637726997363284</v>
      </c>
      <c r="I17" s="16">
        <v>0.48415557976496293</v>
      </c>
      <c r="J17" s="26">
        <f t="shared" si="4"/>
        <v>58.824902941442993</v>
      </c>
      <c r="K17" s="35" t="s">
        <v>3</v>
      </c>
      <c r="L17" s="12">
        <v>0.3664063103854111</v>
      </c>
      <c r="M17" s="12">
        <v>0.41776761026046744</v>
      </c>
      <c r="N17" s="16">
        <v>0.47773410430180041</v>
      </c>
      <c r="O17" s="14">
        <f t="shared" si="5"/>
        <v>58.04469367266875</v>
      </c>
    </row>
    <row r="18" spans="1:15">
      <c r="A18" s="9" t="s">
        <v>4</v>
      </c>
      <c r="B18" s="12">
        <v>0.22465563312474432</v>
      </c>
      <c r="C18" s="12">
        <v>0.32876025920596097</v>
      </c>
      <c r="D18" s="16">
        <v>0.40589035207604335</v>
      </c>
      <c r="E18" s="29">
        <f t="shared" si="3"/>
        <v>49.315677777239266</v>
      </c>
      <c r="F18" s="43" t="s">
        <v>4</v>
      </c>
      <c r="G18" s="96">
        <v>0.24592772849239825</v>
      </c>
      <c r="H18" s="12">
        <v>0.3288237567361143</v>
      </c>
      <c r="I18" s="16">
        <v>0.40215687575920173</v>
      </c>
      <c r="J18" s="26">
        <f t="shared" si="4"/>
        <v>48.862060404743012</v>
      </c>
      <c r="K18" s="36" t="s">
        <v>4</v>
      </c>
      <c r="L18" s="96">
        <v>0.26822470450181274</v>
      </c>
      <c r="M18" s="12">
        <v>0.32889031355066489</v>
      </c>
      <c r="N18" s="16">
        <v>0.39308296289261474</v>
      </c>
      <c r="O18" s="14">
        <f t="shared" si="5"/>
        <v>47.759579991452689</v>
      </c>
    </row>
    <row r="19" spans="1:15">
      <c r="A19" s="10" t="s">
        <v>5</v>
      </c>
      <c r="B19" s="12">
        <v>0.32093774111852907</v>
      </c>
      <c r="C19" s="12">
        <v>0.15419022119869452</v>
      </c>
      <c r="D19" s="16">
        <v>0.14684747893775496</v>
      </c>
      <c r="E19" s="29">
        <f t="shared" si="3"/>
        <v>17.841968690937229</v>
      </c>
      <c r="F19" s="44" t="s">
        <v>5</v>
      </c>
      <c r="G19" s="12">
        <v>0.31879017634254864</v>
      </c>
      <c r="H19" s="12">
        <v>0.19991653866496087</v>
      </c>
      <c r="I19" s="16">
        <v>0.14449500074271124</v>
      </c>
      <c r="J19" s="26">
        <f t="shared" si="4"/>
        <v>17.556142590239414</v>
      </c>
      <c r="K19" s="37" t="s">
        <v>5</v>
      </c>
      <c r="L19" s="12">
        <v>0.31695489791357279</v>
      </c>
      <c r="M19" s="12">
        <v>0.23899360168115413</v>
      </c>
      <c r="N19" s="16">
        <v>0.14554796761784047</v>
      </c>
      <c r="O19" s="14">
        <f t="shared" si="5"/>
        <v>17.684078065567618</v>
      </c>
    </row>
    <row r="20" spans="1:15" ht="16" thickBot="1">
      <c r="A20" s="11" t="s">
        <v>6</v>
      </c>
      <c r="B20" s="13">
        <v>0.31272660439158345</v>
      </c>
      <c r="C20" s="13">
        <v>0.32902315240275221</v>
      </c>
      <c r="D20" s="17">
        <v>0.51552949353849142</v>
      </c>
      <c r="E20" s="30">
        <f t="shared" si="3"/>
        <v>62.63683346492671</v>
      </c>
      <c r="F20" s="28" t="s">
        <v>6</v>
      </c>
      <c r="G20" s="13">
        <v>0.31272660439158345</v>
      </c>
      <c r="H20" s="13">
        <v>0.32902315240275221</v>
      </c>
      <c r="I20" s="17">
        <v>0.51141488495995235</v>
      </c>
      <c r="J20" s="27">
        <f t="shared" si="4"/>
        <v>62.136908522634208</v>
      </c>
      <c r="K20" s="38" t="s">
        <v>6</v>
      </c>
      <c r="L20" s="13">
        <v>0.31272660439158345</v>
      </c>
      <c r="M20" s="13">
        <v>0.32902315240275221</v>
      </c>
      <c r="N20" s="17">
        <v>0.51141488495995235</v>
      </c>
      <c r="O20" s="15">
        <f t="shared" si="5"/>
        <v>62.136908522634208</v>
      </c>
    </row>
    <row r="21" spans="1:15" ht="17" thickTop="1" thickBot="1">
      <c r="A21" s="22"/>
      <c r="B21" s="22"/>
      <c r="C21" s="22"/>
      <c r="D21" s="23"/>
      <c r="E21" s="22"/>
      <c r="F21" s="22"/>
      <c r="G21" s="22"/>
      <c r="H21" s="22"/>
      <c r="I21" s="23"/>
      <c r="J21" s="22"/>
      <c r="K21" s="22"/>
      <c r="L21" s="22"/>
      <c r="M21" s="22"/>
      <c r="N21" s="23"/>
      <c r="O21" s="22"/>
    </row>
    <row r="22" spans="1:15" ht="17" thickTop="1">
      <c r="A22" s="21" t="s">
        <v>17</v>
      </c>
      <c r="B22" s="4" t="s">
        <v>7</v>
      </c>
      <c r="C22" s="4" t="s">
        <v>8</v>
      </c>
      <c r="D22" s="20" t="s">
        <v>10</v>
      </c>
      <c r="E22" s="94" t="s">
        <v>115</v>
      </c>
      <c r="F22" s="24" t="s">
        <v>18</v>
      </c>
      <c r="G22" s="4" t="s">
        <v>7</v>
      </c>
      <c r="H22" s="4" t="s">
        <v>8</v>
      </c>
      <c r="I22" s="20" t="s">
        <v>10</v>
      </c>
      <c r="J22" s="94" t="s">
        <v>115</v>
      </c>
      <c r="K22" s="31" t="s">
        <v>19</v>
      </c>
      <c r="L22" s="25" t="s">
        <v>7</v>
      </c>
      <c r="M22" s="25" t="s">
        <v>8</v>
      </c>
      <c r="N22" s="20" t="s">
        <v>10</v>
      </c>
      <c r="O22" s="95" t="s">
        <v>115</v>
      </c>
    </row>
    <row r="23" spans="1:15">
      <c r="A23" s="5" t="s">
        <v>0</v>
      </c>
      <c r="B23" s="12">
        <f t="array" ref="B23:D29">TRANSPOSE(Calculation!AD39:AJ41)</f>
        <v>0.63999992551940887</v>
      </c>
      <c r="C23" s="12">
        <v>0.33000006827387507</v>
      </c>
      <c r="D23" s="16">
        <v>4.3973481411113048E-2</v>
      </c>
      <c r="E23" s="29">
        <f>D23*$B$2</f>
        <v>5.3427779914502356</v>
      </c>
      <c r="F23" s="39" t="s">
        <v>0</v>
      </c>
      <c r="G23" s="12">
        <f t="array" ref="G23:I29">TRANSPOSE(Calculation!AD44:AJ47)</f>
        <v>0.55075733054785814</v>
      </c>
      <c r="H23" s="12">
        <v>0.32973367776239842</v>
      </c>
      <c r="I23" s="16">
        <v>4.4338446926137885E-2</v>
      </c>
      <c r="J23" s="26">
        <f>I23*$B$2</f>
        <v>5.3871213015257533</v>
      </c>
      <c r="K23" s="32" t="s">
        <v>0</v>
      </c>
      <c r="L23" s="12">
        <f t="array" ref="L23:N29">TRANSPOSE(Calculation!AD49:AJ51)</f>
        <v>0.47217761238462186</v>
      </c>
      <c r="M23" s="12">
        <v>0.32949911610134558</v>
      </c>
      <c r="N23" s="16">
        <v>4.4187356179867264E-2</v>
      </c>
      <c r="O23" s="14">
        <f>N23*$B$2</f>
        <v>5.3687637758538722</v>
      </c>
    </row>
    <row r="24" spans="1:15">
      <c r="A24" s="6" t="s">
        <v>1</v>
      </c>
      <c r="B24" s="12">
        <v>0.30000000838982271</v>
      </c>
      <c r="C24" s="12">
        <v>0.60000001677964543</v>
      </c>
      <c r="D24" s="16">
        <v>0.14786901374277869</v>
      </c>
      <c r="E24" s="29">
        <f t="shared" ref="E24:E29" si="6">D24*$B$2</f>
        <v>17.966085169747611</v>
      </c>
      <c r="F24" s="40" t="s">
        <v>1</v>
      </c>
      <c r="G24" s="12">
        <v>0.3036064047462102</v>
      </c>
      <c r="H24" s="12">
        <v>0.52321200714855975</v>
      </c>
      <c r="I24" s="16">
        <v>0.14656409487044667</v>
      </c>
      <c r="J24" s="26">
        <f t="shared" ref="J24:J29" si="7">I24*$B$2</f>
        <v>17.807537526759269</v>
      </c>
      <c r="K24" s="33" t="s">
        <v>1</v>
      </c>
      <c r="L24" s="12">
        <v>0.30628544205191582</v>
      </c>
      <c r="M24" s="12">
        <v>0.46616948544453246</v>
      </c>
      <c r="N24" s="16">
        <v>0.14829652139209698</v>
      </c>
      <c r="O24" s="14">
        <f t="shared" ref="O24:O29" si="8">N24*$B$2</f>
        <v>18.018027349139782</v>
      </c>
    </row>
    <row r="25" spans="1:15">
      <c r="A25" s="7" t="s">
        <v>2</v>
      </c>
      <c r="B25" s="12">
        <v>0.15000000831312826</v>
      </c>
      <c r="C25" s="12">
        <v>6.0000003325251308E-2</v>
      </c>
      <c r="D25" s="16">
        <v>1.4923321311023098E-2</v>
      </c>
      <c r="E25" s="29">
        <f t="shared" si="6"/>
        <v>1.8131835392893063</v>
      </c>
      <c r="F25" s="41" t="s">
        <v>2</v>
      </c>
      <c r="G25" s="12">
        <v>0.19997472412540196</v>
      </c>
      <c r="H25" s="12">
        <v>0.14261929080539459</v>
      </c>
      <c r="I25" s="16">
        <v>1.7028062512397815E-2</v>
      </c>
      <c r="J25" s="26">
        <f t="shared" si="7"/>
        <v>2.0689095952563346</v>
      </c>
      <c r="K25" s="34" t="s">
        <v>2</v>
      </c>
      <c r="L25" s="12">
        <v>0.24116895860655324</v>
      </c>
      <c r="M25" s="12">
        <v>0.21072249551209937</v>
      </c>
      <c r="N25" s="16">
        <v>1.7160766110976763E-2</v>
      </c>
      <c r="O25" s="14">
        <f t="shared" si="8"/>
        <v>2.0850330824836769</v>
      </c>
    </row>
    <row r="26" spans="1:15">
      <c r="A26" s="8" t="s">
        <v>3</v>
      </c>
      <c r="B26" s="12">
        <v>0.41932009299800393</v>
      </c>
      <c r="C26" s="12">
        <v>0.50524582692013942</v>
      </c>
      <c r="D26" s="16">
        <v>0.19184249515389173</v>
      </c>
      <c r="E26" s="29">
        <f t="shared" si="6"/>
        <v>23.308863161197845</v>
      </c>
      <c r="F26" s="42" t="s">
        <v>3</v>
      </c>
      <c r="G26" s="12">
        <v>0.39283985980315977</v>
      </c>
      <c r="H26" s="12">
        <v>0.46146812927230718</v>
      </c>
      <c r="I26" s="16">
        <v>0.19432674459270161</v>
      </c>
      <c r="J26" s="26">
        <f t="shared" si="7"/>
        <v>23.610699468013244</v>
      </c>
      <c r="K26" s="35" t="s">
        <v>3</v>
      </c>
      <c r="L26" s="12">
        <v>0.36452997496201256</v>
      </c>
      <c r="M26" s="12">
        <v>0.41466561171509775</v>
      </c>
      <c r="N26" s="16">
        <v>0.18597186706575533</v>
      </c>
      <c r="O26" s="14">
        <f t="shared" si="8"/>
        <v>22.595581848489271</v>
      </c>
    </row>
    <row r="27" spans="1:15">
      <c r="A27" s="9" t="s">
        <v>4</v>
      </c>
      <c r="B27" s="12">
        <v>0.22465563312474432</v>
      </c>
      <c r="C27" s="12">
        <v>0.32876025920596097</v>
      </c>
      <c r="D27" s="16">
        <v>0.16279233505380178</v>
      </c>
      <c r="E27" s="29">
        <f t="shared" si="6"/>
        <v>19.779268709036916</v>
      </c>
      <c r="F27" s="43" t="s">
        <v>4</v>
      </c>
      <c r="G27" s="96">
        <v>0.24705316935377244</v>
      </c>
      <c r="H27" s="12">
        <v>0.32882711619430571</v>
      </c>
      <c r="I27" s="16">
        <v>0.16192845611837833</v>
      </c>
      <c r="J27" s="26">
        <f t="shared" si="7"/>
        <v>19.674307418382966</v>
      </c>
      <c r="K27" s="36" t="s">
        <v>4</v>
      </c>
      <c r="L27" s="96">
        <v>0.26798458426203309</v>
      </c>
      <c r="M27" s="12">
        <v>0.32888959678807506</v>
      </c>
      <c r="N27" s="16">
        <v>0.16424399599093609</v>
      </c>
      <c r="O27" s="14">
        <f t="shared" si="8"/>
        <v>19.955645512898734</v>
      </c>
    </row>
    <row r="28" spans="1:15">
      <c r="A28" s="10" t="s">
        <v>5</v>
      </c>
      <c r="B28" s="12">
        <v>0.32093774111852907</v>
      </c>
      <c r="C28" s="12">
        <v>0.15419022119869452</v>
      </c>
      <c r="D28" s="16">
        <v>5.8896802722136148E-2</v>
      </c>
      <c r="E28" s="29">
        <f t="shared" si="6"/>
        <v>7.1559615307395417</v>
      </c>
      <c r="F28" s="44" t="s">
        <v>5</v>
      </c>
      <c r="G28" s="12">
        <v>0.31875522283672897</v>
      </c>
      <c r="H28" s="12">
        <v>0.20066077470456506</v>
      </c>
      <c r="I28" s="16">
        <v>5.9926506984327922E-2</v>
      </c>
      <c r="J28" s="26">
        <f t="shared" si="7"/>
        <v>7.2810705985958428</v>
      </c>
      <c r="K28" s="37" t="s">
        <v>5</v>
      </c>
      <c r="L28" s="12">
        <v>0.31663149022879011</v>
      </c>
      <c r="M28" s="12">
        <v>0.24587965356224414</v>
      </c>
      <c r="N28" s="16">
        <v>5.871506698676919E-2</v>
      </c>
      <c r="O28" s="14">
        <f t="shared" si="8"/>
        <v>7.1338806388924567</v>
      </c>
    </row>
    <row r="29" spans="1:15" ht="16" thickBot="1">
      <c r="A29" s="11" t="s">
        <v>6</v>
      </c>
      <c r="B29" s="13">
        <v>0.31272660439158345</v>
      </c>
      <c r="C29" s="13">
        <v>0.32902315240275221</v>
      </c>
      <c r="D29" s="17">
        <v>0.20566254405441328</v>
      </c>
      <c r="E29" s="30">
        <f t="shared" si="6"/>
        <v>24.987999102611212</v>
      </c>
      <c r="F29" s="28" t="s">
        <v>6</v>
      </c>
      <c r="G29" s="13">
        <v>0.31272660439158345</v>
      </c>
      <c r="H29" s="13">
        <v>0.32902315240275221</v>
      </c>
      <c r="I29" s="17">
        <v>0.20566254405441328</v>
      </c>
      <c r="J29" s="27">
        <f t="shared" si="7"/>
        <v>24.987999102611212</v>
      </c>
      <c r="K29" s="38" t="s">
        <v>6</v>
      </c>
      <c r="L29" s="13">
        <v>0.31272660439158345</v>
      </c>
      <c r="M29" s="13">
        <v>0.32902315240275221</v>
      </c>
      <c r="N29" s="17">
        <v>0.20566254405441328</v>
      </c>
      <c r="O29" s="15">
        <f t="shared" si="8"/>
        <v>24.987999102611212</v>
      </c>
    </row>
    <row r="30" spans="1:15" ht="15" customHeight="1" thickTop="1">
      <c r="A30" s="22"/>
      <c r="B30" s="22"/>
      <c r="C30" s="22"/>
      <c r="D30" s="23"/>
      <c r="E30" s="22"/>
      <c r="F30" s="22"/>
      <c r="G30" s="22"/>
      <c r="H30" s="22"/>
      <c r="I30" s="23"/>
      <c r="J30" s="22"/>
      <c r="K30" s="22"/>
      <c r="L30" s="22"/>
      <c r="M30" s="22"/>
      <c r="N30" s="23"/>
      <c r="O30" s="22"/>
    </row>
    <row r="31" spans="1:15" ht="14" customHeight="1">
      <c r="D31"/>
      <c r="I31"/>
      <c r="N31"/>
    </row>
    <row r="32" spans="1:15" ht="18">
      <c r="A32" s="46" t="s">
        <v>75</v>
      </c>
      <c r="D32"/>
      <c r="I32"/>
      <c r="N32"/>
    </row>
    <row r="33" spans="1:17" ht="18">
      <c r="A33" s="2"/>
      <c r="B33" s="54" t="s">
        <v>7</v>
      </c>
      <c r="C33" s="54" t="s">
        <v>8</v>
      </c>
      <c r="D33" s="54" t="s">
        <v>10</v>
      </c>
      <c r="E33" s="97" t="s">
        <v>116</v>
      </c>
      <c r="G33" s="90" t="s">
        <v>86</v>
      </c>
      <c r="H33" s="54" t="s">
        <v>7</v>
      </c>
      <c r="I33" s="54" t="s">
        <v>8</v>
      </c>
      <c r="J33" s="54" t="s">
        <v>10</v>
      </c>
      <c r="K33" s="97" t="s">
        <v>116</v>
      </c>
      <c r="L33" s="71" t="s">
        <v>110</v>
      </c>
      <c r="M33" s="71" t="s">
        <v>111</v>
      </c>
      <c r="N33" s="71" t="s">
        <v>112</v>
      </c>
      <c r="O33" s="71" t="s">
        <v>113</v>
      </c>
      <c r="P33" s="71" t="s">
        <v>144</v>
      </c>
    </row>
    <row r="34" spans="1:17">
      <c r="A34" s="72" t="s">
        <v>21</v>
      </c>
      <c r="B34" s="84">
        <f t="array" ref="B34:D45">TRANSPOSE(Calculation!AY55:BJ57)</f>
        <v>0.40166372956958324</v>
      </c>
      <c r="C34" s="84">
        <v>0.35919969907095634</v>
      </c>
      <c r="D34" s="85">
        <v>9.5533415475593422E-2</v>
      </c>
      <c r="E34" s="106">
        <f>D34*$B$2</f>
        <v>11.607309980284601</v>
      </c>
      <c r="G34" s="72" t="s">
        <v>21</v>
      </c>
      <c r="H34" s="116">
        <v>0.40841899999999998</v>
      </c>
      <c r="I34" s="116">
        <v>0.360653</v>
      </c>
      <c r="J34" s="92">
        <f t="shared" ref="J34:J45" si="9">K34/$B$2</f>
        <v>9.3908008230452672E-2</v>
      </c>
      <c r="K34" s="116">
        <v>11.409822999999999</v>
      </c>
      <c r="L34" s="109">
        <f>Calculation!K97-Calculation!K81</f>
        <v>-0.30246482628530202</v>
      </c>
      <c r="M34" s="109">
        <f>SQRT(Calculation!L97^2+Calculation!M97^2)-SQRT(Calculation!L81^2+Calculation!M81^2)</f>
        <v>1.3116143314428541</v>
      </c>
      <c r="N34" s="109">
        <f>SQRT((Calculation!L81-Calculation!L97)^2+(Calculation!M81-Calculation!M97)^2-M34^2)</f>
        <v>6.8816828605490946E-2</v>
      </c>
      <c r="O34" s="103">
        <f>SQRT(L34^2+(M34/Calculation!O81)^2+(N34/Calculation!P81)^2)</f>
        <v>0.77420624793199577</v>
      </c>
      <c r="P34" s="103">
        <f>Calculation!Z111</f>
        <v>0.80704163865283007</v>
      </c>
    </row>
    <row r="35" spans="1:17">
      <c r="A35" s="73" t="s">
        <v>22</v>
      </c>
      <c r="B35" s="86">
        <v>0.38996524517796866</v>
      </c>
      <c r="C35" s="86">
        <v>0.35300024761350546</v>
      </c>
      <c r="D35" s="87">
        <v>0.33613485555013767</v>
      </c>
      <c r="E35" s="107">
        <f t="shared" ref="E35:E45" si="10">D35*$B$2</f>
        <v>40.840384949341725</v>
      </c>
      <c r="G35" s="73" t="s">
        <v>22</v>
      </c>
      <c r="H35" s="117">
        <v>0.39772999999999997</v>
      </c>
      <c r="I35" s="117">
        <v>0.35244399999999998</v>
      </c>
      <c r="J35" s="92">
        <f t="shared" si="9"/>
        <v>0.33079855967078192</v>
      </c>
      <c r="K35" s="117">
        <v>40.192025000000001</v>
      </c>
      <c r="L35" s="109">
        <f>Calculation!K98-Calculation!K82</f>
        <v>-0.42908842314467677</v>
      </c>
      <c r="M35" s="109">
        <f>SQRT(Calculation!L98^2+Calculation!M98^2)-SQRT(Calculation!L82^2+Calculation!M82^2)</f>
        <v>2.4929568906020556</v>
      </c>
      <c r="N35" s="109">
        <f>SQRT((Calculation!L82-Calculation!L98)^2+(Calculation!M82-Calculation!M98)^2-M35^2)</f>
        <v>0.98982745203673705</v>
      </c>
      <c r="O35" s="104">
        <f>SQRT(L35^2+(M35/Calculation!O82)^2+(N35/Calculation!P82)^2)</f>
        <v>1.4422097585937839</v>
      </c>
      <c r="P35" s="104">
        <f>Calculation!Z112</f>
        <v>1.5166278193108633</v>
      </c>
    </row>
    <row r="36" spans="1:17">
      <c r="A36" s="74" t="s">
        <v>23</v>
      </c>
      <c r="B36" s="86">
        <v>0.24636327753543355</v>
      </c>
      <c r="C36" s="86">
        <v>0.26619355833258418</v>
      </c>
      <c r="D36" s="87">
        <v>0.17702898788745369</v>
      </c>
      <c r="E36" s="107">
        <f t="shared" si="10"/>
        <v>21.509022028325624</v>
      </c>
      <c r="G36" s="74" t="s">
        <v>23</v>
      </c>
      <c r="H36" s="117">
        <v>0.242143</v>
      </c>
      <c r="I36" s="119">
        <v>0.26463700000000001</v>
      </c>
      <c r="J36" s="92">
        <f t="shared" si="9"/>
        <v>0.1716221316872428</v>
      </c>
      <c r="K36" s="117">
        <v>20.852088999999999</v>
      </c>
      <c r="L36" s="109">
        <f>Calculation!K99-Calculation!K83</f>
        <v>-0.66997744949466664</v>
      </c>
      <c r="M36" s="109">
        <f>SQRT(Calculation!L99^2+Calculation!M99^2)-SQRT(Calculation!L83^2+Calculation!M83^2)</f>
        <v>0.69606827215726597</v>
      </c>
      <c r="N36" s="109">
        <f>SQRT((Calculation!L83-Calculation!L99)^2+(Calculation!M83-Calculation!M99)^2-M36^2)</f>
        <v>0.93355050986026422</v>
      </c>
      <c r="O36" s="104">
        <f>SQRT(L36^2+(M36/Calculation!O83)^2+(N36/Calculation!P83)^2)</f>
        <v>1.03642513851263</v>
      </c>
      <c r="P36" s="104">
        <f>Calculation!Z113</f>
        <v>1.1693021500273253</v>
      </c>
    </row>
    <row r="37" spans="1:17">
      <c r="A37" s="75" t="s">
        <v>24</v>
      </c>
      <c r="B37" s="86">
        <v>0.34053581893569834</v>
      </c>
      <c r="C37" s="86">
        <v>0.43148158375566603</v>
      </c>
      <c r="D37" s="87">
        <v>0.12472423247380628</v>
      </c>
      <c r="E37" s="107">
        <f t="shared" si="10"/>
        <v>15.153994245567462</v>
      </c>
      <c r="G37" s="75" t="s">
        <v>24</v>
      </c>
      <c r="H37" s="117">
        <v>0.34056999999999998</v>
      </c>
      <c r="I37" s="117">
        <v>0.44148399999999999</v>
      </c>
      <c r="J37" s="92">
        <f t="shared" si="9"/>
        <v>0.12493921810699589</v>
      </c>
      <c r="K37" s="117">
        <v>15.180115000000001</v>
      </c>
      <c r="L37" s="109">
        <f>Calculation!K100-Calculation!K84</f>
        <v>3.3280991066575893E-2</v>
      </c>
      <c r="M37" s="109">
        <f>SQRT(Calculation!L100^2+Calculation!M100^2)-SQRT(Calculation!L84^2+Calculation!M84^2)</f>
        <v>2.4810126194463216</v>
      </c>
      <c r="N37" s="109">
        <f>SQRT((Calculation!L84-Calculation!L100)^2+(Calculation!M84-Calculation!M100)^2-M37^2)</f>
        <v>0.42728555594387974</v>
      </c>
      <c r="O37" s="104">
        <f>SQRT(L37^2+(M37/Calculation!O84)^2+(N37/Calculation!P84)^2)</f>
        <v>1.1810546279259844</v>
      </c>
      <c r="P37" s="104">
        <f>Calculation!Z114</f>
        <v>1.1877132240049257</v>
      </c>
    </row>
    <row r="38" spans="1:17">
      <c r="A38" s="76" t="s">
        <v>25</v>
      </c>
      <c r="B38" s="86">
        <v>0.2679295778716187</v>
      </c>
      <c r="C38" s="86">
        <v>0.25334781806876888</v>
      </c>
      <c r="D38" s="87">
        <v>0.22245296193599537</v>
      </c>
      <c r="E38" s="107">
        <f t="shared" si="10"/>
        <v>27.028034875223437</v>
      </c>
      <c r="G38" s="76" t="s">
        <v>25</v>
      </c>
      <c r="H38" s="117">
        <v>0.26616800000000002</v>
      </c>
      <c r="I38" s="117">
        <v>0.24794099999999999</v>
      </c>
      <c r="J38" s="92">
        <f t="shared" si="9"/>
        <v>0.21547192592592593</v>
      </c>
      <c r="K38" s="117">
        <v>26.179839000000001</v>
      </c>
      <c r="L38" s="109">
        <f>Calculation!K101-Calculation!K85</f>
        <v>-0.74307154568961664</v>
      </c>
      <c r="M38" s="109">
        <f>SQRT(Calculation!L101^2+Calculation!M101^2)-SQRT(Calculation!L85^2+Calculation!M85^2)</f>
        <v>1.9680443809298609</v>
      </c>
      <c r="N38" s="109">
        <f>SQRT((Calculation!L85-Calculation!L101)^2+(Calculation!M85-Calculation!M101)^2-M38^2)</f>
        <v>0.67271950143023185</v>
      </c>
      <c r="O38" s="104">
        <f>SQRT(L38^2+(M38/Calculation!O85)^2+(N38/Calculation!P85)^2)</f>
        <v>1.2563662342815733</v>
      </c>
      <c r="P38" s="104">
        <f>Calculation!Z115</f>
        <v>1.2390504420641288</v>
      </c>
    </row>
    <row r="39" spans="1:17">
      <c r="A39" s="77" t="s">
        <v>26</v>
      </c>
      <c r="B39" s="86">
        <v>0.25688229832049442</v>
      </c>
      <c r="C39" s="86">
        <v>0.35973616574362566</v>
      </c>
      <c r="D39" s="87">
        <v>0.40741258710428147</v>
      </c>
      <c r="E39" s="107">
        <f t="shared" si="10"/>
        <v>49.500629333170195</v>
      </c>
      <c r="G39" s="77" t="s">
        <v>26</v>
      </c>
      <c r="H39" s="117">
        <v>0.25722400000000001</v>
      </c>
      <c r="I39" s="117">
        <v>0.35779499999999997</v>
      </c>
      <c r="J39" s="92">
        <f t="shared" si="9"/>
        <v>0.4006653004115226</v>
      </c>
      <c r="K39" s="117">
        <v>48.680833999999997</v>
      </c>
      <c r="L39" s="109">
        <f>Calculation!K102-Calculation!K86</f>
        <v>-0.47737098735079542</v>
      </c>
      <c r="M39" s="109">
        <f>SQRT(Calculation!L102^2+Calculation!M102^2)-SQRT(Calculation!L86^2+Calculation!M86^2)</f>
        <v>-0.95213324190217463</v>
      </c>
      <c r="N39" s="109">
        <f>SQRT((Calculation!L86-Calculation!L102)^2+(Calculation!M86-Calculation!M102)^2-M39^2)</f>
        <v>0.45051548334134173</v>
      </c>
      <c r="O39" s="104">
        <f>SQRT(L39^2+(M39/Calculation!O86)^2+(N39/Calculation!P86)^2)</f>
        <v>0.67858260018933003</v>
      </c>
      <c r="P39" s="104">
        <f>Calculation!Z116</f>
        <v>0.60915918414649539</v>
      </c>
    </row>
    <row r="40" spans="1:17">
      <c r="A40" s="78" t="s">
        <v>27</v>
      </c>
      <c r="B40" s="86">
        <v>0.51215756636246967</v>
      </c>
      <c r="C40" s="86">
        <v>0.40038682437689344</v>
      </c>
      <c r="D40" s="87">
        <v>0.29509378025790506</v>
      </c>
      <c r="E40" s="107">
        <f t="shared" si="10"/>
        <v>35.853894301335465</v>
      </c>
      <c r="G40" s="78" t="s">
        <v>27</v>
      </c>
      <c r="H40" s="117">
        <v>0.50941099999999995</v>
      </c>
      <c r="I40" s="117">
        <v>0.39992299999999997</v>
      </c>
      <c r="J40" s="92">
        <f t="shared" si="9"/>
        <v>0.30494074897119339</v>
      </c>
      <c r="K40" s="117">
        <v>37.050300999999997</v>
      </c>
      <c r="L40" s="109">
        <f>Calculation!K103-Calculation!K87</f>
        <v>0.84963055556532652</v>
      </c>
      <c r="M40" s="109">
        <f>SQRT(Calculation!L103^2+Calculation!M103^2)-SQRT(Calculation!L87^2+Calculation!M87^2)</f>
        <v>-0.39351363169450337</v>
      </c>
      <c r="N40" s="109">
        <f>SQRT((Calculation!L87-Calculation!L103)^2+(Calculation!M87-Calculation!M103)^2-M40^2)</f>
        <v>8.0802929661627582E-2</v>
      </c>
      <c r="O40" s="104">
        <f>SQRT(L40^2+(M40/Calculation!O87)^2+(N40/Calculation!P87)^2)</f>
        <v>0.85647715464699836</v>
      </c>
      <c r="P40" s="104">
        <f>Calculation!Z117</f>
        <v>0.73870332718321974</v>
      </c>
    </row>
    <row r="41" spans="1:17">
      <c r="A41" s="79" t="s">
        <v>28</v>
      </c>
      <c r="B41" s="86">
        <v>0.20760649111382143</v>
      </c>
      <c r="C41" s="86">
        <v>0.17897257310182088</v>
      </c>
      <c r="D41" s="87">
        <v>0.10870480835195165</v>
      </c>
      <c r="E41" s="107">
        <f t="shared" si="10"/>
        <v>13.207634214762125</v>
      </c>
      <c r="G41" s="79" t="s">
        <v>28</v>
      </c>
      <c r="H41" s="117">
        <v>0.20791899999999999</v>
      </c>
      <c r="I41" s="117">
        <v>0.176846</v>
      </c>
      <c r="J41" s="92">
        <f t="shared" si="9"/>
        <v>0.10798228806584362</v>
      </c>
      <c r="K41" s="117">
        <v>13.119847999999999</v>
      </c>
      <c r="L41" s="109">
        <f>Calculation!K104-Calculation!K88</f>
        <v>-0.12292842130592874</v>
      </c>
      <c r="M41" s="109">
        <f>SQRT(Calculation!L104^2+Calculation!M104^2)-SQRT(Calculation!L88^2+Calculation!M88^2)</f>
        <v>0.95006207062092329</v>
      </c>
      <c r="N41" s="109">
        <f>SQRT((Calculation!L88-Calculation!L104)^2+(Calculation!M88-Calculation!M104)^2-M41^2)</f>
        <v>0.8246274406592301</v>
      </c>
      <c r="O41" s="104">
        <f>SQRT(L41^2+(M41/Calculation!O88)^2+(N41/Calculation!P88)^2)</f>
        <v>0.58275558494276136</v>
      </c>
      <c r="P41" s="104">
        <f>Calculation!Z118</f>
        <v>0.53732001153677211</v>
      </c>
    </row>
    <row r="42" spans="1:17">
      <c r="A42" s="80" t="s">
        <v>29</v>
      </c>
      <c r="B42" s="86">
        <v>0.47303640977496214</v>
      </c>
      <c r="C42" s="86">
        <v>0.31269382450071254</v>
      </c>
      <c r="D42" s="87">
        <v>0.18447484755283944</v>
      </c>
      <c r="E42" s="107">
        <f t="shared" si="10"/>
        <v>22.413693977669993</v>
      </c>
      <c r="G42" s="80" t="s">
        <v>29</v>
      </c>
      <c r="H42" s="117">
        <v>0.47115099999999999</v>
      </c>
      <c r="I42" s="117">
        <v>0.30923299999999998</v>
      </c>
      <c r="J42" s="92">
        <f t="shared" si="9"/>
        <v>0.18990562962962962</v>
      </c>
      <c r="K42" s="117">
        <v>23.073533999999999</v>
      </c>
      <c r="L42" s="109">
        <f>Calculation!K105-Calculation!K89</f>
        <v>0.64174215772723642</v>
      </c>
      <c r="M42" s="109">
        <f>SQRT(Calculation!L105^2+Calculation!M105^2)-SQRT(Calculation!L89^2+Calculation!M89^2)</f>
        <v>0.88257293291025718</v>
      </c>
      <c r="N42" s="109">
        <f>SQRT((Calculation!L89-Calculation!L105)^2+(Calculation!M89-Calculation!M105)^2-M42^2)</f>
        <v>1.3648447290372727</v>
      </c>
      <c r="O42" s="104">
        <f>SQRT(L42^2+(M42/Calculation!O89)^2+(N42/Calculation!P89)^2)</f>
        <v>1.0435153280734639</v>
      </c>
      <c r="P42" s="104">
        <f>Calculation!Z119</f>
        <v>1.1729237797418257</v>
      </c>
    </row>
    <row r="43" spans="1:17">
      <c r="A43" s="81" t="s">
        <v>30</v>
      </c>
      <c r="B43" s="86">
        <v>0.29386112688177674</v>
      </c>
      <c r="C43" s="86">
        <v>0.22047900822168157</v>
      </c>
      <c r="D43" s="87">
        <v>6.0982867089110063E-2</v>
      </c>
      <c r="E43" s="107">
        <f t="shared" si="10"/>
        <v>7.409418351326873</v>
      </c>
      <c r="G43" s="81" t="s">
        <v>30</v>
      </c>
      <c r="H43" s="117">
        <v>0.29322700000000002</v>
      </c>
      <c r="I43" s="117">
        <v>0.21398600000000001</v>
      </c>
      <c r="J43" s="92">
        <f t="shared" si="9"/>
        <v>5.8861588477366257E-2</v>
      </c>
      <c r="K43" s="117">
        <v>7.1516830000000002</v>
      </c>
      <c r="L43" s="109">
        <f>Calculation!K106-Calculation!K90</f>
        <v>-0.53567455033769562</v>
      </c>
      <c r="M43" s="109">
        <f>SQRT(Calculation!L106^2+Calculation!M106^2)-SQRT(Calculation!L90^2+Calculation!M90^2)</f>
        <v>2.1198062265066859</v>
      </c>
      <c r="N43" s="109">
        <f>SQRT((Calculation!L90-Calculation!L106)^2+(Calculation!M90-Calculation!M106)^2-M43^2)</f>
        <v>0.2356263012177971</v>
      </c>
      <c r="O43" s="104">
        <f>SQRT(L43^2+(M43/Calculation!O90)^2+(N43/Calculation!P90)^2)</f>
        <v>1.0414073304397937</v>
      </c>
      <c r="P43" s="104">
        <f>Calculation!Z120</f>
        <v>0.9752028051623266</v>
      </c>
    </row>
    <row r="44" spans="1:17">
      <c r="A44" s="82" t="s">
        <v>31</v>
      </c>
      <c r="B44" s="86">
        <v>0.37426931643628752</v>
      </c>
      <c r="C44" s="86">
        <v>0.49893305000555205</v>
      </c>
      <c r="D44" s="87">
        <v>0.43154229403966826</v>
      </c>
      <c r="E44" s="107">
        <f t="shared" si="10"/>
        <v>52.432388725819692</v>
      </c>
      <c r="G44" s="82" t="s">
        <v>31</v>
      </c>
      <c r="H44" s="117">
        <v>0.374033</v>
      </c>
      <c r="I44" s="117">
        <v>0.49378499999999997</v>
      </c>
      <c r="J44" s="92">
        <f t="shared" si="9"/>
        <v>0.43458767901234568</v>
      </c>
      <c r="K44" s="117">
        <v>52.802402999999998</v>
      </c>
      <c r="L44" s="109">
        <f>Calculation!K107-Calculation!K91</f>
        <v>0.20572064675600643</v>
      </c>
      <c r="M44" s="109">
        <f>SQRT(Calculation!L107^2+Calculation!M107^2)-SQRT(Calculation!L91^2+Calculation!M91^2)</f>
        <v>-1.8122747498714773</v>
      </c>
      <c r="N44" s="109">
        <f>SQRT((Calculation!L91-Calculation!L107)^2+(Calculation!M91-Calculation!M107)^2-M44^2)</f>
        <v>0.3037319557643996</v>
      </c>
      <c r="O44" s="104">
        <f>SQRT(L44^2+(M44/Calculation!O91)^2+(N44/Calculation!P91)^2)</f>
        <v>0.52950085846076567</v>
      </c>
      <c r="P44" s="104">
        <f>Calculation!Z121</f>
        <v>0.51114425580723499</v>
      </c>
    </row>
    <row r="45" spans="1:17">
      <c r="A45" s="83" t="s">
        <v>32</v>
      </c>
      <c r="B45" s="88">
        <v>0.47882962201469237</v>
      </c>
      <c r="C45" s="88">
        <v>0.4398735020138273</v>
      </c>
      <c r="D45" s="89">
        <v>0.41146575316542955</v>
      </c>
      <c r="E45" s="108">
        <f t="shared" si="10"/>
        <v>49.993089009599693</v>
      </c>
      <c r="G45" s="83" t="s">
        <v>32</v>
      </c>
      <c r="H45" s="118">
        <v>0.478792</v>
      </c>
      <c r="I45" s="118">
        <v>0.43688700000000003</v>
      </c>
      <c r="J45" s="92">
        <f t="shared" si="9"/>
        <v>0.41560972016460906</v>
      </c>
      <c r="K45" s="118">
        <v>50.496580999999999</v>
      </c>
      <c r="L45" s="109">
        <f>Calculation!K108-Calculation!K92</f>
        <v>0.28867661937543687</v>
      </c>
      <c r="M45" s="109">
        <f>SQRT(Calculation!L108^2+Calculation!M108^2)-SQRT(Calculation!L92^2+Calculation!M92^2)</f>
        <v>-0.70470486642989272</v>
      </c>
      <c r="N45" s="109">
        <f>SQRT((Calculation!L92-Calculation!L108)^2+(Calculation!M92-Calculation!M108)^2-M45^2)</f>
        <v>1.1568407882957488</v>
      </c>
      <c r="O45" s="105">
        <f>SQRT(L45^2+(M45/Calculation!O92)^2+(N45/Calculation!P92)^2)</f>
        <v>0.66198467389144777</v>
      </c>
      <c r="P45" s="105">
        <f>Calculation!Z122</f>
        <v>0.62602906146405435</v>
      </c>
    </row>
    <row r="46" spans="1:17">
      <c r="L46" s="114">
        <f>AVERAGE(L34:L45)</f>
        <v>-0.10512710275984165</v>
      </c>
      <c r="M46" s="114">
        <f>AVERAGE(M34:M45)</f>
        <v>0.75329260289318134</v>
      </c>
      <c r="N46" s="114">
        <f>AVERAGE(N34:N45)</f>
        <v>0.6257657896545018</v>
      </c>
      <c r="O46" s="115">
        <f>AVERAGE(O34:O45)</f>
        <v>0.92370712815754408</v>
      </c>
      <c r="P46" s="115">
        <f>AVERAGE(P34:P45)</f>
        <v>0.92418480825850013</v>
      </c>
      <c r="Q46" s="113" t="s">
        <v>147</v>
      </c>
    </row>
    <row r="47" spans="1:17">
      <c r="D47"/>
      <c r="L47" s="114">
        <f>MIN(L34:L45)</f>
        <v>-0.74307154568961664</v>
      </c>
      <c r="M47" s="114">
        <f>MIN(M34:M45)</f>
        <v>-1.8122747498714773</v>
      </c>
      <c r="N47" s="114">
        <f>MIN(N34:N45)</f>
        <v>6.8816828605490946E-2</v>
      </c>
      <c r="O47" s="115">
        <f>MIN(O34:O45)</f>
        <v>0.52950085846076567</v>
      </c>
      <c r="P47" s="115">
        <f>MIN(P34:P45)</f>
        <v>0.51114425580723499</v>
      </c>
      <c r="Q47" s="113" t="s">
        <v>148</v>
      </c>
    </row>
    <row r="48" spans="1:17" ht="18">
      <c r="H48" s="2" t="s">
        <v>145</v>
      </c>
      <c r="L48" s="114">
        <f>MAX(L34:L45)</f>
        <v>0.84963055556532652</v>
      </c>
      <c r="M48" s="114">
        <f>MAX(M34:M45)</f>
        <v>2.4929568906020556</v>
      </c>
      <c r="N48" s="114">
        <f>MAX(N34:N45)</f>
        <v>1.3648447290372727</v>
      </c>
      <c r="O48" s="115">
        <f>MAX(O34:O45)</f>
        <v>1.4422097585937839</v>
      </c>
      <c r="P48" s="115">
        <f>MAX(P34:P45)</f>
        <v>1.5166278193108633</v>
      </c>
      <c r="Q48" s="113" t="s">
        <v>149</v>
      </c>
    </row>
    <row r="49" spans="1:17" ht="18">
      <c r="A49" s="53"/>
      <c r="B49" s="53"/>
      <c r="C49" s="53"/>
      <c r="D49" s="53"/>
      <c r="E49" s="135"/>
      <c r="F49" s="49"/>
      <c r="G49" s="49"/>
      <c r="H49" s="112" t="s">
        <v>146</v>
      </c>
      <c r="I49" s="49"/>
      <c r="J49" s="49"/>
      <c r="K49" s="49"/>
      <c r="L49" s="49"/>
      <c r="M49" s="49"/>
      <c r="N49" s="49"/>
      <c r="O49" s="49"/>
    </row>
    <row r="50" spans="1:17">
      <c r="A50" s="53"/>
      <c r="B50" s="135"/>
      <c r="C50" s="135"/>
      <c r="D50" s="135"/>
      <c r="E50" s="135"/>
      <c r="I50"/>
      <c r="N50"/>
    </row>
    <row r="51" spans="1:17">
      <c r="A51" s="53"/>
      <c r="B51" s="135"/>
      <c r="C51" s="135"/>
      <c r="D51" s="135"/>
      <c r="E51" s="135"/>
      <c r="I51"/>
      <c r="N51"/>
    </row>
    <row r="52" spans="1:17">
      <c r="A52" s="53"/>
      <c r="B52" s="135"/>
      <c r="C52" s="135"/>
      <c r="D52" s="135"/>
      <c r="E52" s="135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spans="1:17">
      <c r="A53" s="53"/>
      <c r="B53" s="135"/>
      <c r="C53" s="135"/>
      <c r="D53" s="135"/>
      <c r="E53" s="135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7"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1:17"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7"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7" spans="1:17"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1:17"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</row>
    <row r="59" spans="1:17" ht="18" customHeight="1"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</row>
    <row r="60" spans="1:17"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1:17"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</row>
    <row r="62" spans="1:17"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</row>
    <row r="63" spans="1:17"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</row>
    <row r="64" spans="1:17"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2:42"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AG65" s="48"/>
      <c r="AH65" s="48"/>
      <c r="AI65" s="48"/>
    </row>
    <row r="66" spans="2:42"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AG66" s="47"/>
      <c r="AH66" s="47"/>
      <c r="AI66" s="47"/>
    </row>
    <row r="67" spans="2:42"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</row>
    <row r="70" spans="2:42"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</row>
    <row r="71" spans="2:42"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</row>
    <row r="72" spans="2:42">
      <c r="B72" s="110"/>
      <c r="C72" s="110"/>
      <c r="D72" s="110"/>
      <c r="E72" s="110"/>
      <c r="F72" s="110"/>
      <c r="G72" s="49"/>
      <c r="H72" s="49"/>
      <c r="I72" s="49"/>
      <c r="J72" s="49"/>
      <c r="K72" s="49"/>
      <c r="L72" s="49"/>
      <c r="M72" s="49"/>
      <c r="N72" s="110"/>
      <c r="AE72" s="47"/>
    </row>
    <row r="73" spans="2:42">
      <c r="B73" t="s">
        <v>158</v>
      </c>
      <c r="C73" t="s">
        <v>159</v>
      </c>
      <c r="G73" s="49"/>
      <c r="H73" s="49"/>
      <c r="I73" s="49"/>
      <c r="J73" s="49"/>
      <c r="K73" s="49"/>
      <c r="L73" s="49"/>
      <c r="M73" s="49"/>
      <c r="AE73" s="47"/>
    </row>
    <row r="74" spans="2:42"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AE74" s="47"/>
    </row>
    <row r="75" spans="2:42"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AE75" s="47"/>
    </row>
    <row r="76" spans="2:42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AE76" s="47"/>
    </row>
    <row r="77" spans="2:42">
      <c r="AE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</row>
    <row r="78" spans="2:42">
      <c r="D78"/>
      <c r="I78"/>
      <c r="N78"/>
    </row>
    <row r="79" spans="2:42">
      <c r="D79"/>
      <c r="I79"/>
      <c r="N79"/>
    </row>
    <row r="80" spans="2:42">
      <c r="D80"/>
      <c r="I80"/>
      <c r="N80"/>
    </row>
    <row r="81" spans="4:48">
      <c r="D81"/>
      <c r="I81"/>
      <c r="N81"/>
    </row>
    <row r="82" spans="4:48">
      <c r="D82"/>
      <c r="I82"/>
      <c r="N82"/>
      <c r="AH82" s="49"/>
      <c r="AI82" s="49"/>
      <c r="AJ82" s="49"/>
      <c r="AK82" s="49"/>
      <c r="AL82" s="49"/>
      <c r="AM82" s="49"/>
    </row>
    <row r="83" spans="4:48">
      <c r="AH83" s="49"/>
      <c r="AI83" s="49"/>
      <c r="AJ83" s="49"/>
      <c r="AK83" s="49"/>
      <c r="AL83" s="49"/>
      <c r="AM83" s="49"/>
    </row>
    <row r="86" spans="4:48">
      <c r="AH86" s="49"/>
      <c r="AI86" s="49"/>
      <c r="AJ86" s="49"/>
      <c r="AK86" s="49"/>
    </row>
    <row r="87" spans="4:48" ht="23" customHeight="1">
      <c r="AH87" s="49"/>
      <c r="AI87" s="49"/>
      <c r="AJ87" s="49"/>
      <c r="AK87" s="49"/>
      <c r="AP87" s="49"/>
      <c r="AQ87" s="49"/>
      <c r="AR87" s="49"/>
      <c r="AS87" s="49"/>
    </row>
    <row r="88" spans="4:48" ht="25" customHeight="1">
      <c r="AH88" s="49"/>
      <c r="AI88" s="49"/>
      <c r="AJ88" s="49"/>
      <c r="AK88" s="49"/>
      <c r="AL88" s="49"/>
      <c r="AM88" s="49"/>
      <c r="AN88" s="49"/>
    </row>
    <row r="89" spans="4:48">
      <c r="AH89" s="49"/>
      <c r="AI89" s="49"/>
      <c r="AJ89" s="49"/>
      <c r="AK89" s="49"/>
      <c r="AL89" s="49"/>
      <c r="AM89" s="49"/>
      <c r="AN89" s="49"/>
    </row>
    <row r="91" spans="4:48">
      <c r="AT91" s="49"/>
      <c r="AU91" s="49"/>
      <c r="AV91" s="49"/>
    </row>
    <row r="92" spans="4:48">
      <c r="AT92" s="49"/>
      <c r="AU92" s="49"/>
      <c r="AV92" s="49"/>
    </row>
    <row r="97" spans="36:39">
      <c r="AJ97" s="49"/>
      <c r="AK97" s="49"/>
      <c r="AL97" s="49"/>
      <c r="AM97" s="49"/>
    </row>
    <row r="98" spans="36:39">
      <c r="AJ98" s="49"/>
      <c r="AK98" s="49"/>
      <c r="AL98" s="49"/>
      <c r="AM98" s="49"/>
    </row>
    <row r="100" spans="36:39">
      <c r="AJ100" s="49"/>
      <c r="AK100" s="49"/>
      <c r="AL100" s="49"/>
      <c r="AM100" s="49"/>
    </row>
    <row r="101" spans="36:39">
      <c r="AJ101" s="49"/>
      <c r="AK101" s="49"/>
      <c r="AL101" s="49"/>
      <c r="AM101" s="49"/>
    </row>
    <row r="119" s="47" customFormat="1"/>
    <row r="120" s="47" customFormat="1"/>
    <row r="121" s="47" customFormat="1"/>
    <row r="122" s="47" customFormat="1"/>
    <row r="123" s="47" customFormat="1"/>
    <row r="124" s="47" customFormat="1"/>
    <row r="125" s="47" customFormat="1"/>
    <row r="126" s="47" customFormat="1"/>
    <row r="127" s="47" customFormat="1"/>
    <row r="128" s="47" customFormat="1"/>
    <row r="129" s="47" customFormat="1"/>
  </sheetData>
  <mergeCells count="3">
    <mergeCell ref="C3:E3"/>
    <mergeCell ref="C2:E2"/>
    <mergeCell ref="I2:J3"/>
  </mergeCells>
  <phoneticPr fontId="6" type="noConversion"/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Drop Down 4">
              <controlPr locked="0" defaultSize="0" autoLine="0" autoPict="0">
                <anchor>
                  <from>
                    <xdr:col>5</xdr:col>
                    <xdr:colOff>139700</xdr:colOff>
                    <xdr:row>1</xdr:row>
                    <xdr:rowOff>63500</xdr:rowOff>
                  </from>
                  <to>
                    <xdr:col>7</xdr:col>
                    <xdr:colOff>152400</xdr:colOff>
                    <xdr:row>1</xdr:row>
                    <xdr:rowOff>304800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0" r:id="rId4" name="Drop Down 6">
              <controlPr defaultSize="0" autoLine="0" autoPict="0">
                <anchor moveWithCells="1">
                  <from>
                    <xdr:col>5</xdr:col>
                    <xdr:colOff>152400</xdr:colOff>
                    <xdr:row>1</xdr:row>
                    <xdr:rowOff>355600</xdr:rowOff>
                  </from>
                  <to>
                    <xdr:col>7</xdr:col>
                    <xdr:colOff>152400</xdr:colOff>
                    <xdr:row>2</xdr:row>
                    <xdr:rowOff>177800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Q90"/>
  <sheetViews>
    <sheetView workbookViewId="0">
      <selection activeCell="K38" sqref="K38"/>
    </sheetView>
  </sheetViews>
  <sheetFormatPr baseColWidth="10" defaultRowHeight="15" x14ac:dyDescent="0"/>
  <cols>
    <col min="3" max="3" width="10" customWidth="1"/>
    <col min="6" max="6" width="8.5" customWidth="1"/>
    <col min="7" max="7" width="11" customWidth="1"/>
    <col min="8" max="8" width="11.6640625" customWidth="1"/>
  </cols>
  <sheetData>
    <row r="1" spans="1:10">
      <c r="A1" s="1" t="s">
        <v>41</v>
      </c>
      <c r="D1" s="50" t="s">
        <v>42</v>
      </c>
      <c r="E1" s="50" t="s">
        <v>43</v>
      </c>
      <c r="F1" s="50" t="s">
        <v>44</v>
      </c>
      <c r="G1" s="50" t="s">
        <v>45</v>
      </c>
      <c r="H1" s="50" t="s">
        <v>46</v>
      </c>
      <c r="I1" s="50" t="s">
        <v>47</v>
      </c>
      <c r="J1" s="50" t="s">
        <v>40</v>
      </c>
    </row>
    <row r="2" spans="1:10">
      <c r="D2" s="51">
        <f>(C9^(1/J2)-C10^(1/J2))^J2</f>
        <v>112.54489150803751</v>
      </c>
      <c r="E2" s="51">
        <f>C10^(1/J2)/(C9^(1/J2)-C10^(1/J2))</f>
        <v>3.2415155671446323E-2</v>
      </c>
      <c r="F2" s="50">
        <v>0.35</v>
      </c>
      <c r="G2" s="50">
        <v>2.6</v>
      </c>
      <c r="H2" s="50">
        <v>3</v>
      </c>
      <c r="I2" s="51">
        <f>100/(1+C11)^G2</f>
        <v>88.086189311304082</v>
      </c>
      <c r="J2" s="50">
        <v>2.4</v>
      </c>
    </row>
    <row r="4" spans="1:10" ht="18">
      <c r="A4" s="2" t="s">
        <v>153</v>
      </c>
    </row>
    <row r="5" spans="1:10" ht="18">
      <c r="A5" s="2" t="s">
        <v>152</v>
      </c>
    </row>
    <row r="8" spans="1:10" ht="16">
      <c r="C8" s="98" t="s">
        <v>117</v>
      </c>
      <c r="H8" s="1" t="s">
        <v>109</v>
      </c>
    </row>
    <row r="9" spans="1:10">
      <c r="B9" t="s">
        <v>48</v>
      </c>
      <c r="C9" s="63">
        <v>121.5</v>
      </c>
      <c r="E9" t="s">
        <v>49</v>
      </c>
    </row>
    <row r="10" spans="1:10">
      <c r="B10" t="s">
        <v>50</v>
      </c>
      <c r="C10" s="63">
        <v>0.03</v>
      </c>
      <c r="E10" s="52">
        <f>$I$2*($F$2+$C$11)^($G$2-$H$2)*(0.0183+$C$11)^$H$2</f>
        <v>4.0489828469301471E-2</v>
      </c>
    </row>
    <row r="11" spans="1:10">
      <c r="B11" t="s">
        <v>51</v>
      </c>
      <c r="C11" s="63">
        <v>0.05</v>
      </c>
      <c r="D11" t="s">
        <v>150</v>
      </c>
    </row>
    <row r="12" spans="1:10">
      <c r="D12" t="s">
        <v>151</v>
      </c>
    </row>
    <row r="13" spans="1:10" ht="40" customHeight="1">
      <c r="C13" s="56" t="s">
        <v>52</v>
      </c>
      <c r="D13" s="56" t="s">
        <v>53</v>
      </c>
      <c r="E13" s="56" t="s">
        <v>54</v>
      </c>
      <c r="F13" s="57" t="s">
        <v>55</v>
      </c>
      <c r="G13" s="57" t="s">
        <v>56</v>
      </c>
      <c r="H13" s="55" t="s">
        <v>77</v>
      </c>
      <c r="I13" s="55" t="s">
        <v>60</v>
      </c>
      <c r="J13" s="55" t="s">
        <v>78</v>
      </c>
    </row>
    <row r="14" spans="1:10">
      <c r="C14" s="99">
        <v>0.01</v>
      </c>
      <c r="D14" s="100">
        <f>$D$2*(C14+$E$2)^$J$2</f>
        <v>5.7197407354324291E-2</v>
      </c>
      <c r="E14" s="100">
        <f t="shared" ref="E14:E37" si="0">IF(C14&lt;$F$2,$I$2*($F$2+$C$11)^($G$2-$H$2)*(C14+$C$11)^$H$2,$I$2*(C14+$C$11)^$G$2)</f>
        <v>2.744969839872698E-2</v>
      </c>
      <c r="F14" s="100">
        <f t="shared" ref="F14:F36" si="1">LOG(D14/$C$9)/LOG(C14)</f>
        <v>1.6635999672037753</v>
      </c>
      <c r="G14" s="100">
        <f>LOG(E14/100)/LOG(C14)</f>
        <v>1.7807312114810465</v>
      </c>
      <c r="H14" s="47">
        <v>4.1702999999999997E-2</v>
      </c>
      <c r="I14" s="93">
        <f t="shared" ref="I14:I37" si="2">IF(H14=0,"",H14/$H$37)</f>
        <v>3.4322850278522237E-4</v>
      </c>
      <c r="J14" s="102">
        <f>IFERROR(LOG(I14)/LOG(C14),"")</f>
        <v>1.7322083270661714</v>
      </c>
    </row>
    <row r="15" spans="1:10">
      <c r="C15" s="99">
        <v>0.02</v>
      </c>
      <c r="D15" s="100">
        <f t="shared" ref="D15:D37" si="3">$D$2*(C15+$E$2)^$J$2</f>
        <v>9.5065360358935203E-2</v>
      </c>
      <c r="E15" s="100">
        <f t="shared" si="0"/>
        <v>4.3589104401682191E-2</v>
      </c>
      <c r="F15" s="100">
        <f t="shared" si="1"/>
        <v>1.8284925403109107</v>
      </c>
      <c r="G15" s="100">
        <f t="shared" ref="G15:G36" si="4">LOG(E15/100)/LOG(C15)</f>
        <v>1.9780349538211133</v>
      </c>
      <c r="H15" s="47">
        <v>6.7194000000000004E-2</v>
      </c>
      <c r="I15" s="93">
        <f t="shared" si="2"/>
        <v>5.5302726461286319E-4</v>
      </c>
      <c r="J15" s="102">
        <f t="shared" ref="J15:J35" si="5">IFERROR(LOG(I15)/LOG(C15),"")</f>
        <v>1.9171930339246708</v>
      </c>
    </row>
    <row r="16" spans="1:10">
      <c r="C16" s="99">
        <v>0.03</v>
      </c>
      <c r="D16" s="100">
        <f t="shared" si="3"/>
        <v>0.14455127482166821</v>
      </c>
      <c r="E16" s="100">
        <f t="shared" si="0"/>
        <v>6.5065951759945423E-2</v>
      </c>
      <c r="F16" s="100">
        <f t="shared" si="1"/>
        <v>1.9204118258655798</v>
      </c>
      <c r="G16" s="100">
        <f t="shared" si="4"/>
        <v>2.0925147343563344</v>
      </c>
      <c r="H16" s="47">
        <v>0.113235</v>
      </c>
      <c r="I16" s="93">
        <f t="shared" si="2"/>
        <v>9.3195884020057696E-4</v>
      </c>
      <c r="J16" s="102">
        <f t="shared" si="5"/>
        <v>1.990048962962276</v>
      </c>
    </row>
    <row r="17" spans="3:10">
      <c r="C17" s="99">
        <v>0.04</v>
      </c>
      <c r="D17" s="100">
        <f t="shared" si="3"/>
        <v>0.20649831468058424</v>
      </c>
      <c r="E17" s="100">
        <f t="shared" si="0"/>
        <v>9.264273209570352E-2</v>
      </c>
      <c r="F17" s="100">
        <f t="shared" si="1"/>
        <v>1.9812436508044502</v>
      </c>
      <c r="G17" s="100">
        <f t="shared" si="4"/>
        <v>2.1697559458766791</v>
      </c>
      <c r="H17" s="47">
        <v>0.168965</v>
      </c>
      <c r="I17" s="93">
        <f t="shared" si="2"/>
        <v>1.3906338626263125E-3</v>
      </c>
      <c r="J17" s="102">
        <f t="shared" si="5"/>
        <v>2.0435692388894124</v>
      </c>
    </row>
    <row r="18" spans="3:10">
      <c r="C18" s="99">
        <v>5.0228310502283102E-2</v>
      </c>
      <c r="D18" s="100">
        <f t="shared" si="3"/>
        <v>0.28354777510571477</v>
      </c>
      <c r="E18" s="100">
        <f t="shared" si="0"/>
        <v>0.127954350039689</v>
      </c>
      <c r="F18" s="100">
        <f t="shared" si="1"/>
        <v>2.0260552999747365</v>
      </c>
      <c r="G18" s="100">
        <f t="shared" si="4"/>
        <v>2.2269672153067654</v>
      </c>
      <c r="H18" s="47">
        <v>0.25990999999999997</v>
      </c>
      <c r="I18" s="93">
        <f t="shared" si="2"/>
        <v>2.1391391544710726E-3</v>
      </c>
      <c r="J18" s="102">
        <f t="shared" si="5"/>
        <v>2.0551618680739514</v>
      </c>
    </row>
    <row r="19" spans="3:10">
      <c r="C19" s="99">
        <v>0.1004566210045662</v>
      </c>
      <c r="D19" s="100">
        <f t="shared" si="3"/>
        <v>0.88626656999591558</v>
      </c>
      <c r="E19" s="100">
        <f t="shared" si="0"/>
        <v>0.43283038221678538</v>
      </c>
      <c r="F19" s="100">
        <f t="shared" si="1"/>
        <v>2.1412485113869852</v>
      </c>
      <c r="G19" s="100">
        <f t="shared" si="4"/>
        <v>2.3683682346654598</v>
      </c>
      <c r="H19" s="47">
        <v>0.90686299999999997</v>
      </c>
      <c r="I19" s="93">
        <f t="shared" si="2"/>
        <v>7.4637611136204865E-3</v>
      </c>
      <c r="J19" s="102">
        <f t="shared" si="5"/>
        <v>2.1312591059064947</v>
      </c>
    </row>
    <row r="20" spans="3:10">
      <c r="C20" s="99">
        <v>0.15068493150684931</v>
      </c>
      <c r="D20" s="100">
        <f t="shared" si="3"/>
        <v>1.9132790206701467</v>
      </c>
      <c r="E20" s="100">
        <f t="shared" si="0"/>
        <v>1.0271363986569615</v>
      </c>
      <c r="F20" s="100">
        <f t="shared" si="1"/>
        <v>2.1933711930879931</v>
      </c>
      <c r="G20" s="100">
        <f t="shared" si="4"/>
        <v>2.4191493888095499</v>
      </c>
      <c r="H20" s="47">
        <v>1.9391769999999999</v>
      </c>
      <c r="I20" s="93">
        <f t="shared" si="2"/>
        <v>1.5960022500672355E-2</v>
      </c>
      <c r="J20" s="102">
        <f t="shared" si="5"/>
        <v>2.1862763473706761</v>
      </c>
    </row>
    <row r="21" spans="3:10">
      <c r="C21" s="99">
        <v>0.20091324200913241</v>
      </c>
      <c r="D21" s="100">
        <f t="shared" si="3"/>
        <v>3.4233241481937262</v>
      </c>
      <c r="E21" s="100">
        <f t="shared" si="0"/>
        <v>2.0074954593569965</v>
      </c>
      <c r="F21" s="100">
        <f t="shared" si="1"/>
        <v>2.2240276838607045</v>
      </c>
      <c r="G21" s="100">
        <f t="shared" si="4"/>
        <v>2.4352457361075102</v>
      </c>
      <c r="H21" s="47">
        <v>3.470132</v>
      </c>
      <c r="I21" s="93">
        <f t="shared" si="2"/>
        <v>2.8560252519653009E-2</v>
      </c>
      <c r="J21" s="102">
        <f t="shared" si="5"/>
        <v>2.2155766513397217</v>
      </c>
    </row>
    <row r="22" spans="3:10">
      <c r="C22" s="99">
        <v>0.25114155251141551</v>
      </c>
      <c r="D22" s="100">
        <f t="shared" si="3"/>
        <v>5.4658990848142786</v>
      </c>
      <c r="E22" s="100">
        <f t="shared" si="0"/>
        <v>3.4705306243136693</v>
      </c>
      <c r="F22" s="100">
        <f t="shared" si="1"/>
        <v>2.244553175380426</v>
      </c>
      <c r="G22" s="100">
        <f t="shared" si="4"/>
        <v>2.432343440967101</v>
      </c>
      <c r="H22" s="47">
        <v>5.3554199999999996</v>
      </c>
      <c r="I22" s="93">
        <f t="shared" si="2"/>
        <v>4.4076751993526501E-2</v>
      </c>
      <c r="J22" s="102">
        <f t="shared" si="5"/>
        <v>2.2593440802865548</v>
      </c>
    </row>
    <row r="23" spans="3:10">
      <c r="C23" s="99">
        <v>0.30136986301369861</v>
      </c>
      <c r="D23" s="100">
        <f t="shared" si="3"/>
        <v>8.0843704047733311</v>
      </c>
      <c r="E23" s="100">
        <f t="shared" si="0"/>
        <v>5.5128649535237599</v>
      </c>
      <c r="F23" s="100">
        <f t="shared" si="1"/>
        <v>2.2594157598101452</v>
      </c>
      <c r="G23" s="100">
        <f t="shared" si="4"/>
        <v>2.4162453693651771</v>
      </c>
      <c r="H23" s="47">
        <v>8.1074439999999992</v>
      </c>
      <c r="I23" s="93">
        <f t="shared" si="2"/>
        <v>6.6726755042443811E-2</v>
      </c>
      <c r="J23" s="102">
        <f t="shared" si="5"/>
        <v>2.2570543096971751</v>
      </c>
    </row>
    <row r="24" spans="3:10">
      <c r="C24" s="99">
        <v>0.35159817351598172</v>
      </c>
      <c r="D24" s="100">
        <f t="shared" si="3"/>
        <v>11.317666820941461</v>
      </c>
      <c r="E24" s="100">
        <f t="shared" si="0"/>
        <v>8.2180034206669674</v>
      </c>
      <c r="F24" s="100">
        <f t="shared" si="1"/>
        <v>2.270760383638128</v>
      </c>
      <c r="G24" s="100">
        <f t="shared" si="4"/>
        <v>2.390627996186252</v>
      </c>
      <c r="H24" s="47">
        <v>11.115225000000001</v>
      </c>
      <c r="I24" s="93">
        <f t="shared" si="2"/>
        <v>9.1481716779868924E-2</v>
      </c>
      <c r="J24" s="102">
        <f t="shared" si="5"/>
        <v>2.2880448026123421</v>
      </c>
    </row>
    <row r="25" spans="3:10">
      <c r="C25" s="99">
        <v>0.40182648401826482</v>
      </c>
      <c r="D25" s="100">
        <f t="shared" si="3"/>
        <v>15.201320125645669</v>
      </c>
      <c r="E25" s="100">
        <f t="shared" si="0"/>
        <v>11.164369459456413</v>
      </c>
      <c r="F25" s="100">
        <f t="shared" si="1"/>
        <v>2.2797547328293266</v>
      </c>
      <c r="G25" s="100">
        <f t="shared" si="4"/>
        <v>2.4046932284299292</v>
      </c>
      <c r="H25" s="47">
        <v>15.064519000000001</v>
      </c>
      <c r="I25" s="93">
        <f t="shared" si="2"/>
        <v>0.12398561977674355</v>
      </c>
      <c r="J25" s="102">
        <f t="shared" si="5"/>
        <v>2.2896893104832876</v>
      </c>
    </row>
    <row r="26" spans="3:10">
      <c r="C26" s="99">
        <v>0.45205479452054792</v>
      </c>
      <c r="D26" s="100">
        <f t="shared" si="3"/>
        <v>19.768158470294097</v>
      </c>
      <c r="E26" s="100">
        <f t="shared" si="0"/>
        <v>14.684553012673723</v>
      </c>
      <c r="F26" s="100">
        <f t="shared" si="1"/>
        <v>2.2870929889954406</v>
      </c>
      <c r="G26" s="100">
        <f t="shared" si="4"/>
        <v>2.4162346727234918</v>
      </c>
      <c r="H26" s="47">
        <v>19.923949</v>
      </c>
      <c r="I26" s="93">
        <f t="shared" si="2"/>
        <v>0.16398022168283166</v>
      </c>
      <c r="J26" s="102">
        <f t="shared" si="5"/>
        <v>2.2772280086419503</v>
      </c>
    </row>
    <row r="27" spans="3:10">
      <c r="C27" s="99">
        <v>0.50228310502283102</v>
      </c>
      <c r="D27" s="100">
        <f t="shared" si="3"/>
        <v>25.048794983649959</v>
      </c>
      <c r="E27" s="100">
        <f t="shared" si="0"/>
        <v>18.816047157737071</v>
      </c>
      <c r="F27" s="100">
        <f t="shared" si="1"/>
        <v>2.2932157203131371</v>
      </c>
      <c r="G27" s="100">
        <f t="shared" si="4"/>
        <v>2.4259091752990729</v>
      </c>
      <c r="H27" s="47">
        <v>25.086036</v>
      </c>
      <c r="I27" s="93">
        <f t="shared" si="2"/>
        <v>0.20646578368693355</v>
      </c>
      <c r="J27" s="102">
        <f t="shared" si="5"/>
        <v>2.2910838839482666</v>
      </c>
    </row>
    <row r="28" spans="3:10">
      <c r="C28" s="99">
        <v>0.54794520547945202</v>
      </c>
      <c r="D28" s="100">
        <f t="shared" si="3"/>
        <v>30.49301506626599</v>
      </c>
      <c r="E28" s="100">
        <f t="shared" si="0"/>
        <v>23.132758876406893</v>
      </c>
      <c r="F28" s="100">
        <f t="shared" si="1"/>
        <v>2.2979764111345165</v>
      </c>
      <c r="G28" s="100">
        <f t="shared" si="4"/>
        <v>2.4334593427887858</v>
      </c>
      <c r="H28" s="47">
        <v>30.706118</v>
      </c>
      <c r="I28" s="93">
        <f t="shared" si="2"/>
        <v>0.25272078525493052</v>
      </c>
      <c r="J28" s="102">
        <f t="shared" si="5"/>
        <v>2.2864291447931993</v>
      </c>
    </row>
    <row r="29" spans="3:10">
      <c r="C29" s="99">
        <v>0.59817351598173518</v>
      </c>
      <c r="D29" s="100">
        <f t="shared" si="3"/>
        <v>37.214876462873086</v>
      </c>
      <c r="E29" s="100">
        <f t="shared" si="0"/>
        <v>28.530222306301035</v>
      </c>
      <c r="F29" s="100">
        <f t="shared" si="1"/>
        <v>2.3025191784106189</v>
      </c>
      <c r="G29" s="100">
        <f t="shared" si="4"/>
        <v>2.4406863090048549</v>
      </c>
      <c r="H29" s="47">
        <v>37.118626999999996</v>
      </c>
      <c r="I29" s="93">
        <f t="shared" si="2"/>
        <v>0.30549770449735342</v>
      </c>
      <c r="J29" s="102">
        <f t="shared" si="5"/>
        <v>2.3075930598089069</v>
      </c>
    </row>
    <row r="30" spans="3:10">
      <c r="C30" s="99">
        <v>0.64840182648401823</v>
      </c>
      <c r="D30" s="100">
        <f t="shared" si="3"/>
        <v>44.729979510953697</v>
      </c>
      <c r="E30" s="100">
        <f t="shared" si="0"/>
        <v>34.640310427141415</v>
      </c>
      <c r="F30" s="100">
        <f t="shared" si="1"/>
        <v>2.3064803042748263</v>
      </c>
      <c r="G30" s="100">
        <f t="shared" si="4"/>
        <v>2.4470056039945005</v>
      </c>
      <c r="H30" s="47">
        <v>43.750081000000002</v>
      </c>
      <c r="I30" s="93">
        <f t="shared" si="2"/>
        <v>0.3600766083582046</v>
      </c>
      <c r="J30" s="102">
        <f t="shared" si="5"/>
        <v>2.3576480789784027</v>
      </c>
    </row>
    <row r="31" spans="3:10">
      <c r="C31" s="99">
        <v>0.69863013698630139</v>
      </c>
      <c r="D31" s="100">
        <f t="shared" si="3"/>
        <v>53.063033095421325</v>
      </c>
      <c r="E31" s="100">
        <f t="shared" si="0"/>
        <v>41.495673557699469</v>
      </c>
      <c r="F31" s="100">
        <f t="shared" si="1"/>
        <v>2.309971153704236</v>
      </c>
      <c r="G31" s="100">
        <f t="shared" si="4"/>
        <v>2.4525881139673782</v>
      </c>
      <c r="H31" s="47">
        <v>52.578806999999998</v>
      </c>
      <c r="I31" s="93">
        <f t="shared" si="2"/>
        <v>0.43273973586656045</v>
      </c>
      <c r="J31" s="102">
        <f t="shared" si="5"/>
        <v>2.3355823793585304</v>
      </c>
    </row>
    <row r="32" spans="3:10">
      <c r="C32" s="99">
        <v>0.74885844748858443</v>
      </c>
      <c r="D32" s="100">
        <f t="shared" si="3"/>
        <v>62.237673424181757</v>
      </c>
      <c r="E32" s="100">
        <f t="shared" si="0"/>
        <v>49.128034070927335</v>
      </c>
      <c r="F32" s="100">
        <f t="shared" si="1"/>
        <v>2.3130757275806184</v>
      </c>
      <c r="G32" s="100">
        <f t="shared" si="4"/>
        <v>2.4575633660641887</v>
      </c>
      <c r="H32" s="47">
        <v>62.701256000000001</v>
      </c>
      <c r="I32" s="93">
        <f t="shared" si="2"/>
        <v>0.51605060114699042</v>
      </c>
      <c r="J32" s="102">
        <f t="shared" si="5"/>
        <v>2.2874769221478926</v>
      </c>
    </row>
    <row r="33" spans="1:17">
      <c r="C33" s="99">
        <v>0.79908675799086759</v>
      </c>
      <c r="D33" s="100">
        <f t="shared" si="3"/>
        <v>72.276579979873546</v>
      </c>
      <c r="E33" s="100">
        <f t="shared" si="0"/>
        <v>57.568272689977256</v>
      </c>
      <c r="F33" s="100">
        <f t="shared" si="1"/>
        <v>2.3158586793878406</v>
      </c>
      <c r="G33" s="100">
        <f t="shared" si="4"/>
        <v>2.4620314794404057</v>
      </c>
      <c r="H33" s="47">
        <v>72.079879000000005</v>
      </c>
      <c r="I33" s="93">
        <f t="shared" si="2"/>
        <v>0.59323954991511396</v>
      </c>
      <c r="J33" s="102">
        <f t="shared" si="5"/>
        <v>2.3280880977888598</v>
      </c>
    </row>
    <row r="34" spans="1:17">
      <c r="C34" s="99">
        <v>0.84931506849315064</v>
      </c>
      <c r="D34" s="100">
        <f t="shared" si="3"/>
        <v>83.201572371279667</v>
      </c>
      <c r="E34" s="100">
        <f t="shared" si="0"/>
        <v>66.846501868510714</v>
      </c>
      <c r="F34" s="100">
        <f t="shared" si="1"/>
        <v>2.3183706497505572</v>
      </c>
      <c r="G34" s="100">
        <f t="shared" si="4"/>
        <v>2.4660711680680678</v>
      </c>
      <c r="H34" s="47">
        <v>83.483013</v>
      </c>
      <c r="I34" s="93">
        <f t="shared" si="2"/>
        <v>0.6870908462218368</v>
      </c>
      <c r="J34" s="102">
        <f t="shared" si="5"/>
        <v>2.2978027274277202</v>
      </c>
    </row>
    <row r="35" spans="1:17">
      <c r="C35" s="99">
        <v>0.8995433789954338</v>
      </c>
      <c r="D35" s="100">
        <f t="shared" si="3"/>
        <v>95.033692185434546</v>
      </c>
      <c r="E35" s="100">
        <f t="shared" si="0"/>
        <v>76.992128835721644</v>
      </c>
      <c r="F35" s="100">
        <f t="shared" si="1"/>
        <v>2.3206519152979221</v>
      </c>
      <c r="G35" s="100">
        <f t="shared" si="4"/>
        <v>2.4697452451031552</v>
      </c>
      <c r="H35" s="47">
        <v>94.892588000000003</v>
      </c>
      <c r="I35" s="93">
        <f t="shared" si="2"/>
        <v>0.78099515393748564</v>
      </c>
      <c r="J35" s="102">
        <f t="shared" si="5"/>
        <v>2.3348540785613587</v>
      </c>
    </row>
    <row r="36" spans="1:17">
      <c r="C36" s="99">
        <v>0.94977168949771684</v>
      </c>
      <c r="D36" s="100">
        <f t="shared" si="3"/>
        <v>107.79327287870171</v>
      </c>
      <c r="E36" s="100">
        <f t="shared" si="0"/>
        <v>88.033910255770948</v>
      </c>
      <c r="F36" s="100">
        <f t="shared" si="1"/>
        <v>2.3227349451858914</v>
      </c>
      <c r="G36" s="100">
        <f t="shared" si="4"/>
        <v>2.4731044984259203</v>
      </c>
      <c r="H36" s="47"/>
      <c r="I36" s="93" t="str">
        <f t="shared" si="2"/>
        <v/>
      </c>
      <c r="J36" s="102" t="str">
        <f>IFERROR(LOG(I36)/LOG(C36),"")</f>
        <v/>
      </c>
    </row>
    <row r="37" spans="1:17">
      <c r="C37" s="99">
        <v>1</v>
      </c>
      <c r="D37" s="100">
        <f t="shared" si="3"/>
        <v>121.49999999999994</v>
      </c>
      <c r="E37" s="100">
        <f t="shared" si="0"/>
        <v>100</v>
      </c>
      <c r="F37" s="101"/>
      <c r="G37" s="101"/>
      <c r="H37" s="47">
        <v>121.50214699999999</v>
      </c>
      <c r="I37" s="93">
        <f t="shared" si="2"/>
        <v>1</v>
      </c>
      <c r="J37" s="100">
        <f>AVERAGE(J19:J36)</f>
        <v>2.2782959405383143</v>
      </c>
      <c r="K37" t="s">
        <v>79</v>
      </c>
    </row>
    <row r="38" spans="1:17">
      <c r="J38" s="47"/>
      <c r="K38" t="s">
        <v>157</v>
      </c>
    </row>
    <row r="40" spans="1:17">
      <c r="A40" s="91"/>
    </row>
    <row r="41" spans="1:17">
      <c r="A41" t="s">
        <v>57</v>
      </c>
      <c r="H41">
        <v>0.87380400000000003</v>
      </c>
      <c r="I41">
        <v>3.42218</v>
      </c>
      <c r="J41">
        <v>7.8176139999999998</v>
      </c>
      <c r="K41">
        <v>14.622610999999999</v>
      </c>
      <c r="L41">
        <v>24.161512999999999</v>
      </c>
      <c r="M41">
        <v>36.417416000000003</v>
      </c>
      <c r="N41">
        <v>51.441887000000001</v>
      </c>
      <c r="O41">
        <v>70.169922</v>
      </c>
      <c r="P41">
        <v>92.890071000000006</v>
      </c>
      <c r="Q41">
        <v>119.051821</v>
      </c>
    </row>
    <row r="42" spans="1:17">
      <c r="A42" t="s">
        <v>58</v>
      </c>
    </row>
    <row r="43" spans="1:17">
      <c r="A43" t="s">
        <v>59</v>
      </c>
      <c r="J43" s="47"/>
    </row>
    <row r="90" ht="49" customHeight="1"/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:BJ237"/>
  <sheetViews>
    <sheetView topLeftCell="A71" workbookViewId="0">
      <selection activeCell="Q80" sqref="Q80"/>
    </sheetView>
  </sheetViews>
  <sheetFormatPr baseColWidth="10" defaultRowHeight="15" x14ac:dyDescent="0"/>
  <cols>
    <col min="18" max="18" width="14.33203125" customWidth="1"/>
  </cols>
  <sheetData>
    <row r="1" spans="1:36">
      <c r="M1" t="s">
        <v>40</v>
      </c>
      <c r="N1" s="59">
        <f>'Color Targets'!B3</f>
        <v>2.2200000000000002</v>
      </c>
    </row>
    <row r="2" spans="1:36">
      <c r="B2" s="60" t="str">
        <f>IF('Color Targets'!$AA$2=1,E62,I62)</f>
        <v>BT.709 color matrix</v>
      </c>
      <c r="C2" s="60"/>
      <c r="D2" s="60"/>
    </row>
    <row r="3" spans="1:36">
      <c r="B3" s="60">
        <f>IF('Color Targets'!$AA$2=1,E63,I63)</f>
        <v>0.4124564</v>
      </c>
      <c r="C3" s="60">
        <f>IF('Color Targets'!$AA$2=1,F63,J63)</f>
        <v>0.35757610000000001</v>
      </c>
      <c r="D3" s="60">
        <f>IF('Color Targets'!$AA$2=1,G63,K63)</f>
        <v>0.1804375</v>
      </c>
      <c r="N3" s="47"/>
      <c r="O3" s="47"/>
    </row>
    <row r="4" spans="1:36">
      <c r="B4" s="60">
        <f>IF('Color Targets'!$AA$2=1,E64,I64)</f>
        <v>0.2126729</v>
      </c>
      <c r="C4" s="60">
        <f>IF('Color Targets'!$AA$2=1,F64,J64)</f>
        <v>0.71515220000000002</v>
      </c>
      <c r="D4" s="60">
        <f>IF('Color Targets'!$AA$2=1,G64,K64)</f>
        <v>7.2175000000000003E-2</v>
      </c>
    </row>
    <row r="5" spans="1:36">
      <c r="B5" s="60">
        <f>IF('Color Targets'!$AA$2=1,E65,I65)</f>
        <v>1.9333900000000001E-2</v>
      </c>
      <c r="C5" s="60">
        <f>IF('Color Targets'!$AA$2=1,F65,J65)</f>
        <v>0.11919200000000001</v>
      </c>
      <c r="D5" s="60">
        <f>IF('Color Targets'!$AA$2=1,G65,K65)</f>
        <v>0.95030409999999998</v>
      </c>
    </row>
    <row r="6" spans="1:36">
      <c r="A6" t="s">
        <v>39</v>
      </c>
    </row>
    <row r="7" spans="1:36">
      <c r="A7" t="s">
        <v>38</v>
      </c>
      <c r="I7" t="s">
        <v>60</v>
      </c>
      <c r="P7" t="s">
        <v>61</v>
      </c>
      <c r="W7" t="s">
        <v>62</v>
      </c>
      <c r="AD7" t="s">
        <v>63</v>
      </c>
    </row>
    <row r="8" spans="1:36">
      <c r="A8" t="s">
        <v>64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0</v>
      </c>
      <c r="J8" t="s">
        <v>1</v>
      </c>
      <c r="K8" t="s">
        <v>2</v>
      </c>
      <c r="L8" t="s">
        <v>3</v>
      </c>
      <c r="M8" t="s">
        <v>4</v>
      </c>
      <c r="N8" t="s">
        <v>5</v>
      </c>
      <c r="O8" t="s">
        <v>6</v>
      </c>
      <c r="P8" t="s">
        <v>0</v>
      </c>
      <c r="Q8" t="s">
        <v>1</v>
      </c>
      <c r="R8" t="s">
        <v>2</v>
      </c>
      <c r="S8" t="s">
        <v>3</v>
      </c>
      <c r="T8" t="s">
        <v>4</v>
      </c>
      <c r="U8" t="s">
        <v>5</v>
      </c>
      <c r="V8" t="s">
        <v>6</v>
      </c>
      <c r="W8" t="s">
        <v>0</v>
      </c>
      <c r="X8" t="s">
        <v>1</v>
      </c>
      <c r="Y8" t="s">
        <v>2</v>
      </c>
      <c r="Z8" t="s">
        <v>3</v>
      </c>
      <c r="AA8" t="s">
        <v>4</v>
      </c>
      <c r="AB8" t="s">
        <v>5</v>
      </c>
      <c r="AC8" t="s">
        <v>6</v>
      </c>
      <c r="AD8" t="s">
        <v>0</v>
      </c>
      <c r="AE8" t="s">
        <v>1</v>
      </c>
      <c r="AF8" t="s">
        <v>2</v>
      </c>
      <c r="AG8" t="s">
        <v>3</v>
      </c>
      <c r="AH8" t="s">
        <v>4</v>
      </c>
      <c r="AI8" t="s">
        <v>5</v>
      </c>
      <c r="AJ8" t="s">
        <v>6</v>
      </c>
    </row>
    <row r="9" spans="1:36">
      <c r="A9" t="s">
        <v>33</v>
      </c>
      <c r="B9">
        <v>235</v>
      </c>
      <c r="C9">
        <v>16</v>
      </c>
      <c r="D9">
        <v>16</v>
      </c>
      <c r="E9">
        <v>235</v>
      </c>
      <c r="F9">
        <v>16</v>
      </c>
      <c r="G9">
        <v>235</v>
      </c>
      <c r="H9">
        <v>235</v>
      </c>
      <c r="I9">
        <f>(B9-16)/219</f>
        <v>1</v>
      </c>
      <c r="J9">
        <f t="shared" ref="J9:O9" si="0">(C9-16)/219</f>
        <v>0</v>
      </c>
      <c r="K9">
        <f t="shared" si="0"/>
        <v>0</v>
      </c>
      <c r="L9">
        <f t="shared" si="0"/>
        <v>1</v>
      </c>
      <c r="M9">
        <f t="shared" si="0"/>
        <v>0</v>
      </c>
      <c r="N9">
        <f t="shared" si="0"/>
        <v>1</v>
      </c>
      <c r="O9">
        <f t="shared" si="0"/>
        <v>1</v>
      </c>
      <c r="P9">
        <f>I9^$N$1</f>
        <v>1</v>
      </c>
      <c r="Q9">
        <f t="shared" ref="Q9:U9" si="1">J9^$N$1</f>
        <v>0</v>
      </c>
      <c r="R9">
        <f t="shared" si="1"/>
        <v>0</v>
      </c>
      <c r="S9">
        <f t="shared" si="1"/>
        <v>1</v>
      </c>
      <c r="T9">
        <f t="shared" si="1"/>
        <v>0</v>
      </c>
      <c r="U9">
        <f t="shared" si="1"/>
        <v>1</v>
      </c>
      <c r="V9">
        <f>O9^$N$1</f>
        <v>1</v>
      </c>
      <c r="W9">
        <f t="array" ref="W9:W11">MMULT($B$3:$D$5,P9:P11)</f>
        <v>0.4124564</v>
      </c>
      <c r="X9">
        <f t="array" ref="X9:X11">MMULT($B$3:$D$5,Q9:Q11)</f>
        <v>0.35757610000000001</v>
      </c>
      <c r="Y9">
        <f t="array" ref="Y9:Y11">MMULT($B$3:$D$5,R9:R11)</f>
        <v>0.1804375</v>
      </c>
      <c r="Z9">
        <f t="array" ref="Z9:Z11">MMULT($B$3:$D$5,S9:S11)</f>
        <v>0.77003250000000001</v>
      </c>
      <c r="AA9">
        <f t="array" ref="AA9:AA11">MMULT($B$3:$D$5,T9:T11)</f>
        <v>0.53801359999999998</v>
      </c>
      <c r="AB9">
        <f t="array" ref="AB9:AB11">MMULT($B$3:$D$5,U9:U11)</f>
        <v>0.59289389999999997</v>
      </c>
      <c r="AC9">
        <f t="array" ref="AC9:AC11">MMULT($B$3:$D$5,V9:V11)</f>
        <v>0.95047000000000004</v>
      </c>
      <c r="AD9">
        <f>W9/(W9+W10+W11)</f>
        <v>0.63999992551940899</v>
      </c>
      <c r="AE9">
        <f t="shared" ref="AE9:AJ9" si="2">X9/(X9+X10+X11)</f>
        <v>0.30000000838982271</v>
      </c>
      <c r="AF9">
        <f t="shared" si="2"/>
        <v>0.15000000831312826</v>
      </c>
      <c r="AG9">
        <f t="shared" si="2"/>
        <v>0.41932009299800399</v>
      </c>
      <c r="AH9">
        <f t="shared" si="2"/>
        <v>0.22465563312474432</v>
      </c>
      <c r="AI9">
        <f t="shared" si="2"/>
        <v>0.32093774111852907</v>
      </c>
      <c r="AJ9">
        <f t="shared" si="2"/>
        <v>0.31272660439158345</v>
      </c>
    </row>
    <row r="10" spans="1:36">
      <c r="A10" t="s">
        <v>34</v>
      </c>
      <c r="B10">
        <v>16</v>
      </c>
      <c r="C10">
        <v>235</v>
      </c>
      <c r="D10">
        <v>16</v>
      </c>
      <c r="E10">
        <v>235</v>
      </c>
      <c r="F10">
        <v>235</v>
      </c>
      <c r="G10">
        <v>16</v>
      </c>
      <c r="H10">
        <v>235</v>
      </c>
      <c r="I10">
        <f>(B10-16)/219</f>
        <v>0</v>
      </c>
      <c r="J10">
        <f t="shared" ref="J10:J11" si="3">(C10-16)/219</f>
        <v>1</v>
      </c>
      <c r="K10">
        <f t="shared" ref="K10:K11" si="4">(D10-16)/219</f>
        <v>0</v>
      </c>
      <c r="L10">
        <f t="shared" ref="L10:L11" si="5">(E10-16)/219</f>
        <v>1</v>
      </c>
      <c r="M10">
        <f t="shared" ref="M10:M11" si="6">(F10-16)/219</f>
        <v>1</v>
      </c>
      <c r="N10">
        <f t="shared" ref="N10:N11" si="7">(G10-16)/219</f>
        <v>0</v>
      </c>
      <c r="O10">
        <f t="shared" ref="O10:O11" si="8">(H10-16)/219</f>
        <v>1</v>
      </c>
      <c r="P10">
        <f>I10^$N$1</f>
        <v>0</v>
      </c>
      <c r="Q10">
        <f t="shared" ref="Q10:Q11" si="9">J10^$N$1</f>
        <v>1</v>
      </c>
      <c r="R10">
        <f t="shared" ref="R10:R11" si="10">K10^$N$1</f>
        <v>0</v>
      </c>
      <c r="S10">
        <f t="shared" ref="S10:S11" si="11">L10^$N$1</f>
        <v>1</v>
      </c>
      <c r="T10">
        <f t="shared" ref="T10:T11" si="12">M10^$N$1</f>
        <v>1</v>
      </c>
      <c r="U10">
        <f t="shared" ref="U10:U11" si="13">N10^$N$1</f>
        <v>0</v>
      </c>
      <c r="V10">
        <f t="shared" ref="V10:V11" si="14">O10^$N$1</f>
        <v>1</v>
      </c>
      <c r="W10">
        <v>0.2126729</v>
      </c>
      <c r="X10">
        <v>0.71515220000000002</v>
      </c>
      <c r="Y10">
        <v>7.2175000000000003E-2</v>
      </c>
      <c r="Z10">
        <v>0.92782509999999996</v>
      </c>
      <c r="AA10">
        <v>0.7873272</v>
      </c>
      <c r="AB10">
        <v>0.28484789999999999</v>
      </c>
      <c r="AC10">
        <v>1.0000001000000001</v>
      </c>
      <c r="AD10">
        <f>W10/(W9+W10+W11)</f>
        <v>0.33000006827387507</v>
      </c>
      <c r="AE10">
        <f t="shared" ref="AE10:AJ10" si="15">X10/(X9+X10+X11)</f>
        <v>0.60000001677964543</v>
      </c>
      <c r="AF10">
        <f t="shared" si="15"/>
        <v>6.0000003325251315E-2</v>
      </c>
      <c r="AG10">
        <f t="shared" si="15"/>
        <v>0.50524582692013953</v>
      </c>
      <c r="AH10">
        <f t="shared" si="15"/>
        <v>0.32876025920596097</v>
      </c>
      <c r="AI10">
        <f t="shared" si="15"/>
        <v>0.15419022119869449</v>
      </c>
      <c r="AJ10">
        <f t="shared" si="15"/>
        <v>0.32902315240275221</v>
      </c>
    </row>
    <row r="11" spans="1:36">
      <c r="A11" t="s">
        <v>35</v>
      </c>
      <c r="B11">
        <v>16</v>
      </c>
      <c r="C11">
        <v>16</v>
      </c>
      <c r="D11">
        <v>235</v>
      </c>
      <c r="E11">
        <v>16</v>
      </c>
      <c r="F11">
        <v>235</v>
      </c>
      <c r="G11">
        <v>235</v>
      </c>
      <c r="H11">
        <v>235</v>
      </c>
      <c r="I11">
        <f>(B11-16)/219</f>
        <v>0</v>
      </c>
      <c r="J11">
        <f t="shared" si="3"/>
        <v>0</v>
      </c>
      <c r="K11">
        <f t="shared" si="4"/>
        <v>1</v>
      </c>
      <c r="L11">
        <f t="shared" si="5"/>
        <v>0</v>
      </c>
      <c r="M11">
        <f t="shared" si="6"/>
        <v>1</v>
      </c>
      <c r="N11">
        <f t="shared" si="7"/>
        <v>1</v>
      </c>
      <c r="O11">
        <f t="shared" si="8"/>
        <v>1</v>
      </c>
      <c r="P11">
        <f>I11^$N$1</f>
        <v>0</v>
      </c>
      <c r="Q11">
        <f t="shared" si="9"/>
        <v>0</v>
      </c>
      <c r="R11">
        <f t="shared" si="10"/>
        <v>1</v>
      </c>
      <c r="S11">
        <f t="shared" si="11"/>
        <v>0</v>
      </c>
      <c r="T11">
        <f t="shared" si="12"/>
        <v>1</v>
      </c>
      <c r="U11">
        <f t="shared" si="13"/>
        <v>1</v>
      </c>
      <c r="V11">
        <f t="shared" si="14"/>
        <v>1</v>
      </c>
      <c r="W11">
        <v>1.9333900000000001E-2</v>
      </c>
      <c r="X11">
        <v>0.11919200000000001</v>
      </c>
      <c r="Y11">
        <v>0.95030409999999998</v>
      </c>
      <c r="Z11">
        <v>0.13852590000000001</v>
      </c>
      <c r="AA11">
        <v>1.0694961000000001</v>
      </c>
      <c r="AB11">
        <v>0.969638</v>
      </c>
      <c r="AC11">
        <v>1.08883</v>
      </c>
      <c r="AD11">
        <f>W10</f>
        <v>0.2126729</v>
      </c>
      <c r="AE11">
        <f t="shared" ref="AE11:AJ11" si="16">X10</f>
        <v>0.71515220000000002</v>
      </c>
      <c r="AF11">
        <f t="shared" si="16"/>
        <v>7.2175000000000003E-2</v>
      </c>
      <c r="AG11">
        <f t="shared" si="16"/>
        <v>0.92782509999999996</v>
      </c>
      <c r="AH11">
        <f t="shared" si="16"/>
        <v>0.7873272</v>
      </c>
      <c r="AI11">
        <f t="shared" si="16"/>
        <v>0.28484789999999999</v>
      </c>
      <c r="AJ11">
        <f t="shared" si="16"/>
        <v>1.0000001000000001</v>
      </c>
    </row>
    <row r="13" spans="1:36">
      <c r="A13" t="s">
        <v>65</v>
      </c>
    </row>
    <row r="14" spans="1:36">
      <c r="A14" t="s">
        <v>33</v>
      </c>
      <c r="B14">
        <v>215</v>
      </c>
      <c r="C14">
        <v>97</v>
      </c>
      <c r="D14">
        <v>71</v>
      </c>
      <c r="E14">
        <v>233</v>
      </c>
      <c r="F14">
        <v>121</v>
      </c>
      <c r="G14">
        <v>202</v>
      </c>
      <c r="H14">
        <v>235</v>
      </c>
      <c r="I14">
        <f>(B14-16)/219</f>
        <v>0.908675799086758</v>
      </c>
      <c r="J14">
        <f t="shared" ref="J14:J16" si="17">(C14-16)/219</f>
        <v>0.36986301369863012</v>
      </c>
      <c r="K14">
        <f t="shared" ref="K14:K16" si="18">(D14-16)/219</f>
        <v>0.25114155251141551</v>
      </c>
      <c r="L14">
        <f t="shared" ref="L14:L16" si="19">(E14-16)/219</f>
        <v>0.9908675799086758</v>
      </c>
      <c r="M14">
        <f t="shared" ref="M14:M16" si="20">(F14-16)/219</f>
        <v>0.47945205479452052</v>
      </c>
      <c r="N14">
        <f t="shared" ref="N14:N16" si="21">(G14-16)/219</f>
        <v>0.84931506849315064</v>
      </c>
      <c r="O14">
        <f t="shared" ref="O14:O16" si="22">(H14-16)/219</f>
        <v>1</v>
      </c>
      <c r="P14">
        <f>I14^IF('Color Targets'!$AA$1=1,$N$1,INDEX(Calculation!$G$128:$G$237,MATCH(I14,Calculation!$H$128:$H$237)))</f>
        <v>0.79966359516688779</v>
      </c>
      <c r="Q14">
        <f>J14^IF('Color Targets'!$AA$1=1,$N$1,INDEX(Calculation!$G$128:$G$237,MATCH(J14,Calculation!$H$128:$H$237)))</f>
        <v>0.10267674011174581</v>
      </c>
      <c r="R14">
        <f>K14^IF('Color Targets'!$AA$1=1,$N$1,INDEX(Calculation!$G$128:$G$237,MATCH(K14,Calculation!$H$128:$H$237)))</f>
        <v>4.47826823554602E-2</v>
      </c>
      <c r="S14">
        <f>L14^IF('Color Targets'!$AA$1=1,$N$1,INDEX(Calculation!$G$128:$G$237,MATCH(L14,Calculation!$H$128:$H$237)))</f>
        <v>0.97881049268714004</v>
      </c>
      <c r="T14">
        <f>M14^IF('Color Targets'!$AA$1=1,$N$1,INDEX(Calculation!$G$128:$G$237,MATCH(M14,Calculation!$H$128:$H$237)))</f>
        <v>0.18677383151405941</v>
      </c>
      <c r="U14">
        <f>N14^IF('Color Targets'!$AA$1=1,$N$1,INDEX(Calculation!$G$128:$G$237,MATCH(N14,Calculation!$H$128:$H$237)))</f>
        <v>0.68683411628738122</v>
      </c>
      <c r="V14">
        <f>O14^$N$1</f>
        <v>1</v>
      </c>
      <c r="W14">
        <f t="array" ref="W14:W16">MMULT($B$3:$D$5,P14:P16)</f>
        <v>0.35763821141220181</v>
      </c>
      <c r="X14">
        <f t="array" ref="X14:X16">MMULT($B$3:$D$5,Q14:Q16)</f>
        <v>0.40339140902239401</v>
      </c>
      <c r="Y14">
        <f t="array" ref="Y14:Y16">MMULT($B$3:$D$5,R14:R16)</f>
        <v>0.10282302100094164</v>
      </c>
      <c r="Z14">
        <f t="array" ref="Z14:Z16">MMULT($B$3:$D$5,S14:S16)</f>
        <v>0.78120276296606161</v>
      </c>
      <c r="AA14">
        <f t="array" ref="AA14:AA16">MMULT($B$3:$D$5,T14:T16)</f>
        <v>0.5923885315406594</v>
      </c>
      <c r="AB14">
        <f t="array" ref="AB14:AB16">MMULT($B$3:$D$5,U14:U16)</f>
        <v>0.4460421728103377</v>
      </c>
      <c r="AC14">
        <f t="array" ref="AC14:AC16">MMULT($B$3:$D$5,V14:V16)</f>
        <v>0.95047000000000004</v>
      </c>
      <c r="AD14">
        <f>W14/(W14+W15+W16)</f>
        <v>0.55955161079184346</v>
      </c>
      <c r="AE14">
        <f t="shared" ref="AE14" si="23">X14/(X14+X15+X16)</f>
        <v>0.30298298264930956</v>
      </c>
      <c r="AF14">
        <f t="shared" ref="AF14" si="24">Y14/(Y14+Y15+Y16)</f>
        <v>0.19118097534260292</v>
      </c>
      <c r="AG14">
        <f t="shared" ref="AG14" si="25">Z14/(Z14+Z15+Z16)</f>
        <v>0.39440397947553429</v>
      </c>
      <c r="AH14">
        <f t="shared" ref="AH14" si="26">AA14/(AA14+AA15+AA16)</f>
        <v>0.24536299745845119</v>
      </c>
      <c r="AI14">
        <f t="shared" ref="AI14" si="27">AB14/(AB14+AB15+AB16)</f>
        <v>0.31899995592848851</v>
      </c>
      <c r="AJ14">
        <f t="shared" ref="AJ14" si="28">AC14/(AC14+AC15+AC16)</f>
        <v>0.31272660439158345</v>
      </c>
    </row>
    <row r="15" spans="1:36">
      <c r="A15" t="s">
        <v>34</v>
      </c>
      <c r="B15">
        <v>75</v>
      </c>
      <c r="C15">
        <v>231</v>
      </c>
      <c r="D15">
        <v>71</v>
      </c>
      <c r="E15">
        <v>233</v>
      </c>
      <c r="F15">
        <v>231</v>
      </c>
      <c r="G15">
        <v>99</v>
      </c>
      <c r="H15">
        <v>235</v>
      </c>
      <c r="I15">
        <f>(B15-16)/219</f>
        <v>0.26940639269406391</v>
      </c>
      <c r="J15">
        <f t="shared" si="17"/>
        <v>0.9817351598173516</v>
      </c>
      <c r="K15">
        <f t="shared" si="18"/>
        <v>0.25114155251141551</v>
      </c>
      <c r="L15">
        <f t="shared" si="19"/>
        <v>0.9908675799086758</v>
      </c>
      <c r="M15">
        <f t="shared" si="20"/>
        <v>0.9817351598173516</v>
      </c>
      <c r="N15">
        <f t="shared" si="21"/>
        <v>0.37899543378995432</v>
      </c>
      <c r="O15">
        <f t="shared" si="22"/>
        <v>1</v>
      </c>
      <c r="P15">
        <f>I15^IF('Color Targets'!$AA$1=1,$N$1,INDEX(Calculation!$G$128:$G$237,MATCH(I15,Calculation!$H$128:$H$237)))</f>
        <v>5.169357008560737E-2</v>
      </c>
      <c r="Q15">
        <f>J15^IF('Color Targets'!$AA$1=1,$N$1,INDEX(Calculation!$G$128:$G$237,MATCH(J15,Calculation!$H$128:$H$237)))</f>
        <v>0.95788000411172503</v>
      </c>
      <c r="R15">
        <f>K15^IF('Color Targets'!$AA$1=1,$N$1,INDEX(Calculation!$G$128:$G$237,MATCH(K15,Calculation!$H$128:$H$237)))</f>
        <v>4.47826823554602E-2</v>
      </c>
      <c r="S15">
        <f>L15^IF('Color Targets'!$AA$1=1,$N$1,INDEX(Calculation!$G$128:$G$237,MATCH(L15,Calculation!$H$128:$H$237)))</f>
        <v>0.97881049268714004</v>
      </c>
      <c r="T15">
        <f>M15^IF('Color Targets'!$AA$1=1,$N$1,INDEX(Calculation!$G$128:$G$237,MATCH(M15,Calculation!$H$128:$H$237)))</f>
        <v>0.95788000411172503</v>
      </c>
      <c r="U15">
        <f>N15^IF('Color Targets'!$AA$1=1,$N$1,INDEX(Calculation!$G$128:$G$237,MATCH(N15,Calculation!$H$128:$H$237)))</f>
        <v>0.1085710564874407</v>
      </c>
      <c r="V15">
        <f t="shared" ref="V15:V16" si="29">O15^$N$1</f>
        <v>1</v>
      </c>
      <c r="W15">
        <v>0.21076652960207304</v>
      </c>
      <c r="X15">
        <v>0.71427724607618581</v>
      </c>
      <c r="Y15">
        <v>6.8886056794747394E-2</v>
      </c>
      <c r="Z15">
        <v>0.91915969216087545</v>
      </c>
      <c r="AA15">
        <v>0.79388671396547938</v>
      </c>
      <c r="AB15">
        <v>0.27328808557613382</v>
      </c>
      <c r="AC15">
        <v>1.0000001000000001</v>
      </c>
      <c r="AD15">
        <f>W15/(W14+W15+W16)</f>
        <v>0.32975992882348665</v>
      </c>
      <c r="AE15">
        <f t="shared" ref="AE15" si="30">X15/(X14+X15+X16)</f>
        <v>0.53648601733777512</v>
      </c>
      <c r="AF15">
        <f t="shared" ref="AF15" si="31">Y15/(Y14+Y15+Y16)</f>
        <v>0.1280812739921845</v>
      </c>
      <c r="AG15">
        <f t="shared" ref="AG15" si="32">Z15/(Z14+Z15+Z16)</f>
        <v>0.46405396594520948</v>
      </c>
      <c r="AH15">
        <f t="shared" ref="AH15" si="33">AA15/(AA14+AA15+AA16)</f>
        <v>0.32882207100533711</v>
      </c>
      <c r="AI15">
        <f t="shared" ref="AI15" si="34">AB15/(AB14+AB15+AB16)</f>
        <v>0.19544987574893991</v>
      </c>
      <c r="AJ15">
        <f t="shared" ref="AJ15" si="35">AC15/(AC14+AC15+AC16)</f>
        <v>0.32902315240275221</v>
      </c>
    </row>
    <row r="16" spans="1:36">
      <c r="A16" t="s">
        <v>35</v>
      </c>
      <c r="B16">
        <v>75</v>
      </c>
      <c r="C16">
        <v>97</v>
      </c>
      <c r="D16">
        <v>161</v>
      </c>
      <c r="E16">
        <v>112</v>
      </c>
      <c r="F16">
        <v>231</v>
      </c>
      <c r="G16">
        <v>202</v>
      </c>
      <c r="H16">
        <v>235</v>
      </c>
      <c r="I16">
        <f>(B16-16)/219</f>
        <v>0.26940639269406391</v>
      </c>
      <c r="J16">
        <f t="shared" si="17"/>
        <v>0.36986301369863012</v>
      </c>
      <c r="K16">
        <f t="shared" si="18"/>
        <v>0.66210045662100458</v>
      </c>
      <c r="L16">
        <f t="shared" si="19"/>
        <v>0.43835616438356162</v>
      </c>
      <c r="M16">
        <f t="shared" si="20"/>
        <v>0.9817351598173516</v>
      </c>
      <c r="N16">
        <f t="shared" si="21"/>
        <v>0.84931506849315064</v>
      </c>
      <c r="O16">
        <f t="shared" si="22"/>
        <v>1</v>
      </c>
      <c r="P16">
        <f>I16^IF('Color Targets'!$AA$1=1,$N$1,INDEX(Calculation!$G$128:$G$237,MATCH(I16,Calculation!$H$128:$H$237)))</f>
        <v>5.169357008560737E-2</v>
      </c>
      <c r="Q16">
        <f>J16^IF('Color Targets'!$AA$1=1,$N$1,INDEX(Calculation!$G$128:$G$237,MATCH(J16,Calculation!$H$128:$H$237)))</f>
        <v>0.10267674011174581</v>
      </c>
      <c r="R16">
        <f>K16^IF('Color Targets'!$AA$1=1,$N$1,INDEX(Calculation!$G$128:$G$237,MATCH(K16,Calculation!$H$128:$H$237)))</f>
        <v>0.37874000775925593</v>
      </c>
      <c r="S16">
        <f>L16^IF('Color Targets'!$AA$1=1,$N$1,INDEX(Calculation!$G$128:$G$237,MATCH(L16,Calculation!$H$128:$H$237)))</f>
        <v>0.15233458818677578</v>
      </c>
      <c r="T16">
        <f>M16^IF('Color Targets'!$AA$1=1,$N$1,INDEX(Calculation!$G$128:$G$237,MATCH(M16,Calculation!$H$128:$H$237)))</f>
        <v>0.95788000411172503</v>
      </c>
      <c r="U16">
        <f>N16^IF('Color Targets'!$AA$1=1,$N$1,INDEX(Calculation!$G$128:$G$237,MATCH(N16,Calculation!$H$128:$H$237)))</f>
        <v>0.68683411628738122</v>
      </c>
      <c r="V16">
        <f t="shared" si="29"/>
        <v>1</v>
      </c>
      <c r="W16">
        <v>7.0746687584230833E-2</v>
      </c>
      <c r="X16">
        <v>0.21373090237855771</v>
      </c>
      <c r="Y16">
        <v>0.36612174358535693</v>
      </c>
      <c r="Z16">
        <v>0.2803547881546341</v>
      </c>
      <c r="AA16">
        <v>1.0280599952465836</v>
      </c>
      <c r="AB16">
        <v>0.67892126021351473</v>
      </c>
      <c r="AC16">
        <v>1.08883</v>
      </c>
      <c r="AD16">
        <f>W15</f>
        <v>0.21076652960207304</v>
      </c>
      <c r="AE16">
        <f t="shared" ref="AE16" si="36">X15</f>
        <v>0.71427724607618581</v>
      </c>
      <c r="AF16">
        <f t="shared" ref="AF16" si="37">Y15</f>
        <v>6.8886056794747394E-2</v>
      </c>
      <c r="AG16">
        <f t="shared" ref="AG16" si="38">Z15</f>
        <v>0.91915969216087545</v>
      </c>
      <c r="AH16">
        <f t="shared" ref="AH16" si="39">AA15</f>
        <v>0.79388671396547938</v>
      </c>
      <c r="AI16">
        <f t="shared" ref="AI16" si="40">AB15</f>
        <v>0.27328808557613382</v>
      </c>
      <c r="AJ16">
        <f t="shared" ref="AJ16" si="41">AC15</f>
        <v>1.0000001000000001</v>
      </c>
    </row>
    <row r="18" spans="1:36">
      <c r="A18" t="s">
        <v>66</v>
      </c>
    </row>
    <row r="19" spans="1:36">
      <c r="A19" t="s">
        <v>33</v>
      </c>
      <c r="B19">
        <v>191</v>
      </c>
      <c r="C19">
        <v>134</v>
      </c>
      <c r="D19">
        <v>77</v>
      </c>
      <c r="E19">
        <v>233</v>
      </c>
      <c r="F19">
        <v>161</v>
      </c>
      <c r="G19">
        <v>178</v>
      </c>
      <c r="H19">
        <v>235</v>
      </c>
      <c r="I19">
        <f>(B19-16)/219</f>
        <v>0.79908675799086759</v>
      </c>
      <c r="J19">
        <f t="shared" ref="J19:J21" si="42">(C19-16)/219</f>
        <v>0.53881278538812782</v>
      </c>
      <c r="K19">
        <f t="shared" ref="K19:K21" si="43">(D19-16)/219</f>
        <v>0.27853881278538811</v>
      </c>
      <c r="L19">
        <f t="shared" ref="L19:L21" si="44">(E19-16)/219</f>
        <v>0.9908675799086758</v>
      </c>
      <c r="M19">
        <f t="shared" ref="M19:M21" si="45">(F19-16)/219</f>
        <v>0.66210045662100458</v>
      </c>
      <c r="N19">
        <f t="shared" ref="N19:N21" si="46">(G19-16)/219</f>
        <v>0.73972602739726023</v>
      </c>
      <c r="O19">
        <f t="shared" ref="O19:O21" si="47">(H19-16)/219</f>
        <v>1</v>
      </c>
      <c r="P19">
        <f>I19^IF('Color Targets'!$AA$1=1,$N$1,INDEX(Calculation!$G$128:$G$237,MATCH(I19,Calculation!$H$128:$H$237)))</f>
        <v>0.59346637438994876</v>
      </c>
      <c r="Q19">
        <f>J19^IF('Color Targets'!$AA$1=1,$N$1,INDEX(Calculation!$G$128:$G$237,MATCH(J19,Calculation!$H$128:$H$237)))</f>
        <v>0.24300095394884078</v>
      </c>
      <c r="R19">
        <f>K19^IF('Color Targets'!$AA$1=1,$N$1,INDEX(Calculation!$G$128:$G$237,MATCH(K19,Calculation!$H$128:$H$237)))</f>
        <v>5.5772335903118281E-2</v>
      </c>
      <c r="S19">
        <f>L19^IF('Color Targets'!$AA$1=1,$N$1,INDEX(Calculation!$G$128:$G$237,MATCH(L19,Calculation!$H$128:$H$237)))</f>
        <v>0.97881049268714004</v>
      </c>
      <c r="T19">
        <f>M19^IF('Color Targets'!$AA$1=1,$N$1,INDEX(Calculation!$G$128:$G$237,MATCH(M19,Calculation!$H$128:$H$237)))</f>
        <v>0.37874000775925593</v>
      </c>
      <c r="U19">
        <f>N19^IF('Color Targets'!$AA$1=1,$N$1,INDEX(Calculation!$G$128:$G$237,MATCH(N19,Calculation!$H$128:$H$237)))</f>
        <v>0.50036769107914103</v>
      </c>
      <c r="V19">
        <f>O19^$N$1</f>
        <v>1</v>
      </c>
      <c r="W19">
        <f t="array" ref="W19:W21">MMULT($B$3:$D$5,P19:P21)</f>
        <v>0.29707030765480202</v>
      </c>
      <c r="X19">
        <f t="array" ref="X19:X21">MMULT($B$3:$D$5,Q19:Q21)</f>
        <v>0.46111915380772001</v>
      </c>
      <c r="Y19">
        <f t="array" ref="Y19:Y21">MMULT($B$3:$D$5,R19:R21)</f>
        <v>8.0254814523875673E-2</v>
      </c>
      <c r="Z19">
        <f t="array" ref="Z19:Z21">MMULT($B$3:$D$5,S19:S21)</f>
        <v>0.81707013555179975</v>
      </c>
      <c r="AA19">
        <f t="array" ref="AA19:AA21">MMULT($B$3:$D$5,T19:T21)</f>
        <v>0.63324428316015047</v>
      </c>
      <c r="AB19">
        <f t="array" ref="AB19:AB21">MMULT($B$3:$D$5,U19:U21)</f>
        <v>0.36345081005276159</v>
      </c>
      <c r="AC19">
        <f t="array" ref="AC19:AC21">MMULT($B$3:$D$5,V19:V21)</f>
        <v>0.95047000000000004</v>
      </c>
      <c r="AD19">
        <f>W19/(W19+W20+W21)</f>
        <v>0.48286113512868167</v>
      </c>
      <c r="AE19">
        <f t="shared" ref="AE19" si="48">X19/(X19+X20+X21)</f>
        <v>0.30624232616800584</v>
      </c>
      <c r="AF19">
        <f t="shared" ref="AF19" si="49">Y19/(Y19+Y20+Y21)</f>
        <v>0.22855411886082075</v>
      </c>
      <c r="AG19">
        <f t="shared" ref="AG19" si="50">Z19/(Z19+Z20+Z21)</f>
        <v>0.36807729146903734</v>
      </c>
      <c r="AH19">
        <f t="shared" ref="AH19" si="51">AA19/(AA19+AA20+AA21)</f>
        <v>0.26747725753327678</v>
      </c>
      <c r="AI19">
        <f t="shared" ref="AI19" si="52">AB19/(AB19+AB20+AB21)</f>
        <v>0.31687392768044514</v>
      </c>
      <c r="AJ19">
        <f t="shared" ref="AJ19" si="53">AC19/(AC19+AC20+AC21)</f>
        <v>0.31272660439158345</v>
      </c>
    </row>
    <row r="20" spans="1:36">
      <c r="A20" t="s">
        <v>34</v>
      </c>
      <c r="B20">
        <v>95</v>
      </c>
      <c r="C20">
        <v>224</v>
      </c>
      <c r="D20">
        <v>77</v>
      </c>
      <c r="E20">
        <v>233</v>
      </c>
      <c r="F20">
        <v>224</v>
      </c>
      <c r="G20">
        <v>121</v>
      </c>
      <c r="H20">
        <v>235</v>
      </c>
      <c r="I20">
        <f>(B20-16)/219</f>
        <v>0.36073059360730592</v>
      </c>
      <c r="J20">
        <f t="shared" si="42"/>
        <v>0.94977168949771684</v>
      </c>
      <c r="K20">
        <f t="shared" si="43"/>
        <v>0.27853881278538811</v>
      </c>
      <c r="L20">
        <f t="shared" si="44"/>
        <v>0.9908675799086758</v>
      </c>
      <c r="M20">
        <f t="shared" si="45"/>
        <v>0.94977168949771684</v>
      </c>
      <c r="N20">
        <f t="shared" si="46"/>
        <v>0.47945205479452052</v>
      </c>
      <c r="O20">
        <f t="shared" si="47"/>
        <v>1</v>
      </c>
      <c r="P20">
        <f>I20^IF('Color Targets'!$AA$1=1,$N$1,INDEX(Calculation!$G$128:$G$237,MATCH(I20,Calculation!$H$128:$H$237)))</f>
        <v>9.7193274208814656E-2</v>
      </c>
      <c r="Q20">
        <f>J20^IF('Color Targets'!$AA$1=1,$N$1,INDEX(Calculation!$G$128:$G$237,MATCH(J20,Calculation!$H$128:$H$237)))</f>
        <v>0.88665145829732872</v>
      </c>
      <c r="R20">
        <f>K20^IF('Color Targets'!$AA$1=1,$N$1,INDEX(Calculation!$G$128:$G$237,MATCH(K20,Calculation!$H$128:$H$237)))</f>
        <v>5.5772335903118281E-2</v>
      </c>
      <c r="S20">
        <f>L20^IF('Color Targets'!$AA$1=1,$N$1,INDEX(Calculation!$G$128:$G$237,MATCH(L20,Calculation!$H$128:$H$237)))</f>
        <v>0.97881049268714004</v>
      </c>
      <c r="T20">
        <f>M20^IF('Color Targets'!$AA$1=1,$N$1,INDEX(Calculation!$G$128:$G$237,MATCH(M20,Calculation!$H$128:$H$237)))</f>
        <v>0.88665145829732872</v>
      </c>
      <c r="U20">
        <f>N20^IF('Color Targets'!$AA$1=1,$N$1,INDEX(Calculation!$G$128:$G$237,MATCH(N20,Calculation!$H$128:$H$237)))</f>
        <v>0.18677383151405941</v>
      </c>
      <c r="V20">
        <f t="shared" ref="V20:V21" si="54">O20^$N$1</f>
        <v>1</v>
      </c>
      <c r="W20">
        <v>0.20273712333565438</v>
      </c>
      <c r="X20">
        <v>0.70330905246486686</v>
      </c>
      <c r="Y20">
        <v>6.6670294447567405E-2</v>
      </c>
      <c r="Z20">
        <v>0.93350664119517068</v>
      </c>
      <c r="AA20">
        <v>0.77863254583333608</v>
      </c>
      <c r="AB20">
        <v>0.27610040254145096</v>
      </c>
      <c r="AC20">
        <v>1.0000001000000001</v>
      </c>
      <c r="AD20">
        <f>W20/(W19+W20+W21)</f>
        <v>0.3295310065802034</v>
      </c>
      <c r="AE20">
        <f t="shared" ref="AE20" si="55">X20/(X19+X20+X21)</f>
        <v>0.4670875162380882</v>
      </c>
      <c r="AF20">
        <f t="shared" ref="AF20" si="56">Y20/(Y19+Y20+Y21)</f>
        <v>0.18986736798353732</v>
      </c>
      <c r="AG20">
        <f t="shared" ref="AG20" si="57">Z20/(Z19+Z20+Z21)</f>
        <v>0.42053011254343359</v>
      </c>
      <c r="AH20">
        <f t="shared" ref="AH20" si="58">AA20/(AA19+AA20+AA21)</f>
        <v>0.3288880824100272</v>
      </c>
      <c r="AI20">
        <f t="shared" ref="AI20" si="59">AB20/(AB19+AB20+AB21)</f>
        <v>0.24071763376937003</v>
      </c>
      <c r="AJ20">
        <f t="shared" ref="AJ20" si="60">AC20/(AC19+AC20+AC21)</f>
        <v>0.32902315240275221</v>
      </c>
    </row>
    <row r="21" spans="1:36">
      <c r="A21" t="s">
        <v>35</v>
      </c>
      <c r="B21">
        <v>95</v>
      </c>
      <c r="C21">
        <v>134</v>
      </c>
      <c r="D21">
        <v>126</v>
      </c>
      <c r="E21">
        <v>156</v>
      </c>
      <c r="F21">
        <v>224</v>
      </c>
      <c r="G21">
        <v>178</v>
      </c>
      <c r="H21">
        <v>235</v>
      </c>
      <c r="I21">
        <f>(B21-16)/219</f>
        <v>0.36073059360730592</v>
      </c>
      <c r="J21">
        <f t="shared" si="42"/>
        <v>0.53881278538812782</v>
      </c>
      <c r="K21">
        <f t="shared" si="43"/>
        <v>0.50228310502283102</v>
      </c>
      <c r="L21">
        <f t="shared" si="44"/>
        <v>0.63926940639269403</v>
      </c>
      <c r="M21">
        <f t="shared" si="45"/>
        <v>0.94977168949771684</v>
      </c>
      <c r="N21">
        <f t="shared" si="46"/>
        <v>0.73972602739726023</v>
      </c>
      <c r="O21">
        <f t="shared" si="47"/>
        <v>1</v>
      </c>
      <c r="P21">
        <f>I21^IF('Color Targets'!$AA$1=1,$N$1,INDEX(Calculation!$G$128:$G$237,MATCH(I21,Calculation!$H$128:$H$237)))</f>
        <v>9.7193274208814656E-2</v>
      </c>
      <c r="Q21">
        <f>J21^IF('Color Targets'!$AA$1=1,$N$1,INDEX(Calculation!$G$128:$G$237,MATCH(J21,Calculation!$H$128:$H$237)))</f>
        <v>0.24300095394884078</v>
      </c>
      <c r="R21">
        <f>K21^IF('Color Targets'!$AA$1=1,$N$1,INDEX(Calculation!$G$128:$G$237,MATCH(K21,Calculation!$H$128:$H$237)))</f>
        <v>0.20676579578833526</v>
      </c>
      <c r="S21">
        <f>L21^IF('Color Targets'!$AA$1=1,$N$1,INDEX(Calculation!$G$128:$G$237,MATCH(L21,Calculation!$H$128:$H$237)))</f>
        <v>0.35111462329997617</v>
      </c>
      <c r="T21">
        <f>M21^IF('Color Targets'!$AA$1=1,$N$1,INDEX(Calculation!$G$128:$G$237,MATCH(M21,Calculation!$H$128:$H$237)))</f>
        <v>0.88665145829732872</v>
      </c>
      <c r="U21">
        <f>N21^IF('Color Targets'!$AA$1=1,$N$1,INDEX(Calculation!$G$128:$G$237,MATCH(N21,Calculation!$H$128:$H$237)))</f>
        <v>0.50036769107914103</v>
      </c>
      <c r="V21">
        <f t="shared" si="54"/>
        <v>1</v>
      </c>
      <c r="W21">
        <v>0.11542184724837569</v>
      </c>
      <c r="X21">
        <v>0.34130471960242126</v>
      </c>
      <c r="Y21">
        <v>0.20421629650349951</v>
      </c>
      <c r="Z21">
        <v>0.46925627052085239</v>
      </c>
      <c r="AA21">
        <v>0.9555927981443223</v>
      </c>
      <c r="AB21">
        <v>0.50743747376841997</v>
      </c>
      <c r="AC21">
        <v>1.08883</v>
      </c>
      <c r="AD21">
        <f>W20</f>
        <v>0.20273712333565438</v>
      </c>
      <c r="AE21">
        <f t="shared" ref="AE21" si="61">X20</f>
        <v>0.70330905246486686</v>
      </c>
      <c r="AF21">
        <f t="shared" ref="AF21" si="62">Y20</f>
        <v>6.6670294447567405E-2</v>
      </c>
      <c r="AG21">
        <f t="shared" ref="AG21" si="63">Z20</f>
        <v>0.93350664119517068</v>
      </c>
      <c r="AH21">
        <f t="shared" ref="AH21" si="64">AA20</f>
        <v>0.77863254583333608</v>
      </c>
      <c r="AI21">
        <f t="shared" ref="AI21" si="65">AB20</f>
        <v>0.27610040254145096</v>
      </c>
      <c r="AJ21">
        <f t="shared" ref="AJ21" si="66">AC20</f>
        <v>1.0000001000000001</v>
      </c>
    </row>
    <row r="23" spans="1:36">
      <c r="A23" t="s">
        <v>67</v>
      </c>
    </row>
    <row r="24" spans="1:36">
      <c r="A24" t="s">
        <v>33</v>
      </c>
      <c r="B24">
        <v>180</v>
      </c>
      <c r="C24">
        <v>16</v>
      </c>
      <c r="D24">
        <v>16</v>
      </c>
      <c r="E24">
        <v>180</v>
      </c>
      <c r="F24">
        <v>16</v>
      </c>
      <c r="G24">
        <v>180</v>
      </c>
      <c r="H24">
        <v>180</v>
      </c>
      <c r="I24">
        <f>(B24-16)/219</f>
        <v>0.74885844748858443</v>
      </c>
      <c r="J24">
        <f t="shared" ref="J24:J26" si="67">(C24-16)/219</f>
        <v>0</v>
      </c>
      <c r="K24">
        <f t="shared" ref="K24:K26" si="68">(D24-16)/219</f>
        <v>0</v>
      </c>
      <c r="L24">
        <f t="shared" ref="L24:L26" si="69">(E24-16)/219</f>
        <v>0.74885844748858443</v>
      </c>
      <c r="M24">
        <f t="shared" ref="M24:M26" si="70">(F24-16)/219</f>
        <v>0</v>
      </c>
      <c r="N24">
        <f t="shared" ref="N24:N26" si="71">(G24-16)/219</f>
        <v>0.74885844748858443</v>
      </c>
      <c r="O24">
        <f t="shared" ref="O24:O26" si="72">(H24-16)/219</f>
        <v>0.74885844748858443</v>
      </c>
      <c r="P24">
        <f>I24^IF('Color Targets'!$AA$1=1,$N$1,INDEX(Calculation!$G$128:$G$237,MATCH(I24,Calculation!$H$128:$H$237)))</f>
        <v>0.51552944198554718</v>
      </c>
      <c r="Q24">
        <f t="shared" ref="Q24:Q26" si="73">J24^$N$1</f>
        <v>0</v>
      </c>
      <c r="R24">
        <f t="shared" ref="R24:R25" si="74">K24^$N$1</f>
        <v>0</v>
      </c>
      <c r="S24">
        <f>L24^IF('Color Targets'!$AA$1=1,$N$1,INDEX(Calculation!$G$128:$G$237,MATCH(L24,Calculation!$H$128:$H$237)))</f>
        <v>0.51552944198554718</v>
      </c>
      <c r="T24">
        <f t="shared" ref="T24" si="75">M24^$N$1</f>
        <v>0</v>
      </c>
      <c r="U24">
        <f>N24^IF('Color Targets'!$AA$1=1,$N$1,INDEX(Calculation!$G$128:$G$237,MATCH(N24,Calculation!$H$128:$H$237)))</f>
        <v>0.51552944198554718</v>
      </c>
      <c r="V24">
        <f>O24^IF('Color Targets'!$AA$1=1,$N$1,INDEX(Calculation!$G$128:$G$237,MATCH(O24,Calculation!$H$128:$H$237)))</f>
        <v>0.51552944198554718</v>
      </c>
      <c r="W24">
        <f t="array" ref="W24:W26">MMULT($B$3:$D$5,P24:P26)</f>
        <v>0.21263341773536765</v>
      </c>
      <c r="X24">
        <f t="array" ref="X24:X26">MMULT($B$3:$D$5,Q24:Q26)</f>
        <v>0.18434100730036823</v>
      </c>
      <c r="Y24">
        <f t="array" ref="Y24:Y26">MMULT($B$3:$D$5,R24:R26)</f>
        <v>9.3020843688267171E-2</v>
      </c>
      <c r="Z24">
        <f t="array" ref="Z24:Z26">MMULT($B$3:$D$5,S24:S26)</f>
        <v>0.39697442503573588</v>
      </c>
      <c r="AA24">
        <f t="array" ref="AA24:AA26">MMULT($B$3:$D$5,T24:T26)</f>
        <v>0.27736185098863542</v>
      </c>
      <c r="AB24">
        <f t="array" ref="AB24:AB26">MMULT($B$3:$D$5,U24:U26)</f>
        <v>0.30565426142363483</v>
      </c>
      <c r="AC24">
        <f t="array" ref="AC24:AC26">MMULT($B$3:$D$5,V24:V26)</f>
        <v>0.48999526872400306</v>
      </c>
      <c r="AD24">
        <f>W24/(W24+W25+W26)</f>
        <v>0.6399999255194091</v>
      </c>
      <c r="AE24">
        <f t="shared" ref="AE24" si="76">X24/(X24+X25+X26)</f>
        <v>0.30000000838982266</v>
      </c>
      <c r="AF24">
        <f t="shared" ref="AF24" si="77">Y24/(Y24+Y25+Y26)</f>
        <v>0.15000000831312826</v>
      </c>
      <c r="AG24">
        <f t="shared" ref="AG24" si="78">Z24/(Z24+Z25+Z26)</f>
        <v>0.41932009299800393</v>
      </c>
      <c r="AH24">
        <f t="shared" ref="AH24" si="79">AA24/(AA24+AA25+AA26)</f>
        <v>0.22465563312474432</v>
      </c>
      <c r="AI24">
        <f t="shared" ref="AI24" si="80">AB24/(AB24+AB25+AB26)</f>
        <v>0.32093774111852907</v>
      </c>
      <c r="AJ24">
        <f t="shared" ref="AJ24" si="81">AC24/(AC24+AC25+AC26)</f>
        <v>0.31272660439158345</v>
      </c>
    </row>
    <row r="25" spans="1:36">
      <c r="A25" t="s">
        <v>34</v>
      </c>
      <c r="B25">
        <v>16</v>
      </c>
      <c r="C25">
        <v>180</v>
      </c>
      <c r="D25">
        <v>16</v>
      </c>
      <c r="E25">
        <v>180</v>
      </c>
      <c r="F25">
        <v>180</v>
      </c>
      <c r="G25">
        <v>16</v>
      </c>
      <c r="H25">
        <v>180</v>
      </c>
      <c r="I25">
        <f>(B25-16)/219</f>
        <v>0</v>
      </c>
      <c r="J25">
        <f t="shared" si="67"/>
        <v>0.74885844748858443</v>
      </c>
      <c r="K25">
        <f t="shared" si="68"/>
        <v>0</v>
      </c>
      <c r="L25">
        <f t="shared" si="69"/>
        <v>0.74885844748858443</v>
      </c>
      <c r="M25">
        <f t="shared" si="70"/>
        <v>0.74885844748858443</v>
      </c>
      <c r="N25">
        <f t="shared" si="71"/>
        <v>0</v>
      </c>
      <c r="O25">
        <f t="shared" si="72"/>
        <v>0.74885844748858443</v>
      </c>
      <c r="P25">
        <f>I25^$N$1</f>
        <v>0</v>
      </c>
      <c r="Q25">
        <f>J25^IF('Color Targets'!$AA$1=1,$N$1,INDEX(Calculation!$G$128:$G$237,MATCH(J25,Calculation!$H$128:$H$237)))</f>
        <v>0.51552944198554718</v>
      </c>
      <c r="R25">
        <f t="shared" si="74"/>
        <v>0</v>
      </c>
      <c r="S25">
        <f>L25^IF('Color Targets'!$AA$1=1,$N$1,INDEX(Calculation!$G$128:$G$237,MATCH(L25,Calculation!$H$128:$H$237)))</f>
        <v>0.51552944198554718</v>
      </c>
      <c r="T25">
        <f>M25^IF('Color Targets'!$AA$1=1,$N$1,INDEX(Calculation!$G$128:$G$237,MATCH(M25,Calculation!$H$128:$H$237)))</f>
        <v>0.51552944198554718</v>
      </c>
      <c r="U25">
        <f t="shared" ref="U25" si="82">N25^$N$1</f>
        <v>0</v>
      </c>
      <c r="V25">
        <f>O25^IF('Color Targets'!$AA$1=1,$N$1,INDEX(Calculation!$G$128:$G$237,MATCH(O25,Calculation!$H$128:$H$237)))</f>
        <v>0.51552944198554718</v>
      </c>
      <c r="W25">
        <v>0.10963914146244808</v>
      </c>
      <c r="X25">
        <v>0.36868201460073646</v>
      </c>
      <c r="Y25">
        <v>3.7208337475306871E-2</v>
      </c>
      <c r="Z25">
        <v>0.47832115606318454</v>
      </c>
      <c r="AA25">
        <v>0.40589035207604335</v>
      </c>
      <c r="AB25">
        <v>0.14684747893775496</v>
      </c>
      <c r="AC25">
        <v>0.51552949353849142</v>
      </c>
      <c r="AD25">
        <f>W25/(W24+W25+W26)</f>
        <v>0.33000006827387507</v>
      </c>
      <c r="AE25">
        <f t="shared" ref="AE25" si="83">X25/(X24+X25+X26)</f>
        <v>0.60000001677964532</v>
      </c>
      <c r="AF25">
        <f t="shared" ref="AF25" si="84">Y25/(Y24+Y25+Y26)</f>
        <v>6.0000003325251315E-2</v>
      </c>
      <c r="AG25">
        <f t="shared" ref="AG25" si="85">Z25/(Z24+Z25+Z26)</f>
        <v>0.50524582692013942</v>
      </c>
      <c r="AH25">
        <f t="shared" ref="AH25" si="86">AA25/(AA24+AA25+AA26)</f>
        <v>0.32876025920596097</v>
      </c>
      <c r="AI25">
        <f t="shared" ref="AI25" si="87">AB25/(AB24+AB25+AB26)</f>
        <v>0.15419022119869452</v>
      </c>
      <c r="AJ25">
        <f t="shared" ref="AJ25" si="88">AC25/(AC24+AC25+AC26)</f>
        <v>0.32902315240275221</v>
      </c>
    </row>
    <row r="26" spans="1:36">
      <c r="A26" t="s">
        <v>35</v>
      </c>
      <c r="B26">
        <v>16</v>
      </c>
      <c r="C26">
        <v>16</v>
      </c>
      <c r="D26">
        <v>180</v>
      </c>
      <c r="E26">
        <v>16</v>
      </c>
      <c r="F26">
        <v>180</v>
      </c>
      <c r="G26">
        <v>180</v>
      </c>
      <c r="H26">
        <v>180</v>
      </c>
      <c r="I26">
        <f>(B26-16)/219</f>
        <v>0</v>
      </c>
      <c r="J26">
        <f t="shared" si="67"/>
        <v>0</v>
      </c>
      <c r="K26">
        <f t="shared" si="68"/>
        <v>0.74885844748858443</v>
      </c>
      <c r="L26">
        <f t="shared" si="69"/>
        <v>0</v>
      </c>
      <c r="M26">
        <f t="shared" si="70"/>
        <v>0.74885844748858443</v>
      </c>
      <c r="N26">
        <f t="shared" si="71"/>
        <v>0.74885844748858443</v>
      </c>
      <c r="O26">
        <f t="shared" si="72"/>
        <v>0.74885844748858443</v>
      </c>
      <c r="P26">
        <f>I26^$N$1</f>
        <v>0</v>
      </c>
      <c r="Q26">
        <f t="shared" si="73"/>
        <v>0</v>
      </c>
      <c r="R26">
        <f>K26^IF('Color Targets'!$AA$1=1,$N$1,INDEX(Calculation!$G$128:$G$237,MATCH(K26,Calculation!$H$128:$H$237)))</f>
        <v>0.51552944198554718</v>
      </c>
      <c r="S26">
        <f t="shared" ref="S26" si="89">L26^$N$1</f>
        <v>0</v>
      </c>
      <c r="T26">
        <f>M26^IF('Color Targets'!$AA$1=1,$N$1,INDEX(Calculation!$G$128:$G$237,MATCH(M26,Calculation!$H$128:$H$237)))</f>
        <v>0.51552944198554718</v>
      </c>
      <c r="U26">
        <f>N26^IF('Color Targets'!$AA$1=1,$N$1,INDEX(Calculation!$G$128:$G$237,MATCH(N26,Calculation!$H$128:$H$237)))</f>
        <v>0.51552944198554718</v>
      </c>
      <c r="V26">
        <f>O26^IF('Color Targets'!$AA$1=1,$N$1,INDEX(Calculation!$G$128:$G$237,MATCH(O26,Calculation!$H$128:$H$237)))</f>
        <v>0.51552944198554718</v>
      </c>
      <c r="W26">
        <v>9.9671946784043713E-3</v>
      </c>
      <c r="X26">
        <v>6.1446985249141342E-2</v>
      </c>
      <c r="Y26">
        <v>0.48990974238957763</v>
      </c>
      <c r="Z26">
        <v>7.1414179927545715E-2</v>
      </c>
      <c r="AA26">
        <v>0.55135672763871901</v>
      </c>
      <c r="AB26">
        <v>0.49987693706798197</v>
      </c>
      <c r="AC26">
        <v>0.56132392231712336</v>
      </c>
      <c r="AD26">
        <f>W25</f>
        <v>0.10963914146244808</v>
      </c>
      <c r="AE26">
        <f t="shared" ref="AE26" si="90">X25</f>
        <v>0.36868201460073646</v>
      </c>
      <c r="AF26">
        <f t="shared" ref="AF26" si="91">Y25</f>
        <v>3.7208337475306871E-2</v>
      </c>
      <c r="AG26">
        <f t="shared" ref="AG26" si="92">Z25</f>
        <v>0.47832115606318454</v>
      </c>
      <c r="AH26">
        <f t="shared" ref="AH26" si="93">AA25</f>
        <v>0.40589035207604335</v>
      </c>
      <c r="AI26">
        <f t="shared" ref="AI26" si="94">AB25</f>
        <v>0.14684747893775496</v>
      </c>
      <c r="AJ26">
        <f t="shared" ref="AJ26" si="95">AC25</f>
        <v>0.51552949353849142</v>
      </c>
    </row>
    <row r="28" spans="1:36">
      <c r="A28" t="s">
        <v>68</v>
      </c>
    </row>
    <row r="29" spans="1:36">
      <c r="A29" t="s">
        <v>33</v>
      </c>
      <c r="B29">
        <v>165</v>
      </c>
      <c r="C29">
        <v>77</v>
      </c>
      <c r="D29">
        <v>58</v>
      </c>
      <c r="E29">
        <v>180</v>
      </c>
      <c r="F29">
        <v>95</v>
      </c>
      <c r="G29">
        <v>156</v>
      </c>
      <c r="H29">
        <v>180</v>
      </c>
      <c r="I29">
        <f>(B29-16)/219</f>
        <v>0.68036529680365299</v>
      </c>
      <c r="J29">
        <f t="shared" ref="J29:J31" si="96">(C29-16)/219</f>
        <v>0.27853881278538811</v>
      </c>
      <c r="K29">
        <f t="shared" ref="K29:K31" si="97">(D29-16)/219</f>
        <v>0.19178082191780821</v>
      </c>
      <c r="L29">
        <f t="shared" ref="L29:L31" si="98">(E29-16)/219</f>
        <v>0.74885844748858443</v>
      </c>
      <c r="M29">
        <f t="shared" ref="M29:M31" si="99">(F29-16)/219</f>
        <v>0.36073059360730592</v>
      </c>
      <c r="N29">
        <f t="shared" ref="N29:N31" si="100">(G29-16)/219</f>
        <v>0.63926940639269403</v>
      </c>
      <c r="O29">
        <f t="shared" ref="O29:O31" si="101">(H29-16)/219</f>
        <v>0.74885844748858443</v>
      </c>
      <c r="P29">
        <f>I29^IF('Color Targets'!$AA$1=1,$N$1,INDEX(Calculation!$G$128:$G$237,MATCH(I29,Calculation!$H$128:$H$237)))</f>
        <v>0.40522163480487683</v>
      </c>
      <c r="Q29">
        <f>J29^IF('Color Targets'!$AA$1=1,$N$1,INDEX(Calculation!$G$128:$G$237,MATCH(J29,Calculation!$H$128:$H$237)))</f>
        <v>5.5772335903118281E-2</v>
      </c>
      <c r="R29">
        <f>K29^IF('Color Targets'!$AA$1=1,$N$1,INDEX(Calculation!$G$128:$G$237,MATCH(K29,Calculation!$H$128:$H$237)))</f>
        <v>2.6117854707989788E-2</v>
      </c>
      <c r="S29">
        <f>L29^IF('Color Targets'!$AA$1=1,$N$1,INDEX(Calculation!$G$128:$G$237,MATCH(L29,Calculation!$H$128:$H$237)))</f>
        <v>0.51552944198554718</v>
      </c>
      <c r="T29">
        <f>M29^IF('Color Targets'!$AA$1=1,$N$1,INDEX(Calculation!$G$128:$G$237,MATCH(M29,Calculation!$H$128:$H$237)))</f>
        <v>9.7193274208814656E-2</v>
      </c>
      <c r="U29">
        <f>N29^IF('Color Targets'!$AA$1=1,$N$1,INDEX(Calculation!$G$128:$G$237,MATCH(N29,Calculation!$H$128:$H$237)))</f>
        <v>0.35111462329997617</v>
      </c>
      <c r="V29">
        <f>O29^IF('Color Targets'!$AA$1=1,$N$1,INDEX(Calculation!$G$139:$G$237,MATCH(O29,Calculation!$A$139:$A$237)))</f>
        <v>0.51141483381846897</v>
      </c>
      <c r="W29">
        <f t="array" ref="W29:W31">MMULT($B$3:$D$5,P29:P31)</f>
        <v>0.18270758435738585</v>
      </c>
      <c r="X29">
        <f t="array" ref="X29:X31">MMULT($B$3:$D$5,Q29:Q31)</f>
        <v>0.20632472078175301</v>
      </c>
      <c r="Y29">
        <f t="array" ref="Y29:Y31">MMULT($B$3:$D$5,R29:R31)</f>
        <v>5.7419900232987889E-2</v>
      </c>
      <c r="Z29">
        <f t="array" ref="Z29:Z31">MMULT($B$3:$D$5,S29:S31)</f>
        <v>0.41156048429018183</v>
      </c>
      <c r="AA29">
        <f t="array" ref="AA29:AA31">MMULT($B$3:$D$5,T29:T31)</f>
        <v>0.30077366652200244</v>
      </c>
      <c r="AB29">
        <f t="array" ref="AB29:AB31">MMULT($B$3:$D$5,U29:U31)</f>
        <v>0.23041408717356471</v>
      </c>
      <c r="AC29">
        <f t="array" ref="AC29:AC31">MMULT($B$3:$D$5,V29:V31)</f>
        <v>0.48608445709944026</v>
      </c>
      <c r="AD29">
        <f>W29/(W29+W30+W31)</f>
        <v>0.55288461187796323</v>
      </c>
      <c r="AE29">
        <f t="shared" ref="AE29" si="102">X29/(X29+X30+X31)</f>
        <v>0.30316986370007376</v>
      </c>
      <c r="AF29">
        <f t="shared" ref="AF29" si="103">Y29/(Y29+Y30+Y31)</f>
        <v>0.19353865308436108</v>
      </c>
      <c r="AG29">
        <f t="shared" ref="AG29" si="104">Z29/(Z29+Z30+Z31)</f>
        <v>0.39423384730319122</v>
      </c>
      <c r="AH29">
        <f t="shared" ref="AH29" si="105">AA29/(AA29+AA30+AA31)</f>
        <v>0.24592772849239825</v>
      </c>
      <c r="AI29">
        <f t="shared" ref="AI29" si="106">AB29/(AB29+AB30+AB31)</f>
        <v>0.31879017634254864</v>
      </c>
      <c r="AJ29">
        <f t="shared" ref="AJ29" si="107">AC29/(AC29+AC30+AC31)</f>
        <v>0.31272660439158345</v>
      </c>
    </row>
    <row r="30" spans="1:36">
      <c r="A30" t="s">
        <v>34</v>
      </c>
      <c r="B30">
        <v>60</v>
      </c>
      <c r="C30">
        <v>176</v>
      </c>
      <c r="D30">
        <v>58</v>
      </c>
      <c r="E30">
        <v>180</v>
      </c>
      <c r="F30">
        <v>176</v>
      </c>
      <c r="G30">
        <v>80</v>
      </c>
      <c r="H30">
        <v>180</v>
      </c>
      <c r="I30">
        <f>(B30-16)/219</f>
        <v>0.20091324200913241</v>
      </c>
      <c r="J30">
        <f t="shared" si="96"/>
        <v>0.73059360730593603</v>
      </c>
      <c r="K30">
        <f t="shared" si="97"/>
        <v>0.19178082191780821</v>
      </c>
      <c r="L30">
        <f t="shared" si="98"/>
        <v>0.74885844748858443</v>
      </c>
      <c r="M30">
        <f t="shared" si="99"/>
        <v>0.73059360730593603</v>
      </c>
      <c r="N30">
        <f t="shared" si="100"/>
        <v>0.29223744292237441</v>
      </c>
      <c r="O30">
        <f t="shared" si="101"/>
        <v>0.74885844748858443</v>
      </c>
      <c r="P30">
        <f>I30^IF('Color Targets'!$AA$1=1,$N$1,INDEX(Calculation!$G$128:$G$237,MATCH(I30,Calculation!$H$128:$H$237)))</f>
        <v>2.8942256596583539E-2</v>
      </c>
      <c r="Q30">
        <f>J30^IF('Color Targets'!$AA$1=1,$N$1,INDEX(Calculation!$G$128:$G$237,MATCH(J30,Calculation!$H$128:$H$237)))</f>
        <v>0.48453362245419423</v>
      </c>
      <c r="R30">
        <f>K30^IF('Color Targets'!$AA$1=1,$N$1,INDEX(Calculation!$G$128:$G$237,MATCH(K30,Calculation!$H$128:$H$237)))</f>
        <v>2.6117854707989788E-2</v>
      </c>
      <c r="S30">
        <f>L30^IF('Color Targets'!$AA$1=1,$N$1,INDEX(Calculation!$G$128:$G$237,MATCH(L30,Calculation!$H$128:$H$237)))</f>
        <v>0.51552944198554718</v>
      </c>
      <c r="T30">
        <f>M30^IF('Color Targets'!$AA$1=1,$N$1,INDEX(Calculation!$G$128:$G$237,MATCH(M30,Calculation!$H$128:$H$237)))</f>
        <v>0.48453362245419423</v>
      </c>
      <c r="U30">
        <f>N30^IF('Color Targets'!$AA$1=1,$N$1,INDEX(Calculation!$G$128:$G$237,MATCH(N30,Calculation!$H$128:$H$237)))</f>
        <v>6.2197582048159748E-2</v>
      </c>
      <c r="V30">
        <f>O30^IF('Color Targets'!$AA$1=1,$N$1,INDEX(Calculation!$G$139:$G$237,MATCH(O30,Calculation!$A$139:$A$237)))</f>
        <v>0.51141483381846897</v>
      </c>
      <c r="W30">
        <v>0.10896668606456374</v>
      </c>
      <c r="X30">
        <v>0.36240191883218426</v>
      </c>
      <c r="Y30">
        <v>3.9156122467249192E-2</v>
      </c>
      <c r="Z30">
        <v>0.48415557976496293</v>
      </c>
      <c r="AA30">
        <v>0.40215687575920173</v>
      </c>
      <c r="AB30">
        <v>0.14449500074271124</v>
      </c>
      <c r="AC30">
        <v>0.51141488495995235</v>
      </c>
      <c r="AD30">
        <f>W30/(W29+W30+W31)</f>
        <v>0.32974002772971794</v>
      </c>
      <c r="AE30">
        <f t="shared" ref="AE30" si="108">X30/(X29+X30+X31)</f>
        <v>0.53250691395926586</v>
      </c>
      <c r="AF30">
        <f t="shared" ref="AF30" si="109">Y30/(Y29+Y30+Y31)</f>
        <v>0.13197903813082537</v>
      </c>
      <c r="AG30">
        <f t="shared" ref="AG30" si="110">Z30/(Z29+Z30+Z31)</f>
        <v>0.4637726997363284</v>
      </c>
      <c r="AH30">
        <f t="shared" ref="AH30" si="111">AA30/(AA29+AA30+AA31)</f>
        <v>0.3288237567361143</v>
      </c>
      <c r="AI30">
        <f t="shared" ref="AI30" si="112">AB30/(AB29+AB30+AB31)</f>
        <v>0.19991653866496087</v>
      </c>
      <c r="AJ30">
        <f t="shared" ref="AJ30" si="113">AC30/(AC29+AC30+AC31)</f>
        <v>0.32902315240275221</v>
      </c>
    </row>
    <row r="31" spans="1:36">
      <c r="A31" t="s">
        <v>35</v>
      </c>
      <c r="B31">
        <v>60</v>
      </c>
      <c r="C31">
        <v>77</v>
      </c>
      <c r="D31">
        <v>126</v>
      </c>
      <c r="E31">
        <v>88</v>
      </c>
      <c r="F31">
        <v>176</v>
      </c>
      <c r="G31">
        <v>156</v>
      </c>
      <c r="H31">
        <v>180</v>
      </c>
      <c r="I31">
        <f>(B31-16)/219</f>
        <v>0.20091324200913241</v>
      </c>
      <c r="J31">
        <f t="shared" si="96"/>
        <v>0.27853881278538811</v>
      </c>
      <c r="K31">
        <f t="shared" si="97"/>
        <v>0.50228310502283102</v>
      </c>
      <c r="L31">
        <f t="shared" si="98"/>
        <v>0.32876712328767121</v>
      </c>
      <c r="M31">
        <f t="shared" si="99"/>
        <v>0.73059360730593603</v>
      </c>
      <c r="N31">
        <f t="shared" si="100"/>
        <v>0.63926940639269403</v>
      </c>
      <c r="O31">
        <f t="shared" si="101"/>
        <v>0.74885844748858443</v>
      </c>
      <c r="P31">
        <f>I31^IF('Color Targets'!$AA$1=1,$N$1,INDEX(Calculation!$G$128:$G$237,MATCH(I31,Calculation!$H$128:$H$237)))</f>
        <v>2.8942256596583539E-2</v>
      </c>
      <c r="Q31">
        <f>J31^IF('Color Targets'!$AA$1=1,$N$1,INDEX(Calculation!$G$128:$G$237,MATCH(J31,Calculation!$H$128:$H$237)))</f>
        <v>5.5772335903118281E-2</v>
      </c>
      <c r="R31">
        <f>K31^IF('Color Targets'!$AA$1=1,$N$1,INDEX(Calculation!$G$128:$G$237,MATCH(K31,Calculation!$H$128:$H$237)))</f>
        <v>0.20676579578833526</v>
      </c>
      <c r="S31">
        <f>L31^IF('Color Targets'!$AA$1=1,$N$1,INDEX(Calculation!$G$128:$G$237,MATCH(L31,Calculation!$H$128:$H$237)))</f>
        <v>8.0837183259832024E-2</v>
      </c>
      <c r="T31">
        <f>M31^IF('Color Targets'!$AA$1=1,$N$1,INDEX(Calculation!$G$128:$G$237,MATCH(M31,Calculation!$H$128:$H$237)))</f>
        <v>0.48453362245419423</v>
      </c>
      <c r="U31">
        <f>N31^IF('Color Targets'!$AA$1=1,$N$1,INDEX(Calculation!$G$128:$G$237,MATCH(N31,Calculation!$H$128:$H$237)))</f>
        <v>0.35111462329997617</v>
      </c>
      <c r="V31">
        <f>O31^IF('Color Targets'!$AA$1=1,$N$1,INDEX(Calculation!$G$139:$G$237,MATCH(O31,Calculation!$A$139:$A$237)))</f>
        <v>0.51141483381846897</v>
      </c>
      <c r="W31">
        <v>3.8788145120399381E-2</v>
      </c>
      <c r="X31">
        <v>0.11183150776798811</v>
      </c>
      <c r="Y31">
        <v>0.20010838280691126</v>
      </c>
      <c r="Z31">
        <v>0.14823408661181545</v>
      </c>
      <c r="AA31">
        <v>0.52008594457785895</v>
      </c>
      <c r="AB31">
        <v>0.34786753530682657</v>
      </c>
      <c r="AC31">
        <v>0.55684381350656353</v>
      </c>
      <c r="AD31">
        <f>W30</f>
        <v>0.10896668606456374</v>
      </c>
      <c r="AE31">
        <f t="shared" ref="AE31" si="114">X30</f>
        <v>0.36240191883218426</v>
      </c>
      <c r="AF31">
        <f t="shared" ref="AF31" si="115">Y30</f>
        <v>3.9156122467249192E-2</v>
      </c>
      <c r="AG31">
        <f t="shared" ref="AG31" si="116">Z30</f>
        <v>0.48415557976496293</v>
      </c>
      <c r="AH31">
        <f t="shared" ref="AH31" si="117">AA30</f>
        <v>0.40215687575920173</v>
      </c>
      <c r="AI31">
        <f t="shared" ref="AI31" si="118">AB30</f>
        <v>0.14449500074271124</v>
      </c>
      <c r="AJ31">
        <f t="shared" ref="AJ31" si="119">AC30</f>
        <v>0.51141488495995235</v>
      </c>
    </row>
    <row r="33" spans="1:36">
      <c r="A33" t="s">
        <v>69</v>
      </c>
    </row>
    <row r="34" spans="1:36">
      <c r="A34" t="s">
        <v>33</v>
      </c>
      <c r="B34">
        <v>147</v>
      </c>
      <c r="C34">
        <v>104</v>
      </c>
      <c r="D34">
        <v>62</v>
      </c>
      <c r="E34">
        <v>178</v>
      </c>
      <c r="F34">
        <v>123</v>
      </c>
      <c r="G34">
        <v>139</v>
      </c>
      <c r="H34">
        <v>180</v>
      </c>
      <c r="I34">
        <f>(B34-16)/219</f>
        <v>0.59817351598173518</v>
      </c>
      <c r="J34">
        <f t="shared" ref="J34:J36" si="120">(C34-16)/219</f>
        <v>0.40182648401826482</v>
      </c>
      <c r="K34">
        <f t="shared" ref="K34:K36" si="121">(D34-16)/219</f>
        <v>0.21004566210045661</v>
      </c>
      <c r="L34">
        <f t="shared" ref="L34:L36" si="122">(E34-16)/219</f>
        <v>0.73972602739726023</v>
      </c>
      <c r="M34">
        <f t="shared" ref="M34:M36" si="123">(F34-16)/219</f>
        <v>0.48858447488584472</v>
      </c>
      <c r="N34">
        <f t="shared" ref="N34:N36" si="124">(G34-16)/219</f>
        <v>0.56164383561643838</v>
      </c>
      <c r="O34">
        <f t="shared" ref="O34:O36" si="125">(H34-16)/219</f>
        <v>0.74885844748858443</v>
      </c>
      <c r="P34">
        <f>I34^IF('Color Targets'!$AA$1=1,$N$1,INDEX(Calculation!$G$128:$G$237,MATCH(I34,Calculation!$H$128:$H$237)))</f>
        <v>0.30584399799306561</v>
      </c>
      <c r="Q34">
        <f>J34^IF('Color Targets'!$AA$1=1,$N$1,INDEX(Calculation!$G$128:$G$237,MATCH(J34,Calculation!$H$128:$H$237)))</f>
        <v>0.12400841669466492</v>
      </c>
      <c r="R34">
        <f>K34^IF('Color Targets'!$AA$1=1,$N$1,INDEX(Calculation!$G$128:$G$237,MATCH(K34,Calculation!$H$128:$H$237)))</f>
        <v>3.1317129112466757E-2</v>
      </c>
      <c r="S34">
        <f>L34^IF('Color Targets'!$AA$1=1,$N$1,INDEX(Calculation!$G$128:$G$237,MATCH(L34,Calculation!$H$128:$H$237)))</f>
        <v>0.50036769107914103</v>
      </c>
      <c r="T34">
        <f>M34^IF('Color Targets'!$AA$1=1,$N$1,INDEX(Calculation!$G$128:$G$237,MATCH(M34,Calculation!$H$128:$H$237)))</f>
        <v>0.19453827982962318</v>
      </c>
      <c r="U34">
        <f>N34^IF('Color Targets'!$AA$1=1,$N$1,INDEX(Calculation!$G$128:$G$237,MATCH(N34,Calculation!$H$128:$H$237)))</f>
        <v>0.26694942719326142</v>
      </c>
      <c r="V34">
        <f>O34^IF('Color Targets'!$AA$1=1,$N$1,INDEX(Calculation!$G$139:$G$237,MATCH(O34,Calculation!$A$139:$A$237)))</f>
        <v>0.51141483381846897</v>
      </c>
      <c r="W34">
        <f t="array" ref="W34:W36">MMULT($B$3:$D$5,P34:P36)</f>
        <v>0.15395915811243699</v>
      </c>
      <c r="X34">
        <f t="array" ref="X34:X36">MMULT($B$3:$D$5,Q34:Q36)</f>
        <v>0.23325802013178315</v>
      </c>
      <c r="Y34">
        <f t="array" ref="Y34:Y36">MMULT($B$3:$D$5,R34:R36)</f>
        <v>4.3705497228248139E-2</v>
      </c>
      <c r="Z34">
        <f t="array" ref="Z34:Z36">MMULT($B$3:$D$5,S34:S36)</f>
        <v>0.41900038730471678</v>
      </c>
      <c r="AA34">
        <f t="array" ref="AA34:AA36">MMULT($B$3:$D$5,T34:T36)</f>
        <v>0.32057667016187946</v>
      </c>
      <c r="AB34">
        <f t="array" ref="AB34:AB36">MMULT($B$3:$D$5,U34:U36)</f>
        <v>0.19302667892919737</v>
      </c>
      <c r="AC34">
        <f t="array" ref="AC34:AC36">MMULT($B$3:$D$5,V34:V36)</f>
        <v>0.48608445709944026</v>
      </c>
      <c r="AD34">
        <f>W34/(W34+W35+W36)</f>
        <v>0.47976871549221128</v>
      </c>
      <c r="AE34">
        <f t="shared" ref="AE34" si="126">X34/(X34+X35+X36)</f>
        <v>0.30629862933698038</v>
      </c>
      <c r="AF34">
        <f t="shared" ref="AF34" si="127">Y34/(Y34+Y35+Y36)</f>
        <v>0.23233740631454494</v>
      </c>
      <c r="AG34">
        <f t="shared" ref="AG34" si="128">Z34/(Z34+Z35+Z36)</f>
        <v>0.3664063103854111</v>
      </c>
      <c r="AH34">
        <f t="shared" ref="AH34" si="129">AA34/(AA34+AA35+AA36)</f>
        <v>0.26822470450181274</v>
      </c>
      <c r="AI34">
        <f t="shared" ref="AI34" si="130">AB34/(AB34+AB35+AB36)</f>
        <v>0.31695489791357279</v>
      </c>
      <c r="AJ34">
        <f t="shared" ref="AJ34" si="131">AC34/(AC34+AC35+AC36)</f>
        <v>0.31272660439158345</v>
      </c>
    </row>
    <row r="35" spans="1:36">
      <c r="A35" t="s">
        <v>34</v>
      </c>
      <c r="B35">
        <v>75</v>
      </c>
      <c r="C35">
        <v>171</v>
      </c>
      <c r="D35">
        <v>62</v>
      </c>
      <c r="E35">
        <v>178</v>
      </c>
      <c r="F35">
        <v>171</v>
      </c>
      <c r="G35">
        <v>95</v>
      </c>
      <c r="H35">
        <v>180</v>
      </c>
      <c r="I35">
        <f>(B35-16)/219</f>
        <v>0.26940639269406391</v>
      </c>
      <c r="J35">
        <f t="shared" si="120"/>
        <v>0.70776255707762559</v>
      </c>
      <c r="K35">
        <f t="shared" si="121"/>
        <v>0.21004566210045661</v>
      </c>
      <c r="L35">
        <f t="shared" si="122"/>
        <v>0.73972602739726023</v>
      </c>
      <c r="M35">
        <f t="shared" si="123"/>
        <v>0.70776255707762559</v>
      </c>
      <c r="N35">
        <f t="shared" si="124"/>
        <v>0.36073059360730592</v>
      </c>
      <c r="O35">
        <f t="shared" si="125"/>
        <v>0.74885844748858443</v>
      </c>
      <c r="P35">
        <f>I35^IF('Color Targets'!$AA$1=1,$N$1,INDEX(Calculation!$G$128:$G$237,MATCH(I35,Calculation!$H$128:$H$237)))</f>
        <v>5.169357008560737E-2</v>
      </c>
      <c r="Q35">
        <f>J35^IF('Color Targets'!$AA$1=1,$N$1,INDEX(Calculation!$G$128:$G$237,MATCH(J35,Calculation!$H$128:$H$237)))</f>
        <v>0.44671382210628219</v>
      </c>
      <c r="R35">
        <f>K35^IF('Color Targets'!$AA$1=1,$N$1,INDEX(Calculation!$G$128:$G$237,MATCH(K35,Calculation!$H$128:$H$237)))</f>
        <v>3.1317129112466757E-2</v>
      </c>
      <c r="S35">
        <f>L35^IF('Color Targets'!$AA$1=1,$N$1,INDEX(Calculation!$G$128:$G$237,MATCH(L35,Calculation!$H$128:$H$237)))</f>
        <v>0.50036769107914103</v>
      </c>
      <c r="T35">
        <f>M35^IF('Color Targets'!$AA$1=1,$N$1,INDEX(Calculation!$G$128:$G$237,MATCH(M35,Calculation!$H$128:$H$237)))</f>
        <v>0.44671382210628219</v>
      </c>
      <c r="U35">
        <f>N35^IF('Color Targets'!$AA$1=1,$N$1,INDEX(Calculation!$G$128:$G$237,MATCH(N35,Calculation!$H$128:$H$237)))</f>
        <v>9.7193274208814656E-2</v>
      </c>
      <c r="V35">
        <f>O35^IF('Color Targets'!$AA$1=1,$N$1,INDEX(Calculation!$G$139:$G$237,MATCH(O35,Calculation!$A$139:$A$237)))</f>
        <v>0.51141483381846897</v>
      </c>
      <c r="W35">
        <v>0.10574448379428446</v>
      </c>
      <c r="X35">
        <v>0.35479190972751662</v>
      </c>
      <c r="Y35">
        <v>3.6892934452468412E-2</v>
      </c>
      <c r="Z35">
        <v>0.47773410430180041</v>
      </c>
      <c r="AA35">
        <v>0.39308296289261474</v>
      </c>
      <c r="AB35">
        <v>0.14554796761784047</v>
      </c>
      <c r="AC35">
        <v>0.51141488495995235</v>
      </c>
      <c r="AD35">
        <f>W35/(W34+W35+W36)</f>
        <v>0.32952177566027202</v>
      </c>
      <c r="AE35">
        <f t="shared" ref="AE35" si="132">X35/(X34+X35+X36)</f>
        <v>0.46588869950963202</v>
      </c>
      <c r="AF35">
        <f t="shared" ref="AF35" si="133">Y35/(Y34+Y35+Y36)</f>
        <v>0.19612198111497392</v>
      </c>
      <c r="AG35">
        <f t="shared" ref="AG35" si="134">Z35/(Z34+Z35+Z36)</f>
        <v>0.41776761026046744</v>
      </c>
      <c r="AH35">
        <f t="shared" ref="AH35" si="135">AA35/(AA34+AA35+AA36)</f>
        <v>0.32889031355066489</v>
      </c>
      <c r="AI35">
        <f t="shared" ref="AI35" si="136">AB35/(AB34+AB35+AB36)</f>
        <v>0.23899360168115413</v>
      </c>
      <c r="AJ35">
        <f t="shared" ref="AJ35" si="137">AC35/(AC34+AC35+AC36)</f>
        <v>0.32902315240275221</v>
      </c>
    </row>
    <row r="36" spans="1:36">
      <c r="A36" t="s">
        <v>35</v>
      </c>
      <c r="B36">
        <v>75</v>
      </c>
      <c r="C36">
        <v>104</v>
      </c>
      <c r="D36">
        <v>99</v>
      </c>
      <c r="E36">
        <v>121</v>
      </c>
      <c r="F36">
        <v>171</v>
      </c>
      <c r="G36">
        <v>139</v>
      </c>
      <c r="H36">
        <v>180</v>
      </c>
      <c r="I36">
        <f>(B36-16)/219</f>
        <v>0.26940639269406391</v>
      </c>
      <c r="J36">
        <f t="shared" si="120"/>
        <v>0.40182648401826482</v>
      </c>
      <c r="K36">
        <f t="shared" si="121"/>
        <v>0.37899543378995432</v>
      </c>
      <c r="L36">
        <f t="shared" si="122"/>
        <v>0.47945205479452052</v>
      </c>
      <c r="M36">
        <f t="shared" si="123"/>
        <v>0.70776255707762559</v>
      </c>
      <c r="N36">
        <f t="shared" si="124"/>
        <v>0.56164383561643838</v>
      </c>
      <c r="O36">
        <f t="shared" si="125"/>
        <v>0.74885844748858443</v>
      </c>
      <c r="P36">
        <f>I36^IF('Color Targets'!$AA$1=1,$N$1,INDEX(Calculation!$G$128:$G$237,MATCH(I36,Calculation!$H$128:$H$237)))</f>
        <v>5.169357008560737E-2</v>
      </c>
      <c r="Q36">
        <f>J36^IF('Color Targets'!$AA$1=1,$N$1,INDEX(Calculation!$G$128:$G$237,MATCH(J36,Calculation!$H$128:$H$237)))</f>
        <v>0.12400841669466492</v>
      </c>
      <c r="R36">
        <f>K36^IF('Color Targets'!$AA$1=1,$N$1,INDEX(Calculation!$G$128:$G$237,MATCH(K36,Calculation!$H$128:$H$237)))</f>
        <v>0.1085710564874407</v>
      </c>
      <c r="S36">
        <f>L36^IF('Color Targets'!$AA$1=1,$N$1,INDEX(Calculation!$G$128:$G$237,MATCH(L36,Calculation!$H$128:$H$237)))</f>
        <v>0.18677383151405941</v>
      </c>
      <c r="T36">
        <f>M36^IF('Color Targets'!$AA$1=1,$N$1,INDEX(Calculation!$G$128:$G$237,MATCH(M36,Calculation!$H$128:$H$237)))</f>
        <v>0.44671382210628219</v>
      </c>
      <c r="U36">
        <f>N36^IF('Color Targets'!$AA$1=1,$N$1,INDEX(Calculation!$G$128:$G$237,MATCH(N36,Calculation!$H$128:$H$237)))</f>
        <v>0.26694942719326142</v>
      </c>
      <c r="V36">
        <f>O36^IF('Color Targets'!$AA$1=1,$N$1,INDEX(Calculation!$G$139:$G$237,MATCH(O36,Calculation!$A$139:$A$237)))</f>
        <v>0.51141483381846897</v>
      </c>
      <c r="W36">
        <v>6.1199228874431882E-2</v>
      </c>
      <c r="X36">
        <v>0.1734879870314735</v>
      </c>
      <c r="Y36">
        <v>0.10751375361706715</v>
      </c>
      <c r="Z36">
        <v>0.24680582259817985</v>
      </c>
      <c r="AA36">
        <v>0.48151987420716053</v>
      </c>
      <c r="AB36">
        <v>0.27042896942431666</v>
      </c>
      <c r="AC36">
        <v>0.55684381350656353</v>
      </c>
      <c r="AD36">
        <f>W35</f>
        <v>0.10574448379428446</v>
      </c>
      <c r="AE36">
        <f t="shared" ref="AE36" si="138">X35</f>
        <v>0.35479190972751662</v>
      </c>
      <c r="AF36">
        <f t="shared" ref="AF36" si="139">Y35</f>
        <v>3.6892934452468412E-2</v>
      </c>
      <c r="AG36">
        <f t="shared" ref="AG36" si="140">Z35</f>
        <v>0.47773410430180041</v>
      </c>
      <c r="AH36">
        <f t="shared" ref="AH36" si="141">AA35</f>
        <v>0.39308296289261474</v>
      </c>
      <c r="AI36">
        <f t="shared" ref="AI36" si="142">AB35</f>
        <v>0.14554796761784047</v>
      </c>
      <c r="AJ36">
        <f t="shared" ref="AJ36" si="143">AC35</f>
        <v>0.51141488495995235</v>
      </c>
    </row>
    <row r="38" spans="1:36">
      <c r="A38" t="s">
        <v>70</v>
      </c>
    </row>
    <row r="39" spans="1:36">
      <c r="A39" t="s">
        <v>33</v>
      </c>
      <c r="B39">
        <v>126</v>
      </c>
      <c r="C39">
        <v>16</v>
      </c>
      <c r="D39">
        <v>16</v>
      </c>
      <c r="E39">
        <v>126</v>
      </c>
      <c r="F39">
        <v>16</v>
      </c>
      <c r="G39">
        <v>126</v>
      </c>
      <c r="H39">
        <v>126</v>
      </c>
      <c r="I39">
        <f>(B39-16)/219</f>
        <v>0.50228310502283102</v>
      </c>
      <c r="J39">
        <f t="shared" ref="J39:J41" si="144">(C39-16)/219</f>
        <v>0</v>
      </c>
      <c r="K39">
        <f t="shared" ref="K39:K41" si="145">(D39-16)/219</f>
        <v>0</v>
      </c>
      <c r="L39">
        <f t="shared" ref="L39:L41" si="146">(E39-16)/219</f>
        <v>0.50228310502283102</v>
      </c>
      <c r="M39">
        <f t="shared" ref="M39:M41" si="147">(F39-16)/219</f>
        <v>0</v>
      </c>
      <c r="N39">
        <f t="shared" ref="N39:N41" si="148">(G39-16)/219</f>
        <v>0.50228310502283102</v>
      </c>
      <c r="O39">
        <f t="shared" ref="O39:O41" si="149">(H39-16)/219</f>
        <v>0.50228310502283102</v>
      </c>
      <c r="P39">
        <f>I39^IF('Color Targets'!$AA$1=1,$N$1,INDEX(Calculation!$G$128:$G$237,MATCH(I39,Calculation!$H$128:$H$237)))</f>
        <v>0.20676579578833526</v>
      </c>
      <c r="Q39">
        <f t="shared" ref="Q39:Q41" si="150">J39^$N$1</f>
        <v>0</v>
      </c>
      <c r="R39">
        <f t="shared" ref="R39:R40" si="151">K39^$N$1</f>
        <v>0</v>
      </c>
      <c r="S39">
        <f>L39^IF('Color Targets'!$AA$1=1,$N$1,INDEX(Calculation!$G$128:$G$237,MATCH(L39,Calculation!$H$128:$H$237)))</f>
        <v>0.20676579578833526</v>
      </c>
      <c r="T39">
        <f t="shared" ref="T39" si="152">M39^$N$1</f>
        <v>0</v>
      </c>
      <c r="U39">
        <f>N39^IF('Color Targets'!$AA$1=1,$N$1,INDEX(Calculation!$G$128:$G$237,MATCH(N39,Calculation!$H$128:$H$237)))</f>
        <v>0.20676579578833526</v>
      </c>
      <c r="V39">
        <f>O39^IF('Color Targets'!$AA$1=1,$N$1,INDEX(Calculation!$G$128:$G$237,MATCH(O39,Calculation!$A$128:$A$237)))</f>
        <v>0.20566252348816091</v>
      </c>
      <c r="W39">
        <f t="array" ref="W39:W41">MMULT($B$3:$D$5,P39:P41)</f>
        <v>8.5281875773991919E-2</v>
      </c>
      <c r="X39">
        <f t="array" ref="X39:X41">MMULT($B$3:$D$5,Q39:Q41)</f>
        <v>7.3934506871389347E-2</v>
      </c>
      <c r="Y39">
        <f t="array" ref="Y39:Y41">MMULT($B$3:$D$5,R39:R41)</f>
        <v>3.7308303277557742E-2</v>
      </c>
      <c r="Z39">
        <f t="array" ref="Z39:Z41">MMULT($B$3:$D$5,S39:S41)</f>
        <v>0.15921638264538127</v>
      </c>
      <c r="AA39">
        <f t="array" ref="AA39:AA41">MMULT($B$3:$D$5,T39:T41)</f>
        <v>0.11124281014894709</v>
      </c>
      <c r="AB39">
        <f t="array" ref="AB39:AB41">MMULT($B$3:$D$5,U39:U41)</f>
        <v>0.12259017905154966</v>
      </c>
      <c r="AC39">
        <f t="array" ref="AC39:AC41">MMULT($B$3:$D$5,V39:V41)</f>
        <v>0.19547605869979234</v>
      </c>
      <c r="AD39">
        <f>W39/(W39+W40+W41)</f>
        <v>0.63999992551940887</v>
      </c>
      <c r="AE39">
        <f t="shared" ref="AE39" si="153">X39/(X39+X40+X41)</f>
        <v>0.30000000838982271</v>
      </c>
      <c r="AF39">
        <f t="shared" ref="AF39" si="154">Y39/(Y39+Y40+Y41)</f>
        <v>0.15000000831312826</v>
      </c>
      <c r="AG39">
        <f t="shared" ref="AG39" si="155">Z39/(Z39+Z40+Z41)</f>
        <v>0.41932009299800393</v>
      </c>
      <c r="AH39">
        <f t="shared" ref="AH39" si="156">AA39/(AA39+AA40+AA41)</f>
        <v>0.22465563312474432</v>
      </c>
      <c r="AI39">
        <f t="shared" ref="AI39" si="157">AB39/(AB39+AB40+AB41)</f>
        <v>0.32093774111852907</v>
      </c>
      <c r="AJ39">
        <f t="shared" ref="AJ39" si="158">AC39/(AC39+AC40+AC41)</f>
        <v>0.31272660439158345</v>
      </c>
    </row>
    <row r="40" spans="1:36">
      <c r="A40" t="s">
        <v>34</v>
      </c>
      <c r="B40">
        <v>16</v>
      </c>
      <c r="C40">
        <v>126</v>
      </c>
      <c r="D40">
        <v>16</v>
      </c>
      <c r="E40">
        <v>126</v>
      </c>
      <c r="F40">
        <v>126</v>
      </c>
      <c r="G40">
        <v>16</v>
      </c>
      <c r="H40">
        <v>126</v>
      </c>
      <c r="I40">
        <f>(B40-16)/219</f>
        <v>0</v>
      </c>
      <c r="J40">
        <f t="shared" si="144"/>
        <v>0.50228310502283102</v>
      </c>
      <c r="K40">
        <f t="shared" si="145"/>
        <v>0</v>
      </c>
      <c r="L40">
        <f t="shared" si="146"/>
        <v>0.50228310502283102</v>
      </c>
      <c r="M40">
        <f t="shared" si="147"/>
        <v>0.50228310502283102</v>
      </c>
      <c r="N40">
        <f t="shared" si="148"/>
        <v>0</v>
      </c>
      <c r="O40">
        <f t="shared" si="149"/>
        <v>0.50228310502283102</v>
      </c>
      <c r="P40">
        <f>I40^$N$1</f>
        <v>0</v>
      </c>
      <c r="Q40">
        <f>J40^IF('Color Targets'!$AA$1=1,$N$1,INDEX(Calculation!$G$128:$G$237,MATCH(J40,Calculation!$H$128:$H$237)))</f>
        <v>0.20676579578833526</v>
      </c>
      <c r="R40">
        <f t="shared" si="151"/>
        <v>0</v>
      </c>
      <c r="S40">
        <f>L40^IF('Color Targets'!$AA$1=1,$N$1,INDEX(Calculation!$G$128:$G$237,MATCH(L40,Calculation!$H$128:$H$237)))</f>
        <v>0.20676579578833526</v>
      </c>
      <c r="T40">
        <f>M40^IF('Color Targets'!$AA$1=1,$N$1,INDEX(Calculation!$G$128:$G$237,MATCH(M40,Calculation!$H$128:$H$237)))</f>
        <v>0.20676579578833526</v>
      </c>
      <c r="U40">
        <f t="shared" ref="U40" si="159">N40^$N$1</f>
        <v>0</v>
      </c>
      <c r="V40">
        <f>O40^IF('Color Targets'!$AA$1=1,$N$1,INDEX(Calculation!$G$128:$G$237,MATCH(O40,Calculation!$A$128:$A$237)))</f>
        <v>0.20566252348816091</v>
      </c>
      <c r="W40">
        <v>4.3973481411113048E-2</v>
      </c>
      <c r="X40">
        <v>0.14786901374277869</v>
      </c>
      <c r="Y40">
        <v>1.4923321311023098E-2</v>
      </c>
      <c r="Z40">
        <v>0.19184249515389173</v>
      </c>
      <c r="AA40">
        <v>0.16279233505380178</v>
      </c>
      <c r="AB40">
        <v>5.8896802722136148E-2</v>
      </c>
      <c r="AC40">
        <v>0.20566254405441328</v>
      </c>
      <c r="AD40">
        <f>W40/(W39+W40+W41)</f>
        <v>0.33000006827387507</v>
      </c>
      <c r="AE40">
        <f t="shared" ref="AE40" si="160">X40/(X39+X40+X41)</f>
        <v>0.60000001677964543</v>
      </c>
      <c r="AF40">
        <f t="shared" ref="AF40" si="161">Y40/(Y39+Y40+Y41)</f>
        <v>6.0000003325251308E-2</v>
      </c>
      <c r="AG40">
        <f t="shared" ref="AG40" si="162">Z40/(Z39+Z40+Z41)</f>
        <v>0.50524582692013942</v>
      </c>
      <c r="AH40">
        <f t="shared" ref="AH40" si="163">AA40/(AA39+AA40+AA41)</f>
        <v>0.32876025920596097</v>
      </c>
      <c r="AI40">
        <f t="shared" ref="AI40" si="164">AB40/(AB39+AB40+AB41)</f>
        <v>0.15419022119869452</v>
      </c>
      <c r="AJ40">
        <f t="shared" ref="AJ40" si="165">AC40/(AC39+AC40+AC41)</f>
        <v>0.32902315240275221</v>
      </c>
    </row>
    <row r="41" spans="1:36">
      <c r="A41" t="s">
        <v>35</v>
      </c>
      <c r="B41">
        <v>16</v>
      </c>
      <c r="C41">
        <v>16</v>
      </c>
      <c r="D41">
        <v>126</v>
      </c>
      <c r="E41">
        <v>16</v>
      </c>
      <c r="F41">
        <v>126</v>
      </c>
      <c r="G41">
        <v>126</v>
      </c>
      <c r="H41">
        <v>126</v>
      </c>
      <c r="I41">
        <f>(B41-16)/219</f>
        <v>0</v>
      </c>
      <c r="J41">
        <f t="shared" si="144"/>
        <v>0</v>
      </c>
      <c r="K41">
        <f t="shared" si="145"/>
        <v>0.50228310502283102</v>
      </c>
      <c r="L41">
        <f t="shared" si="146"/>
        <v>0</v>
      </c>
      <c r="M41">
        <f t="shared" si="147"/>
        <v>0.50228310502283102</v>
      </c>
      <c r="N41">
        <f t="shared" si="148"/>
        <v>0.50228310502283102</v>
      </c>
      <c r="O41">
        <f t="shared" si="149"/>
        <v>0.50228310502283102</v>
      </c>
      <c r="P41">
        <f>I41^$N$1</f>
        <v>0</v>
      </c>
      <c r="Q41">
        <f t="shared" si="150"/>
        <v>0</v>
      </c>
      <c r="R41">
        <f>K41^IF('Color Targets'!$AA$1=1,$N$1,INDEX(Calculation!$G$128:$G$237,MATCH(K41,Calculation!$H$128:$H$237)))</f>
        <v>0.20676579578833526</v>
      </c>
      <c r="S41">
        <f t="shared" ref="S41" si="166">L41^$N$1</f>
        <v>0</v>
      </c>
      <c r="T41">
        <f>M41^IF('Color Targets'!$AA$1=1,$N$1,INDEX(Calculation!$G$128:$G$237,MATCH(M41,Calculation!$H$128:$H$237)))</f>
        <v>0.20676579578833526</v>
      </c>
      <c r="U41">
        <f>N41^IF('Color Targets'!$AA$1=1,$N$1,INDEX(Calculation!$G$128:$G$237,MATCH(N41,Calculation!$H$128:$H$237)))</f>
        <v>0.20676579578833526</v>
      </c>
      <c r="V41">
        <f>O41^IF('Color Targets'!$AA$1=1,$N$1,INDEX(Calculation!$G$128:$G$237,MATCH(O41,Calculation!$A$128:$A$237)))</f>
        <v>0.20566252348816091</v>
      </c>
      <c r="W41">
        <v>3.9975892191920952E-3</v>
      </c>
      <c r="X41">
        <v>2.4644828731603258E-2</v>
      </c>
      <c r="Y41">
        <v>0.19649038347741773</v>
      </c>
      <c r="Z41">
        <v>2.8642417950795352E-2</v>
      </c>
      <c r="AA41">
        <v>0.22113521220902099</v>
      </c>
      <c r="AB41">
        <v>0.20048797269660984</v>
      </c>
      <c r="AC41">
        <v>0.22393152544961425</v>
      </c>
      <c r="AD41">
        <f>W40</f>
        <v>4.3973481411113048E-2</v>
      </c>
      <c r="AE41">
        <f t="shared" ref="AE41" si="167">X40</f>
        <v>0.14786901374277869</v>
      </c>
      <c r="AF41">
        <f t="shared" ref="AF41" si="168">Y40</f>
        <v>1.4923321311023098E-2</v>
      </c>
      <c r="AG41">
        <f t="shared" ref="AG41" si="169">Z40</f>
        <v>0.19184249515389173</v>
      </c>
      <c r="AH41">
        <f t="shared" ref="AH41" si="170">AA40</f>
        <v>0.16279233505380178</v>
      </c>
      <c r="AI41">
        <f t="shared" ref="AI41" si="171">AB40</f>
        <v>5.8896802722136148E-2</v>
      </c>
      <c r="AJ41">
        <f t="shared" ref="AJ41" si="172">AC40</f>
        <v>0.20566254405441328</v>
      </c>
    </row>
    <row r="43" spans="1:36">
      <c r="A43" t="s">
        <v>71</v>
      </c>
    </row>
    <row r="44" spans="1:36">
      <c r="A44" t="s">
        <v>33</v>
      </c>
      <c r="B44">
        <v>115</v>
      </c>
      <c r="C44">
        <v>58</v>
      </c>
      <c r="D44">
        <v>44</v>
      </c>
      <c r="E44">
        <v>126</v>
      </c>
      <c r="F44">
        <v>69</v>
      </c>
      <c r="G44">
        <v>110</v>
      </c>
      <c r="H44">
        <v>126</v>
      </c>
      <c r="I44">
        <f>(B44-16)/219</f>
        <v>0.45205479452054792</v>
      </c>
      <c r="J44">
        <f t="shared" ref="J44:J46" si="173">(C44-16)/219</f>
        <v>0.19178082191780821</v>
      </c>
      <c r="K44">
        <f t="shared" ref="K44:K46" si="174">(D44-16)/219</f>
        <v>0.12785388127853881</v>
      </c>
      <c r="L44">
        <f t="shared" ref="L44:L46" si="175">(E44-16)/219</f>
        <v>0.50228310502283102</v>
      </c>
      <c r="M44">
        <f t="shared" ref="M44:M46" si="176">(F44-16)/219</f>
        <v>0.24200913242009131</v>
      </c>
      <c r="N44">
        <f t="shared" ref="N44:N46" si="177">(G44-16)/219</f>
        <v>0.42922374429223742</v>
      </c>
      <c r="O44">
        <f t="shared" ref="O44:O46" si="178">(H44-16)/219</f>
        <v>0.50228310502283102</v>
      </c>
      <c r="P44">
        <f>I44^IF('Color Targets'!$AA$1=1,$N$1,INDEX(Calculation!$G$128:$G$237,MATCH(I44,Calculation!$H$128:$H$237)))</f>
        <v>0.16381884485969031</v>
      </c>
      <c r="Q44">
        <f>J44^IF('Color Targets'!$AA$1=1,$N$1,INDEX(Calculation!$G$128:$G$237,MATCH(J44,Calculation!$H$128:$H$237)))</f>
        <v>2.6117854707989788E-2</v>
      </c>
      <c r="R44">
        <f>K44^IF('Color Targets'!$AA$1=1,$N$1,INDEX(Calculation!$G$128:$G$237,MATCH(K44,Calculation!$H$128:$H$237)))</f>
        <v>1.2064384559783346E-2</v>
      </c>
      <c r="S44">
        <f>L44^IF('Color Targets'!$AA$1=1,$N$1,INDEX(Calculation!$G$128:$G$237,MATCH(L44,Calculation!$H$128:$H$237)))</f>
        <v>0.20676579578833526</v>
      </c>
      <c r="T44">
        <f>M44^IF('Color Targets'!$AA$1=1,$N$1,INDEX(Calculation!$G$128:$G$237,MATCH(M44,Calculation!$H$128:$H$237)))</f>
        <v>4.1204953556868922E-2</v>
      </c>
      <c r="U44">
        <f>N44^IF('Color Targets'!$AA$1=1,$N$1,INDEX(Calculation!$G$128:$G$237,MATCH(N44,Calculation!$H$128:$H$237)))</f>
        <v>0.1448080387133929</v>
      </c>
      <c r="V44">
        <f>O44^IF('Color Targets'!$AA$1=1,$N$1,INDEX(Calculation!$G$139:$G$237,MATCH(O44,Calculation!$A$139:$A$237)))</f>
        <v>0.20566252348816091</v>
      </c>
      <c r="W44">
        <f t="array" ref="W44:W46">MMULT($B$3:$D$5,P44:P46)</f>
        <v>7.4058933971779817E-2</v>
      </c>
      <c r="X44">
        <f t="array" ref="X44:X46">MMULT($B$3:$D$5,Q44:Q46)</f>
        <v>8.504735613963875E-2</v>
      </c>
      <c r="Y44">
        <f t="array" ref="Y44:Y46">MMULT($B$3:$D$5,R44:R46)</f>
        <v>2.387602745797731E-2</v>
      </c>
      <c r="Z44">
        <f t="array" ref="Z44:Z46">MMULT($B$3:$D$5,S44:S46)</f>
        <v>0.16542700624240592</v>
      </c>
      <c r="AA44">
        <f t="array" ref="AA44:AA46">MMULT($B$3:$D$5,T44:T46)</f>
        <v>0.12165948707517631</v>
      </c>
      <c r="AB44">
        <f t="array" ref="AB44:AB46">MMULT($B$3:$D$5,U44:U46)</f>
        <v>9.5194923450984126E-2</v>
      </c>
      <c r="AC44">
        <f t="array" ref="AC44:AC46">MMULT($B$3:$D$5,V44:V46)</f>
        <v>0.19547605869979234</v>
      </c>
      <c r="AD44">
        <f>W44/(W44+W45+W46)</f>
        <v>0.55075733054785814</v>
      </c>
      <c r="AE44">
        <f t="shared" ref="AE44" si="179">X44/(X44+X45+X46)</f>
        <v>0.3036064047462102</v>
      </c>
      <c r="AF44">
        <f t="shared" ref="AF44" si="180">Y44/(Y44+Y45+Y46)</f>
        <v>0.19997472412540196</v>
      </c>
      <c r="AG44">
        <f t="shared" ref="AG44" si="181">Z44/(Z44+Z45+Z46)</f>
        <v>0.39283985980315977</v>
      </c>
      <c r="AH44">
        <f t="shared" ref="AH44" si="182">AA44/(AA44+AA45+AA46)</f>
        <v>0.24705316935377244</v>
      </c>
      <c r="AI44">
        <f t="shared" ref="AI44" si="183">AB44/(AB44+AB45+AB46)</f>
        <v>0.31875522283672897</v>
      </c>
      <c r="AJ44">
        <f t="shared" ref="AJ44" si="184">AC44/(AC44+AC45+AC46)</f>
        <v>0.31272660439158345</v>
      </c>
    </row>
    <row r="45" spans="1:36">
      <c r="A45" t="s">
        <v>34</v>
      </c>
      <c r="B45">
        <v>44</v>
      </c>
      <c r="C45">
        <v>123</v>
      </c>
      <c r="D45">
        <v>44</v>
      </c>
      <c r="E45">
        <v>126</v>
      </c>
      <c r="F45">
        <v>123</v>
      </c>
      <c r="G45">
        <v>58</v>
      </c>
      <c r="H45">
        <v>126</v>
      </c>
      <c r="I45">
        <f>(B45-16)/219</f>
        <v>0.12785388127853881</v>
      </c>
      <c r="J45">
        <f t="shared" si="173"/>
        <v>0.48858447488584472</v>
      </c>
      <c r="K45">
        <f t="shared" si="174"/>
        <v>0.12785388127853881</v>
      </c>
      <c r="L45">
        <f t="shared" si="175"/>
        <v>0.50228310502283102</v>
      </c>
      <c r="M45">
        <f t="shared" si="176"/>
        <v>0.48858447488584472</v>
      </c>
      <c r="N45">
        <f t="shared" si="177"/>
        <v>0.19178082191780821</v>
      </c>
      <c r="O45">
        <f t="shared" si="178"/>
        <v>0.50228310502283102</v>
      </c>
      <c r="P45">
        <f>I45^IF('Color Targets'!$AA$1=1,$N$1,INDEX(Calculation!$G$128:$G$237,MATCH(I45,Calculation!$H$128:$H$237)))</f>
        <v>1.2064384559783346E-2</v>
      </c>
      <c r="Q45">
        <f>J45^IF('Color Targets'!$AA$1=1,$N$1,INDEX(Calculation!$G$128:$G$237,MATCH(J45,Calculation!$H$128:$H$237)))</f>
        <v>0.19453827982962318</v>
      </c>
      <c r="R45">
        <f>K45^IF('Color Targets'!$AA$1=1,$N$1,INDEX(Calculation!$G$128:$G$237,MATCH(K45,Calculation!$H$128:$H$237)))</f>
        <v>1.2064384559783346E-2</v>
      </c>
      <c r="S45">
        <f>L45^IF('Color Targets'!$AA$1=1,$N$1,INDEX(Calculation!$G$128:$G$237,MATCH(L45,Calculation!$H$128:$H$237)))</f>
        <v>0.20676579578833526</v>
      </c>
      <c r="T45">
        <f>M45^IF('Color Targets'!$AA$1=1,$N$1,INDEX(Calculation!$G$128:$G$237,MATCH(M45,Calculation!$H$128:$H$237)))</f>
        <v>0.19453827982962318</v>
      </c>
      <c r="U45">
        <f>N45^IF('Color Targets'!$AA$1=1,$N$1,INDEX(Calculation!$G$128:$G$237,MATCH(N45,Calculation!$H$128:$H$237)))</f>
        <v>2.6117854707989788E-2</v>
      </c>
      <c r="V45">
        <f>O45^IF('Color Targets'!$AA$1=1,$N$1,INDEX(Calculation!$G$139:$G$237,MATCH(O45,Calculation!$A$139:$A$237)))</f>
        <v>0.20566252348816091</v>
      </c>
      <c r="W45">
        <v>4.4338446926137885E-2</v>
      </c>
      <c r="X45">
        <v>0.14656409487044667</v>
      </c>
      <c r="Y45">
        <v>1.7028062512397815E-2</v>
      </c>
      <c r="Z45">
        <v>0.19432674459270161</v>
      </c>
      <c r="AA45">
        <v>0.16192845611837833</v>
      </c>
      <c r="AB45">
        <v>5.9926506984327922E-2</v>
      </c>
      <c r="AC45">
        <v>0.20566254405441328</v>
      </c>
      <c r="AD45">
        <f>W45/(W44+W45+W46)</f>
        <v>0.32973367776239842</v>
      </c>
      <c r="AE45">
        <f t="shared" ref="AE45" si="185">X45/(X44+X45+X46)</f>
        <v>0.52321200714855975</v>
      </c>
      <c r="AF45">
        <f t="shared" ref="AF45" si="186">Y45/(Y44+Y45+Y46)</f>
        <v>0.14261929080539459</v>
      </c>
      <c r="AG45">
        <f t="shared" ref="AG45" si="187">Z45/(Z44+Z45+Z46)</f>
        <v>0.46146812927230718</v>
      </c>
      <c r="AH45">
        <f t="shared" ref="AH45" si="188">AA45/(AA44+AA45+AA46)</f>
        <v>0.32882711619430571</v>
      </c>
      <c r="AI45">
        <f t="shared" ref="AI45" si="189">AB45/(AB44+AB45+AB46)</f>
        <v>0.20066077470456506</v>
      </c>
      <c r="AJ45">
        <f t="shared" ref="AJ45" si="190">AC45/(AC44+AC45+AC46)</f>
        <v>0.32902315240275221</v>
      </c>
    </row>
    <row r="46" spans="1:36">
      <c r="A46" t="s">
        <v>35</v>
      </c>
      <c r="B46">
        <v>44</v>
      </c>
      <c r="C46">
        <v>58</v>
      </c>
      <c r="D46">
        <v>88</v>
      </c>
      <c r="E46">
        <v>64</v>
      </c>
      <c r="F46">
        <v>123</v>
      </c>
      <c r="G46">
        <v>110</v>
      </c>
      <c r="H46">
        <v>126</v>
      </c>
      <c r="I46">
        <f>(B46-16)/219</f>
        <v>0.12785388127853881</v>
      </c>
      <c r="J46">
        <f t="shared" si="173"/>
        <v>0.19178082191780821</v>
      </c>
      <c r="K46">
        <f t="shared" si="174"/>
        <v>0.32876712328767121</v>
      </c>
      <c r="L46">
        <f t="shared" si="175"/>
        <v>0.21917808219178081</v>
      </c>
      <c r="M46">
        <f t="shared" si="176"/>
        <v>0.48858447488584472</v>
      </c>
      <c r="N46">
        <f t="shared" si="177"/>
        <v>0.42922374429223742</v>
      </c>
      <c r="O46">
        <f t="shared" si="178"/>
        <v>0.50228310502283102</v>
      </c>
      <c r="P46">
        <f>I46^IF('Color Targets'!$AA$1=1,$N$1,INDEX(Calculation!$G$128:$G$237,MATCH(I46,Calculation!$H$128:$H$237)))</f>
        <v>1.2064384559783346E-2</v>
      </c>
      <c r="Q46">
        <f>J46^IF('Color Targets'!$AA$1=1,$N$1,INDEX(Calculation!$G$128:$G$237,MATCH(J46,Calculation!$H$128:$H$237)))</f>
        <v>2.6117854707989788E-2</v>
      </c>
      <c r="R46">
        <f>K46^IF('Color Targets'!$AA$1=1,$N$1,INDEX(Calculation!$G$128:$G$237,MATCH(K46,Calculation!$H$128:$H$237)))</f>
        <v>8.0837183259832024E-2</v>
      </c>
      <c r="S46">
        <f>L46^IF('Color Targets'!$AA$1=1,$N$1,INDEX(Calculation!$G$128:$G$237,MATCH(L46,Calculation!$H$128:$H$237)))</f>
        <v>3.4419805179215224E-2</v>
      </c>
      <c r="T46">
        <f>M46^IF('Color Targets'!$AA$1=1,$N$1,INDEX(Calculation!$G$128:$G$237,MATCH(M46,Calculation!$H$128:$H$237)))</f>
        <v>0.19453827982962318</v>
      </c>
      <c r="U46">
        <f>N46^IF('Color Targets'!$AA$1=1,$N$1,INDEX(Calculation!$G$128:$G$237,MATCH(N46,Calculation!$H$128:$H$237)))</f>
        <v>0.1448080387133929</v>
      </c>
      <c r="V46">
        <f>O46^IF('Color Targets'!$AA$1=1,$N$1,INDEX(Calculation!$G$139:$G$237,MATCH(O46,Calculation!$A$139:$A$237)))</f>
        <v>0.20566252348816091</v>
      </c>
      <c r="W46">
        <v>1.6070069400221272E-2</v>
      </c>
      <c r="X46">
        <v>4.8512271052798248E-2</v>
      </c>
      <c r="Y46">
        <v>7.8491136413359822E-2</v>
      </c>
      <c r="Z46">
        <v>6.1351699933804807E-2</v>
      </c>
      <c r="AA46">
        <v>0.20885458403006382</v>
      </c>
      <c r="AB46">
        <v>0.14352441638033159</v>
      </c>
      <c r="AC46">
        <v>0.22393152544961425</v>
      </c>
      <c r="AD46">
        <f>W45</f>
        <v>4.4338446926137885E-2</v>
      </c>
      <c r="AE46">
        <f t="shared" ref="AE46" si="191">X45</f>
        <v>0.14656409487044667</v>
      </c>
      <c r="AF46">
        <f t="shared" ref="AF46" si="192">Y45</f>
        <v>1.7028062512397815E-2</v>
      </c>
      <c r="AG46">
        <f t="shared" ref="AG46" si="193">Z45</f>
        <v>0.19432674459270161</v>
      </c>
      <c r="AH46">
        <f t="shared" ref="AH46" si="194">AA45</f>
        <v>0.16192845611837833</v>
      </c>
      <c r="AI46">
        <f t="shared" ref="AI46" si="195">AB45</f>
        <v>5.9926506984327922E-2</v>
      </c>
      <c r="AJ46">
        <f t="shared" ref="AJ46" si="196">AC45</f>
        <v>0.20566254405441328</v>
      </c>
    </row>
    <row r="48" spans="1:36">
      <c r="A48" t="s">
        <v>72</v>
      </c>
    </row>
    <row r="49" spans="1:62">
      <c r="A49" t="s">
        <v>33</v>
      </c>
      <c r="B49">
        <v>104</v>
      </c>
      <c r="C49">
        <v>75</v>
      </c>
      <c r="D49">
        <v>47</v>
      </c>
      <c r="E49">
        <v>123</v>
      </c>
      <c r="F49">
        <v>88</v>
      </c>
      <c r="G49">
        <v>97</v>
      </c>
      <c r="H49">
        <v>126</v>
      </c>
      <c r="I49">
        <f>(B49-16)/219</f>
        <v>0.40182648401826482</v>
      </c>
      <c r="J49">
        <f t="shared" ref="J49:J51" si="197">(C49-16)/219</f>
        <v>0.26940639269406391</v>
      </c>
      <c r="K49">
        <f t="shared" ref="K49:K51" si="198">(D49-16)/219</f>
        <v>0.14155251141552511</v>
      </c>
      <c r="L49">
        <f t="shared" ref="L49:L51" si="199">(E49-16)/219</f>
        <v>0.48858447488584472</v>
      </c>
      <c r="M49">
        <f t="shared" ref="M49:M51" si="200">(F49-16)/219</f>
        <v>0.32876712328767121</v>
      </c>
      <c r="N49">
        <f t="shared" ref="N49:N51" si="201">(G49-16)/219</f>
        <v>0.36986301369863012</v>
      </c>
      <c r="O49">
        <f t="shared" ref="O49:O51" si="202">(H49-16)/219</f>
        <v>0.50228310502283102</v>
      </c>
      <c r="P49">
        <f>I49^IF('Color Targets'!$AA$1=1,$N$1,INDEX(Calculation!$G$128:$G$237,MATCH(I49,Calculation!$H$128:$H$237)))</f>
        <v>0.12400841669466492</v>
      </c>
      <c r="Q49">
        <f>J49^IF('Color Targets'!$AA$1=1,$N$1,INDEX(Calculation!$G$128:$G$237,MATCH(J49,Calculation!$H$128:$H$237)))</f>
        <v>5.169357008560737E-2</v>
      </c>
      <c r="R49">
        <f>K49^IF('Color Targets'!$AA$1=1,$N$1,INDEX(Calculation!$G$128:$G$237,MATCH(K49,Calculation!$H$128:$H$237)))</f>
        <v>1.5012070714589876E-2</v>
      </c>
      <c r="S49">
        <f>L49^IF('Color Targets'!$AA$1=1,$N$1,INDEX(Calculation!$G$128:$G$237,MATCH(L49,Calculation!$H$128:$H$237)))</f>
        <v>0.19453827982962318</v>
      </c>
      <c r="T49">
        <f>M49^IF('Color Targets'!$AA$1=1,$N$1,INDEX(Calculation!$G$128:$G$237,MATCH(M49,Calculation!$H$128:$H$237)))</f>
        <v>8.0837183259832024E-2</v>
      </c>
      <c r="U49">
        <f>N49^IF('Color Targets'!$AA$1=1,$N$1,INDEX(Calculation!$G$128:$G$237,MATCH(N49,Calculation!$H$128:$H$237)))</f>
        <v>0.10267674011174581</v>
      </c>
      <c r="V49">
        <f>O49^IF('Color Targets'!$AA$1=1,$N$1,INDEX(Calculation!$G$139:$G$237,MATCH(O49,Calculation!$A$139:$A$237)))</f>
        <v>0.20566252348816091</v>
      </c>
      <c r="W49">
        <f t="array" ref="W49:W51">MMULT($B$3:$D$5,P49:P51)</f>
        <v>6.3321202756068298E-2</v>
      </c>
      <c r="X49">
        <f t="array" ref="X49:X51">MMULT($B$3:$D$5,Q49:Q51)</f>
        <v>9.7434660627833555E-2</v>
      </c>
      <c r="Y49">
        <f t="array" ref="Y49:Y51">MMULT($B$3:$D$5,R49:R51)</f>
        <v>1.9640257590045777E-2</v>
      </c>
      <c r="Z49">
        <f t="array" ref="Z49:Z51">MMULT($B$3:$D$5,S49:S51)</f>
        <v>0.16348671828542236</v>
      </c>
      <c r="AA49">
        <f t="array" ref="AA49:AA51">MMULT($B$3:$D$5,T49:T51)</f>
        <v>0.13382867507216312</v>
      </c>
      <c r="AB49">
        <f t="array" ref="AB49:AB51">MMULT($B$3:$D$5,U49:U51)</f>
        <v>7.561031947768572E-2</v>
      </c>
      <c r="AC49">
        <f t="array" ref="AC49:AC51">MMULT($B$3:$D$5,V49:V51)</f>
        <v>0.19547605869979234</v>
      </c>
      <c r="AD49">
        <f>W49/(W49+W50+W51)</f>
        <v>0.47217761238462186</v>
      </c>
      <c r="AE49">
        <f t="shared" ref="AE49" si="203">X49/(X49+X50+X51)</f>
        <v>0.30628544205191582</v>
      </c>
      <c r="AF49">
        <f t="shared" ref="AF49" si="204">Y49/(Y49+Y50+Y51)</f>
        <v>0.24116895860655324</v>
      </c>
      <c r="AG49">
        <f t="shared" ref="AG49" si="205">Z49/(Z49+Z50+Z51)</f>
        <v>0.36452997496201256</v>
      </c>
      <c r="AH49">
        <f t="shared" ref="AH49" si="206">AA49/(AA49+AA50+AA51)</f>
        <v>0.26798458426203309</v>
      </c>
      <c r="AI49">
        <f t="shared" ref="AI49" si="207">AB49/(AB49+AB50+AB51)</f>
        <v>0.31663149022879011</v>
      </c>
      <c r="AJ49">
        <f t="shared" ref="AJ49" si="208">AC49/(AC49+AC50+AC51)</f>
        <v>0.31272660439158345</v>
      </c>
    </row>
    <row r="50" spans="1:62">
      <c r="A50" t="s">
        <v>34</v>
      </c>
      <c r="B50">
        <v>55</v>
      </c>
      <c r="C50">
        <v>121</v>
      </c>
      <c r="D50">
        <v>47</v>
      </c>
      <c r="E50">
        <v>123</v>
      </c>
      <c r="F50">
        <v>121</v>
      </c>
      <c r="G50">
        <v>69</v>
      </c>
      <c r="H50">
        <v>126</v>
      </c>
      <c r="I50">
        <f>(B50-16)/219</f>
        <v>0.17808219178082191</v>
      </c>
      <c r="J50">
        <f t="shared" si="197"/>
        <v>0.47945205479452052</v>
      </c>
      <c r="K50">
        <f t="shared" si="198"/>
        <v>0.14155251141552511</v>
      </c>
      <c r="L50">
        <f t="shared" si="199"/>
        <v>0.48858447488584472</v>
      </c>
      <c r="M50">
        <f t="shared" si="200"/>
        <v>0.47945205479452052</v>
      </c>
      <c r="N50">
        <f t="shared" si="201"/>
        <v>0.24200913242009131</v>
      </c>
      <c r="O50">
        <f t="shared" si="202"/>
        <v>0.50228310502283102</v>
      </c>
      <c r="P50">
        <f>I50^IF('Color Targets'!$AA$1=1,$N$1,INDEX(Calculation!$G$128:$G$237,MATCH(I50,Calculation!$H$128:$H$237)))</f>
        <v>2.2626077921611826E-2</v>
      </c>
      <c r="Q50">
        <f>J50^IF('Color Targets'!$AA$1=1,$N$1,INDEX(Calculation!$G$128:$G$237,MATCH(J50,Calculation!$H$128:$H$237)))</f>
        <v>0.18677383151405941</v>
      </c>
      <c r="R50">
        <f>K50^IF('Color Targets'!$AA$1=1,$N$1,INDEX(Calculation!$G$128:$G$237,MATCH(K50,Calculation!$H$128:$H$237)))</f>
        <v>1.5012070714589876E-2</v>
      </c>
      <c r="S50">
        <f>L50^IF('Color Targets'!$AA$1=1,$N$1,INDEX(Calculation!$G$128:$G$237,MATCH(L50,Calculation!$H$128:$H$237)))</f>
        <v>0.19453827982962318</v>
      </c>
      <c r="T50">
        <f>M50^IF('Color Targets'!$AA$1=1,$N$1,INDEX(Calculation!$G$128:$G$237,MATCH(M50,Calculation!$H$128:$H$237)))</f>
        <v>0.18677383151405941</v>
      </c>
      <c r="U50">
        <f>N50^IF('Color Targets'!$AA$1=1,$N$1,INDEX(Calculation!$G$128:$G$237,MATCH(N50,Calculation!$H$128:$H$237)))</f>
        <v>4.1204953556868922E-2</v>
      </c>
      <c r="V50">
        <f>O50^IF('Color Targets'!$AA$1=1,$N$1,INDEX(Calculation!$G$139:$G$237,MATCH(O50,Calculation!$A$139:$A$237)))</f>
        <v>0.20566252348816091</v>
      </c>
      <c r="W50">
        <v>4.4187356179867264E-2</v>
      </c>
      <c r="X50">
        <v>0.14829652139209698</v>
      </c>
      <c r="Y50">
        <v>1.7160766110976763E-2</v>
      </c>
      <c r="Z50">
        <v>0.18597186706575533</v>
      </c>
      <c r="AA50">
        <v>0.16424399599093609</v>
      </c>
      <c r="AB50">
        <v>5.871506698676919E-2</v>
      </c>
      <c r="AC50">
        <v>0.20566254405441328</v>
      </c>
      <c r="AD50">
        <f>W50/(W49+W50+W51)</f>
        <v>0.32949911610134558</v>
      </c>
      <c r="AE50">
        <f t="shared" ref="AE50" si="209">X50/(X49+X50+X51)</f>
        <v>0.46616948544453246</v>
      </c>
      <c r="AF50">
        <f t="shared" ref="AF50" si="210">Y50/(Y49+Y50+Y51)</f>
        <v>0.21072249551209937</v>
      </c>
      <c r="AG50">
        <f t="shared" ref="AG50" si="211">Z50/(Z49+Z50+Z51)</f>
        <v>0.41466561171509775</v>
      </c>
      <c r="AH50">
        <f t="shared" ref="AH50" si="212">AA50/(AA49+AA50+AA51)</f>
        <v>0.32888959678807506</v>
      </c>
      <c r="AI50">
        <f t="shared" ref="AI50" si="213">AB50/(AB49+AB50+AB51)</f>
        <v>0.24587965356224414</v>
      </c>
      <c r="AJ50">
        <f t="shared" ref="AJ50" si="214">AC50/(AC49+AC50+AC51)</f>
        <v>0.32902315240275221</v>
      </c>
    </row>
    <row r="51" spans="1:62">
      <c r="A51" t="s">
        <v>35</v>
      </c>
      <c r="B51">
        <v>55</v>
      </c>
      <c r="C51">
        <v>75</v>
      </c>
      <c r="D51">
        <v>71</v>
      </c>
      <c r="E51">
        <v>86</v>
      </c>
      <c r="F51">
        <v>121</v>
      </c>
      <c r="G51">
        <v>97</v>
      </c>
      <c r="H51">
        <v>126</v>
      </c>
      <c r="I51">
        <f>(B51-16)/219</f>
        <v>0.17808219178082191</v>
      </c>
      <c r="J51">
        <f t="shared" si="197"/>
        <v>0.26940639269406391</v>
      </c>
      <c r="K51">
        <f t="shared" si="198"/>
        <v>0.25114155251141551</v>
      </c>
      <c r="L51">
        <f t="shared" si="199"/>
        <v>0.31963470319634701</v>
      </c>
      <c r="M51">
        <f t="shared" si="200"/>
        <v>0.47945205479452052</v>
      </c>
      <c r="N51">
        <f t="shared" si="201"/>
        <v>0.36986301369863012</v>
      </c>
      <c r="O51">
        <f t="shared" si="202"/>
        <v>0.50228310502283102</v>
      </c>
      <c r="P51">
        <f>I51^IF('Color Targets'!$AA$1=1,$N$1,INDEX(Calculation!$G$128:$G$237,MATCH(I51,Calculation!$H$128:$H$237)))</f>
        <v>2.2626077921611826E-2</v>
      </c>
      <c r="Q51">
        <f>J51^IF('Color Targets'!$AA$1=1,$N$1,INDEX(Calculation!$G$128:$G$237,MATCH(J51,Calculation!$H$128:$H$237)))</f>
        <v>5.169357008560737E-2</v>
      </c>
      <c r="R51">
        <f>K51^IF('Color Targets'!$AA$1=1,$N$1,INDEX(Calculation!$G$128:$G$237,MATCH(K51,Calculation!$H$128:$H$237)))</f>
        <v>4.47826823554602E-2</v>
      </c>
      <c r="S51">
        <f>L51^IF('Color Targets'!$AA$1=1,$N$1,INDEX(Calculation!$G$128:$G$237,MATCH(L51,Calculation!$H$128:$H$237)))</f>
        <v>7.5848536598645336E-2</v>
      </c>
      <c r="T51">
        <f>M51^IF('Color Targets'!$AA$1=1,$N$1,INDEX(Calculation!$G$128:$G$237,MATCH(M51,Calculation!$H$128:$H$237)))</f>
        <v>0.18677383151405941</v>
      </c>
      <c r="U51">
        <f>N51^IF('Color Targets'!$AA$1=1,$N$1,INDEX(Calculation!$G$128:$G$237,MATCH(N51,Calculation!$H$128:$H$237)))</f>
        <v>0.10267674011174581</v>
      </c>
      <c r="V51">
        <f>O51^IF('Color Targets'!$AA$1=1,$N$1,INDEX(Calculation!$G$139:$G$237,MATCH(O51,Calculation!$A$139:$A$237)))</f>
        <v>0.20566252348816091</v>
      </c>
      <c r="W51">
        <v>2.6596068422992936E-2</v>
      </c>
      <c r="X51">
        <v>7.2385996436491934E-2</v>
      </c>
      <c r="Y51">
        <v>4.463672725799369E-2</v>
      </c>
      <c r="Z51">
        <v>9.9027765606543111E-2</v>
      </c>
      <c r="AA51">
        <v>0.20131678240377091</v>
      </c>
      <c r="AB51">
        <v>0.1044705697528233</v>
      </c>
      <c r="AC51">
        <v>0.22393152544961425</v>
      </c>
      <c r="AD51">
        <f>W50</f>
        <v>4.4187356179867264E-2</v>
      </c>
      <c r="AE51">
        <f t="shared" ref="AE51" si="215">X50</f>
        <v>0.14829652139209698</v>
      </c>
      <c r="AF51">
        <f t="shared" ref="AF51" si="216">Y50</f>
        <v>1.7160766110976763E-2</v>
      </c>
      <c r="AG51">
        <f t="shared" ref="AG51" si="217">Z50</f>
        <v>0.18597186706575533</v>
      </c>
      <c r="AH51">
        <f t="shared" ref="AH51" si="218">AA50</f>
        <v>0.16424399599093609</v>
      </c>
      <c r="AI51">
        <f t="shared" ref="AI51" si="219">AB50</f>
        <v>5.871506698676919E-2</v>
      </c>
      <c r="AJ51">
        <f t="shared" ref="AJ51" si="220">AC50</f>
        <v>0.20566254405441328</v>
      </c>
    </row>
    <row r="53" spans="1:62">
      <c r="A53" t="s">
        <v>73</v>
      </c>
    </row>
    <row r="55" spans="1:62" s="53" customFormat="1">
      <c r="A55" s="53" t="s">
        <v>33</v>
      </c>
      <c r="B55" s="53">
        <v>116</v>
      </c>
      <c r="C55" s="53">
        <v>187</v>
      </c>
      <c r="D55" s="53">
        <v>95</v>
      </c>
      <c r="E55" s="53">
        <v>94</v>
      </c>
      <c r="F55" s="53">
        <v>127</v>
      </c>
      <c r="G55" s="53">
        <v>96</v>
      </c>
      <c r="H55" s="53">
        <v>208</v>
      </c>
      <c r="I55" s="53">
        <v>77</v>
      </c>
      <c r="J55" s="53">
        <v>186</v>
      </c>
      <c r="K55" s="53">
        <v>97</v>
      </c>
      <c r="L55" s="53">
        <v>152</v>
      </c>
      <c r="M55" s="53">
        <v>213</v>
      </c>
      <c r="N55">
        <f>(B55-16)/219</f>
        <v>0.45662100456621002</v>
      </c>
      <c r="O55">
        <f t="shared" ref="O55:Y55" si="221">(C55-16)/219</f>
        <v>0.78082191780821919</v>
      </c>
      <c r="P55">
        <f t="shared" si="221"/>
        <v>0.36073059360730592</v>
      </c>
      <c r="Q55">
        <f t="shared" si="221"/>
        <v>0.35616438356164382</v>
      </c>
      <c r="R55">
        <f t="shared" si="221"/>
        <v>0.50684931506849318</v>
      </c>
      <c r="S55">
        <f t="shared" si="221"/>
        <v>0.36529680365296802</v>
      </c>
      <c r="T55">
        <f t="shared" si="221"/>
        <v>0.87671232876712324</v>
      </c>
      <c r="U55">
        <f t="shared" si="221"/>
        <v>0.27853881278538811</v>
      </c>
      <c r="V55">
        <f t="shared" si="221"/>
        <v>0.77625570776255703</v>
      </c>
      <c r="W55">
        <f t="shared" si="221"/>
        <v>0.36986301369863012</v>
      </c>
      <c r="X55">
        <f t="shared" si="221"/>
        <v>0.62100456621004563</v>
      </c>
      <c r="Y55">
        <f t="shared" si="221"/>
        <v>0.8995433789954338</v>
      </c>
      <c r="Z55">
        <f>N55^IF('Color Targets'!$AA$1=1,$N$1,INDEX(Calculation!$G$128:$G$237,MATCH(N55,Calculation!$H$128:$H$237)))</f>
        <v>0.1676134747137456</v>
      </c>
      <c r="AA55">
        <f>O55^IF('Color Targets'!$AA$1=1,$N$1,INDEX(Calculation!$G$128:$G$237,MATCH(O55,Calculation!$H$128:$H$237)))</f>
        <v>0.56458671385489789</v>
      </c>
      <c r="AB55">
        <f>P55^IF('Color Targets'!$AA$1=1,$N$1,INDEX(Calculation!$G$128:$G$237,MATCH(P55,Calculation!$H$128:$H$237)))</f>
        <v>9.7193274208814656E-2</v>
      </c>
      <c r="AC55">
        <f>Q55^IF('Color Targets'!$AA$1=1,$N$1,INDEX(Calculation!$G$128:$G$237,MATCH(Q55,Calculation!$H$128:$H$237)))</f>
        <v>9.4403455955792373E-2</v>
      </c>
      <c r="AD55">
        <f>R55^IF('Color Targets'!$AA$1=1,$N$1,INDEX(Calculation!$G$128:$G$237,MATCH(R55,Calculation!$H$128:$H$237)))</f>
        <v>0.21084226978599929</v>
      </c>
      <c r="AE55">
        <f>S55^IF('Color Targets'!$AA$1=1,$N$1,INDEX(Calculation!$G$128:$G$237,MATCH(S55,Calculation!$H$128:$H$237)))</f>
        <v>0.10002888536934933</v>
      </c>
      <c r="AF55">
        <f>T55^IF('Color Targets'!$AA$1=1,$N$1,INDEX(Calculation!$G$128:$G$237,MATCH(T55,Calculation!$H$128:$H$237)))</f>
        <v>0.7374447117844547</v>
      </c>
      <c r="AG55">
        <f>U55^IF('Color Targets'!$AA$1=1,$N$1,INDEX(Calculation!$G$128:$G$237,MATCH(U55,Calculation!$H$128:$H$237)))</f>
        <v>5.5772335903118281E-2</v>
      </c>
      <c r="AH55">
        <f>V55^IF('Color Targets'!$AA$1=1,$N$1,INDEX(Calculation!$G$128:$G$237,MATCH(V55,Calculation!$H$128:$H$237)))</f>
        <v>0.557729778958718</v>
      </c>
      <c r="AI55">
        <f>W55^IF('Color Targets'!$AA$1=1,$N$1,INDEX(Calculation!$G$128:$G$237,MATCH(W55,Calculation!$H$128:$H$237)))</f>
        <v>0.10267674011174581</v>
      </c>
      <c r="AJ55">
        <f>X55^IF('Color Targets'!$AA$1=1,$N$1,INDEX(Calculation!$G$128:$G$237,MATCH(X55,Calculation!$H$128:$H$237)))</f>
        <v>0.33097492467910683</v>
      </c>
      <c r="AK55">
        <f>Y55^IF('Color Targets'!$AA$1=1,$N$1,INDEX(Calculation!$G$128:$G$237,MATCH(Y55,Calculation!$H$128:$H$237)))</f>
        <v>0.78102762009408511</v>
      </c>
      <c r="AL55">
        <f t="shared" ref="AL55" si="222">Z55^$N$1</f>
        <v>1.8965566653676529E-2</v>
      </c>
      <c r="AM55">
        <f t="array" ref="AM55:AM57">MMULT($B$3:$D$5,Z55:Z57)</f>
        <v>0.10682722746621046</v>
      </c>
      <c r="AN55">
        <f t="array" ref="AN55:AN57">MMULT($B$3:$D$5,AA55:AA57)</f>
        <v>0.37133376603460344</v>
      </c>
      <c r="AO55">
        <f t="array" ref="AO55:AO57">MMULT($B$3:$D$5,AB55:AB57)</f>
        <v>0.16384108596738733</v>
      </c>
      <c r="AP55">
        <f t="array" ref="AP55:AP57">MMULT($B$3:$D$5,AC55:AC57)</f>
        <v>9.8435414732891954E-2</v>
      </c>
      <c r="AQ55">
        <f t="array" ref="AQ55:AQ57">MMULT($B$3:$D$5,AD55:AD57)</f>
        <v>0.2352565285232659</v>
      </c>
      <c r="AR55">
        <f t="array" ref="AR55:AR57">MMULT($B$3:$D$5,AE55:AE57)</f>
        <v>0.29092732870965426</v>
      </c>
      <c r="AS55">
        <f t="array" ref="AS55:AS57">MMULT($B$3:$D$5,AF55:AF57)</f>
        <v>0.37747124316789105</v>
      </c>
      <c r="AT55">
        <f t="array" ref="AT55:AT57">MMULT($B$3:$D$5,AG55:AG57)</f>
        <v>0.12609654897407019</v>
      </c>
      <c r="AU55">
        <f t="array" ref="AU55:AU57">MMULT($B$3:$D$5,AH55:AH57)</f>
        <v>0.27906953301528914</v>
      </c>
      <c r="AV55">
        <f t="array" ref="AV55:AV57">MMULT($B$3:$D$5,AI55:AI57)</f>
        <v>8.12798197335379E-2</v>
      </c>
      <c r="AW55">
        <f t="array" ref="AW55:AW57">MMULT($B$3:$D$5,AJ55:AJ57)</f>
        <v>0.32371685820728202</v>
      </c>
      <c r="AX55">
        <f t="array" ref="AX55:AX57">MMULT($B$3:$D$5,AK55:AK57)</f>
        <v>0.4479060233412287</v>
      </c>
      <c r="AY55">
        <f>AM55/(AM55+AM56+AM57)</f>
        <v>0.40166372956958324</v>
      </c>
      <c r="AZ55">
        <f t="shared" ref="AZ55:BJ55" si="223">AN55/(AN55+AN56+AN57)</f>
        <v>0.38996524517796866</v>
      </c>
      <c r="BA55">
        <f t="shared" si="223"/>
        <v>0.24636327753543355</v>
      </c>
      <c r="BB55">
        <f t="shared" si="223"/>
        <v>0.34053581893569834</v>
      </c>
      <c r="BC55">
        <f t="shared" si="223"/>
        <v>0.2679295778716187</v>
      </c>
      <c r="BD55">
        <f t="shared" si="223"/>
        <v>0.25688229832049442</v>
      </c>
      <c r="BE55">
        <f t="shared" si="223"/>
        <v>0.51215756636246967</v>
      </c>
      <c r="BF55">
        <f t="shared" si="223"/>
        <v>0.20760649111382143</v>
      </c>
      <c r="BG55">
        <f t="shared" si="223"/>
        <v>0.47303640977496214</v>
      </c>
      <c r="BH55">
        <f t="shared" si="223"/>
        <v>0.29386112688177674</v>
      </c>
      <c r="BI55">
        <f t="shared" si="223"/>
        <v>0.37426931643628752</v>
      </c>
      <c r="BJ55">
        <f t="shared" si="223"/>
        <v>0.47882962201469237</v>
      </c>
    </row>
    <row r="56" spans="1:62" s="53" customFormat="1">
      <c r="A56" s="53" t="s">
        <v>34</v>
      </c>
      <c r="B56" s="53">
        <v>87</v>
      </c>
      <c r="C56" s="53">
        <v>142</v>
      </c>
      <c r="D56" s="53">
        <v>121</v>
      </c>
      <c r="E56" s="53">
        <v>109</v>
      </c>
      <c r="F56" s="53">
        <v>126</v>
      </c>
      <c r="G56" s="53">
        <v>178</v>
      </c>
      <c r="H56" s="53">
        <v>122</v>
      </c>
      <c r="I56" s="53">
        <v>95</v>
      </c>
      <c r="J56" s="53">
        <v>88</v>
      </c>
      <c r="K56" s="53">
        <v>69</v>
      </c>
      <c r="L56" s="53">
        <v>178</v>
      </c>
      <c r="M56" s="53">
        <v>154</v>
      </c>
      <c r="N56">
        <f t="shared" ref="N56:N57" si="224">(B56-16)/219</f>
        <v>0.32420091324200911</v>
      </c>
      <c r="O56">
        <f t="shared" ref="O56:O57" si="225">(C56-16)/219</f>
        <v>0.57534246575342463</v>
      </c>
      <c r="P56">
        <f t="shared" ref="P56:P57" si="226">(D56-16)/219</f>
        <v>0.47945205479452052</v>
      </c>
      <c r="Q56">
        <f t="shared" ref="Q56:Q57" si="227">(E56-16)/219</f>
        <v>0.42465753424657532</v>
      </c>
      <c r="R56">
        <f t="shared" ref="R56:R57" si="228">(F56-16)/219</f>
        <v>0.50228310502283102</v>
      </c>
      <c r="S56">
        <f t="shared" ref="S56:S57" si="229">(G56-16)/219</f>
        <v>0.73972602739726023</v>
      </c>
      <c r="T56">
        <f t="shared" ref="T56:T57" si="230">(H56-16)/219</f>
        <v>0.48401826484018262</v>
      </c>
      <c r="U56">
        <f t="shared" ref="U56:U57" si="231">(I56-16)/219</f>
        <v>0.36073059360730592</v>
      </c>
      <c r="V56">
        <f t="shared" ref="V56:V57" si="232">(J56-16)/219</f>
        <v>0.32876712328767121</v>
      </c>
      <c r="W56">
        <f t="shared" ref="W56:W57" si="233">(K56-16)/219</f>
        <v>0.24200913242009131</v>
      </c>
      <c r="X56">
        <f t="shared" ref="X56:X57" si="234">(L56-16)/219</f>
        <v>0.73972602739726023</v>
      </c>
      <c r="Y56">
        <f t="shared" ref="Y56:Y57" si="235">(M56-16)/219</f>
        <v>0.63013698630136983</v>
      </c>
      <c r="Z56">
        <f>N56^IF('Color Targets'!$AA$1=1,$N$1,INDEX(Calculation!$G$128:$G$237,MATCH(N56,Calculation!$H$128:$H$237)))</f>
        <v>7.8320707276418405E-2</v>
      </c>
      <c r="AA56">
        <f>O56^IF('Color Targets'!$AA$1=1,$N$1,INDEX(Calculation!$G$128:$G$237,MATCH(O56,Calculation!$H$128:$H$237)))</f>
        <v>0.28084234515581696</v>
      </c>
      <c r="AB56">
        <f>P56^IF('Color Targets'!$AA$1=1,$N$1,INDEX(Calculation!$G$128:$G$237,MATCH(P56,Calculation!$H$128:$H$237)))</f>
        <v>0.18677383151405941</v>
      </c>
      <c r="AC56">
        <f>Q56^IF('Color Targets'!$AA$1=1,$N$1,INDEX(Calculation!$G$128:$G$237,MATCH(Q56,Calculation!$H$128:$H$237)))</f>
        <v>0.14131246060094396</v>
      </c>
      <c r="AD56">
        <f>R56^IF('Color Targets'!$AA$1=1,$N$1,INDEX(Calculation!$G$128:$G$237,MATCH(R56,Calculation!$H$128:$H$237)))</f>
        <v>0.20676579578833526</v>
      </c>
      <c r="AE56">
        <f>S56^IF('Color Targets'!$AA$1=1,$N$1,INDEX(Calculation!$G$128:$G$237,MATCH(S56,Calculation!$H$128:$H$237)))</f>
        <v>0.50036769107914103</v>
      </c>
      <c r="AF56">
        <f>T56^IF('Color Targets'!$AA$1=1,$N$1,INDEX(Calculation!$G$128:$G$237,MATCH(T56,Calculation!$H$128:$H$237)))</f>
        <v>0.19040753484808201</v>
      </c>
      <c r="AG56">
        <f>U56^IF('Color Targets'!$AA$1=1,$N$1,INDEX(Calculation!$G$128:$G$237,MATCH(U56,Calculation!$H$128:$H$237)))</f>
        <v>9.7193274208814656E-2</v>
      </c>
      <c r="AH56">
        <f>V56^IF('Color Targets'!$AA$1=1,$N$1,INDEX(Calculation!$G$128:$G$237,MATCH(V56,Calculation!$H$128:$H$237)))</f>
        <v>8.0837183259832024E-2</v>
      </c>
      <c r="AI56">
        <f>W56^IF('Color Targets'!$AA$1=1,$N$1,INDEX(Calculation!$G$128:$G$237,MATCH(W56,Calculation!$H$128:$H$237)))</f>
        <v>4.1204953556868922E-2</v>
      </c>
      <c r="AJ56">
        <f>X56^IF('Color Targets'!$AA$1=1,$N$1,INDEX(Calculation!$G$128:$G$237,MATCH(X56,Calculation!$H$128:$H$237)))</f>
        <v>0.50036769107914103</v>
      </c>
      <c r="AK56">
        <f>Y56^IF('Color Targets'!$AA$1=1,$N$1,INDEX(Calculation!$G$128:$G$237,MATCH(Y56,Calculation!$H$128:$H$237)))</f>
        <v>0.34093419393322899</v>
      </c>
      <c r="AL56">
        <f t="shared" ref="AL56:AL57" si="236">Z56^$N$1</f>
        <v>3.5027250929529586E-3</v>
      </c>
      <c r="AM56" s="53">
        <v>9.5533415475593422E-2</v>
      </c>
      <c r="AN56" s="53">
        <v>0.33613485555013767</v>
      </c>
      <c r="AO56" s="53">
        <v>0.17702898788745369</v>
      </c>
      <c r="AP56" s="53">
        <v>0.12472423247380628</v>
      </c>
      <c r="AQ56" s="53">
        <v>0.22245296193599537</v>
      </c>
      <c r="AR56" s="53">
        <v>0.40741258710428147</v>
      </c>
      <c r="AS56" s="53">
        <v>0.29509378025790506</v>
      </c>
      <c r="AT56" s="53">
        <v>0.10870480835195165</v>
      </c>
      <c r="AU56" s="53">
        <v>0.18447484755283944</v>
      </c>
      <c r="AV56" s="53">
        <v>6.0982867089110063E-2</v>
      </c>
      <c r="AW56" s="53">
        <v>0.43154229403966826</v>
      </c>
      <c r="AX56" s="53">
        <v>0.41146575316542955</v>
      </c>
      <c r="AY56">
        <f>AM56/(AM55+AM56+AM57)</f>
        <v>0.35919969907095634</v>
      </c>
      <c r="AZ56">
        <f t="shared" ref="AZ56:BJ56" si="237">AN56/(AN55+AN56+AN57)</f>
        <v>0.35300024761350546</v>
      </c>
      <c r="BA56">
        <f t="shared" si="237"/>
        <v>0.26619355833258418</v>
      </c>
      <c r="BB56">
        <f t="shared" si="237"/>
        <v>0.43148158375566603</v>
      </c>
      <c r="BC56">
        <f t="shared" si="237"/>
        <v>0.25334781806876888</v>
      </c>
      <c r="BD56">
        <f t="shared" si="237"/>
        <v>0.35973616574362566</v>
      </c>
      <c r="BE56">
        <f t="shared" si="237"/>
        <v>0.40038682437689344</v>
      </c>
      <c r="BF56">
        <f t="shared" si="237"/>
        <v>0.17897257310182088</v>
      </c>
      <c r="BG56">
        <f t="shared" si="237"/>
        <v>0.31269382450071254</v>
      </c>
      <c r="BH56">
        <f t="shared" si="237"/>
        <v>0.22047900822168157</v>
      </c>
      <c r="BI56">
        <f t="shared" si="237"/>
        <v>0.49893305000555205</v>
      </c>
      <c r="BJ56">
        <f t="shared" si="237"/>
        <v>0.4398735020138273</v>
      </c>
    </row>
    <row r="57" spans="1:62" s="53" customFormat="1">
      <c r="A57" s="53" t="s">
        <v>35</v>
      </c>
      <c r="B57" s="53">
        <v>76</v>
      </c>
      <c r="C57" s="53">
        <v>127</v>
      </c>
      <c r="D57" s="53">
        <v>149</v>
      </c>
      <c r="E57" s="53">
        <v>74</v>
      </c>
      <c r="F57" s="53">
        <v>166</v>
      </c>
      <c r="G57" s="53">
        <v>163</v>
      </c>
      <c r="H57" s="53">
        <v>60</v>
      </c>
      <c r="I57" s="53">
        <v>161</v>
      </c>
      <c r="J57" s="53">
        <v>100</v>
      </c>
      <c r="K57" s="53">
        <v>107</v>
      </c>
      <c r="L57" s="53">
        <v>72</v>
      </c>
      <c r="M57" s="53">
        <v>54</v>
      </c>
      <c r="N57">
        <f t="shared" si="224"/>
        <v>0.27397260273972601</v>
      </c>
      <c r="O57">
        <f t="shared" si="225"/>
        <v>0.50684931506849318</v>
      </c>
      <c r="P57">
        <f t="shared" si="226"/>
        <v>0.60730593607305938</v>
      </c>
      <c r="Q57">
        <f t="shared" si="227"/>
        <v>0.26484018264840181</v>
      </c>
      <c r="R57">
        <f t="shared" si="228"/>
        <v>0.68493150684931503</v>
      </c>
      <c r="S57">
        <f t="shared" si="229"/>
        <v>0.67123287671232879</v>
      </c>
      <c r="T57">
        <f t="shared" si="230"/>
        <v>0.20091324200913241</v>
      </c>
      <c r="U57">
        <f t="shared" si="231"/>
        <v>0.66210045662100458</v>
      </c>
      <c r="V57">
        <f t="shared" si="232"/>
        <v>0.38356164383561642</v>
      </c>
      <c r="W57">
        <f t="shared" si="233"/>
        <v>0.41552511415525112</v>
      </c>
      <c r="X57">
        <f t="shared" si="234"/>
        <v>0.25570776255707761</v>
      </c>
      <c r="Y57">
        <f t="shared" si="235"/>
        <v>0.17351598173515981</v>
      </c>
      <c r="Z57">
        <f>N57^IF('Color Targets'!$AA$1=1,$N$1,INDEX(Calculation!$G$128:$G$237,MATCH(N57,Calculation!$H$128:$H$237)))</f>
        <v>5.3693739035093058E-2</v>
      </c>
      <c r="AA57">
        <f>O57^IF('Color Targets'!$AA$1=1,$N$1,INDEX(Calculation!$G$128:$G$237,MATCH(O57,Calculation!$H$128:$H$237)))</f>
        <v>0.21084226978599929</v>
      </c>
      <c r="AB57">
        <f>P57^IF('Color Targets'!$AA$1=1,$N$1,INDEX(Calculation!$G$128:$G$237,MATCH(P57,Calculation!$H$128:$H$237)))</f>
        <v>0.3157172967268575</v>
      </c>
      <c r="AC57">
        <f>Q57^IF('Color Targets'!$AA$1=1,$N$1,INDEX(Calculation!$G$128:$G$237,MATCH(Q57,Calculation!$H$128:$H$237)))</f>
        <v>4.9702232621922138E-2</v>
      </c>
      <c r="AD57">
        <f>R57^IF('Color Targets'!$AA$1=1,$N$1,INDEX(Calculation!$G$128:$G$237,MATCH(R57,Calculation!$H$128:$H$237)))</f>
        <v>0.41210268424310104</v>
      </c>
      <c r="AE57">
        <f>S57^IF('Color Targets'!$AA$1=1,$N$1,INDEX(Calculation!$G$128:$G$237,MATCH(S57,Calculation!$H$128:$H$237)))</f>
        <v>0.39210389864698703</v>
      </c>
      <c r="AF57">
        <f>T57^IF('Color Targets'!$AA$1=1,$N$1,INDEX(Calculation!$G$128:$G$237,MATCH(T57,Calculation!$H$128:$H$237)))</f>
        <v>2.8942256596583539E-2</v>
      </c>
      <c r="AG57">
        <f>U57^IF('Color Targets'!$AA$1=1,$N$1,INDEX(Calculation!$G$128:$G$237,MATCH(U57,Calculation!$H$128:$H$237)))</f>
        <v>0.37874000775925593</v>
      </c>
      <c r="AH57">
        <f>V57^IF('Color Targets'!$AA$1=1,$N$1,INDEX(Calculation!$G$128:$G$237,MATCH(V57,Calculation!$H$128:$H$237)))</f>
        <v>0.11153375261874388</v>
      </c>
      <c r="AI57">
        <f>W57^IF('Color Targets'!$AA$1=1,$N$1,INDEX(Calculation!$G$128:$G$237,MATCH(W57,Calculation!$H$128:$H$237)))</f>
        <v>0.13409759362530133</v>
      </c>
      <c r="AJ57">
        <f>X57^IF('Color Targets'!$AA$1=1,$N$1,INDEX(Calculation!$G$128:$G$237,MATCH(X57,Calculation!$H$128:$H$237)))</f>
        <v>4.5913985406483747E-2</v>
      </c>
      <c r="AK57">
        <f>Y57^IF('Color Targets'!$AA$1=1,$N$1,INDEX(Calculation!$G$128:$G$237,MATCH(Y57,Calculation!$H$128:$H$237)))</f>
        <v>2.1371740538230898E-2</v>
      </c>
      <c r="AL57">
        <f t="shared" si="236"/>
        <v>1.5150623219691449E-3</v>
      </c>
      <c r="AM57" s="53">
        <v>6.3601204249837923E-2</v>
      </c>
      <c r="AN57" s="53">
        <v>0.24475409730175257</v>
      </c>
      <c r="AO57" s="53">
        <v>0.32416851309049882</v>
      </c>
      <c r="AP57" s="53">
        <v>6.5900737220817768E-2</v>
      </c>
      <c r="AQ57" s="53">
        <v>0.42034410254864313</v>
      </c>
      <c r="AR57" s="53">
        <v>0.43419171681216367</v>
      </c>
      <c r="AS57" s="53">
        <v>6.4456682313767444E-2</v>
      </c>
      <c r="AT57" s="53">
        <v>0.37258113971226703</v>
      </c>
      <c r="AU57" s="53">
        <v>0.12640921972249392</v>
      </c>
      <c r="AV57" s="53">
        <v>0.13432993567225451</v>
      </c>
      <c r="AW57" s="53">
        <v>0.10967111051048004</v>
      </c>
      <c r="AX57" s="53">
        <v>7.604659100504349E-2</v>
      </c>
      <c r="AY57">
        <f>AM56</f>
        <v>9.5533415475593422E-2</v>
      </c>
      <c r="AZ57">
        <f t="shared" ref="AZ57:BJ57" si="238">AN56</f>
        <v>0.33613485555013767</v>
      </c>
      <c r="BA57">
        <f t="shared" si="238"/>
        <v>0.17702898788745369</v>
      </c>
      <c r="BB57">
        <f t="shared" si="238"/>
        <v>0.12472423247380628</v>
      </c>
      <c r="BC57">
        <f t="shared" si="238"/>
        <v>0.22245296193599537</v>
      </c>
      <c r="BD57">
        <f t="shared" si="238"/>
        <v>0.40741258710428147</v>
      </c>
      <c r="BE57">
        <f t="shared" si="238"/>
        <v>0.29509378025790506</v>
      </c>
      <c r="BF57">
        <f t="shared" si="238"/>
        <v>0.10870480835195165</v>
      </c>
      <c r="BG57">
        <f t="shared" si="238"/>
        <v>0.18447484755283944</v>
      </c>
      <c r="BH57">
        <f t="shared" si="238"/>
        <v>6.0982867089110063E-2</v>
      </c>
      <c r="BI57">
        <f t="shared" si="238"/>
        <v>0.43154229403966826</v>
      </c>
      <c r="BJ57">
        <f t="shared" si="238"/>
        <v>0.41146575316542955</v>
      </c>
    </row>
    <row r="61" spans="1:62">
      <c r="A61" t="s">
        <v>74</v>
      </c>
    </row>
    <row r="62" spans="1:62">
      <c r="A62" s="45" t="s">
        <v>36</v>
      </c>
      <c r="B62" s="45"/>
      <c r="C62" s="45"/>
      <c r="E62" s="120" t="s">
        <v>76</v>
      </c>
      <c r="F62" s="120"/>
      <c r="G62" s="120"/>
      <c r="I62" s="120" t="s">
        <v>154</v>
      </c>
      <c r="J62" s="120"/>
      <c r="K62" s="120"/>
    </row>
    <row r="63" spans="1:62">
      <c r="A63" s="45" t="s">
        <v>33</v>
      </c>
      <c r="B63" s="45" t="s">
        <v>34</v>
      </c>
      <c r="C63" s="45" t="s">
        <v>35</v>
      </c>
      <c r="E63" s="120">
        <v>0.4124564</v>
      </c>
      <c r="F63" s="120">
        <v>0.35757610000000001</v>
      </c>
      <c r="G63" s="120">
        <v>0.1804375</v>
      </c>
      <c r="I63" s="120">
        <v>0.39358910000000003</v>
      </c>
      <c r="J63" s="120">
        <v>0.36524970000000001</v>
      </c>
      <c r="K63" s="120">
        <v>0.1916313</v>
      </c>
    </row>
    <row r="64" spans="1:62">
      <c r="A64" s="45">
        <v>116</v>
      </c>
      <c r="B64" s="45">
        <v>87</v>
      </c>
      <c r="C64" s="45">
        <v>76</v>
      </c>
      <c r="E64" s="120">
        <v>0.2126729</v>
      </c>
      <c r="F64" s="120">
        <v>0.71515220000000002</v>
      </c>
      <c r="G64" s="120">
        <v>7.2175000000000003E-2</v>
      </c>
      <c r="I64" s="120">
        <v>0.2124132</v>
      </c>
      <c r="J64" s="120">
        <v>0.70104370000000005</v>
      </c>
      <c r="K64" s="120">
        <v>8.6543200000000001E-2</v>
      </c>
    </row>
    <row r="65" spans="1:20">
      <c r="A65" s="45">
        <v>187</v>
      </c>
      <c r="B65" s="45">
        <v>142</v>
      </c>
      <c r="C65" s="45">
        <v>127</v>
      </c>
      <c r="E65" s="120">
        <v>1.9333900000000001E-2</v>
      </c>
      <c r="F65" s="120">
        <v>0.11919200000000001</v>
      </c>
      <c r="G65" s="120">
        <v>0.95030409999999998</v>
      </c>
      <c r="I65" s="120">
        <v>1.87423E-2</v>
      </c>
      <c r="J65" s="120">
        <v>0.1119313</v>
      </c>
      <c r="K65" s="120">
        <v>0.95815629999999996</v>
      </c>
    </row>
    <row r="66" spans="1:20">
      <c r="A66" s="45">
        <v>95</v>
      </c>
      <c r="B66" s="45">
        <v>121</v>
      </c>
      <c r="C66" s="45">
        <v>149</v>
      </c>
    </row>
    <row r="67" spans="1:20">
      <c r="A67" s="45">
        <v>94</v>
      </c>
      <c r="B67" s="45">
        <v>109</v>
      </c>
      <c r="C67" s="45">
        <v>74</v>
      </c>
    </row>
    <row r="68" spans="1:20">
      <c r="A68" s="45">
        <v>127</v>
      </c>
      <c r="B68" s="45">
        <v>126</v>
      </c>
      <c r="C68" s="45">
        <v>166</v>
      </c>
    </row>
    <row r="69" spans="1:20">
      <c r="A69" s="45">
        <v>96</v>
      </c>
      <c r="B69" s="45">
        <v>178</v>
      </c>
      <c r="C69" s="45">
        <v>163</v>
      </c>
    </row>
    <row r="70" spans="1:20">
      <c r="A70" s="45">
        <v>208</v>
      </c>
      <c r="B70" s="45">
        <v>122</v>
      </c>
      <c r="C70" s="45">
        <v>60</v>
      </c>
    </row>
    <row r="71" spans="1:20">
      <c r="A71" s="45">
        <v>77</v>
      </c>
      <c r="B71" s="45">
        <v>95</v>
      </c>
      <c r="C71" s="45">
        <v>161</v>
      </c>
    </row>
    <row r="72" spans="1:20">
      <c r="A72" s="45">
        <v>186</v>
      </c>
      <c r="B72" s="45">
        <v>88</v>
      </c>
      <c r="C72" s="45">
        <v>100</v>
      </c>
    </row>
    <row r="73" spans="1:20">
      <c r="A73" s="45">
        <v>97</v>
      </c>
      <c r="B73" s="45">
        <v>69</v>
      </c>
      <c r="C73" s="45">
        <v>107</v>
      </c>
    </row>
    <row r="74" spans="1:20">
      <c r="A74" s="45">
        <v>152</v>
      </c>
      <c r="B74" s="45">
        <v>178</v>
      </c>
      <c r="C74" s="45">
        <v>72</v>
      </c>
    </row>
    <row r="75" spans="1:20">
      <c r="A75" s="45">
        <v>213</v>
      </c>
      <c r="B75" s="45">
        <v>154</v>
      </c>
      <c r="C75" s="45">
        <v>54</v>
      </c>
    </row>
    <row r="78" spans="1:20">
      <c r="H78" t="s">
        <v>102</v>
      </c>
      <c r="I78" s="19" t="s">
        <v>47</v>
      </c>
    </row>
    <row r="79" spans="1:20">
      <c r="A79" t="s">
        <v>118</v>
      </c>
      <c r="D79" t="s">
        <v>101</v>
      </c>
      <c r="E79">
        <v>0.95047000000000004</v>
      </c>
      <c r="F79">
        <v>1</v>
      </c>
      <c r="G79">
        <v>1.08883</v>
      </c>
      <c r="H79">
        <v>8.8559999999999993E-3</v>
      </c>
      <c r="I79">
        <v>903.3</v>
      </c>
      <c r="Q79" t="s">
        <v>164</v>
      </c>
    </row>
    <row r="80" spans="1:20">
      <c r="A80" t="s">
        <v>120</v>
      </c>
      <c r="B80" t="s">
        <v>88</v>
      </c>
      <c r="C80" t="s">
        <v>3</v>
      </c>
      <c r="D80" t="s">
        <v>89</v>
      </c>
      <c r="E80" t="s">
        <v>90</v>
      </c>
      <c r="F80" t="s">
        <v>91</v>
      </c>
      <c r="G80" t="s">
        <v>92</v>
      </c>
      <c r="H80" t="s">
        <v>93</v>
      </c>
      <c r="I80" t="s">
        <v>94</v>
      </c>
      <c r="J80" t="s">
        <v>95</v>
      </c>
      <c r="K80" t="s">
        <v>87</v>
      </c>
      <c r="L80" t="s">
        <v>42</v>
      </c>
      <c r="M80" t="s">
        <v>43</v>
      </c>
      <c r="N80" t="s">
        <v>98</v>
      </c>
      <c r="O80" t="s">
        <v>99</v>
      </c>
      <c r="P80" t="s">
        <v>100</v>
      </c>
      <c r="Q80" t="s">
        <v>160</v>
      </c>
      <c r="R80" t="s">
        <v>161</v>
      </c>
      <c r="S80" t="s">
        <v>162</v>
      </c>
      <c r="T80" t="s">
        <v>163</v>
      </c>
    </row>
    <row r="81" spans="1:20">
      <c r="B81">
        <f>'Color Targets'!B34*'Color Targets'!D34/'Color Targets'!C34</f>
        <v>0.10682722746621044</v>
      </c>
      <c r="C81" s="70">
        <f>'Color Targets'!D34</f>
        <v>9.5533415475593422E-2</v>
      </c>
      <c r="D81">
        <f>(1-'Color Targets'!B34-'Color Targets'!C34)*'Color Targets'!D34/'Color Targets'!C34</f>
        <v>6.360120424983795E-2</v>
      </c>
      <c r="E81">
        <f t="shared" ref="E81:E92" si="239">B81/$E$79</f>
        <v>0.11239410761645337</v>
      </c>
      <c r="F81">
        <f t="shared" ref="F81:F92" si="240">C81/$F$79</f>
        <v>9.5533415475593422E-2</v>
      </c>
      <c r="G81">
        <f t="shared" ref="G81:G92" si="241">D81/$G$79</f>
        <v>5.8412428248521761E-2</v>
      </c>
      <c r="H81">
        <f t="shared" ref="H81:H92" si="242">IF(E81&gt;$H$79,E81^(1/3),($I$79*E81+16)/116)</f>
        <v>0.48259318109287991</v>
      </c>
      <c r="I81">
        <f t="shared" ref="I81:I92" si="243">IF(F81&gt;$H$79,F81^(1/3),($I$79*F81+16)/116)</f>
        <v>0.4571426781441289</v>
      </c>
      <c r="J81">
        <f t="shared" ref="J81:J92" si="244">IF(G81&gt;$H$79,G81^(1/3),($I$79*G81+16)/116)</f>
        <v>0.38800300297150109</v>
      </c>
      <c r="K81">
        <f t="shared" ref="K81:K92" si="245">116*I81-16</f>
        <v>37.028550664718949</v>
      </c>
      <c r="L81">
        <f t="shared" ref="L81:L92" si="246">500*(H81-I81)</f>
        <v>12.725251474375504</v>
      </c>
      <c r="M81">
        <f t="shared" ref="M81:M92" si="247">200*(I81-J81)</f>
        <v>13.827935034525563</v>
      </c>
      <c r="N81">
        <v>1</v>
      </c>
      <c r="O81">
        <f t="shared" ref="O81:O92" si="248">1+0.045*SQRT(L81^2+M81^2)</f>
        <v>1.845645445869863</v>
      </c>
      <c r="P81">
        <f t="shared" ref="P81:P92" si="249">1+0.015*SQRT(L81^2+M81^2)</f>
        <v>1.2818818152899545</v>
      </c>
      <c r="Q81">
        <f>4*B81/(B81+15*C81+3*D81)</f>
        <v>0.24690915919794415</v>
      </c>
      <c r="R81">
        <f>9*C81/(B81+15*C81+3*D81)</f>
        <v>0.49681313146647971</v>
      </c>
      <c r="S81">
        <f>Q81-Q97</f>
        <v>-4.0010699251487591E-3</v>
      </c>
      <c r="T81">
        <f>R81-R97</f>
        <v>-1.7090612910667935E-3</v>
      </c>
    </row>
    <row r="82" spans="1:20">
      <c r="B82">
        <f>'Color Targets'!B35*'Color Targets'!D35/'Color Targets'!C35</f>
        <v>0.37133376603460344</v>
      </c>
      <c r="C82" s="70">
        <f>'Color Targets'!D35</f>
        <v>0.33613485555013767</v>
      </c>
      <c r="D82">
        <f>(1-'Color Targets'!B35-'Color Targets'!C35)*'Color Targets'!D35/'Color Targets'!C35</f>
        <v>0.24475409730175252</v>
      </c>
      <c r="E82">
        <f t="shared" si="239"/>
        <v>0.39068436250970934</v>
      </c>
      <c r="F82">
        <f t="shared" si="240"/>
        <v>0.33613485555013767</v>
      </c>
      <c r="G82">
        <f t="shared" si="241"/>
        <v>0.22478632780301105</v>
      </c>
      <c r="H82">
        <f t="shared" si="242"/>
        <v>0.73104146244428803</v>
      </c>
      <c r="I82">
        <f t="shared" si="243"/>
        <v>0.69529832476818054</v>
      </c>
      <c r="J82">
        <f t="shared" si="244"/>
        <v>0.60802760562111702</v>
      </c>
      <c r="K82">
        <f t="shared" si="245"/>
        <v>64.654605673108946</v>
      </c>
      <c r="L82">
        <f t="shared" si="246"/>
        <v>17.87156883805374</v>
      </c>
      <c r="M82">
        <f t="shared" si="247"/>
        <v>17.454143829412704</v>
      </c>
      <c r="N82">
        <v>1</v>
      </c>
      <c r="O82">
        <f t="shared" si="248"/>
        <v>2.1241357666407632</v>
      </c>
      <c r="P82">
        <f t="shared" si="249"/>
        <v>1.3747119222135877</v>
      </c>
      <c r="Q82">
        <f t="shared" ref="Q82:Q92" si="250">4*B82/(B82+15*C82+3*D82)</f>
        <v>0.241611441832633</v>
      </c>
      <c r="R82">
        <f t="shared" ref="R82:R92" si="251">9*C82/(B82+15*C82+3*D82)</f>
        <v>0.49209519221916148</v>
      </c>
      <c r="S82">
        <f t="shared" ref="S82:T82" si="252">Q82-Q98</f>
        <v>-5.6612718755126856E-3</v>
      </c>
      <c r="T82">
        <f t="shared" si="252"/>
        <v>-9.2020691554250966E-4</v>
      </c>
    </row>
    <row r="83" spans="1:20">
      <c r="B83">
        <f>'Color Targets'!B36*'Color Targets'!D36/'Color Targets'!C36</f>
        <v>0.16384108596738733</v>
      </c>
      <c r="C83" s="70">
        <f>'Color Targets'!D36</f>
        <v>0.17702898788745369</v>
      </c>
      <c r="D83">
        <f>(1-'Color Targets'!B36-'Color Targets'!C36)*'Color Targets'!D36/'Color Targets'!C36</f>
        <v>0.32416851309049893</v>
      </c>
      <c r="E83">
        <f t="shared" si="239"/>
        <v>0.1723790187669125</v>
      </c>
      <c r="F83">
        <f t="shared" si="240"/>
        <v>0.17702898788745369</v>
      </c>
      <c r="G83">
        <f t="shared" si="241"/>
        <v>0.2977218786132812</v>
      </c>
      <c r="H83">
        <f t="shared" si="242"/>
        <v>0.55653797235761826</v>
      </c>
      <c r="I83">
        <f t="shared" si="243"/>
        <v>0.56149789025543095</v>
      </c>
      <c r="J83">
        <f t="shared" si="244"/>
        <v>0.66773414323277935</v>
      </c>
      <c r="K83">
        <f t="shared" si="245"/>
        <v>49.133755269629987</v>
      </c>
      <c r="L83">
        <f t="shared" si="246"/>
        <v>-2.4799589489063467</v>
      </c>
      <c r="M83">
        <f t="shared" si="247"/>
        <v>-21.24725059546968</v>
      </c>
      <c r="N83">
        <v>1</v>
      </c>
      <c r="O83">
        <f t="shared" si="248"/>
        <v>1.9626170603444903</v>
      </c>
      <c r="P83">
        <f t="shared" si="249"/>
        <v>1.3208723534481634</v>
      </c>
      <c r="Q83">
        <f t="shared" si="250"/>
        <v>0.17283811148562794</v>
      </c>
      <c r="R83">
        <f t="shared" si="251"/>
        <v>0.42018795510933404</v>
      </c>
      <c r="S83">
        <f t="shared" ref="S83:T83" si="253">Q83-Q99</f>
        <v>2.6551779924265106E-3</v>
      </c>
      <c r="T83">
        <f t="shared" si="253"/>
        <v>1.7055823610374055E-3</v>
      </c>
    </row>
    <row r="84" spans="1:20">
      <c r="A84" s="47"/>
      <c r="B84">
        <f>'Color Targets'!B37*'Color Targets'!D37/'Color Targets'!C37</f>
        <v>9.8435414732891968E-2</v>
      </c>
      <c r="C84" s="70">
        <f>'Color Targets'!D37</f>
        <v>0.12472423247380628</v>
      </c>
      <c r="D84">
        <f>(1-'Color Targets'!B37-'Color Targets'!C37)*'Color Targets'!D37/'Color Targets'!C37</f>
        <v>6.5900737220817782E-2</v>
      </c>
      <c r="E84">
        <f t="shared" si="239"/>
        <v>0.10356498861920099</v>
      </c>
      <c r="F84">
        <f t="shared" si="240"/>
        <v>0.12472423247380628</v>
      </c>
      <c r="G84">
        <f t="shared" si="241"/>
        <v>6.0524358458912582E-2</v>
      </c>
      <c r="H84">
        <f t="shared" si="242"/>
        <v>0.46961034343580477</v>
      </c>
      <c r="I84">
        <f t="shared" si="243"/>
        <v>0.49963203924126193</v>
      </c>
      <c r="J84">
        <f t="shared" si="244"/>
        <v>0.39262389902226436</v>
      </c>
      <c r="K84">
        <f t="shared" si="245"/>
        <v>41.957316551986381</v>
      </c>
      <c r="L84">
        <f t="shared" si="246"/>
        <v>-15.01084790272858</v>
      </c>
      <c r="M84">
        <f t="shared" si="247"/>
        <v>21.401628043799516</v>
      </c>
      <c r="N84">
        <v>1</v>
      </c>
      <c r="O84">
        <f t="shared" si="248"/>
        <v>2.1763478891510344</v>
      </c>
      <c r="P84">
        <f t="shared" si="249"/>
        <v>1.3921159630503448</v>
      </c>
      <c r="Q84">
        <f t="shared" si="250"/>
        <v>0.18169887245474395</v>
      </c>
      <c r="R84">
        <f t="shared" si="251"/>
        <v>0.51800531401203309</v>
      </c>
      <c r="S84">
        <f t="shared" ref="S84:T84" si="254">Q84-Q100</f>
        <v>2.8437615322250975E-3</v>
      </c>
      <c r="T84">
        <f t="shared" si="254"/>
        <v>-3.6605902915284316E-3</v>
      </c>
    </row>
    <row r="85" spans="1:20">
      <c r="A85" s="47"/>
      <c r="B85">
        <f>'Color Targets'!B38*'Color Targets'!D38/'Color Targets'!C38</f>
        <v>0.2352565285232659</v>
      </c>
      <c r="C85" s="70">
        <f>'Color Targets'!D38</f>
        <v>0.22245296193599537</v>
      </c>
      <c r="D85">
        <f>(1-'Color Targets'!B38-'Color Targets'!C38)*'Color Targets'!D38/'Color Targets'!C38</f>
        <v>0.42034410254864307</v>
      </c>
      <c r="E85">
        <f t="shared" si="239"/>
        <v>0.24751599579499184</v>
      </c>
      <c r="F85">
        <f t="shared" si="240"/>
        <v>0.22245296193599537</v>
      </c>
      <c r="G85">
        <f t="shared" si="241"/>
        <v>0.38605117653687271</v>
      </c>
      <c r="H85">
        <f t="shared" si="242"/>
        <v>0.62786714348040351</v>
      </c>
      <c r="I85">
        <f t="shared" si="243"/>
        <v>0.60591643270321038</v>
      </c>
      <c r="J85">
        <f t="shared" si="244"/>
        <v>0.72814011847856985</v>
      </c>
      <c r="K85">
        <f t="shared" si="245"/>
        <v>54.286306193572401</v>
      </c>
      <c r="L85">
        <f t="shared" si="246"/>
        <v>10.975355388596563</v>
      </c>
      <c r="M85">
        <f t="shared" si="247"/>
        <v>-24.444737155071895</v>
      </c>
      <c r="N85">
        <v>1</v>
      </c>
      <c r="O85">
        <f t="shared" si="248"/>
        <v>2.2058015139255964</v>
      </c>
      <c r="P85">
        <f t="shared" si="249"/>
        <v>1.4019338379751987</v>
      </c>
      <c r="Q85">
        <f t="shared" si="250"/>
        <v>0.19470513178761584</v>
      </c>
      <c r="R85">
        <f t="shared" si="251"/>
        <v>0.41424418897060505</v>
      </c>
      <c r="S85">
        <f t="shared" ref="S85:T85" si="255">Q85-Q101</f>
        <v>-9.0034435439229066E-4</v>
      </c>
      <c r="T85">
        <f t="shared" si="255"/>
        <v>4.2704541103563143E-3</v>
      </c>
    </row>
    <row r="86" spans="1:20">
      <c r="A86" s="47"/>
      <c r="B86">
        <f>'Color Targets'!B39*'Color Targets'!D39/'Color Targets'!C39</f>
        <v>0.29092732870965426</v>
      </c>
      <c r="C86" s="70">
        <f>'Color Targets'!D39</f>
        <v>0.40741258710428147</v>
      </c>
      <c r="D86">
        <f>(1-'Color Targets'!B39-'Color Targets'!C39)*'Color Targets'!D39/'Color Targets'!C39</f>
        <v>0.43419171681216379</v>
      </c>
      <c r="E86">
        <f t="shared" si="239"/>
        <v>0.30608786043710401</v>
      </c>
      <c r="F86">
        <f t="shared" si="240"/>
        <v>0.40741258710428147</v>
      </c>
      <c r="G86">
        <f t="shared" si="241"/>
        <v>0.39876906111345556</v>
      </c>
      <c r="H86">
        <f t="shared" si="242"/>
        <v>0.67393089867716138</v>
      </c>
      <c r="I86">
        <f t="shared" si="243"/>
        <v>0.74132983853659429</v>
      </c>
      <c r="J86">
        <f t="shared" si="244"/>
        <v>0.73604972017204351</v>
      </c>
      <c r="K86">
        <f t="shared" si="245"/>
        <v>69.994261270244934</v>
      </c>
      <c r="L86">
        <f t="shared" si="246"/>
        <v>-33.69946992971645</v>
      </c>
      <c r="M86">
        <f t="shared" si="247"/>
        <v>1.0560236729101558</v>
      </c>
      <c r="N86">
        <v>1</v>
      </c>
      <c r="O86">
        <f t="shared" si="248"/>
        <v>2.5172205362345186</v>
      </c>
      <c r="P86">
        <f t="shared" si="249"/>
        <v>1.5057401787448397</v>
      </c>
      <c r="Q86">
        <f t="shared" si="250"/>
        <v>0.15103905811215429</v>
      </c>
      <c r="R86">
        <f t="shared" si="251"/>
        <v>0.47590658054516255</v>
      </c>
      <c r="S86">
        <f t="shared" ref="S86:T86" si="256">Q86-Q102</f>
        <v>-7.3584035507409662E-4</v>
      </c>
      <c r="T86">
        <f t="shared" si="256"/>
        <v>8.9385022670696035E-4</v>
      </c>
    </row>
    <row r="87" spans="1:20">
      <c r="A87" s="47"/>
      <c r="B87">
        <f>'Color Targets'!B40*'Color Targets'!D40/'Color Targets'!C40</f>
        <v>0.3774712431678911</v>
      </c>
      <c r="C87" s="70">
        <f>'Color Targets'!D40</f>
        <v>0.29509378025790506</v>
      </c>
      <c r="D87">
        <f>(1-'Color Targets'!B40-'Color Targets'!C40)*'Color Targets'!D40/'Color Targets'!C40</f>
        <v>6.4456682313767361E-2</v>
      </c>
      <c r="E87">
        <f t="shared" si="239"/>
        <v>0.39714167008731582</v>
      </c>
      <c r="F87">
        <f t="shared" si="240"/>
        <v>0.29509378025790506</v>
      </c>
      <c r="G87">
        <f t="shared" si="241"/>
        <v>5.9198113859617534E-2</v>
      </c>
      <c r="H87">
        <f t="shared" si="242"/>
        <v>0.73504707310299888</v>
      </c>
      <c r="I87">
        <f t="shared" si="243"/>
        <v>0.66576355677910704</v>
      </c>
      <c r="J87">
        <f t="shared" si="244"/>
        <v>0.38973489294016767</v>
      </c>
      <c r="K87">
        <f t="shared" si="245"/>
        <v>61.228572586376416</v>
      </c>
      <c r="L87">
        <f t="shared" si="246"/>
        <v>34.641758161945923</v>
      </c>
      <c r="M87">
        <f t="shared" si="247"/>
        <v>55.205732767787872</v>
      </c>
      <c r="N87">
        <v>1</v>
      </c>
      <c r="O87">
        <f t="shared" si="248"/>
        <v>3.9328555686280886</v>
      </c>
      <c r="P87">
        <f t="shared" si="249"/>
        <v>1.9776185228760297</v>
      </c>
      <c r="Q87">
        <f t="shared" si="250"/>
        <v>0.30214329456755817</v>
      </c>
      <c r="R87">
        <f t="shared" si="251"/>
        <v>0.53146132141565283</v>
      </c>
      <c r="S87">
        <f t="shared" ref="S87:T87" si="257">Q87-Q103</f>
        <v>1.6170900920325915E-3</v>
      </c>
      <c r="T87">
        <f t="shared" si="257"/>
        <v>6.0996982911931674E-4</v>
      </c>
    </row>
    <row r="88" spans="1:20">
      <c r="A88" s="47"/>
      <c r="B88">
        <f>'Color Targets'!B41*'Color Targets'!D41/'Color Targets'!C41</f>
        <v>0.12609654897407019</v>
      </c>
      <c r="C88" s="70">
        <f>'Color Targets'!D41</f>
        <v>0.10870480835195165</v>
      </c>
      <c r="D88">
        <f>(1-'Color Targets'!B41-'Color Targets'!C41)*'Color Targets'!D41/'Color Targets'!C41</f>
        <v>0.37258113971226692</v>
      </c>
      <c r="E88">
        <f t="shared" si="239"/>
        <v>0.13266757390982375</v>
      </c>
      <c r="F88">
        <f t="shared" si="240"/>
        <v>0.10870480835195165</v>
      </c>
      <c r="G88">
        <f t="shared" si="241"/>
        <v>0.34218485871280818</v>
      </c>
      <c r="H88">
        <f t="shared" si="242"/>
        <v>0.51002123954838263</v>
      </c>
      <c r="I88">
        <f t="shared" si="243"/>
        <v>0.47725400865658724</v>
      </c>
      <c r="J88">
        <f t="shared" si="244"/>
        <v>0.69944504226512882</v>
      </c>
      <c r="K88">
        <f t="shared" si="245"/>
        <v>39.361465004164117</v>
      </c>
      <c r="L88">
        <f t="shared" si="246"/>
        <v>16.383615445897696</v>
      </c>
      <c r="M88">
        <f t="shared" si="247"/>
        <v>-44.438206721708319</v>
      </c>
      <c r="N88">
        <v>1</v>
      </c>
      <c r="O88">
        <f t="shared" si="248"/>
        <v>3.1312985643108964</v>
      </c>
      <c r="P88">
        <f t="shared" si="249"/>
        <v>1.7104328547702987</v>
      </c>
      <c r="Q88">
        <f t="shared" si="250"/>
        <v>0.1754745594955372</v>
      </c>
      <c r="R88">
        <f t="shared" si="251"/>
        <v>0.3403629136606105</v>
      </c>
      <c r="S88">
        <f t="shared" ref="S88:T88" si="258">Q88-Q104</f>
        <v>-1.2403813265158548E-3</v>
      </c>
      <c r="T88">
        <f t="shared" si="258"/>
        <v>2.1759588590397061E-3</v>
      </c>
    </row>
    <row r="89" spans="1:20">
      <c r="A89" s="47"/>
      <c r="B89">
        <f>'Color Targets'!B42*'Color Targets'!D42/'Color Targets'!C42</f>
        <v>0.27906953301528914</v>
      </c>
      <c r="C89" s="70">
        <f>'Color Targets'!D42</f>
        <v>0.18447484755283944</v>
      </c>
      <c r="D89">
        <f>(1-'Color Targets'!B42-'Color Targets'!C42)*'Color Targets'!D42/'Color Targets'!C42</f>
        <v>0.12640921972249392</v>
      </c>
      <c r="E89">
        <f t="shared" si="239"/>
        <v>0.29361214242983907</v>
      </c>
      <c r="F89">
        <f t="shared" si="240"/>
        <v>0.18447484755283944</v>
      </c>
      <c r="G89">
        <f t="shared" si="241"/>
        <v>0.11609637842683791</v>
      </c>
      <c r="H89">
        <f t="shared" si="242"/>
        <v>0.66464744153632804</v>
      </c>
      <c r="I89">
        <f t="shared" si="243"/>
        <v>0.56926225223109383</v>
      </c>
      <c r="J89">
        <f t="shared" si="244"/>
        <v>0.48783492696105668</v>
      </c>
      <c r="K89">
        <f t="shared" si="245"/>
        <v>50.034421258806887</v>
      </c>
      <c r="L89">
        <f t="shared" si="246"/>
        <v>47.692594652617103</v>
      </c>
      <c r="M89">
        <f t="shared" si="247"/>
        <v>16.285465054007432</v>
      </c>
      <c r="N89">
        <v>1</v>
      </c>
      <c r="O89">
        <f t="shared" si="248"/>
        <v>3.2678392606986901</v>
      </c>
      <c r="P89">
        <f t="shared" si="249"/>
        <v>1.7559464202328967</v>
      </c>
      <c r="Q89">
        <f t="shared" si="250"/>
        <v>0.32588066948429939</v>
      </c>
      <c r="R89">
        <f t="shared" si="251"/>
        <v>0.48469200091985531</v>
      </c>
      <c r="S89">
        <f t="shared" ref="S89:T89" si="259">Q89-Q105</f>
        <v>-8.2574643638977374E-4</v>
      </c>
      <c r="T89">
        <f t="shared" si="259"/>
        <v>2.2269069109164819E-3</v>
      </c>
    </row>
    <row r="90" spans="1:20">
      <c r="A90" s="47"/>
      <c r="B90">
        <f>'Color Targets'!B43*'Color Targets'!D43/'Color Targets'!C43</f>
        <v>8.12798197335379E-2</v>
      </c>
      <c r="C90" s="70">
        <f>'Color Targets'!D43</f>
        <v>6.0982867089110063E-2</v>
      </c>
      <c r="D90">
        <f>(1-'Color Targets'!B43-'Color Targets'!C43)*'Color Targets'!D43/'Color Targets'!C43</f>
        <v>0.13432993567225449</v>
      </c>
      <c r="E90">
        <f t="shared" si="239"/>
        <v>8.5515397365027723E-2</v>
      </c>
      <c r="F90">
        <f t="shared" si="240"/>
        <v>6.0982867089110063E-2</v>
      </c>
      <c r="G90">
        <f t="shared" si="241"/>
        <v>0.12337089873741033</v>
      </c>
      <c r="H90">
        <f t="shared" si="242"/>
        <v>0.44056984941211463</v>
      </c>
      <c r="I90">
        <f t="shared" si="243"/>
        <v>0.39361286040274018</v>
      </c>
      <c r="J90">
        <f t="shared" si="244"/>
        <v>0.49781835971943339</v>
      </c>
      <c r="K90">
        <f t="shared" si="245"/>
        <v>29.659091806717861</v>
      </c>
      <c r="L90">
        <f t="shared" si="246"/>
        <v>23.478494504687227</v>
      </c>
      <c r="M90">
        <f t="shared" si="247"/>
        <v>-20.841099863338641</v>
      </c>
      <c r="N90">
        <v>1</v>
      </c>
      <c r="O90">
        <f t="shared" si="248"/>
        <v>2.4127356702984359</v>
      </c>
      <c r="P90">
        <f t="shared" si="249"/>
        <v>1.4709118900994786</v>
      </c>
      <c r="Q90">
        <f t="shared" si="250"/>
        <v>0.23239195361429205</v>
      </c>
      <c r="R90">
        <f t="shared" si="251"/>
        <v>0.39230939794371272</v>
      </c>
      <c r="S90">
        <f t="shared" ref="S90:T90" si="260">Q90-Q106</f>
        <v>-3.0665881787619864E-3</v>
      </c>
      <c r="T90">
        <f t="shared" si="260"/>
        <v>5.6946901259161686E-3</v>
      </c>
    </row>
    <row r="91" spans="1:20">
      <c r="A91" s="47"/>
      <c r="B91">
        <f>'Color Targets'!B44*'Color Targets'!D44/'Color Targets'!C44</f>
        <v>0.32371685820728202</v>
      </c>
      <c r="C91" s="70">
        <f>'Color Targets'!D44</f>
        <v>0.43154229403966826</v>
      </c>
      <c r="D91">
        <f>(1-'Color Targets'!B44-'Color Targets'!C44)*'Color Targets'!D44/'Color Targets'!C44</f>
        <v>0.10967111051048002</v>
      </c>
      <c r="E91">
        <f t="shared" si="239"/>
        <v>0.34058608710141508</v>
      </c>
      <c r="F91">
        <f t="shared" si="240"/>
        <v>0.43154229403966826</v>
      </c>
      <c r="G91">
        <f t="shared" si="241"/>
        <v>0.10072381410365257</v>
      </c>
      <c r="H91">
        <f t="shared" si="242"/>
        <v>0.69835401503480621</v>
      </c>
      <c r="I91">
        <f t="shared" si="243"/>
        <v>0.75568555717917707</v>
      </c>
      <c r="J91">
        <f t="shared" si="244"/>
        <v>0.46527607470544874</v>
      </c>
      <c r="K91">
        <f t="shared" si="245"/>
        <v>71.659524632784539</v>
      </c>
      <c r="L91">
        <f t="shared" si="246"/>
        <v>-28.665771072185432</v>
      </c>
      <c r="M91">
        <f t="shared" si="247"/>
        <v>58.081896494745664</v>
      </c>
      <c r="N91">
        <v>1</v>
      </c>
      <c r="O91">
        <f t="shared" si="248"/>
        <v>3.9146778709607544</v>
      </c>
      <c r="P91">
        <f t="shared" si="249"/>
        <v>1.9715592903202515</v>
      </c>
      <c r="Q91">
        <f t="shared" si="250"/>
        <v>0.1817137295547942</v>
      </c>
      <c r="R91">
        <f t="shared" si="251"/>
        <v>0.5450399164439792</v>
      </c>
      <c r="S91">
        <f t="shared" ref="S91:T91" si="261">Q91-Q107</f>
        <v>-1.24667548576049E-3</v>
      </c>
      <c r="T91">
        <f t="shared" si="261"/>
        <v>1.5798925780685646E-3</v>
      </c>
    </row>
    <row r="92" spans="1:20">
      <c r="B92">
        <f>'Color Targets'!B45*'Color Targets'!D45/'Color Targets'!C45</f>
        <v>0.4479060233412287</v>
      </c>
      <c r="C92" s="70">
        <f>'Color Targets'!D45</f>
        <v>0.41146575316542955</v>
      </c>
      <c r="D92">
        <f>(1-'Color Targets'!B45-'Color Targets'!C45)*'Color Targets'!D45/'Color Targets'!C45</f>
        <v>7.6046591005043421E-2</v>
      </c>
      <c r="E92">
        <f t="shared" si="239"/>
        <v>0.47124688137577059</v>
      </c>
      <c r="F92">
        <f t="shared" si="240"/>
        <v>0.41146575316542955</v>
      </c>
      <c r="G92">
        <f t="shared" si="241"/>
        <v>6.9842483220560997E-2</v>
      </c>
      <c r="H92">
        <f t="shared" si="242"/>
        <v>0.77818495424065715</v>
      </c>
      <c r="I92">
        <f t="shared" si="243"/>
        <v>0.74378011744045891</v>
      </c>
      <c r="J92">
        <f t="shared" si="244"/>
        <v>0.41181916849143724</v>
      </c>
      <c r="K92">
        <f t="shared" si="245"/>
        <v>70.27849362309324</v>
      </c>
      <c r="L92">
        <f t="shared" si="246"/>
        <v>17.202418400099116</v>
      </c>
      <c r="M92">
        <f t="shared" si="247"/>
        <v>66.392189789804334</v>
      </c>
      <c r="N92">
        <v>1</v>
      </c>
      <c r="O92">
        <f t="shared" si="248"/>
        <v>4.0863065757296972</v>
      </c>
      <c r="P92">
        <f t="shared" si="249"/>
        <v>2.0287688585765657</v>
      </c>
      <c r="Q92">
        <f t="shared" si="250"/>
        <v>0.26162612394546259</v>
      </c>
      <c r="R92">
        <f t="shared" si="251"/>
        <v>0.54076729310617278</v>
      </c>
      <c r="S92">
        <f t="shared" ref="S92:T92" si="262">Q92-Q108</f>
        <v>-1.2636806683635204E-3</v>
      </c>
      <c r="T92">
        <f t="shared" si="262"/>
        <v>1.0348818425729434E-3</v>
      </c>
    </row>
    <row r="93" spans="1:20">
      <c r="C93" s="70"/>
    </row>
    <row r="94" spans="1:20">
      <c r="B94" s="47"/>
      <c r="C94" s="47"/>
      <c r="D94" s="47"/>
      <c r="N94" t="s">
        <v>96</v>
      </c>
      <c r="O94" t="s">
        <v>97</v>
      </c>
    </row>
    <row r="95" spans="1:20">
      <c r="J95" s="47"/>
      <c r="N95">
        <v>1</v>
      </c>
      <c r="Q95" t="s">
        <v>86</v>
      </c>
    </row>
    <row r="96" spans="1:20">
      <c r="A96" t="s">
        <v>121</v>
      </c>
      <c r="B96" t="s">
        <v>88</v>
      </c>
      <c r="C96" t="s">
        <v>3</v>
      </c>
      <c r="D96" t="s">
        <v>89</v>
      </c>
      <c r="E96" t="s">
        <v>90</v>
      </c>
      <c r="F96" t="s">
        <v>91</v>
      </c>
      <c r="G96" t="s">
        <v>92</v>
      </c>
      <c r="H96" t="s">
        <v>93</v>
      </c>
      <c r="I96" t="s">
        <v>94</v>
      </c>
      <c r="J96" t="s">
        <v>95</v>
      </c>
      <c r="K96" t="s">
        <v>87</v>
      </c>
      <c r="L96" t="s">
        <v>42</v>
      </c>
      <c r="M96" t="s">
        <v>43</v>
      </c>
      <c r="Q96" t="s">
        <v>160</v>
      </c>
      <c r="R96" t="s">
        <v>161</v>
      </c>
    </row>
    <row r="97" spans="1:26">
      <c r="B97">
        <f>'Color Targets'!H34*'Color Targets'!J34/'Color Targets'!I34</f>
        <v>0.10634547560528609</v>
      </c>
      <c r="C97" s="70">
        <f>'Color Targets'!J34</f>
        <v>9.3908008230452672E-2</v>
      </c>
      <c r="D97">
        <f>(1-'Color Targets'!H34-'Color Targets'!I34)*'Color Targets'!J34/'Color Targets'!I34</f>
        <v>6.0129788258081802E-2</v>
      </c>
      <c r="E97">
        <f t="shared" ref="E97:E108" si="263">B97/$E$79</f>
        <v>0.11188725115499289</v>
      </c>
      <c r="F97">
        <f t="shared" ref="F97:F108" si="264">C97/$F$79</f>
        <v>9.3908008230452672E-2</v>
      </c>
      <c r="G97">
        <f t="shared" ref="G97:G108" si="265">D97/$G$79</f>
        <v>5.5224220730584028E-2</v>
      </c>
      <c r="H97">
        <f t="shared" ref="H97:H108" si="266">IF(E97&gt;$H$79,E97^(1/3),($I$79*E97+16)/116)</f>
        <v>0.48186664807700874</v>
      </c>
      <c r="I97">
        <f t="shared" ref="I97:I108" si="267">IF(F97&gt;$H$79,F97^(1/3),($I$79*F97+16)/116)</f>
        <v>0.45453522274511765</v>
      </c>
      <c r="J97">
        <f t="shared" ref="J97:J108" si="268">IF(G97&gt;$H$79,G97^(1/3),($I$79*G97+16)/116)</f>
        <v>0.38081133374268145</v>
      </c>
      <c r="K97">
        <f t="shared" ref="K97:K108" si="269">116*I97-16</f>
        <v>36.726085838433647</v>
      </c>
      <c r="L97">
        <f t="shared" ref="L97:L108" si="270">500*(H97-I97)</f>
        <v>13.665712665945545</v>
      </c>
      <c r="M97">
        <f t="shared" ref="M97:M108" si="271">200*(I97-J97)</f>
        <v>14.744777800487242</v>
      </c>
      <c r="Q97">
        <f t="shared" ref="Q97:Q108" si="272">4*B97/(B97+15*C97+3*D97)</f>
        <v>0.25091022912309291</v>
      </c>
      <c r="R97">
        <f t="shared" ref="R97:R108" si="273">9*C97/(B97+15*C97+3*D97)</f>
        <v>0.4985221927575465</v>
      </c>
    </row>
    <row r="98" spans="1:26">
      <c r="B98">
        <f>'Color Targets'!H35*'Color Targets'!J35/'Color Targets'!I35</f>
        <v>0.37330330815068519</v>
      </c>
      <c r="C98" s="70">
        <f>'Color Targets'!J35</f>
        <v>0.33079855967078192</v>
      </c>
      <c r="D98">
        <f>(1-'Color Targets'!H35-'Color Targets'!I35)*'Color Targets'!J35/'Color Targets'!I35</f>
        <v>0.23448287094776135</v>
      </c>
      <c r="E98">
        <f t="shared" si="263"/>
        <v>0.39275653955483619</v>
      </c>
      <c r="F98">
        <f t="shared" si="264"/>
        <v>0.33079855967078192</v>
      </c>
      <c r="G98">
        <f t="shared" si="265"/>
        <v>0.21535305873989635</v>
      </c>
      <c r="H98">
        <f t="shared" si="266"/>
        <v>0.73233165738860151</v>
      </c>
      <c r="I98">
        <f t="shared" si="267"/>
        <v>0.69159928663762305</v>
      </c>
      <c r="J98">
        <f t="shared" si="268"/>
        <v>0.59940038127664885</v>
      </c>
      <c r="K98">
        <f t="shared" si="269"/>
        <v>64.22551724996427</v>
      </c>
      <c r="L98">
        <f t="shared" si="270"/>
        <v>20.366185375489231</v>
      </c>
      <c r="M98">
        <f t="shared" si="271"/>
        <v>18.43978107219484</v>
      </c>
      <c r="Q98">
        <f t="shared" si="272"/>
        <v>0.24727271370814569</v>
      </c>
      <c r="R98">
        <f t="shared" si="273"/>
        <v>0.49301539913470399</v>
      </c>
    </row>
    <row r="99" spans="1:26">
      <c r="B99">
        <f>'Color Targets'!H36*'Color Targets'!J36/'Color Targets'!I36</f>
        <v>0.15703434452908713</v>
      </c>
      <c r="C99" s="70">
        <f>'Color Targets'!J36</f>
        <v>0.1716221316872428</v>
      </c>
      <c r="D99">
        <f>(1-'Color Targets'!H36-'Color Targets'!I36)*'Color Targets'!J36/'Color Targets'!I36</f>
        <v>0.31986255811085329</v>
      </c>
      <c r="E99">
        <f t="shared" si="263"/>
        <v>0.1652175708113745</v>
      </c>
      <c r="F99">
        <f t="shared" si="264"/>
        <v>0.1716221316872428</v>
      </c>
      <c r="G99">
        <f t="shared" si="265"/>
        <v>0.29376721628799107</v>
      </c>
      <c r="H99">
        <f t="shared" si="266"/>
        <v>0.54872162689606818</v>
      </c>
      <c r="I99">
        <f t="shared" si="267"/>
        <v>0.55572222258737347</v>
      </c>
      <c r="J99">
        <f t="shared" si="268"/>
        <v>0.66476443408967778</v>
      </c>
      <c r="K99">
        <f t="shared" si="269"/>
        <v>48.46377782013532</v>
      </c>
      <c r="L99">
        <f t="shared" si="270"/>
        <v>-3.5002978456526446</v>
      </c>
      <c r="M99">
        <f t="shared" si="271"/>
        <v>-21.808442300460861</v>
      </c>
      <c r="Q99">
        <f t="shared" si="272"/>
        <v>0.17018293349320143</v>
      </c>
      <c r="R99">
        <f t="shared" si="273"/>
        <v>0.41848237274829664</v>
      </c>
    </row>
    <row r="100" spans="1:26">
      <c r="B100">
        <f>'Color Targets'!H37*'Color Targets'!J37/'Color Targets'!I37</f>
        <v>9.6380728431153986E-2</v>
      </c>
      <c r="C100" s="70">
        <f>'Color Targets'!J37</f>
        <v>0.12493921810699589</v>
      </c>
      <c r="D100">
        <f>(1-'Color Targets'!H37-'Color Targets'!I37)*'Color Targets'!J37/'Color Targets'!I37</f>
        <v>6.1678345828042068E-2</v>
      </c>
      <c r="E100">
        <f t="shared" si="263"/>
        <v>0.10140323043457866</v>
      </c>
      <c r="F100">
        <f t="shared" si="264"/>
        <v>0.12493921810699589</v>
      </c>
      <c r="G100">
        <f t="shared" si="265"/>
        <v>5.6646442353757764E-2</v>
      </c>
      <c r="H100">
        <f t="shared" si="266"/>
        <v>0.46631987964767108</v>
      </c>
      <c r="I100">
        <f t="shared" si="267"/>
        <v>0.4999189443366634</v>
      </c>
      <c r="J100">
        <f t="shared" si="268"/>
        <v>0.38405275053356963</v>
      </c>
      <c r="K100">
        <f t="shared" si="269"/>
        <v>41.990597543052957</v>
      </c>
      <c r="L100">
        <f t="shared" si="270"/>
        <v>-16.799532344496161</v>
      </c>
      <c r="M100">
        <f t="shared" si="271"/>
        <v>23.173238760618752</v>
      </c>
      <c r="Q100">
        <f t="shared" si="272"/>
        <v>0.17885511092251885</v>
      </c>
      <c r="R100">
        <f t="shared" si="273"/>
        <v>0.52166590430356152</v>
      </c>
    </row>
    <row r="101" spans="1:26">
      <c r="B101">
        <f>'Color Targets'!H38*'Color Targets'!J38/'Color Targets'!I38</f>
        <v>0.23131201205065663</v>
      </c>
      <c r="C101" s="70">
        <f>'Color Targets'!J38</f>
        <v>0.21547192592592593</v>
      </c>
      <c r="D101">
        <f>(1-'Color Targets'!H38-'Color Targets'!I38)*'Color Targets'!J38/'Color Targets'!I38</f>
        <v>0.42226122166190383</v>
      </c>
      <c r="E101">
        <f t="shared" si="263"/>
        <v>0.2433659263844799</v>
      </c>
      <c r="F101">
        <f t="shared" si="264"/>
        <v>0.21547192592592593</v>
      </c>
      <c r="G101">
        <f t="shared" si="265"/>
        <v>0.38781189135301547</v>
      </c>
      <c r="H101">
        <f t="shared" si="266"/>
        <v>0.62433822337813039</v>
      </c>
      <c r="I101">
        <f t="shared" si="267"/>
        <v>0.59951064351623085</v>
      </c>
      <c r="J101">
        <f t="shared" si="268"/>
        <v>0.72924541489934247</v>
      </c>
      <c r="K101">
        <f t="shared" si="269"/>
        <v>53.543234647882784</v>
      </c>
      <c r="L101">
        <f t="shared" si="270"/>
        <v>12.41378993094977</v>
      </c>
      <c r="M101">
        <f t="shared" si="271"/>
        <v>-25.946954276622325</v>
      </c>
      <c r="Q101">
        <f t="shared" si="272"/>
        <v>0.19560547614200813</v>
      </c>
      <c r="R101">
        <f t="shared" si="273"/>
        <v>0.40997373486024874</v>
      </c>
    </row>
    <row r="102" spans="1:26">
      <c r="B102">
        <f>'Color Targets'!H39*'Color Targets'!J39/'Color Targets'!I39</f>
        <v>0.28804407896436091</v>
      </c>
      <c r="C102" s="70">
        <f>'Color Targets'!J39</f>
        <v>0.4006653004115226</v>
      </c>
      <c r="D102">
        <f>(1-'Color Targets'!H39-'Color Targets'!I39)*'Color Targets'!J39/'Color Targets'!I39</f>
        <v>0.43110867401089564</v>
      </c>
      <c r="E102">
        <f t="shared" si="263"/>
        <v>0.30305436148890641</v>
      </c>
      <c r="F102">
        <f t="shared" si="264"/>
        <v>0.4006653004115226</v>
      </c>
      <c r="G102">
        <f t="shared" si="265"/>
        <v>0.39593754214238741</v>
      </c>
      <c r="H102">
        <f t="shared" si="266"/>
        <v>0.67169716127136803</v>
      </c>
      <c r="I102">
        <f t="shared" si="267"/>
        <v>0.73721457140425983</v>
      </c>
      <c r="J102">
        <f t="shared" si="268"/>
        <v>0.73430343690996325</v>
      </c>
      <c r="K102">
        <f t="shared" si="269"/>
        <v>69.516890282894138</v>
      </c>
      <c r="L102">
        <f t="shared" si="270"/>
        <v>-32.758705066445906</v>
      </c>
      <c r="M102">
        <f t="shared" si="271"/>
        <v>0.58222689885931711</v>
      </c>
      <c r="Q102">
        <f t="shared" si="272"/>
        <v>0.15177489846722839</v>
      </c>
      <c r="R102">
        <f t="shared" si="273"/>
        <v>0.47501273031845559</v>
      </c>
    </row>
    <row r="103" spans="1:26">
      <c r="B103">
        <f>'Color Targets'!H40*'Color Targets'!J40/'Color Targets'!I40</f>
        <v>0.38842520153670729</v>
      </c>
      <c r="C103" s="70">
        <f>'Color Targets'!J40</f>
        <v>0.30494074897119339</v>
      </c>
      <c r="D103">
        <f>(1-'Color Targets'!H40-'Color Targets'!I40)*'Color Targets'!J40/'Color Targets'!I40</f>
        <v>6.9132702910865956E-2</v>
      </c>
      <c r="E103">
        <f t="shared" si="263"/>
        <v>0.40866645084716746</v>
      </c>
      <c r="F103">
        <f t="shared" si="264"/>
        <v>0.30494074897119339</v>
      </c>
      <c r="G103">
        <f t="shared" si="265"/>
        <v>6.3492650745172297E-2</v>
      </c>
      <c r="H103">
        <f t="shared" si="266"/>
        <v>0.74208957177671209</v>
      </c>
      <c r="I103">
        <f t="shared" si="267"/>
        <v>0.6730879581201874</v>
      </c>
      <c r="J103">
        <f t="shared" si="268"/>
        <v>0.39894021701560023</v>
      </c>
      <c r="K103">
        <f t="shared" si="269"/>
        <v>62.078203141941742</v>
      </c>
      <c r="L103">
        <f t="shared" si="270"/>
        <v>34.500806828262341</v>
      </c>
      <c r="M103">
        <f t="shared" si="271"/>
        <v>54.829548220917431</v>
      </c>
      <c r="Q103">
        <f t="shared" si="272"/>
        <v>0.30052620447552558</v>
      </c>
      <c r="R103">
        <f t="shared" si="273"/>
        <v>0.53085135158653352</v>
      </c>
    </row>
    <row r="104" spans="1:26">
      <c r="B104">
        <f>'Color Targets'!H41*'Color Targets'!J41/'Color Targets'!I41</f>
        <v>0.126955483032481</v>
      </c>
      <c r="C104" s="70">
        <f>'Color Targets'!J41</f>
        <v>0.10798228806584362</v>
      </c>
      <c r="D104">
        <f>(1-'Color Targets'!H41-'Color Targets'!I41)*'Color Targets'!J41/'Color Targets'!I41</f>
        <v>0.37566291009233627</v>
      </c>
      <c r="E104">
        <f t="shared" si="263"/>
        <v>0.13357126793321303</v>
      </c>
      <c r="F104">
        <f t="shared" si="264"/>
        <v>0.10798228806584362</v>
      </c>
      <c r="G104">
        <f t="shared" si="265"/>
        <v>0.3450152090705953</v>
      </c>
      <c r="H104">
        <f t="shared" si="266"/>
        <v>0.51117666022591701</v>
      </c>
      <c r="I104">
        <f t="shared" si="267"/>
        <v>0.47619428088670851</v>
      </c>
      <c r="J104">
        <f t="shared" si="268"/>
        <v>0.70136821448058961</v>
      </c>
      <c r="K104">
        <f t="shared" si="269"/>
        <v>39.238536582858188</v>
      </c>
      <c r="L104">
        <f t="shared" si="270"/>
        <v>17.49118966960425</v>
      </c>
      <c r="M104">
        <f t="shared" si="271"/>
        <v>-45.034786718776218</v>
      </c>
      <c r="Q104">
        <f t="shared" si="272"/>
        <v>0.17671494082205305</v>
      </c>
      <c r="R104">
        <f t="shared" si="273"/>
        <v>0.33818695480157079</v>
      </c>
    </row>
    <row r="105" spans="1:26">
      <c r="B105">
        <f>'Color Targets'!H42*'Color Targets'!J42/'Color Targets'!I42</f>
        <v>0.28934242886635525</v>
      </c>
      <c r="C105" s="70">
        <f>'Color Targets'!J42</f>
        <v>0.18990562962962962</v>
      </c>
      <c r="D105">
        <f>(1-'Color Targets'!H42-'Color Targets'!I42)*'Color Targets'!J42/'Color Targets'!I42</f>
        <v>0.13487019417960164</v>
      </c>
      <c r="E105">
        <f t="shared" si="263"/>
        <v>0.30442036978163989</v>
      </c>
      <c r="F105">
        <f t="shared" si="264"/>
        <v>0.18990562962962962</v>
      </c>
      <c r="G105">
        <f t="shared" si="265"/>
        <v>0.12386708134382929</v>
      </c>
      <c r="H105">
        <f t="shared" si="266"/>
        <v>0.67270486687409825</v>
      </c>
      <c r="I105">
        <f t="shared" si="267"/>
        <v>0.57479451221150102</v>
      </c>
      <c r="J105">
        <f t="shared" si="268"/>
        <v>0.49848485510132939</v>
      </c>
      <c r="K105">
        <f t="shared" si="269"/>
        <v>50.676163416534123</v>
      </c>
      <c r="L105">
        <f t="shared" si="270"/>
        <v>48.955177331298614</v>
      </c>
      <c r="M105">
        <f t="shared" si="271"/>
        <v>15.261931422034325</v>
      </c>
      <c r="Q105">
        <f t="shared" si="272"/>
        <v>0.32670641592068916</v>
      </c>
      <c r="R105">
        <f t="shared" si="273"/>
        <v>0.48246509400893883</v>
      </c>
    </row>
    <row r="106" spans="1:26">
      <c r="B106">
        <f>'Color Targets'!H43*'Color Targets'!J43/'Color Targets'!I43</f>
        <v>8.0658580488689333E-2</v>
      </c>
      <c r="C106" s="70">
        <f>'Color Targets'!J43</f>
        <v>5.8861588477366257E-2</v>
      </c>
      <c r="D106">
        <f>(1-'Color Targets'!H43-'Color Targets'!I43)*'Color Targets'!J43/'Color Targets'!I43</f>
        <v>0.13555197817144993</v>
      </c>
      <c r="E106">
        <f t="shared" si="263"/>
        <v>8.4861784684092431E-2</v>
      </c>
      <c r="F106">
        <f t="shared" si="264"/>
        <v>5.8861588477366257E-2</v>
      </c>
      <c r="G106">
        <f t="shared" si="265"/>
        <v>0.12449324336347266</v>
      </c>
      <c r="H106">
        <f t="shared" si="266"/>
        <v>0.439444520591869</v>
      </c>
      <c r="I106">
        <f t="shared" si="267"/>
        <v>0.38899497634810487</v>
      </c>
      <c r="J106">
        <f t="shared" si="268"/>
        <v>0.49932340934777719</v>
      </c>
      <c r="K106">
        <f t="shared" si="269"/>
        <v>29.123417256380165</v>
      </c>
      <c r="L106">
        <f t="shared" si="270"/>
        <v>25.224772121882065</v>
      </c>
      <c r="M106">
        <f t="shared" si="271"/>
        <v>-22.065686599934466</v>
      </c>
      <c r="Q106">
        <f t="shared" si="272"/>
        <v>0.23545854179305403</v>
      </c>
      <c r="R106">
        <f t="shared" si="273"/>
        <v>0.38661470781779655</v>
      </c>
    </row>
    <row r="107" spans="1:26">
      <c r="B107">
        <f>'Color Targets'!H44*'Color Targets'!J44/'Color Targets'!I44</f>
        <v>0.32919212479930476</v>
      </c>
      <c r="C107" s="70">
        <f>'Color Targets'!J44</f>
        <v>0.43458767901234568</v>
      </c>
      <c r="D107">
        <f>(1-'Color Targets'!H44-'Color Targets'!I44)*'Color Targets'!J44/'Color Targets'!I44</f>
        <v>0.11633538602268166</v>
      </c>
      <c r="E107">
        <f t="shared" si="263"/>
        <v>0.34634667564394955</v>
      </c>
      <c r="F107">
        <f t="shared" si="264"/>
        <v>0.43458767901234568</v>
      </c>
      <c r="G107">
        <f t="shared" si="265"/>
        <v>0.10684439813623951</v>
      </c>
      <c r="H107">
        <f t="shared" si="266"/>
        <v>0.70226928549586309</v>
      </c>
      <c r="I107">
        <f t="shared" si="267"/>
        <v>0.75745901103052193</v>
      </c>
      <c r="J107">
        <f t="shared" si="268"/>
        <v>0.4745156993835371</v>
      </c>
      <c r="K107">
        <f t="shared" si="269"/>
        <v>71.865245279540545</v>
      </c>
      <c r="L107">
        <f t="shared" si="270"/>
        <v>-27.59486276732942</v>
      </c>
      <c r="M107">
        <f t="shared" si="271"/>
        <v>56.588662329396968</v>
      </c>
      <c r="Q107">
        <f t="shared" si="272"/>
        <v>0.18296040504055469</v>
      </c>
      <c r="R107">
        <f t="shared" si="273"/>
        <v>0.54346002386591064</v>
      </c>
    </row>
    <row r="108" spans="1:26">
      <c r="B108">
        <f>'Color Targets'!H45*'Color Targets'!J45/'Color Targets'!I45</f>
        <v>0.45547386197587358</v>
      </c>
      <c r="C108" s="70">
        <f>'Color Targets'!J45</f>
        <v>0.41560972016460906</v>
      </c>
      <c r="D108">
        <f>(1-'Color Targets'!H45-'Color Targets'!I45)*'Color Targets'!J45/'Color Targets'!I45</f>
        <v>8.0214396889813591E-2</v>
      </c>
      <c r="E108">
        <f t="shared" si="263"/>
        <v>0.47920908810995988</v>
      </c>
      <c r="F108">
        <f t="shared" si="264"/>
        <v>0.41560972016460906</v>
      </c>
      <c r="G108">
        <f t="shared" si="265"/>
        <v>7.3670267066313008E-2</v>
      </c>
      <c r="H108">
        <f t="shared" si="266"/>
        <v>0.78254324801744013</v>
      </c>
      <c r="I108">
        <f t="shared" si="267"/>
        <v>0.74626870898679898</v>
      </c>
      <c r="J108">
        <f t="shared" si="268"/>
        <v>0.41920914492014449</v>
      </c>
      <c r="K108">
        <f t="shared" si="269"/>
        <v>70.567170242468677</v>
      </c>
      <c r="L108">
        <f t="shared" si="270"/>
        <v>18.137269515320575</v>
      </c>
      <c r="M108">
        <f t="shared" si="271"/>
        <v>65.4119128133309</v>
      </c>
      <c r="Q108">
        <f t="shared" si="272"/>
        <v>0.26288980461382611</v>
      </c>
      <c r="R108">
        <f t="shared" si="273"/>
        <v>0.53973241126359983</v>
      </c>
    </row>
    <row r="109" spans="1:26">
      <c r="D109" s="19"/>
      <c r="I109" s="19"/>
      <c r="N109" s="19"/>
    </row>
    <row r="110" spans="1:26">
      <c r="A110" t="s">
        <v>119</v>
      </c>
      <c r="B110" t="s">
        <v>142</v>
      </c>
      <c r="C110" t="s">
        <v>122</v>
      </c>
      <c r="D110" s="19" t="s">
        <v>123</v>
      </c>
      <c r="E110" t="s">
        <v>124</v>
      </c>
      <c r="F110" t="s">
        <v>1</v>
      </c>
      <c r="G110" t="s">
        <v>125</v>
      </c>
      <c r="H110" t="s">
        <v>126</v>
      </c>
      <c r="I110" s="19" t="s">
        <v>127</v>
      </c>
      <c r="J110" t="s">
        <v>128</v>
      </c>
      <c r="K110" t="s">
        <v>129</v>
      </c>
      <c r="L110" t="s">
        <v>130</v>
      </c>
      <c r="M110" t="s">
        <v>131</v>
      </c>
      <c r="N110" s="19" t="s">
        <v>132</v>
      </c>
      <c r="O110" t="s">
        <v>133</v>
      </c>
      <c r="P110" t="s">
        <v>134</v>
      </c>
      <c r="Q110" t="s">
        <v>135</v>
      </c>
      <c r="R110" t="s">
        <v>136</v>
      </c>
      <c r="S110" t="s">
        <v>137</v>
      </c>
      <c r="T110" t="s">
        <v>96</v>
      </c>
      <c r="U110" t="s">
        <v>97</v>
      </c>
      <c r="V110" t="s">
        <v>138</v>
      </c>
      <c r="W110" t="s">
        <v>139</v>
      </c>
      <c r="X110" t="s">
        <v>140</v>
      </c>
      <c r="Y110" t="s">
        <v>141</v>
      </c>
      <c r="Z110" t="s">
        <v>143</v>
      </c>
    </row>
    <row r="111" spans="1:26">
      <c r="A111" s="47"/>
      <c r="B111" s="47">
        <f t="shared" ref="B111:B122" si="274">(K81+K97)/2</f>
        <v>36.877318251576298</v>
      </c>
      <c r="C111" s="47">
        <f t="shared" ref="C111:C122" si="275">SQRT(L81^2+M81^2)</f>
        <v>18.792121019330292</v>
      </c>
      <c r="D111" s="47">
        <f t="shared" ref="D111:D122" si="276">SQRT(L97^2+M97^2)</f>
        <v>20.103735350773146</v>
      </c>
      <c r="E111" s="47">
        <f t="shared" ref="E111:E122" si="277">(C111+D111)/2</f>
        <v>19.447928185051719</v>
      </c>
      <c r="F111" s="47">
        <f t="shared" ref="F111:F122" si="278">(1-SQRT(E111^7/(E111^7+25^7)))/2</f>
        <v>0.30826603417799969</v>
      </c>
      <c r="G111" s="47">
        <f t="shared" ref="G111:G122" si="279">L81*(1+F111)</f>
        <v>16.648014280298984</v>
      </c>
      <c r="H111" s="47">
        <f t="shared" ref="H111:H122" si="280">L97*(1+F111)</f>
        <v>17.878387713692639</v>
      </c>
      <c r="I111" s="47">
        <f t="shared" ref="I111:I122" si="281">SQRT(G111^2+M81^2)</f>
        <v>21.641815238008537</v>
      </c>
      <c r="J111" s="47">
        <f t="shared" ref="J111:J122" si="282">SQRT(H111^2+M97^2)</f>
        <v>23.174236117439929</v>
      </c>
      <c r="K111" s="47">
        <f t="shared" ref="K111:K122" si="283">(I111+J111)/2</f>
        <v>22.408025677724233</v>
      </c>
      <c r="L111" s="47">
        <f t="shared" ref="L111:L122" si="284">IF(ATAN2(M81,G111)&lt;0,ATAN2(M81,G111)+PI()*2,ATAN2(M81,G111))</f>
        <v>0.8776699808336994</v>
      </c>
      <c r="M111" s="47">
        <f t="shared" ref="M111:M122" si="285">IF(ATAN2(M97,H111)&lt;0,ATAN2(M97,H111)+PI()*2,ATAN2(M97,H111))</f>
        <v>0.8811591183641202</v>
      </c>
      <c r="N111" s="47">
        <f t="shared" ref="N111:N122" si="286">IF(ABS(L111-M111)&gt;PI(),(L111+M111+2*PI())/2,(L111+M111)/2)</f>
        <v>0.87941454959890986</v>
      </c>
      <c r="O111" s="47">
        <f t="shared" ref="O111:O122" si="287">1-0.17*COS(N111-PI()/180*30)+0.24*COS(2*N111)+0.32*COS(3*N111+PI()/180*6)-0.2*COS(4*N111-PI()/180*63)</f>
        <v>0.65077562061765704</v>
      </c>
      <c r="P111" s="47">
        <f t="shared" ref="P111:P122" si="288">IF(ABS(M111-L111)&gt;PI(),IF(M111&gt;L111,M111-L111-2*PI(),M111-L111+2*PI()),M111-L111)</f>
        <v>3.4891375304207939E-3</v>
      </c>
      <c r="Q111" s="47">
        <f t="shared" ref="Q111:Q122" si="289">K97-K81</f>
        <v>-0.30246482628530202</v>
      </c>
      <c r="R111" s="47">
        <f t="shared" ref="R111:R122" si="290">J111-I111</f>
        <v>1.5324208794313918</v>
      </c>
      <c r="S111" s="47">
        <f t="shared" ref="S111:S122" si="291">2*SQRT(I111*J111)*SIN(P111/2)</f>
        <v>7.8138923590370238E-2</v>
      </c>
      <c r="T111" s="47">
        <f t="shared" ref="T111:T122" si="292">1+(0.015*(B111-50)^2)/SQRT(20+(B111-50)^2)</f>
        <v>1.1863178071237905</v>
      </c>
      <c r="U111" s="47">
        <f t="shared" ref="U111:U122" si="293">1+0.045*K111</f>
        <v>2.0083611554975906</v>
      </c>
      <c r="V111" s="47">
        <f t="shared" ref="V111:V122" si="294">1+0.015*K111*O111</f>
        <v>1.2187389522585608</v>
      </c>
      <c r="W111" s="111">
        <f>30*EXP((-1*((N111*180/PI()-275)/25)^2))</f>
        <v>2.630846267308641E-34</v>
      </c>
      <c r="X111" s="47">
        <f t="shared" ref="X111:X122" si="295">2*SQRT(K111^7/(K111^2+25^7))</f>
        <v>1.3634917817277812</v>
      </c>
      <c r="Y111" s="47">
        <f t="shared" ref="Y111:Y122" si="296">-1*X111*SIN(2*W111*PI()/180)</f>
        <v>-1.2521471197177766E-35</v>
      </c>
      <c r="Z111" s="47">
        <f t="shared" ref="Z111:Z122" si="297">SQRT(Q111^2/T111^2+R111^2/U111^2+S111^2/V111^2+Y111*(R111/U111)*(S111/V111))</f>
        <v>0.80704163865283007</v>
      </c>
    </row>
    <row r="112" spans="1:26">
      <c r="A112" s="47"/>
      <c r="B112" s="47">
        <f t="shared" si="274"/>
        <v>64.440061461536601</v>
      </c>
      <c r="C112" s="47">
        <f t="shared" si="275"/>
        <v>24.980794814239179</v>
      </c>
      <c r="D112" s="47">
        <f t="shared" si="276"/>
        <v>27.473751704841234</v>
      </c>
      <c r="E112" s="47">
        <f t="shared" si="277"/>
        <v>26.227273259540205</v>
      </c>
      <c r="F112" s="47">
        <f t="shared" si="278"/>
        <v>0.11819859801553456</v>
      </c>
      <c r="G112" s="47">
        <f t="shared" si="279"/>
        <v>19.983963219049805</v>
      </c>
      <c r="H112" s="47">
        <f t="shared" si="280"/>
        <v>22.773439933796539</v>
      </c>
      <c r="I112" s="47">
        <f t="shared" si="281"/>
        <v>26.533109933781997</v>
      </c>
      <c r="J112" s="47">
        <f t="shared" si="282"/>
        <v>29.302817141167743</v>
      </c>
      <c r="K112" s="47">
        <f t="shared" si="283"/>
        <v>27.917963537474868</v>
      </c>
      <c r="L112" s="47">
        <f t="shared" si="284"/>
        <v>0.85286897275283202</v>
      </c>
      <c r="M112" s="47">
        <f t="shared" si="285"/>
        <v>0.89016531103482199</v>
      </c>
      <c r="N112" s="47">
        <f t="shared" si="286"/>
        <v>0.87151714189382701</v>
      </c>
      <c r="O112" s="47">
        <f t="shared" si="287"/>
        <v>0.65281098784857405</v>
      </c>
      <c r="P112" s="47">
        <f t="shared" si="288"/>
        <v>3.7296338281989971E-2</v>
      </c>
      <c r="Q112" s="47">
        <f t="shared" si="289"/>
        <v>-0.42908842314467677</v>
      </c>
      <c r="R112" s="47">
        <f t="shared" si="290"/>
        <v>2.7697072073857463</v>
      </c>
      <c r="S112" s="47">
        <f t="shared" si="291"/>
        <v>1.0398957168047578</v>
      </c>
      <c r="T112" s="47">
        <f t="shared" si="292"/>
        <v>1.2069053067531461</v>
      </c>
      <c r="U112" s="47">
        <f t="shared" si="293"/>
        <v>2.2563083591863693</v>
      </c>
      <c r="V112" s="47">
        <f t="shared" si="294"/>
        <v>1.2733773003342916</v>
      </c>
      <c r="W112" s="111">
        <f t="shared" ref="W112:W122" si="298">EXP((-1*((N112*180/PI()-275)/25)^2))</f>
        <v>6.3326533217181455E-36</v>
      </c>
      <c r="X112" s="47">
        <f t="shared" si="295"/>
        <v>2.9432897129716875</v>
      </c>
      <c r="Y112" s="47">
        <f t="shared" si="296"/>
        <v>-6.5061802234048341E-37</v>
      </c>
      <c r="Z112" s="47">
        <f t="shared" si="297"/>
        <v>1.5166278193108633</v>
      </c>
    </row>
    <row r="113" spans="1:26">
      <c r="A113" s="47"/>
      <c r="B113" s="47">
        <f t="shared" si="274"/>
        <v>48.798766544882653</v>
      </c>
      <c r="C113" s="47">
        <f t="shared" si="275"/>
        <v>21.391490229877565</v>
      </c>
      <c r="D113" s="47">
        <f t="shared" si="276"/>
        <v>22.087558502034831</v>
      </c>
      <c r="E113" s="47">
        <f t="shared" si="277"/>
        <v>21.7395243659562</v>
      </c>
      <c r="F113" s="47">
        <f t="shared" si="278"/>
        <v>0.2386344761896611</v>
      </c>
      <c r="G113" s="47">
        <f t="shared" si="279"/>
        <v>-3.0717626536504752</v>
      </c>
      <c r="H113" s="47">
        <f t="shared" si="280"/>
        <v>-4.3355895885577622</v>
      </c>
      <c r="I113" s="47">
        <f t="shared" si="281"/>
        <v>21.468148119179922</v>
      </c>
      <c r="J113" s="47">
        <f t="shared" si="282"/>
        <v>22.23523088823098</v>
      </c>
      <c r="K113" s="47">
        <f t="shared" si="283"/>
        <v>21.851689503705451</v>
      </c>
      <c r="L113" s="47">
        <f t="shared" si="284"/>
        <v>3.2851701002277993</v>
      </c>
      <c r="M113" s="47">
        <f t="shared" si="285"/>
        <v>3.3378372447421576</v>
      </c>
      <c r="N113" s="47">
        <f t="shared" si="286"/>
        <v>3.3115036724849785</v>
      </c>
      <c r="O113" s="47">
        <f t="shared" si="287"/>
        <v>0.94165932340778347</v>
      </c>
      <c r="P113" s="47">
        <f t="shared" si="288"/>
        <v>5.2667144514358277E-2</v>
      </c>
      <c r="Q113" s="47">
        <f t="shared" si="289"/>
        <v>-0.66997744949466664</v>
      </c>
      <c r="R113" s="47">
        <f t="shared" si="290"/>
        <v>0.76708276905105777</v>
      </c>
      <c r="S113" s="47">
        <f t="shared" si="291"/>
        <v>1.1505558120200139</v>
      </c>
      <c r="T113" s="47">
        <f t="shared" si="292"/>
        <v>1.0046741614699122</v>
      </c>
      <c r="U113" s="47">
        <f t="shared" si="293"/>
        <v>1.9833260276667453</v>
      </c>
      <c r="V113" s="47">
        <f t="shared" si="294"/>
        <v>1.3086527073006435</v>
      </c>
      <c r="W113" s="111">
        <f t="shared" si="298"/>
        <v>8.8761550830999393E-6</v>
      </c>
      <c r="X113" s="47">
        <f t="shared" si="295"/>
        <v>1.2486407993915225</v>
      </c>
      <c r="Y113" s="47">
        <f t="shared" si="296"/>
        <v>-3.8687419815814704E-7</v>
      </c>
      <c r="Z113" s="47">
        <f t="shared" si="297"/>
        <v>1.1693021500273253</v>
      </c>
    </row>
    <row r="114" spans="1:26">
      <c r="A114" s="47"/>
      <c r="B114" s="47">
        <f t="shared" si="274"/>
        <v>41.973957047519669</v>
      </c>
      <c r="C114" s="47">
        <f t="shared" si="275"/>
        <v>26.141064203356315</v>
      </c>
      <c r="D114" s="47">
        <f t="shared" si="276"/>
        <v>28.622076822802637</v>
      </c>
      <c r="E114" s="47">
        <f t="shared" si="277"/>
        <v>27.381570513079474</v>
      </c>
      <c r="F114" s="47">
        <f t="shared" si="278"/>
        <v>9.5628250108006962E-2</v>
      </c>
      <c r="G114" s="47">
        <f t="shared" si="279"/>
        <v>-16.446309020303961</v>
      </c>
      <c r="H114" s="47">
        <f t="shared" si="280"/>
        <v>-18.406042225233193</v>
      </c>
      <c r="I114" s="47">
        <f t="shared" si="281"/>
        <v>26.990938540859919</v>
      </c>
      <c r="J114" s="47">
        <f t="shared" si="282"/>
        <v>29.593603786185124</v>
      </c>
      <c r="K114" s="47">
        <f t="shared" si="283"/>
        <v>28.292271163522521</v>
      </c>
      <c r="L114" s="47">
        <f t="shared" si="284"/>
        <v>5.6279736899241444</v>
      </c>
      <c r="M114" s="47">
        <f t="shared" si="285"/>
        <v>5.6119418579394269</v>
      </c>
      <c r="N114" s="47">
        <f t="shared" si="286"/>
        <v>5.6199577739317856</v>
      </c>
      <c r="O114" s="47">
        <f t="shared" si="287"/>
        <v>1.0593190433417861</v>
      </c>
      <c r="P114" s="47">
        <f t="shared" si="288"/>
        <v>-1.6031831984717471E-2</v>
      </c>
      <c r="Q114" s="47">
        <f t="shared" si="289"/>
        <v>3.3280991066575893E-2</v>
      </c>
      <c r="R114" s="47">
        <f t="shared" si="290"/>
        <v>2.6026652453252055</v>
      </c>
      <c r="S114" s="47">
        <f t="shared" si="291"/>
        <v>-0.4530920295340129</v>
      </c>
      <c r="T114" s="47">
        <f t="shared" si="292"/>
        <v>1.1051667180435509</v>
      </c>
      <c r="U114" s="47">
        <f t="shared" si="293"/>
        <v>2.2731522023585136</v>
      </c>
      <c r="V114" s="47">
        <f t="shared" si="294"/>
        <v>1.4495581243436362</v>
      </c>
      <c r="W114" s="111">
        <f t="shared" si="298"/>
        <v>2.917686530429843E-2</v>
      </c>
      <c r="X114" s="47">
        <f t="shared" si="295"/>
        <v>3.0837366216164148</v>
      </c>
      <c r="Y114" s="47">
        <f t="shared" si="296"/>
        <v>-3.140676442591043E-3</v>
      </c>
      <c r="Z114" s="47">
        <f t="shared" si="297"/>
        <v>1.1877132240049257</v>
      </c>
    </row>
    <row r="115" spans="1:26">
      <c r="A115" s="47"/>
      <c r="B115" s="47">
        <f t="shared" si="274"/>
        <v>53.914770420727592</v>
      </c>
      <c r="C115" s="47">
        <f t="shared" si="275"/>
        <v>26.795589198346583</v>
      </c>
      <c r="D115" s="47">
        <f t="shared" si="276"/>
        <v>28.763633579276444</v>
      </c>
      <c r="E115" s="47">
        <f t="shared" si="277"/>
        <v>27.779611388811514</v>
      </c>
      <c r="F115" s="47">
        <f t="shared" si="278"/>
        <v>8.8735115911041051E-2</v>
      </c>
      <c r="G115" s="47">
        <f t="shared" si="279"/>
        <v>11.949254821168548</v>
      </c>
      <c r="H115" s="47">
        <f t="shared" si="280"/>
        <v>13.515329019367911</v>
      </c>
      <c r="I115" s="47">
        <f t="shared" si="281"/>
        <v>27.209003387881964</v>
      </c>
      <c r="J115" s="47">
        <f t="shared" si="282"/>
        <v>29.25591486750838</v>
      </c>
      <c r="K115" s="47">
        <f t="shared" si="283"/>
        <v>28.232459127695172</v>
      </c>
      <c r="L115" s="47">
        <f t="shared" si="284"/>
        <v>2.6869230893999094</v>
      </c>
      <c r="M115" s="47">
        <f t="shared" si="285"/>
        <v>2.6613785065950433</v>
      </c>
      <c r="N115" s="47">
        <f t="shared" si="286"/>
        <v>2.6741507979974761</v>
      </c>
      <c r="O115" s="47">
        <f t="shared" si="287"/>
        <v>1.3463703161859406</v>
      </c>
      <c r="P115" s="47">
        <f t="shared" si="288"/>
        <v>-2.5544582804866156E-2</v>
      </c>
      <c r="Q115" s="47">
        <f t="shared" si="289"/>
        <v>-0.74307154568961664</v>
      </c>
      <c r="R115" s="47">
        <f t="shared" si="290"/>
        <v>2.0469114796264165</v>
      </c>
      <c r="S115" s="47">
        <f t="shared" si="291"/>
        <v>-0.72069277026943368</v>
      </c>
      <c r="T115" s="47">
        <f t="shared" si="292"/>
        <v>1.038677655662078</v>
      </c>
      <c r="U115" s="47">
        <f t="shared" si="293"/>
        <v>2.2704606607462825</v>
      </c>
      <c r="V115" s="47">
        <f t="shared" si="294"/>
        <v>1.570170173836924</v>
      </c>
      <c r="W115" s="111">
        <f t="shared" si="298"/>
        <v>4.947555293330546E-11</v>
      </c>
      <c r="X115" s="47">
        <f t="shared" si="295"/>
        <v>3.0609794590719757</v>
      </c>
      <c r="Y115" s="47">
        <f t="shared" si="296"/>
        <v>-5.2863806912862467E-12</v>
      </c>
      <c r="Z115" s="47">
        <f t="shared" si="297"/>
        <v>1.2390504420641288</v>
      </c>
    </row>
    <row r="116" spans="1:26">
      <c r="A116" s="47"/>
      <c r="B116" s="47">
        <f t="shared" si="274"/>
        <v>69.755575776569543</v>
      </c>
      <c r="C116" s="47">
        <f t="shared" si="275"/>
        <v>33.716011916322635</v>
      </c>
      <c r="D116" s="47">
        <f t="shared" si="276"/>
        <v>32.763878674420461</v>
      </c>
      <c r="E116" s="47">
        <f t="shared" si="277"/>
        <v>33.239945295371548</v>
      </c>
      <c r="F116" s="47">
        <f t="shared" si="278"/>
        <v>3.0910465295489686E-2</v>
      </c>
      <c r="G116" s="47">
        <f t="shared" si="279"/>
        <v>-34.74113622545535</v>
      </c>
      <c r="H116" s="47">
        <f t="shared" si="280"/>
        <v>-33.771291882527464</v>
      </c>
      <c r="I116" s="47">
        <f t="shared" si="281"/>
        <v>34.757182455334217</v>
      </c>
      <c r="J116" s="47">
        <f t="shared" si="282"/>
        <v>33.776310390222037</v>
      </c>
      <c r="K116" s="47">
        <f t="shared" si="283"/>
        <v>34.266746422778127</v>
      </c>
      <c r="L116" s="47">
        <f t="shared" si="284"/>
        <v>4.7427765474599566</v>
      </c>
      <c r="M116" s="47">
        <f t="shared" si="285"/>
        <v>4.7296275635732883</v>
      </c>
      <c r="N116" s="47">
        <f t="shared" si="286"/>
        <v>4.7362020555166229</v>
      </c>
      <c r="O116" s="47">
        <f t="shared" si="287"/>
        <v>0.67832779744761207</v>
      </c>
      <c r="P116" s="47">
        <f t="shared" si="288"/>
        <v>-1.3148983886668297E-2</v>
      </c>
      <c r="Q116" s="47">
        <f t="shared" si="289"/>
        <v>-0.47737098735079542</v>
      </c>
      <c r="R116" s="47">
        <f t="shared" si="290"/>
        <v>-0.98087206511218028</v>
      </c>
      <c r="S116" s="47">
        <f t="shared" si="291"/>
        <v>-0.45052350048887718</v>
      </c>
      <c r="T116" s="47">
        <f t="shared" si="292"/>
        <v>1.2890207347453149</v>
      </c>
      <c r="U116" s="47">
        <f t="shared" si="293"/>
        <v>2.5420035890250157</v>
      </c>
      <c r="V116" s="47">
        <f t="shared" si="294"/>
        <v>1.3486612993998839</v>
      </c>
      <c r="W116" s="111">
        <f t="shared" si="298"/>
        <v>0.97907378534911838</v>
      </c>
      <c r="X116" s="47">
        <f t="shared" si="295"/>
        <v>6.0296898133947803</v>
      </c>
      <c r="Y116" s="47">
        <f t="shared" si="296"/>
        <v>-0.20603130364160402</v>
      </c>
      <c r="Z116" s="47">
        <f t="shared" si="297"/>
        <v>0.60915918414649539</v>
      </c>
    </row>
    <row r="117" spans="1:26">
      <c r="A117" s="47"/>
      <c r="B117" s="47">
        <f t="shared" si="274"/>
        <v>61.653387864159079</v>
      </c>
      <c r="C117" s="47">
        <f t="shared" si="275"/>
        <v>65.174568191735304</v>
      </c>
      <c r="D117" s="47">
        <f t="shared" si="276"/>
        <v>64.781054560040801</v>
      </c>
      <c r="E117" s="47">
        <f t="shared" si="277"/>
        <v>64.977811375888052</v>
      </c>
      <c r="F117" s="47">
        <f t="shared" si="278"/>
        <v>3.1171538606816762E-4</v>
      </c>
      <c r="G117" s="47">
        <f t="shared" si="279"/>
        <v>34.652556530965455</v>
      </c>
      <c r="H117" s="47">
        <f t="shared" si="280"/>
        <v>34.511561260582475</v>
      </c>
      <c r="I117" s="47">
        <f t="shared" si="281"/>
        <v>65.180308411054355</v>
      </c>
      <c r="J117" s="47">
        <f t="shared" si="282"/>
        <v>64.78678274735401</v>
      </c>
      <c r="K117" s="47">
        <f t="shared" si="283"/>
        <v>64.98354557920419</v>
      </c>
      <c r="L117" s="47">
        <f t="shared" si="284"/>
        <v>0.56053746815142336</v>
      </c>
      <c r="M117" s="47">
        <f t="shared" si="285"/>
        <v>0.56178118853904524</v>
      </c>
      <c r="N117" s="47">
        <f t="shared" si="286"/>
        <v>0.5611593283452343</v>
      </c>
      <c r="O117" s="47">
        <f t="shared" si="287"/>
        <v>0.78256610852574238</v>
      </c>
      <c r="P117" s="47">
        <f t="shared" si="288"/>
        <v>1.2437203876218828E-3</v>
      </c>
      <c r="Q117" s="47">
        <f t="shared" si="289"/>
        <v>0.84963055556532652</v>
      </c>
      <c r="R117" s="47">
        <f t="shared" si="290"/>
        <v>-0.39352566370034481</v>
      </c>
      <c r="S117" s="47">
        <f t="shared" si="291"/>
        <v>8.0820984797773179E-2</v>
      </c>
      <c r="T117" s="47">
        <f t="shared" si="292"/>
        <v>1.1631961527129668</v>
      </c>
      <c r="U117" s="47">
        <f t="shared" si="293"/>
        <v>3.9242595510641882</v>
      </c>
      <c r="V117" s="47">
        <f t="shared" si="294"/>
        <v>1.7628088057318454</v>
      </c>
      <c r="W117" s="111">
        <f t="shared" si="298"/>
        <v>1.0468593280950704E-41</v>
      </c>
      <c r="X117" s="47">
        <f t="shared" si="295"/>
        <v>56.630673485165723</v>
      </c>
      <c r="Y117" s="47">
        <f t="shared" si="296"/>
        <v>-2.0694141627208523E-41</v>
      </c>
      <c r="Z117" s="47">
        <f t="shared" si="297"/>
        <v>0.73870332718321974</v>
      </c>
    </row>
    <row r="118" spans="1:26">
      <c r="A118" s="47"/>
      <c r="B118" s="47">
        <f t="shared" si="274"/>
        <v>39.300000793511153</v>
      </c>
      <c r="C118" s="47">
        <f t="shared" si="275"/>
        <v>47.36219031801992</v>
      </c>
      <c r="D118" s="47">
        <f t="shared" si="276"/>
        <v>48.312252388640843</v>
      </c>
      <c r="E118" s="47">
        <f t="shared" si="277"/>
        <v>47.837221353330378</v>
      </c>
      <c r="F118" s="47">
        <f t="shared" si="278"/>
        <v>2.6406289470337629E-3</v>
      </c>
      <c r="G118" s="47">
        <f t="shared" si="279"/>
        <v>16.426878495101203</v>
      </c>
      <c r="H118" s="47">
        <f t="shared" si="280"/>
        <v>17.537377411363863</v>
      </c>
      <c r="I118" s="47">
        <f t="shared" si="281"/>
        <v>47.377173340482237</v>
      </c>
      <c r="J118" s="47">
        <f t="shared" si="282"/>
        <v>48.328993588469004</v>
      </c>
      <c r="K118" s="47">
        <f t="shared" si="283"/>
        <v>47.853083464475617</v>
      </c>
      <c r="L118" s="47">
        <f t="shared" si="284"/>
        <v>2.7875147763071095</v>
      </c>
      <c r="M118" s="47">
        <f t="shared" si="285"/>
        <v>2.7702414419652497</v>
      </c>
      <c r="N118" s="47">
        <f t="shared" si="286"/>
        <v>2.7788781091361798</v>
      </c>
      <c r="O118" s="47">
        <f t="shared" si="287"/>
        <v>1.2757786921054097</v>
      </c>
      <c r="P118" s="47">
        <f t="shared" si="288"/>
        <v>-1.7273334341859847E-2</v>
      </c>
      <c r="Q118" s="47">
        <f t="shared" si="289"/>
        <v>-0.12292842130592874</v>
      </c>
      <c r="R118" s="47">
        <f t="shared" si="290"/>
        <v>0.95182024798676679</v>
      </c>
      <c r="S118" s="47">
        <f t="shared" si="291"/>
        <v>-0.82653115576153757</v>
      </c>
      <c r="T118" s="47">
        <f t="shared" si="292"/>
        <v>1.1480859243797557</v>
      </c>
      <c r="U118" s="47">
        <f t="shared" si="293"/>
        <v>3.1533887559014029</v>
      </c>
      <c r="V118" s="47">
        <f t="shared" si="294"/>
        <v>1.9157491635327957</v>
      </c>
      <c r="W118" s="111">
        <f t="shared" si="298"/>
        <v>4.8408573143299098E-10</v>
      </c>
      <c r="X118" s="47">
        <f t="shared" si="295"/>
        <v>19.405490705413463</v>
      </c>
      <c r="Y118" s="47">
        <f t="shared" si="296"/>
        <v>-3.2790970789746473E-10</v>
      </c>
      <c r="Z118" s="47">
        <f t="shared" si="297"/>
        <v>0.53732001153677211</v>
      </c>
    </row>
    <row r="119" spans="1:26">
      <c r="A119" s="47"/>
      <c r="B119" s="47">
        <f t="shared" si="274"/>
        <v>50.355292337670505</v>
      </c>
      <c r="C119" s="47">
        <f t="shared" si="275"/>
        <v>50.396428015526446</v>
      </c>
      <c r="D119" s="47">
        <f t="shared" si="276"/>
        <v>51.279000948436703</v>
      </c>
      <c r="E119" s="47">
        <f t="shared" si="277"/>
        <v>50.837714481981578</v>
      </c>
      <c r="F119" s="47">
        <f t="shared" si="278"/>
        <v>1.7296564316033325E-3</v>
      </c>
      <c r="G119" s="47">
        <f t="shared" si="279"/>
        <v>47.775086455697853</v>
      </c>
      <c r="H119" s="47">
        <f t="shared" si="280"/>
        <v>49.03985296862998</v>
      </c>
      <c r="I119" s="47">
        <f t="shared" si="281"/>
        <v>50.474501066129442</v>
      </c>
      <c r="J119" s="47">
        <f t="shared" si="282"/>
        <v>51.359845501283637</v>
      </c>
      <c r="K119" s="47">
        <f t="shared" si="283"/>
        <v>50.917173283706539</v>
      </c>
      <c r="L119" s="47">
        <f t="shared" si="284"/>
        <v>1.242271214058869</v>
      </c>
      <c r="M119" s="47">
        <f t="shared" si="285"/>
        <v>1.2690826818201555</v>
      </c>
      <c r="N119" s="47">
        <f t="shared" si="286"/>
        <v>1.2556769479395122</v>
      </c>
      <c r="O119" s="47">
        <f t="shared" si="287"/>
        <v>0.58320471919284411</v>
      </c>
      <c r="P119" s="47">
        <f t="shared" si="288"/>
        <v>2.6811467761286512E-2</v>
      </c>
      <c r="Q119" s="47">
        <f t="shared" si="289"/>
        <v>0.64174215772723642</v>
      </c>
      <c r="R119" s="47">
        <f t="shared" si="290"/>
        <v>0.88534443515419525</v>
      </c>
      <c r="S119" s="47">
        <f t="shared" si="291"/>
        <v>1.3650716681390977</v>
      </c>
      <c r="T119" s="47">
        <f t="shared" si="292"/>
        <v>1.0004220672918418</v>
      </c>
      <c r="U119" s="47">
        <f t="shared" si="293"/>
        <v>3.2912727977667942</v>
      </c>
      <c r="V119" s="47">
        <f t="shared" si="294"/>
        <v>1.4454270362052619</v>
      </c>
      <c r="W119" s="111">
        <f t="shared" si="298"/>
        <v>2.2363119674556211E-29</v>
      </c>
      <c r="X119" s="47">
        <f t="shared" si="295"/>
        <v>24.11375654272441</v>
      </c>
      <c r="Y119" s="47">
        <f t="shared" si="296"/>
        <v>-1.8823683976406328E-29</v>
      </c>
      <c r="Z119" s="47">
        <f t="shared" si="297"/>
        <v>1.1729237797418257</v>
      </c>
    </row>
    <row r="120" spans="1:26">
      <c r="A120" s="47"/>
      <c r="B120" s="47">
        <f t="shared" si="274"/>
        <v>29.391254531549013</v>
      </c>
      <c r="C120" s="47">
        <f t="shared" si="275"/>
        <v>31.394126006631911</v>
      </c>
      <c r="D120" s="47">
        <f t="shared" si="276"/>
        <v>33.513932233138597</v>
      </c>
      <c r="E120" s="47">
        <f t="shared" si="277"/>
        <v>32.454029119885256</v>
      </c>
      <c r="F120" s="47">
        <f t="shared" si="278"/>
        <v>3.5952282023026638E-2</v>
      </c>
      <c r="G120" s="47">
        <f t="shared" si="279"/>
        <v>24.322599960595824</v>
      </c>
      <c r="H120" s="47">
        <f t="shared" si="280"/>
        <v>26.131660243174551</v>
      </c>
      <c r="I120" s="47">
        <f t="shared" si="281"/>
        <v>32.030303032547629</v>
      </c>
      <c r="J120" s="47">
        <f t="shared" si="282"/>
        <v>34.201727912361925</v>
      </c>
      <c r="K120" s="47">
        <f t="shared" si="283"/>
        <v>33.116015472454777</v>
      </c>
      <c r="L120" s="47">
        <f t="shared" si="284"/>
        <v>2.2792603911969826</v>
      </c>
      <c r="M120" s="47">
        <f t="shared" si="285"/>
        <v>2.2720328224589066</v>
      </c>
      <c r="N120" s="47">
        <f t="shared" si="286"/>
        <v>2.2756466068279444</v>
      </c>
      <c r="O120" s="47">
        <f t="shared" si="287"/>
        <v>1.2768895672731899</v>
      </c>
      <c r="P120" s="47">
        <f t="shared" si="288"/>
        <v>-7.2275687380760623E-3</v>
      </c>
      <c r="Q120" s="47">
        <f t="shared" si="289"/>
        <v>-0.53567455033769562</v>
      </c>
      <c r="R120" s="47">
        <f t="shared" si="290"/>
        <v>2.1714248798142961</v>
      </c>
      <c r="S120" s="47">
        <f t="shared" si="291"/>
        <v>-0.23921908948432485</v>
      </c>
      <c r="T120" s="47">
        <f t="shared" si="292"/>
        <v>1.3021000861497438</v>
      </c>
      <c r="U120" s="47">
        <f t="shared" si="293"/>
        <v>2.4902206962604652</v>
      </c>
      <c r="V120" s="47">
        <f t="shared" si="294"/>
        <v>1.6342824199965256</v>
      </c>
      <c r="W120" s="111">
        <f t="shared" si="298"/>
        <v>2.9363119466192753E-15</v>
      </c>
      <c r="X120" s="47">
        <f t="shared" si="295"/>
        <v>5.3502391530809534</v>
      </c>
      <c r="Y120" s="47">
        <f t="shared" si="296"/>
        <v>-5.4838144365850701E-16</v>
      </c>
      <c r="Z120" s="47">
        <f t="shared" si="297"/>
        <v>0.9752028051623266</v>
      </c>
    </row>
    <row r="121" spans="1:26">
      <c r="A121" s="47"/>
      <c r="B121" s="47">
        <f t="shared" si="274"/>
        <v>71.762384956162549</v>
      </c>
      <c r="C121" s="47">
        <f t="shared" si="275"/>
        <v>64.770619354683433</v>
      </c>
      <c r="D121" s="47">
        <f t="shared" si="276"/>
        <v>62.958344604811955</v>
      </c>
      <c r="E121" s="47">
        <f t="shared" si="277"/>
        <v>63.864481979747694</v>
      </c>
      <c r="F121" s="47">
        <f t="shared" si="278"/>
        <v>3.517594896984555E-4</v>
      </c>
      <c r="G121" s="47">
        <f t="shared" si="279"/>
        <v>-28.675854529189596</v>
      </c>
      <c r="H121" s="47">
        <f t="shared" si="280"/>
        <v>-27.604569522174756</v>
      </c>
      <c r="I121" s="47">
        <f t="shared" si="281"/>
        <v>64.775082658423472</v>
      </c>
      <c r="J121" s="47">
        <f t="shared" si="282"/>
        <v>62.962599713918188</v>
      </c>
      <c r="K121" s="47">
        <f t="shared" si="283"/>
        <v>63.868841186170826</v>
      </c>
      <c r="L121" s="47">
        <f t="shared" si="284"/>
        <v>5.8245790060182632</v>
      </c>
      <c r="M121" s="47">
        <f t="shared" si="285"/>
        <v>5.8293363952441517</v>
      </c>
      <c r="N121" s="47">
        <f t="shared" si="286"/>
        <v>5.8269577006312074</v>
      </c>
      <c r="O121" s="47">
        <f t="shared" si="287"/>
        <v>1.3440723732761226</v>
      </c>
      <c r="P121" s="47">
        <f t="shared" si="288"/>
        <v>4.7573892258885309E-3</v>
      </c>
      <c r="Q121" s="47">
        <f t="shared" si="289"/>
        <v>0.20572064675600643</v>
      </c>
      <c r="R121" s="47">
        <f t="shared" si="290"/>
        <v>-1.8124829445052839</v>
      </c>
      <c r="S121" s="47">
        <f t="shared" si="291"/>
        <v>0.30381806183451532</v>
      </c>
      <c r="T121" s="47">
        <f t="shared" si="292"/>
        <v>1.3197540431759274</v>
      </c>
      <c r="U121" s="47">
        <f t="shared" si="293"/>
        <v>3.8740978533776871</v>
      </c>
      <c r="V121" s="47">
        <f t="shared" si="294"/>
        <v>2.2876651742723855</v>
      </c>
      <c r="W121" s="111">
        <f t="shared" si="298"/>
        <v>3.9139228747545503E-3</v>
      </c>
      <c r="X121" s="47">
        <f t="shared" si="295"/>
        <v>53.302974888806148</v>
      </c>
      <c r="Y121" s="47">
        <f t="shared" si="296"/>
        <v>-7.2823420445172673E-3</v>
      </c>
      <c r="Z121" s="47">
        <f t="shared" si="297"/>
        <v>0.51114425580723499</v>
      </c>
    </row>
    <row r="122" spans="1:26">
      <c r="B122" s="47">
        <f t="shared" si="274"/>
        <v>70.422831932780952</v>
      </c>
      <c r="C122" s="47">
        <f t="shared" si="275"/>
        <v>68.584590571771059</v>
      </c>
      <c r="D122" s="47">
        <f t="shared" si="276"/>
        <v>67.879885705341167</v>
      </c>
      <c r="E122" s="47">
        <f t="shared" si="277"/>
        <v>68.232238138556113</v>
      </c>
      <c r="F122" s="47">
        <f t="shared" si="278"/>
        <v>2.2146450618776292E-4</v>
      </c>
      <c r="G122" s="47">
        <f t="shared" si="279"/>
        <v>17.206228125195331</v>
      </c>
      <c r="H122" s="47">
        <f t="shared" si="280"/>
        <v>18.141286276757381</v>
      </c>
      <c r="I122" s="47">
        <f t="shared" si="281"/>
        <v>68.585546227916439</v>
      </c>
      <c r="J122" s="47">
        <f t="shared" si="282"/>
        <v>67.880959080393581</v>
      </c>
      <c r="K122" s="47">
        <f t="shared" si="283"/>
        <v>68.23325265415501</v>
      </c>
      <c r="L122" s="47">
        <f t="shared" si="284"/>
        <v>0.25358148447241952</v>
      </c>
      <c r="M122" s="47">
        <f t="shared" si="285"/>
        <v>0.27053962491382527</v>
      </c>
      <c r="N122" s="47">
        <f t="shared" si="286"/>
        <v>0.26206055469312239</v>
      </c>
      <c r="O122" s="47">
        <f t="shared" si="287"/>
        <v>1.0450153969282534</v>
      </c>
      <c r="P122" s="47">
        <f t="shared" si="288"/>
        <v>1.6958140441405756E-2</v>
      </c>
      <c r="Q122" s="47">
        <f t="shared" si="289"/>
        <v>0.28867661937543687</v>
      </c>
      <c r="R122" s="47">
        <f t="shared" si="290"/>
        <v>-0.704587147522858</v>
      </c>
      <c r="S122" s="47">
        <f t="shared" si="291"/>
        <v>1.1570797936841537</v>
      </c>
      <c r="T122" s="47">
        <f t="shared" si="292"/>
        <v>1.299251768102748</v>
      </c>
      <c r="U122" s="47">
        <f t="shared" si="293"/>
        <v>4.0704963694369756</v>
      </c>
      <c r="V122" s="47">
        <f t="shared" si="294"/>
        <v>2.069571994091314</v>
      </c>
      <c r="W122" s="111">
        <f t="shared" si="298"/>
        <v>1.07675174053411E-47</v>
      </c>
      <c r="X122" s="47">
        <f t="shared" si="295"/>
        <v>67.177843793491732</v>
      </c>
      <c r="Y122" s="47">
        <f t="shared" si="296"/>
        <v>-2.5249280433807457E-47</v>
      </c>
      <c r="Z122" s="47">
        <f t="shared" si="297"/>
        <v>0.62602906146405435</v>
      </c>
    </row>
    <row r="125" spans="1:26">
      <c r="A125" t="s">
        <v>83</v>
      </c>
    </row>
    <row r="127" spans="1:26" ht="30">
      <c r="A127" s="58" t="s">
        <v>84</v>
      </c>
      <c r="B127" s="58" t="s">
        <v>107</v>
      </c>
      <c r="C127" s="58" t="s">
        <v>106</v>
      </c>
      <c r="D127" s="58" t="s">
        <v>104</v>
      </c>
      <c r="E127" s="58" t="s">
        <v>103</v>
      </c>
      <c r="F127" s="58" t="s">
        <v>105</v>
      </c>
      <c r="G127" s="58" t="s">
        <v>80</v>
      </c>
      <c r="H127" s="58" t="s">
        <v>108</v>
      </c>
    </row>
    <row r="128" spans="1:26">
      <c r="A128">
        <v>1E-3</v>
      </c>
      <c r="B128">
        <f>SMALL('Gamma Target'!$I$14:$I$36,COUNTIF('Gamma Target'!$I$14:$I$36,"&lt;"&amp;A128)+1)</f>
        <v>1.3906338626263125E-3</v>
      </c>
      <c r="C128">
        <f>LARGE('Gamma Target'!$I$14:$I$36,COUNTIF('Gamma Target'!$I$14:$I$36,"&gt;"&amp;A128)+1)</f>
        <v>9.3195884020057696E-4</v>
      </c>
      <c r="D128">
        <f>INDEX('Gamma Target'!$J$14:$J$36,MATCH(B128,'Gamma Target'!$I$14:$I$36))</f>
        <v>2.0435692388894124</v>
      </c>
      <c r="E128">
        <f>INDEX('Gamma Target'!$J$14:$J$36,MATCH(C128,'Gamma Target'!$I$14:$I$36))</f>
        <v>1.990048962962276</v>
      </c>
      <c r="F128">
        <f t="shared" ref="F128:F159" si="299">(A128-C128)/(B128-C128)</f>
        <v>0.14834284945271828</v>
      </c>
      <c r="G128">
        <f t="shared" ref="G128:G165" si="300">IFERROR(F128*(D128-E128)+E128,2)</f>
        <v>1.997988313196803</v>
      </c>
      <c r="H128">
        <f t="shared" ref="H128:H159" si="301">A128^(1/G128)</f>
        <v>3.151299755683059E-2</v>
      </c>
    </row>
    <row r="129" spans="1:8">
      <c r="A129">
        <v>2E-3</v>
      </c>
      <c r="B129">
        <f>SMALL('Gamma Target'!$I$14:$I$36,COUNTIF('Gamma Target'!$I$14:$I$36,"&lt;"&amp;A129)+1)</f>
        <v>2.1391391544710726E-3</v>
      </c>
      <c r="C129">
        <f>LARGE('Gamma Target'!$I$14:$I$36,COUNTIF('Gamma Target'!$I$14:$I$36,"&gt;"&amp;A129)+1)</f>
        <v>1.3906338626263125E-3</v>
      </c>
      <c r="D129">
        <f>INDEX('Gamma Target'!$J$14:$J$36,MATCH(B129,'Gamma Target'!$I$14:$I$36))</f>
        <v>2.0551618680739514</v>
      </c>
      <c r="E129">
        <f>INDEX('Gamma Target'!$J$14:$J$36,MATCH(C129,'Gamma Target'!$I$14:$I$36))</f>
        <v>2.0435692388894124</v>
      </c>
      <c r="F129">
        <f t="shared" si="299"/>
        <v>0.81411066028918599</v>
      </c>
      <c r="G129">
        <f t="shared" si="300"/>
        <v>2.0530069218893252</v>
      </c>
      <c r="H129">
        <f t="shared" si="301"/>
        <v>4.8457117027840495E-2</v>
      </c>
    </row>
    <row r="130" spans="1:8">
      <c r="A130">
        <v>3.0000000000000001E-3</v>
      </c>
      <c r="B130">
        <f>SMALL('Gamma Target'!$I$14:$I$36,COUNTIF('Gamma Target'!$I$14:$I$36,"&lt;"&amp;A130)+1)</f>
        <v>7.4637611136204865E-3</v>
      </c>
      <c r="C130">
        <f>LARGE('Gamma Target'!$I$14:$I$36,COUNTIF('Gamma Target'!$I$14:$I$36,"&gt;"&amp;A130)+1)</f>
        <v>2.1391391544710726E-3</v>
      </c>
      <c r="D130">
        <f>INDEX('Gamma Target'!$J$14:$J$36,MATCH(B130,'Gamma Target'!$I$14:$I$36))</f>
        <v>2.1312591059064947</v>
      </c>
      <c r="E130">
        <f>INDEX('Gamma Target'!$J$14:$J$36,MATCH(C130,'Gamma Target'!$I$14:$I$36))</f>
        <v>2.0551618680739514</v>
      </c>
      <c r="F130">
        <f t="shared" si="299"/>
        <v>0.16167548647274224</v>
      </c>
      <c r="G130">
        <f t="shared" si="300"/>
        <v>2.0674649260197597</v>
      </c>
      <c r="H130">
        <f t="shared" si="301"/>
        <v>6.0217615918815373E-2</v>
      </c>
    </row>
    <row r="131" spans="1:8">
      <c r="A131">
        <v>4.0000000000000001E-3</v>
      </c>
      <c r="B131">
        <f>SMALL('Gamma Target'!$I$14:$I$36,COUNTIF('Gamma Target'!$I$14:$I$36,"&lt;"&amp;A131)+1)</f>
        <v>7.4637611136204865E-3</v>
      </c>
      <c r="C131">
        <f>LARGE('Gamma Target'!$I$14:$I$36,COUNTIF('Gamma Target'!$I$14:$I$36,"&gt;"&amp;A131)+1)</f>
        <v>2.1391391544710726E-3</v>
      </c>
      <c r="D131">
        <f>INDEX('Gamma Target'!$J$14:$J$36,MATCH(B131,'Gamma Target'!$I$14:$I$36))</f>
        <v>2.1312591059064947</v>
      </c>
      <c r="E131">
        <f>INDEX('Gamma Target'!$J$14:$J$36,MATCH(C131,'Gamma Target'!$I$14:$I$36))</f>
        <v>2.0551618680739514</v>
      </c>
      <c r="F131">
        <f t="shared" si="299"/>
        <v>0.34948224677835948</v>
      </c>
      <c r="G131">
        <f t="shared" si="300"/>
        <v>2.0817565017252959</v>
      </c>
      <c r="H131">
        <f t="shared" si="301"/>
        <v>7.0488287494211196E-2</v>
      </c>
    </row>
    <row r="132" spans="1:8">
      <c r="A132">
        <v>5.0000000000000001E-3</v>
      </c>
      <c r="B132">
        <f>SMALL('Gamma Target'!$I$14:$I$36,COUNTIF('Gamma Target'!$I$14:$I$36,"&lt;"&amp;A132)+1)</f>
        <v>7.4637611136204865E-3</v>
      </c>
      <c r="C132">
        <f>LARGE('Gamma Target'!$I$14:$I$36,COUNTIF('Gamma Target'!$I$14:$I$36,"&gt;"&amp;A132)+1)</f>
        <v>2.1391391544710726E-3</v>
      </c>
      <c r="D132">
        <f>INDEX('Gamma Target'!$J$14:$J$36,MATCH(B132,'Gamma Target'!$I$14:$I$36))</f>
        <v>2.1312591059064947</v>
      </c>
      <c r="E132">
        <f>INDEX('Gamma Target'!$J$14:$J$36,MATCH(C132,'Gamma Target'!$I$14:$I$36))</f>
        <v>2.0551618680739514</v>
      </c>
      <c r="F132">
        <f t="shared" si="299"/>
        <v>0.53728900708397664</v>
      </c>
      <c r="G132">
        <f t="shared" si="300"/>
        <v>2.0960480774308317</v>
      </c>
      <c r="H132">
        <f t="shared" si="301"/>
        <v>7.9837242138469391E-2</v>
      </c>
    </row>
    <row r="133" spans="1:8">
      <c r="A133">
        <v>0.01</v>
      </c>
      <c r="B133">
        <f>SMALL('Gamma Target'!$I$14:$I$36,COUNTIF('Gamma Target'!$I$14:$I$36,"&lt;"&amp;A133)+1)</f>
        <v>1.5960022500672355E-2</v>
      </c>
      <c r="C133">
        <f>LARGE('Gamma Target'!$I$14:$I$36,COUNTIF('Gamma Target'!$I$14:$I$36,"&gt;"&amp;A133)+1)</f>
        <v>7.4637611136204865E-3</v>
      </c>
      <c r="D133">
        <f>INDEX('Gamma Target'!$J$14:$J$36,MATCH(B133,'Gamma Target'!$I$14:$I$36))</f>
        <v>2.1862763473706761</v>
      </c>
      <c r="E133">
        <f>INDEX('Gamma Target'!$J$14:$J$36,MATCH(C133,'Gamma Target'!$I$14:$I$36))</f>
        <v>2.1312591059064947</v>
      </c>
      <c r="F133">
        <f t="shared" si="299"/>
        <v>0.29851234217495837</v>
      </c>
      <c r="G133">
        <f t="shared" si="300"/>
        <v>2.1476824315159728</v>
      </c>
      <c r="H133">
        <f t="shared" si="301"/>
        <v>0.11715575469373599</v>
      </c>
    </row>
    <row r="134" spans="1:8">
      <c r="A134">
        <v>1.4999999999999999E-2</v>
      </c>
      <c r="B134">
        <f>SMALL('Gamma Target'!$I$14:$I$36,COUNTIF('Gamma Target'!$I$14:$I$36,"&lt;"&amp;A134)+1)</f>
        <v>1.5960022500672355E-2</v>
      </c>
      <c r="C134">
        <f>LARGE('Gamma Target'!$I$14:$I$36,COUNTIF('Gamma Target'!$I$14:$I$36,"&gt;"&amp;A134)+1)</f>
        <v>7.4637611136204865E-3</v>
      </c>
      <c r="D134">
        <f>INDEX('Gamma Target'!$J$14:$J$36,MATCH(B134,'Gamma Target'!$I$14:$I$36))</f>
        <v>2.1862763473706761</v>
      </c>
      <c r="E134">
        <f>INDEX('Gamma Target'!$J$14:$J$36,MATCH(C134,'Gamma Target'!$I$14:$I$36))</f>
        <v>2.1312591059064947</v>
      </c>
      <c r="F134">
        <f t="shared" si="299"/>
        <v>0.88700647768024066</v>
      </c>
      <c r="G134">
        <f t="shared" si="300"/>
        <v>2.1800597554693217</v>
      </c>
      <c r="H134">
        <f t="shared" si="301"/>
        <v>0.14566913689131458</v>
      </c>
    </row>
    <row r="135" spans="1:8">
      <c r="A135">
        <v>0.02</v>
      </c>
      <c r="B135">
        <f>SMALL('Gamma Target'!$I$14:$I$36,COUNTIF('Gamma Target'!$I$14:$I$36,"&lt;"&amp;A135)+1)</f>
        <v>2.8560252519653009E-2</v>
      </c>
      <c r="C135">
        <f>LARGE('Gamma Target'!$I$14:$I$36,COUNTIF('Gamma Target'!$I$14:$I$36,"&gt;"&amp;A135)+1)</f>
        <v>1.5960022500672355E-2</v>
      </c>
      <c r="D135">
        <f>INDEX('Gamma Target'!$J$14:$J$36,MATCH(B135,'Gamma Target'!$I$14:$I$36))</f>
        <v>2.2155766513397217</v>
      </c>
      <c r="E135">
        <f>INDEX('Gamma Target'!$J$14:$J$36,MATCH(C135,'Gamma Target'!$I$14:$I$36))</f>
        <v>2.1862763473706761</v>
      </c>
      <c r="F135">
        <f t="shared" si="299"/>
        <v>0.32062728166405929</v>
      </c>
      <c r="G135">
        <f t="shared" si="300"/>
        <v>2.195670824184202</v>
      </c>
      <c r="H135">
        <f t="shared" si="301"/>
        <v>0.1683519898127378</v>
      </c>
    </row>
    <row r="136" spans="1:8">
      <c r="A136">
        <v>2.5000000000000001E-2</v>
      </c>
      <c r="B136">
        <f>SMALL('Gamma Target'!$I$14:$I$36,COUNTIF('Gamma Target'!$I$14:$I$36,"&lt;"&amp;A136)+1)</f>
        <v>2.8560252519653009E-2</v>
      </c>
      <c r="C136">
        <f>LARGE('Gamma Target'!$I$14:$I$36,COUNTIF('Gamma Target'!$I$14:$I$36,"&gt;"&amp;A136)+1)</f>
        <v>1.5960022500672355E-2</v>
      </c>
      <c r="D136">
        <f>INDEX('Gamma Target'!$J$14:$J$36,MATCH(B136,'Gamma Target'!$I$14:$I$36))</f>
        <v>2.2155766513397217</v>
      </c>
      <c r="E136">
        <f>INDEX('Gamma Target'!$J$14:$J$36,MATCH(C136,'Gamma Target'!$I$14:$I$36))</f>
        <v>2.1862763473706761</v>
      </c>
      <c r="F136">
        <f t="shared" si="299"/>
        <v>0.7174454343857265</v>
      </c>
      <c r="G136">
        <f t="shared" si="300"/>
        <v>2.2072977166793817</v>
      </c>
      <c r="H136">
        <f t="shared" si="301"/>
        <v>0.18801759842581112</v>
      </c>
    </row>
    <row r="137" spans="1:8">
      <c r="A137">
        <v>0.03</v>
      </c>
      <c r="B137">
        <f>SMALL('Gamma Target'!$I$14:$I$36,COUNTIF('Gamma Target'!$I$14:$I$36,"&lt;"&amp;A137)+1)</f>
        <v>4.4076751993526501E-2</v>
      </c>
      <c r="C137">
        <f>LARGE('Gamma Target'!$I$14:$I$36,COUNTIF('Gamma Target'!$I$14:$I$36,"&gt;"&amp;A137)+1)</f>
        <v>2.8560252519653009E-2</v>
      </c>
      <c r="D137">
        <f>INDEX('Gamma Target'!$J$14:$J$36,MATCH(B137,'Gamma Target'!$I$14:$I$36))</f>
        <v>2.2593440802865548</v>
      </c>
      <c r="E137">
        <f>INDEX('Gamma Target'!$J$14:$J$36,MATCH(C137,'Gamma Target'!$I$14:$I$36))</f>
        <v>2.2155766513397217</v>
      </c>
      <c r="F137">
        <f t="shared" si="299"/>
        <v>9.2788162869545429E-2</v>
      </c>
      <c r="G137">
        <f t="shared" si="300"/>
        <v>2.2196377506652216</v>
      </c>
      <c r="H137">
        <f t="shared" si="301"/>
        <v>0.2060186939583564</v>
      </c>
    </row>
    <row r="138" spans="1:8">
      <c r="A138">
        <v>3.5000000000000003E-2</v>
      </c>
      <c r="B138">
        <f>SMALL('Gamma Target'!$I$14:$I$36,COUNTIF('Gamma Target'!$I$14:$I$36,"&lt;"&amp;A138)+1)</f>
        <v>4.4076751993526501E-2</v>
      </c>
      <c r="C138">
        <f>LARGE('Gamma Target'!$I$14:$I$36,COUNTIF('Gamma Target'!$I$14:$I$36,"&gt;"&amp;A138)+1)</f>
        <v>2.8560252519653009E-2</v>
      </c>
      <c r="D138">
        <f>INDEX('Gamma Target'!$J$14:$J$36,MATCH(B138,'Gamma Target'!$I$14:$I$36))</f>
        <v>2.2593440802865548</v>
      </c>
      <c r="E138">
        <f>INDEX('Gamma Target'!$J$14:$J$36,MATCH(C138,'Gamma Target'!$I$14:$I$36))</f>
        <v>2.2155766513397217</v>
      </c>
      <c r="F138">
        <f t="shared" si="299"/>
        <v>0.41502579181536198</v>
      </c>
      <c r="G138">
        <f t="shared" si="300"/>
        <v>2.2337412631941036</v>
      </c>
      <c r="H138">
        <f t="shared" si="301"/>
        <v>0.22295089601051332</v>
      </c>
    </row>
    <row r="139" spans="1:8">
      <c r="A139">
        <v>0.04</v>
      </c>
      <c r="B139">
        <f>SMALL('Gamma Target'!$I$14:$I$36,COUNTIF('Gamma Target'!$I$14:$I$36,"&lt;"&amp;A139)+1)</f>
        <v>4.4076751993526501E-2</v>
      </c>
      <c r="C139">
        <f>LARGE('Gamma Target'!$I$14:$I$36,COUNTIF('Gamma Target'!$I$14:$I$36,"&gt;"&amp;A139)+1)</f>
        <v>2.8560252519653009E-2</v>
      </c>
      <c r="D139">
        <f>INDEX('Gamma Target'!$J$14:$J$36,MATCH(B139,'Gamma Target'!$I$14:$I$36))</f>
        <v>2.2593440802865548</v>
      </c>
      <c r="E139">
        <f>INDEX('Gamma Target'!$J$14:$J$36,MATCH(C139,'Gamma Target'!$I$14:$I$36))</f>
        <v>2.2155766513397217</v>
      </c>
      <c r="F139">
        <f t="shared" si="299"/>
        <v>0.73726342076117812</v>
      </c>
      <c r="G139">
        <f t="shared" si="300"/>
        <v>2.2478447757229856</v>
      </c>
      <c r="H139">
        <f t="shared" si="301"/>
        <v>0.23883480892020198</v>
      </c>
    </row>
    <row r="140" spans="1:8">
      <c r="A140">
        <v>4.4999999999999998E-2</v>
      </c>
      <c r="B140">
        <f>SMALL('Gamma Target'!$I$14:$I$36,COUNTIF('Gamma Target'!$I$14:$I$36,"&lt;"&amp;A140)+1)</f>
        <v>6.6726755042443811E-2</v>
      </c>
      <c r="C140">
        <f>LARGE('Gamma Target'!$I$14:$I$36,COUNTIF('Gamma Target'!$I$14:$I$36,"&gt;"&amp;A140)+1)</f>
        <v>4.4076751993526501E-2</v>
      </c>
      <c r="D140">
        <f>INDEX('Gamma Target'!$J$14:$J$36,MATCH(B140,'Gamma Target'!$I$14:$I$36))</f>
        <v>2.2570543096971751</v>
      </c>
      <c r="E140">
        <f>INDEX('Gamma Target'!$J$14:$J$36,MATCH(C140,'Gamma Target'!$I$14:$I$36))</f>
        <v>2.2593440802865548</v>
      </c>
      <c r="F140">
        <f t="shared" si="299"/>
        <v>4.0761495902651941E-2</v>
      </c>
      <c r="G140">
        <f t="shared" si="300"/>
        <v>2.2592507458120576</v>
      </c>
      <c r="H140">
        <f t="shared" si="301"/>
        <v>0.25344206728255286</v>
      </c>
    </row>
    <row r="141" spans="1:8">
      <c r="A141">
        <v>0.05</v>
      </c>
      <c r="B141">
        <f>SMALL('Gamma Target'!$I$14:$I$36,COUNTIF('Gamma Target'!$I$14:$I$36,"&lt;"&amp;A141)+1)</f>
        <v>6.6726755042443811E-2</v>
      </c>
      <c r="C141">
        <f>LARGE('Gamma Target'!$I$14:$I$36,COUNTIF('Gamma Target'!$I$14:$I$36,"&gt;"&amp;A141)+1)</f>
        <v>4.4076751993526501E-2</v>
      </c>
      <c r="D141">
        <f>INDEX('Gamma Target'!$J$14:$J$36,MATCH(B141,'Gamma Target'!$I$14:$I$36))</f>
        <v>2.2570543096971751</v>
      </c>
      <c r="E141">
        <f>INDEX('Gamma Target'!$J$14:$J$36,MATCH(C141,'Gamma Target'!$I$14:$I$36))</f>
        <v>2.2593440802865548</v>
      </c>
      <c r="F141">
        <f t="shared" si="299"/>
        <v>0.26151201806379615</v>
      </c>
      <c r="G141">
        <f t="shared" si="300"/>
        <v>2.2587452777588228</v>
      </c>
      <c r="H141">
        <f t="shared" si="301"/>
        <v>0.26546252743692106</v>
      </c>
    </row>
    <row r="142" spans="1:8">
      <c r="A142">
        <v>5.5E-2</v>
      </c>
      <c r="B142">
        <f>SMALL('Gamma Target'!$I$14:$I$36,COUNTIF('Gamma Target'!$I$14:$I$36,"&lt;"&amp;A142)+1)</f>
        <v>6.6726755042443811E-2</v>
      </c>
      <c r="C142">
        <f>LARGE('Gamma Target'!$I$14:$I$36,COUNTIF('Gamma Target'!$I$14:$I$36,"&gt;"&amp;A142)+1)</f>
        <v>4.4076751993526501E-2</v>
      </c>
      <c r="D142">
        <f>INDEX('Gamma Target'!$J$14:$J$36,MATCH(B142,'Gamma Target'!$I$14:$I$36))</f>
        <v>2.2570543096971751</v>
      </c>
      <c r="E142">
        <f>INDEX('Gamma Target'!$J$14:$J$36,MATCH(C142,'Gamma Target'!$I$14:$I$36))</f>
        <v>2.2593440802865548</v>
      </c>
      <c r="F142">
        <f t="shared" si="299"/>
        <v>0.48226254022494003</v>
      </c>
      <c r="G142">
        <f t="shared" si="300"/>
        <v>2.258239809705588</v>
      </c>
      <c r="H142">
        <f t="shared" si="301"/>
        <v>0.27682411575793703</v>
      </c>
    </row>
    <row r="143" spans="1:8">
      <c r="A143">
        <v>0.06</v>
      </c>
      <c r="B143">
        <f>SMALL('Gamma Target'!$I$14:$I$36,COUNTIF('Gamma Target'!$I$14:$I$36,"&lt;"&amp;A143)+1)</f>
        <v>6.6726755042443811E-2</v>
      </c>
      <c r="C143">
        <f>LARGE('Gamma Target'!$I$14:$I$36,COUNTIF('Gamma Target'!$I$14:$I$36,"&gt;"&amp;A143)+1)</f>
        <v>4.4076751993526501E-2</v>
      </c>
      <c r="D143">
        <f>INDEX('Gamma Target'!$J$14:$J$36,MATCH(B143,'Gamma Target'!$I$14:$I$36))</f>
        <v>2.2570543096971751</v>
      </c>
      <c r="E143">
        <f>INDEX('Gamma Target'!$J$14:$J$36,MATCH(C143,'Gamma Target'!$I$14:$I$36))</f>
        <v>2.2593440802865548</v>
      </c>
      <c r="F143">
        <f t="shared" si="299"/>
        <v>0.70301306238608396</v>
      </c>
      <c r="G143">
        <f t="shared" si="300"/>
        <v>2.2577343416523532</v>
      </c>
      <c r="H143">
        <f t="shared" si="301"/>
        <v>0.28761823827881428</v>
      </c>
    </row>
    <row r="144" spans="1:8">
      <c r="A144">
        <f t="shared" ref="A144:A175" si="302">A143+0.01</f>
        <v>6.9999999999999993E-2</v>
      </c>
      <c r="B144">
        <f>SMALL('Gamma Target'!$I$14:$I$36,COUNTIF('Gamma Target'!$I$14:$I$36,"&lt;"&amp;A144)+1)</f>
        <v>9.1481716779868924E-2</v>
      </c>
      <c r="C144">
        <f>LARGE('Gamma Target'!$I$14:$I$36,COUNTIF('Gamma Target'!$I$14:$I$36,"&gt;"&amp;A144)+1)</f>
        <v>6.6726755042443811E-2</v>
      </c>
      <c r="D144">
        <f>INDEX('Gamma Target'!$J$14:$J$36,MATCH(B144,'Gamma Target'!$I$14:$I$36))</f>
        <v>2.2880448026123421</v>
      </c>
      <c r="E144">
        <f>INDEX('Gamma Target'!$J$14:$J$36,MATCH(C144,'Gamma Target'!$I$14:$I$36))</f>
        <v>2.2570543096971751</v>
      </c>
      <c r="F144">
        <f t="shared" si="299"/>
        <v>0.13222581364800154</v>
      </c>
      <c r="G144">
        <f t="shared" si="300"/>
        <v>2.2611520528382356</v>
      </c>
      <c r="H144">
        <f t="shared" si="301"/>
        <v>0.3084905015861133</v>
      </c>
    </row>
    <row r="145" spans="1:8">
      <c r="A145">
        <f t="shared" si="302"/>
        <v>7.9999999999999988E-2</v>
      </c>
      <c r="B145">
        <f>SMALL('Gamma Target'!$I$14:$I$36,COUNTIF('Gamma Target'!$I$14:$I$36,"&lt;"&amp;A145)+1)</f>
        <v>9.1481716779868924E-2</v>
      </c>
      <c r="C145">
        <f>LARGE('Gamma Target'!$I$14:$I$36,COUNTIF('Gamma Target'!$I$14:$I$36,"&gt;"&amp;A145)+1)</f>
        <v>6.6726755042443811E-2</v>
      </c>
      <c r="D145">
        <f>INDEX('Gamma Target'!$J$14:$J$36,MATCH(B145,'Gamma Target'!$I$14:$I$36))</f>
        <v>2.2880448026123421</v>
      </c>
      <c r="E145">
        <f>INDEX('Gamma Target'!$J$14:$J$36,MATCH(C145,'Gamma Target'!$I$14:$I$36))</f>
        <v>2.2570543096971751</v>
      </c>
      <c r="F145">
        <f t="shared" si="299"/>
        <v>0.53618523423081621</v>
      </c>
      <c r="G145">
        <f t="shared" si="300"/>
        <v>2.2736709543998224</v>
      </c>
      <c r="H145">
        <f t="shared" si="301"/>
        <v>0.32927587539540482</v>
      </c>
    </row>
    <row r="146" spans="1:8">
      <c r="A146">
        <f t="shared" si="302"/>
        <v>8.9999999999999983E-2</v>
      </c>
      <c r="B146">
        <f>SMALL('Gamma Target'!$I$14:$I$36,COUNTIF('Gamma Target'!$I$14:$I$36,"&lt;"&amp;A146)+1)</f>
        <v>9.1481716779868924E-2</v>
      </c>
      <c r="C146">
        <f>LARGE('Gamma Target'!$I$14:$I$36,COUNTIF('Gamma Target'!$I$14:$I$36,"&gt;"&amp;A146)+1)</f>
        <v>6.6726755042443811E-2</v>
      </c>
      <c r="D146">
        <f>INDEX('Gamma Target'!$J$14:$J$36,MATCH(B146,'Gamma Target'!$I$14:$I$36))</f>
        <v>2.2880448026123421</v>
      </c>
      <c r="E146">
        <f>INDEX('Gamma Target'!$J$14:$J$36,MATCH(C146,'Gamma Target'!$I$14:$I$36))</f>
        <v>2.2570543096971751</v>
      </c>
      <c r="F146">
        <f t="shared" si="299"/>
        <v>0.94014465481363085</v>
      </c>
      <c r="G146">
        <f t="shared" si="300"/>
        <v>2.2861898559614091</v>
      </c>
      <c r="H146">
        <f t="shared" si="301"/>
        <v>0.34879983463918013</v>
      </c>
    </row>
    <row r="147" spans="1:8">
      <c r="A147">
        <f t="shared" si="302"/>
        <v>9.9999999999999978E-2</v>
      </c>
      <c r="B147">
        <f>SMALL('Gamma Target'!$I$14:$I$36,COUNTIF('Gamma Target'!$I$14:$I$36,"&lt;"&amp;A147)+1)</f>
        <v>0.12398561977674355</v>
      </c>
      <c r="C147">
        <f>LARGE('Gamma Target'!$I$14:$I$36,COUNTIF('Gamma Target'!$I$14:$I$36,"&gt;"&amp;A147)+1)</f>
        <v>9.1481716779868924E-2</v>
      </c>
      <c r="D147">
        <f>INDEX('Gamma Target'!$J$14:$J$36,MATCH(B147,'Gamma Target'!$I$14:$I$36))</f>
        <v>2.2896893104832876</v>
      </c>
      <c r="E147">
        <f>INDEX('Gamma Target'!$J$14:$J$36,MATCH(C147,'Gamma Target'!$I$14:$I$36))</f>
        <v>2.2880448026123421</v>
      </c>
      <c r="F147">
        <f t="shared" si="299"/>
        <v>0.2620695496460877</v>
      </c>
      <c r="G147">
        <f t="shared" si="300"/>
        <v>2.2884757780494702</v>
      </c>
      <c r="H147">
        <f t="shared" si="301"/>
        <v>0.36561830342933616</v>
      </c>
    </row>
    <row r="148" spans="1:8">
      <c r="A148">
        <f t="shared" si="302"/>
        <v>0.10999999999999997</v>
      </c>
      <c r="B148">
        <f>SMALL('Gamma Target'!$I$14:$I$36,COUNTIF('Gamma Target'!$I$14:$I$36,"&lt;"&amp;A148)+1)</f>
        <v>0.12398561977674355</v>
      </c>
      <c r="C148">
        <f>LARGE('Gamma Target'!$I$14:$I$36,COUNTIF('Gamma Target'!$I$14:$I$36,"&gt;"&amp;A148)+1)</f>
        <v>9.1481716779868924E-2</v>
      </c>
      <c r="D148">
        <f>INDEX('Gamma Target'!$J$14:$J$36,MATCH(B148,'Gamma Target'!$I$14:$I$36))</f>
        <v>2.2896893104832876</v>
      </c>
      <c r="E148">
        <f>INDEX('Gamma Target'!$J$14:$J$36,MATCH(C148,'Gamma Target'!$I$14:$I$36))</f>
        <v>2.2880448026123421</v>
      </c>
      <c r="F148">
        <f t="shared" si="299"/>
        <v>0.56972491032574313</v>
      </c>
      <c r="G148">
        <f t="shared" si="300"/>
        <v>2.2889817197116464</v>
      </c>
      <c r="H148">
        <f t="shared" si="301"/>
        <v>0.38124834226183929</v>
      </c>
    </row>
    <row r="149" spans="1:8">
      <c r="A149">
        <f t="shared" si="302"/>
        <v>0.11999999999999997</v>
      </c>
      <c r="B149">
        <f>SMALL('Gamma Target'!$I$14:$I$36,COUNTIF('Gamma Target'!$I$14:$I$36,"&lt;"&amp;A149)+1)</f>
        <v>0.12398561977674355</v>
      </c>
      <c r="C149">
        <f>LARGE('Gamma Target'!$I$14:$I$36,COUNTIF('Gamma Target'!$I$14:$I$36,"&gt;"&amp;A149)+1)</f>
        <v>9.1481716779868924E-2</v>
      </c>
      <c r="D149">
        <f>INDEX('Gamma Target'!$J$14:$J$36,MATCH(B149,'Gamma Target'!$I$14:$I$36))</f>
        <v>2.2896893104832876</v>
      </c>
      <c r="E149">
        <f>INDEX('Gamma Target'!$J$14:$J$36,MATCH(C149,'Gamma Target'!$I$14:$I$36))</f>
        <v>2.2880448026123421</v>
      </c>
      <c r="F149">
        <f t="shared" si="299"/>
        <v>0.8773802710053985</v>
      </c>
      <c r="G149">
        <f t="shared" si="300"/>
        <v>2.2894876613738226</v>
      </c>
      <c r="H149">
        <f t="shared" si="301"/>
        <v>0.39610083530550433</v>
      </c>
    </row>
    <row r="150" spans="1:8">
      <c r="A150">
        <f t="shared" si="302"/>
        <v>0.12999999999999998</v>
      </c>
      <c r="B150">
        <f>SMALL('Gamma Target'!$I$14:$I$36,COUNTIF('Gamma Target'!$I$14:$I$36,"&lt;"&amp;A150)+1)</f>
        <v>0.16398022168283166</v>
      </c>
      <c r="C150">
        <f>LARGE('Gamma Target'!$I$14:$I$36,COUNTIF('Gamma Target'!$I$14:$I$36,"&gt;"&amp;A150)+1)</f>
        <v>0.12398561977674355</v>
      </c>
      <c r="D150">
        <f>INDEX('Gamma Target'!$J$14:$J$36,MATCH(B150,'Gamma Target'!$I$14:$I$36))</f>
        <v>2.2772280086419503</v>
      </c>
      <c r="E150">
        <f>INDEX('Gamma Target'!$J$14:$J$36,MATCH(C150,'Gamma Target'!$I$14:$I$36))</f>
        <v>2.2896893104832876</v>
      </c>
      <c r="F150">
        <f t="shared" si="299"/>
        <v>0.1503797996884399</v>
      </c>
      <c r="G150">
        <f t="shared" si="300"/>
        <v>2.2878153824085303</v>
      </c>
      <c r="H150">
        <f t="shared" si="301"/>
        <v>0.40992672096635085</v>
      </c>
    </row>
    <row r="151" spans="1:8">
      <c r="A151">
        <f t="shared" si="302"/>
        <v>0.13999999999999999</v>
      </c>
      <c r="B151">
        <f>SMALL('Gamma Target'!$I$14:$I$36,COUNTIF('Gamma Target'!$I$14:$I$36,"&lt;"&amp;A151)+1)</f>
        <v>0.16398022168283166</v>
      </c>
      <c r="C151">
        <f>LARGE('Gamma Target'!$I$14:$I$36,COUNTIF('Gamma Target'!$I$14:$I$36,"&gt;"&amp;A151)+1)</f>
        <v>0.12398561977674355</v>
      </c>
      <c r="D151">
        <f>INDEX('Gamma Target'!$J$14:$J$36,MATCH(B151,'Gamma Target'!$I$14:$I$36))</f>
        <v>2.2772280086419503</v>
      </c>
      <c r="E151">
        <f>INDEX('Gamma Target'!$J$14:$J$36,MATCH(C151,'Gamma Target'!$I$14:$I$36))</f>
        <v>2.2896893104832876</v>
      </c>
      <c r="F151">
        <f t="shared" si="299"/>
        <v>0.40041354232903797</v>
      </c>
      <c r="G151">
        <f t="shared" si="300"/>
        <v>2.2846996364709664</v>
      </c>
      <c r="H151">
        <f t="shared" si="301"/>
        <v>0.42292670743466398</v>
      </c>
    </row>
    <row r="152" spans="1:8">
      <c r="A152">
        <f t="shared" si="302"/>
        <v>0.15</v>
      </c>
      <c r="B152">
        <f>SMALL('Gamma Target'!$I$14:$I$36,COUNTIF('Gamma Target'!$I$14:$I$36,"&lt;"&amp;A152)+1)</f>
        <v>0.16398022168283166</v>
      </c>
      <c r="C152">
        <f>LARGE('Gamma Target'!$I$14:$I$36,COUNTIF('Gamma Target'!$I$14:$I$36,"&gt;"&amp;A152)+1)</f>
        <v>0.12398561977674355</v>
      </c>
      <c r="D152">
        <f>INDEX('Gamma Target'!$J$14:$J$36,MATCH(B152,'Gamma Target'!$I$14:$I$36))</f>
        <v>2.2772280086419503</v>
      </c>
      <c r="E152">
        <f>INDEX('Gamma Target'!$J$14:$J$36,MATCH(C152,'Gamma Target'!$I$14:$I$36))</f>
        <v>2.2896893104832876</v>
      </c>
      <c r="F152">
        <f t="shared" si="299"/>
        <v>0.65044728496963611</v>
      </c>
      <c r="G152">
        <f t="shared" si="300"/>
        <v>2.2815838905334025</v>
      </c>
      <c r="H152">
        <f t="shared" si="301"/>
        <v>0.4353989506665325</v>
      </c>
    </row>
    <row r="153" spans="1:8">
      <c r="A153">
        <f t="shared" si="302"/>
        <v>0.16</v>
      </c>
      <c r="B153">
        <f>SMALL('Gamma Target'!$I$14:$I$36,COUNTIF('Gamma Target'!$I$14:$I$36,"&lt;"&amp;A153)+1)</f>
        <v>0.16398022168283166</v>
      </c>
      <c r="C153">
        <f>LARGE('Gamma Target'!$I$14:$I$36,COUNTIF('Gamma Target'!$I$14:$I$36,"&gt;"&amp;A153)+1)</f>
        <v>0.12398561977674355</v>
      </c>
      <c r="D153">
        <f>INDEX('Gamma Target'!$J$14:$J$36,MATCH(B153,'Gamma Target'!$I$14:$I$36))</f>
        <v>2.2772280086419503</v>
      </c>
      <c r="E153">
        <f>INDEX('Gamma Target'!$J$14:$J$36,MATCH(C153,'Gamma Target'!$I$14:$I$36))</f>
        <v>2.2896893104832876</v>
      </c>
      <c r="F153">
        <f t="shared" si="299"/>
        <v>0.90048102761023419</v>
      </c>
      <c r="G153">
        <f t="shared" si="300"/>
        <v>2.278468144595839</v>
      </c>
      <c r="H153">
        <f t="shared" si="301"/>
        <v>0.4473991253674221</v>
      </c>
    </row>
    <row r="154" spans="1:8">
      <c r="A154">
        <f t="shared" si="302"/>
        <v>0.17</v>
      </c>
      <c r="B154">
        <f>SMALL('Gamma Target'!$I$14:$I$36,COUNTIF('Gamma Target'!$I$14:$I$36,"&lt;"&amp;A154)+1)</f>
        <v>0.20646578368693355</v>
      </c>
      <c r="C154">
        <f>LARGE('Gamma Target'!$I$14:$I$36,COUNTIF('Gamma Target'!$I$14:$I$36,"&gt;"&amp;A154)+1)</f>
        <v>0.16398022168283166</v>
      </c>
      <c r="D154">
        <f>INDEX('Gamma Target'!$J$14:$J$36,MATCH(B154,'Gamma Target'!$I$14:$I$36))</f>
        <v>2.2910838839482666</v>
      </c>
      <c r="E154">
        <f>INDEX('Gamma Target'!$J$14:$J$36,MATCH(C154,'Gamma Target'!$I$14:$I$36))</f>
        <v>2.2772280086419503</v>
      </c>
      <c r="F154">
        <f t="shared" si="299"/>
        <v>0.14168997732893715</v>
      </c>
      <c r="G154">
        <f t="shared" si="300"/>
        <v>2.2791912472999747</v>
      </c>
      <c r="H154">
        <f t="shared" si="301"/>
        <v>0.45957651759557872</v>
      </c>
    </row>
    <row r="155" spans="1:8">
      <c r="A155">
        <f t="shared" si="302"/>
        <v>0.18000000000000002</v>
      </c>
      <c r="B155">
        <f>SMALL('Gamma Target'!$I$14:$I$36,COUNTIF('Gamma Target'!$I$14:$I$36,"&lt;"&amp;A155)+1)</f>
        <v>0.20646578368693355</v>
      </c>
      <c r="C155">
        <f>LARGE('Gamma Target'!$I$14:$I$36,COUNTIF('Gamma Target'!$I$14:$I$36,"&gt;"&amp;A155)+1)</f>
        <v>0.16398022168283166</v>
      </c>
      <c r="D155">
        <f>INDEX('Gamma Target'!$J$14:$J$36,MATCH(B155,'Gamma Target'!$I$14:$I$36))</f>
        <v>2.2910838839482666</v>
      </c>
      <c r="E155">
        <f>INDEX('Gamma Target'!$J$14:$J$36,MATCH(C155,'Gamma Target'!$I$14:$I$36))</f>
        <v>2.2772280086419503</v>
      </c>
      <c r="F155">
        <f t="shared" si="299"/>
        <v>0.37706405568135559</v>
      </c>
      <c r="G155">
        <f t="shared" si="300"/>
        <v>2.2824525611799649</v>
      </c>
      <c r="H155">
        <f t="shared" si="301"/>
        <v>0.471754566132569</v>
      </c>
    </row>
    <row r="156" spans="1:8">
      <c r="A156">
        <f t="shared" si="302"/>
        <v>0.19000000000000003</v>
      </c>
      <c r="B156">
        <f>SMALL('Gamma Target'!$I$14:$I$36,COUNTIF('Gamma Target'!$I$14:$I$36,"&lt;"&amp;A156)+1)</f>
        <v>0.20646578368693355</v>
      </c>
      <c r="C156">
        <f>LARGE('Gamma Target'!$I$14:$I$36,COUNTIF('Gamma Target'!$I$14:$I$36,"&gt;"&amp;A156)+1)</f>
        <v>0.16398022168283166</v>
      </c>
      <c r="D156">
        <f>INDEX('Gamma Target'!$J$14:$J$36,MATCH(B156,'Gamma Target'!$I$14:$I$36))</f>
        <v>2.2910838839482666</v>
      </c>
      <c r="E156">
        <f>INDEX('Gamma Target'!$J$14:$J$36,MATCH(C156,'Gamma Target'!$I$14:$I$36))</f>
        <v>2.2772280086419503</v>
      </c>
      <c r="F156">
        <f t="shared" si="299"/>
        <v>0.61243813403377401</v>
      </c>
      <c r="G156">
        <f t="shared" si="300"/>
        <v>2.2857138750599555</v>
      </c>
      <c r="H156">
        <f t="shared" si="301"/>
        <v>0.48356475976610092</v>
      </c>
    </row>
    <row r="157" spans="1:8">
      <c r="A157">
        <f t="shared" si="302"/>
        <v>0.20000000000000004</v>
      </c>
      <c r="B157">
        <f>SMALL('Gamma Target'!$I$14:$I$36,COUNTIF('Gamma Target'!$I$14:$I$36,"&lt;"&amp;A157)+1)</f>
        <v>0.20646578368693355</v>
      </c>
      <c r="C157">
        <f>LARGE('Gamma Target'!$I$14:$I$36,COUNTIF('Gamma Target'!$I$14:$I$36,"&gt;"&amp;A157)+1)</f>
        <v>0.16398022168283166</v>
      </c>
      <c r="D157">
        <f>INDEX('Gamma Target'!$J$14:$J$36,MATCH(B157,'Gamma Target'!$I$14:$I$36))</f>
        <v>2.2910838839482666</v>
      </c>
      <c r="E157">
        <f>INDEX('Gamma Target'!$J$14:$J$36,MATCH(C157,'Gamma Target'!$I$14:$I$36))</f>
        <v>2.2772280086419503</v>
      </c>
      <c r="F157">
        <f t="shared" si="299"/>
        <v>0.84781221238619242</v>
      </c>
      <c r="G157">
        <f t="shared" si="300"/>
        <v>2.2889751889399457</v>
      </c>
      <c r="H157">
        <f t="shared" si="301"/>
        <v>0.49503541405883911</v>
      </c>
    </row>
    <row r="158" spans="1:8">
      <c r="A158">
        <f t="shared" si="302"/>
        <v>0.21000000000000005</v>
      </c>
      <c r="B158">
        <f>SMALL('Gamma Target'!$I$14:$I$36,COUNTIF('Gamma Target'!$I$14:$I$36,"&lt;"&amp;A158)+1)</f>
        <v>0.25272078525493052</v>
      </c>
      <c r="C158">
        <f>LARGE('Gamma Target'!$I$14:$I$36,COUNTIF('Gamma Target'!$I$14:$I$36,"&gt;"&amp;A158)+1)</f>
        <v>0.20646578368693355</v>
      </c>
      <c r="D158">
        <f>INDEX('Gamma Target'!$J$14:$J$36,MATCH(B158,'Gamma Target'!$I$14:$I$36))</f>
        <v>2.2864291447931993</v>
      </c>
      <c r="E158">
        <f>INDEX('Gamma Target'!$J$14:$J$36,MATCH(C158,'Gamma Target'!$I$14:$I$36))</f>
        <v>2.2910838839482666</v>
      </c>
      <c r="F158">
        <f t="shared" si="299"/>
        <v>7.6407225019137354E-2</v>
      </c>
      <c r="G158">
        <f t="shared" si="300"/>
        <v>2.2907282282462398</v>
      </c>
      <c r="H158">
        <f t="shared" si="301"/>
        <v>0.50596442696857302</v>
      </c>
    </row>
    <row r="159" spans="1:8">
      <c r="A159">
        <f t="shared" si="302"/>
        <v>0.22000000000000006</v>
      </c>
      <c r="B159">
        <f>SMALL('Gamma Target'!$I$14:$I$36,COUNTIF('Gamma Target'!$I$14:$I$36,"&lt;"&amp;A159)+1)</f>
        <v>0.25272078525493052</v>
      </c>
      <c r="C159">
        <f>LARGE('Gamma Target'!$I$14:$I$36,COUNTIF('Gamma Target'!$I$14:$I$36,"&gt;"&amp;A159)+1)</f>
        <v>0.20646578368693355</v>
      </c>
      <c r="D159">
        <f>INDEX('Gamma Target'!$J$14:$J$36,MATCH(B159,'Gamma Target'!$I$14:$I$36))</f>
        <v>2.2864291447931993</v>
      </c>
      <c r="E159">
        <f>INDEX('Gamma Target'!$J$14:$J$36,MATCH(C159,'Gamma Target'!$I$14:$I$36))</f>
        <v>2.2910838839482666</v>
      </c>
      <c r="F159">
        <f t="shared" si="299"/>
        <v>0.29260006170728559</v>
      </c>
      <c r="G159">
        <f t="shared" si="300"/>
        <v>2.2897219069842625</v>
      </c>
      <c r="H159">
        <f t="shared" si="301"/>
        <v>0.51619459985157579</v>
      </c>
    </row>
    <row r="160" spans="1:8">
      <c r="A160">
        <f t="shared" si="302"/>
        <v>0.23000000000000007</v>
      </c>
      <c r="B160">
        <f>SMALL('Gamma Target'!$I$14:$I$36,COUNTIF('Gamma Target'!$I$14:$I$36,"&lt;"&amp;A160)+1)</f>
        <v>0.25272078525493052</v>
      </c>
      <c r="C160">
        <f>LARGE('Gamma Target'!$I$14:$I$36,COUNTIF('Gamma Target'!$I$14:$I$36,"&gt;"&amp;A160)+1)</f>
        <v>0.20646578368693355</v>
      </c>
      <c r="D160">
        <f>INDEX('Gamma Target'!$J$14:$J$36,MATCH(B160,'Gamma Target'!$I$14:$I$36))</f>
        <v>2.2864291447931993</v>
      </c>
      <c r="E160">
        <f>INDEX('Gamma Target'!$J$14:$J$36,MATCH(C160,'Gamma Target'!$I$14:$I$36))</f>
        <v>2.2910838839482666</v>
      </c>
      <c r="F160">
        <f t="shared" ref="F160:F191" si="303">(A160-C160)/(B160-C160)</f>
        <v>0.50879289839543373</v>
      </c>
      <c r="G160">
        <f t="shared" si="300"/>
        <v>2.2887155857222852</v>
      </c>
      <c r="H160">
        <f t="shared" ref="H160:H191" si="304">A160^(1/G160)</f>
        <v>0.52616519172007603</v>
      </c>
    </row>
    <row r="161" spans="1:8">
      <c r="A161">
        <f t="shared" si="302"/>
        <v>0.24000000000000007</v>
      </c>
      <c r="B161">
        <f>SMALL('Gamma Target'!$I$14:$I$36,COUNTIF('Gamma Target'!$I$14:$I$36,"&lt;"&amp;A161)+1)</f>
        <v>0.25272078525493052</v>
      </c>
      <c r="C161">
        <f>LARGE('Gamma Target'!$I$14:$I$36,COUNTIF('Gamma Target'!$I$14:$I$36,"&gt;"&amp;A161)+1)</f>
        <v>0.20646578368693355</v>
      </c>
      <c r="D161">
        <f>INDEX('Gamma Target'!$J$14:$J$36,MATCH(B161,'Gamma Target'!$I$14:$I$36))</f>
        <v>2.2864291447931993</v>
      </c>
      <c r="E161">
        <f>INDEX('Gamma Target'!$J$14:$J$36,MATCH(C161,'Gamma Target'!$I$14:$I$36))</f>
        <v>2.2910838839482666</v>
      </c>
      <c r="F161">
        <f t="shared" si="303"/>
        <v>0.72498573508358199</v>
      </c>
      <c r="G161">
        <f t="shared" si="300"/>
        <v>2.2877092644603079</v>
      </c>
      <c r="H161">
        <f t="shared" si="304"/>
        <v>0.53589398083277573</v>
      </c>
    </row>
    <row r="162" spans="1:8">
      <c r="A162">
        <f t="shared" si="302"/>
        <v>0.25000000000000006</v>
      </c>
      <c r="B162">
        <f>SMALL('Gamma Target'!$I$14:$I$36,COUNTIF('Gamma Target'!$I$14:$I$36,"&lt;"&amp;A162)+1)</f>
        <v>0.25272078525493052</v>
      </c>
      <c r="C162">
        <f>LARGE('Gamma Target'!$I$14:$I$36,COUNTIF('Gamma Target'!$I$14:$I$36,"&gt;"&amp;A162)+1)</f>
        <v>0.20646578368693355</v>
      </c>
      <c r="D162">
        <f>INDEX('Gamma Target'!$J$14:$J$36,MATCH(B162,'Gamma Target'!$I$14:$I$36))</f>
        <v>2.2864291447931993</v>
      </c>
      <c r="E162">
        <f>INDEX('Gamma Target'!$J$14:$J$36,MATCH(C162,'Gamma Target'!$I$14:$I$36))</f>
        <v>2.2910838839482666</v>
      </c>
      <c r="F162">
        <f t="shared" si="303"/>
        <v>0.94117857177172959</v>
      </c>
      <c r="G162">
        <f t="shared" si="300"/>
        <v>2.2867029431983306</v>
      </c>
      <c r="H162">
        <f t="shared" si="304"/>
        <v>0.54539686280290978</v>
      </c>
    </row>
    <row r="163" spans="1:8">
      <c r="A163">
        <f t="shared" si="302"/>
        <v>0.26000000000000006</v>
      </c>
      <c r="B163">
        <f>SMALL('Gamma Target'!$I$14:$I$36,COUNTIF('Gamma Target'!$I$14:$I$36,"&lt;"&amp;A163)+1)</f>
        <v>0.30549770449735342</v>
      </c>
      <c r="C163">
        <f>LARGE('Gamma Target'!$I$14:$I$36,COUNTIF('Gamma Target'!$I$14:$I$36,"&gt;"&amp;A163)+1)</f>
        <v>0.25272078525493052</v>
      </c>
      <c r="D163">
        <f>INDEX('Gamma Target'!$J$14:$J$36,MATCH(B163,'Gamma Target'!$I$14:$I$36))</f>
        <v>2.3075930598089069</v>
      </c>
      <c r="E163">
        <f>INDEX('Gamma Target'!$J$14:$J$36,MATCH(C163,'Gamma Target'!$I$14:$I$36))</f>
        <v>2.2864291447931993</v>
      </c>
      <c r="F163">
        <f t="shared" si="303"/>
        <v>0.13792420720189358</v>
      </c>
      <c r="G163">
        <f t="shared" si="300"/>
        <v>2.2893481609930291</v>
      </c>
      <c r="H163">
        <f t="shared" si="304"/>
        <v>0.55520977930288662</v>
      </c>
    </row>
    <row r="164" spans="1:8">
      <c r="A164">
        <f t="shared" si="302"/>
        <v>0.27000000000000007</v>
      </c>
      <c r="B164">
        <f>SMALL('Gamma Target'!$I$14:$I$36,COUNTIF('Gamma Target'!$I$14:$I$36,"&lt;"&amp;A164)+1)</f>
        <v>0.30549770449735342</v>
      </c>
      <c r="C164">
        <f>LARGE('Gamma Target'!$I$14:$I$36,COUNTIF('Gamma Target'!$I$14:$I$36,"&gt;"&amp;A164)+1)</f>
        <v>0.25272078525493052</v>
      </c>
      <c r="D164">
        <f>INDEX('Gamma Target'!$J$14:$J$36,MATCH(B164,'Gamma Target'!$I$14:$I$36))</f>
        <v>2.3075930598089069</v>
      </c>
      <c r="E164">
        <f>INDEX('Gamma Target'!$J$14:$J$36,MATCH(C164,'Gamma Target'!$I$14:$I$36))</f>
        <v>2.2864291447931993</v>
      </c>
      <c r="F164">
        <f t="shared" si="303"/>
        <v>0.32740097362826459</v>
      </c>
      <c r="G164">
        <f t="shared" si="300"/>
        <v>2.2933582311751279</v>
      </c>
      <c r="H164">
        <f t="shared" si="304"/>
        <v>0.5650031184708143</v>
      </c>
    </row>
    <row r="165" spans="1:8">
      <c r="A165">
        <f t="shared" si="302"/>
        <v>0.28000000000000008</v>
      </c>
      <c r="B165">
        <f>SMALL('Gamma Target'!$I$14:$I$36,COUNTIF('Gamma Target'!$I$14:$I$36,"&lt;"&amp;A165)+1)</f>
        <v>0.30549770449735342</v>
      </c>
      <c r="C165">
        <f>LARGE('Gamma Target'!$I$14:$I$36,COUNTIF('Gamma Target'!$I$14:$I$36,"&gt;"&amp;A165)+1)</f>
        <v>0.25272078525493052</v>
      </c>
      <c r="D165">
        <f>INDEX('Gamma Target'!$J$14:$J$36,MATCH(B165,'Gamma Target'!$I$14:$I$36))</f>
        <v>2.3075930598089069</v>
      </c>
      <c r="E165">
        <f>INDEX('Gamma Target'!$J$14:$J$36,MATCH(C165,'Gamma Target'!$I$14:$I$36))</f>
        <v>2.2864291447931993</v>
      </c>
      <c r="F165">
        <f t="shared" si="303"/>
        <v>0.5168777400546356</v>
      </c>
      <c r="G165">
        <f t="shared" si="300"/>
        <v>2.2973683013572268</v>
      </c>
      <c r="H165">
        <f t="shared" si="304"/>
        <v>0.57459068445091321</v>
      </c>
    </row>
    <row r="166" spans="1:8">
      <c r="A166">
        <f t="shared" si="302"/>
        <v>0.29000000000000009</v>
      </c>
      <c r="B166">
        <f>SMALL('Gamma Target'!$I$14:$I$36,COUNTIF('Gamma Target'!$I$14:$I$36,"&lt;"&amp;A166)+1)</f>
        <v>0.30549770449735342</v>
      </c>
      <c r="C166">
        <f>LARGE('Gamma Target'!$I$14:$I$36,COUNTIF('Gamma Target'!$I$14:$I$36,"&gt;"&amp;A166)+1)</f>
        <v>0.25272078525493052</v>
      </c>
      <c r="D166">
        <f>INDEX('Gamma Target'!$J$14:$J$36,MATCH(B166,'Gamma Target'!$I$14:$I$36))</f>
        <v>2.3075930598089069</v>
      </c>
      <c r="E166">
        <f>INDEX('Gamma Target'!$J$14:$J$36,MATCH(C166,'Gamma Target'!$I$14:$I$36))</f>
        <v>2.2864291447931993</v>
      </c>
      <c r="F166">
        <f t="shared" si="303"/>
        <v>0.70635450648100662</v>
      </c>
      <c r="G166">
        <f t="shared" ref="G166:G197" si="305">IFERROR(F166*(D166-E166)+E166,G165)</f>
        <v>2.3013783715393252</v>
      </c>
      <c r="H166">
        <f t="shared" si="304"/>
        <v>0.58398271614121489</v>
      </c>
    </row>
    <row r="167" spans="1:8">
      <c r="A167">
        <f t="shared" si="302"/>
        <v>0.3000000000000001</v>
      </c>
      <c r="B167">
        <f>SMALL('Gamma Target'!$I$14:$I$36,COUNTIF('Gamma Target'!$I$14:$I$36,"&lt;"&amp;A167)+1)</f>
        <v>0.30549770449735342</v>
      </c>
      <c r="C167">
        <f>LARGE('Gamma Target'!$I$14:$I$36,COUNTIF('Gamma Target'!$I$14:$I$36,"&gt;"&amp;A167)+1)</f>
        <v>0.25272078525493052</v>
      </c>
      <c r="D167">
        <f>INDEX('Gamma Target'!$J$14:$J$36,MATCH(B167,'Gamma Target'!$I$14:$I$36))</f>
        <v>2.3075930598089069</v>
      </c>
      <c r="E167">
        <f>INDEX('Gamma Target'!$J$14:$J$36,MATCH(C167,'Gamma Target'!$I$14:$I$36))</f>
        <v>2.2864291447931993</v>
      </c>
      <c r="F167">
        <f t="shared" si="303"/>
        <v>0.89583127290737774</v>
      </c>
      <c r="G167">
        <f t="shared" si="305"/>
        <v>2.3053884417214241</v>
      </c>
      <c r="H167">
        <f t="shared" si="304"/>
        <v>0.59318857695946858</v>
      </c>
    </row>
    <row r="168" spans="1:8">
      <c r="A168">
        <f t="shared" si="302"/>
        <v>0.31000000000000011</v>
      </c>
      <c r="B168">
        <f>SMALL('Gamma Target'!$I$14:$I$36,COUNTIF('Gamma Target'!$I$14:$I$36,"&lt;"&amp;A168)+1)</f>
        <v>0.3600766083582046</v>
      </c>
      <c r="C168">
        <f>LARGE('Gamma Target'!$I$14:$I$36,COUNTIF('Gamma Target'!$I$14:$I$36,"&gt;"&amp;A168)+1)</f>
        <v>0.30549770449735342</v>
      </c>
      <c r="D168">
        <f>INDEX('Gamma Target'!$J$14:$J$36,MATCH(B168,'Gamma Target'!$I$14:$I$36))</f>
        <v>2.3576480789784027</v>
      </c>
      <c r="E168">
        <f>INDEX('Gamma Target'!$J$14:$J$36,MATCH(C168,'Gamma Target'!$I$14:$I$36))</f>
        <v>2.3075930598089069</v>
      </c>
      <c r="F168">
        <f t="shared" si="303"/>
        <v>8.2491497339801587E-2</v>
      </c>
      <c r="G168">
        <f t="shared" si="305"/>
        <v>2.3117221732895712</v>
      </c>
      <c r="H168">
        <f t="shared" si="304"/>
        <v>0.60252391972836461</v>
      </c>
    </row>
    <row r="169" spans="1:8">
      <c r="A169">
        <f t="shared" si="302"/>
        <v>0.32000000000000012</v>
      </c>
      <c r="B169">
        <f>SMALL('Gamma Target'!$I$14:$I$36,COUNTIF('Gamma Target'!$I$14:$I$36,"&lt;"&amp;A169)+1)</f>
        <v>0.3600766083582046</v>
      </c>
      <c r="C169">
        <f>LARGE('Gamma Target'!$I$14:$I$36,COUNTIF('Gamma Target'!$I$14:$I$36,"&gt;"&amp;A169)+1)</f>
        <v>0.30549770449735342</v>
      </c>
      <c r="D169">
        <f>INDEX('Gamma Target'!$J$14:$J$36,MATCH(B169,'Gamma Target'!$I$14:$I$36))</f>
        <v>2.3576480789784027</v>
      </c>
      <c r="E169">
        <f>INDEX('Gamma Target'!$J$14:$J$36,MATCH(C169,'Gamma Target'!$I$14:$I$36))</f>
        <v>2.3075930598089069</v>
      </c>
      <c r="F169">
        <f t="shared" si="303"/>
        <v>0.26571247270960729</v>
      </c>
      <c r="G169">
        <f t="shared" si="305"/>
        <v>2.3208933027239604</v>
      </c>
      <c r="H169">
        <f t="shared" si="304"/>
        <v>0.6120468599974388</v>
      </c>
    </row>
    <row r="170" spans="1:8">
      <c r="A170">
        <f t="shared" si="302"/>
        <v>0.33000000000000013</v>
      </c>
      <c r="B170">
        <f>SMALL('Gamma Target'!$I$14:$I$36,COUNTIF('Gamma Target'!$I$14:$I$36,"&lt;"&amp;A170)+1)</f>
        <v>0.3600766083582046</v>
      </c>
      <c r="C170">
        <f>LARGE('Gamma Target'!$I$14:$I$36,COUNTIF('Gamma Target'!$I$14:$I$36,"&gt;"&amp;A170)+1)</f>
        <v>0.30549770449735342</v>
      </c>
      <c r="D170">
        <f>INDEX('Gamma Target'!$J$14:$J$36,MATCH(B170,'Gamma Target'!$I$14:$I$36))</f>
        <v>2.3576480789784027</v>
      </c>
      <c r="E170">
        <f>INDEX('Gamma Target'!$J$14:$J$36,MATCH(C170,'Gamma Target'!$I$14:$I$36))</f>
        <v>2.3075930598089069</v>
      </c>
      <c r="F170">
        <f t="shared" si="303"/>
        <v>0.44893344807941304</v>
      </c>
      <c r="G170">
        <f t="shared" si="305"/>
        <v>2.3300644321583497</v>
      </c>
      <c r="H170">
        <f t="shared" si="304"/>
        <v>0.62138295571453317</v>
      </c>
    </row>
    <row r="171" spans="1:8">
      <c r="A171">
        <f t="shared" si="302"/>
        <v>0.34000000000000014</v>
      </c>
      <c r="B171">
        <f>SMALL('Gamma Target'!$I$14:$I$36,COUNTIF('Gamma Target'!$I$14:$I$36,"&lt;"&amp;A171)+1)</f>
        <v>0.3600766083582046</v>
      </c>
      <c r="C171">
        <f>LARGE('Gamma Target'!$I$14:$I$36,COUNTIF('Gamma Target'!$I$14:$I$36,"&gt;"&amp;A171)+1)</f>
        <v>0.30549770449735342</v>
      </c>
      <c r="D171">
        <f>INDEX('Gamma Target'!$J$14:$J$36,MATCH(B171,'Gamma Target'!$I$14:$I$36))</f>
        <v>2.3576480789784027</v>
      </c>
      <c r="E171">
        <f>INDEX('Gamma Target'!$J$14:$J$36,MATCH(C171,'Gamma Target'!$I$14:$I$36))</f>
        <v>2.3075930598089069</v>
      </c>
      <c r="F171">
        <f t="shared" si="303"/>
        <v>0.63215442344921879</v>
      </c>
      <c r="G171">
        <f t="shared" si="305"/>
        <v>2.3392355615927389</v>
      </c>
      <c r="H171">
        <f t="shared" si="304"/>
        <v>0.63053889921450901</v>
      </c>
    </row>
    <row r="172" spans="1:8">
      <c r="A172">
        <f t="shared" si="302"/>
        <v>0.35000000000000014</v>
      </c>
      <c r="B172">
        <f>SMALL('Gamma Target'!$I$14:$I$36,COUNTIF('Gamma Target'!$I$14:$I$36,"&lt;"&amp;A172)+1)</f>
        <v>0.3600766083582046</v>
      </c>
      <c r="C172">
        <f>LARGE('Gamma Target'!$I$14:$I$36,COUNTIF('Gamma Target'!$I$14:$I$36,"&gt;"&amp;A172)+1)</f>
        <v>0.30549770449735342</v>
      </c>
      <c r="D172">
        <f>INDEX('Gamma Target'!$J$14:$J$36,MATCH(B172,'Gamma Target'!$I$14:$I$36))</f>
        <v>2.3576480789784027</v>
      </c>
      <c r="E172">
        <f>INDEX('Gamma Target'!$J$14:$J$36,MATCH(C172,'Gamma Target'!$I$14:$I$36))</f>
        <v>2.3075930598089069</v>
      </c>
      <c r="F172">
        <f t="shared" si="303"/>
        <v>0.81537539881902454</v>
      </c>
      <c r="G172">
        <f t="shared" si="305"/>
        <v>2.3484066910271286</v>
      </c>
      <c r="H172">
        <f t="shared" si="304"/>
        <v>0.63952094203218279</v>
      </c>
    </row>
    <row r="173" spans="1:8">
      <c r="A173">
        <f t="shared" si="302"/>
        <v>0.36000000000000015</v>
      </c>
      <c r="B173">
        <f>SMALL('Gamma Target'!$I$14:$I$36,COUNTIF('Gamma Target'!$I$14:$I$36,"&lt;"&amp;A173)+1)</f>
        <v>0.3600766083582046</v>
      </c>
      <c r="C173">
        <f>LARGE('Gamma Target'!$I$14:$I$36,COUNTIF('Gamma Target'!$I$14:$I$36,"&gt;"&amp;A173)+1)</f>
        <v>0.30549770449735342</v>
      </c>
      <c r="D173">
        <f>INDEX('Gamma Target'!$J$14:$J$36,MATCH(B173,'Gamma Target'!$I$14:$I$36))</f>
        <v>2.3576480789784027</v>
      </c>
      <c r="E173">
        <f>INDEX('Gamma Target'!$J$14:$J$36,MATCH(C173,'Gamma Target'!$I$14:$I$36))</f>
        <v>2.3075930598089069</v>
      </c>
      <c r="F173">
        <f t="shared" si="303"/>
        <v>0.99859637418883018</v>
      </c>
      <c r="G173">
        <f t="shared" si="305"/>
        <v>2.3575778204615179</v>
      </c>
      <c r="H173">
        <f t="shared" si="304"/>
        <v>0.64833493811864751</v>
      </c>
    </row>
    <row r="174" spans="1:8">
      <c r="A174">
        <f t="shared" si="302"/>
        <v>0.37000000000000016</v>
      </c>
      <c r="B174">
        <f>SMALL('Gamma Target'!$I$14:$I$36,COUNTIF('Gamma Target'!$I$14:$I$36,"&lt;"&amp;A174)+1)</f>
        <v>0.43273973586656045</v>
      </c>
      <c r="C174">
        <f>LARGE('Gamma Target'!$I$14:$I$36,COUNTIF('Gamma Target'!$I$14:$I$36,"&gt;"&amp;A174)+1)</f>
        <v>0.3600766083582046</v>
      </c>
      <c r="D174">
        <f>INDEX('Gamma Target'!$J$14:$J$36,MATCH(B174,'Gamma Target'!$I$14:$I$36))</f>
        <v>2.3355823793585304</v>
      </c>
      <c r="E174">
        <f>INDEX('Gamma Target'!$J$14:$J$36,MATCH(C174,'Gamma Target'!$I$14:$I$36))</f>
        <v>2.3576480789784027</v>
      </c>
      <c r="F174">
        <f t="shared" si="303"/>
        <v>0.13656708680278634</v>
      </c>
      <c r="G174">
        <f t="shared" si="305"/>
        <v>2.3546346306630515</v>
      </c>
      <c r="H174">
        <f t="shared" si="304"/>
        <v>0.65556795457305517</v>
      </c>
    </row>
    <row r="175" spans="1:8">
      <c r="A175">
        <f t="shared" si="302"/>
        <v>0.38000000000000017</v>
      </c>
      <c r="B175">
        <f>SMALL('Gamma Target'!$I$14:$I$36,COUNTIF('Gamma Target'!$I$14:$I$36,"&lt;"&amp;A175)+1)</f>
        <v>0.43273973586656045</v>
      </c>
      <c r="C175">
        <f>LARGE('Gamma Target'!$I$14:$I$36,COUNTIF('Gamma Target'!$I$14:$I$36,"&gt;"&amp;A175)+1)</f>
        <v>0.3600766083582046</v>
      </c>
      <c r="D175">
        <f>INDEX('Gamma Target'!$J$14:$J$36,MATCH(B175,'Gamma Target'!$I$14:$I$36))</f>
        <v>2.3355823793585304</v>
      </c>
      <c r="E175">
        <f>INDEX('Gamma Target'!$J$14:$J$36,MATCH(C175,'Gamma Target'!$I$14:$I$36))</f>
        <v>2.3576480789784027</v>
      </c>
      <c r="F175">
        <f t="shared" si="303"/>
        <v>0.27418846841549033</v>
      </c>
      <c r="G175">
        <f t="shared" si="305"/>
        <v>2.3515979185951137</v>
      </c>
      <c r="H175">
        <f t="shared" si="304"/>
        <v>0.66268328269647225</v>
      </c>
    </row>
    <row r="176" spans="1:8">
      <c r="A176">
        <f t="shared" ref="A176:A207" si="306">A175+0.01</f>
        <v>0.39000000000000018</v>
      </c>
      <c r="B176">
        <f>SMALL('Gamma Target'!$I$14:$I$36,COUNTIF('Gamma Target'!$I$14:$I$36,"&lt;"&amp;A176)+1)</f>
        <v>0.43273973586656045</v>
      </c>
      <c r="C176">
        <f>LARGE('Gamma Target'!$I$14:$I$36,COUNTIF('Gamma Target'!$I$14:$I$36,"&gt;"&amp;A176)+1)</f>
        <v>0.3600766083582046</v>
      </c>
      <c r="D176">
        <f>INDEX('Gamma Target'!$J$14:$J$36,MATCH(B176,'Gamma Target'!$I$14:$I$36))</f>
        <v>2.3355823793585304</v>
      </c>
      <c r="E176">
        <f>INDEX('Gamma Target'!$J$14:$J$36,MATCH(C176,'Gamma Target'!$I$14:$I$36))</f>
        <v>2.3576480789784027</v>
      </c>
      <c r="F176">
        <f t="shared" si="303"/>
        <v>0.41180985002819431</v>
      </c>
      <c r="G176">
        <f t="shared" si="305"/>
        <v>2.3485612065271759</v>
      </c>
      <c r="H176">
        <f t="shared" si="304"/>
        <v>0.6696969680310314</v>
      </c>
    </row>
    <row r="177" spans="1:8">
      <c r="A177">
        <f t="shared" si="306"/>
        <v>0.40000000000000019</v>
      </c>
      <c r="B177">
        <f>SMALL('Gamma Target'!$I$14:$I$36,COUNTIF('Gamma Target'!$I$14:$I$36,"&lt;"&amp;A177)+1)</f>
        <v>0.43273973586656045</v>
      </c>
      <c r="C177">
        <f>LARGE('Gamma Target'!$I$14:$I$36,COUNTIF('Gamma Target'!$I$14:$I$36,"&gt;"&amp;A177)+1)</f>
        <v>0.3600766083582046</v>
      </c>
      <c r="D177">
        <f>INDEX('Gamma Target'!$J$14:$J$36,MATCH(B177,'Gamma Target'!$I$14:$I$36))</f>
        <v>2.3355823793585304</v>
      </c>
      <c r="E177">
        <f>INDEX('Gamma Target'!$J$14:$J$36,MATCH(C177,'Gamma Target'!$I$14:$I$36))</f>
        <v>2.3576480789784027</v>
      </c>
      <c r="F177">
        <f t="shared" si="303"/>
        <v>0.54943123164089824</v>
      </c>
      <c r="G177">
        <f t="shared" si="305"/>
        <v>2.3455244944592382</v>
      </c>
      <c r="H177">
        <f t="shared" si="304"/>
        <v>0.67661358769494229</v>
      </c>
    </row>
    <row r="178" spans="1:8">
      <c r="A178">
        <f t="shared" si="306"/>
        <v>0.4100000000000002</v>
      </c>
      <c r="B178">
        <f>SMALL('Gamma Target'!$I$14:$I$36,COUNTIF('Gamma Target'!$I$14:$I$36,"&lt;"&amp;A178)+1)</f>
        <v>0.43273973586656045</v>
      </c>
      <c r="C178">
        <f>LARGE('Gamma Target'!$I$14:$I$36,COUNTIF('Gamma Target'!$I$14:$I$36,"&gt;"&amp;A178)+1)</f>
        <v>0.3600766083582046</v>
      </c>
      <c r="D178">
        <f>INDEX('Gamma Target'!$J$14:$J$36,MATCH(B178,'Gamma Target'!$I$14:$I$36))</f>
        <v>2.3355823793585304</v>
      </c>
      <c r="E178">
        <f>INDEX('Gamma Target'!$J$14:$J$36,MATCH(C178,'Gamma Target'!$I$14:$I$36))</f>
        <v>2.3576480789784027</v>
      </c>
      <c r="F178">
        <f t="shared" si="303"/>
        <v>0.68705261325360223</v>
      </c>
      <c r="G178">
        <f t="shared" si="305"/>
        <v>2.3424877823913004</v>
      </c>
      <c r="H178">
        <f t="shared" si="304"/>
        <v>0.6834374241429465</v>
      </c>
    </row>
    <row r="179" spans="1:8">
      <c r="A179">
        <f t="shared" si="306"/>
        <v>0.42000000000000021</v>
      </c>
      <c r="B179">
        <f>SMALL('Gamma Target'!$I$14:$I$36,COUNTIF('Gamma Target'!$I$14:$I$36,"&lt;"&amp;A179)+1)</f>
        <v>0.43273973586656045</v>
      </c>
      <c r="C179">
        <f>LARGE('Gamma Target'!$I$14:$I$36,COUNTIF('Gamma Target'!$I$14:$I$36,"&gt;"&amp;A179)+1)</f>
        <v>0.3600766083582046</v>
      </c>
      <c r="D179">
        <f>INDEX('Gamma Target'!$J$14:$J$36,MATCH(B179,'Gamma Target'!$I$14:$I$36))</f>
        <v>2.3355823793585304</v>
      </c>
      <c r="E179">
        <f>INDEX('Gamma Target'!$J$14:$J$36,MATCH(C179,'Gamma Target'!$I$14:$I$36))</f>
        <v>2.3576480789784027</v>
      </c>
      <c r="F179">
        <f t="shared" si="303"/>
        <v>0.82467399486630621</v>
      </c>
      <c r="G179">
        <f t="shared" si="305"/>
        <v>2.3394510703233626</v>
      </c>
      <c r="H179">
        <f t="shared" si="304"/>
        <v>0.69017249091687127</v>
      </c>
    </row>
    <row r="180" spans="1:8">
      <c r="A180">
        <f t="shared" si="306"/>
        <v>0.43000000000000022</v>
      </c>
      <c r="B180">
        <f>SMALL('Gamma Target'!$I$14:$I$36,COUNTIF('Gamma Target'!$I$14:$I$36,"&lt;"&amp;A180)+1)</f>
        <v>0.43273973586656045</v>
      </c>
      <c r="C180">
        <f>LARGE('Gamma Target'!$I$14:$I$36,COUNTIF('Gamma Target'!$I$14:$I$36,"&gt;"&amp;A180)+1)</f>
        <v>0.3600766083582046</v>
      </c>
      <c r="D180">
        <f>INDEX('Gamma Target'!$J$14:$J$36,MATCH(B180,'Gamma Target'!$I$14:$I$36))</f>
        <v>2.3355823793585304</v>
      </c>
      <c r="E180">
        <f>INDEX('Gamma Target'!$J$14:$J$36,MATCH(C180,'Gamma Target'!$I$14:$I$36))</f>
        <v>2.3576480789784027</v>
      </c>
      <c r="F180">
        <f t="shared" si="303"/>
        <v>0.9622953764790102</v>
      </c>
      <c r="G180">
        <f t="shared" si="305"/>
        <v>2.3364143582554249</v>
      </c>
      <c r="H180">
        <f t="shared" si="304"/>
        <v>0.69682255559527728</v>
      </c>
    </row>
    <row r="181" spans="1:8">
      <c r="A181">
        <f t="shared" si="306"/>
        <v>0.44000000000000022</v>
      </c>
      <c r="B181">
        <f>SMALL('Gamma Target'!$I$14:$I$36,COUNTIF('Gamma Target'!$I$14:$I$36,"&lt;"&amp;A181)+1)</f>
        <v>0.51605060114699042</v>
      </c>
      <c r="C181">
        <f>LARGE('Gamma Target'!$I$14:$I$36,COUNTIF('Gamma Target'!$I$14:$I$36,"&gt;"&amp;A181)+1)</f>
        <v>0.43273973586656045</v>
      </c>
      <c r="D181">
        <f>INDEX('Gamma Target'!$J$14:$J$36,MATCH(B181,'Gamma Target'!$I$14:$I$36))</f>
        <v>2.2874769221478926</v>
      </c>
      <c r="E181">
        <f>INDEX('Gamma Target'!$J$14:$J$36,MATCH(C181,'Gamma Target'!$I$14:$I$36))</f>
        <v>2.3355823793585304</v>
      </c>
      <c r="F181">
        <f t="shared" si="303"/>
        <v>8.7146665792045719E-2</v>
      </c>
      <c r="G181">
        <f t="shared" si="305"/>
        <v>2.3313901491562214</v>
      </c>
      <c r="H181">
        <f t="shared" si="304"/>
        <v>0.70318021437769862</v>
      </c>
    </row>
    <row r="182" spans="1:8">
      <c r="A182">
        <f t="shared" si="306"/>
        <v>0.45000000000000023</v>
      </c>
      <c r="B182">
        <f>SMALL('Gamma Target'!$I$14:$I$36,COUNTIF('Gamma Target'!$I$14:$I$36,"&lt;"&amp;A182)+1)</f>
        <v>0.51605060114699042</v>
      </c>
      <c r="C182">
        <f>LARGE('Gamma Target'!$I$14:$I$36,COUNTIF('Gamma Target'!$I$14:$I$36,"&gt;"&amp;A182)+1)</f>
        <v>0.43273973586656045</v>
      </c>
      <c r="D182">
        <f>INDEX('Gamma Target'!$J$14:$J$36,MATCH(B182,'Gamma Target'!$I$14:$I$36))</f>
        <v>2.2874769221478926</v>
      </c>
      <c r="E182">
        <f>INDEX('Gamma Target'!$J$14:$J$36,MATCH(C182,'Gamma Target'!$I$14:$I$36))</f>
        <v>2.3355823793585304</v>
      </c>
      <c r="F182">
        <f t="shared" si="303"/>
        <v>0.20717902851375478</v>
      </c>
      <c r="G182">
        <f t="shared" si="305"/>
        <v>2.3256159374674206</v>
      </c>
      <c r="H182">
        <f t="shared" si="304"/>
        <v>0.7093876048559461</v>
      </c>
    </row>
    <row r="183" spans="1:8">
      <c r="A183">
        <f t="shared" si="306"/>
        <v>0.46000000000000024</v>
      </c>
      <c r="B183">
        <f>SMALL('Gamma Target'!$I$14:$I$36,COUNTIF('Gamma Target'!$I$14:$I$36,"&lt;"&amp;A183)+1)</f>
        <v>0.51605060114699042</v>
      </c>
      <c r="C183">
        <f>LARGE('Gamma Target'!$I$14:$I$36,COUNTIF('Gamma Target'!$I$14:$I$36,"&gt;"&amp;A183)+1)</f>
        <v>0.43273973586656045</v>
      </c>
      <c r="D183">
        <f>INDEX('Gamma Target'!$J$14:$J$36,MATCH(B183,'Gamma Target'!$I$14:$I$36))</f>
        <v>2.2874769221478926</v>
      </c>
      <c r="E183">
        <f>INDEX('Gamma Target'!$J$14:$J$36,MATCH(C183,'Gamma Target'!$I$14:$I$36))</f>
        <v>2.3355823793585304</v>
      </c>
      <c r="F183">
        <f t="shared" si="303"/>
        <v>0.32721139123546389</v>
      </c>
      <c r="G183">
        <f t="shared" si="305"/>
        <v>2.3198417257786197</v>
      </c>
      <c r="H183">
        <f t="shared" si="304"/>
        <v>0.71552873418732987</v>
      </c>
    </row>
    <row r="184" spans="1:8">
      <c r="A184">
        <f t="shared" si="306"/>
        <v>0.47000000000000025</v>
      </c>
      <c r="B184">
        <f>SMALL('Gamma Target'!$I$14:$I$36,COUNTIF('Gamma Target'!$I$14:$I$36,"&lt;"&amp;A184)+1)</f>
        <v>0.51605060114699042</v>
      </c>
      <c r="C184">
        <f>LARGE('Gamma Target'!$I$14:$I$36,COUNTIF('Gamma Target'!$I$14:$I$36,"&gt;"&amp;A184)+1)</f>
        <v>0.43273973586656045</v>
      </c>
      <c r="D184">
        <f>INDEX('Gamma Target'!$J$14:$J$36,MATCH(B184,'Gamma Target'!$I$14:$I$36))</f>
        <v>2.2874769221478926</v>
      </c>
      <c r="E184">
        <f>INDEX('Gamma Target'!$J$14:$J$36,MATCH(C184,'Gamma Target'!$I$14:$I$36))</f>
        <v>2.3355823793585304</v>
      </c>
      <c r="F184">
        <f t="shared" si="303"/>
        <v>0.44724375395717292</v>
      </c>
      <c r="G184">
        <f t="shared" si="305"/>
        <v>2.3140675140898184</v>
      </c>
      <c r="H184">
        <f t="shared" si="304"/>
        <v>0.72160665402105462</v>
      </c>
    </row>
    <row r="185" spans="1:8">
      <c r="A185">
        <f t="shared" si="306"/>
        <v>0.48000000000000026</v>
      </c>
      <c r="B185">
        <f>SMALL('Gamma Target'!$I$14:$I$36,COUNTIF('Gamma Target'!$I$14:$I$36,"&lt;"&amp;A185)+1)</f>
        <v>0.51605060114699042</v>
      </c>
      <c r="C185">
        <f>LARGE('Gamma Target'!$I$14:$I$36,COUNTIF('Gamma Target'!$I$14:$I$36,"&gt;"&amp;A185)+1)</f>
        <v>0.43273973586656045</v>
      </c>
      <c r="D185">
        <f>INDEX('Gamma Target'!$J$14:$J$36,MATCH(B185,'Gamma Target'!$I$14:$I$36))</f>
        <v>2.2874769221478926</v>
      </c>
      <c r="E185">
        <f>INDEX('Gamma Target'!$J$14:$J$36,MATCH(C185,'Gamma Target'!$I$14:$I$36))</f>
        <v>2.3355823793585304</v>
      </c>
      <c r="F185">
        <f t="shared" si="303"/>
        <v>0.567276116678882</v>
      </c>
      <c r="G185">
        <f t="shared" si="305"/>
        <v>2.3082933024010175</v>
      </c>
      <c r="H185">
        <f t="shared" si="304"/>
        <v>0.72762425314928492</v>
      </c>
    </row>
    <row r="186" spans="1:8">
      <c r="A186">
        <f t="shared" si="306"/>
        <v>0.49000000000000027</v>
      </c>
      <c r="B186">
        <f>SMALL('Gamma Target'!$I$14:$I$36,COUNTIF('Gamma Target'!$I$14:$I$36,"&lt;"&amp;A186)+1)</f>
        <v>0.51605060114699042</v>
      </c>
      <c r="C186">
        <f>LARGE('Gamma Target'!$I$14:$I$36,COUNTIF('Gamma Target'!$I$14:$I$36,"&gt;"&amp;A186)+1)</f>
        <v>0.43273973586656045</v>
      </c>
      <c r="D186">
        <f>INDEX('Gamma Target'!$J$14:$J$36,MATCH(B186,'Gamma Target'!$I$14:$I$36))</f>
        <v>2.2874769221478926</v>
      </c>
      <c r="E186">
        <f>INDEX('Gamma Target'!$J$14:$J$36,MATCH(C186,'Gamma Target'!$I$14:$I$36))</f>
        <v>2.3355823793585304</v>
      </c>
      <c r="F186">
        <f t="shared" si="303"/>
        <v>0.68730847940059103</v>
      </c>
      <c r="G186">
        <f t="shared" si="305"/>
        <v>2.3025190907122166</v>
      </c>
      <c r="H186">
        <f t="shared" si="304"/>
        <v>0.73358426992281034</v>
      </c>
    </row>
    <row r="187" spans="1:8">
      <c r="A187">
        <f t="shared" si="306"/>
        <v>0.50000000000000022</v>
      </c>
      <c r="B187">
        <f>SMALL('Gamma Target'!$I$14:$I$36,COUNTIF('Gamma Target'!$I$14:$I$36,"&lt;"&amp;A187)+1)</f>
        <v>0.51605060114699042</v>
      </c>
      <c r="C187">
        <f>LARGE('Gamma Target'!$I$14:$I$36,COUNTIF('Gamma Target'!$I$14:$I$36,"&gt;"&amp;A187)+1)</f>
        <v>0.43273973586656045</v>
      </c>
      <c r="D187">
        <f>INDEX('Gamma Target'!$J$14:$J$36,MATCH(B187,'Gamma Target'!$I$14:$I$36))</f>
        <v>2.2874769221478926</v>
      </c>
      <c r="E187">
        <f>INDEX('Gamma Target'!$J$14:$J$36,MATCH(C187,'Gamma Target'!$I$14:$I$36))</f>
        <v>2.3355823793585304</v>
      </c>
      <c r="F187">
        <f t="shared" si="303"/>
        <v>0.80734084212229951</v>
      </c>
      <c r="G187">
        <f t="shared" si="305"/>
        <v>2.2967448790234157</v>
      </c>
      <c r="H187">
        <f t="shared" si="304"/>
        <v>0.73948930350400621</v>
      </c>
    </row>
    <row r="188" spans="1:8">
      <c r="A188">
        <f t="shared" si="306"/>
        <v>0.51000000000000023</v>
      </c>
      <c r="B188">
        <f>SMALL('Gamma Target'!$I$14:$I$36,COUNTIF('Gamma Target'!$I$14:$I$36,"&lt;"&amp;A188)+1)</f>
        <v>0.51605060114699042</v>
      </c>
      <c r="C188">
        <f>LARGE('Gamma Target'!$I$14:$I$36,COUNTIF('Gamma Target'!$I$14:$I$36,"&gt;"&amp;A188)+1)</f>
        <v>0.43273973586656045</v>
      </c>
      <c r="D188">
        <f>INDEX('Gamma Target'!$J$14:$J$36,MATCH(B188,'Gamma Target'!$I$14:$I$36))</f>
        <v>2.2874769221478926</v>
      </c>
      <c r="E188">
        <f>INDEX('Gamma Target'!$J$14:$J$36,MATCH(C188,'Gamma Target'!$I$14:$I$36))</f>
        <v>2.3355823793585304</v>
      </c>
      <c r="F188">
        <f t="shared" si="303"/>
        <v>0.92737320484400854</v>
      </c>
      <c r="G188">
        <f t="shared" si="305"/>
        <v>2.2909706673346149</v>
      </c>
      <c r="H188">
        <f t="shared" si="304"/>
        <v>0.7453418240871339</v>
      </c>
    </row>
    <row r="189" spans="1:8">
      <c r="A189">
        <f t="shared" si="306"/>
        <v>0.52000000000000024</v>
      </c>
      <c r="B189">
        <f>SMALL('Gamma Target'!$I$14:$I$36,COUNTIF('Gamma Target'!$I$14:$I$36,"&lt;"&amp;A189)+1)</f>
        <v>0.59323954991511396</v>
      </c>
      <c r="C189">
        <f>LARGE('Gamma Target'!$I$14:$I$36,COUNTIF('Gamma Target'!$I$14:$I$36,"&gt;"&amp;A189)+1)</f>
        <v>0.51605060114699042</v>
      </c>
      <c r="D189">
        <f>INDEX('Gamma Target'!$J$14:$J$36,MATCH(B189,'Gamma Target'!$I$14:$I$36))</f>
        <v>2.3280880977888598</v>
      </c>
      <c r="E189">
        <f>INDEX('Gamma Target'!$J$14:$J$36,MATCH(C189,'Gamma Target'!$I$14:$I$36))</f>
        <v>2.2874769221478926</v>
      </c>
      <c r="F189">
        <f t="shared" si="303"/>
        <v>5.1165340583583539E-2</v>
      </c>
      <c r="G189">
        <f t="shared" si="305"/>
        <v>2.2895548067810623</v>
      </c>
      <c r="H189">
        <f t="shared" si="304"/>
        <v>0.7515534599584871</v>
      </c>
    </row>
    <row r="190" spans="1:8">
      <c r="A190">
        <f t="shared" si="306"/>
        <v>0.53000000000000025</v>
      </c>
      <c r="B190">
        <f>SMALL('Gamma Target'!$I$14:$I$36,COUNTIF('Gamma Target'!$I$14:$I$36,"&lt;"&amp;A190)+1)</f>
        <v>0.59323954991511396</v>
      </c>
      <c r="C190">
        <f>LARGE('Gamma Target'!$I$14:$I$36,COUNTIF('Gamma Target'!$I$14:$I$36,"&gt;"&amp;A190)+1)</f>
        <v>0.51605060114699042</v>
      </c>
      <c r="D190">
        <f>INDEX('Gamma Target'!$J$14:$J$36,MATCH(B190,'Gamma Target'!$I$14:$I$36))</f>
        <v>2.3280880977888598</v>
      </c>
      <c r="E190">
        <f>INDEX('Gamma Target'!$J$14:$J$36,MATCH(C190,'Gamma Target'!$I$14:$I$36))</f>
        <v>2.2874769221478926</v>
      </c>
      <c r="F190">
        <f t="shared" si="303"/>
        <v>0.18071756482801676</v>
      </c>
      <c r="G190">
        <f t="shared" si="305"/>
        <v>2.294816074914531</v>
      </c>
      <c r="H190">
        <f t="shared" si="304"/>
        <v>0.75831411107358748</v>
      </c>
    </row>
    <row r="191" spans="1:8">
      <c r="A191">
        <f t="shared" si="306"/>
        <v>0.54000000000000026</v>
      </c>
      <c r="B191">
        <f>SMALL('Gamma Target'!$I$14:$I$36,COUNTIF('Gamma Target'!$I$14:$I$36,"&lt;"&amp;A191)+1)</f>
        <v>0.59323954991511396</v>
      </c>
      <c r="C191">
        <f>LARGE('Gamma Target'!$I$14:$I$36,COUNTIF('Gamma Target'!$I$14:$I$36,"&gt;"&amp;A191)+1)</f>
        <v>0.51605060114699042</v>
      </c>
      <c r="D191">
        <f>INDEX('Gamma Target'!$J$14:$J$36,MATCH(B191,'Gamma Target'!$I$14:$I$36))</f>
        <v>2.3280880977888598</v>
      </c>
      <c r="E191">
        <f>INDEX('Gamma Target'!$J$14:$J$36,MATCH(C191,'Gamma Target'!$I$14:$I$36))</f>
        <v>2.2874769221478926</v>
      </c>
      <c r="F191">
        <f t="shared" si="303"/>
        <v>0.31026978907245001</v>
      </c>
      <c r="G191">
        <f t="shared" si="305"/>
        <v>2.3000773430479997</v>
      </c>
      <c r="H191">
        <f t="shared" si="304"/>
        <v>0.76498579923145105</v>
      </c>
    </row>
    <row r="192" spans="1:8">
      <c r="A192">
        <f t="shared" si="306"/>
        <v>0.55000000000000027</v>
      </c>
      <c r="B192">
        <f>SMALL('Gamma Target'!$I$14:$I$36,COUNTIF('Gamma Target'!$I$14:$I$36,"&lt;"&amp;A192)+1)</f>
        <v>0.59323954991511396</v>
      </c>
      <c r="C192">
        <f>LARGE('Gamma Target'!$I$14:$I$36,COUNTIF('Gamma Target'!$I$14:$I$36,"&gt;"&amp;A192)+1)</f>
        <v>0.51605060114699042</v>
      </c>
      <c r="D192">
        <f>INDEX('Gamma Target'!$J$14:$J$36,MATCH(B192,'Gamma Target'!$I$14:$I$36))</f>
        <v>2.3280880977888598</v>
      </c>
      <c r="E192">
        <f>INDEX('Gamma Target'!$J$14:$J$36,MATCH(C192,'Gamma Target'!$I$14:$I$36))</f>
        <v>2.2874769221478926</v>
      </c>
      <c r="F192">
        <f t="shared" ref="F192:F223" si="307">(A192-C192)/(B192-C192)</f>
        <v>0.4398220133168832</v>
      </c>
      <c r="G192">
        <f t="shared" si="305"/>
        <v>2.3053386111814684</v>
      </c>
      <c r="H192">
        <f t="shared" ref="H192:H223" si="308">A192^(1/G192)</f>
        <v>0.77157052598158626</v>
      </c>
    </row>
    <row r="193" spans="1:8">
      <c r="A193">
        <f t="shared" si="306"/>
        <v>0.56000000000000028</v>
      </c>
      <c r="B193">
        <f>SMALL('Gamma Target'!$I$14:$I$36,COUNTIF('Gamma Target'!$I$14:$I$36,"&lt;"&amp;A193)+1)</f>
        <v>0.59323954991511396</v>
      </c>
      <c r="C193">
        <f>LARGE('Gamma Target'!$I$14:$I$36,COUNTIF('Gamma Target'!$I$14:$I$36,"&gt;"&amp;A193)+1)</f>
        <v>0.51605060114699042</v>
      </c>
      <c r="D193">
        <f>INDEX('Gamma Target'!$J$14:$J$36,MATCH(B193,'Gamma Target'!$I$14:$I$36))</f>
        <v>2.3280880977888598</v>
      </c>
      <c r="E193">
        <f>INDEX('Gamma Target'!$J$14:$J$36,MATCH(C193,'Gamma Target'!$I$14:$I$36))</f>
        <v>2.2874769221478926</v>
      </c>
      <c r="F193">
        <f t="shared" si="307"/>
        <v>0.56937423756131644</v>
      </c>
      <c r="G193">
        <f t="shared" si="305"/>
        <v>2.3105998793149372</v>
      </c>
      <c r="H193">
        <f t="shared" si="308"/>
        <v>0.77807021216689631</v>
      </c>
    </row>
    <row r="194" spans="1:8">
      <c r="A194">
        <f t="shared" si="306"/>
        <v>0.57000000000000028</v>
      </c>
      <c r="B194">
        <f>SMALL('Gamma Target'!$I$14:$I$36,COUNTIF('Gamma Target'!$I$14:$I$36,"&lt;"&amp;A194)+1)</f>
        <v>0.59323954991511396</v>
      </c>
      <c r="C194">
        <f>LARGE('Gamma Target'!$I$14:$I$36,COUNTIF('Gamma Target'!$I$14:$I$36,"&gt;"&amp;A194)+1)</f>
        <v>0.51605060114699042</v>
      </c>
      <c r="D194">
        <f>INDEX('Gamma Target'!$J$14:$J$36,MATCH(B194,'Gamma Target'!$I$14:$I$36))</f>
        <v>2.3280880977888598</v>
      </c>
      <c r="E194">
        <f>INDEX('Gamma Target'!$J$14:$J$36,MATCH(C194,'Gamma Target'!$I$14:$I$36))</f>
        <v>2.2874769221478926</v>
      </c>
      <c r="F194">
        <f t="shared" si="307"/>
        <v>0.69892646180574969</v>
      </c>
      <c r="G194">
        <f t="shared" si="305"/>
        <v>2.3158611474484059</v>
      </c>
      <c r="H194">
        <f t="shared" si="308"/>
        <v>0.78448670281717703</v>
      </c>
    </row>
    <row r="195" spans="1:8">
      <c r="A195">
        <f t="shared" si="306"/>
        <v>0.58000000000000029</v>
      </c>
      <c r="B195">
        <f>SMALL('Gamma Target'!$I$14:$I$36,COUNTIF('Gamma Target'!$I$14:$I$36,"&lt;"&amp;A195)+1)</f>
        <v>0.59323954991511396</v>
      </c>
      <c r="C195">
        <f>LARGE('Gamma Target'!$I$14:$I$36,COUNTIF('Gamma Target'!$I$14:$I$36,"&gt;"&amp;A195)+1)</f>
        <v>0.51605060114699042</v>
      </c>
      <c r="D195">
        <f>INDEX('Gamma Target'!$J$14:$J$36,MATCH(B195,'Gamma Target'!$I$14:$I$36))</f>
        <v>2.3280880977888598</v>
      </c>
      <c r="E195">
        <f>INDEX('Gamma Target'!$J$14:$J$36,MATCH(C195,'Gamma Target'!$I$14:$I$36))</f>
        <v>2.2874769221478926</v>
      </c>
      <c r="F195">
        <f t="shared" si="307"/>
        <v>0.82847868605018282</v>
      </c>
      <c r="G195">
        <f t="shared" si="305"/>
        <v>2.3211224155818742</v>
      </c>
      <c r="H195">
        <f t="shared" si="308"/>
        <v>0.79082177165768985</v>
      </c>
    </row>
    <row r="196" spans="1:8">
      <c r="A196">
        <f t="shared" si="306"/>
        <v>0.5900000000000003</v>
      </c>
      <c r="B196">
        <f>SMALL('Gamma Target'!$I$14:$I$36,COUNTIF('Gamma Target'!$I$14:$I$36,"&lt;"&amp;A196)+1)</f>
        <v>0.59323954991511396</v>
      </c>
      <c r="C196">
        <f>LARGE('Gamma Target'!$I$14:$I$36,COUNTIF('Gamma Target'!$I$14:$I$36,"&gt;"&amp;A196)+1)</f>
        <v>0.51605060114699042</v>
      </c>
      <c r="D196">
        <f>INDEX('Gamma Target'!$J$14:$J$36,MATCH(B196,'Gamma Target'!$I$14:$I$36))</f>
        <v>2.3280880977888598</v>
      </c>
      <c r="E196">
        <f>INDEX('Gamma Target'!$J$14:$J$36,MATCH(C196,'Gamma Target'!$I$14:$I$36))</f>
        <v>2.2874769221478926</v>
      </c>
      <c r="F196">
        <f t="shared" si="307"/>
        <v>0.95803091029461607</v>
      </c>
      <c r="G196">
        <f t="shared" si="305"/>
        <v>2.3263836837153429</v>
      </c>
      <c r="H196">
        <f t="shared" si="308"/>
        <v>0.79707712526932184</v>
      </c>
    </row>
    <row r="197" spans="1:8">
      <c r="A197">
        <f t="shared" si="306"/>
        <v>0.60000000000000031</v>
      </c>
      <c r="B197">
        <f>SMALL('Gamma Target'!$I$14:$I$36,COUNTIF('Gamma Target'!$I$14:$I$36,"&lt;"&amp;A197)+1)</f>
        <v>0.6870908462218368</v>
      </c>
      <c r="C197">
        <f>LARGE('Gamma Target'!$I$14:$I$36,COUNTIF('Gamma Target'!$I$14:$I$36,"&gt;"&amp;A197)+1)</f>
        <v>0.59323954991511396</v>
      </c>
      <c r="D197">
        <f>INDEX('Gamma Target'!$J$14:$J$36,MATCH(B197,'Gamma Target'!$I$14:$I$36))</f>
        <v>2.2978027274277202</v>
      </c>
      <c r="E197">
        <f>INDEX('Gamma Target'!$J$14:$J$36,MATCH(C197,'Gamma Target'!$I$14:$I$36))</f>
        <v>2.3280880977888598</v>
      </c>
      <c r="F197">
        <f t="shared" si="307"/>
        <v>7.2033635665425311E-2</v>
      </c>
      <c r="G197">
        <f t="shared" si="305"/>
        <v>2.3259065324542729</v>
      </c>
      <c r="H197">
        <f t="shared" si="308"/>
        <v>0.80282035066498902</v>
      </c>
    </row>
    <row r="198" spans="1:8">
      <c r="A198">
        <f t="shared" si="306"/>
        <v>0.61000000000000032</v>
      </c>
      <c r="B198">
        <f>SMALL('Gamma Target'!$I$14:$I$36,COUNTIF('Gamma Target'!$I$14:$I$36,"&lt;"&amp;A198)+1)</f>
        <v>0.6870908462218368</v>
      </c>
      <c r="C198">
        <f>LARGE('Gamma Target'!$I$14:$I$36,COUNTIF('Gamma Target'!$I$14:$I$36,"&gt;"&amp;A198)+1)</f>
        <v>0.59323954991511396</v>
      </c>
      <c r="D198">
        <f>INDEX('Gamma Target'!$J$14:$J$36,MATCH(B198,'Gamma Target'!$I$14:$I$36))</f>
        <v>2.2978027274277202</v>
      </c>
      <c r="E198">
        <f>INDEX('Gamma Target'!$J$14:$J$36,MATCH(C198,'Gamma Target'!$I$14:$I$36))</f>
        <v>2.3280880977888598</v>
      </c>
      <c r="F198">
        <f t="shared" si="307"/>
        <v>0.17858517404075278</v>
      </c>
      <c r="G198">
        <f t="shared" ref="G198:G229" si="309">IFERROR(F198*(D198-E198)+E198,G197)</f>
        <v>2.3226795796520272</v>
      </c>
      <c r="H198">
        <f t="shared" si="308"/>
        <v>0.80830730702005071</v>
      </c>
    </row>
    <row r="199" spans="1:8">
      <c r="A199">
        <f t="shared" si="306"/>
        <v>0.62000000000000033</v>
      </c>
      <c r="B199">
        <f>SMALL('Gamma Target'!$I$14:$I$36,COUNTIF('Gamma Target'!$I$14:$I$36,"&lt;"&amp;A199)+1)</f>
        <v>0.6870908462218368</v>
      </c>
      <c r="C199">
        <f>LARGE('Gamma Target'!$I$14:$I$36,COUNTIF('Gamma Target'!$I$14:$I$36,"&gt;"&amp;A199)+1)</f>
        <v>0.59323954991511396</v>
      </c>
      <c r="D199">
        <f>INDEX('Gamma Target'!$J$14:$J$36,MATCH(B199,'Gamma Target'!$I$14:$I$36))</f>
        <v>2.2978027274277202</v>
      </c>
      <c r="E199">
        <f>INDEX('Gamma Target'!$J$14:$J$36,MATCH(C199,'Gamma Target'!$I$14:$I$36))</f>
        <v>2.3280880977888598</v>
      </c>
      <c r="F199">
        <f t="shared" si="307"/>
        <v>0.28513671241608024</v>
      </c>
      <c r="G199">
        <f t="shared" si="309"/>
        <v>2.319452626849781</v>
      </c>
      <c r="H199">
        <f t="shared" si="308"/>
        <v>0.81375288478933749</v>
      </c>
    </row>
    <row r="200" spans="1:8">
      <c r="A200">
        <f t="shared" si="306"/>
        <v>0.63000000000000034</v>
      </c>
      <c r="B200">
        <f>SMALL('Gamma Target'!$I$14:$I$36,COUNTIF('Gamma Target'!$I$14:$I$36,"&lt;"&amp;A200)+1)</f>
        <v>0.6870908462218368</v>
      </c>
      <c r="C200">
        <f>LARGE('Gamma Target'!$I$14:$I$36,COUNTIF('Gamma Target'!$I$14:$I$36,"&gt;"&amp;A200)+1)</f>
        <v>0.59323954991511396</v>
      </c>
      <c r="D200">
        <f>INDEX('Gamma Target'!$J$14:$J$36,MATCH(B200,'Gamma Target'!$I$14:$I$36))</f>
        <v>2.2978027274277202</v>
      </c>
      <c r="E200">
        <f>INDEX('Gamma Target'!$J$14:$J$36,MATCH(C200,'Gamma Target'!$I$14:$I$36))</f>
        <v>2.3280880977888598</v>
      </c>
      <c r="F200">
        <f t="shared" si="307"/>
        <v>0.39168825079140773</v>
      </c>
      <c r="G200">
        <f t="shared" si="309"/>
        <v>2.3162256740475353</v>
      </c>
      <c r="H200">
        <f t="shared" si="308"/>
        <v>0.81915845620622041</v>
      </c>
    </row>
    <row r="201" spans="1:8">
      <c r="A201">
        <f t="shared" si="306"/>
        <v>0.64000000000000035</v>
      </c>
      <c r="B201">
        <f>SMALL('Gamma Target'!$I$14:$I$36,COUNTIF('Gamma Target'!$I$14:$I$36,"&lt;"&amp;A201)+1)</f>
        <v>0.6870908462218368</v>
      </c>
      <c r="C201">
        <f>LARGE('Gamma Target'!$I$14:$I$36,COUNTIF('Gamma Target'!$I$14:$I$36,"&gt;"&amp;A201)+1)</f>
        <v>0.59323954991511396</v>
      </c>
      <c r="D201">
        <f>INDEX('Gamma Target'!$J$14:$J$36,MATCH(B201,'Gamma Target'!$I$14:$I$36))</f>
        <v>2.2978027274277202</v>
      </c>
      <c r="E201">
        <f>INDEX('Gamma Target'!$J$14:$J$36,MATCH(C201,'Gamma Target'!$I$14:$I$36))</f>
        <v>2.3280880977888598</v>
      </c>
      <c r="F201">
        <f t="shared" si="307"/>
        <v>0.49823978916673523</v>
      </c>
      <c r="G201">
        <f t="shared" si="309"/>
        <v>2.3129987212452892</v>
      </c>
      <c r="H201">
        <f t="shared" si="308"/>
        <v>0.82452533834004305</v>
      </c>
    </row>
    <row r="202" spans="1:8">
      <c r="A202">
        <f t="shared" si="306"/>
        <v>0.65000000000000036</v>
      </c>
      <c r="B202">
        <f>SMALL('Gamma Target'!$I$14:$I$36,COUNTIF('Gamma Target'!$I$14:$I$36,"&lt;"&amp;A202)+1)</f>
        <v>0.6870908462218368</v>
      </c>
      <c r="C202">
        <f>LARGE('Gamma Target'!$I$14:$I$36,COUNTIF('Gamma Target'!$I$14:$I$36,"&gt;"&amp;A202)+1)</f>
        <v>0.59323954991511396</v>
      </c>
      <c r="D202">
        <f>INDEX('Gamma Target'!$J$14:$J$36,MATCH(B202,'Gamma Target'!$I$14:$I$36))</f>
        <v>2.2978027274277202</v>
      </c>
      <c r="E202">
        <f>INDEX('Gamma Target'!$J$14:$J$36,MATCH(C202,'Gamma Target'!$I$14:$I$36))</f>
        <v>2.3280880977888598</v>
      </c>
      <c r="F202">
        <f t="shared" si="307"/>
        <v>0.60479132754206266</v>
      </c>
      <c r="G202">
        <f t="shared" si="309"/>
        <v>2.309771768443043</v>
      </c>
      <c r="H202">
        <f t="shared" si="308"/>
        <v>0.82985479622932601</v>
      </c>
    </row>
    <row r="203" spans="1:8">
      <c r="A203">
        <f t="shared" si="306"/>
        <v>0.66000000000000036</v>
      </c>
      <c r="B203">
        <f>SMALL('Gamma Target'!$I$14:$I$36,COUNTIF('Gamma Target'!$I$14:$I$36,"&lt;"&amp;A203)+1)</f>
        <v>0.6870908462218368</v>
      </c>
      <c r="C203">
        <f>LARGE('Gamma Target'!$I$14:$I$36,COUNTIF('Gamma Target'!$I$14:$I$36,"&gt;"&amp;A203)+1)</f>
        <v>0.59323954991511396</v>
      </c>
      <c r="D203">
        <f>INDEX('Gamma Target'!$J$14:$J$36,MATCH(B203,'Gamma Target'!$I$14:$I$36))</f>
        <v>2.2978027274277202</v>
      </c>
      <c r="E203">
        <f>INDEX('Gamma Target'!$J$14:$J$36,MATCH(C203,'Gamma Target'!$I$14:$I$36))</f>
        <v>2.3280880977888598</v>
      </c>
      <c r="F203">
        <f t="shared" si="307"/>
        <v>0.71134286591739015</v>
      </c>
      <c r="G203">
        <f t="shared" si="309"/>
        <v>2.3065448156407973</v>
      </c>
      <c r="H203">
        <f t="shared" si="308"/>
        <v>0.83514804579368829</v>
      </c>
    </row>
    <row r="204" spans="1:8">
      <c r="A204">
        <f t="shared" si="306"/>
        <v>0.67000000000000037</v>
      </c>
      <c r="B204">
        <f>SMALL('Gamma Target'!$I$14:$I$36,COUNTIF('Gamma Target'!$I$14:$I$36,"&lt;"&amp;A204)+1)</f>
        <v>0.6870908462218368</v>
      </c>
      <c r="C204">
        <f>LARGE('Gamma Target'!$I$14:$I$36,COUNTIF('Gamma Target'!$I$14:$I$36,"&gt;"&amp;A204)+1)</f>
        <v>0.59323954991511396</v>
      </c>
      <c r="D204">
        <f>INDEX('Gamma Target'!$J$14:$J$36,MATCH(B204,'Gamma Target'!$I$14:$I$36))</f>
        <v>2.2978027274277202</v>
      </c>
      <c r="E204">
        <f>INDEX('Gamma Target'!$J$14:$J$36,MATCH(C204,'Gamma Target'!$I$14:$I$36))</f>
        <v>2.3280880977888598</v>
      </c>
      <c r="F204">
        <f t="shared" si="307"/>
        <v>0.81789440429271765</v>
      </c>
      <c r="G204">
        <f t="shared" si="309"/>
        <v>2.3033178628385511</v>
      </c>
      <c r="H204">
        <f t="shared" si="308"/>
        <v>0.84040625654322398</v>
      </c>
    </row>
    <row r="205" spans="1:8">
      <c r="A205">
        <f t="shared" si="306"/>
        <v>0.68000000000000038</v>
      </c>
      <c r="B205">
        <f>SMALL('Gamma Target'!$I$14:$I$36,COUNTIF('Gamma Target'!$I$14:$I$36,"&lt;"&amp;A205)+1)</f>
        <v>0.6870908462218368</v>
      </c>
      <c r="C205">
        <f>LARGE('Gamma Target'!$I$14:$I$36,COUNTIF('Gamma Target'!$I$14:$I$36,"&gt;"&amp;A205)+1)</f>
        <v>0.59323954991511396</v>
      </c>
      <c r="D205">
        <f>INDEX('Gamma Target'!$J$14:$J$36,MATCH(B205,'Gamma Target'!$I$14:$I$36))</f>
        <v>2.2978027274277202</v>
      </c>
      <c r="E205">
        <f>INDEX('Gamma Target'!$J$14:$J$36,MATCH(C205,'Gamma Target'!$I$14:$I$36))</f>
        <v>2.3280880977888598</v>
      </c>
      <c r="F205">
        <f t="shared" si="307"/>
        <v>0.92444594266804514</v>
      </c>
      <c r="G205">
        <f t="shared" si="309"/>
        <v>2.3000909100363054</v>
      </c>
      <c r="H205">
        <f t="shared" si="308"/>
        <v>0.84563055410222909</v>
      </c>
    </row>
    <row r="206" spans="1:8">
      <c r="A206">
        <f t="shared" si="306"/>
        <v>0.69000000000000039</v>
      </c>
      <c r="B206">
        <f>SMALL('Gamma Target'!$I$14:$I$36,COUNTIF('Gamma Target'!$I$14:$I$36,"&lt;"&amp;A206)+1)</f>
        <v>0.78099515393748564</v>
      </c>
      <c r="C206">
        <f>LARGE('Gamma Target'!$I$14:$I$36,COUNTIF('Gamma Target'!$I$14:$I$36,"&gt;"&amp;A206)+1)</f>
        <v>0.6870908462218368</v>
      </c>
      <c r="D206">
        <f>INDEX('Gamma Target'!$J$14:$J$36,MATCH(B206,'Gamma Target'!$I$14:$I$36))</f>
        <v>2.3348540785613587</v>
      </c>
      <c r="E206">
        <f>INDEX('Gamma Target'!$J$14:$J$36,MATCH(C206,'Gamma Target'!$I$14:$I$36))</f>
        <v>2.2978027274277202</v>
      </c>
      <c r="F206">
        <f t="shared" si="307"/>
        <v>3.0979982164106686E-2</v>
      </c>
      <c r="G206">
        <f t="shared" si="309"/>
        <v>2.2989505776249963</v>
      </c>
      <c r="H206">
        <f t="shared" si="308"/>
        <v>0.85094678893602416</v>
      </c>
    </row>
    <row r="207" spans="1:8">
      <c r="A207">
        <f t="shared" si="306"/>
        <v>0.7000000000000004</v>
      </c>
      <c r="B207">
        <f>SMALL('Gamma Target'!$I$14:$I$36,COUNTIF('Gamma Target'!$I$14:$I$36,"&lt;"&amp;A207)+1)</f>
        <v>0.78099515393748564</v>
      </c>
      <c r="C207">
        <f>LARGE('Gamma Target'!$I$14:$I$36,COUNTIF('Gamma Target'!$I$14:$I$36,"&gt;"&amp;A207)+1)</f>
        <v>0.6870908462218368</v>
      </c>
      <c r="D207">
        <f>INDEX('Gamma Target'!$J$14:$J$36,MATCH(B207,'Gamma Target'!$I$14:$I$36))</f>
        <v>2.3348540785613587</v>
      </c>
      <c r="E207">
        <f>INDEX('Gamma Target'!$J$14:$J$36,MATCH(C207,'Gamma Target'!$I$14:$I$36))</f>
        <v>2.2978027274277202</v>
      </c>
      <c r="F207">
        <f t="shared" si="307"/>
        <v>0.13747136944189758</v>
      </c>
      <c r="G207">
        <f t="shared" si="309"/>
        <v>2.302896227407734</v>
      </c>
      <c r="H207">
        <f t="shared" si="308"/>
        <v>0.85651706967585473</v>
      </c>
    </row>
    <row r="208" spans="1:8">
      <c r="A208">
        <f t="shared" ref="A208:A237" si="310">A207+0.01</f>
        <v>0.71000000000000041</v>
      </c>
      <c r="B208">
        <f>SMALL('Gamma Target'!$I$14:$I$36,COUNTIF('Gamma Target'!$I$14:$I$36,"&lt;"&amp;A208)+1)</f>
        <v>0.78099515393748564</v>
      </c>
      <c r="C208">
        <f>LARGE('Gamma Target'!$I$14:$I$36,COUNTIF('Gamma Target'!$I$14:$I$36,"&gt;"&amp;A208)+1)</f>
        <v>0.6870908462218368</v>
      </c>
      <c r="D208">
        <f>INDEX('Gamma Target'!$J$14:$J$36,MATCH(B208,'Gamma Target'!$I$14:$I$36))</f>
        <v>2.3348540785613587</v>
      </c>
      <c r="E208">
        <f>INDEX('Gamma Target'!$J$14:$J$36,MATCH(C208,'Gamma Target'!$I$14:$I$36))</f>
        <v>2.2978027274277202</v>
      </c>
      <c r="F208">
        <f t="shared" si="307"/>
        <v>0.24396275671968851</v>
      </c>
      <c r="G208">
        <f t="shared" si="309"/>
        <v>2.3068418771904717</v>
      </c>
      <c r="H208">
        <f t="shared" si="308"/>
        <v>0.86202829820055893</v>
      </c>
    </row>
    <row r="209" spans="1:8">
      <c r="A209">
        <f t="shared" si="310"/>
        <v>0.72000000000000042</v>
      </c>
      <c r="B209">
        <f>SMALL('Gamma Target'!$I$14:$I$36,COUNTIF('Gamma Target'!$I$14:$I$36,"&lt;"&amp;A209)+1)</f>
        <v>0.78099515393748564</v>
      </c>
      <c r="C209">
        <f>LARGE('Gamma Target'!$I$14:$I$36,COUNTIF('Gamma Target'!$I$14:$I$36,"&gt;"&amp;A209)+1)</f>
        <v>0.6870908462218368</v>
      </c>
      <c r="D209">
        <f>INDEX('Gamma Target'!$J$14:$J$36,MATCH(B209,'Gamma Target'!$I$14:$I$36))</f>
        <v>2.3348540785613587</v>
      </c>
      <c r="E209">
        <f>INDEX('Gamma Target'!$J$14:$J$36,MATCH(C209,'Gamma Target'!$I$14:$I$36))</f>
        <v>2.2978027274277202</v>
      </c>
      <c r="F209">
        <f t="shared" si="307"/>
        <v>0.35045414399747937</v>
      </c>
      <c r="G209">
        <f t="shared" si="309"/>
        <v>2.3107875269732094</v>
      </c>
      <c r="H209">
        <f t="shared" si="308"/>
        <v>0.86748150511999533</v>
      </c>
    </row>
    <row r="210" spans="1:8">
      <c r="A210">
        <f t="shared" si="310"/>
        <v>0.73000000000000043</v>
      </c>
      <c r="B210">
        <f>SMALL('Gamma Target'!$I$14:$I$36,COUNTIF('Gamma Target'!$I$14:$I$36,"&lt;"&amp;A210)+1)</f>
        <v>0.78099515393748564</v>
      </c>
      <c r="C210">
        <f>LARGE('Gamma Target'!$I$14:$I$36,COUNTIF('Gamma Target'!$I$14:$I$36,"&gt;"&amp;A210)+1)</f>
        <v>0.6870908462218368</v>
      </c>
      <c r="D210">
        <f>INDEX('Gamma Target'!$J$14:$J$36,MATCH(B210,'Gamma Target'!$I$14:$I$36))</f>
        <v>2.3348540785613587</v>
      </c>
      <c r="E210">
        <f>INDEX('Gamma Target'!$J$14:$J$36,MATCH(C210,'Gamma Target'!$I$14:$I$36))</f>
        <v>2.2978027274277202</v>
      </c>
      <c r="F210">
        <f t="shared" si="307"/>
        <v>0.45694553127527032</v>
      </c>
      <c r="G210">
        <f t="shared" si="309"/>
        <v>2.3147331767559471</v>
      </c>
      <c r="H210">
        <f t="shared" si="308"/>
        <v>0.87287768938649934</v>
      </c>
    </row>
    <row r="211" spans="1:8">
      <c r="A211">
        <f t="shared" si="310"/>
        <v>0.74000000000000044</v>
      </c>
      <c r="B211">
        <f>SMALL('Gamma Target'!$I$14:$I$36,COUNTIF('Gamma Target'!$I$14:$I$36,"&lt;"&amp;A211)+1)</f>
        <v>0.78099515393748564</v>
      </c>
      <c r="C211">
        <f>LARGE('Gamma Target'!$I$14:$I$36,COUNTIF('Gamma Target'!$I$14:$I$36,"&gt;"&amp;A211)+1)</f>
        <v>0.6870908462218368</v>
      </c>
      <c r="D211">
        <f>INDEX('Gamma Target'!$J$14:$J$36,MATCH(B211,'Gamma Target'!$I$14:$I$36))</f>
        <v>2.3348540785613587</v>
      </c>
      <c r="E211">
        <f>INDEX('Gamma Target'!$J$14:$J$36,MATCH(C211,'Gamma Target'!$I$14:$I$36))</f>
        <v>2.2978027274277202</v>
      </c>
      <c r="F211">
        <f t="shared" si="307"/>
        <v>0.56343691855306122</v>
      </c>
      <c r="G211">
        <f t="shared" si="309"/>
        <v>2.3186788265386848</v>
      </c>
      <c r="H211">
        <f t="shared" si="308"/>
        <v>0.87821781975999225</v>
      </c>
    </row>
    <row r="212" spans="1:8">
      <c r="A212">
        <f t="shared" si="310"/>
        <v>0.75000000000000044</v>
      </c>
      <c r="B212">
        <f>SMALL('Gamma Target'!$I$14:$I$36,COUNTIF('Gamma Target'!$I$14:$I$36,"&lt;"&amp;A212)+1)</f>
        <v>0.78099515393748564</v>
      </c>
      <c r="C212">
        <f>LARGE('Gamma Target'!$I$14:$I$36,COUNTIF('Gamma Target'!$I$14:$I$36,"&gt;"&amp;A212)+1)</f>
        <v>0.6870908462218368</v>
      </c>
      <c r="D212">
        <f>INDEX('Gamma Target'!$J$14:$J$36,MATCH(B212,'Gamma Target'!$I$14:$I$36))</f>
        <v>2.3348540785613587</v>
      </c>
      <c r="E212">
        <f>INDEX('Gamma Target'!$J$14:$J$36,MATCH(C212,'Gamma Target'!$I$14:$I$36))</f>
        <v>2.2978027274277202</v>
      </c>
      <c r="F212">
        <f t="shared" si="307"/>
        <v>0.66992830583085206</v>
      </c>
      <c r="G212">
        <f t="shared" si="309"/>
        <v>2.3226244763214225</v>
      </c>
      <c r="H212">
        <f t="shared" si="308"/>
        <v>0.88350283618452918</v>
      </c>
    </row>
    <row r="213" spans="1:8">
      <c r="A213">
        <f t="shared" si="310"/>
        <v>0.76000000000000045</v>
      </c>
      <c r="B213">
        <f>SMALL('Gamma Target'!$I$14:$I$36,COUNTIF('Gamma Target'!$I$14:$I$36,"&lt;"&amp;A213)+1)</f>
        <v>0.78099515393748564</v>
      </c>
      <c r="C213">
        <f>LARGE('Gamma Target'!$I$14:$I$36,COUNTIF('Gamma Target'!$I$14:$I$36,"&gt;"&amp;A213)+1)</f>
        <v>0.6870908462218368</v>
      </c>
      <c r="D213">
        <f>INDEX('Gamma Target'!$J$14:$J$36,MATCH(B213,'Gamma Target'!$I$14:$I$36))</f>
        <v>2.3348540785613587</v>
      </c>
      <c r="E213">
        <f>INDEX('Gamma Target'!$J$14:$J$36,MATCH(C213,'Gamma Target'!$I$14:$I$36))</f>
        <v>2.2978027274277202</v>
      </c>
      <c r="F213">
        <f t="shared" si="307"/>
        <v>0.77641969310864301</v>
      </c>
      <c r="G213">
        <f t="shared" si="309"/>
        <v>2.3265701261041603</v>
      </c>
      <c r="H213">
        <f t="shared" si="308"/>
        <v>0.88873365108277502</v>
      </c>
    </row>
    <row r="214" spans="1:8">
      <c r="A214">
        <f t="shared" si="310"/>
        <v>0.77000000000000046</v>
      </c>
      <c r="B214">
        <f>SMALL('Gamma Target'!$I$14:$I$36,COUNTIF('Gamma Target'!$I$14:$I$36,"&lt;"&amp;A214)+1)</f>
        <v>0.78099515393748564</v>
      </c>
      <c r="C214">
        <f>LARGE('Gamma Target'!$I$14:$I$36,COUNTIF('Gamma Target'!$I$14:$I$36,"&gt;"&amp;A214)+1)</f>
        <v>0.6870908462218368</v>
      </c>
      <c r="D214">
        <f>INDEX('Gamma Target'!$J$14:$J$36,MATCH(B214,'Gamma Target'!$I$14:$I$36))</f>
        <v>2.3348540785613587</v>
      </c>
      <c r="E214">
        <f>INDEX('Gamma Target'!$J$14:$J$36,MATCH(C214,'Gamma Target'!$I$14:$I$36))</f>
        <v>2.2978027274277202</v>
      </c>
      <c r="F214">
        <f t="shared" si="307"/>
        <v>0.88291108038643396</v>
      </c>
      <c r="G214">
        <f t="shared" si="309"/>
        <v>2.330515775886898</v>
      </c>
      <c r="H214">
        <f t="shared" si="308"/>
        <v>0.89391115057434734</v>
      </c>
    </row>
    <row r="215" spans="1:8">
      <c r="A215">
        <f t="shared" si="310"/>
        <v>0.78000000000000047</v>
      </c>
      <c r="B215">
        <f>SMALL('Gamma Target'!$I$14:$I$36,COUNTIF('Gamma Target'!$I$14:$I$36,"&lt;"&amp;A215)+1)</f>
        <v>0.78099515393748564</v>
      </c>
      <c r="C215">
        <f>LARGE('Gamma Target'!$I$14:$I$36,COUNTIF('Gamma Target'!$I$14:$I$36,"&gt;"&amp;A215)+1)</f>
        <v>0.6870908462218368</v>
      </c>
      <c r="D215">
        <f>INDEX('Gamma Target'!$J$14:$J$36,MATCH(B215,'Gamma Target'!$I$14:$I$36))</f>
        <v>2.3348540785613587</v>
      </c>
      <c r="E215">
        <f>INDEX('Gamma Target'!$J$14:$J$36,MATCH(C215,'Gamma Target'!$I$14:$I$36))</f>
        <v>2.2978027274277202</v>
      </c>
      <c r="F215">
        <f t="shared" si="307"/>
        <v>0.98940246766422479</v>
      </c>
      <c r="G215">
        <f t="shared" si="309"/>
        <v>2.3344614256696357</v>
      </c>
      <c r="H215">
        <f t="shared" si="308"/>
        <v>0.89903619562346138</v>
      </c>
    </row>
    <row r="216" spans="1:8">
      <c r="A216">
        <f t="shared" si="310"/>
        <v>0.79000000000000048</v>
      </c>
      <c r="B216" t="e">
        <f>SMALL('Gamma Target'!$I$14:$I$36,COUNTIF('Gamma Target'!$I$14:$I$36,"&lt;"&amp;A216)+1)</f>
        <v>#NUM!</v>
      </c>
      <c r="C216">
        <f>LARGE('Gamma Target'!$I$14:$I$36,COUNTIF('Gamma Target'!$I$14:$I$36,"&gt;"&amp;A216)+1)</f>
        <v>0.78099515393748564</v>
      </c>
      <c r="D216" t="e">
        <f>INDEX('Gamma Target'!$J$14:$J$36,MATCH(B216,'Gamma Target'!$I$14:$I$36))</f>
        <v>#NUM!</v>
      </c>
      <c r="E216">
        <f>INDEX('Gamma Target'!$J$14:$J$36,MATCH(C216,'Gamma Target'!$I$14:$I$36))</f>
        <v>2.3348540785613587</v>
      </c>
      <c r="F216" t="e">
        <f t="shared" si="307"/>
        <v>#NUM!</v>
      </c>
      <c r="G216">
        <f t="shared" si="309"/>
        <v>2.3344614256696357</v>
      </c>
      <c r="H216">
        <f t="shared" si="308"/>
        <v>0.9039555962321224</v>
      </c>
    </row>
    <row r="217" spans="1:8">
      <c r="A217">
        <f t="shared" si="310"/>
        <v>0.80000000000000049</v>
      </c>
      <c r="B217" t="e">
        <f>SMALL('Gamma Target'!$I$14:$I$36,COUNTIF('Gamma Target'!$I$14:$I$36,"&lt;"&amp;A217)+1)</f>
        <v>#NUM!</v>
      </c>
      <c r="C217">
        <f>LARGE('Gamma Target'!$I$14:$I$36,COUNTIF('Gamma Target'!$I$14:$I$36,"&gt;"&amp;A217)+1)</f>
        <v>0.78099515393748564</v>
      </c>
      <c r="D217" t="e">
        <f>INDEX('Gamma Target'!$J$14:$J$36,MATCH(B217,'Gamma Target'!$I$14:$I$36))</f>
        <v>#NUM!</v>
      </c>
      <c r="E217">
        <f>INDEX('Gamma Target'!$J$14:$J$36,MATCH(C217,'Gamma Target'!$I$14:$I$36))</f>
        <v>2.3348540785613587</v>
      </c>
      <c r="F217" t="e">
        <f t="shared" si="307"/>
        <v>#NUM!</v>
      </c>
      <c r="G217">
        <f t="shared" si="309"/>
        <v>2.3344614256696357</v>
      </c>
      <c r="H217">
        <f t="shared" si="308"/>
        <v>0.90883952783833544</v>
      </c>
    </row>
    <row r="218" spans="1:8">
      <c r="A218">
        <f t="shared" si="310"/>
        <v>0.8100000000000005</v>
      </c>
      <c r="B218" t="e">
        <f>SMALL('Gamma Target'!$I$14:$I$36,COUNTIF('Gamma Target'!$I$14:$I$36,"&lt;"&amp;A218)+1)</f>
        <v>#NUM!</v>
      </c>
      <c r="C218">
        <f>LARGE('Gamma Target'!$I$14:$I$36,COUNTIF('Gamma Target'!$I$14:$I$36,"&gt;"&amp;A218)+1)</f>
        <v>0.78099515393748564</v>
      </c>
      <c r="D218" t="e">
        <f>INDEX('Gamma Target'!$J$14:$J$36,MATCH(B218,'Gamma Target'!$I$14:$I$36))</f>
        <v>#NUM!</v>
      </c>
      <c r="E218">
        <f>INDEX('Gamma Target'!$J$14:$J$36,MATCH(C218,'Gamma Target'!$I$14:$I$36))</f>
        <v>2.3348540785613587</v>
      </c>
      <c r="F218" t="e">
        <f t="shared" si="307"/>
        <v>#NUM!</v>
      </c>
      <c r="G218">
        <f t="shared" si="309"/>
        <v>2.3344614256696357</v>
      </c>
      <c r="H218">
        <f t="shared" si="308"/>
        <v>0.913688684799146</v>
      </c>
    </row>
    <row r="219" spans="1:8">
      <c r="A219">
        <f t="shared" si="310"/>
        <v>0.82000000000000051</v>
      </c>
      <c r="B219" t="e">
        <f>SMALL('Gamma Target'!$I$14:$I$36,COUNTIF('Gamma Target'!$I$14:$I$36,"&lt;"&amp;A219)+1)</f>
        <v>#NUM!</v>
      </c>
      <c r="C219">
        <f>LARGE('Gamma Target'!$I$14:$I$36,COUNTIF('Gamma Target'!$I$14:$I$36,"&gt;"&amp;A219)+1)</f>
        <v>0.78099515393748564</v>
      </c>
      <c r="D219" t="e">
        <f>INDEX('Gamma Target'!$J$14:$J$36,MATCH(B219,'Gamma Target'!$I$14:$I$36))</f>
        <v>#NUM!</v>
      </c>
      <c r="E219">
        <f>INDEX('Gamma Target'!$J$14:$J$36,MATCH(C219,'Gamma Target'!$I$14:$I$36))</f>
        <v>2.3348540785613587</v>
      </c>
      <c r="F219" t="e">
        <f t="shared" si="307"/>
        <v>#NUM!</v>
      </c>
      <c r="G219">
        <f t="shared" si="309"/>
        <v>2.3344614256696357</v>
      </c>
      <c r="H219">
        <f t="shared" si="308"/>
        <v>0.91850373950282138</v>
      </c>
    </row>
    <row r="220" spans="1:8">
      <c r="A220">
        <f t="shared" si="310"/>
        <v>0.83000000000000052</v>
      </c>
      <c r="B220" t="e">
        <f>SMALL('Gamma Target'!$I$14:$I$36,COUNTIF('Gamma Target'!$I$14:$I$36,"&lt;"&amp;A220)+1)</f>
        <v>#NUM!</v>
      </c>
      <c r="C220">
        <f>LARGE('Gamma Target'!$I$14:$I$36,COUNTIF('Gamma Target'!$I$14:$I$36,"&gt;"&amp;A220)+1)</f>
        <v>0.78099515393748564</v>
      </c>
      <c r="D220" t="e">
        <f>INDEX('Gamma Target'!$J$14:$J$36,MATCH(B220,'Gamma Target'!$I$14:$I$36))</f>
        <v>#NUM!</v>
      </c>
      <c r="E220">
        <f>INDEX('Gamma Target'!$J$14:$J$36,MATCH(C220,'Gamma Target'!$I$14:$I$36))</f>
        <v>2.3348540785613587</v>
      </c>
      <c r="F220" t="e">
        <f t="shared" si="307"/>
        <v>#NUM!</v>
      </c>
      <c r="G220">
        <f t="shared" si="309"/>
        <v>2.3344614256696357</v>
      </c>
      <c r="H220">
        <f t="shared" si="308"/>
        <v>0.92328534332248891</v>
      </c>
    </row>
    <row r="221" spans="1:8">
      <c r="A221">
        <f t="shared" si="310"/>
        <v>0.84000000000000052</v>
      </c>
      <c r="B221" t="e">
        <f>SMALL('Gamma Target'!$I$14:$I$36,COUNTIF('Gamma Target'!$I$14:$I$36,"&lt;"&amp;A221)+1)</f>
        <v>#NUM!</v>
      </c>
      <c r="C221">
        <f>LARGE('Gamma Target'!$I$14:$I$36,COUNTIF('Gamma Target'!$I$14:$I$36,"&gt;"&amp;A221)+1)</f>
        <v>0.78099515393748564</v>
      </c>
      <c r="D221" t="e">
        <f>INDEX('Gamma Target'!$J$14:$J$36,MATCH(B221,'Gamma Target'!$I$14:$I$36))</f>
        <v>#NUM!</v>
      </c>
      <c r="E221">
        <f>INDEX('Gamma Target'!$J$14:$J$36,MATCH(C221,'Gamma Target'!$I$14:$I$36))</f>
        <v>2.3348540785613587</v>
      </c>
      <c r="F221" t="e">
        <f t="shared" si="307"/>
        <v>#NUM!</v>
      </c>
      <c r="G221">
        <f t="shared" si="309"/>
        <v>2.3344614256696357</v>
      </c>
      <c r="H221">
        <f t="shared" si="308"/>
        <v>0.92803412751742331</v>
      </c>
    </row>
    <row r="222" spans="1:8">
      <c r="A222">
        <f t="shared" si="310"/>
        <v>0.85000000000000053</v>
      </c>
      <c r="B222" t="e">
        <f>SMALL('Gamma Target'!$I$14:$I$36,COUNTIF('Gamma Target'!$I$14:$I$36,"&lt;"&amp;A222)+1)</f>
        <v>#NUM!</v>
      </c>
      <c r="C222">
        <f>LARGE('Gamma Target'!$I$14:$I$36,COUNTIF('Gamma Target'!$I$14:$I$36,"&gt;"&amp;A222)+1)</f>
        <v>0.78099515393748564</v>
      </c>
      <c r="D222" t="e">
        <f>INDEX('Gamma Target'!$J$14:$J$36,MATCH(B222,'Gamma Target'!$I$14:$I$36))</f>
        <v>#NUM!</v>
      </c>
      <c r="E222">
        <f>INDEX('Gamma Target'!$J$14:$J$36,MATCH(C222,'Gamma Target'!$I$14:$I$36))</f>
        <v>2.3348540785613587</v>
      </c>
      <c r="F222" t="e">
        <f t="shared" si="307"/>
        <v>#NUM!</v>
      </c>
      <c r="G222">
        <f t="shared" si="309"/>
        <v>2.3344614256696357</v>
      </c>
      <c r="H222">
        <f t="shared" si="308"/>
        <v>0.93275070408544369</v>
      </c>
    </row>
    <row r="223" spans="1:8">
      <c r="A223">
        <f t="shared" si="310"/>
        <v>0.86000000000000054</v>
      </c>
      <c r="B223" t="e">
        <f>SMALL('Gamma Target'!$I$14:$I$36,COUNTIF('Gamma Target'!$I$14:$I$36,"&lt;"&amp;A223)+1)</f>
        <v>#NUM!</v>
      </c>
      <c r="C223">
        <f>LARGE('Gamma Target'!$I$14:$I$36,COUNTIF('Gamma Target'!$I$14:$I$36,"&gt;"&amp;A223)+1)</f>
        <v>0.78099515393748564</v>
      </c>
      <c r="D223" t="e">
        <f>INDEX('Gamma Target'!$J$14:$J$36,MATCH(B223,'Gamma Target'!$I$14:$I$36))</f>
        <v>#NUM!</v>
      </c>
      <c r="E223">
        <f>INDEX('Gamma Target'!$J$14:$J$36,MATCH(C223,'Gamma Target'!$I$14:$I$36))</f>
        <v>2.3348540785613587</v>
      </c>
      <c r="F223" t="e">
        <f t="shared" si="307"/>
        <v>#NUM!</v>
      </c>
      <c r="G223">
        <f t="shared" si="309"/>
        <v>2.3344614256696357</v>
      </c>
      <c r="H223">
        <f t="shared" si="308"/>
        <v>0.93743566656961452</v>
      </c>
    </row>
    <row r="224" spans="1:8">
      <c r="A224">
        <f t="shared" si="310"/>
        <v>0.87000000000000055</v>
      </c>
      <c r="B224" t="e">
        <f>SMALL('Gamma Target'!$I$14:$I$36,COUNTIF('Gamma Target'!$I$14:$I$36,"&lt;"&amp;A224)+1)</f>
        <v>#NUM!</v>
      </c>
      <c r="C224">
        <f>LARGE('Gamma Target'!$I$14:$I$36,COUNTIF('Gamma Target'!$I$14:$I$36,"&gt;"&amp;A224)+1)</f>
        <v>0.78099515393748564</v>
      </c>
      <c r="D224" t="e">
        <f>INDEX('Gamma Target'!$J$14:$J$36,MATCH(B224,'Gamma Target'!$I$14:$I$36))</f>
        <v>#NUM!</v>
      </c>
      <c r="E224">
        <f>INDEX('Gamma Target'!$J$14:$J$36,MATCH(C224,'Gamma Target'!$I$14:$I$36))</f>
        <v>2.3348540785613587</v>
      </c>
      <c r="F224" t="e">
        <f t="shared" ref="F224:F237" si="311">(A224-C224)/(B224-C224)</f>
        <v>#NUM!</v>
      </c>
      <c r="G224">
        <f t="shared" si="309"/>
        <v>2.3344614256696357</v>
      </c>
      <c r="H224">
        <f t="shared" ref="H224:H237" si="312">A224^(1/G224)</f>
        <v>0.94208959082220178</v>
      </c>
    </row>
    <row r="225" spans="1:8">
      <c r="A225">
        <f t="shared" si="310"/>
        <v>0.88000000000000056</v>
      </c>
      <c r="B225" t="e">
        <f>SMALL('Gamma Target'!$I$14:$I$36,COUNTIF('Gamma Target'!$I$14:$I$36,"&lt;"&amp;A225)+1)</f>
        <v>#NUM!</v>
      </c>
      <c r="C225">
        <f>LARGE('Gamma Target'!$I$14:$I$36,COUNTIF('Gamma Target'!$I$14:$I$36,"&gt;"&amp;A225)+1)</f>
        <v>0.78099515393748564</v>
      </c>
      <c r="D225" t="e">
        <f>INDEX('Gamma Target'!$J$14:$J$36,MATCH(B225,'Gamma Target'!$I$14:$I$36))</f>
        <v>#NUM!</v>
      </c>
      <c r="E225">
        <f>INDEX('Gamma Target'!$J$14:$J$36,MATCH(C225,'Gamma Target'!$I$14:$I$36))</f>
        <v>2.3348540785613587</v>
      </c>
      <c r="F225" t="e">
        <f t="shared" si="311"/>
        <v>#NUM!</v>
      </c>
      <c r="G225">
        <f t="shared" si="309"/>
        <v>2.3344614256696357</v>
      </c>
      <c r="H225">
        <f t="shared" si="312"/>
        <v>0.94671303572861309</v>
      </c>
    </row>
    <row r="226" spans="1:8">
      <c r="A226">
        <f t="shared" si="310"/>
        <v>0.89000000000000057</v>
      </c>
      <c r="B226" t="e">
        <f>SMALL('Gamma Target'!$I$14:$I$36,COUNTIF('Gamma Target'!$I$14:$I$36,"&lt;"&amp;A226)+1)</f>
        <v>#NUM!</v>
      </c>
      <c r="C226">
        <f>LARGE('Gamma Target'!$I$14:$I$36,COUNTIF('Gamma Target'!$I$14:$I$36,"&gt;"&amp;A226)+1)</f>
        <v>0.78099515393748564</v>
      </c>
      <c r="D226" t="e">
        <f>INDEX('Gamma Target'!$J$14:$J$36,MATCH(B226,'Gamma Target'!$I$14:$I$36))</f>
        <v>#NUM!</v>
      </c>
      <c r="E226">
        <f>INDEX('Gamma Target'!$J$14:$J$36,MATCH(C226,'Gamma Target'!$I$14:$I$36))</f>
        <v>2.3348540785613587</v>
      </c>
      <c r="F226" t="e">
        <f t="shared" si="311"/>
        <v>#NUM!</v>
      </c>
      <c r="G226">
        <f t="shared" si="309"/>
        <v>2.3344614256696357</v>
      </c>
      <c r="H226">
        <f t="shared" si="312"/>
        <v>0.95130654389384695</v>
      </c>
    </row>
    <row r="227" spans="1:8">
      <c r="A227">
        <f t="shared" si="310"/>
        <v>0.90000000000000058</v>
      </c>
      <c r="B227" t="e">
        <f>SMALL('Gamma Target'!$I$14:$I$36,COUNTIF('Gamma Target'!$I$14:$I$36,"&lt;"&amp;A227)+1)</f>
        <v>#NUM!</v>
      </c>
      <c r="C227">
        <f>LARGE('Gamma Target'!$I$14:$I$36,COUNTIF('Gamma Target'!$I$14:$I$36,"&gt;"&amp;A227)+1)</f>
        <v>0.78099515393748564</v>
      </c>
      <c r="D227" t="e">
        <f>INDEX('Gamma Target'!$J$14:$J$36,MATCH(B227,'Gamma Target'!$I$14:$I$36))</f>
        <v>#NUM!</v>
      </c>
      <c r="E227">
        <f>INDEX('Gamma Target'!$J$14:$J$36,MATCH(C227,'Gamma Target'!$I$14:$I$36))</f>
        <v>2.3348540785613587</v>
      </c>
      <c r="F227" t="e">
        <f t="shared" si="311"/>
        <v>#NUM!</v>
      </c>
      <c r="G227">
        <f t="shared" si="309"/>
        <v>2.3344614256696357</v>
      </c>
      <c r="H227">
        <f t="shared" si="312"/>
        <v>0.95587064229379193</v>
      </c>
    </row>
    <row r="228" spans="1:8">
      <c r="A228">
        <f t="shared" si="310"/>
        <v>0.91000000000000059</v>
      </c>
      <c r="B228" t="e">
        <f>SMALL('Gamma Target'!$I$14:$I$36,COUNTIF('Gamma Target'!$I$14:$I$36,"&lt;"&amp;A228)+1)</f>
        <v>#NUM!</v>
      </c>
      <c r="C228">
        <f>LARGE('Gamma Target'!$I$14:$I$36,COUNTIF('Gamma Target'!$I$14:$I$36,"&gt;"&amp;A228)+1)</f>
        <v>0.78099515393748564</v>
      </c>
      <c r="D228" t="e">
        <f>INDEX('Gamma Target'!$J$14:$J$36,MATCH(B228,'Gamma Target'!$I$14:$I$36))</f>
        <v>#NUM!</v>
      </c>
      <c r="E228">
        <f>INDEX('Gamma Target'!$J$14:$J$36,MATCH(C228,'Gamma Target'!$I$14:$I$36))</f>
        <v>2.3348540785613587</v>
      </c>
      <c r="F228" t="e">
        <f t="shared" si="311"/>
        <v>#NUM!</v>
      </c>
      <c r="G228">
        <f t="shared" si="309"/>
        <v>2.3344614256696357</v>
      </c>
      <c r="H228">
        <f t="shared" si="312"/>
        <v>0.96040584289354347</v>
      </c>
    </row>
    <row r="229" spans="1:8">
      <c r="A229">
        <f t="shared" si="310"/>
        <v>0.9200000000000006</v>
      </c>
      <c r="B229" t="e">
        <f>SMALL('Gamma Target'!$I$14:$I$36,COUNTIF('Gamma Target'!$I$14:$I$36,"&lt;"&amp;A229)+1)</f>
        <v>#NUM!</v>
      </c>
      <c r="C229">
        <f>LARGE('Gamma Target'!$I$14:$I$36,COUNTIF('Gamma Target'!$I$14:$I$36,"&gt;"&amp;A229)+1)</f>
        <v>0.78099515393748564</v>
      </c>
      <c r="D229" t="e">
        <f>INDEX('Gamma Target'!$J$14:$J$36,MATCH(B229,'Gamma Target'!$I$14:$I$36))</f>
        <v>#NUM!</v>
      </c>
      <c r="E229">
        <f>INDEX('Gamma Target'!$J$14:$J$36,MATCH(C229,'Gamma Target'!$I$14:$I$36))</f>
        <v>2.3348540785613587</v>
      </c>
      <c r="F229" t="e">
        <f t="shared" si="311"/>
        <v>#NUM!</v>
      </c>
      <c r="G229">
        <f t="shared" si="309"/>
        <v>2.3344614256696357</v>
      </c>
      <c r="H229">
        <f t="shared" si="312"/>
        <v>0.96491264323475379</v>
      </c>
    </row>
    <row r="230" spans="1:8">
      <c r="A230">
        <f t="shared" si="310"/>
        <v>0.9300000000000006</v>
      </c>
      <c r="B230" t="e">
        <f>SMALL('Gamma Target'!$I$14:$I$36,COUNTIF('Gamma Target'!$I$14:$I$36,"&lt;"&amp;A230)+1)</f>
        <v>#NUM!</v>
      </c>
      <c r="C230">
        <f>LARGE('Gamma Target'!$I$14:$I$36,COUNTIF('Gamma Target'!$I$14:$I$36,"&gt;"&amp;A230)+1)</f>
        <v>0.78099515393748564</v>
      </c>
      <c r="D230" t="e">
        <f>INDEX('Gamma Target'!$J$14:$J$36,MATCH(B230,'Gamma Target'!$I$14:$I$36))</f>
        <v>#NUM!</v>
      </c>
      <c r="E230">
        <f>INDEX('Gamma Target'!$J$14:$J$36,MATCH(C230,'Gamma Target'!$I$14:$I$36))</f>
        <v>2.3348540785613587</v>
      </c>
      <c r="F230" t="e">
        <f t="shared" si="311"/>
        <v>#NUM!</v>
      </c>
      <c r="G230">
        <f t="shared" ref="G230:G237" si="313">IFERROR(F230*(D230-E230)+E230,G229)</f>
        <v>2.3344614256696357</v>
      </c>
      <c r="H230">
        <f t="shared" si="312"/>
        <v>0.96939152699388209</v>
      </c>
    </row>
    <row r="231" spans="1:8">
      <c r="A231">
        <f t="shared" si="310"/>
        <v>0.94000000000000061</v>
      </c>
      <c r="B231" t="e">
        <f>SMALL('Gamma Target'!$I$14:$I$36,COUNTIF('Gamma Target'!$I$14:$I$36,"&lt;"&amp;A231)+1)</f>
        <v>#NUM!</v>
      </c>
      <c r="C231">
        <f>LARGE('Gamma Target'!$I$14:$I$36,COUNTIF('Gamma Target'!$I$14:$I$36,"&gt;"&amp;A231)+1)</f>
        <v>0.78099515393748564</v>
      </c>
      <c r="D231" t="e">
        <f>INDEX('Gamma Target'!$J$14:$J$36,MATCH(B231,'Gamma Target'!$I$14:$I$36))</f>
        <v>#NUM!</v>
      </c>
      <c r="E231">
        <f>INDEX('Gamma Target'!$J$14:$J$36,MATCH(C231,'Gamma Target'!$I$14:$I$36))</f>
        <v>2.3348540785613587</v>
      </c>
      <c r="F231" t="e">
        <f t="shared" si="311"/>
        <v>#NUM!</v>
      </c>
      <c r="G231">
        <f t="shared" si="313"/>
        <v>2.3344614256696357</v>
      </c>
      <c r="H231">
        <f t="shared" si="312"/>
        <v>0.97384296451308594</v>
      </c>
    </row>
    <row r="232" spans="1:8">
      <c r="A232">
        <f t="shared" si="310"/>
        <v>0.95000000000000062</v>
      </c>
      <c r="B232" t="e">
        <f>SMALL('Gamma Target'!$I$14:$I$36,COUNTIF('Gamma Target'!$I$14:$I$36,"&lt;"&amp;A232)+1)</f>
        <v>#NUM!</v>
      </c>
      <c r="C232">
        <f>LARGE('Gamma Target'!$I$14:$I$36,COUNTIF('Gamma Target'!$I$14:$I$36,"&gt;"&amp;A232)+1)</f>
        <v>0.78099515393748564</v>
      </c>
      <c r="D232" t="e">
        <f>INDEX('Gamma Target'!$J$14:$J$36,MATCH(B232,'Gamma Target'!$I$14:$I$36))</f>
        <v>#NUM!</v>
      </c>
      <c r="E232">
        <f>INDEX('Gamma Target'!$J$14:$J$36,MATCH(C232,'Gamma Target'!$I$14:$I$36))</f>
        <v>2.3348540785613587</v>
      </c>
      <c r="F232" t="e">
        <f t="shared" si="311"/>
        <v>#NUM!</v>
      </c>
      <c r="G232">
        <f t="shared" si="313"/>
        <v>2.3344614256696357</v>
      </c>
      <c r="H232">
        <f t="shared" si="312"/>
        <v>0.97826741330536804</v>
      </c>
    </row>
    <row r="233" spans="1:8">
      <c r="A233">
        <f t="shared" si="310"/>
        <v>0.96000000000000063</v>
      </c>
      <c r="B233" t="e">
        <f>SMALL('Gamma Target'!$I$14:$I$36,COUNTIF('Gamma Target'!$I$14:$I$36,"&lt;"&amp;A233)+1)</f>
        <v>#NUM!</v>
      </c>
      <c r="C233">
        <f>LARGE('Gamma Target'!$I$14:$I$36,COUNTIF('Gamma Target'!$I$14:$I$36,"&gt;"&amp;A233)+1)</f>
        <v>0.78099515393748564</v>
      </c>
      <c r="D233" t="e">
        <f>INDEX('Gamma Target'!$J$14:$J$36,MATCH(B233,'Gamma Target'!$I$14:$I$36))</f>
        <v>#NUM!</v>
      </c>
      <c r="E233">
        <f>INDEX('Gamma Target'!$J$14:$J$36,MATCH(C233,'Gamma Target'!$I$14:$I$36))</f>
        <v>2.3348540785613587</v>
      </c>
      <c r="F233" t="e">
        <f t="shared" si="311"/>
        <v>#NUM!</v>
      </c>
      <c r="G233">
        <f t="shared" si="313"/>
        <v>2.3344614256696357</v>
      </c>
      <c r="H233">
        <f t="shared" si="312"/>
        <v>0.98266531853548655</v>
      </c>
    </row>
    <row r="234" spans="1:8">
      <c r="A234">
        <f t="shared" si="310"/>
        <v>0.97000000000000064</v>
      </c>
      <c r="B234" t="e">
        <f>SMALL('Gamma Target'!$I$14:$I$36,COUNTIF('Gamma Target'!$I$14:$I$36,"&lt;"&amp;A234)+1)</f>
        <v>#NUM!</v>
      </c>
      <c r="C234">
        <f>LARGE('Gamma Target'!$I$14:$I$36,COUNTIF('Gamma Target'!$I$14:$I$36,"&gt;"&amp;A234)+1)</f>
        <v>0.78099515393748564</v>
      </c>
      <c r="D234" t="e">
        <f>INDEX('Gamma Target'!$J$14:$J$36,MATCH(B234,'Gamma Target'!$I$14:$I$36))</f>
        <v>#NUM!</v>
      </c>
      <c r="E234">
        <f>INDEX('Gamma Target'!$J$14:$J$36,MATCH(C234,'Gamma Target'!$I$14:$I$36))</f>
        <v>2.3348540785613587</v>
      </c>
      <c r="F234" t="e">
        <f t="shared" si="311"/>
        <v>#NUM!</v>
      </c>
      <c r="G234">
        <f t="shared" si="313"/>
        <v>2.3344614256696357</v>
      </c>
      <c r="H234">
        <f t="shared" si="312"/>
        <v>0.98703711347802903</v>
      </c>
    </row>
    <row r="235" spans="1:8">
      <c r="A235">
        <f t="shared" si="310"/>
        <v>0.98000000000000065</v>
      </c>
      <c r="B235" t="e">
        <f>SMALL('Gamma Target'!$I$14:$I$36,COUNTIF('Gamma Target'!$I$14:$I$36,"&lt;"&amp;A235)+1)</f>
        <v>#NUM!</v>
      </c>
      <c r="C235">
        <f>LARGE('Gamma Target'!$I$14:$I$36,COUNTIF('Gamma Target'!$I$14:$I$36,"&gt;"&amp;A235)+1)</f>
        <v>0.78099515393748564</v>
      </c>
      <c r="D235" t="e">
        <f>INDEX('Gamma Target'!$J$14:$J$36,MATCH(B235,'Gamma Target'!$I$14:$I$36))</f>
        <v>#NUM!</v>
      </c>
      <c r="E235">
        <f>INDEX('Gamma Target'!$J$14:$J$36,MATCH(C235,'Gamma Target'!$I$14:$I$36))</f>
        <v>2.3348540785613587</v>
      </c>
      <c r="F235" t="e">
        <f t="shared" si="311"/>
        <v>#NUM!</v>
      </c>
      <c r="G235">
        <f t="shared" si="313"/>
        <v>2.3344614256696357</v>
      </c>
      <c r="H235">
        <f t="shared" si="312"/>
        <v>0.99138321995395973</v>
      </c>
    </row>
    <row r="236" spans="1:8">
      <c r="A236">
        <f t="shared" si="310"/>
        <v>0.99000000000000066</v>
      </c>
      <c r="B236" t="e">
        <f>SMALL('Gamma Target'!$I$14:$I$36,COUNTIF('Gamma Target'!$I$14:$I$36,"&lt;"&amp;A236)+1)</f>
        <v>#NUM!</v>
      </c>
      <c r="C236">
        <f>LARGE('Gamma Target'!$I$14:$I$36,COUNTIF('Gamma Target'!$I$14:$I$36,"&gt;"&amp;A236)+1)</f>
        <v>0.78099515393748564</v>
      </c>
      <c r="D236" t="e">
        <f>INDEX('Gamma Target'!$J$14:$J$36,MATCH(B236,'Gamma Target'!$I$14:$I$36))</f>
        <v>#NUM!</v>
      </c>
      <c r="E236">
        <f>INDEX('Gamma Target'!$J$14:$J$36,MATCH(C236,'Gamma Target'!$I$14:$I$36))</f>
        <v>2.3348540785613587</v>
      </c>
      <c r="F236" t="e">
        <f t="shared" si="311"/>
        <v>#NUM!</v>
      </c>
      <c r="G236">
        <f t="shared" si="313"/>
        <v>2.3344614256696357</v>
      </c>
      <c r="H236">
        <f t="shared" si="312"/>
        <v>0.99570404874685969</v>
      </c>
    </row>
    <row r="237" spans="1:8">
      <c r="A237">
        <f t="shared" si="310"/>
        <v>1.0000000000000007</v>
      </c>
      <c r="B237" t="e">
        <f>SMALL('Gamma Target'!$I$14:$I$36,COUNTIF('Gamma Target'!$I$14:$I$36,"&lt;"&amp;A237)+1)</f>
        <v>#NUM!</v>
      </c>
      <c r="C237">
        <f>LARGE('Gamma Target'!$I$14:$I$36,COUNTIF('Gamma Target'!$I$14:$I$36,"&gt;"&amp;A237)+1)</f>
        <v>0.78099515393748564</v>
      </c>
      <c r="D237" t="e">
        <f>INDEX('Gamma Target'!$J$14:$J$36,MATCH(B237,'Gamma Target'!$I$14:$I$36))</f>
        <v>#NUM!</v>
      </c>
      <c r="E237">
        <f>INDEX('Gamma Target'!$J$14:$J$36,MATCH(C237,'Gamma Target'!$I$14:$I$36))</f>
        <v>2.3348540785613587</v>
      </c>
      <c r="F237" t="e">
        <f t="shared" si="311"/>
        <v>#NUM!</v>
      </c>
      <c r="G237">
        <f t="shared" si="313"/>
        <v>2.3344614256696357</v>
      </c>
      <c r="H237">
        <f t="shared" si="312"/>
        <v>1.0000000000000002</v>
      </c>
    </row>
  </sheetData>
  <sheetProtection password="8C41" sheet="1" objects="1" scenarios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4:AA128"/>
  <sheetViews>
    <sheetView workbookViewId="0">
      <selection activeCell="A34" sqref="A34:P41"/>
    </sheetView>
  </sheetViews>
  <sheetFormatPr baseColWidth="10" defaultRowHeight="15" x14ac:dyDescent="0"/>
  <cols>
    <col min="4" max="4" width="17" customWidth="1"/>
    <col min="5" max="5" width="16.1640625" customWidth="1"/>
    <col min="6" max="6" width="14.1640625" customWidth="1"/>
    <col min="10" max="10" width="10.83203125" customWidth="1"/>
    <col min="11" max="11" width="13.33203125" customWidth="1"/>
  </cols>
  <sheetData>
    <row r="34" spans="1:16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</row>
    <row r="35" spans="1:16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</row>
    <row r="36" spans="1:16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</row>
    <row r="37" spans="1:16">
      <c r="A37" s="136"/>
      <c r="B37" s="136"/>
      <c r="C37" s="137"/>
      <c r="D37" s="136"/>
      <c r="E37" s="137"/>
      <c r="F37" s="138"/>
      <c r="G37" s="137"/>
      <c r="H37" s="136"/>
      <c r="I37" s="137"/>
      <c r="J37" s="136"/>
      <c r="K37" s="137"/>
      <c r="L37" s="136"/>
      <c r="M37" s="137"/>
      <c r="N37" s="138"/>
      <c r="O37" s="137"/>
      <c r="P37" s="136"/>
    </row>
    <row r="38" spans="1:16">
      <c r="A38" s="136"/>
      <c r="B38" s="136"/>
      <c r="C38" s="136"/>
      <c r="D38" s="136"/>
      <c r="E38" s="136"/>
      <c r="F38" s="138"/>
      <c r="G38" s="136"/>
      <c r="H38" s="136"/>
      <c r="I38" s="136"/>
      <c r="J38" s="136"/>
      <c r="K38" s="136"/>
      <c r="L38" s="136"/>
      <c r="M38" s="136"/>
      <c r="N38" s="136"/>
      <c r="O38" s="136"/>
      <c r="P38" s="136"/>
    </row>
    <row r="39" spans="1:16">
      <c r="A39" s="136"/>
      <c r="B39" s="136"/>
      <c r="C39" s="137"/>
      <c r="D39" s="139"/>
      <c r="E39" s="137"/>
      <c r="F39" s="138"/>
      <c r="G39" s="137"/>
      <c r="H39" s="139"/>
      <c r="I39" s="137"/>
      <c r="J39" s="139"/>
      <c r="K39" s="137"/>
      <c r="L39" s="139"/>
      <c r="M39" s="137"/>
      <c r="N39" s="137"/>
      <c r="O39" s="137"/>
      <c r="P39" s="136"/>
    </row>
    <row r="40" spans="1:16">
      <c r="A40" s="136"/>
      <c r="B40" s="136"/>
      <c r="C40" s="136"/>
      <c r="D40" s="136"/>
      <c r="E40" s="136"/>
      <c r="F40" s="138"/>
      <c r="G40" s="136"/>
      <c r="H40" s="136"/>
      <c r="I40" s="136"/>
      <c r="J40" s="136"/>
      <c r="K40" s="136"/>
      <c r="L40" s="136"/>
      <c r="M40" s="136"/>
      <c r="N40" s="136"/>
      <c r="O40" s="136"/>
      <c r="P40" s="136"/>
    </row>
    <row r="41" spans="1:16">
      <c r="A41" s="136"/>
      <c r="B41" s="136"/>
      <c r="C41" s="137"/>
      <c r="D41" s="139"/>
      <c r="E41" s="137"/>
      <c r="F41" s="138"/>
      <c r="G41" s="137"/>
      <c r="H41" s="139"/>
      <c r="I41" s="137"/>
      <c r="J41" s="139"/>
      <c r="K41" s="137"/>
      <c r="L41" s="139"/>
      <c r="M41" s="137"/>
      <c r="N41" s="140"/>
      <c r="O41" s="137"/>
      <c r="P41" s="136"/>
    </row>
    <row r="111" spans="24:27">
      <c r="X111" s="70"/>
      <c r="Y111" s="70"/>
      <c r="Z111" s="70"/>
      <c r="AA111" s="70"/>
    </row>
    <row r="112" spans="24:27">
      <c r="X112" s="70"/>
      <c r="Y112" s="70"/>
      <c r="Z112" s="70"/>
      <c r="AA112" s="70"/>
    </row>
    <row r="113" spans="17:27">
      <c r="X113" s="70"/>
      <c r="Y113" s="70"/>
      <c r="Z113" s="70"/>
      <c r="AA113" s="70"/>
    </row>
    <row r="114" spans="17:27">
      <c r="X114" s="70"/>
      <c r="Y114" s="70"/>
      <c r="Z114" s="70"/>
      <c r="AA114" s="70"/>
    </row>
    <row r="128" spans="17:27">
      <c r="Q128" s="12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Targets</vt:lpstr>
      <vt:lpstr>Gamma Target</vt:lpstr>
      <vt:lpstr>Calculation</vt:lpstr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2012-04-30T18:14:38Z</cp:lastPrinted>
  <dcterms:created xsi:type="dcterms:W3CDTF">2012-04-30T17:31:39Z</dcterms:created>
  <dcterms:modified xsi:type="dcterms:W3CDTF">2012-06-17T15:18:05Z</dcterms:modified>
  <cp:category/>
</cp:coreProperties>
</file>