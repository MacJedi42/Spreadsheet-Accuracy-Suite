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585" yWindow="-15" windowWidth="12660" windowHeight="12480" activeTab="1"/>
  </bookViews>
  <sheets>
    <sheet name="Tekst og tabeller 2010" sheetId="1" r:id="rId1"/>
    <sheet name="Indtast brændsler og produktion" sheetId="2" r:id="rId2"/>
    <sheet name="Emissionsberegninger marginal" sheetId="4" r:id="rId3"/>
    <sheet name="Marginal miljøeffekt" sheetId="5" r:id="rId4"/>
  </sheets>
  <definedNames>
    <definedName name="_xlnm._FilterDatabase" localSheetId="1" hidden="1">'Indtast brændsler og produktion'!$A$3:$A$4</definedName>
    <definedName name="Anlæg">'Tekst og tabeller 2010'!$A$4:$A$16</definedName>
    <definedName name="produktionstype">'Tekst og tabeller 2010'!$A$62:$A$65</definedName>
    <definedName name="Type_elproduktion">'Tekst og tabeller 2010'!$J$15:$J$16</definedName>
    <definedName name="_xlnm.Print_Area" localSheetId="1">'Indtast brændsler og produktion'!$A$1:$I$37</definedName>
    <definedName name="Varmeproduktionsanlæg" localSheetId="0">'Tekst og tabeller 2010'!$A$4:$A$16</definedName>
  </definedNames>
  <calcPr calcId="125725"/>
</workbook>
</file>

<file path=xl/calcChain.xml><?xml version="1.0" encoding="utf-8"?>
<calcChain xmlns="http://schemas.openxmlformats.org/spreadsheetml/2006/main">
  <c r="I7" i="2"/>
  <c r="A5" i="5"/>
  <c r="H23" i="1"/>
  <c r="H22"/>
  <c r="H21"/>
  <c r="H20"/>
  <c r="G23"/>
  <c r="G22"/>
  <c r="G21"/>
  <c r="G20"/>
  <c r="F23"/>
  <c r="F22"/>
  <c r="F21"/>
  <c r="F20"/>
  <c r="E23"/>
  <c r="E22"/>
  <c r="E21"/>
  <c r="E20"/>
  <c r="C17" i="5"/>
  <c r="C13"/>
  <c r="C11"/>
  <c r="C9"/>
  <c r="D16" i="4"/>
  <c r="D17"/>
  <c r="D18"/>
  <c r="D19"/>
  <c r="D20"/>
  <c r="B29" l="1"/>
  <c r="B28"/>
  <c r="B27"/>
  <c r="B26"/>
  <c r="D23" i="1"/>
  <c r="D22"/>
  <c r="D21"/>
  <c r="D20"/>
  <c r="B20" i="4"/>
  <c r="B19"/>
  <c r="B18"/>
  <c r="B17"/>
  <c r="B16"/>
  <c r="B10"/>
  <c r="B9"/>
  <c r="B8"/>
  <c r="B7"/>
  <c r="B6"/>
  <c r="G74" i="1"/>
  <c r="L74" s="1"/>
  <c r="Q74" s="1"/>
  <c r="G91"/>
  <c r="L91" s="1"/>
  <c r="Q91" s="1"/>
  <c r="F91"/>
  <c r="K91" s="1"/>
  <c r="P91" s="1"/>
  <c r="E91"/>
  <c r="J91" s="1"/>
  <c r="O91" s="1"/>
  <c r="D91"/>
  <c r="I91" s="1"/>
  <c r="N91" s="1"/>
  <c r="C91"/>
  <c r="H91" s="1"/>
  <c r="M91" s="1"/>
  <c r="G90"/>
  <c r="L90" s="1"/>
  <c r="Q90" s="1"/>
  <c r="F90"/>
  <c r="K90" s="1"/>
  <c r="P90" s="1"/>
  <c r="E90"/>
  <c r="J90" s="1"/>
  <c r="O90" s="1"/>
  <c r="D90"/>
  <c r="I90" s="1"/>
  <c r="N90" s="1"/>
  <c r="C90"/>
  <c r="H90" s="1"/>
  <c r="M90" s="1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G89"/>
  <c r="L89" s="1"/>
  <c r="Q89" s="1"/>
  <c r="F89"/>
  <c r="K89" s="1"/>
  <c r="P89" s="1"/>
  <c r="E89"/>
  <c r="J89" s="1"/>
  <c r="O89" s="1"/>
  <c r="D89"/>
  <c r="I89" s="1"/>
  <c r="N89" s="1"/>
  <c r="C89"/>
  <c r="H89" s="1"/>
  <c r="M89" s="1"/>
  <c r="G88"/>
  <c r="L88" s="1"/>
  <c r="Q88" s="1"/>
  <c r="F88"/>
  <c r="K88" s="1"/>
  <c r="P88" s="1"/>
  <c r="E88"/>
  <c r="J88" s="1"/>
  <c r="O88" s="1"/>
  <c r="D88"/>
  <c r="I88" s="1"/>
  <c r="N88" s="1"/>
  <c r="C88"/>
  <c r="H88" s="1"/>
  <c r="M88" s="1"/>
  <c r="G87"/>
  <c r="L87" s="1"/>
  <c r="Q87" s="1"/>
  <c r="F87"/>
  <c r="K87" s="1"/>
  <c r="P87" s="1"/>
  <c r="E87"/>
  <c r="J87" s="1"/>
  <c r="O87" s="1"/>
  <c r="D87"/>
  <c r="I87" s="1"/>
  <c r="N87" s="1"/>
  <c r="C87"/>
  <c r="H87" s="1"/>
  <c r="M87" s="1"/>
  <c r="G86"/>
  <c r="L86" s="1"/>
  <c r="Q86" s="1"/>
  <c r="F86"/>
  <c r="K86" s="1"/>
  <c r="P86" s="1"/>
  <c r="E86"/>
  <c r="J86" s="1"/>
  <c r="O86" s="1"/>
  <c r="D86"/>
  <c r="I86" s="1"/>
  <c r="N86" s="1"/>
  <c r="C86"/>
  <c r="H86" s="1"/>
  <c r="M86" s="1"/>
  <c r="G85"/>
  <c r="L85" s="1"/>
  <c r="Q85" s="1"/>
  <c r="F85"/>
  <c r="K85" s="1"/>
  <c r="P85" s="1"/>
  <c r="E85"/>
  <c r="J85" s="1"/>
  <c r="O85" s="1"/>
  <c r="D85"/>
  <c r="I85" s="1"/>
  <c r="N85" s="1"/>
  <c r="C85"/>
  <c r="H85" s="1"/>
  <c r="M85" s="1"/>
  <c r="G84"/>
  <c r="L84" s="1"/>
  <c r="Q84" s="1"/>
  <c r="F84"/>
  <c r="K84" s="1"/>
  <c r="P84" s="1"/>
  <c r="E84"/>
  <c r="J84" s="1"/>
  <c r="O84" s="1"/>
  <c r="D84"/>
  <c r="I84" s="1"/>
  <c r="N84" s="1"/>
  <c r="C84"/>
  <c r="H84" s="1"/>
  <c r="M84" s="1"/>
  <c r="G83"/>
  <c r="L83" s="1"/>
  <c r="Q83" s="1"/>
  <c r="F83"/>
  <c r="K83" s="1"/>
  <c r="P83" s="1"/>
  <c r="E83"/>
  <c r="J83" s="1"/>
  <c r="O83" s="1"/>
  <c r="D83"/>
  <c r="I83" s="1"/>
  <c r="N83" s="1"/>
  <c r="C83"/>
  <c r="H83" s="1"/>
  <c r="M83" s="1"/>
  <c r="G82"/>
  <c r="L82" s="1"/>
  <c r="Q82" s="1"/>
  <c r="F82"/>
  <c r="K82" s="1"/>
  <c r="P82" s="1"/>
  <c r="E82"/>
  <c r="J82" s="1"/>
  <c r="O82" s="1"/>
  <c r="D82"/>
  <c r="I82" s="1"/>
  <c r="N82" s="1"/>
  <c r="C82"/>
  <c r="H82" s="1"/>
  <c r="M82" s="1"/>
  <c r="G81"/>
  <c r="L81" s="1"/>
  <c r="Q81" s="1"/>
  <c r="F81"/>
  <c r="K81" s="1"/>
  <c r="P81" s="1"/>
  <c r="E81"/>
  <c r="J81" s="1"/>
  <c r="O81" s="1"/>
  <c r="D81"/>
  <c r="I81" s="1"/>
  <c r="N81" s="1"/>
  <c r="C81"/>
  <c r="H81" s="1"/>
  <c r="M81" s="1"/>
  <c r="G80"/>
  <c r="L80" s="1"/>
  <c r="Q80" s="1"/>
  <c r="F80"/>
  <c r="K80" s="1"/>
  <c r="P80" s="1"/>
  <c r="E80"/>
  <c r="J80" s="1"/>
  <c r="O80" s="1"/>
  <c r="D80"/>
  <c r="I80" s="1"/>
  <c r="N80" s="1"/>
  <c r="C80"/>
  <c r="H80" s="1"/>
  <c r="M80" s="1"/>
  <c r="G79"/>
  <c r="L79" s="1"/>
  <c r="Q79" s="1"/>
  <c r="F79"/>
  <c r="K79" s="1"/>
  <c r="P79" s="1"/>
  <c r="E79"/>
  <c r="J79" s="1"/>
  <c r="O79" s="1"/>
  <c r="D79"/>
  <c r="I79" s="1"/>
  <c r="N79" s="1"/>
  <c r="C79"/>
  <c r="H79" s="1"/>
  <c r="M79" s="1"/>
  <c r="G78"/>
  <c r="L78" s="1"/>
  <c r="Q78" s="1"/>
  <c r="F78"/>
  <c r="K78" s="1"/>
  <c r="P78" s="1"/>
  <c r="E78"/>
  <c r="J78" s="1"/>
  <c r="O78" s="1"/>
  <c r="D78"/>
  <c r="I78" s="1"/>
  <c r="N78" s="1"/>
  <c r="C78"/>
  <c r="H78" s="1"/>
  <c r="M78" s="1"/>
  <c r="G77"/>
  <c r="L77" s="1"/>
  <c r="Q77" s="1"/>
  <c r="F77"/>
  <c r="K77" s="1"/>
  <c r="P77" s="1"/>
  <c r="E77"/>
  <c r="J77" s="1"/>
  <c r="O77" s="1"/>
  <c r="D77"/>
  <c r="I77" s="1"/>
  <c r="N77" s="1"/>
  <c r="C77"/>
  <c r="H77" s="1"/>
  <c r="M77" s="1"/>
  <c r="G76"/>
  <c r="L76" s="1"/>
  <c r="Q76" s="1"/>
  <c r="F76"/>
  <c r="K76" s="1"/>
  <c r="P76" s="1"/>
  <c r="E76"/>
  <c r="J76" s="1"/>
  <c r="O76" s="1"/>
  <c r="D76"/>
  <c r="I76" s="1"/>
  <c r="N76" s="1"/>
  <c r="C76"/>
  <c r="H76" s="1"/>
  <c r="M76" s="1"/>
  <c r="G75"/>
  <c r="L75" s="1"/>
  <c r="Q75" s="1"/>
  <c r="F75"/>
  <c r="K75" s="1"/>
  <c r="P75" s="1"/>
  <c r="E75"/>
  <c r="J75" s="1"/>
  <c r="O75" s="1"/>
  <c r="D75"/>
  <c r="I75" s="1"/>
  <c r="N75" s="1"/>
  <c r="C75"/>
  <c r="H75" s="1"/>
  <c r="M75" s="1"/>
  <c r="F74"/>
  <c r="K74" s="1"/>
  <c r="P74" s="1"/>
  <c r="E74"/>
  <c r="J74" s="1"/>
  <c r="O74" s="1"/>
  <c r="D74"/>
  <c r="I74" s="1"/>
  <c r="N74" s="1"/>
  <c r="C74"/>
  <c r="H74" s="1"/>
  <c r="M74" s="1"/>
  <c r="G73"/>
  <c r="L73" s="1"/>
  <c r="Q73" s="1"/>
  <c r="F73"/>
  <c r="K73" s="1"/>
  <c r="P73" s="1"/>
  <c r="E73"/>
  <c r="J73" s="1"/>
  <c r="O73" s="1"/>
  <c r="D73"/>
  <c r="I73" s="1"/>
  <c r="N73" s="1"/>
  <c r="C73"/>
  <c r="H73" s="1"/>
  <c r="M73" s="1"/>
  <c r="G72"/>
  <c r="L72" s="1"/>
  <c r="Q72" s="1"/>
  <c r="F72"/>
  <c r="K72" s="1"/>
  <c r="P72" s="1"/>
  <c r="E72"/>
  <c r="J72" s="1"/>
  <c r="O72" s="1"/>
  <c r="D72"/>
  <c r="I72" s="1"/>
  <c r="N72" s="1"/>
  <c r="C72"/>
  <c r="H72" s="1"/>
  <c r="M72" s="1"/>
  <c r="G71"/>
  <c r="L71" s="1"/>
  <c r="Q71" s="1"/>
  <c r="F71"/>
  <c r="K71" s="1"/>
  <c r="P71" s="1"/>
  <c r="E71"/>
  <c r="J71" s="1"/>
  <c r="O71" s="1"/>
  <c r="D71"/>
  <c r="I71" s="1"/>
  <c r="N71" s="1"/>
  <c r="C71"/>
  <c r="H71" s="1"/>
  <c r="M71" s="1"/>
  <c r="B72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F10" i="4"/>
  <c r="F9"/>
  <c r="F8"/>
  <c r="F7"/>
  <c r="F6"/>
  <c r="F33" i="2"/>
  <c r="F24"/>
  <c r="G11"/>
  <c r="F11"/>
  <c r="C29" i="4"/>
  <c r="C28"/>
  <c r="C27"/>
  <c r="C26"/>
  <c r="C20"/>
  <c r="E20" s="1"/>
  <c r="C19"/>
  <c r="E19" s="1"/>
  <c r="C18"/>
  <c r="E18" s="1"/>
  <c r="C17"/>
  <c r="E17" s="1"/>
  <c r="C16"/>
  <c r="E16" s="1"/>
  <c r="D10"/>
  <c r="D9"/>
  <c r="D8"/>
  <c r="D7"/>
  <c r="D6"/>
  <c r="C10"/>
  <c r="C9"/>
  <c r="E9" s="1"/>
  <c r="C8"/>
  <c r="C7"/>
  <c r="E7" s="1"/>
  <c r="C6"/>
  <c r="E6" s="1"/>
  <c r="A35" i="2"/>
  <c r="I32"/>
  <c r="I31"/>
  <c r="I30"/>
  <c r="I29"/>
  <c r="I10"/>
  <c r="I9"/>
  <c r="I8"/>
  <c r="I6"/>
  <c r="D59" i="1"/>
  <c r="O8" i="4" l="1"/>
  <c r="E8"/>
  <c r="O10"/>
  <c r="E10"/>
  <c r="O27"/>
  <c r="E27"/>
  <c r="O29"/>
  <c r="E29"/>
  <c r="O26"/>
  <c r="E26"/>
  <c r="O28"/>
  <c r="E28"/>
  <c r="M6"/>
  <c r="K18"/>
  <c r="K20"/>
  <c r="K19"/>
  <c r="K17"/>
  <c r="B35"/>
  <c r="C35" s="1"/>
  <c r="D35" s="1"/>
  <c r="B36"/>
  <c r="C36" s="1"/>
  <c r="D36" s="1"/>
  <c r="B37"/>
  <c r="C37" s="1"/>
  <c r="D37" s="1"/>
  <c r="B38"/>
  <c r="C38" s="1"/>
  <c r="D38" s="1"/>
  <c r="B39"/>
  <c r="C39" s="1"/>
  <c r="D39" s="1"/>
  <c r="B40"/>
  <c r="C40" s="1"/>
  <c r="D40" s="1"/>
  <c r="B41"/>
  <c r="C41" s="1"/>
  <c r="D41" s="1"/>
  <c r="B42"/>
  <c r="C42" s="1"/>
  <c r="D42" s="1"/>
  <c r="E21"/>
  <c r="E30"/>
  <c r="I26"/>
  <c r="M26"/>
  <c r="N26" s="1"/>
  <c r="H27"/>
  <c r="J27"/>
  <c r="L27"/>
  <c r="N27"/>
  <c r="P27"/>
  <c r="H28"/>
  <c r="J28"/>
  <c r="L28"/>
  <c r="N28"/>
  <c r="P28"/>
  <c r="H29"/>
  <c r="J29"/>
  <c r="L29"/>
  <c r="N29"/>
  <c r="P29"/>
  <c r="F11"/>
  <c r="G26"/>
  <c r="K26"/>
  <c r="L26" s="1"/>
  <c r="G27"/>
  <c r="I27"/>
  <c r="K27"/>
  <c r="M27"/>
  <c r="G28"/>
  <c r="I28"/>
  <c r="K28"/>
  <c r="M28"/>
  <c r="G29"/>
  <c r="I29"/>
  <c r="K29"/>
  <c r="M29"/>
  <c r="N18"/>
  <c r="P18"/>
  <c r="N19"/>
  <c r="P19"/>
  <c r="N20"/>
  <c r="P20"/>
  <c r="M16"/>
  <c r="N16" s="1"/>
  <c r="O16"/>
  <c r="M17"/>
  <c r="N17" s="1"/>
  <c r="O17"/>
  <c r="P17" s="1"/>
  <c r="M18"/>
  <c r="O18"/>
  <c r="M19"/>
  <c r="O19"/>
  <c r="M20"/>
  <c r="O20"/>
  <c r="G6"/>
  <c r="H8"/>
  <c r="H10"/>
  <c r="G17"/>
  <c r="G19"/>
  <c r="H18"/>
  <c r="H20"/>
  <c r="J18"/>
  <c r="J19"/>
  <c r="J20"/>
  <c r="L17"/>
  <c r="L18"/>
  <c r="L19"/>
  <c r="L20"/>
  <c r="H9"/>
  <c r="G16"/>
  <c r="G18"/>
  <c r="G20"/>
  <c r="H17"/>
  <c r="H19"/>
  <c r="I16"/>
  <c r="J16" s="1"/>
  <c r="I17"/>
  <c r="J17" s="1"/>
  <c r="I18"/>
  <c r="I19"/>
  <c r="I20"/>
  <c r="K16"/>
  <c r="G8"/>
  <c r="G10"/>
  <c r="I7"/>
  <c r="I9"/>
  <c r="J7"/>
  <c r="J9"/>
  <c r="K6"/>
  <c r="K8"/>
  <c r="K10"/>
  <c r="L9"/>
  <c r="O6"/>
  <c r="N8"/>
  <c r="N9"/>
  <c r="N10"/>
  <c r="P8"/>
  <c r="P9"/>
  <c r="P10"/>
  <c r="G7"/>
  <c r="H7" s="1"/>
  <c r="G9"/>
  <c r="I6"/>
  <c r="I8"/>
  <c r="I10"/>
  <c r="J8"/>
  <c r="J10"/>
  <c r="K7"/>
  <c r="L7" s="1"/>
  <c r="K9"/>
  <c r="L8"/>
  <c r="L10"/>
  <c r="M7"/>
  <c r="N7" s="1"/>
  <c r="M8"/>
  <c r="M9"/>
  <c r="M10"/>
  <c r="O7"/>
  <c r="P7" s="1"/>
  <c r="O9"/>
  <c r="P6" l="1"/>
  <c r="P11" s="1"/>
  <c r="L30"/>
  <c r="H6"/>
  <c r="N6"/>
  <c r="L16"/>
  <c r="L21" s="1"/>
  <c r="N21"/>
  <c r="P16"/>
  <c r="P21" s="1"/>
  <c r="N11"/>
  <c r="L6"/>
  <c r="J6"/>
  <c r="J11" s="1"/>
  <c r="G41"/>
  <c r="G39"/>
  <c r="G37"/>
  <c r="G42"/>
  <c r="E42"/>
  <c r="F42"/>
  <c r="E40"/>
  <c r="E38"/>
  <c r="H16"/>
  <c r="L11"/>
  <c r="H11"/>
  <c r="J21"/>
  <c r="H26"/>
  <c r="H30" s="1"/>
  <c r="J26"/>
  <c r="J30" s="1"/>
  <c r="P26"/>
  <c r="P30" s="1"/>
  <c r="N30"/>
  <c r="H21"/>
  <c r="E11"/>
  <c r="E36" l="1"/>
  <c r="F38"/>
  <c r="G38"/>
  <c r="F40"/>
  <c r="G40"/>
  <c r="E37"/>
  <c r="E39"/>
  <c r="E41"/>
  <c r="F37"/>
  <c r="F39"/>
  <c r="F41"/>
  <c r="I36"/>
  <c r="H36"/>
  <c r="I38"/>
  <c r="H38"/>
  <c r="I40"/>
  <c r="H40"/>
  <c r="I42"/>
  <c r="H42"/>
  <c r="I37"/>
  <c r="H37"/>
  <c r="I39"/>
  <c r="H39"/>
  <c r="I41"/>
  <c r="H41"/>
  <c r="F36"/>
  <c r="G36"/>
  <c r="F35"/>
  <c r="F43" l="1"/>
  <c r="B11" i="5" s="1"/>
  <c r="E35" i="4"/>
  <c r="E43" s="1"/>
  <c r="B9" i="5" s="1"/>
  <c r="I35" i="4"/>
  <c r="I43" s="1"/>
  <c r="B17" i="5" s="1"/>
  <c r="H35" i="4"/>
  <c r="H43" s="1"/>
  <c r="B15" i="5" s="1"/>
  <c r="G35" i="4"/>
  <c r="G43" s="1"/>
  <c r="B13" i="5" s="1"/>
</calcChain>
</file>

<file path=xl/sharedStrings.xml><?xml version="1.0" encoding="utf-8"?>
<sst xmlns="http://schemas.openxmlformats.org/spreadsheetml/2006/main" count="321" uniqueCount="139">
  <si>
    <t>Anlæg</t>
  </si>
  <si>
    <t>Naturgasfyr</t>
  </si>
  <si>
    <t>Oliefyr</t>
  </si>
  <si>
    <t>Træpillefyr</t>
  </si>
  <si>
    <t>Elvarme</t>
  </si>
  <si>
    <t>Naturgaskedel</t>
  </si>
  <si>
    <t>Oliekedel</t>
  </si>
  <si>
    <t>Biooliekedel</t>
  </si>
  <si>
    <t>Fliskedel</t>
  </si>
  <si>
    <t>Halmkedel</t>
  </si>
  <si>
    <t>Affaldskedel</t>
  </si>
  <si>
    <t>Naturgaskraftvarme</t>
  </si>
  <si>
    <t>Fliskraftvarme</t>
  </si>
  <si>
    <t>Halmkraftvarme</t>
  </si>
  <si>
    <t>Affaldskraftvarme</t>
  </si>
  <si>
    <t>Kulfyret kraftvarme</t>
  </si>
  <si>
    <t>NOx</t>
  </si>
  <si>
    <t>El *</t>
  </si>
  <si>
    <t>El</t>
  </si>
  <si>
    <t>kg/MWh</t>
  </si>
  <si>
    <t>g/MWh</t>
  </si>
  <si>
    <t>Nord Pool</t>
  </si>
  <si>
    <t>Forbruger</t>
  </si>
  <si>
    <t>kg/GJ</t>
  </si>
  <si>
    <t>g/GJ</t>
  </si>
  <si>
    <t xml:space="preserve">Anm:  Emissionerne knyttet til el er baseret på den forventede gennemsnitlige danske kondensproduktion. </t>
  </si>
  <si>
    <t>*) Da der altid regnes med et tillæg til elprisen grundet CO2-kvoter, bør CO2-emissioner fra elproduktion ikke værdisættes separat og indregnes i det samfundsøkonomiske regnestykke.</t>
  </si>
  <si>
    <t>forbrug</t>
  </si>
  <si>
    <t>Fjernvarme-</t>
  </si>
  <si>
    <t>Forudsætninger for samfundsøkonomiske analyser på energiområdet april 2010: Tabel 8 Emissionskoefficienter for el og fjernvarme</t>
  </si>
  <si>
    <t>Anlægstyper</t>
  </si>
  <si>
    <t>Distributionstab el (i forhold til tilført energi)</t>
  </si>
  <si>
    <t>Transmissionstab el (i forhold til tilført energi)</t>
  </si>
  <si>
    <t>Nettab i alt el</t>
  </si>
  <si>
    <t>Tab elforsyning (Energinet.dk miljørapport 2008)</t>
  </si>
  <si>
    <t>Type produktion</t>
  </si>
  <si>
    <t>Kraftvarmeanlæg</t>
  </si>
  <si>
    <t>Enhed</t>
  </si>
  <si>
    <t>Antal anlæg</t>
  </si>
  <si>
    <r>
      <t>Nm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</si>
  <si>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</si>
  <si>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GJ</t>
  </si>
  <si>
    <t>ton</t>
  </si>
  <si>
    <t>MWh</t>
  </si>
  <si>
    <t>Individuel</t>
  </si>
  <si>
    <t>kedel</t>
  </si>
  <si>
    <t>modtryk</t>
  </si>
  <si>
    <t>udtag</t>
  </si>
  <si>
    <t>Brændværdi GJ/enhed</t>
  </si>
  <si>
    <t>Kedelanlæg</t>
  </si>
  <si>
    <t>Brændselsforbrug</t>
  </si>
  <si>
    <t>Varmeproduktion</t>
  </si>
  <si>
    <t>Elproduktion</t>
  </si>
  <si>
    <t>Træpiller kraftvarme</t>
  </si>
  <si>
    <t>kg/ GJ</t>
  </si>
  <si>
    <t>Træpillekedel</t>
  </si>
  <si>
    <t>Type*</t>
  </si>
  <si>
    <t>* Decentrale naturgasfyrede motoranlæg er altid modtryksanlæg. Dampturbiner er normalt udtagsanlæg, men nogle anlæg kører som modtryk.</t>
  </si>
  <si>
    <t>Cv-værdi</t>
  </si>
  <si>
    <t>** Skal kun indtastes for udtagsanlæg</t>
  </si>
  <si>
    <t>Marginal %</t>
  </si>
  <si>
    <t>**</t>
  </si>
  <si>
    <t>pr. enhed</t>
  </si>
  <si>
    <t>***</t>
  </si>
  <si>
    <t>Elvirkningsgrad</t>
  </si>
  <si>
    <t>Andet varmeproduktion</t>
  </si>
  <si>
    <t>Solvarme</t>
  </si>
  <si>
    <t>Geotermi</t>
  </si>
  <si>
    <t>Varmepumpe</t>
  </si>
  <si>
    <t>(elforb./varme)</t>
  </si>
  <si>
    <t>Andre varmeproduktionsanlæg</t>
  </si>
  <si>
    <t>Elforbrug varme-</t>
  </si>
  <si>
    <t>pumpe **** MWh</t>
  </si>
  <si>
    <t>Indtastning af brændsler- og produktionsdata for fjernvarmeværket</t>
  </si>
  <si>
    <t>COP ****</t>
  </si>
  <si>
    <t>kg</t>
  </si>
  <si>
    <t>Kemikaliemærkning</t>
  </si>
  <si>
    <t>Eksplosiv</t>
  </si>
  <si>
    <t>Meget brandfarlig</t>
  </si>
  <si>
    <t>Brandnærende</t>
  </si>
  <si>
    <t>Ætsende</t>
  </si>
  <si>
    <t>Giftig</t>
  </si>
  <si>
    <t>Sundhedsskadelig &amp; lokalirriterende</t>
  </si>
  <si>
    <t>Sundhedsfare mennesker</t>
  </si>
  <si>
    <t>Miljøfarlig</t>
  </si>
  <si>
    <t>Mængde</t>
  </si>
  <si>
    <t>**** Kun relevant for varmepumpeanlæg. Vær opmærksom på at varmeproduktion varmepumpe kan være indeholdt i ovenstående tabeller (kraftvarme/kedel)</t>
  </si>
  <si>
    <t>lokalt GJ</t>
  </si>
  <si>
    <t>Marginal</t>
  </si>
  <si>
    <t>%</t>
  </si>
  <si>
    <t>I alt</t>
  </si>
  <si>
    <r>
      <t>CO</t>
    </r>
    <r>
      <rPr>
        <vertAlign val="subscript"/>
        <sz val="10"/>
        <color theme="1"/>
        <rFont val="Calibri"/>
        <family val="2"/>
        <scheme val="minor"/>
      </rPr>
      <t>2</t>
    </r>
  </si>
  <si>
    <t>El-</t>
  </si>
  <si>
    <t>Miljøeffekt ved ændring an forbruger</t>
  </si>
  <si>
    <t>Miljøeffekt ved ændring ab decentralt værk</t>
  </si>
  <si>
    <t>Miljøeffekt ved ændring ab centralt værk</t>
  </si>
  <si>
    <t>Årstal</t>
  </si>
  <si>
    <r>
      <t>Emisf. CO</t>
    </r>
    <r>
      <rPr>
        <vertAlign val="subscript"/>
        <sz val="10"/>
        <color theme="1"/>
        <rFont val="Calibri"/>
        <family val="2"/>
        <scheme val="minor"/>
      </rPr>
      <t>2</t>
    </r>
  </si>
  <si>
    <r>
      <t>Emisf. NO</t>
    </r>
    <r>
      <rPr>
        <vertAlign val="subscript"/>
        <sz val="10"/>
        <color theme="1"/>
        <rFont val="Calibri"/>
        <family val="2"/>
        <scheme val="minor"/>
      </rPr>
      <t>x</t>
    </r>
  </si>
  <si>
    <r>
      <t>NO</t>
    </r>
    <r>
      <rPr>
        <vertAlign val="subscript"/>
        <sz val="10"/>
        <color theme="1"/>
        <rFont val="Calibri"/>
        <family val="2"/>
        <scheme val="minor"/>
      </rPr>
      <t>x</t>
    </r>
  </si>
  <si>
    <r>
      <t>Emisf. SO</t>
    </r>
    <r>
      <rPr>
        <vertAlign val="subscript"/>
        <sz val="10"/>
        <color theme="1"/>
        <rFont val="Calibri"/>
        <family val="2"/>
        <scheme val="minor"/>
      </rPr>
      <t>2</t>
    </r>
  </si>
  <si>
    <r>
      <t>SO</t>
    </r>
    <r>
      <rPr>
        <vertAlign val="subscript"/>
        <sz val="10"/>
        <color theme="1"/>
        <rFont val="Calibri"/>
        <family val="2"/>
        <scheme val="minor"/>
      </rPr>
      <t>2</t>
    </r>
  </si>
  <si>
    <r>
      <t>Emisf. CH</t>
    </r>
    <r>
      <rPr>
        <vertAlign val="subscript"/>
        <sz val="10"/>
        <color theme="1"/>
        <rFont val="Calibri"/>
        <family val="2"/>
        <scheme val="minor"/>
      </rPr>
      <t>4</t>
    </r>
  </si>
  <si>
    <r>
      <t>CH</t>
    </r>
    <r>
      <rPr>
        <vertAlign val="subscript"/>
        <sz val="10"/>
        <color theme="1"/>
        <rFont val="Calibri"/>
        <family val="2"/>
        <scheme val="minor"/>
      </rPr>
      <t>4</t>
    </r>
  </si>
  <si>
    <r>
      <t>Emisf. N</t>
    </r>
    <r>
      <rPr>
        <vertAlign val="sub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O</t>
    </r>
  </si>
  <si>
    <r>
      <t>N</t>
    </r>
    <r>
      <rPr>
        <vertAlign val="sub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O</t>
    </r>
  </si>
  <si>
    <t>Opgørelse af emissioner</t>
  </si>
  <si>
    <t>Ledningstab %</t>
  </si>
  <si>
    <t xml:space="preserve">Marginal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</si>
  <si>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</si>
  <si>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Samlet marginal</t>
  </si>
  <si>
    <t>Varme</t>
  </si>
  <si>
    <r>
      <t>NO</t>
    </r>
    <r>
      <rPr>
        <vertAlign val="subscript"/>
        <sz val="11"/>
        <color theme="1"/>
        <rFont val="Calibri"/>
        <family val="2"/>
        <scheme val="minor"/>
      </rPr>
      <t>x</t>
    </r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</si>
  <si>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</si>
  <si>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</si>
  <si>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</si>
  <si>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Miljøeffekt ved ændring i varmeforbrug</t>
  </si>
  <si>
    <t>"Fjordbykøbing fjernvarmeværk"</t>
  </si>
  <si>
    <r>
      <t>Kuldioxid CO</t>
    </r>
    <r>
      <rPr>
        <vertAlign val="subscript"/>
        <sz val="11"/>
        <color theme="1"/>
        <rFont val="Calibri"/>
        <family val="2"/>
        <scheme val="minor"/>
      </rPr>
      <t>2</t>
    </r>
  </si>
  <si>
    <t>Parameter</t>
  </si>
  <si>
    <t>enhed</t>
  </si>
  <si>
    <t>Besparelse*</t>
  </si>
  <si>
    <r>
      <t>Svovldioxid SO</t>
    </r>
    <r>
      <rPr>
        <vertAlign val="subscript"/>
        <sz val="11"/>
        <color theme="1"/>
        <rFont val="Calibri"/>
        <family val="2"/>
        <scheme val="minor"/>
      </rPr>
      <t>2</t>
    </r>
  </si>
  <si>
    <r>
      <t>Kvælstofoxider NO</t>
    </r>
    <r>
      <rPr>
        <vertAlign val="subscript"/>
        <sz val="11"/>
        <color theme="1"/>
        <rFont val="Calibri"/>
        <family val="2"/>
        <scheme val="minor"/>
      </rPr>
      <t>x</t>
    </r>
  </si>
  <si>
    <r>
      <t>Metan CH</t>
    </r>
    <r>
      <rPr>
        <vertAlign val="subscript"/>
        <sz val="11"/>
        <color theme="1"/>
        <rFont val="Calibri"/>
        <family val="2"/>
        <scheme val="minor"/>
      </rPr>
      <t>4</t>
    </r>
  </si>
  <si>
    <r>
      <t>Lattergas 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</si>
  <si>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 xml:space="preserve">* Et negativt fortegn medfører at en varmebesparelse marginalt set medfører en øget </t>
  </si>
  <si>
    <r>
      <t xml:space="preserve">*** Indtast en vægtning af hvor stor en del af tiden anlægget er marginal over året. Sum af marginaler </t>
    </r>
    <r>
      <rPr>
        <u/>
        <sz val="10"/>
        <color theme="1"/>
        <rFont val="Calibri"/>
        <family val="2"/>
        <scheme val="minor"/>
      </rPr>
      <t>skal</t>
    </r>
    <r>
      <rPr>
        <sz val="10"/>
        <color theme="1"/>
        <rFont val="Calibri"/>
        <family val="2"/>
        <scheme val="minor"/>
      </rPr>
      <t xml:space="preserve"> give 100. Indsæt ikke 2 helt ens tal.</t>
    </r>
  </si>
  <si>
    <r>
      <t>CO</t>
    </r>
    <r>
      <rPr>
        <vertAlign val="subscript"/>
        <sz val="10"/>
        <rFont val="Arial"/>
        <family val="2"/>
      </rPr>
      <t>2</t>
    </r>
  </si>
  <si>
    <r>
      <t>CH</t>
    </r>
    <r>
      <rPr>
        <vertAlign val="subscript"/>
        <sz val="10"/>
        <rFont val="Arial"/>
        <family val="2"/>
      </rPr>
      <t>4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</si>
  <si>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</si>
  <si>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r>
      <t>SO</t>
    </r>
    <r>
      <rPr>
        <vertAlign val="subscript"/>
        <sz val="10"/>
        <rFont val="Arial"/>
        <family val="2"/>
      </rPr>
      <t>2</t>
    </r>
  </si>
  <si>
    <r>
      <t>CO</t>
    </r>
    <r>
      <rPr>
        <b/>
        <i/>
        <vertAlign val="subscript"/>
        <sz val="10"/>
        <rFont val="Calibri"/>
        <family val="2"/>
      </rPr>
      <t>2</t>
    </r>
  </si>
  <si>
    <r>
      <t>NO</t>
    </r>
    <r>
      <rPr>
        <b/>
        <i/>
        <vertAlign val="subscript"/>
        <sz val="10"/>
        <rFont val="Calibri"/>
        <family val="2"/>
      </rPr>
      <t>x</t>
    </r>
  </si>
  <si>
    <r>
      <t>SO</t>
    </r>
    <r>
      <rPr>
        <b/>
        <i/>
        <vertAlign val="subscript"/>
        <sz val="10"/>
        <rFont val="Calibri"/>
        <family val="2"/>
      </rPr>
      <t>2</t>
    </r>
  </si>
  <si>
    <r>
      <t>CH</t>
    </r>
    <r>
      <rPr>
        <b/>
        <i/>
        <vertAlign val="subscript"/>
        <sz val="10"/>
        <rFont val="Calibri"/>
        <family val="2"/>
      </rPr>
      <t>4</t>
    </r>
  </si>
  <si>
    <r>
      <t>N</t>
    </r>
    <r>
      <rPr>
        <b/>
        <i/>
        <vertAlign val="subscript"/>
        <sz val="10"/>
        <rFont val="Calibri"/>
        <family val="2"/>
      </rPr>
      <t>2</t>
    </r>
    <r>
      <rPr>
        <b/>
        <i/>
        <sz val="10"/>
        <rFont val="Calibri"/>
        <family val="2"/>
      </rPr>
      <t>O</t>
    </r>
  </si>
  <si>
    <t xml:space="preserve">   udledning. Dette forekommer typisk ved, at den afledte elproduktion produceres et</t>
  </si>
  <si>
    <t xml:space="preserve">   sted, hvor udledningen ved elproduktion er større end besparelsen i det lokale værk.</t>
  </si>
</sst>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#,##0.000"/>
    <numFmt numFmtId="167" formatCode="0.000"/>
    <numFmt numFmtId="168" formatCode="#,##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  <font>
      <b/>
      <i/>
      <sz val="10"/>
      <name val="Calibri"/>
      <family val="2"/>
    </font>
    <font>
      <vertAlign val="sub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0"/>
      <name val="Arial"/>
      <family val="2"/>
    </font>
    <font>
      <b/>
      <i/>
      <vertAlign val="subscript"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1" fillId="0" borderId="0" applyFont="0" applyFill="0" applyBorder="0" applyAlignment="0" applyProtection="0"/>
  </cellStyleXfs>
  <cellXfs count="24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2" fillId="0" borderId="0" xfId="1"/>
    <xf numFmtId="1" fontId="2" fillId="0" borderId="0" xfId="1" applyNumberFormat="1" applyBorder="1"/>
    <xf numFmtId="1" fontId="2" fillId="0" borderId="13" xfId="1" applyNumberFormat="1" applyBorder="1"/>
    <xf numFmtId="164" fontId="2" fillId="0" borderId="13" xfId="1" applyNumberFormat="1" applyBorder="1"/>
    <xf numFmtId="164" fontId="2" fillId="0" borderId="0" xfId="1" applyNumberFormat="1" applyBorder="1"/>
    <xf numFmtId="164" fontId="2" fillId="0" borderId="10" xfId="1" applyNumberFormat="1" applyBorder="1"/>
    <xf numFmtId="164" fontId="2" fillId="0" borderId="13" xfId="1" applyNumberFormat="1" applyFont="1" applyBorder="1"/>
    <xf numFmtId="0" fontId="2" fillId="0" borderId="13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3" fillId="0" borderId="0" xfId="1" applyFont="1"/>
    <xf numFmtId="0" fontId="5" fillId="0" borderId="0" xfId="0" applyFont="1"/>
    <xf numFmtId="0" fontId="4" fillId="0" borderId="4" xfId="1" applyFont="1" applyFill="1" applyBorder="1"/>
    <xf numFmtId="0" fontId="5" fillId="0" borderId="0" xfId="0" applyFont="1" applyBorder="1"/>
    <xf numFmtId="9" fontId="5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10" fontId="5" fillId="0" borderId="8" xfId="0" applyNumberFormat="1" applyFont="1" applyBorder="1"/>
    <xf numFmtId="0" fontId="1" fillId="0" borderId="19" xfId="0" applyFont="1" applyBorder="1"/>
    <xf numFmtId="0" fontId="0" fillId="0" borderId="20" xfId="0" applyBorder="1"/>
    <xf numFmtId="0" fontId="0" fillId="0" borderId="21" xfId="0" applyBorder="1"/>
    <xf numFmtId="0" fontId="4" fillId="0" borderId="22" xfId="1" applyFont="1" applyFill="1" applyBorder="1"/>
    <xf numFmtId="0" fontId="5" fillId="0" borderId="16" xfId="0" applyFont="1" applyBorder="1"/>
    <xf numFmtId="9" fontId="5" fillId="0" borderId="23" xfId="0" applyNumberFormat="1" applyFont="1" applyBorder="1"/>
    <xf numFmtId="0" fontId="2" fillId="0" borderId="24" xfId="1" applyBorder="1"/>
    <xf numFmtId="0" fontId="2" fillId="0" borderId="27" xfId="1" applyBorder="1"/>
    <xf numFmtId="0" fontId="2" fillId="0" borderId="5" xfId="1" applyBorder="1" applyAlignment="1">
      <alignment horizontal="center"/>
    </xf>
    <xf numFmtId="0" fontId="2" fillId="0" borderId="28" xfId="1" applyBorder="1"/>
    <xf numFmtId="0" fontId="2" fillId="0" borderId="23" xfId="1" applyBorder="1" applyAlignment="1">
      <alignment horizontal="center"/>
    </xf>
    <xf numFmtId="164" fontId="2" fillId="0" borderId="5" xfId="1" applyNumberFormat="1" applyBorder="1"/>
    <xf numFmtId="0" fontId="2" fillId="0" borderId="29" xfId="1" applyBorder="1"/>
    <xf numFmtId="1" fontId="2" fillId="0" borderId="7" xfId="1" applyNumberFormat="1" applyBorder="1"/>
    <xf numFmtId="1" fontId="2" fillId="0" borderId="30" xfId="1" applyNumberFormat="1" applyBorder="1"/>
    <xf numFmtId="164" fontId="2" fillId="0" borderId="30" xfId="1" applyNumberFormat="1" applyBorder="1"/>
    <xf numFmtId="164" fontId="2" fillId="0" borderId="7" xfId="1" applyNumberFormat="1" applyBorder="1"/>
    <xf numFmtId="164" fontId="2" fillId="0" borderId="31" xfId="1" applyNumberFormat="1" applyBorder="1"/>
    <xf numFmtId="164" fontId="2" fillId="0" borderId="30" xfId="1" applyNumberFormat="1" applyFont="1" applyBorder="1"/>
    <xf numFmtId="164" fontId="2" fillId="0" borderId="8" xfId="1" applyNumberFormat="1" applyBorder="1"/>
    <xf numFmtId="0" fontId="6" fillId="0" borderId="0" xfId="0" applyFont="1"/>
    <xf numFmtId="0" fontId="0" fillId="0" borderId="0" xfId="0" applyFill="1" applyBorder="1"/>
    <xf numFmtId="0" fontId="0" fillId="0" borderId="39" xfId="0" applyBorder="1"/>
    <xf numFmtId="0" fontId="0" fillId="0" borderId="40" xfId="0" applyBorder="1"/>
    <xf numFmtId="0" fontId="0" fillId="0" borderId="18" xfId="0" applyBorder="1"/>
    <xf numFmtId="0" fontId="1" fillId="0" borderId="0" xfId="0" applyFont="1" applyBorder="1"/>
    <xf numFmtId="166" fontId="0" fillId="0" borderId="0" xfId="0" applyNumberFormat="1" applyBorder="1" applyAlignment="1">
      <alignment horizontal="center"/>
    </xf>
    <xf numFmtId="0" fontId="0" fillId="0" borderId="2" xfId="0" applyFill="1" applyBorder="1"/>
    <xf numFmtId="0" fontId="0" fillId="0" borderId="7" xfId="0" applyFill="1" applyBorder="1"/>
    <xf numFmtId="0" fontId="8" fillId="0" borderId="0" xfId="0" applyFont="1"/>
    <xf numFmtId="0" fontId="0" fillId="0" borderId="4" xfId="0" applyFill="1" applyBorder="1"/>
    <xf numFmtId="0" fontId="0" fillId="0" borderId="6" xfId="0" applyFill="1" applyBorder="1"/>
    <xf numFmtId="0" fontId="0" fillId="0" borderId="7" xfId="0" applyBorder="1" applyAlignment="1">
      <alignment horizontal="center"/>
    </xf>
    <xf numFmtId="0" fontId="5" fillId="2" borderId="1" xfId="0" applyFont="1" applyFill="1" applyBorder="1"/>
    <xf numFmtId="0" fontId="5" fillId="2" borderId="44" xfId="0" applyFont="1" applyFill="1" applyBorder="1"/>
    <xf numFmtId="0" fontId="5" fillId="2" borderId="42" xfId="0" applyFont="1" applyFill="1" applyBorder="1"/>
    <xf numFmtId="0" fontId="5" fillId="2" borderId="6" xfId="0" applyFont="1" applyFill="1" applyBorder="1"/>
    <xf numFmtId="0" fontId="5" fillId="2" borderId="45" xfId="0" applyFont="1" applyFill="1" applyBorder="1"/>
    <xf numFmtId="0" fontId="5" fillId="2" borderId="43" xfId="0" applyFont="1" applyFill="1" applyBorder="1"/>
    <xf numFmtId="0" fontId="5" fillId="2" borderId="28" xfId="0" applyFont="1" applyFill="1" applyBorder="1" applyAlignment="1">
      <alignment horizontal="center"/>
    </xf>
    <xf numFmtId="0" fontId="5" fillId="3" borderId="15" xfId="0" applyFont="1" applyFill="1" applyBorder="1"/>
    <xf numFmtId="0" fontId="5" fillId="2" borderId="15" xfId="0" applyFont="1" applyFill="1" applyBorder="1"/>
    <xf numFmtId="0" fontId="5" fillId="0" borderId="15" xfId="0" applyFont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165" fontId="5" fillId="2" borderId="37" xfId="0" applyNumberFormat="1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3" borderId="9" xfId="0" applyFont="1" applyFill="1" applyBorder="1"/>
    <xf numFmtId="0" fontId="5" fillId="0" borderId="9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/>
    <xf numFmtId="0" fontId="5" fillId="0" borderId="15" xfId="0" applyFont="1" applyBorder="1"/>
    <xf numFmtId="0" fontId="5" fillId="2" borderId="15" xfId="0" applyFont="1" applyFill="1" applyBorder="1" applyAlignment="1">
      <alignment horizontal="center"/>
    </xf>
    <xf numFmtId="0" fontId="5" fillId="2" borderId="37" xfId="0" applyFont="1" applyFill="1" applyBorder="1"/>
    <xf numFmtId="0" fontId="5" fillId="0" borderId="9" xfId="0" applyFont="1" applyBorder="1"/>
    <xf numFmtId="0" fontId="5" fillId="2" borderId="9" xfId="0" applyFont="1" applyFill="1" applyBorder="1" applyAlignment="1">
      <alignment horizontal="center"/>
    </xf>
    <xf numFmtId="0" fontId="5" fillId="2" borderId="9" xfId="0" applyFont="1" applyFill="1" applyBorder="1"/>
    <xf numFmtId="0" fontId="5" fillId="2" borderId="33" xfId="0" applyFont="1" applyFill="1" applyBorder="1"/>
    <xf numFmtId="0" fontId="5" fillId="2" borderId="35" xfId="0" applyFont="1" applyFill="1" applyBorder="1" applyAlignment="1">
      <alignment horizontal="center"/>
    </xf>
    <xf numFmtId="0" fontId="5" fillId="2" borderId="35" xfId="0" applyFont="1" applyFill="1" applyBorder="1"/>
    <xf numFmtId="0" fontId="10" fillId="2" borderId="15" xfId="0" applyFont="1" applyFill="1" applyBorder="1"/>
    <xf numFmtId="0" fontId="10" fillId="2" borderId="9" xfId="0" applyFont="1" applyFill="1" applyBorder="1"/>
    <xf numFmtId="0" fontId="5" fillId="2" borderId="42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3" borderId="48" xfId="0" applyFont="1" applyFill="1" applyBorder="1"/>
    <xf numFmtId="0" fontId="5" fillId="2" borderId="10" xfId="0" applyFont="1" applyFill="1" applyBorder="1"/>
    <xf numFmtId="0" fontId="5" fillId="0" borderId="48" xfId="0" applyFont="1" applyBorder="1" applyAlignment="1">
      <alignment horizontal="center"/>
    </xf>
    <xf numFmtId="0" fontId="5" fillId="3" borderId="48" xfId="0" applyFont="1" applyFill="1" applyBorder="1" applyAlignment="1">
      <alignment horizontal="center"/>
    </xf>
    <xf numFmtId="165" fontId="5" fillId="2" borderId="46" xfId="0" applyNumberFormat="1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center"/>
    </xf>
    <xf numFmtId="0" fontId="5" fillId="2" borderId="51" xfId="0" applyFont="1" applyFill="1" applyBorder="1"/>
    <xf numFmtId="0" fontId="5" fillId="2" borderId="51" xfId="0" applyFont="1" applyFill="1" applyBorder="1" applyAlignment="1">
      <alignment horizontal="center"/>
    </xf>
    <xf numFmtId="165" fontId="5" fillId="2" borderId="38" xfId="0" applyNumberFormat="1" applyFont="1" applyFill="1" applyBorder="1" applyAlignment="1">
      <alignment horizontal="center"/>
    </xf>
    <xf numFmtId="0" fontId="5" fillId="0" borderId="48" xfId="0" applyFont="1" applyBorder="1"/>
    <xf numFmtId="0" fontId="5" fillId="2" borderId="48" xfId="0" applyFont="1" applyFill="1" applyBorder="1"/>
    <xf numFmtId="0" fontId="5" fillId="2" borderId="10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52" xfId="0" applyFont="1" applyFill="1" applyBorder="1"/>
    <xf numFmtId="0" fontId="5" fillId="2" borderId="38" xfId="0" applyFont="1" applyFill="1" applyBorder="1"/>
    <xf numFmtId="0" fontId="10" fillId="2" borderId="48" xfId="0" applyFont="1" applyFill="1" applyBorder="1"/>
    <xf numFmtId="0" fontId="5" fillId="2" borderId="46" xfId="0" applyFont="1" applyFill="1" applyBorder="1" applyAlignment="1">
      <alignment horizontal="center"/>
    </xf>
    <xf numFmtId="0" fontId="10" fillId="2" borderId="51" xfId="0" applyFont="1" applyFill="1" applyBorder="1"/>
    <xf numFmtId="0" fontId="5" fillId="2" borderId="38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0" fillId="2" borderId="9" xfId="0" applyFill="1" applyBorder="1"/>
    <xf numFmtId="1" fontId="13" fillId="3" borderId="28" xfId="0" applyNumberFormat="1" applyFont="1" applyFill="1" applyBorder="1" applyAlignment="1">
      <alignment horizontal="center"/>
    </xf>
    <xf numFmtId="1" fontId="13" fillId="3" borderId="15" xfId="0" applyNumberFormat="1" applyFont="1" applyFill="1" applyBorder="1" applyAlignment="1">
      <alignment horizontal="center"/>
    </xf>
    <xf numFmtId="1" fontId="13" fillId="3" borderId="16" xfId="0" applyNumberFormat="1" applyFont="1" applyFill="1" applyBorder="1" applyAlignment="1">
      <alignment horizontal="center"/>
    </xf>
    <xf numFmtId="167" fontId="13" fillId="3" borderId="16" xfId="0" applyNumberFormat="1" applyFont="1" applyFill="1" applyBorder="1" applyAlignment="1">
      <alignment horizontal="center"/>
    </xf>
    <xf numFmtId="1" fontId="13" fillId="3" borderId="41" xfId="0" applyNumberFormat="1" applyFont="1" applyFill="1" applyBorder="1" applyAlignment="1">
      <alignment horizontal="center"/>
    </xf>
    <xf numFmtId="167" fontId="13" fillId="3" borderId="17" xfId="0" applyNumberFormat="1" applyFont="1" applyFill="1" applyBorder="1" applyAlignment="1">
      <alignment horizontal="center"/>
    </xf>
    <xf numFmtId="167" fontId="14" fillId="3" borderId="16" xfId="0" applyNumberFormat="1" applyFont="1" applyFill="1" applyBorder="1" applyAlignment="1">
      <alignment horizontal="center"/>
    </xf>
    <xf numFmtId="167" fontId="14" fillId="3" borderId="23" xfId="0" applyNumberFormat="1" applyFont="1" applyFill="1" applyBorder="1" applyAlignment="1">
      <alignment horizontal="center"/>
    </xf>
    <xf numFmtId="1" fontId="13" fillId="3" borderId="15" xfId="2" applyNumberFormat="1" applyFont="1" applyFill="1" applyBorder="1" applyAlignment="1">
      <alignment horizontal="center"/>
    </xf>
    <xf numFmtId="0" fontId="15" fillId="4" borderId="53" xfId="0" applyFont="1" applyFill="1" applyBorder="1" applyAlignment="1">
      <alignment horizontal="center"/>
    </xf>
    <xf numFmtId="0" fontId="15" fillId="4" borderId="54" xfId="0" applyFont="1" applyFill="1" applyBorder="1" applyAlignment="1">
      <alignment horizontal="center"/>
    </xf>
    <xf numFmtId="0" fontId="15" fillId="4" borderId="27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/>
    </xf>
    <xf numFmtId="0" fontId="15" fillId="4" borderId="31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15" fillId="4" borderId="45" xfId="0" applyFont="1" applyFill="1" applyBorder="1" applyAlignment="1">
      <alignment horizontal="center"/>
    </xf>
    <xf numFmtId="0" fontId="15" fillId="4" borderId="30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/>
    </xf>
    <xf numFmtId="3" fontId="5" fillId="2" borderId="9" xfId="0" applyNumberFormat="1" applyFont="1" applyFill="1" applyBorder="1" applyAlignment="1">
      <alignment horizontal="center"/>
    </xf>
    <xf numFmtId="3" fontId="5" fillId="2" borderId="15" xfId="0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5" fillId="2" borderId="24" xfId="0" applyFont="1" applyFill="1" applyBorder="1"/>
    <xf numFmtId="0" fontId="5" fillId="2" borderId="56" xfId="0" applyFont="1" applyFill="1" applyBorder="1"/>
    <xf numFmtId="0" fontId="5" fillId="2" borderId="56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34" xfId="0" applyFont="1" applyFill="1" applyBorder="1"/>
    <xf numFmtId="0" fontId="0" fillId="2" borderId="35" xfId="0" applyFill="1" applyBorder="1"/>
    <xf numFmtId="0" fontId="5" fillId="2" borderId="36" xfId="0" applyFont="1" applyFill="1" applyBorder="1" applyAlignment="1">
      <alignment horizontal="center"/>
    </xf>
    <xf numFmtId="3" fontId="5" fillId="2" borderId="37" xfId="0" applyNumberFormat="1" applyFont="1" applyFill="1" applyBorder="1" applyAlignment="1">
      <alignment horizontal="center"/>
    </xf>
    <xf numFmtId="3" fontId="5" fillId="2" borderId="33" xfId="0" applyNumberFormat="1" applyFont="1" applyFill="1" applyBorder="1" applyAlignment="1">
      <alignment horizontal="center"/>
    </xf>
    <xf numFmtId="0" fontId="0" fillId="2" borderId="48" xfId="0" applyFill="1" applyBorder="1"/>
    <xf numFmtId="3" fontId="5" fillId="2" borderId="48" xfId="0" applyNumberFormat="1" applyFont="1" applyFill="1" applyBorder="1" applyAlignment="1">
      <alignment horizontal="center"/>
    </xf>
    <xf numFmtId="3" fontId="5" fillId="2" borderId="52" xfId="0" applyNumberFormat="1" applyFont="1" applyFill="1" applyBorder="1" applyAlignment="1">
      <alignment horizontal="center"/>
    </xf>
    <xf numFmtId="0" fontId="5" fillId="2" borderId="50" xfId="0" applyFont="1" applyFill="1" applyBorder="1"/>
    <xf numFmtId="3" fontId="5" fillId="2" borderId="51" xfId="0" applyNumberFormat="1" applyFont="1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3" fontId="5" fillId="2" borderId="38" xfId="0" applyNumberFormat="1" applyFont="1" applyFill="1" applyBorder="1" applyAlignment="1">
      <alignment horizontal="center"/>
    </xf>
    <xf numFmtId="0" fontId="0" fillId="2" borderId="51" xfId="0" applyFill="1" applyBorder="1"/>
    <xf numFmtId="0" fontId="0" fillId="2" borderId="15" xfId="0" applyFill="1" applyBorder="1"/>
    <xf numFmtId="0" fontId="0" fillId="0" borderId="2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56" xfId="0" applyFill="1" applyBorder="1"/>
    <xf numFmtId="0" fontId="0" fillId="2" borderId="47" xfId="0" applyFill="1" applyBorder="1"/>
    <xf numFmtId="0" fontId="0" fillId="2" borderId="58" xfId="0" applyFill="1" applyBorder="1"/>
    <xf numFmtId="9" fontId="0" fillId="0" borderId="38" xfId="0" applyNumberFormat="1" applyBorder="1" applyAlignment="1">
      <alignment horizontal="center"/>
    </xf>
    <xf numFmtId="0" fontId="5" fillId="0" borderId="15" xfId="0" applyFont="1" applyBorder="1" applyAlignment="1"/>
    <xf numFmtId="0" fontId="5" fillId="0" borderId="9" xfId="0" applyFont="1" applyBorder="1" applyAlignment="1"/>
    <xf numFmtId="0" fontId="5" fillId="0" borderId="48" xfId="0" applyFont="1" applyBorder="1" applyAlignment="1"/>
    <xf numFmtId="0" fontId="0" fillId="3" borderId="0" xfId="0" applyFill="1" applyBorder="1"/>
    <xf numFmtId="0" fontId="17" fillId="0" borderId="0" xfId="0" applyFont="1"/>
    <xf numFmtId="0" fontId="18" fillId="0" borderId="0" xfId="0" applyFont="1"/>
    <xf numFmtId="166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9" xfId="0" applyBorder="1"/>
    <xf numFmtId="0" fontId="0" fillId="0" borderId="5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5" xfId="0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4" fontId="5" fillId="2" borderId="15" xfId="0" applyNumberFormat="1" applyFont="1" applyFill="1" applyBorder="1" applyAlignment="1">
      <alignment horizontal="center"/>
    </xf>
    <xf numFmtId="4" fontId="5" fillId="2" borderId="37" xfId="0" applyNumberFormat="1" applyFont="1" applyFill="1" applyBorder="1" applyAlignment="1">
      <alignment horizontal="center"/>
    </xf>
    <xf numFmtId="4" fontId="5" fillId="2" borderId="10" xfId="0" applyNumberFormat="1" applyFont="1" applyFill="1" applyBorder="1" applyAlignment="1">
      <alignment horizontal="center"/>
    </xf>
    <xf numFmtId="4" fontId="5" fillId="2" borderId="46" xfId="0" applyNumberFormat="1" applyFont="1" applyFill="1" applyBorder="1" applyAlignment="1">
      <alignment horizontal="center"/>
    </xf>
    <xf numFmtId="4" fontId="5" fillId="2" borderId="51" xfId="0" applyNumberFormat="1" applyFont="1" applyFill="1" applyBorder="1" applyAlignment="1">
      <alignment horizontal="center"/>
    </xf>
    <xf numFmtId="4" fontId="0" fillId="2" borderId="51" xfId="0" applyNumberFormat="1" applyFill="1" applyBorder="1" applyAlignment="1">
      <alignment horizontal="center"/>
    </xf>
    <xf numFmtId="4" fontId="0" fillId="2" borderId="51" xfId="0" applyNumberFormat="1" applyFill="1" applyBorder="1"/>
    <xf numFmtId="4" fontId="0" fillId="2" borderId="38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13" fillId="3" borderId="29" xfId="0" applyNumberFormat="1" applyFont="1" applyFill="1" applyBorder="1" applyAlignment="1">
      <alignment horizontal="center"/>
    </xf>
    <xf numFmtId="1" fontId="13" fillId="3" borderId="31" xfId="2" applyNumberFormat="1" applyFont="1" applyFill="1" applyBorder="1" applyAlignment="1">
      <alignment horizontal="center"/>
    </xf>
    <xf numFmtId="1" fontId="13" fillId="3" borderId="7" xfId="0" applyNumberFormat="1" applyFont="1" applyFill="1" applyBorder="1" applyAlignment="1">
      <alignment horizontal="center"/>
    </xf>
    <xf numFmtId="167" fontId="13" fillId="3" borderId="7" xfId="0" applyNumberFormat="1" applyFont="1" applyFill="1" applyBorder="1" applyAlignment="1">
      <alignment horizontal="center"/>
    </xf>
    <xf numFmtId="1" fontId="13" fillId="3" borderId="45" xfId="0" applyNumberFormat="1" applyFont="1" applyFill="1" applyBorder="1" applyAlignment="1">
      <alignment horizontal="center"/>
    </xf>
    <xf numFmtId="167" fontId="13" fillId="3" borderId="30" xfId="0" applyNumberFormat="1" applyFont="1" applyFill="1" applyBorder="1" applyAlignment="1">
      <alignment horizontal="center"/>
    </xf>
    <xf numFmtId="167" fontId="14" fillId="3" borderId="7" xfId="0" applyNumberFormat="1" applyFont="1" applyFill="1" applyBorder="1" applyAlignment="1">
      <alignment horizontal="center"/>
    </xf>
    <xf numFmtId="167" fontId="14" fillId="3" borderId="8" xfId="0" applyNumberFormat="1" applyFont="1" applyFill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4" xfId="0" applyFill="1" applyBorder="1"/>
    <xf numFmtId="0" fontId="0" fillId="2" borderId="44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5" xfId="0" applyFill="1" applyBorder="1"/>
    <xf numFmtId="0" fontId="0" fillId="2" borderId="45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166" fontId="0" fillId="2" borderId="45" xfId="0" applyNumberFormat="1" applyFill="1" applyBorder="1" applyAlignment="1">
      <alignment horizontal="center"/>
    </xf>
    <xf numFmtId="166" fontId="0" fillId="2" borderId="43" xfId="0" applyNumberForma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5" fillId="2" borderId="31" xfId="0" applyFont="1" applyFill="1" applyBorder="1" applyAlignment="1">
      <alignment horizontal="center"/>
    </xf>
    <xf numFmtId="0" fontId="5" fillId="2" borderId="19" xfId="0" applyFont="1" applyFill="1" applyBorder="1"/>
    <xf numFmtId="0" fontId="5" fillId="2" borderId="25" xfId="0" applyFont="1" applyFill="1" applyBorder="1"/>
    <xf numFmtId="166" fontId="0" fillId="2" borderId="9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166" fontId="0" fillId="2" borderId="56" xfId="0" applyNumberFormat="1" applyFill="1" applyBorder="1" applyAlignment="1">
      <alignment horizontal="center"/>
    </xf>
    <xf numFmtId="166" fontId="0" fillId="2" borderId="57" xfId="0" applyNumberForma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166" fontId="0" fillId="2" borderId="35" xfId="0" applyNumberFormat="1" applyFill="1" applyBorder="1" applyAlignment="1">
      <alignment horizontal="center"/>
    </xf>
    <xf numFmtId="166" fontId="0" fillId="2" borderId="36" xfId="0" applyNumberFormat="1" applyFill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15" fillId="4" borderId="44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wrapText="1"/>
    </xf>
    <xf numFmtId="0" fontId="15" fillId="4" borderId="55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0" fontId="2" fillId="0" borderId="25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4" xfId="1" applyBorder="1" applyAlignment="1">
      <alignment horizontal="center"/>
    </xf>
    <xf numFmtId="0" fontId="2" fillId="0" borderId="13" xfId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26" xfId="1" applyBorder="1" applyAlignment="1">
      <alignment horizontal="center"/>
    </xf>
  </cellXfs>
  <cellStyles count="3">
    <cellStyle name="Normal" xfId="0" builtinId="0"/>
    <cellStyle name="Normal 2" xfId="1"/>
    <cellStyle name="Pro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</xdr:row>
      <xdr:rowOff>133350</xdr:rowOff>
    </xdr:from>
    <xdr:ext cx="184731" cy="264560"/>
    <xdr:sp macro="" textlink="">
      <xdr:nvSpPr>
        <xdr:cNvPr id="2" name="Tekstboks 1"/>
        <xdr:cNvSpPr txBox="1"/>
      </xdr:nvSpPr>
      <xdr:spPr>
        <a:xfrm>
          <a:off x="152400" y="1133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0</xdr:col>
      <xdr:colOff>152400</xdr:colOff>
      <xdr:row>19</xdr:row>
      <xdr:rowOff>133350</xdr:rowOff>
    </xdr:from>
    <xdr:ext cx="184731" cy="264560"/>
    <xdr:sp macro="" textlink="">
      <xdr:nvSpPr>
        <xdr:cNvPr id="4" name="Tekstboks 3"/>
        <xdr:cNvSpPr txBox="1"/>
      </xdr:nvSpPr>
      <xdr:spPr>
        <a:xfrm>
          <a:off x="152400" y="134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0</xdr:col>
      <xdr:colOff>152400</xdr:colOff>
      <xdr:row>29</xdr:row>
      <xdr:rowOff>133350</xdr:rowOff>
    </xdr:from>
    <xdr:ext cx="184731" cy="264560"/>
    <xdr:sp macro="" textlink="">
      <xdr:nvSpPr>
        <xdr:cNvPr id="6" name="Tekstboks 5"/>
        <xdr:cNvSpPr txBox="1"/>
      </xdr:nvSpPr>
      <xdr:spPr>
        <a:xfrm>
          <a:off x="15240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</xdr:row>
      <xdr:rowOff>133350</xdr:rowOff>
    </xdr:from>
    <xdr:ext cx="184731" cy="264560"/>
    <xdr:sp macro="" textlink="">
      <xdr:nvSpPr>
        <xdr:cNvPr id="2" name="Tekstboks 1"/>
        <xdr:cNvSpPr txBox="1"/>
      </xdr:nvSpPr>
      <xdr:spPr>
        <a:xfrm>
          <a:off x="152400" y="134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0</xdr:col>
      <xdr:colOff>152400</xdr:colOff>
      <xdr:row>16</xdr:row>
      <xdr:rowOff>133350</xdr:rowOff>
    </xdr:from>
    <xdr:ext cx="184731" cy="264560"/>
    <xdr:sp macro="" textlink="">
      <xdr:nvSpPr>
        <xdr:cNvPr id="3" name="Tekstboks 2"/>
        <xdr:cNvSpPr txBox="1"/>
      </xdr:nvSpPr>
      <xdr:spPr>
        <a:xfrm>
          <a:off x="152400" y="365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  <xdr:oneCellAnchor>
    <xdr:from>
      <xdr:col>0</xdr:col>
      <xdr:colOff>152400</xdr:colOff>
      <xdr:row>26</xdr:row>
      <xdr:rowOff>133350</xdr:rowOff>
    </xdr:from>
    <xdr:ext cx="184731" cy="264560"/>
    <xdr:sp macro="" textlink="">
      <xdr:nvSpPr>
        <xdr:cNvPr id="4" name="Tekstboks 3"/>
        <xdr:cNvSpPr txBox="1"/>
      </xdr:nvSpPr>
      <xdr:spPr>
        <a:xfrm>
          <a:off x="152400" y="5400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da-DK" sz="1100"/>
        </a:p>
      </xdr:txBody>
    </xdr:sp>
    <xdr:clientData/>
  </xdr:one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workbookViewId="0">
      <selection activeCell="D16" sqref="D16"/>
    </sheetView>
  </sheetViews>
  <sheetFormatPr defaultRowHeight="15"/>
  <cols>
    <col min="1" max="1" width="20.85546875" customWidth="1"/>
    <col min="2" max="2" width="9.42578125" customWidth="1"/>
    <col min="3" max="3" width="22.140625" customWidth="1"/>
    <col min="4" max="8" width="11.140625" customWidth="1"/>
    <col min="9" max="9" width="13.5703125" customWidth="1"/>
    <col min="10" max="10" width="10" customWidth="1"/>
    <col min="11" max="11" width="11.28515625" customWidth="1"/>
    <col min="12" max="12" width="12" customWidth="1"/>
    <col min="13" max="13" width="10.42578125" customWidth="1"/>
    <col min="16" max="16" width="10.42578125" customWidth="1"/>
  </cols>
  <sheetData>
    <row r="1" spans="1:12" ht="15.75" thickBot="1">
      <c r="A1" s="52" t="s">
        <v>30</v>
      </c>
      <c r="B1" s="5"/>
      <c r="C1" s="5"/>
      <c r="D1" s="243"/>
      <c r="E1" s="243"/>
      <c r="F1" s="243"/>
      <c r="G1" s="243"/>
      <c r="H1" s="243"/>
    </row>
    <row r="2" spans="1:12" ht="18">
      <c r="A2" s="2"/>
      <c r="B2" s="3"/>
      <c r="C2" s="3"/>
      <c r="D2" s="157" t="s">
        <v>109</v>
      </c>
      <c r="E2" s="157" t="s">
        <v>112</v>
      </c>
      <c r="F2" s="157" t="s">
        <v>113</v>
      </c>
      <c r="G2" s="157" t="s">
        <v>114</v>
      </c>
      <c r="H2" s="172" t="s">
        <v>115</v>
      </c>
      <c r="I2" s="48"/>
      <c r="J2" s="5"/>
      <c r="K2" s="5"/>
      <c r="L2" s="5"/>
    </row>
    <row r="3" spans="1:12" ht="15.75" thickBot="1">
      <c r="A3" s="6" t="s">
        <v>0</v>
      </c>
      <c r="B3" s="55" t="s">
        <v>37</v>
      </c>
      <c r="C3" s="55" t="s">
        <v>48</v>
      </c>
      <c r="D3" s="59" t="s">
        <v>54</v>
      </c>
      <c r="E3" s="59" t="s">
        <v>54</v>
      </c>
      <c r="F3" s="59" t="s">
        <v>54</v>
      </c>
      <c r="G3" s="59" t="s">
        <v>54</v>
      </c>
      <c r="H3" s="173" t="s">
        <v>54</v>
      </c>
      <c r="I3" s="5"/>
      <c r="J3" s="5"/>
      <c r="K3" s="5"/>
      <c r="L3" s="5"/>
    </row>
    <row r="4" spans="1:12" ht="17.25">
      <c r="A4" s="2" t="s">
        <v>5</v>
      </c>
      <c r="B4" s="54" t="s">
        <v>39</v>
      </c>
      <c r="C4" s="157">
        <v>3.9600000000000003E-2</v>
      </c>
      <c r="D4" s="202">
        <v>56.8</v>
      </c>
      <c r="E4" s="157">
        <v>4.2000000000000003E-2</v>
      </c>
      <c r="F4" s="157">
        <v>2.9999999999999997E-4</v>
      </c>
      <c r="G4" s="157">
        <v>6.0000000000000001E-3</v>
      </c>
      <c r="H4" s="172">
        <v>1E-3</v>
      </c>
      <c r="I4" s="5"/>
      <c r="J4" s="5"/>
      <c r="K4" s="5"/>
      <c r="L4" s="5"/>
    </row>
    <row r="5" spans="1:12" ht="17.25">
      <c r="A5" s="4" t="s">
        <v>6</v>
      </c>
      <c r="B5" s="5" t="s">
        <v>40</v>
      </c>
      <c r="C5" s="91">
        <v>35.9</v>
      </c>
      <c r="D5" s="203">
        <v>74</v>
      </c>
      <c r="E5" s="91">
        <v>6.5000000000000002E-2</v>
      </c>
      <c r="F5" s="91">
        <v>2.3E-2</v>
      </c>
      <c r="G5" s="91">
        <v>1.5E-3</v>
      </c>
      <c r="H5" s="193">
        <v>2E-3</v>
      </c>
      <c r="I5" s="5"/>
      <c r="J5" s="5"/>
      <c r="K5" s="5"/>
      <c r="L5" s="5"/>
    </row>
    <row r="6" spans="1:12" ht="17.25">
      <c r="A6" s="4" t="s">
        <v>7</v>
      </c>
      <c r="B6" s="5" t="s">
        <v>40</v>
      </c>
      <c r="C6" s="91">
        <v>34.299999999999997</v>
      </c>
      <c r="D6" s="203">
        <v>0</v>
      </c>
      <c r="E6" s="91">
        <v>0.14199999999999999</v>
      </c>
      <c r="F6" s="91">
        <v>0.34399999999999997</v>
      </c>
      <c r="G6" s="91">
        <v>3.0000000000000001E-3</v>
      </c>
      <c r="H6" s="193">
        <v>2E-3</v>
      </c>
      <c r="I6" s="5"/>
      <c r="J6" s="5"/>
      <c r="K6" s="5"/>
      <c r="L6" s="5"/>
    </row>
    <row r="7" spans="1:12">
      <c r="A7" s="4" t="s">
        <v>8</v>
      </c>
      <c r="B7" s="48" t="s">
        <v>41</v>
      </c>
      <c r="C7" s="91">
        <v>1</v>
      </c>
      <c r="D7" s="203">
        <v>0</v>
      </c>
      <c r="E7" s="91">
        <v>0.09</v>
      </c>
      <c r="F7" s="91">
        <v>2.5000000000000001E-2</v>
      </c>
      <c r="G7" s="91">
        <v>3.2000000000000001E-2</v>
      </c>
      <c r="H7" s="193">
        <v>4.0000000000000001E-3</v>
      </c>
      <c r="I7" s="5"/>
      <c r="J7" s="5"/>
      <c r="K7" s="5"/>
      <c r="L7" s="5"/>
    </row>
    <row r="8" spans="1:12">
      <c r="A8" s="4" t="s">
        <v>9</v>
      </c>
      <c r="B8" s="48" t="s">
        <v>42</v>
      </c>
      <c r="C8" s="91">
        <v>14.5</v>
      </c>
      <c r="D8" s="203">
        <v>0</v>
      </c>
      <c r="E8" s="91">
        <v>0.09</v>
      </c>
      <c r="F8" s="91">
        <v>0.13</v>
      </c>
      <c r="G8" s="91">
        <v>3.2000000000000001E-2</v>
      </c>
      <c r="H8" s="193">
        <v>4.0000000000000001E-3</v>
      </c>
      <c r="I8" s="5"/>
      <c r="J8" s="5"/>
      <c r="K8" s="5"/>
      <c r="L8" s="5"/>
    </row>
    <row r="9" spans="1:12">
      <c r="A9" s="57" t="s">
        <v>55</v>
      </c>
      <c r="B9" s="48" t="s">
        <v>42</v>
      </c>
      <c r="C9" s="91">
        <v>17.5</v>
      </c>
      <c r="D9" s="203">
        <v>0</v>
      </c>
      <c r="E9" s="91">
        <v>0.12</v>
      </c>
      <c r="F9" s="91">
        <v>2.5000000000000001E-2</v>
      </c>
      <c r="G9" s="91">
        <v>0.2</v>
      </c>
      <c r="H9" s="193">
        <v>4.0000000000000001E-3</v>
      </c>
      <c r="I9" s="48"/>
      <c r="J9" s="48"/>
      <c r="K9" s="48"/>
      <c r="L9" s="48"/>
    </row>
    <row r="10" spans="1:12">
      <c r="A10" s="4" t="s">
        <v>10</v>
      </c>
      <c r="B10" s="48" t="s">
        <v>42</v>
      </c>
      <c r="C10" s="91">
        <v>10.5</v>
      </c>
      <c r="D10" s="203">
        <v>0</v>
      </c>
      <c r="E10" s="91">
        <v>0</v>
      </c>
      <c r="F10" s="91">
        <v>0</v>
      </c>
      <c r="G10" s="91">
        <v>0</v>
      </c>
      <c r="H10" s="193">
        <v>0</v>
      </c>
      <c r="I10" s="5"/>
      <c r="J10" s="5"/>
      <c r="K10" s="5"/>
      <c r="L10" s="48"/>
    </row>
    <row r="11" spans="1:12" ht="17.25">
      <c r="A11" s="4" t="s">
        <v>11</v>
      </c>
      <c r="B11" s="48" t="s">
        <v>39</v>
      </c>
      <c r="C11" s="91">
        <v>3.9600000000000003E-2</v>
      </c>
      <c r="D11" s="203">
        <v>56.8</v>
      </c>
      <c r="E11" s="91">
        <v>0.13500000000000001</v>
      </c>
      <c r="F11" s="91">
        <v>2.9999999999999997E-4</v>
      </c>
      <c r="G11" s="91">
        <v>0.48099999999999998</v>
      </c>
      <c r="H11" s="193">
        <v>5.9999999999999995E-4</v>
      </c>
      <c r="I11" s="5"/>
      <c r="J11" s="5"/>
      <c r="K11" s="5"/>
      <c r="L11" s="5"/>
    </row>
    <row r="12" spans="1:12">
      <c r="A12" s="4" t="s">
        <v>12</v>
      </c>
      <c r="B12" s="48" t="s">
        <v>41</v>
      </c>
      <c r="C12" s="91">
        <v>1</v>
      </c>
      <c r="D12" s="203">
        <v>0</v>
      </c>
      <c r="E12" s="91">
        <v>8.1000000000000003E-2</v>
      </c>
      <c r="F12" s="91">
        <v>1.9E-3</v>
      </c>
      <c r="G12" s="91">
        <v>3.0999999999999999E-3</v>
      </c>
      <c r="H12" s="193">
        <v>8.0000000000000004E-4</v>
      </c>
      <c r="I12" s="5"/>
      <c r="J12" s="5"/>
      <c r="K12" s="5"/>
      <c r="L12" s="5"/>
    </row>
    <row r="13" spans="1:12">
      <c r="A13" s="4" t="s">
        <v>13</v>
      </c>
      <c r="B13" s="48" t="s">
        <v>42</v>
      </c>
      <c r="C13" s="91">
        <v>14.5</v>
      </c>
      <c r="D13" s="203">
        <v>0</v>
      </c>
      <c r="E13" s="91">
        <v>0.125</v>
      </c>
      <c r="F13" s="91">
        <v>4.9000000000000002E-2</v>
      </c>
      <c r="G13" s="91">
        <v>5.0000000000000001E-4</v>
      </c>
      <c r="H13" s="193">
        <v>1.1000000000000001E-3</v>
      </c>
      <c r="I13" s="5"/>
      <c r="J13" s="5"/>
      <c r="K13" s="5"/>
      <c r="L13" s="5"/>
    </row>
    <row r="14" spans="1:12">
      <c r="A14" s="57" t="s">
        <v>53</v>
      </c>
      <c r="B14" s="48" t="s">
        <v>42</v>
      </c>
      <c r="C14" s="91">
        <v>17.5</v>
      </c>
      <c r="D14" s="203">
        <v>0</v>
      </c>
      <c r="E14" s="91">
        <v>0.12</v>
      </c>
      <c r="F14" s="91">
        <v>2.5000000000000001E-2</v>
      </c>
      <c r="G14" s="91">
        <v>0.2</v>
      </c>
      <c r="H14" s="193">
        <v>4.0000000000000001E-3</v>
      </c>
      <c r="I14" s="5"/>
      <c r="J14" s="48"/>
      <c r="K14" s="5"/>
      <c r="L14" s="48"/>
    </row>
    <row r="15" spans="1:12">
      <c r="A15" s="4" t="s">
        <v>14</v>
      </c>
      <c r="B15" s="48" t="s">
        <v>42</v>
      </c>
      <c r="C15" s="91">
        <v>10.5</v>
      </c>
      <c r="D15" s="203">
        <v>0</v>
      </c>
      <c r="E15" s="91">
        <v>0</v>
      </c>
      <c r="F15" s="91">
        <v>0</v>
      </c>
      <c r="G15" s="91">
        <v>0</v>
      </c>
      <c r="H15" s="193">
        <v>0</v>
      </c>
      <c r="I15" s="5"/>
      <c r="J15" s="5"/>
      <c r="K15" s="5"/>
      <c r="L15" s="48"/>
    </row>
    <row r="16" spans="1:12">
      <c r="A16" s="4" t="s">
        <v>15</v>
      </c>
      <c r="B16" s="48" t="s">
        <v>42</v>
      </c>
      <c r="C16" s="91">
        <v>25.15</v>
      </c>
      <c r="D16" s="203">
        <v>95</v>
      </c>
      <c r="E16" s="91">
        <v>5.8999999999999997E-2</v>
      </c>
      <c r="F16" s="91">
        <v>2.5999999999999999E-2</v>
      </c>
      <c r="G16" s="91">
        <v>1.5E-3</v>
      </c>
      <c r="H16" s="193">
        <v>8.0000000000000004E-4</v>
      </c>
      <c r="I16" s="5"/>
      <c r="J16" s="5"/>
      <c r="K16" s="5"/>
      <c r="L16" s="5"/>
    </row>
    <row r="17" spans="1:16" ht="17.25">
      <c r="A17" s="4" t="s">
        <v>1</v>
      </c>
      <c r="B17" s="48" t="s">
        <v>39</v>
      </c>
      <c r="C17" s="91">
        <v>3.9600000000000003E-2</v>
      </c>
      <c r="D17" s="203">
        <v>56.8</v>
      </c>
      <c r="E17" s="91">
        <v>0.03</v>
      </c>
      <c r="F17" s="91">
        <v>2.9999999999999997E-4</v>
      </c>
      <c r="G17" s="91">
        <v>6.0000000000000001E-3</v>
      </c>
      <c r="H17" s="193">
        <v>1E-3</v>
      </c>
      <c r="I17" s="5"/>
      <c r="J17" s="5"/>
      <c r="K17" s="5"/>
      <c r="L17" s="5"/>
    </row>
    <row r="18" spans="1:16" ht="17.25">
      <c r="A18" s="4" t="s">
        <v>2</v>
      </c>
      <c r="B18" s="5" t="s">
        <v>40</v>
      </c>
      <c r="C18" s="91">
        <v>35.9</v>
      </c>
      <c r="D18" s="203">
        <v>74</v>
      </c>
      <c r="E18" s="91">
        <v>5.1999999999999998E-2</v>
      </c>
      <c r="F18" s="91">
        <v>2.3E-2</v>
      </c>
      <c r="G18" s="91">
        <v>1.5E-3</v>
      </c>
      <c r="H18" s="193">
        <v>2E-3</v>
      </c>
      <c r="I18" s="5"/>
      <c r="J18" s="5"/>
      <c r="K18" s="5"/>
      <c r="L18" s="5"/>
    </row>
    <row r="19" spans="1:16">
      <c r="A19" s="4" t="s">
        <v>3</v>
      </c>
      <c r="B19" s="48" t="s">
        <v>42</v>
      </c>
      <c r="C19" s="91">
        <v>17.5</v>
      </c>
      <c r="D19" s="203">
        <v>0</v>
      </c>
      <c r="E19" s="91">
        <v>0.12</v>
      </c>
      <c r="F19" s="91">
        <v>2.5000000000000001E-2</v>
      </c>
      <c r="G19" s="91">
        <v>0.2</v>
      </c>
      <c r="H19" s="193">
        <v>4.0000000000000001E-3</v>
      </c>
      <c r="I19" s="5"/>
      <c r="J19" s="5"/>
      <c r="K19" s="5"/>
      <c r="L19" s="5"/>
    </row>
    <row r="20" spans="1:16">
      <c r="A20" s="4" t="s">
        <v>4</v>
      </c>
      <c r="B20" s="48" t="s">
        <v>43</v>
      </c>
      <c r="C20" s="91">
        <v>3.6</v>
      </c>
      <c r="D20" s="203">
        <f>+$C$31/3.6</f>
        <v>239.44444444444443</v>
      </c>
      <c r="E20" s="53">
        <f>+$O$31/3.6/1000</f>
        <v>0.20250000000000001</v>
      </c>
      <c r="F20" s="53">
        <f>+$L$31/3.6/1000</f>
        <v>0.15916666666666665</v>
      </c>
      <c r="G20" s="53">
        <f>+$F$31/3.6/1000</f>
        <v>4.9722222222222216E-3</v>
      </c>
      <c r="H20" s="170">
        <f>+$I$31/3.6/1000</f>
        <v>2.1111111111111113E-3</v>
      </c>
      <c r="I20" s="5"/>
      <c r="J20" s="5"/>
      <c r="K20" s="5"/>
      <c r="L20" s="5"/>
    </row>
    <row r="21" spans="1:16">
      <c r="A21" s="4" t="s">
        <v>68</v>
      </c>
      <c r="B21" s="5" t="s">
        <v>43</v>
      </c>
      <c r="C21" s="91">
        <v>3.6</v>
      </c>
      <c r="D21" s="203">
        <f t="shared" ref="D21:D23" si="0">+$C$31/3.6</f>
        <v>239.44444444444443</v>
      </c>
      <c r="E21" s="53">
        <f>+$O$31/3.6/1000</f>
        <v>0.20250000000000001</v>
      </c>
      <c r="F21" s="53">
        <f>+$L$31/3.6/1000</f>
        <v>0.15916666666666665</v>
      </c>
      <c r="G21" s="53">
        <f>+$F$31/3.6/1000</f>
        <v>4.9722222222222216E-3</v>
      </c>
      <c r="H21" s="170">
        <f>+$I$31/3.6/1000</f>
        <v>2.1111111111111113E-3</v>
      </c>
      <c r="I21" s="5"/>
      <c r="J21" s="5"/>
      <c r="K21" s="5"/>
      <c r="L21" s="5"/>
    </row>
    <row r="22" spans="1:16">
      <c r="A22" s="57" t="s">
        <v>66</v>
      </c>
      <c r="B22" s="48" t="s">
        <v>43</v>
      </c>
      <c r="C22" s="91">
        <v>3.6</v>
      </c>
      <c r="D22" s="203">
        <f t="shared" si="0"/>
        <v>239.44444444444443</v>
      </c>
      <c r="E22" s="53">
        <f>+$O$31/3.6/1000</f>
        <v>0.20250000000000001</v>
      </c>
      <c r="F22" s="53">
        <f>+$L$31/3.6/1000</f>
        <v>0.15916666666666665</v>
      </c>
      <c r="G22" s="53">
        <f>+$F$31/3.6/1000</f>
        <v>4.9722222222222216E-3</v>
      </c>
      <c r="H22" s="170">
        <f>+$I$31/3.6/1000</f>
        <v>2.1111111111111113E-3</v>
      </c>
      <c r="I22" s="48"/>
      <c r="J22" s="48"/>
      <c r="K22" s="48"/>
      <c r="L22" s="5"/>
    </row>
    <row r="23" spans="1:16" ht="15.75" thickBot="1">
      <c r="A23" s="58" t="s">
        <v>67</v>
      </c>
      <c r="B23" s="55" t="s">
        <v>43</v>
      </c>
      <c r="C23" s="59">
        <v>3.6</v>
      </c>
      <c r="D23" s="204">
        <f t="shared" si="0"/>
        <v>239.44444444444443</v>
      </c>
      <c r="E23" s="158">
        <f>+$O$31/3.6/1000</f>
        <v>0.20250000000000001</v>
      </c>
      <c r="F23" s="158">
        <f>+$L$31/3.6/1000</f>
        <v>0.15916666666666665</v>
      </c>
      <c r="G23" s="158">
        <f>+$F$31/3.6/1000</f>
        <v>4.9722222222222216E-3</v>
      </c>
      <c r="H23" s="171">
        <f>+$I$31/3.6/1000</f>
        <v>2.1111111111111113E-3</v>
      </c>
      <c r="I23" s="48"/>
      <c r="J23" s="48"/>
      <c r="K23" s="48"/>
      <c r="L23" s="5"/>
    </row>
    <row r="24" spans="1:16">
      <c r="A24" s="5"/>
    </row>
    <row r="25" spans="1:16">
      <c r="A25" s="19" t="s">
        <v>29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5.75" thickBo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15.75">
      <c r="A27" s="33"/>
      <c r="B27" s="236" t="s">
        <v>128</v>
      </c>
      <c r="C27" s="237"/>
      <c r="D27" s="244"/>
      <c r="E27" s="236" t="s">
        <v>129</v>
      </c>
      <c r="F27" s="237"/>
      <c r="G27" s="244"/>
      <c r="H27" s="236" t="s">
        <v>130</v>
      </c>
      <c r="I27" s="237"/>
      <c r="J27" s="244"/>
      <c r="K27" s="236" t="s">
        <v>131</v>
      </c>
      <c r="L27" s="237"/>
      <c r="M27" s="244"/>
      <c r="N27" s="236" t="s">
        <v>16</v>
      </c>
      <c r="O27" s="237"/>
      <c r="P27" s="238"/>
    </row>
    <row r="28" spans="1:16">
      <c r="A28" s="34"/>
      <c r="B28" s="239" t="s">
        <v>17</v>
      </c>
      <c r="C28" s="240"/>
      <c r="D28" s="14" t="s">
        <v>28</v>
      </c>
      <c r="E28" s="239" t="s">
        <v>18</v>
      </c>
      <c r="F28" s="240"/>
      <c r="G28" s="14" t="s">
        <v>28</v>
      </c>
      <c r="H28" s="239" t="s">
        <v>18</v>
      </c>
      <c r="I28" s="240"/>
      <c r="J28" s="14" t="s">
        <v>28</v>
      </c>
      <c r="K28" s="239" t="s">
        <v>18</v>
      </c>
      <c r="L28" s="240"/>
      <c r="M28" s="14" t="s">
        <v>28</v>
      </c>
      <c r="N28" s="239" t="s">
        <v>18</v>
      </c>
      <c r="O28" s="240"/>
      <c r="P28" s="35" t="s">
        <v>28</v>
      </c>
    </row>
    <row r="29" spans="1:16">
      <c r="A29" s="34"/>
      <c r="B29" s="241" t="s">
        <v>19</v>
      </c>
      <c r="C29" s="242"/>
      <c r="D29" s="14" t="s">
        <v>27</v>
      </c>
      <c r="E29" s="241" t="s">
        <v>20</v>
      </c>
      <c r="F29" s="242"/>
      <c r="G29" s="14" t="s">
        <v>27</v>
      </c>
      <c r="H29" s="241" t="s">
        <v>20</v>
      </c>
      <c r="I29" s="242"/>
      <c r="J29" s="14" t="s">
        <v>27</v>
      </c>
      <c r="K29" s="241" t="s">
        <v>20</v>
      </c>
      <c r="L29" s="242"/>
      <c r="M29" s="14" t="s">
        <v>27</v>
      </c>
      <c r="N29" s="241" t="s">
        <v>20</v>
      </c>
      <c r="O29" s="242"/>
      <c r="P29" s="35" t="s">
        <v>27</v>
      </c>
    </row>
    <row r="30" spans="1:16">
      <c r="A30" s="36"/>
      <c r="B30" s="15" t="s">
        <v>21</v>
      </c>
      <c r="C30" s="16" t="s">
        <v>22</v>
      </c>
      <c r="D30" s="16" t="s">
        <v>23</v>
      </c>
      <c r="E30" s="15" t="s">
        <v>21</v>
      </c>
      <c r="F30" s="15" t="s">
        <v>22</v>
      </c>
      <c r="G30" s="17" t="s">
        <v>24</v>
      </c>
      <c r="H30" s="15" t="s">
        <v>21</v>
      </c>
      <c r="I30" s="16" t="s">
        <v>22</v>
      </c>
      <c r="J30" s="18" t="s">
        <v>24</v>
      </c>
      <c r="K30" s="15" t="s">
        <v>21</v>
      </c>
      <c r="L30" s="16" t="s">
        <v>22</v>
      </c>
      <c r="M30" s="16" t="s">
        <v>24</v>
      </c>
      <c r="N30" s="15" t="s">
        <v>21</v>
      </c>
      <c r="O30" s="16" t="s">
        <v>22</v>
      </c>
      <c r="P30" s="37" t="s">
        <v>24</v>
      </c>
    </row>
    <row r="31" spans="1:16">
      <c r="A31" s="34">
        <v>2010</v>
      </c>
      <c r="B31" s="8">
        <v>802</v>
      </c>
      <c r="C31" s="9">
        <v>862</v>
      </c>
      <c r="D31" s="10">
        <v>49.1</v>
      </c>
      <c r="E31" s="11">
        <v>16.7</v>
      </c>
      <c r="F31" s="11">
        <v>17.899999999999999</v>
      </c>
      <c r="G31" s="12">
        <v>51.3</v>
      </c>
      <c r="H31" s="11">
        <v>7.1</v>
      </c>
      <c r="I31" s="10">
        <v>7.6</v>
      </c>
      <c r="J31" s="13">
        <v>1.7</v>
      </c>
      <c r="K31" s="8">
        <v>533</v>
      </c>
      <c r="L31" s="9">
        <v>573</v>
      </c>
      <c r="M31" s="10">
        <v>91.7</v>
      </c>
      <c r="N31" s="8">
        <v>678</v>
      </c>
      <c r="O31" s="9">
        <v>729</v>
      </c>
      <c r="P31" s="38">
        <v>104.3</v>
      </c>
    </row>
    <row r="32" spans="1:16">
      <c r="A32" s="34">
        <v>2011</v>
      </c>
      <c r="B32" s="8">
        <v>791</v>
      </c>
      <c r="C32" s="9">
        <v>851</v>
      </c>
      <c r="D32" s="10">
        <v>48.3</v>
      </c>
      <c r="E32" s="11">
        <v>17.2</v>
      </c>
      <c r="F32" s="11">
        <v>18.5</v>
      </c>
      <c r="G32" s="12">
        <v>37.700000000000003</v>
      </c>
      <c r="H32" s="11">
        <v>7.1</v>
      </c>
      <c r="I32" s="10">
        <v>7.6</v>
      </c>
      <c r="J32" s="13">
        <v>1.8</v>
      </c>
      <c r="K32" s="8">
        <v>180</v>
      </c>
      <c r="L32" s="9">
        <v>193</v>
      </c>
      <c r="M32" s="10">
        <v>90</v>
      </c>
      <c r="N32" s="8">
        <v>558</v>
      </c>
      <c r="O32" s="9">
        <v>600</v>
      </c>
      <c r="P32" s="38">
        <v>99.7</v>
      </c>
    </row>
    <row r="33" spans="1:16">
      <c r="A33" s="34">
        <v>2012</v>
      </c>
      <c r="B33" s="8">
        <v>789</v>
      </c>
      <c r="C33" s="9">
        <v>848</v>
      </c>
      <c r="D33" s="10">
        <v>48.2</v>
      </c>
      <c r="E33" s="11">
        <v>17.899999999999999</v>
      </c>
      <c r="F33" s="11">
        <v>19.3</v>
      </c>
      <c r="G33" s="12">
        <v>36.5</v>
      </c>
      <c r="H33" s="11">
        <v>7.1</v>
      </c>
      <c r="I33" s="10">
        <v>7.6</v>
      </c>
      <c r="J33" s="13">
        <v>1.8</v>
      </c>
      <c r="K33" s="8">
        <v>197</v>
      </c>
      <c r="L33" s="9">
        <v>212</v>
      </c>
      <c r="M33" s="10">
        <v>85.1</v>
      </c>
      <c r="N33" s="8">
        <v>560</v>
      </c>
      <c r="O33" s="9">
        <v>602</v>
      </c>
      <c r="P33" s="38">
        <v>99.4</v>
      </c>
    </row>
    <row r="34" spans="1:16">
      <c r="A34" s="34">
        <v>2013</v>
      </c>
      <c r="B34" s="8">
        <v>792</v>
      </c>
      <c r="C34" s="9">
        <v>852</v>
      </c>
      <c r="D34" s="10">
        <v>42</v>
      </c>
      <c r="E34" s="11">
        <v>17.100000000000001</v>
      </c>
      <c r="F34" s="11">
        <v>18.399999999999999</v>
      </c>
      <c r="G34" s="12">
        <v>30.3</v>
      </c>
      <c r="H34" s="11">
        <v>7.1</v>
      </c>
      <c r="I34" s="10">
        <v>7.6</v>
      </c>
      <c r="J34" s="13">
        <v>1.8</v>
      </c>
      <c r="K34" s="8">
        <v>194</v>
      </c>
      <c r="L34" s="9">
        <v>208</v>
      </c>
      <c r="M34" s="10">
        <v>89.2</v>
      </c>
      <c r="N34" s="8">
        <v>559</v>
      </c>
      <c r="O34" s="9">
        <v>601</v>
      </c>
      <c r="P34" s="38">
        <v>100.8</v>
      </c>
    </row>
    <row r="35" spans="1:16">
      <c r="A35" s="34">
        <v>2014</v>
      </c>
      <c r="B35" s="8">
        <v>796</v>
      </c>
      <c r="C35" s="9">
        <v>856</v>
      </c>
      <c r="D35" s="10">
        <v>42.7</v>
      </c>
      <c r="E35" s="11">
        <v>15.3</v>
      </c>
      <c r="F35" s="11">
        <v>16.399999999999999</v>
      </c>
      <c r="G35" s="12">
        <v>30.2</v>
      </c>
      <c r="H35" s="11">
        <v>7</v>
      </c>
      <c r="I35" s="10">
        <v>7.5</v>
      </c>
      <c r="J35" s="13">
        <v>1.8</v>
      </c>
      <c r="K35" s="8">
        <v>204</v>
      </c>
      <c r="L35" s="9">
        <v>219</v>
      </c>
      <c r="M35" s="10">
        <v>91.3</v>
      </c>
      <c r="N35" s="8">
        <v>564</v>
      </c>
      <c r="O35" s="9">
        <v>606</v>
      </c>
      <c r="P35" s="38">
        <v>102.6</v>
      </c>
    </row>
    <row r="36" spans="1:16">
      <c r="A36" s="34">
        <v>2015</v>
      </c>
      <c r="B36" s="8">
        <v>806</v>
      </c>
      <c r="C36" s="9">
        <v>867</v>
      </c>
      <c r="D36" s="10">
        <v>42.4</v>
      </c>
      <c r="E36" s="11">
        <v>15.6</v>
      </c>
      <c r="F36" s="11">
        <v>16.8</v>
      </c>
      <c r="G36" s="12">
        <v>29.8</v>
      </c>
      <c r="H36" s="11">
        <v>7.1</v>
      </c>
      <c r="I36" s="10">
        <v>7.6</v>
      </c>
      <c r="J36" s="13">
        <v>1.8</v>
      </c>
      <c r="K36" s="8">
        <v>221</v>
      </c>
      <c r="L36" s="9">
        <v>238</v>
      </c>
      <c r="M36" s="10">
        <v>95</v>
      </c>
      <c r="N36" s="8">
        <v>577</v>
      </c>
      <c r="O36" s="9">
        <v>620</v>
      </c>
      <c r="P36" s="38">
        <v>104.1</v>
      </c>
    </row>
    <row r="37" spans="1:16">
      <c r="A37" s="34">
        <v>2016</v>
      </c>
      <c r="B37" s="8">
        <v>800</v>
      </c>
      <c r="C37" s="9">
        <v>860</v>
      </c>
      <c r="D37" s="10">
        <v>41.2</v>
      </c>
      <c r="E37" s="11">
        <v>15.5</v>
      </c>
      <c r="F37" s="11">
        <v>16.7</v>
      </c>
      <c r="G37" s="12">
        <v>32.299999999999997</v>
      </c>
      <c r="H37" s="11">
        <v>7</v>
      </c>
      <c r="I37" s="10">
        <v>7.5</v>
      </c>
      <c r="J37" s="13">
        <v>1.7</v>
      </c>
      <c r="K37" s="8">
        <v>179</v>
      </c>
      <c r="L37" s="9">
        <v>193</v>
      </c>
      <c r="M37" s="10">
        <v>91.2</v>
      </c>
      <c r="N37" s="8">
        <v>563</v>
      </c>
      <c r="O37" s="9">
        <v>605</v>
      </c>
      <c r="P37" s="38">
        <v>107.1</v>
      </c>
    </row>
    <row r="38" spans="1:16">
      <c r="A38" s="34">
        <v>2017</v>
      </c>
      <c r="B38" s="8">
        <v>796</v>
      </c>
      <c r="C38" s="9">
        <v>855</v>
      </c>
      <c r="D38" s="10">
        <v>40.799999999999997</v>
      </c>
      <c r="E38" s="11">
        <v>16</v>
      </c>
      <c r="F38" s="11">
        <v>17.2</v>
      </c>
      <c r="G38" s="12">
        <v>36</v>
      </c>
      <c r="H38" s="11">
        <v>7</v>
      </c>
      <c r="I38" s="10">
        <v>7.6</v>
      </c>
      <c r="J38" s="13">
        <v>1.7</v>
      </c>
      <c r="K38" s="8">
        <v>182</v>
      </c>
      <c r="L38" s="9">
        <v>196</v>
      </c>
      <c r="M38" s="10">
        <v>88.7</v>
      </c>
      <c r="N38" s="8">
        <v>566</v>
      </c>
      <c r="O38" s="9">
        <v>608</v>
      </c>
      <c r="P38" s="38">
        <v>109.1</v>
      </c>
    </row>
    <row r="39" spans="1:16">
      <c r="A39" s="34">
        <v>2018</v>
      </c>
      <c r="B39" s="8">
        <v>792</v>
      </c>
      <c r="C39" s="9">
        <v>851</v>
      </c>
      <c r="D39" s="10">
        <v>40.200000000000003</v>
      </c>
      <c r="E39" s="11">
        <v>16.399999999999999</v>
      </c>
      <c r="F39" s="11">
        <v>17.7</v>
      </c>
      <c r="G39" s="12">
        <v>38.1</v>
      </c>
      <c r="H39" s="11">
        <v>7.1</v>
      </c>
      <c r="I39" s="10">
        <v>7.6</v>
      </c>
      <c r="J39" s="13">
        <v>1.7</v>
      </c>
      <c r="K39" s="8">
        <v>186</v>
      </c>
      <c r="L39" s="9">
        <v>200</v>
      </c>
      <c r="M39" s="10">
        <v>84.2</v>
      </c>
      <c r="N39" s="8">
        <v>564</v>
      </c>
      <c r="O39" s="9">
        <v>606</v>
      </c>
      <c r="P39" s="38">
        <v>109.3</v>
      </c>
    </row>
    <row r="40" spans="1:16">
      <c r="A40" s="34">
        <v>2019</v>
      </c>
      <c r="B40" s="8">
        <v>783</v>
      </c>
      <c r="C40" s="9">
        <v>842</v>
      </c>
      <c r="D40" s="10">
        <v>40.299999999999997</v>
      </c>
      <c r="E40" s="11">
        <v>16.600000000000001</v>
      </c>
      <c r="F40" s="11">
        <v>17.899999999999999</v>
      </c>
      <c r="G40" s="12">
        <v>39</v>
      </c>
      <c r="H40" s="11">
        <v>7.1</v>
      </c>
      <c r="I40" s="10">
        <v>7.6</v>
      </c>
      <c r="J40" s="13">
        <v>1.7</v>
      </c>
      <c r="K40" s="8">
        <v>192</v>
      </c>
      <c r="L40" s="9">
        <v>206</v>
      </c>
      <c r="M40" s="10">
        <v>83.5</v>
      </c>
      <c r="N40" s="8">
        <v>569</v>
      </c>
      <c r="O40" s="9">
        <v>611</v>
      </c>
      <c r="P40" s="38">
        <v>110.7</v>
      </c>
    </row>
    <row r="41" spans="1:16">
      <c r="A41" s="34">
        <v>2020</v>
      </c>
      <c r="B41" s="8">
        <v>784</v>
      </c>
      <c r="C41" s="9">
        <v>843</v>
      </c>
      <c r="D41" s="10">
        <v>39.700000000000003</v>
      </c>
      <c r="E41" s="11">
        <v>16.5</v>
      </c>
      <c r="F41" s="11">
        <v>17.8</v>
      </c>
      <c r="G41" s="12">
        <v>39.9</v>
      </c>
      <c r="H41" s="11">
        <v>7.1</v>
      </c>
      <c r="I41" s="10">
        <v>7.6</v>
      </c>
      <c r="J41" s="13">
        <v>1.7</v>
      </c>
      <c r="K41" s="8">
        <v>196</v>
      </c>
      <c r="L41" s="9">
        <v>211</v>
      </c>
      <c r="M41" s="10">
        <v>81.900000000000006</v>
      </c>
      <c r="N41" s="8">
        <v>571</v>
      </c>
      <c r="O41" s="9">
        <v>614</v>
      </c>
      <c r="P41" s="38">
        <v>111.9</v>
      </c>
    </row>
    <row r="42" spans="1:16">
      <c r="A42" s="34">
        <v>2021</v>
      </c>
      <c r="B42" s="8">
        <v>782</v>
      </c>
      <c r="C42" s="9">
        <v>841</v>
      </c>
      <c r="D42" s="10">
        <v>39.4</v>
      </c>
      <c r="E42" s="11">
        <v>16.600000000000001</v>
      </c>
      <c r="F42" s="11">
        <v>17.8</v>
      </c>
      <c r="G42" s="12">
        <v>38.4</v>
      </c>
      <c r="H42" s="11">
        <v>7.1</v>
      </c>
      <c r="I42" s="10">
        <v>7.7</v>
      </c>
      <c r="J42" s="13">
        <v>1.7</v>
      </c>
      <c r="K42" s="8">
        <v>211</v>
      </c>
      <c r="L42" s="9">
        <v>226</v>
      </c>
      <c r="M42" s="10">
        <v>79.900000000000006</v>
      </c>
      <c r="N42" s="8">
        <v>577</v>
      </c>
      <c r="O42" s="9">
        <v>620</v>
      </c>
      <c r="P42" s="38">
        <v>111.1</v>
      </c>
    </row>
    <row r="43" spans="1:16">
      <c r="A43" s="34">
        <v>2022</v>
      </c>
      <c r="B43" s="8">
        <v>784</v>
      </c>
      <c r="C43" s="9">
        <v>843</v>
      </c>
      <c r="D43" s="10">
        <v>39.4</v>
      </c>
      <c r="E43" s="11">
        <v>16.5</v>
      </c>
      <c r="F43" s="11">
        <v>17.8</v>
      </c>
      <c r="G43" s="12">
        <v>38.4</v>
      </c>
      <c r="H43" s="11">
        <v>7.2</v>
      </c>
      <c r="I43" s="10">
        <v>7.7</v>
      </c>
      <c r="J43" s="13">
        <v>1.7</v>
      </c>
      <c r="K43" s="8">
        <v>222</v>
      </c>
      <c r="L43" s="9">
        <v>239</v>
      </c>
      <c r="M43" s="10">
        <v>80</v>
      </c>
      <c r="N43" s="8">
        <v>584</v>
      </c>
      <c r="O43" s="9">
        <v>628</v>
      </c>
      <c r="P43" s="38">
        <v>111.1</v>
      </c>
    </row>
    <row r="44" spans="1:16">
      <c r="A44" s="34">
        <v>2023</v>
      </c>
      <c r="B44" s="8">
        <v>778</v>
      </c>
      <c r="C44" s="9">
        <v>837</v>
      </c>
      <c r="D44" s="10">
        <v>39.1</v>
      </c>
      <c r="E44" s="11">
        <v>16.600000000000001</v>
      </c>
      <c r="F44" s="11">
        <v>17.899999999999999</v>
      </c>
      <c r="G44" s="12">
        <v>37.9</v>
      </c>
      <c r="H44" s="11">
        <v>7</v>
      </c>
      <c r="I44" s="10">
        <v>7.6</v>
      </c>
      <c r="J44" s="13">
        <v>1.7</v>
      </c>
      <c r="K44" s="8">
        <v>196</v>
      </c>
      <c r="L44" s="9">
        <v>210</v>
      </c>
      <c r="M44" s="10">
        <v>79.2</v>
      </c>
      <c r="N44" s="8">
        <v>516</v>
      </c>
      <c r="O44" s="9">
        <v>555</v>
      </c>
      <c r="P44" s="38">
        <v>109.4</v>
      </c>
    </row>
    <row r="45" spans="1:16">
      <c r="A45" s="34">
        <v>2024</v>
      </c>
      <c r="B45" s="8">
        <v>773</v>
      </c>
      <c r="C45" s="9">
        <v>831</v>
      </c>
      <c r="D45" s="10">
        <v>36.4</v>
      </c>
      <c r="E45" s="11">
        <v>17.899999999999999</v>
      </c>
      <c r="F45" s="11">
        <v>19.2</v>
      </c>
      <c r="G45" s="12">
        <v>37.5</v>
      </c>
      <c r="H45" s="11">
        <v>7.1</v>
      </c>
      <c r="I45" s="10">
        <v>7.6</v>
      </c>
      <c r="J45" s="13">
        <v>1.7</v>
      </c>
      <c r="K45" s="8">
        <v>192</v>
      </c>
      <c r="L45" s="9">
        <v>207</v>
      </c>
      <c r="M45" s="10">
        <v>74.7</v>
      </c>
      <c r="N45" s="8">
        <v>511</v>
      </c>
      <c r="O45" s="9">
        <v>549</v>
      </c>
      <c r="P45" s="38">
        <v>105.9</v>
      </c>
    </row>
    <row r="46" spans="1:16">
      <c r="A46" s="34">
        <v>2025</v>
      </c>
      <c r="B46" s="8">
        <v>770</v>
      </c>
      <c r="C46" s="9">
        <v>828</v>
      </c>
      <c r="D46" s="10">
        <v>36.1</v>
      </c>
      <c r="E46" s="11">
        <v>18.2</v>
      </c>
      <c r="F46" s="11">
        <v>19.600000000000001</v>
      </c>
      <c r="G46" s="12">
        <v>38.700000000000003</v>
      </c>
      <c r="H46" s="11">
        <v>7.1</v>
      </c>
      <c r="I46" s="10">
        <v>7.6</v>
      </c>
      <c r="J46" s="13">
        <v>1.7</v>
      </c>
      <c r="K46" s="8">
        <v>200</v>
      </c>
      <c r="L46" s="9">
        <v>216</v>
      </c>
      <c r="M46" s="10">
        <v>71.099999999999994</v>
      </c>
      <c r="N46" s="8">
        <v>513</v>
      </c>
      <c r="O46" s="9">
        <v>551</v>
      </c>
      <c r="P46" s="38">
        <v>104.9</v>
      </c>
    </row>
    <row r="47" spans="1:16">
      <c r="A47" s="34">
        <v>2026</v>
      </c>
      <c r="B47" s="8">
        <v>768</v>
      </c>
      <c r="C47" s="9">
        <v>826</v>
      </c>
      <c r="D47" s="10">
        <v>33.5</v>
      </c>
      <c r="E47" s="11">
        <v>18.5</v>
      </c>
      <c r="F47" s="11">
        <v>19.899999999999999</v>
      </c>
      <c r="G47" s="12">
        <v>37.799999999999997</v>
      </c>
      <c r="H47" s="11">
        <v>7.1</v>
      </c>
      <c r="I47" s="10">
        <v>7.6</v>
      </c>
      <c r="J47" s="13">
        <v>1.7</v>
      </c>
      <c r="K47" s="8">
        <v>202</v>
      </c>
      <c r="L47" s="9">
        <v>218</v>
      </c>
      <c r="M47" s="10">
        <v>68.400000000000006</v>
      </c>
      <c r="N47" s="8">
        <v>503</v>
      </c>
      <c r="O47" s="9">
        <v>541</v>
      </c>
      <c r="P47" s="38">
        <v>101.9</v>
      </c>
    </row>
    <row r="48" spans="1:16">
      <c r="A48" s="34">
        <v>2027</v>
      </c>
      <c r="B48" s="8">
        <v>767</v>
      </c>
      <c r="C48" s="9">
        <v>824</v>
      </c>
      <c r="D48" s="10">
        <v>33.4</v>
      </c>
      <c r="E48" s="11">
        <v>18.5</v>
      </c>
      <c r="F48" s="11">
        <v>19.899999999999999</v>
      </c>
      <c r="G48" s="12">
        <v>37.700000000000003</v>
      </c>
      <c r="H48" s="11">
        <v>7.1</v>
      </c>
      <c r="I48" s="10">
        <v>7.6</v>
      </c>
      <c r="J48" s="13">
        <v>1.7</v>
      </c>
      <c r="K48" s="8">
        <v>208</v>
      </c>
      <c r="L48" s="9">
        <v>224</v>
      </c>
      <c r="M48" s="10">
        <v>68.2</v>
      </c>
      <c r="N48" s="8">
        <v>504</v>
      </c>
      <c r="O48" s="9">
        <v>542</v>
      </c>
      <c r="P48" s="38">
        <v>101.8</v>
      </c>
    </row>
    <row r="49" spans="1:16">
      <c r="A49" s="34">
        <v>2028</v>
      </c>
      <c r="B49" s="8">
        <v>769</v>
      </c>
      <c r="C49" s="9">
        <v>827</v>
      </c>
      <c r="D49" s="10">
        <v>33.299999999999997</v>
      </c>
      <c r="E49" s="11">
        <v>18.3</v>
      </c>
      <c r="F49" s="11">
        <v>19.7</v>
      </c>
      <c r="G49" s="12">
        <v>38</v>
      </c>
      <c r="H49" s="11">
        <v>7</v>
      </c>
      <c r="I49" s="10">
        <v>7.6</v>
      </c>
      <c r="J49" s="13">
        <v>1.7</v>
      </c>
      <c r="K49" s="8">
        <v>193</v>
      </c>
      <c r="L49" s="9">
        <v>207</v>
      </c>
      <c r="M49" s="10">
        <v>67.900000000000006</v>
      </c>
      <c r="N49" s="8">
        <v>495</v>
      </c>
      <c r="O49" s="9">
        <v>532</v>
      </c>
      <c r="P49" s="38">
        <v>101.8</v>
      </c>
    </row>
    <row r="50" spans="1:16">
      <c r="A50" s="34">
        <v>2029</v>
      </c>
      <c r="B50" s="8">
        <v>771</v>
      </c>
      <c r="C50" s="9">
        <v>829</v>
      </c>
      <c r="D50" s="10">
        <v>33.4</v>
      </c>
      <c r="E50" s="11">
        <v>18.100000000000001</v>
      </c>
      <c r="F50" s="11">
        <v>19.5</v>
      </c>
      <c r="G50" s="12">
        <v>37.4</v>
      </c>
      <c r="H50" s="11">
        <v>7</v>
      </c>
      <c r="I50" s="10">
        <v>7.6</v>
      </c>
      <c r="J50" s="13">
        <v>1.7</v>
      </c>
      <c r="K50" s="8">
        <v>195</v>
      </c>
      <c r="L50" s="9">
        <v>209</v>
      </c>
      <c r="M50" s="10">
        <v>68.3</v>
      </c>
      <c r="N50" s="8">
        <v>498</v>
      </c>
      <c r="O50" s="9">
        <v>536</v>
      </c>
      <c r="P50" s="38">
        <v>101.7</v>
      </c>
    </row>
    <row r="51" spans="1:16">
      <c r="A51" s="34">
        <v>2030</v>
      </c>
      <c r="B51" s="8">
        <v>771</v>
      </c>
      <c r="C51" s="9">
        <v>829</v>
      </c>
      <c r="D51" s="10">
        <v>33.4</v>
      </c>
      <c r="E51" s="11">
        <v>18</v>
      </c>
      <c r="F51" s="11">
        <v>19.399999999999999</v>
      </c>
      <c r="G51" s="12">
        <v>37.5</v>
      </c>
      <c r="H51" s="11">
        <v>7</v>
      </c>
      <c r="I51" s="10">
        <v>7.6</v>
      </c>
      <c r="J51" s="13">
        <v>1.7</v>
      </c>
      <c r="K51" s="8">
        <v>195</v>
      </c>
      <c r="L51" s="9">
        <v>210</v>
      </c>
      <c r="M51" s="10">
        <v>68.099999999999994</v>
      </c>
      <c r="N51" s="8">
        <v>498</v>
      </c>
      <c r="O51" s="9">
        <v>536</v>
      </c>
      <c r="P51" s="38">
        <v>101.7</v>
      </c>
    </row>
    <row r="52" spans="1:16" ht="15.75" thickBot="1">
      <c r="A52" s="39"/>
      <c r="B52" s="40"/>
      <c r="C52" s="41"/>
      <c r="D52" s="42"/>
      <c r="E52" s="43"/>
      <c r="F52" s="43"/>
      <c r="G52" s="44"/>
      <c r="H52" s="43"/>
      <c r="I52" s="42"/>
      <c r="J52" s="45"/>
      <c r="K52" s="40"/>
      <c r="L52" s="41"/>
      <c r="M52" s="42"/>
      <c r="N52" s="40"/>
      <c r="O52" s="41"/>
      <c r="P52" s="46"/>
    </row>
    <row r="53" spans="1:16">
      <c r="A53" s="7" t="s">
        <v>25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7" t="s">
        <v>26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ht="15.75" thickBot="1"/>
    <row r="56" spans="1:16">
      <c r="A56" s="27" t="s">
        <v>34</v>
      </c>
      <c r="B56" s="28"/>
      <c r="C56" s="28"/>
      <c r="D56" s="29"/>
      <c r="F56" s="1" t="s">
        <v>76</v>
      </c>
    </row>
    <row r="57" spans="1:16">
      <c r="A57" s="21" t="s">
        <v>31</v>
      </c>
      <c r="B57" s="22"/>
      <c r="C57" s="22"/>
      <c r="D57" s="23">
        <v>0.05</v>
      </c>
      <c r="F57" t="s">
        <v>77</v>
      </c>
    </row>
    <row r="58" spans="1:16">
      <c r="A58" s="30" t="s">
        <v>32</v>
      </c>
      <c r="B58" s="31"/>
      <c r="C58" s="31"/>
      <c r="D58" s="32">
        <v>0.02</v>
      </c>
      <c r="F58" t="s">
        <v>78</v>
      </c>
    </row>
    <row r="59" spans="1:16" ht="15.75" thickBot="1">
      <c r="A59" s="24" t="s">
        <v>33</v>
      </c>
      <c r="B59" s="25"/>
      <c r="C59" s="25"/>
      <c r="D59" s="26">
        <f>1-((1-D57)*(1-D58))</f>
        <v>6.9000000000000061E-2</v>
      </c>
      <c r="F59" t="s">
        <v>79</v>
      </c>
    </row>
    <row r="60" spans="1:16" ht="15.75" thickBot="1">
      <c r="F60" t="s">
        <v>80</v>
      </c>
    </row>
    <row r="61" spans="1:16">
      <c r="A61" s="51" t="s">
        <v>35</v>
      </c>
      <c r="C61" s="51" t="s">
        <v>65</v>
      </c>
      <c r="F61" t="s">
        <v>81</v>
      </c>
    </row>
    <row r="62" spans="1:16">
      <c r="A62" s="49" t="s">
        <v>44</v>
      </c>
      <c r="C62" s="49" t="s">
        <v>66</v>
      </c>
      <c r="F62" t="s">
        <v>82</v>
      </c>
    </row>
    <row r="63" spans="1:16">
      <c r="A63" s="49" t="s">
        <v>45</v>
      </c>
      <c r="C63" s="49" t="s">
        <v>67</v>
      </c>
      <c r="F63" t="s">
        <v>83</v>
      </c>
    </row>
    <row r="64" spans="1:16">
      <c r="A64" s="49" t="s">
        <v>46</v>
      </c>
      <c r="C64" s="49" t="s">
        <v>4</v>
      </c>
      <c r="F64" t="s">
        <v>84</v>
      </c>
    </row>
    <row r="65" spans="1:17" ht="15.75" thickBot="1">
      <c r="A65" s="50" t="s">
        <v>47</v>
      </c>
      <c r="C65" s="50" t="s">
        <v>68</v>
      </c>
    </row>
    <row r="67" spans="1:17" ht="15.75" thickBot="1"/>
    <row r="68" spans="1:17">
      <c r="A68" s="123"/>
      <c r="B68" s="124" t="s">
        <v>92</v>
      </c>
      <c r="C68" s="232" t="s">
        <v>93</v>
      </c>
      <c r="D68" s="233"/>
      <c r="E68" s="233"/>
      <c r="F68" s="233"/>
      <c r="G68" s="234"/>
      <c r="H68" s="232" t="s">
        <v>94</v>
      </c>
      <c r="I68" s="233"/>
      <c r="J68" s="233"/>
      <c r="K68" s="233"/>
      <c r="L68" s="234"/>
      <c r="M68" s="232" t="s">
        <v>95</v>
      </c>
      <c r="N68" s="233"/>
      <c r="O68" s="233"/>
      <c r="P68" s="233"/>
      <c r="Q68" s="235"/>
    </row>
    <row r="69" spans="1:17">
      <c r="A69" s="125" t="s">
        <v>96</v>
      </c>
      <c r="B69" s="126" t="s">
        <v>85</v>
      </c>
      <c r="C69" s="127" t="s">
        <v>132</v>
      </c>
      <c r="D69" s="127" t="s">
        <v>133</v>
      </c>
      <c r="E69" s="127" t="s">
        <v>134</v>
      </c>
      <c r="F69" s="127" t="s">
        <v>135</v>
      </c>
      <c r="G69" s="127" t="s">
        <v>136</v>
      </c>
      <c r="H69" s="135" t="s">
        <v>132</v>
      </c>
      <c r="I69" s="127" t="s">
        <v>133</v>
      </c>
      <c r="J69" s="127" t="s">
        <v>134</v>
      </c>
      <c r="K69" s="127" t="s">
        <v>135</v>
      </c>
      <c r="L69" s="127" t="s">
        <v>136</v>
      </c>
      <c r="M69" s="135" t="s">
        <v>132</v>
      </c>
      <c r="N69" s="127" t="s">
        <v>133</v>
      </c>
      <c r="O69" s="127" t="s">
        <v>134</v>
      </c>
      <c r="P69" s="127" t="s">
        <v>135</v>
      </c>
      <c r="Q69" s="128" t="s">
        <v>136</v>
      </c>
    </row>
    <row r="70" spans="1:17" ht="15.75" thickBot="1">
      <c r="A70" s="129"/>
      <c r="B70" s="130" t="s">
        <v>43</v>
      </c>
      <c r="C70" s="131" t="s">
        <v>19</v>
      </c>
      <c r="D70" s="131" t="s">
        <v>19</v>
      </c>
      <c r="E70" s="131" t="s">
        <v>19</v>
      </c>
      <c r="F70" s="131" t="s">
        <v>19</v>
      </c>
      <c r="G70" s="131" t="s">
        <v>19</v>
      </c>
      <c r="H70" s="132" t="s">
        <v>19</v>
      </c>
      <c r="I70" s="131" t="s">
        <v>19</v>
      </c>
      <c r="J70" s="131" t="s">
        <v>19</v>
      </c>
      <c r="K70" s="131" t="s">
        <v>19</v>
      </c>
      <c r="L70" s="133" t="s">
        <v>19</v>
      </c>
      <c r="M70" s="131" t="s">
        <v>19</v>
      </c>
      <c r="N70" s="131" t="s">
        <v>19</v>
      </c>
      <c r="O70" s="131" t="s">
        <v>19</v>
      </c>
      <c r="P70" s="131" t="s">
        <v>19</v>
      </c>
      <c r="Q70" s="134" t="s">
        <v>19</v>
      </c>
    </row>
    <row r="71" spans="1:17">
      <c r="A71" s="114">
        <f>+A31</f>
        <v>2010</v>
      </c>
      <c r="B71" s="115">
        <v>1</v>
      </c>
      <c r="C71" s="116">
        <f>+C31</f>
        <v>862</v>
      </c>
      <c r="D71" s="117">
        <f>+O31/1000</f>
        <v>0.72899999999999998</v>
      </c>
      <c r="E71" s="117">
        <f>+L31/1000</f>
        <v>0.57299999999999995</v>
      </c>
      <c r="F71" s="117">
        <f>+F31/1000</f>
        <v>1.7899999999999999E-2</v>
      </c>
      <c r="G71" s="117">
        <f>+I31/1000</f>
        <v>7.6E-3</v>
      </c>
      <c r="H71" s="118">
        <f>+C71*(1-$D$57)</f>
        <v>818.9</v>
      </c>
      <c r="I71" s="117">
        <f>+D71*(1-$D$57)</f>
        <v>0.69255</v>
      </c>
      <c r="J71" s="117">
        <f>+E71*(1-$D$57)</f>
        <v>0.54434999999999989</v>
      </c>
      <c r="K71" s="117">
        <f>F71*(1-$D$57)</f>
        <v>1.7004999999999999E-2</v>
      </c>
      <c r="L71" s="119">
        <f>G71*(1-$D$57)</f>
        <v>7.2199999999999999E-3</v>
      </c>
      <c r="M71" s="116">
        <f>H71*(1-$D$58)</f>
        <v>802.52199999999993</v>
      </c>
      <c r="N71" s="117">
        <f>I71*(1-$D$58)</f>
        <v>0.67869899999999994</v>
      </c>
      <c r="O71" s="117">
        <f>J71*(1-$D$58)</f>
        <v>0.53346299999999991</v>
      </c>
      <c r="P71" s="120">
        <f>K71*(1-$D$58)</f>
        <v>1.66649E-2</v>
      </c>
      <c r="Q71" s="121">
        <f>L71*(1-$D$58)</f>
        <v>7.0755999999999996E-3</v>
      </c>
    </row>
    <row r="72" spans="1:17">
      <c r="A72" s="114">
        <f t="shared" ref="A72:A91" si="1">+A32</f>
        <v>2011</v>
      </c>
      <c r="B72" s="122">
        <f t="shared" ref="B72:B89" si="2">B71</f>
        <v>1</v>
      </c>
      <c r="C72" s="116">
        <f t="shared" ref="C72:C91" si="3">+C32</f>
        <v>851</v>
      </c>
      <c r="D72" s="117">
        <f t="shared" ref="D72:D89" si="4">+O32/1000</f>
        <v>0.6</v>
      </c>
      <c r="E72" s="117">
        <f t="shared" ref="E72:E89" si="5">+L32/1000</f>
        <v>0.193</v>
      </c>
      <c r="F72" s="117">
        <f t="shared" ref="F72:F91" si="6">+F32/1000</f>
        <v>1.8499999999999999E-2</v>
      </c>
      <c r="G72" s="117">
        <f t="shared" ref="G72:G89" si="7">+I32/1000</f>
        <v>7.6E-3</v>
      </c>
      <c r="H72" s="118">
        <f t="shared" ref="H72:H91" si="8">+C72*(1-$D$57)</f>
        <v>808.44999999999993</v>
      </c>
      <c r="I72" s="117">
        <f t="shared" ref="I72:I91" si="9">+D72*(1-$D$57)</f>
        <v>0.56999999999999995</v>
      </c>
      <c r="J72" s="117">
        <f t="shared" ref="J72:J91" si="10">+E72*(1-$D$57)</f>
        <v>0.18334999999999999</v>
      </c>
      <c r="K72" s="117">
        <f t="shared" ref="K72:K91" si="11">F72*(1-$D$57)</f>
        <v>1.7574999999999997E-2</v>
      </c>
      <c r="L72" s="119">
        <f t="shared" ref="L72:L91" si="12">G72*(1-$D$57)</f>
        <v>7.2199999999999999E-3</v>
      </c>
      <c r="M72" s="116">
        <f t="shared" ref="M72:M90" si="13">H72*(1-$D$58)</f>
        <v>792.28099999999995</v>
      </c>
      <c r="N72" s="117">
        <f t="shared" ref="N72:N91" si="14">I72*(1-$D$58)</f>
        <v>0.55859999999999999</v>
      </c>
      <c r="O72" s="117">
        <f t="shared" ref="O72:O91" si="15">J72*(1-$D$58)</f>
        <v>0.17968299999999998</v>
      </c>
      <c r="P72" s="120">
        <f t="shared" ref="P72:P91" si="16">K72*(1-$D$58)</f>
        <v>1.7223499999999996E-2</v>
      </c>
      <c r="Q72" s="121">
        <f t="shared" ref="Q72:Q91" si="17">L72*(1-$D$58)</f>
        <v>7.0755999999999996E-3</v>
      </c>
    </row>
    <row r="73" spans="1:17">
      <c r="A73" s="114">
        <f t="shared" si="1"/>
        <v>2012</v>
      </c>
      <c r="B73" s="122">
        <f t="shared" si="2"/>
        <v>1</v>
      </c>
      <c r="C73" s="116">
        <f t="shared" si="3"/>
        <v>848</v>
      </c>
      <c r="D73" s="117">
        <f t="shared" si="4"/>
        <v>0.60199999999999998</v>
      </c>
      <c r="E73" s="117">
        <f t="shared" si="5"/>
        <v>0.21199999999999999</v>
      </c>
      <c r="F73" s="117">
        <f t="shared" si="6"/>
        <v>1.9300000000000001E-2</v>
      </c>
      <c r="G73" s="117">
        <f t="shared" si="7"/>
        <v>7.6E-3</v>
      </c>
      <c r="H73" s="118">
        <f t="shared" si="8"/>
        <v>805.59999999999991</v>
      </c>
      <c r="I73" s="117">
        <f t="shared" si="9"/>
        <v>0.57189999999999996</v>
      </c>
      <c r="J73" s="117">
        <f t="shared" si="10"/>
        <v>0.2014</v>
      </c>
      <c r="K73" s="117">
        <f t="shared" si="11"/>
        <v>1.8335000000000001E-2</v>
      </c>
      <c r="L73" s="119">
        <f t="shared" si="12"/>
        <v>7.2199999999999999E-3</v>
      </c>
      <c r="M73" s="116">
        <f t="shared" si="13"/>
        <v>789.48799999999994</v>
      </c>
      <c r="N73" s="117">
        <f t="shared" si="14"/>
        <v>0.5604619999999999</v>
      </c>
      <c r="O73" s="117">
        <f t="shared" si="15"/>
        <v>0.19737199999999999</v>
      </c>
      <c r="P73" s="120">
        <f t="shared" si="16"/>
        <v>1.79683E-2</v>
      </c>
      <c r="Q73" s="121">
        <f t="shared" si="17"/>
        <v>7.0755999999999996E-3</v>
      </c>
    </row>
    <row r="74" spans="1:17">
      <c r="A74" s="114">
        <f t="shared" si="1"/>
        <v>2013</v>
      </c>
      <c r="B74" s="122">
        <f t="shared" si="2"/>
        <v>1</v>
      </c>
      <c r="C74" s="116">
        <f t="shared" si="3"/>
        <v>852</v>
      </c>
      <c r="D74" s="117">
        <f t="shared" si="4"/>
        <v>0.60099999999999998</v>
      </c>
      <c r="E74" s="117">
        <f t="shared" si="5"/>
        <v>0.20799999999999999</v>
      </c>
      <c r="F74" s="117">
        <f t="shared" si="6"/>
        <v>1.84E-2</v>
      </c>
      <c r="G74" s="117">
        <f>+I34/1000</f>
        <v>7.6E-3</v>
      </c>
      <c r="H74" s="118">
        <f t="shared" si="8"/>
        <v>809.4</v>
      </c>
      <c r="I74" s="117">
        <f t="shared" si="9"/>
        <v>0.57094999999999996</v>
      </c>
      <c r="J74" s="117">
        <f t="shared" si="10"/>
        <v>0.19759999999999997</v>
      </c>
      <c r="K74" s="117">
        <f t="shared" si="11"/>
        <v>1.7479999999999999E-2</v>
      </c>
      <c r="L74" s="119">
        <f t="shared" si="12"/>
        <v>7.2199999999999999E-3</v>
      </c>
      <c r="M74" s="116">
        <f t="shared" si="13"/>
        <v>793.21199999999999</v>
      </c>
      <c r="N74" s="117">
        <f t="shared" si="14"/>
        <v>0.559531</v>
      </c>
      <c r="O74" s="117">
        <f t="shared" si="15"/>
        <v>0.19364799999999996</v>
      </c>
      <c r="P74" s="120">
        <f t="shared" si="16"/>
        <v>1.7130399999999997E-2</v>
      </c>
      <c r="Q74" s="121">
        <f t="shared" si="17"/>
        <v>7.0755999999999996E-3</v>
      </c>
    </row>
    <row r="75" spans="1:17">
      <c r="A75" s="114">
        <f t="shared" si="1"/>
        <v>2014</v>
      </c>
      <c r="B75" s="122">
        <f t="shared" si="2"/>
        <v>1</v>
      </c>
      <c r="C75" s="116">
        <f t="shared" si="3"/>
        <v>856</v>
      </c>
      <c r="D75" s="117">
        <f t="shared" si="4"/>
        <v>0.60599999999999998</v>
      </c>
      <c r="E75" s="117">
        <f t="shared" si="5"/>
        <v>0.219</v>
      </c>
      <c r="F75" s="117">
        <f t="shared" si="6"/>
        <v>1.6399999999999998E-2</v>
      </c>
      <c r="G75" s="117">
        <f t="shared" si="7"/>
        <v>7.4999999999999997E-3</v>
      </c>
      <c r="H75" s="118">
        <f t="shared" si="8"/>
        <v>813.19999999999993</v>
      </c>
      <c r="I75" s="117">
        <f t="shared" si="9"/>
        <v>0.57569999999999999</v>
      </c>
      <c r="J75" s="117">
        <f t="shared" si="10"/>
        <v>0.20804999999999998</v>
      </c>
      <c r="K75" s="117">
        <f t="shared" si="11"/>
        <v>1.5579999999999997E-2</v>
      </c>
      <c r="L75" s="119">
        <f t="shared" si="12"/>
        <v>7.1249999999999994E-3</v>
      </c>
      <c r="M75" s="116">
        <f t="shared" si="13"/>
        <v>796.93599999999992</v>
      </c>
      <c r="N75" s="117">
        <f t="shared" si="14"/>
        <v>0.56418599999999997</v>
      </c>
      <c r="O75" s="117">
        <f t="shared" si="15"/>
        <v>0.20388899999999999</v>
      </c>
      <c r="P75" s="120">
        <f t="shared" si="16"/>
        <v>1.5268399999999996E-2</v>
      </c>
      <c r="Q75" s="121">
        <f t="shared" si="17"/>
        <v>6.9824999999999991E-3</v>
      </c>
    </row>
    <row r="76" spans="1:17">
      <c r="A76" s="114">
        <f t="shared" si="1"/>
        <v>2015</v>
      </c>
      <c r="B76" s="122">
        <f t="shared" si="2"/>
        <v>1</v>
      </c>
      <c r="C76" s="116">
        <f t="shared" si="3"/>
        <v>867</v>
      </c>
      <c r="D76" s="117">
        <f t="shared" si="4"/>
        <v>0.62</v>
      </c>
      <c r="E76" s="117">
        <f t="shared" si="5"/>
        <v>0.23799999999999999</v>
      </c>
      <c r="F76" s="117">
        <f t="shared" si="6"/>
        <v>1.6800000000000002E-2</v>
      </c>
      <c r="G76" s="117">
        <f t="shared" si="7"/>
        <v>7.6E-3</v>
      </c>
      <c r="H76" s="118">
        <f t="shared" si="8"/>
        <v>823.65</v>
      </c>
      <c r="I76" s="117">
        <f t="shared" si="9"/>
        <v>0.58899999999999997</v>
      </c>
      <c r="J76" s="117">
        <f t="shared" si="10"/>
        <v>0.22609999999999997</v>
      </c>
      <c r="K76" s="117">
        <f t="shared" si="11"/>
        <v>1.5960000000000002E-2</v>
      </c>
      <c r="L76" s="119">
        <f t="shared" si="12"/>
        <v>7.2199999999999999E-3</v>
      </c>
      <c r="M76" s="116">
        <f t="shared" si="13"/>
        <v>807.17699999999991</v>
      </c>
      <c r="N76" s="117">
        <f t="shared" si="14"/>
        <v>0.57721999999999996</v>
      </c>
      <c r="O76" s="117">
        <f t="shared" si="15"/>
        <v>0.22157799999999997</v>
      </c>
      <c r="P76" s="120">
        <f t="shared" si="16"/>
        <v>1.5640800000000003E-2</v>
      </c>
      <c r="Q76" s="121">
        <f t="shared" si="17"/>
        <v>7.0755999999999996E-3</v>
      </c>
    </row>
    <row r="77" spans="1:17">
      <c r="A77" s="114">
        <f t="shared" si="1"/>
        <v>2016</v>
      </c>
      <c r="B77" s="122">
        <f t="shared" si="2"/>
        <v>1</v>
      </c>
      <c r="C77" s="116">
        <f t="shared" si="3"/>
        <v>860</v>
      </c>
      <c r="D77" s="117">
        <f t="shared" si="4"/>
        <v>0.60499999999999998</v>
      </c>
      <c r="E77" s="117">
        <f t="shared" si="5"/>
        <v>0.193</v>
      </c>
      <c r="F77" s="117">
        <f t="shared" si="6"/>
        <v>1.67E-2</v>
      </c>
      <c r="G77" s="117">
        <f t="shared" si="7"/>
        <v>7.4999999999999997E-3</v>
      </c>
      <c r="H77" s="118">
        <f t="shared" si="8"/>
        <v>817</v>
      </c>
      <c r="I77" s="117">
        <f t="shared" si="9"/>
        <v>0.57474999999999998</v>
      </c>
      <c r="J77" s="117">
        <f t="shared" si="10"/>
        <v>0.18334999999999999</v>
      </c>
      <c r="K77" s="117">
        <f t="shared" si="11"/>
        <v>1.5864999999999997E-2</v>
      </c>
      <c r="L77" s="119">
        <f t="shared" si="12"/>
        <v>7.1249999999999994E-3</v>
      </c>
      <c r="M77" s="116">
        <f t="shared" si="13"/>
        <v>800.66</v>
      </c>
      <c r="N77" s="117">
        <f t="shared" si="14"/>
        <v>0.56325499999999995</v>
      </c>
      <c r="O77" s="117">
        <f t="shared" si="15"/>
        <v>0.17968299999999998</v>
      </c>
      <c r="P77" s="120">
        <f>K77*(1-$D$58)</f>
        <v>1.5547699999999998E-2</v>
      </c>
      <c r="Q77" s="121">
        <f t="shared" si="17"/>
        <v>6.9824999999999991E-3</v>
      </c>
    </row>
    <row r="78" spans="1:17">
      <c r="A78" s="114">
        <f t="shared" si="1"/>
        <v>2017</v>
      </c>
      <c r="B78" s="122">
        <f t="shared" si="2"/>
        <v>1</v>
      </c>
      <c r="C78" s="116">
        <f t="shared" si="3"/>
        <v>855</v>
      </c>
      <c r="D78" s="117">
        <f t="shared" si="4"/>
        <v>0.60799999999999998</v>
      </c>
      <c r="E78" s="117">
        <f t="shared" si="5"/>
        <v>0.19600000000000001</v>
      </c>
      <c r="F78" s="117">
        <f t="shared" si="6"/>
        <v>1.72E-2</v>
      </c>
      <c r="G78" s="117">
        <f t="shared" si="7"/>
        <v>7.6E-3</v>
      </c>
      <c r="H78" s="118">
        <f t="shared" si="8"/>
        <v>812.25</v>
      </c>
      <c r="I78" s="117">
        <f t="shared" si="9"/>
        <v>0.5776</v>
      </c>
      <c r="J78" s="117">
        <f t="shared" si="10"/>
        <v>0.1862</v>
      </c>
      <c r="K78" s="117">
        <f t="shared" si="11"/>
        <v>1.634E-2</v>
      </c>
      <c r="L78" s="119">
        <f t="shared" si="12"/>
        <v>7.2199999999999999E-3</v>
      </c>
      <c r="M78" s="116">
        <f t="shared" si="13"/>
        <v>796.005</v>
      </c>
      <c r="N78" s="117">
        <f t="shared" si="14"/>
        <v>0.566048</v>
      </c>
      <c r="O78" s="117">
        <f t="shared" si="15"/>
        <v>0.182476</v>
      </c>
      <c r="P78" s="120">
        <f t="shared" si="16"/>
        <v>1.6013200000000002E-2</v>
      </c>
      <c r="Q78" s="121">
        <f t="shared" si="17"/>
        <v>7.0755999999999996E-3</v>
      </c>
    </row>
    <row r="79" spans="1:17">
      <c r="A79" s="114">
        <f t="shared" si="1"/>
        <v>2018</v>
      </c>
      <c r="B79" s="122">
        <f t="shared" si="2"/>
        <v>1</v>
      </c>
      <c r="C79" s="116">
        <f t="shared" si="3"/>
        <v>851</v>
      </c>
      <c r="D79" s="117">
        <f t="shared" si="4"/>
        <v>0.60599999999999998</v>
      </c>
      <c r="E79" s="117">
        <f t="shared" si="5"/>
        <v>0.2</v>
      </c>
      <c r="F79" s="117">
        <f t="shared" si="6"/>
        <v>1.77E-2</v>
      </c>
      <c r="G79" s="117">
        <f t="shared" si="7"/>
        <v>7.6E-3</v>
      </c>
      <c r="H79" s="118">
        <f t="shared" si="8"/>
        <v>808.44999999999993</v>
      </c>
      <c r="I79" s="117">
        <f t="shared" si="9"/>
        <v>0.57569999999999999</v>
      </c>
      <c r="J79" s="117">
        <f t="shared" si="10"/>
        <v>0.19</v>
      </c>
      <c r="K79" s="117">
        <f t="shared" si="11"/>
        <v>1.6815E-2</v>
      </c>
      <c r="L79" s="119">
        <f t="shared" si="12"/>
        <v>7.2199999999999999E-3</v>
      </c>
      <c r="M79" s="116">
        <f t="shared" si="13"/>
        <v>792.28099999999995</v>
      </c>
      <c r="N79" s="117">
        <f t="shared" si="14"/>
        <v>0.56418599999999997</v>
      </c>
      <c r="O79" s="117">
        <f t="shared" si="15"/>
        <v>0.1862</v>
      </c>
      <c r="P79" s="120">
        <f t="shared" si="16"/>
        <v>1.6478699999999999E-2</v>
      </c>
      <c r="Q79" s="121">
        <f t="shared" si="17"/>
        <v>7.0755999999999996E-3</v>
      </c>
    </row>
    <row r="80" spans="1:17">
      <c r="A80" s="114">
        <f t="shared" si="1"/>
        <v>2019</v>
      </c>
      <c r="B80" s="122">
        <f t="shared" si="2"/>
        <v>1</v>
      </c>
      <c r="C80" s="116">
        <f t="shared" si="3"/>
        <v>842</v>
      </c>
      <c r="D80" s="117">
        <f t="shared" si="4"/>
        <v>0.61099999999999999</v>
      </c>
      <c r="E80" s="117">
        <f t="shared" si="5"/>
        <v>0.20599999999999999</v>
      </c>
      <c r="F80" s="117">
        <f t="shared" si="6"/>
        <v>1.7899999999999999E-2</v>
      </c>
      <c r="G80" s="117">
        <f t="shared" si="7"/>
        <v>7.6E-3</v>
      </c>
      <c r="H80" s="118">
        <f t="shared" si="8"/>
        <v>799.9</v>
      </c>
      <c r="I80" s="117">
        <f t="shared" si="9"/>
        <v>0.58044999999999991</v>
      </c>
      <c r="J80" s="117">
        <f t="shared" si="10"/>
        <v>0.19569999999999999</v>
      </c>
      <c r="K80" s="117">
        <f t="shared" si="11"/>
        <v>1.7004999999999999E-2</v>
      </c>
      <c r="L80" s="119">
        <f t="shared" si="12"/>
        <v>7.2199999999999999E-3</v>
      </c>
      <c r="M80" s="116">
        <f t="shared" si="13"/>
        <v>783.90199999999993</v>
      </c>
      <c r="N80" s="117">
        <f t="shared" si="14"/>
        <v>0.56884099999999993</v>
      </c>
      <c r="O80" s="117">
        <f t="shared" si="15"/>
        <v>0.19178599999999998</v>
      </c>
      <c r="P80" s="120">
        <f t="shared" si="16"/>
        <v>1.66649E-2</v>
      </c>
      <c r="Q80" s="121">
        <f t="shared" si="17"/>
        <v>7.0755999999999996E-3</v>
      </c>
    </row>
    <row r="81" spans="1:17">
      <c r="A81" s="114">
        <f t="shared" si="1"/>
        <v>2020</v>
      </c>
      <c r="B81" s="122">
        <f t="shared" si="2"/>
        <v>1</v>
      </c>
      <c r="C81" s="116">
        <f t="shared" si="3"/>
        <v>843</v>
      </c>
      <c r="D81" s="117">
        <f t="shared" si="4"/>
        <v>0.61399999999999999</v>
      </c>
      <c r="E81" s="117">
        <f t="shared" si="5"/>
        <v>0.21099999999999999</v>
      </c>
      <c r="F81" s="117">
        <f t="shared" si="6"/>
        <v>1.78E-2</v>
      </c>
      <c r="G81" s="117">
        <f t="shared" si="7"/>
        <v>7.6E-3</v>
      </c>
      <c r="H81" s="118">
        <f t="shared" si="8"/>
        <v>800.84999999999991</v>
      </c>
      <c r="I81" s="117">
        <f t="shared" si="9"/>
        <v>0.58329999999999993</v>
      </c>
      <c r="J81" s="117">
        <f t="shared" si="10"/>
        <v>0.20044999999999999</v>
      </c>
      <c r="K81" s="117">
        <f t="shared" si="11"/>
        <v>1.6909999999999998E-2</v>
      </c>
      <c r="L81" s="119">
        <f t="shared" si="12"/>
        <v>7.2199999999999999E-3</v>
      </c>
      <c r="M81" s="116">
        <f t="shared" si="13"/>
        <v>784.83299999999986</v>
      </c>
      <c r="N81" s="117">
        <f t="shared" si="14"/>
        <v>0.57163399999999998</v>
      </c>
      <c r="O81" s="117">
        <f t="shared" si="15"/>
        <v>0.19644099999999998</v>
      </c>
      <c r="P81" s="120">
        <f t="shared" si="16"/>
        <v>1.6571799999999998E-2</v>
      </c>
      <c r="Q81" s="121">
        <f t="shared" si="17"/>
        <v>7.0755999999999996E-3</v>
      </c>
    </row>
    <row r="82" spans="1:17">
      <c r="A82" s="114">
        <f t="shared" si="1"/>
        <v>2021</v>
      </c>
      <c r="B82" s="122">
        <f t="shared" si="2"/>
        <v>1</v>
      </c>
      <c r="C82" s="116">
        <f t="shared" si="3"/>
        <v>841</v>
      </c>
      <c r="D82" s="117">
        <f t="shared" si="4"/>
        <v>0.62</v>
      </c>
      <c r="E82" s="117">
        <f t="shared" si="5"/>
        <v>0.22600000000000001</v>
      </c>
      <c r="F82" s="117">
        <f t="shared" si="6"/>
        <v>1.78E-2</v>
      </c>
      <c r="G82" s="117">
        <f t="shared" si="7"/>
        <v>7.7000000000000002E-3</v>
      </c>
      <c r="H82" s="118">
        <f t="shared" si="8"/>
        <v>798.94999999999993</v>
      </c>
      <c r="I82" s="117">
        <f t="shared" si="9"/>
        <v>0.58899999999999997</v>
      </c>
      <c r="J82" s="117">
        <f t="shared" si="10"/>
        <v>0.2147</v>
      </c>
      <c r="K82" s="117">
        <f t="shared" si="11"/>
        <v>1.6909999999999998E-2</v>
      </c>
      <c r="L82" s="119">
        <f t="shared" si="12"/>
        <v>7.3150000000000003E-3</v>
      </c>
      <c r="M82" s="116">
        <f t="shared" si="13"/>
        <v>782.97099999999989</v>
      </c>
      <c r="N82" s="117">
        <f t="shared" si="14"/>
        <v>0.57721999999999996</v>
      </c>
      <c r="O82" s="117">
        <f t="shared" si="15"/>
        <v>0.21040600000000001</v>
      </c>
      <c r="P82" s="120">
        <f t="shared" si="16"/>
        <v>1.6571799999999998E-2</v>
      </c>
      <c r="Q82" s="121">
        <f t="shared" si="17"/>
        <v>7.1687000000000001E-3</v>
      </c>
    </row>
    <row r="83" spans="1:17">
      <c r="A83" s="114">
        <f t="shared" si="1"/>
        <v>2022</v>
      </c>
      <c r="B83" s="122">
        <f t="shared" si="2"/>
        <v>1</v>
      </c>
      <c r="C83" s="116">
        <f t="shared" si="3"/>
        <v>843</v>
      </c>
      <c r="D83" s="117">
        <f t="shared" si="4"/>
        <v>0.628</v>
      </c>
      <c r="E83" s="117">
        <f t="shared" si="5"/>
        <v>0.23899999999999999</v>
      </c>
      <c r="F83" s="117">
        <f t="shared" si="6"/>
        <v>1.78E-2</v>
      </c>
      <c r="G83" s="117">
        <f t="shared" si="7"/>
        <v>7.7000000000000002E-3</v>
      </c>
      <c r="H83" s="118">
        <f t="shared" si="8"/>
        <v>800.84999999999991</v>
      </c>
      <c r="I83" s="117">
        <f t="shared" si="9"/>
        <v>0.59660000000000002</v>
      </c>
      <c r="J83" s="117">
        <f t="shared" si="10"/>
        <v>0.22704999999999997</v>
      </c>
      <c r="K83" s="117">
        <f t="shared" si="11"/>
        <v>1.6909999999999998E-2</v>
      </c>
      <c r="L83" s="119">
        <f t="shared" si="12"/>
        <v>7.3150000000000003E-3</v>
      </c>
      <c r="M83" s="116">
        <f t="shared" si="13"/>
        <v>784.83299999999986</v>
      </c>
      <c r="N83" s="117">
        <f t="shared" si="14"/>
        <v>0.58466799999999997</v>
      </c>
      <c r="O83" s="117">
        <f t="shared" si="15"/>
        <v>0.22250899999999996</v>
      </c>
      <c r="P83" s="120">
        <f t="shared" si="16"/>
        <v>1.6571799999999998E-2</v>
      </c>
      <c r="Q83" s="121">
        <f t="shared" si="17"/>
        <v>7.1687000000000001E-3</v>
      </c>
    </row>
    <row r="84" spans="1:17">
      <c r="A84" s="114">
        <f t="shared" si="1"/>
        <v>2023</v>
      </c>
      <c r="B84" s="122">
        <f t="shared" si="2"/>
        <v>1</v>
      </c>
      <c r="C84" s="116">
        <f t="shared" si="3"/>
        <v>837</v>
      </c>
      <c r="D84" s="117">
        <f t="shared" si="4"/>
        <v>0.55500000000000005</v>
      </c>
      <c r="E84" s="117">
        <f t="shared" si="5"/>
        <v>0.21</v>
      </c>
      <c r="F84" s="117">
        <f t="shared" si="6"/>
        <v>1.7899999999999999E-2</v>
      </c>
      <c r="G84" s="117">
        <f t="shared" si="7"/>
        <v>7.6E-3</v>
      </c>
      <c r="H84" s="118">
        <f t="shared" si="8"/>
        <v>795.15</v>
      </c>
      <c r="I84" s="117">
        <f t="shared" si="9"/>
        <v>0.52725</v>
      </c>
      <c r="J84" s="117">
        <f t="shared" si="10"/>
        <v>0.19949999999999998</v>
      </c>
      <c r="K84" s="117">
        <f t="shared" si="11"/>
        <v>1.7004999999999999E-2</v>
      </c>
      <c r="L84" s="119">
        <f t="shared" si="12"/>
        <v>7.2199999999999999E-3</v>
      </c>
      <c r="M84" s="116">
        <f t="shared" si="13"/>
        <v>779.24699999999996</v>
      </c>
      <c r="N84" s="117">
        <f t="shared" si="14"/>
        <v>0.51670499999999997</v>
      </c>
      <c r="O84" s="117">
        <f t="shared" si="15"/>
        <v>0.19550999999999999</v>
      </c>
      <c r="P84" s="120">
        <f t="shared" si="16"/>
        <v>1.66649E-2</v>
      </c>
      <c r="Q84" s="121">
        <f t="shared" si="17"/>
        <v>7.0755999999999996E-3</v>
      </c>
    </row>
    <row r="85" spans="1:17">
      <c r="A85" s="114">
        <f t="shared" si="1"/>
        <v>2024</v>
      </c>
      <c r="B85" s="122">
        <f t="shared" si="2"/>
        <v>1</v>
      </c>
      <c r="C85" s="116">
        <f t="shared" si="3"/>
        <v>831</v>
      </c>
      <c r="D85" s="117">
        <f t="shared" si="4"/>
        <v>0.54900000000000004</v>
      </c>
      <c r="E85" s="117">
        <f t="shared" si="5"/>
        <v>0.20699999999999999</v>
      </c>
      <c r="F85" s="117">
        <f t="shared" si="6"/>
        <v>1.9199999999999998E-2</v>
      </c>
      <c r="G85" s="117">
        <f t="shared" si="7"/>
        <v>7.6E-3</v>
      </c>
      <c r="H85" s="118">
        <f t="shared" si="8"/>
        <v>789.44999999999993</v>
      </c>
      <c r="I85" s="117">
        <f t="shared" si="9"/>
        <v>0.52155000000000007</v>
      </c>
      <c r="J85" s="117">
        <f t="shared" si="10"/>
        <v>0.19664999999999999</v>
      </c>
      <c r="K85" s="117">
        <f t="shared" si="11"/>
        <v>1.8239999999999999E-2</v>
      </c>
      <c r="L85" s="119">
        <f t="shared" si="12"/>
        <v>7.2199999999999999E-3</v>
      </c>
      <c r="M85" s="116">
        <f t="shared" si="13"/>
        <v>773.66099999999994</v>
      </c>
      <c r="N85" s="117">
        <f t="shared" si="14"/>
        <v>0.5111190000000001</v>
      </c>
      <c r="O85" s="117">
        <f t="shared" si="15"/>
        <v>0.192717</v>
      </c>
      <c r="P85" s="120">
        <f t="shared" si="16"/>
        <v>1.7875199999999997E-2</v>
      </c>
      <c r="Q85" s="121">
        <f t="shared" si="17"/>
        <v>7.0755999999999996E-3</v>
      </c>
    </row>
    <row r="86" spans="1:17">
      <c r="A86" s="114">
        <f t="shared" si="1"/>
        <v>2025</v>
      </c>
      <c r="B86" s="122">
        <f t="shared" si="2"/>
        <v>1</v>
      </c>
      <c r="C86" s="116">
        <f t="shared" si="3"/>
        <v>828</v>
      </c>
      <c r="D86" s="117">
        <f t="shared" si="4"/>
        <v>0.55100000000000005</v>
      </c>
      <c r="E86" s="117">
        <f t="shared" si="5"/>
        <v>0.216</v>
      </c>
      <c r="F86" s="117">
        <f t="shared" si="6"/>
        <v>1.9600000000000003E-2</v>
      </c>
      <c r="G86" s="117">
        <f t="shared" si="7"/>
        <v>7.6E-3</v>
      </c>
      <c r="H86" s="118">
        <f t="shared" si="8"/>
        <v>786.59999999999991</v>
      </c>
      <c r="I86" s="117">
        <f t="shared" si="9"/>
        <v>0.52344999999999997</v>
      </c>
      <c r="J86" s="117">
        <f t="shared" si="10"/>
        <v>0.20519999999999999</v>
      </c>
      <c r="K86" s="117">
        <f t="shared" si="11"/>
        <v>1.8620000000000001E-2</v>
      </c>
      <c r="L86" s="119">
        <f t="shared" si="12"/>
        <v>7.2199999999999999E-3</v>
      </c>
      <c r="M86" s="116">
        <f t="shared" si="13"/>
        <v>770.86799999999994</v>
      </c>
      <c r="N86" s="117">
        <f t="shared" si="14"/>
        <v>0.51298099999999991</v>
      </c>
      <c r="O86" s="117">
        <f t="shared" si="15"/>
        <v>0.201096</v>
      </c>
      <c r="P86" s="120">
        <f t="shared" si="16"/>
        <v>1.8247599999999999E-2</v>
      </c>
      <c r="Q86" s="121">
        <f t="shared" si="17"/>
        <v>7.0755999999999996E-3</v>
      </c>
    </row>
    <row r="87" spans="1:17">
      <c r="A87" s="114">
        <f t="shared" si="1"/>
        <v>2026</v>
      </c>
      <c r="B87" s="122">
        <f t="shared" si="2"/>
        <v>1</v>
      </c>
      <c r="C87" s="116">
        <f t="shared" si="3"/>
        <v>826</v>
      </c>
      <c r="D87" s="117">
        <f t="shared" si="4"/>
        <v>0.54100000000000004</v>
      </c>
      <c r="E87" s="117">
        <f t="shared" si="5"/>
        <v>0.218</v>
      </c>
      <c r="F87" s="117">
        <f t="shared" si="6"/>
        <v>1.9899999999999998E-2</v>
      </c>
      <c r="G87" s="117">
        <f t="shared" si="7"/>
        <v>7.6E-3</v>
      </c>
      <c r="H87" s="118">
        <f t="shared" si="8"/>
        <v>784.69999999999993</v>
      </c>
      <c r="I87" s="117">
        <f t="shared" si="9"/>
        <v>0.51395000000000002</v>
      </c>
      <c r="J87" s="117">
        <f t="shared" si="10"/>
        <v>0.20709999999999998</v>
      </c>
      <c r="K87" s="117">
        <f t="shared" si="11"/>
        <v>1.8904999999999998E-2</v>
      </c>
      <c r="L87" s="119">
        <f t="shared" si="12"/>
        <v>7.2199999999999999E-3</v>
      </c>
      <c r="M87" s="116">
        <f t="shared" si="13"/>
        <v>769.00599999999997</v>
      </c>
      <c r="N87" s="117">
        <f t="shared" si="14"/>
        <v>0.50367099999999998</v>
      </c>
      <c r="O87" s="117">
        <f t="shared" si="15"/>
        <v>0.20295799999999997</v>
      </c>
      <c r="P87" s="120">
        <f t="shared" si="16"/>
        <v>1.8526899999999999E-2</v>
      </c>
      <c r="Q87" s="121">
        <f t="shared" si="17"/>
        <v>7.0755999999999996E-3</v>
      </c>
    </row>
    <row r="88" spans="1:17">
      <c r="A88" s="114">
        <f t="shared" si="1"/>
        <v>2027</v>
      </c>
      <c r="B88" s="122">
        <f t="shared" si="2"/>
        <v>1</v>
      </c>
      <c r="C88" s="116">
        <f t="shared" si="3"/>
        <v>824</v>
      </c>
      <c r="D88" s="117">
        <f t="shared" si="4"/>
        <v>0.54200000000000004</v>
      </c>
      <c r="E88" s="117">
        <f t="shared" si="5"/>
        <v>0.224</v>
      </c>
      <c r="F88" s="117">
        <f t="shared" si="6"/>
        <v>1.9899999999999998E-2</v>
      </c>
      <c r="G88" s="117">
        <f t="shared" si="7"/>
        <v>7.6E-3</v>
      </c>
      <c r="H88" s="118">
        <f t="shared" si="8"/>
        <v>782.8</v>
      </c>
      <c r="I88" s="117">
        <f t="shared" si="9"/>
        <v>0.51490000000000002</v>
      </c>
      <c r="J88" s="117">
        <f t="shared" si="10"/>
        <v>0.21279999999999999</v>
      </c>
      <c r="K88" s="117">
        <f t="shared" si="11"/>
        <v>1.8904999999999998E-2</v>
      </c>
      <c r="L88" s="119">
        <f t="shared" si="12"/>
        <v>7.2199999999999999E-3</v>
      </c>
      <c r="M88" s="116">
        <f t="shared" si="13"/>
        <v>767.14399999999989</v>
      </c>
      <c r="N88" s="117">
        <f t="shared" si="14"/>
        <v>0.50460199999999999</v>
      </c>
      <c r="O88" s="117">
        <f t="shared" si="15"/>
        <v>0.20854399999999998</v>
      </c>
      <c r="P88" s="120">
        <f t="shared" si="16"/>
        <v>1.8526899999999999E-2</v>
      </c>
      <c r="Q88" s="121">
        <f t="shared" si="17"/>
        <v>7.0755999999999996E-3</v>
      </c>
    </row>
    <row r="89" spans="1:17">
      <c r="A89" s="114">
        <f t="shared" si="1"/>
        <v>2028</v>
      </c>
      <c r="B89" s="122">
        <f t="shared" si="2"/>
        <v>1</v>
      </c>
      <c r="C89" s="116">
        <f t="shared" si="3"/>
        <v>827</v>
      </c>
      <c r="D89" s="117">
        <f t="shared" si="4"/>
        <v>0.53200000000000003</v>
      </c>
      <c r="E89" s="117">
        <f t="shared" si="5"/>
        <v>0.20699999999999999</v>
      </c>
      <c r="F89" s="117">
        <f t="shared" si="6"/>
        <v>1.9699999999999999E-2</v>
      </c>
      <c r="G89" s="117">
        <f t="shared" si="7"/>
        <v>7.6E-3</v>
      </c>
      <c r="H89" s="118">
        <f t="shared" si="8"/>
        <v>785.65</v>
      </c>
      <c r="I89" s="117">
        <f t="shared" si="9"/>
        <v>0.50539999999999996</v>
      </c>
      <c r="J89" s="117">
        <f t="shared" si="10"/>
        <v>0.19664999999999999</v>
      </c>
      <c r="K89" s="117">
        <f t="shared" si="11"/>
        <v>1.8714999999999999E-2</v>
      </c>
      <c r="L89" s="119">
        <f t="shared" si="12"/>
        <v>7.2199999999999999E-3</v>
      </c>
      <c r="M89" s="116">
        <f t="shared" si="13"/>
        <v>769.93700000000001</v>
      </c>
      <c r="N89" s="117">
        <f t="shared" si="14"/>
        <v>0.49529199999999995</v>
      </c>
      <c r="O89" s="117">
        <f t="shared" si="15"/>
        <v>0.192717</v>
      </c>
      <c r="P89" s="120">
        <f t="shared" si="16"/>
        <v>1.8340699999999998E-2</v>
      </c>
      <c r="Q89" s="121">
        <f t="shared" si="17"/>
        <v>7.0755999999999996E-3</v>
      </c>
    </row>
    <row r="90" spans="1:17">
      <c r="A90" s="114">
        <f t="shared" si="1"/>
        <v>2029</v>
      </c>
      <c r="B90" s="122">
        <f t="shared" ref="B90:B91" si="18">B89</f>
        <v>1</v>
      </c>
      <c r="C90" s="116">
        <f t="shared" si="3"/>
        <v>829</v>
      </c>
      <c r="D90" s="117">
        <f t="shared" ref="D90:D91" si="19">+O50/1000</f>
        <v>0.53600000000000003</v>
      </c>
      <c r="E90" s="117">
        <f t="shared" ref="E90:E91" si="20">+L50/1000</f>
        <v>0.20899999999999999</v>
      </c>
      <c r="F90" s="117">
        <f t="shared" si="6"/>
        <v>1.95E-2</v>
      </c>
      <c r="G90" s="117">
        <f t="shared" ref="G90:G91" si="21">+I50/1000</f>
        <v>7.6E-3</v>
      </c>
      <c r="H90" s="118">
        <f t="shared" si="8"/>
        <v>787.55</v>
      </c>
      <c r="I90" s="117">
        <f t="shared" si="9"/>
        <v>0.50919999999999999</v>
      </c>
      <c r="J90" s="117">
        <f t="shared" si="10"/>
        <v>0.19854999999999998</v>
      </c>
      <c r="K90" s="117">
        <f t="shared" si="11"/>
        <v>1.8525E-2</v>
      </c>
      <c r="L90" s="119">
        <f t="shared" si="12"/>
        <v>7.2199999999999999E-3</v>
      </c>
      <c r="M90" s="116">
        <f t="shared" si="13"/>
        <v>771.79899999999998</v>
      </c>
      <c r="N90" s="117">
        <f t="shared" si="14"/>
        <v>0.49901599999999996</v>
      </c>
      <c r="O90" s="117">
        <f t="shared" si="15"/>
        <v>0.19457899999999997</v>
      </c>
      <c r="P90" s="120">
        <f t="shared" si="16"/>
        <v>1.81545E-2</v>
      </c>
      <c r="Q90" s="121">
        <f t="shared" si="17"/>
        <v>7.0755999999999996E-3</v>
      </c>
    </row>
    <row r="91" spans="1:17" ht="15.75" thickBot="1">
      <c r="A91" s="194">
        <f t="shared" si="1"/>
        <v>2030</v>
      </c>
      <c r="B91" s="195">
        <f t="shared" si="18"/>
        <v>1</v>
      </c>
      <c r="C91" s="196">
        <f t="shared" si="3"/>
        <v>829</v>
      </c>
      <c r="D91" s="197">
        <f t="shared" si="19"/>
        <v>0.53600000000000003</v>
      </c>
      <c r="E91" s="197">
        <f t="shared" si="20"/>
        <v>0.21</v>
      </c>
      <c r="F91" s="197">
        <f t="shared" si="6"/>
        <v>1.9399999999999997E-2</v>
      </c>
      <c r="G91" s="197">
        <f t="shared" si="21"/>
        <v>7.6E-3</v>
      </c>
      <c r="H91" s="198">
        <f t="shared" si="8"/>
        <v>787.55</v>
      </c>
      <c r="I91" s="197">
        <f t="shared" si="9"/>
        <v>0.50919999999999999</v>
      </c>
      <c r="J91" s="197">
        <f t="shared" si="10"/>
        <v>0.19949999999999998</v>
      </c>
      <c r="K91" s="197">
        <f t="shared" si="11"/>
        <v>1.8429999999999995E-2</v>
      </c>
      <c r="L91" s="199">
        <f t="shared" si="12"/>
        <v>7.2199999999999999E-3</v>
      </c>
      <c r="M91" s="196">
        <f>H91*(1-$D$58)</f>
        <v>771.79899999999998</v>
      </c>
      <c r="N91" s="197">
        <f t="shared" si="14"/>
        <v>0.49901599999999996</v>
      </c>
      <c r="O91" s="197">
        <f t="shared" si="15"/>
        <v>0.19550999999999999</v>
      </c>
      <c r="P91" s="200">
        <f t="shared" si="16"/>
        <v>1.8061399999999995E-2</v>
      </c>
      <c r="Q91" s="201">
        <f t="shared" si="17"/>
        <v>7.0755999999999996E-3</v>
      </c>
    </row>
  </sheetData>
  <mergeCells count="19">
    <mergeCell ref="D1:H1"/>
    <mergeCell ref="B27:D27"/>
    <mergeCell ref="E27:G27"/>
    <mergeCell ref="H27:J27"/>
    <mergeCell ref="K27:M27"/>
    <mergeCell ref="C68:G68"/>
    <mergeCell ref="H68:L68"/>
    <mergeCell ref="M68:Q68"/>
    <mergeCell ref="N27:P27"/>
    <mergeCell ref="B28:C28"/>
    <mergeCell ref="E28:F28"/>
    <mergeCell ref="H28:I28"/>
    <mergeCell ref="K28:L28"/>
    <mergeCell ref="N28:O28"/>
    <mergeCell ref="B29:C29"/>
    <mergeCell ref="E29:F29"/>
    <mergeCell ref="H29:I29"/>
    <mergeCell ref="K29:L29"/>
    <mergeCell ref="N29:O29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I37"/>
  <sheetViews>
    <sheetView tabSelected="1" view="pageBreakPreview" zoomScale="83" zoomScaleNormal="100" zoomScaleSheetLayoutView="83" workbookViewId="0">
      <selection activeCell="G35" sqref="G35"/>
    </sheetView>
  </sheetViews>
  <sheetFormatPr defaultRowHeight="15"/>
  <cols>
    <col min="1" max="1" width="11.85546875" customWidth="1"/>
    <col min="2" max="2" width="18.5703125" customWidth="1"/>
    <col min="4" max="4" width="11" customWidth="1"/>
    <col min="5" max="5" width="18.42578125" customWidth="1"/>
    <col min="6" max="6" width="18.140625" customWidth="1"/>
    <col min="7" max="7" width="14.5703125" customWidth="1"/>
    <col min="8" max="8" width="13" customWidth="1"/>
    <col min="9" max="9" width="14.140625" customWidth="1"/>
  </cols>
  <sheetData>
    <row r="1" spans="1:9" ht="18.75">
      <c r="A1" s="47" t="s">
        <v>73</v>
      </c>
    </row>
    <row r="3" spans="1:9" ht="15.75" thickBot="1">
      <c r="A3" s="1" t="s">
        <v>36</v>
      </c>
    </row>
    <row r="4" spans="1:9">
      <c r="A4" s="60" t="s">
        <v>38</v>
      </c>
      <c r="B4" s="61" t="s">
        <v>0</v>
      </c>
      <c r="C4" s="61" t="s">
        <v>56</v>
      </c>
      <c r="D4" s="231" t="s">
        <v>58</v>
      </c>
      <c r="E4" s="231" t="s">
        <v>50</v>
      </c>
      <c r="F4" s="231" t="s">
        <v>51</v>
      </c>
      <c r="G4" s="231" t="s">
        <v>52</v>
      </c>
      <c r="H4" s="231" t="s">
        <v>60</v>
      </c>
      <c r="I4" s="62" t="s">
        <v>64</v>
      </c>
    </row>
    <row r="5" spans="1:9" ht="15.75" thickBot="1">
      <c r="A5" s="63"/>
      <c r="B5" s="64"/>
      <c r="C5" s="64"/>
      <c r="D5" s="112" t="s">
        <v>61</v>
      </c>
      <c r="E5" s="112" t="s">
        <v>62</v>
      </c>
      <c r="F5" s="112" t="s">
        <v>43</v>
      </c>
      <c r="G5" s="112" t="s">
        <v>43</v>
      </c>
      <c r="H5" s="112" t="s">
        <v>63</v>
      </c>
      <c r="I5" s="65"/>
    </row>
    <row r="6" spans="1:9">
      <c r="A6" s="66">
        <v>1</v>
      </c>
      <c r="B6" s="67" t="s">
        <v>11</v>
      </c>
      <c r="C6" s="67" t="s">
        <v>46</v>
      </c>
      <c r="D6" s="69"/>
      <c r="E6" s="70">
        <v>10000</v>
      </c>
      <c r="F6" s="70">
        <v>53</v>
      </c>
      <c r="G6" s="70">
        <v>45</v>
      </c>
      <c r="H6" s="70">
        <v>80</v>
      </c>
      <c r="I6" s="71">
        <f>+IF(G6="","",G6/(E6*(VLOOKUP('Indtast brændsler og produktion'!B6,'Tekst og tabeller 2010'!$A$4:$H$20,3,FALSE)/3.6)))</f>
        <v>0.40909090909090906</v>
      </c>
    </row>
    <row r="7" spans="1:9">
      <c r="A7" s="72">
        <v>2</v>
      </c>
      <c r="B7" s="73"/>
      <c r="C7" s="73"/>
      <c r="D7" s="74"/>
      <c r="E7" s="75"/>
      <c r="F7" s="75"/>
      <c r="G7" s="75"/>
      <c r="H7" s="75"/>
      <c r="I7" s="71" t="str">
        <f>+IF(G7="","",G7/(E7*(VLOOKUP('Indtast brændsler og produktion'!B7,'Tekst og tabeller 2010'!$A$4:$H$20,3,FALSE)/3.6)))</f>
        <v/>
      </c>
    </row>
    <row r="8" spans="1:9">
      <c r="A8" s="72">
        <v>3</v>
      </c>
      <c r="B8" s="73"/>
      <c r="C8" s="73"/>
      <c r="D8" s="74"/>
      <c r="E8" s="75"/>
      <c r="F8" s="75"/>
      <c r="G8" s="75"/>
      <c r="H8" s="75"/>
      <c r="I8" s="71" t="str">
        <f>+IF(G8="","",G8/(E8*(VLOOKUP('Indtast brændsler og produktion'!B8,'Tekst og tabeller 2010'!$A$4:$H$20,3,FALSE)/3.6)))</f>
        <v/>
      </c>
    </row>
    <row r="9" spans="1:9">
      <c r="A9" s="72">
        <v>4</v>
      </c>
      <c r="B9" s="73"/>
      <c r="C9" s="73"/>
      <c r="D9" s="74"/>
      <c r="E9" s="75"/>
      <c r="F9" s="75"/>
      <c r="G9" s="75"/>
      <c r="H9" s="75"/>
      <c r="I9" s="71" t="str">
        <f>+IF(G9="","",G9/(E9*(VLOOKUP('Indtast brændsler og produktion'!B9,'Tekst og tabeller 2010'!$A$4:$H$20,3,FALSE)/3.6)))</f>
        <v/>
      </c>
    </row>
    <row r="10" spans="1:9" ht="15.75" thickBot="1">
      <c r="A10" s="97">
        <v>5</v>
      </c>
      <c r="B10" s="92"/>
      <c r="C10" s="92"/>
      <c r="D10" s="94"/>
      <c r="E10" s="95"/>
      <c r="F10" s="95"/>
      <c r="G10" s="95"/>
      <c r="H10" s="95"/>
      <c r="I10" s="96" t="str">
        <f>+IF(G10="","",G10/(E10*(VLOOKUP('Indtast brændsler og produktion'!B10,'Tekst og tabeller 2010'!$A$4:$H$20,3,FALSE)/3.6)))</f>
        <v/>
      </c>
    </row>
    <row r="11" spans="1:9" ht="15.75" thickBot="1">
      <c r="A11" s="98" t="s">
        <v>90</v>
      </c>
      <c r="B11" s="99"/>
      <c r="C11" s="99"/>
      <c r="D11" s="100"/>
      <c r="E11" s="100"/>
      <c r="F11" s="100">
        <f>SUM(F6:F10)</f>
        <v>53</v>
      </c>
      <c r="G11" s="100">
        <f>SUM(G6:G10)</f>
        <v>45</v>
      </c>
      <c r="H11" s="100"/>
      <c r="I11" s="101"/>
    </row>
    <row r="12" spans="1:9">
      <c r="A12" s="76" t="s">
        <v>57</v>
      </c>
      <c r="B12" s="20"/>
      <c r="C12" s="20"/>
      <c r="D12" s="20"/>
      <c r="E12" s="20"/>
      <c r="F12" s="20"/>
      <c r="G12" s="20"/>
      <c r="H12" s="20"/>
      <c r="I12" s="20"/>
    </row>
    <row r="13" spans="1:9">
      <c r="A13" s="20" t="s">
        <v>59</v>
      </c>
      <c r="B13" s="20"/>
      <c r="C13" s="20"/>
      <c r="D13" s="20"/>
      <c r="E13" s="20"/>
      <c r="F13" s="20"/>
      <c r="G13" s="20"/>
      <c r="H13" s="20"/>
      <c r="I13" s="20"/>
    </row>
    <row r="14" spans="1:9">
      <c r="A14" s="20" t="s">
        <v>127</v>
      </c>
      <c r="B14" s="20"/>
      <c r="C14" s="20"/>
      <c r="D14" s="20"/>
      <c r="E14" s="20"/>
      <c r="F14" s="20"/>
      <c r="G14" s="20"/>
      <c r="H14" s="20"/>
      <c r="I14" s="20"/>
    </row>
    <row r="16" spans="1:9" ht="15.75" thickBot="1">
      <c r="A16" s="1" t="s">
        <v>49</v>
      </c>
    </row>
    <row r="17" spans="1:9">
      <c r="A17" s="60" t="s">
        <v>38</v>
      </c>
      <c r="B17" s="61" t="s">
        <v>0</v>
      </c>
      <c r="C17" s="61"/>
      <c r="D17" s="61"/>
      <c r="E17" s="231" t="s">
        <v>50</v>
      </c>
      <c r="F17" s="231" t="s">
        <v>51</v>
      </c>
      <c r="G17" s="231"/>
      <c r="H17" s="231" t="s">
        <v>60</v>
      </c>
      <c r="I17" s="88"/>
    </row>
    <row r="18" spans="1:9" ht="15.75" thickBot="1">
      <c r="A18" s="63"/>
      <c r="B18" s="64"/>
      <c r="C18" s="64"/>
      <c r="D18" s="64"/>
      <c r="E18" s="112" t="s">
        <v>62</v>
      </c>
      <c r="F18" s="112" t="s">
        <v>43</v>
      </c>
      <c r="G18" s="112"/>
      <c r="H18" s="112" t="s">
        <v>63</v>
      </c>
      <c r="I18" s="89"/>
    </row>
    <row r="19" spans="1:9">
      <c r="A19" s="66">
        <v>1</v>
      </c>
      <c r="B19" s="77" t="s">
        <v>5</v>
      </c>
      <c r="C19" s="68"/>
      <c r="D19" s="78"/>
      <c r="E19" s="69">
        <v>2000</v>
      </c>
      <c r="F19" s="69">
        <v>20</v>
      </c>
      <c r="G19" s="68"/>
      <c r="H19" s="69">
        <v>20</v>
      </c>
      <c r="I19" s="79"/>
    </row>
    <row r="20" spans="1:9">
      <c r="A20" s="72">
        <v>2</v>
      </c>
      <c r="B20" s="80"/>
      <c r="C20" s="82"/>
      <c r="D20" s="81"/>
      <c r="E20" s="74"/>
      <c r="F20" s="74"/>
      <c r="G20" s="82"/>
      <c r="H20" s="74"/>
      <c r="I20" s="83"/>
    </row>
    <row r="21" spans="1:9">
      <c r="A21" s="72">
        <v>3</v>
      </c>
      <c r="B21" s="80"/>
      <c r="C21" s="82"/>
      <c r="D21" s="81"/>
      <c r="E21" s="74"/>
      <c r="F21" s="74"/>
      <c r="G21" s="82"/>
      <c r="H21" s="74"/>
      <c r="I21" s="83"/>
    </row>
    <row r="22" spans="1:9">
      <c r="A22" s="72">
        <v>4</v>
      </c>
      <c r="B22" s="80"/>
      <c r="C22" s="82"/>
      <c r="D22" s="81"/>
      <c r="E22" s="74"/>
      <c r="F22" s="74"/>
      <c r="G22" s="82"/>
      <c r="H22" s="74"/>
      <c r="I22" s="83"/>
    </row>
    <row r="23" spans="1:9" ht="15.75" thickBot="1">
      <c r="A23" s="97">
        <v>5</v>
      </c>
      <c r="B23" s="102"/>
      <c r="C23" s="103"/>
      <c r="D23" s="105"/>
      <c r="E23" s="94"/>
      <c r="F23" s="94"/>
      <c r="G23" s="103"/>
      <c r="H23" s="94"/>
      <c r="I23" s="106"/>
    </row>
    <row r="24" spans="1:9" ht="15.75" thickBot="1">
      <c r="A24" s="98" t="s">
        <v>90</v>
      </c>
      <c r="B24" s="99"/>
      <c r="C24" s="99"/>
      <c r="D24" s="100"/>
      <c r="E24" s="100"/>
      <c r="F24" s="100">
        <f>SUM(F19:F23)</f>
        <v>20</v>
      </c>
      <c r="G24" s="99"/>
      <c r="H24" s="99"/>
      <c r="I24" s="107"/>
    </row>
    <row r="26" spans="1:9" ht="15.75" thickBot="1">
      <c r="A26" s="1" t="s">
        <v>70</v>
      </c>
    </row>
    <row r="27" spans="1:9">
      <c r="A27" s="60" t="s">
        <v>38</v>
      </c>
      <c r="B27" s="61" t="s">
        <v>0</v>
      </c>
      <c r="C27" s="61"/>
      <c r="D27" s="61"/>
      <c r="E27" s="231" t="s">
        <v>71</v>
      </c>
      <c r="F27" s="231" t="s">
        <v>51</v>
      </c>
      <c r="G27" s="231"/>
      <c r="H27" s="231" t="s">
        <v>60</v>
      </c>
      <c r="I27" s="88" t="s">
        <v>74</v>
      </c>
    </row>
    <row r="28" spans="1:9" ht="15.75" thickBot="1">
      <c r="A28" s="63"/>
      <c r="B28" s="64"/>
      <c r="C28" s="64"/>
      <c r="D28" s="64"/>
      <c r="E28" s="112" t="s">
        <v>72</v>
      </c>
      <c r="F28" s="112" t="s">
        <v>43</v>
      </c>
      <c r="G28" s="112"/>
      <c r="H28" s="112" t="s">
        <v>63</v>
      </c>
      <c r="I28" s="89" t="s">
        <v>69</v>
      </c>
    </row>
    <row r="29" spans="1:9">
      <c r="A29" s="66">
        <v>1</v>
      </c>
      <c r="B29" s="77"/>
      <c r="C29" s="86"/>
      <c r="D29" s="86"/>
      <c r="E29" s="70">
        <v>326</v>
      </c>
      <c r="F29" s="69">
        <v>815</v>
      </c>
      <c r="G29" s="78"/>
      <c r="H29" s="164"/>
      <c r="I29" s="90">
        <f>+IF(E29="","",F29/E29)</f>
        <v>2.5</v>
      </c>
    </row>
    <row r="30" spans="1:9">
      <c r="A30" s="72">
        <v>2</v>
      </c>
      <c r="B30" s="80"/>
      <c r="C30" s="87"/>
      <c r="D30" s="87"/>
      <c r="E30" s="75"/>
      <c r="F30" s="74"/>
      <c r="G30" s="81"/>
      <c r="H30" s="165"/>
      <c r="I30" s="90" t="str">
        <f t="shared" ref="I30:I32" si="0">+IF(E30="","",F30/E30)</f>
        <v/>
      </c>
    </row>
    <row r="31" spans="1:9">
      <c r="A31" s="72">
        <v>3</v>
      </c>
      <c r="B31" s="80"/>
      <c r="C31" s="87"/>
      <c r="D31" s="87"/>
      <c r="E31" s="74"/>
      <c r="F31" s="74"/>
      <c r="G31" s="81"/>
      <c r="H31" s="165"/>
      <c r="I31" s="90" t="str">
        <f t="shared" si="0"/>
        <v/>
      </c>
    </row>
    <row r="32" spans="1:9" ht="15.75" thickBot="1">
      <c r="A32" s="97">
        <v>4</v>
      </c>
      <c r="B32" s="102"/>
      <c r="C32" s="108"/>
      <c r="D32" s="108"/>
      <c r="E32" s="94"/>
      <c r="F32" s="94"/>
      <c r="G32" s="105"/>
      <c r="H32" s="166"/>
      <c r="I32" s="109" t="str">
        <f t="shared" si="0"/>
        <v/>
      </c>
    </row>
    <row r="33" spans="1:9" ht="15.75" thickBot="1">
      <c r="A33" s="98"/>
      <c r="B33" s="99"/>
      <c r="C33" s="110"/>
      <c r="D33" s="110"/>
      <c r="E33" s="100"/>
      <c r="F33" s="100">
        <f>SUM(F29:F32)</f>
        <v>815</v>
      </c>
      <c r="G33" s="100"/>
      <c r="H33" s="100"/>
      <c r="I33" s="111"/>
    </row>
    <row r="34" spans="1:9">
      <c r="A34" s="20" t="s">
        <v>86</v>
      </c>
    </row>
    <row r="35" spans="1:9" ht="19.5" thickBot="1">
      <c r="A35" s="56" t="str">
        <f>+IF(SUM(H6:H10)+SUM(H19:H23)+SUM(H29:H32)=100,"","FEJL I ANGIVELSE AF MARGINAL % - SUM SKAL VÆRE LIG 100")</f>
        <v/>
      </c>
    </row>
    <row r="36" spans="1:9" ht="15.75" thickBot="1">
      <c r="A36" s="161" t="s">
        <v>107</v>
      </c>
      <c r="B36" s="162"/>
      <c r="C36" s="163">
        <v>0.25</v>
      </c>
    </row>
    <row r="37" spans="1:9">
      <c r="A37" s="1"/>
    </row>
  </sheetData>
  <dataValidations count="4">
    <dataValidation type="list" allowBlank="1" showInputMessage="1" showErrorMessage="1" sqref="B6:B10">
      <formula1>'Tekst og tabeller 2010'!A11:A16</formula1>
    </dataValidation>
    <dataValidation type="list" allowBlank="1" showInputMessage="1" showErrorMessage="1" sqref="C6:C10">
      <formula1>'Tekst og tabeller 2010'!A64:A65</formula1>
    </dataValidation>
    <dataValidation type="list" allowBlank="1" showInputMessage="1" showErrorMessage="1" sqref="B19:B24">
      <formula1>'Tekst og tabeller 2010'!A4:A10</formula1>
    </dataValidation>
    <dataValidation type="list" allowBlank="1" showInputMessage="1" showErrorMessage="1" sqref="B29:B33">
      <formula1>'Tekst og tabeller 2010'!C62:C65</formula1>
    </dataValidation>
  </dataValidation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3"/>
  <sheetViews>
    <sheetView topLeftCell="A10" workbookViewId="0">
      <selection activeCell="D50" sqref="D49:D50"/>
    </sheetView>
  </sheetViews>
  <sheetFormatPr defaultRowHeight="15"/>
  <cols>
    <col min="1" max="1" width="10.5703125" customWidth="1"/>
    <col min="2" max="2" width="9" customWidth="1"/>
    <col min="3" max="3" width="18" customWidth="1"/>
    <col min="4" max="4" width="8.140625" customWidth="1"/>
    <col min="5" max="5" width="15.140625" customWidth="1"/>
    <col min="6" max="6" width="10.85546875" customWidth="1"/>
    <col min="7" max="7" width="9.28515625" bestFit="1" customWidth="1"/>
    <col min="8" max="8" width="10" customWidth="1"/>
    <col min="9" max="9" width="9.28515625" bestFit="1" customWidth="1"/>
    <col min="10" max="10" width="9.140625" customWidth="1"/>
    <col min="11" max="11" width="9.28515625" bestFit="1" customWidth="1"/>
    <col min="12" max="12" width="9.28515625" customWidth="1"/>
    <col min="13" max="13" width="9.28515625" bestFit="1" customWidth="1"/>
    <col min="14" max="14" width="8.5703125" customWidth="1"/>
    <col min="15" max="15" width="9.28515625" bestFit="1" customWidth="1"/>
    <col min="16" max="16" width="8.140625" customWidth="1"/>
  </cols>
  <sheetData>
    <row r="1" spans="1:16">
      <c r="A1" s="1" t="s">
        <v>106</v>
      </c>
      <c r="B1" s="1"/>
    </row>
    <row r="3" spans="1:16" ht="15.75" thickBot="1">
      <c r="A3" s="1" t="s">
        <v>36</v>
      </c>
      <c r="B3" s="1"/>
    </row>
    <row r="4" spans="1:16">
      <c r="A4" s="139" t="s">
        <v>38</v>
      </c>
      <c r="B4" s="140" t="s">
        <v>88</v>
      </c>
      <c r="C4" s="140" t="s">
        <v>0</v>
      </c>
      <c r="D4" s="140" t="s">
        <v>56</v>
      </c>
      <c r="E4" s="141" t="s">
        <v>50</v>
      </c>
      <c r="F4" s="140" t="s">
        <v>52</v>
      </c>
      <c r="G4" s="141" t="s">
        <v>97</v>
      </c>
      <c r="H4" s="141" t="s">
        <v>91</v>
      </c>
      <c r="I4" s="141" t="s">
        <v>98</v>
      </c>
      <c r="J4" s="141" t="s">
        <v>99</v>
      </c>
      <c r="K4" s="141" t="s">
        <v>100</v>
      </c>
      <c r="L4" s="141" t="s">
        <v>101</v>
      </c>
      <c r="M4" s="141" t="s">
        <v>102</v>
      </c>
      <c r="N4" s="141" t="s">
        <v>103</v>
      </c>
      <c r="O4" s="141" t="s">
        <v>104</v>
      </c>
      <c r="P4" s="142" t="s">
        <v>105</v>
      </c>
    </row>
    <row r="5" spans="1:16" ht="15.75" thickBot="1">
      <c r="A5" s="143"/>
      <c r="B5" s="84" t="s">
        <v>89</v>
      </c>
      <c r="C5" s="85"/>
      <c r="D5" s="85"/>
      <c r="E5" s="84" t="s">
        <v>87</v>
      </c>
      <c r="F5" s="144" t="s">
        <v>43</v>
      </c>
      <c r="G5" s="84" t="s">
        <v>23</v>
      </c>
      <c r="H5" s="84" t="s">
        <v>75</v>
      </c>
      <c r="I5" s="84" t="s">
        <v>23</v>
      </c>
      <c r="J5" s="84" t="s">
        <v>75</v>
      </c>
      <c r="K5" s="84" t="s">
        <v>23</v>
      </c>
      <c r="L5" s="84" t="s">
        <v>75</v>
      </c>
      <c r="M5" s="84" t="s">
        <v>23</v>
      </c>
      <c r="N5" s="84" t="s">
        <v>75</v>
      </c>
      <c r="O5" s="84" t="s">
        <v>23</v>
      </c>
      <c r="P5" s="145" t="s">
        <v>75</v>
      </c>
    </row>
    <row r="6" spans="1:16">
      <c r="A6" s="66">
        <v>1</v>
      </c>
      <c r="B6" s="78">
        <f>+IF('Indtast brændsler og produktion'!H6="",0,'Indtast brændsler og produktion'!H6)</f>
        <v>80</v>
      </c>
      <c r="C6" s="68" t="str">
        <f>+IF('Indtast brændsler og produktion'!B6="","",'Indtast brændsler og produktion'!B6)</f>
        <v>Naturgaskraftvarme</v>
      </c>
      <c r="D6" s="68" t="str">
        <f>+IF('Indtast brændsler og produktion'!C6="","",'Indtast brændsler og produktion'!C6)</f>
        <v>modtryk</v>
      </c>
      <c r="E6" s="137">
        <f>+IF(C6="","",(VLOOKUP(C6,'Tekst og tabeller 2010'!$A$4:$C$23,3,FALSE)*VLOOKUP(C6,'Indtast brændsler og produktion'!$B$6:$E$10,4,FALSE)))</f>
        <v>396.00000000000006</v>
      </c>
      <c r="F6" s="138">
        <f>+IF('Indtast brændsler og produktion'!G6="","",'Indtast brændsler og produktion'!G6)</f>
        <v>45</v>
      </c>
      <c r="G6" s="78">
        <f>+IF(C6="","",VLOOKUP(C6,'Tekst og tabeller 2010'!$A$4:$H$23,4,FALSE))</f>
        <v>56.8</v>
      </c>
      <c r="H6" s="137">
        <f>+IF(C6="","",(E6*G6)-(IF(D6="modtryk",F6*'Tekst og tabeller 2010'!$H$71,0)))</f>
        <v>-14357.699999999997</v>
      </c>
      <c r="I6" s="78">
        <f>+IF(C6="","",VLOOKUP(C6,'Tekst og tabeller 2010'!$A$4:$H$23,5,FALSE))</f>
        <v>0.13500000000000001</v>
      </c>
      <c r="J6" s="137">
        <f>+IF(C6="","",(E6*I6)-(IF(D6="modtryk",F6*'Tekst og tabeller 2010'!$I$71,0)))</f>
        <v>22.295250000000006</v>
      </c>
      <c r="K6" s="78">
        <f>+IF(C6="","",VLOOKUP(C6,'Tekst og tabeller 2010'!$A$4:$H$23,6,FALSE))</f>
        <v>2.9999999999999997E-4</v>
      </c>
      <c r="L6" s="137">
        <f>+IF(C6="","",(E6*K6)-(IF(D6="modtryk",F6*'Tekst og tabeller 2010'!$J$71,0)))</f>
        <v>-24.376949999999994</v>
      </c>
      <c r="M6" s="78">
        <f>+IF(C6="","",VLOOKUP(C6,'Tekst og tabeller 2010'!$A$4:$H$23,7,FALSE))</f>
        <v>0.48099999999999998</v>
      </c>
      <c r="N6" s="137">
        <f>+IF(C6="","",(E6*M6)-(IF(D6="modtryk",F6*'Tekst og tabeller 2010'!$K$71,0)))</f>
        <v>189.71077500000004</v>
      </c>
      <c r="O6" s="78">
        <f>+IF(C6="","",VLOOKUP(C6,'Tekst og tabeller 2010'!$A$4:$H$23,8,FALSE))</f>
        <v>5.9999999999999995E-4</v>
      </c>
      <c r="P6" s="146">
        <f>+IF(C6="","",(E6*O6)-(IF(D6="modtryk",F6*'Tekst og tabeller 2010'!$L$71,0)))</f>
        <v>-8.7299999999999961E-2</v>
      </c>
    </row>
    <row r="7" spans="1:16">
      <c r="A7" s="72">
        <v>2</v>
      </c>
      <c r="B7" s="78">
        <f>+IF('Indtast brændsler og produktion'!H7="",0,'Indtast brændsler og produktion'!H7)</f>
        <v>0</v>
      </c>
      <c r="C7" s="82" t="str">
        <f>+IF('Indtast brændsler og produktion'!B7="","",'Indtast brændsler og produktion'!B7)</f>
        <v/>
      </c>
      <c r="D7" s="82" t="str">
        <f>+IF('Indtast brændsler og produktion'!C7="","",'Indtast brændsler og produktion'!C7)</f>
        <v/>
      </c>
      <c r="E7" s="137" t="str">
        <f>+IF(C7="","",(VLOOKUP(C7,'Tekst og tabeller 2010'!$A$4:$C$23,3,FALSE)*VLOOKUP(C7,'Indtast brændsler og produktion'!$B$6:$E$10,4,FALSE)))</f>
        <v/>
      </c>
      <c r="F7" s="183" t="str">
        <f>+IF('Indtast brændsler og produktion'!G7="","",'Indtast brændsler og produktion'!G7)</f>
        <v/>
      </c>
      <c r="G7" s="81" t="str">
        <f>+IF(C7="","",VLOOKUP(C7,'Tekst og tabeller 2010'!$A$4:$H$23,4,FALSE))</f>
        <v/>
      </c>
      <c r="H7" s="137" t="str">
        <f>+IF(C7="","",(E7*G7)-(IF(D7="modtryk",F7*'Tekst og tabeller 2010'!$H$71,0)))</f>
        <v/>
      </c>
      <c r="I7" s="81" t="str">
        <f>+IF(C7="","",VLOOKUP(C7,'Tekst og tabeller 2010'!$A$4:$H$23,5,FALSE))</f>
        <v/>
      </c>
      <c r="J7" s="136" t="str">
        <f>+IF(C7="","",(E7*I7)-(IF(D7="modtryk",F7*'Tekst og tabeller 2010'!$I$71,0)))</f>
        <v/>
      </c>
      <c r="K7" s="81" t="str">
        <f>+IF(C7="","",VLOOKUP(C7,'Tekst og tabeller 2010'!$A$4:$H$23,6,FALSE))</f>
        <v/>
      </c>
      <c r="L7" s="136" t="str">
        <f>+IF(C7="","",(E7*K7)-(IF(D7="modtryk",F7*'Tekst og tabeller 2010'!$J$71,0)))</f>
        <v/>
      </c>
      <c r="M7" s="81" t="str">
        <f>+IF(C7="","",VLOOKUP(C7,'Tekst og tabeller 2010'!$A$4:$H$23,7,FALSE))</f>
        <v/>
      </c>
      <c r="N7" s="136" t="str">
        <f>+IF(C7="","",(E7*M7)-(IF(D7="modtryk",F7*'Tekst og tabeller 2010'!$K$71,0)))</f>
        <v/>
      </c>
      <c r="O7" s="81" t="str">
        <f>+IF(C7="","",VLOOKUP(C7,'Tekst og tabeller 2010'!$A$4:$H$23,8,FALSE))</f>
        <v/>
      </c>
      <c r="P7" s="147" t="str">
        <f>+IF(C7="","",(E7*O7)-(IF(D7="modtryk",F7*'Tekst og tabeller 2010'!$L$71,0)))</f>
        <v/>
      </c>
    </row>
    <row r="8" spans="1:16">
      <c r="A8" s="72">
        <v>3</v>
      </c>
      <c r="B8" s="78">
        <f>+IF('Indtast brændsler og produktion'!H8="",0,'Indtast brændsler og produktion'!H8)</f>
        <v>0</v>
      </c>
      <c r="C8" s="82" t="str">
        <f>+IF('Indtast brændsler og produktion'!B8="","",'Indtast brændsler og produktion'!B8)</f>
        <v/>
      </c>
      <c r="D8" s="82" t="str">
        <f>+IF('Indtast brændsler og produktion'!C8="","",'Indtast brændsler og produktion'!C8)</f>
        <v/>
      </c>
      <c r="E8" s="137" t="str">
        <f>+IF(C8="","",(VLOOKUP(C8,'Tekst og tabeller 2010'!$A$4:$C$23,3,FALSE)*VLOOKUP(C8,'Indtast brændsler og produktion'!$B$6:$E$10,4,FALSE)))</f>
        <v/>
      </c>
      <c r="F8" s="183" t="str">
        <f>+IF('Indtast brændsler og produktion'!G8="","",'Indtast brændsler og produktion'!G8)</f>
        <v/>
      </c>
      <c r="G8" s="81" t="str">
        <f>+IF(C8="","",VLOOKUP(C8,'Tekst og tabeller 2010'!$A$4:$H$23,4,FALSE))</f>
        <v/>
      </c>
      <c r="H8" s="137" t="str">
        <f>+IF(C8="","",(E8*G8)-(IF(D8="modtryk",F8*'Tekst og tabeller 2010'!$H$71,0)))</f>
        <v/>
      </c>
      <c r="I8" s="81" t="str">
        <f>+IF(C8="","",VLOOKUP(C8,'Tekst og tabeller 2010'!$A$4:$H$23,5,FALSE))</f>
        <v/>
      </c>
      <c r="J8" s="136" t="str">
        <f>+IF(C8="","",(E8*I8)-(IF(D8="modtryk",F8*'Tekst og tabeller 2010'!$I$71,0)))</f>
        <v/>
      </c>
      <c r="K8" s="81" t="str">
        <f>+IF(C8="","",VLOOKUP(C8,'Tekst og tabeller 2010'!$A$4:$H$23,6,FALSE))</f>
        <v/>
      </c>
      <c r="L8" s="136" t="str">
        <f>+IF(C8="","",(E8*K8)-(IF(D8="modtryk",F8*'Tekst og tabeller 2010'!$J$71,0)))</f>
        <v/>
      </c>
      <c r="M8" s="81" t="str">
        <f>+IF(C8="","",VLOOKUP(C8,'Tekst og tabeller 2010'!$A$4:$H$23,7,FALSE))</f>
        <v/>
      </c>
      <c r="N8" s="136" t="str">
        <f>+IF(C8="","",(E8*M8)-(IF(D8="modtryk",F8*'Tekst og tabeller 2010'!$K$71,0)))</f>
        <v/>
      </c>
      <c r="O8" s="81" t="str">
        <f>+IF(C8="","",VLOOKUP(C8,'Tekst og tabeller 2010'!$A$4:$H$23,8,FALSE))</f>
        <v/>
      </c>
      <c r="P8" s="147" t="str">
        <f>+IF(C8="","",(E8*O8)-(IF(D8="modtryk",F8*'Tekst og tabeller 2010'!$L$71,0)))</f>
        <v/>
      </c>
    </row>
    <row r="9" spans="1:16">
      <c r="A9" s="72">
        <v>4</v>
      </c>
      <c r="B9" s="78">
        <f>+IF('Indtast brændsler og produktion'!H9="",0,'Indtast brændsler og produktion'!H9)</f>
        <v>0</v>
      </c>
      <c r="C9" s="82" t="str">
        <f>+IF('Indtast brændsler og produktion'!B9="","",'Indtast brændsler og produktion'!B9)</f>
        <v/>
      </c>
      <c r="D9" s="82" t="str">
        <f>+IF('Indtast brændsler og produktion'!C9="","",'Indtast brændsler og produktion'!C9)</f>
        <v/>
      </c>
      <c r="E9" s="137" t="str">
        <f>+IF(C9="","",(VLOOKUP(C9,'Tekst og tabeller 2010'!$A$4:$C$23,3,FALSE)*VLOOKUP(C9,'Indtast brændsler og produktion'!$B$6:$E$10,4,FALSE)))</f>
        <v/>
      </c>
      <c r="F9" s="183" t="str">
        <f>+IF('Indtast brændsler og produktion'!G9="","",'Indtast brændsler og produktion'!G9)</f>
        <v/>
      </c>
      <c r="G9" s="81" t="str">
        <f>+IF(C9="","",VLOOKUP(C9,'Tekst og tabeller 2010'!$A$4:$H$23,4,FALSE))</f>
        <v/>
      </c>
      <c r="H9" s="137" t="str">
        <f>+IF(C9="","",(E9*G9)-(IF(D9="modtryk",F9*'Tekst og tabeller 2010'!$H$71,0)))</f>
        <v/>
      </c>
      <c r="I9" s="81" t="str">
        <f>+IF(C9="","",VLOOKUP(C9,'Tekst og tabeller 2010'!$A$4:$H$23,5,FALSE))</f>
        <v/>
      </c>
      <c r="J9" s="136" t="str">
        <f>+IF(C9="","",(E9*I9)-(IF(D9="modtryk",F9*'Tekst og tabeller 2010'!$I$71,0)))</f>
        <v/>
      </c>
      <c r="K9" s="81" t="str">
        <f>+IF(C9="","",VLOOKUP(C9,'Tekst og tabeller 2010'!$A$4:$H$23,6,FALSE))</f>
        <v/>
      </c>
      <c r="L9" s="136" t="str">
        <f>+IF(C9="","",(E9*K9)-(IF(D9="modtryk",F9*'Tekst og tabeller 2010'!$J$71,0)))</f>
        <v/>
      </c>
      <c r="M9" s="81" t="str">
        <f>+IF(C9="","",VLOOKUP(C9,'Tekst og tabeller 2010'!$A$4:$H$23,7,FALSE))</f>
        <v/>
      </c>
      <c r="N9" s="136" t="str">
        <f>+IF(C9="","",(E9*M9)-(IF(D9="modtryk",F9*'Tekst og tabeller 2010'!$K$71,0)))</f>
        <v/>
      </c>
      <c r="O9" s="81" t="str">
        <f>+IF(C9="","",VLOOKUP(C9,'Tekst og tabeller 2010'!$A$4:$H$23,8,FALSE))</f>
        <v/>
      </c>
      <c r="P9" s="147" t="str">
        <f>+IF(C9="","",(E9*O9)-(IF(D9="modtryk",F9*'Tekst og tabeller 2010'!$L$71,0)))</f>
        <v/>
      </c>
    </row>
    <row r="10" spans="1:16" ht="15.75" thickBot="1">
      <c r="A10" s="97">
        <v>5</v>
      </c>
      <c r="B10" s="78">
        <f>+IF('Indtast brændsler og produktion'!H10="",0,'Indtast brændsler og produktion'!H10)</f>
        <v>0</v>
      </c>
      <c r="C10" s="103" t="str">
        <f>+IF('Indtast brændsler og produktion'!B10="","",'Indtast brændsler og produktion'!B10)</f>
        <v/>
      </c>
      <c r="D10" s="103" t="str">
        <f>+IF('Indtast brændsler og produktion'!C10="","",'Indtast brændsler og produktion'!C10)</f>
        <v/>
      </c>
      <c r="E10" s="137" t="str">
        <f>+IF(C10="","",(VLOOKUP(C10,'Tekst og tabeller 2010'!$A$4:$C$23,3,FALSE)*VLOOKUP(C10,'Indtast brændsler og produktion'!$B$6:$E$10,4,FALSE)))</f>
        <v/>
      </c>
      <c r="F10" s="184" t="str">
        <f>+IF('Indtast brændsler og produktion'!G10="","",'Indtast brændsler og produktion'!G10)</f>
        <v/>
      </c>
      <c r="G10" s="105" t="str">
        <f>+IF(C10="","",VLOOKUP(C10,'Tekst og tabeller 2010'!$A$4:$H$23,4,FALSE))</f>
        <v/>
      </c>
      <c r="H10" s="137" t="str">
        <f>+IF(C10="","",(E10*G10)-(IF(D10="modtryk",F10*'Tekst og tabeller 2010'!$H$71,0)))</f>
        <v/>
      </c>
      <c r="I10" s="105" t="str">
        <f>+IF(C10="","",VLOOKUP(C10,'Tekst og tabeller 2010'!$A$4:$H$23,5,FALSE))</f>
        <v/>
      </c>
      <c r="J10" s="149" t="str">
        <f>+IF(C10="","",(E10*I10)-(IF(D10="modtryk",F10*'Tekst og tabeller 2010'!$I$71,0)))</f>
        <v/>
      </c>
      <c r="K10" s="105" t="str">
        <f>+IF(C10="","",VLOOKUP(C10,'Tekst og tabeller 2010'!$A$4:$H$23,6,FALSE))</f>
        <v/>
      </c>
      <c r="L10" s="149" t="str">
        <f>+IF(C10="","",(E10*K10)-(IF(D10="modtryk",F10*'Tekst og tabeller 2010'!$J$71,0)))</f>
        <v/>
      </c>
      <c r="M10" s="105" t="str">
        <f>+IF(C10="","",VLOOKUP(C10,'Tekst og tabeller 2010'!$A$4:$H$23,7,FALSE))</f>
        <v/>
      </c>
      <c r="N10" s="149" t="str">
        <f>+IF(C10="","",(E10*M10)-(IF(D10="modtryk",F10*'Tekst og tabeller 2010'!$K$71,0)))</f>
        <v/>
      </c>
      <c r="O10" s="105" t="str">
        <f>+IF(C10="","",VLOOKUP(C10,'Tekst og tabeller 2010'!$A$4:$H$23,8,FALSE))</f>
        <v/>
      </c>
      <c r="P10" s="150" t="str">
        <f>+IF(C10="","",(E10*O10)-(IF(D10="modtryk",F10*'Tekst og tabeller 2010'!$L$71,0)))</f>
        <v/>
      </c>
    </row>
    <row r="11" spans="1:16" ht="15.75" thickBot="1">
      <c r="A11" s="151" t="s">
        <v>90</v>
      </c>
      <c r="B11" s="100"/>
      <c r="C11" s="99"/>
      <c r="D11" s="99"/>
      <c r="E11" s="152">
        <f>SUM(E6:E10)</f>
        <v>396.00000000000006</v>
      </c>
      <c r="F11" s="152">
        <f>SUM(F6:F10)</f>
        <v>45</v>
      </c>
      <c r="G11" s="100"/>
      <c r="H11" s="152">
        <f>SUM(H6:H10)</f>
        <v>-14357.699999999997</v>
      </c>
      <c r="I11" s="100"/>
      <c r="J11" s="152">
        <f>SUM(J6:J10)</f>
        <v>22.295250000000006</v>
      </c>
      <c r="K11" s="153"/>
      <c r="L11" s="152">
        <f>SUM(L6:L10)</f>
        <v>-24.376949999999994</v>
      </c>
      <c r="M11" s="153"/>
      <c r="N11" s="152">
        <f>SUM(N6:N10)</f>
        <v>189.71077500000004</v>
      </c>
      <c r="O11" s="153"/>
      <c r="P11" s="154">
        <f>SUM(P6:P10)</f>
        <v>-8.7299999999999961E-2</v>
      </c>
    </row>
    <row r="12" spans="1:16">
      <c r="A12" s="20"/>
      <c r="B12" s="20"/>
      <c r="C12" s="20"/>
      <c r="D12" s="20"/>
      <c r="E12" s="20"/>
      <c r="G12" s="20"/>
      <c r="H12" s="20"/>
      <c r="I12" s="20"/>
      <c r="J12" s="20"/>
    </row>
    <row r="13" spans="1:16" ht="15.75" thickBot="1">
      <c r="A13" s="1" t="s">
        <v>49</v>
      </c>
    </row>
    <row r="14" spans="1:16">
      <c r="A14" s="218" t="s">
        <v>38</v>
      </c>
      <c r="B14" s="140" t="s">
        <v>88</v>
      </c>
      <c r="C14" s="219" t="s">
        <v>0</v>
      </c>
      <c r="D14" s="219"/>
      <c r="E14" s="141" t="s">
        <v>50</v>
      </c>
      <c r="F14" s="140"/>
      <c r="G14" s="141" t="s">
        <v>97</v>
      </c>
      <c r="H14" s="141" t="s">
        <v>91</v>
      </c>
      <c r="I14" s="141" t="s">
        <v>98</v>
      </c>
      <c r="J14" s="141" t="s">
        <v>99</v>
      </c>
      <c r="K14" s="141" t="s">
        <v>100</v>
      </c>
      <c r="L14" s="141" t="s">
        <v>101</v>
      </c>
      <c r="M14" s="141" t="s">
        <v>102</v>
      </c>
      <c r="N14" s="141" t="s">
        <v>103</v>
      </c>
      <c r="O14" s="141" t="s">
        <v>104</v>
      </c>
      <c r="P14" s="142" t="s">
        <v>105</v>
      </c>
    </row>
    <row r="15" spans="1:16" ht="15.75" thickBot="1">
      <c r="A15" s="63"/>
      <c r="B15" s="217" t="s">
        <v>89</v>
      </c>
      <c r="C15" s="64"/>
      <c r="D15" s="64"/>
      <c r="E15" s="112" t="s">
        <v>87</v>
      </c>
      <c r="F15" s="144"/>
      <c r="G15" s="84" t="s">
        <v>23</v>
      </c>
      <c r="H15" s="84" t="s">
        <v>75</v>
      </c>
      <c r="I15" s="84" t="s">
        <v>23</v>
      </c>
      <c r="J15" s="84" t="s">
        <v>75</v>
      </c>
      <c r="K15" s="84" t="s">
        <v>23</v>
      </c>
      <c r="L15" s="84" t="s">
        <v>75</v>
      </c>
      <c r="M15" s="84" t="s">
        <v>23</v>
      </c>
      <c r="N15" s="84" t="s">
        <v>75</v>
      </c>
      <c r="O15" s="84" t="s">
        <v>23</v>
      </c>
      <c r="P15" s="145" t="s">
        <v>75</v>
      </c>
    </row>
    <row r="16" spans="1:16">
      <c r="A16" s="66">
        <v>1</v>
      </c>
      <c r="B16" s="78">
        <f>+IF('Indtast brændsler og produktion'!H19="",0,'Indtast brændsler og produktion'!H19)</f>
        <v>20</v>
      </c>
      <c r="C16" s="68" t="str">
        <f>+IF('Indtast brændsler og produktion'!B19="","",'Indtast brændsler og produktion'!B19)</f>
        <v>Naturgaskedel</v>
      </c>
      <c r="D16" s="68" t="str">
        <f>+IF('Indtast brændsler og produktion'!C19="","",'Indtast brændsler og produktion'!C19)</f>
        <v/>
      </c>
      <c r="E16" s="137">
        <f>+IF(C16="","",(VLOOKUP(C16,'Tekst og tabeller 2010'!$A$4:$C$23,3,FALSE)*VLOOKUP(C16,'Indtast brændsler og produktion'!$B$19:$E$23,4,FALSE)))</f>
        <v>79.2</v>
      </c>
      <c r="F16" s="156"/>
      <c r="G16" s="185">
        <f>+IF(C16="","",VLOOKUP(C16,'Tekst og tabeller 2010'!$A$4:$H$23,4,FALSE))</f>
        <v>56.8</v>
      </c>
      <c r="H16" s="185">
        <f>+IF(C16="","",E16*G16)</f>
        <v>4498.5599999999995</v>
      </c>
      <c r="I16" s="185">
        <f>+IF(C16="","",VLOOKUP(C16,'Tekst og tabeller 2010'!$A$4:$H$23,5,FALSE))</f>
        <v>4.2000000000000003E-2</v>
      </c>
      <c r="J16" s="185">
        <f>+IF(C16="","",E16*I16)</f>
        <v>3.3264000000000005</v>
      </c>
      <c r="K16" s="185">
        <f>+IF(C16="","",VLOOKUP(C16,'Tekst og tabeller 2010'!$A$4:$H$23,6,FALSE))</f>
        <v>2.9999999999999997E-4</v>
      </c>
      <c r="L16" s="185">
        <f>+IF(C16="","",E16*K16)</f>
        <v>2.376E-2</v>
      </c>
      <c r="M16" s="185">
        <f>+IF(C16="","",VLOOKUP(C16,'Tekst og tabeller 2010'!$A$4:$H$23,7,FALSE))</f>
        <v>6.0000000000000001E-3</v>
      </c>
      <c r="N16" s="185">
        <f>+IF(C16="","",E16*M16)</f>
        <v>0.47520000000000001</v>
      </c>
      <c r="O16" s="185">
        <f>+IF(C16="","",VLOOKUP(C16,'Tekst og tabeller 2010'!$A$4:$H$23,8,FALSE))</f>
        <v>1E-3</v>
      </c>
      <c r="P16" s="186">
        <f>+IF(C16="","",E16*O16)</f>
        <v>7.9200000000000007E-2</v>
      </c>
    </row>
    <row r="17" spans="1:16">
      <c r="A17" s="72">
        <v>2</v>
      </c>
      <c r="B17" s="78">
        <f>+IF('Indtast brændsler og produktion'!H20="",0,'Indtast brændsler og produktion'!H20)</f>
        <v>0</v>
      </c>
      <c r="C17" s="68" t="str">
        <f>+IF('Indtast brændsler og produktion'!B20="","",'Indtast brændsler og produktion'!B20)</f>
        <v/>
      </c>
      <c r="D17" s="68" t="str">
        <f>+IF('Indtast brændsler og produktion'!C20="","",'Indtast brændsler og produktion'!C20)</f>
        <v/>
      </c>
      <c r="E17" s="137" t="str">
        <f>+IF(C17="","",(VLOOKUP(C17,'Tekst og tabeller 2010'!$A$4:$C$23,3,FALSE)*VLOOKUP(C17,'Indtast brændsler og produktion'!$B$19:$E$23,4,FALSE)))</f>
        <v/>
      </c>
      <c r="F17" s="113"/>
      <c r="G17" s="185" t="str">
        <f>+IF(C17="","",VLOOKUP(C17,'Tekst og tabeller 2010'!$A$4:$H$23,4,FALSE))</f>
        <v/>
      </c>
      <c r="H17" s="185" t="str">
        <f>+IF(C17="","",E17*G17)</f>
        <v/>
      </c>
      <c r="I17" s="185" t="str">
        <f>+IF(C17="","",VLOOKUP(C17,'Tekst og tabeller 2010'!$A$4:$H$23,5,FALSE))</f>
        <v/>
      </c>
      <c r="J17" s="185" t="str">
        <f>+IF(C17="","",E17*I17)</f>
        <v/>
      </c>
      <c r="K17" s="185" t="str">
        <f>+IF(C17="","",VLOOKUP(C17,'Tekst og tabeller 2010'!$A$4:$H$23,6,FALSE))</f>
        <v/>
      </c>
      <c r="L17" s="185" t="str">
        <f>+IF(C17="","",E17*K17)</f>
        <v/>
      </c>
      <c r="M17" s="185" t="str">
        <f>+IF(C17="","",VLOOKUP(C17,'Tekst og tabeller 2010'!$A$4:$H$23,7,FALSE))</f>
        <v/>
      </c>
      <c r="N17" s="185" t="str">
        <f>+IF(C17="","",E17*M17)</f>
        <v/>
      </c>
      <c r="O17" s="185" t="str">
        <f>+IF(C17="","",VLOOKUP(C17,'Tekst og tabeller 2010'!$A$4:$H$23,8,FALSE))</f>
        <v/>
      </c>
      <c r="P17" s="186" t="str">
        <f>+IF(C17="","",E17*O17)</f>
        <v/>
      </c>
    </row>
    <row r="18" spans="1:16">
      <c r="A18" s="72">
        <v>3</v>
      </c>
      <c r="B18" s="78">
        <f>+IF('Indtast brændsler og produktion'!H21="",0,'Indtast brændsler og produktion'!H21)</f>
        <v>0</v>
      </c>
      <c r="C18" s="68" t="str">
        <f>+IF('Indtast brændsler og produktion'!B21="","",'Indtast brændsler og produktion'!B21)</f>
        <v/>
      </c>
      <c r="D18" s="68" t="str">
        <f>+IF('Indtast brændsler og produktion'!C21="","",'Indtast brændsler og produktion'!C21)</f>
        <v/>
      </c>
      <c r="E18" s="137" t="str">
        <f>+IF(C18="","",(VLOOKUP(C18,'Tekst og tabeller 2010'!$A$4:$C$23,3,FALSE)*VLOOKUP(C18,'Indtast brændsler og produktion'!$B$19:$E$23,4,FALSE)))</f>
        <v/>
      </c>
      <c r="F18" s="113"/>
      <c r="G18" s="185" t="str">
        <f>+IF(C18="","",VLOOKUP(C18,'Tekst og tabeller 2010'!$A$4:$H$23,4,FALSE))</f>
        <v/>
      </c>
      <c r="H18" s="185" t="str">
        <f>+IF(C18="","",E18*G18)</f>
        <v/>
      </c>
      <c r="I18" s="185" t="str">
        <f>+IF(C18="","",VLOOKUP(C18,'Tekst og tabeller 2010'!$A$4:$H$23,5,FALSE))</f>
        <v/>
      </c>
      <c r="J18" s="185" t="str">
        <f>+IF(C18="","",E18*I18)</f>
        <v/>
      </c>
      <c r="K18" s="185" t="str">
        <f>+IF(C18="","",VLOOKUP(C18,'Tekst og tabeller 2010'!$A$4:$H$23,6,FALSE))</f>
        <v/>
      </c>
      <c r="L18" s="185" t="str">
        <f>+IF(C18="","",E18*K18)</f>
        <v/>
      </c>
      <c r="M18" s="185" t="str">
        <f>+IF(C18="","",VLOOKUP(C18,'Tekst og tabeller 2010'!$A$4:$H$23,7,FALSE))</f>
        <v/>
      </c>
      <c r="N18" s="185" t="str">
        <f>+IF(C18="","",E18*M18)</f>
        <v/>
      </c>
      <c r="O18" s="185" t="str">
        <f>+IF(C18="","",VLOOKUP(C18,'Tekst og tabeller 2010'!$A$4:$H$23,8,FALSE))</f>
        <v/>
      </c>
      <c r="P18" s="186" t="str">
        <f>+IF(C18="","",E18*O18)</f>
        <v/>
      </c>
    </row>
    <row r="19" spans="1:16">
      <c r="A19" s="72">
        <v>4</v>
      </c>
      <c r="B19" s="78">
        <f>+IF('Indtast brændsler og produktion'!H22="",0,'Indtast brændsler og produktion'!H22)</f>
        <v>0</v>
      </c>
      <c r="C19" s="68" t="str">
        <f>+IF('Indtast brændsler og produktion'!B22="","",'Indtast brændsler og produktion'!B22)</f>
        <v/>
      </c>
      <c r="D19" s="68" t="str">
        <f>+IF('Indtast brændsler og produktion'!C22="","",'Indtast brændsler og produktion'!C22)</f>
        <v/>
      </c>
      <c r="E19" s="137" t="str">
        <f>+IF(C19="","",(VLOOKUP(C19,'Tekst og tabeller 2010'!$A$4:$C$23,3,FALSE)*VLOOKUP(C19,'Indtast brændsler og produktion'!$B$19:$E$23,4,FALSE)))</f>
        <v/>
      </c>
      <c r="F19" s="113"/>
      <c r="G19" s="185" t="str">
        <f>+IF(C19="","",VLOOKUP(C19,'Tekst og tabeller 2010'!$A$4:$H$23,4,FALSE))</f>
        <v/>
      </c>
      <c r="H19" s="185" t="str">
        <f>+IF(C19="","",E19*G19)</f>
        <v/>
      </c>
      <c r="I19" s="185" t="str">
        <f>+IF(C19="","",VLOOKUP(C19,'Tekst og tabeller 2010'!$A$4:$H$23,5,FALSE))</f>
        <v/>
      </c>
      <c r="J19" s="185" t="str">
        <f>+IF(C19="","",E19*I19)</f>
        <v/>
      </c>
      <c r="K19" s="185" t="str">
        <f>+IF(C19="","",VLOOKUP(C19,'Tekst og tabeller 2010'!$A$4:$H$23,6,FALSE))</f>
        <v/>
      </c>
      <c r="L19" s="185" t="str">
        <f>+IF(C19="","",E19*K19)</f>
        <v/>
      </c>
      <c r="M19" s="185" t="str">
        <f>+IF(C19="","",VLOOKUP(C19,'Tekst og tabeller 2010'!$A$4:$H$23,7,FALSE))</f>
        <v/>
      </c>
      <c r="N19" s="185" t="str">
        <f>+IF(C19="","",E19*M19)</f>
        <v/>
      </c>
      <c r="O19" s="185" t="str">
        <f>+IF(C19="","",VLOOKUP(C19,'Tekst og tabeller 2010'!$A$4:$H$23,8,FALSE))</f>
        <v/>
      </c>
      <c r="P19" s="186" t="str">
        <f>+IF(C19="","",E19*O19)</f>
        <v/>
      </c>
    </row>
    <row r="20" spans="1:16" ht="15.75" thickBot="1">
      <c r="A20" s="97">
        <v>5</v>
      </c>
      <c r="B20" s="104">
        <f>+IF('Indtast brændsler og produktion'!H23="",0,'Indtast brændsler og produktion'!H23)</f>
        <v>0</v>
      </c>
      <c r="C20" s="93" t="str">
        <f>+IF('Indtast brændsler og produktion'!B23="","",'Indtast brændsler og produktion'!B23)</f>
        <v/>
      </c>
      <c r="D20" s="93" t="str">
        <f>+IF('Indtast brændsler og produktion'!C23="","",'Indtast brændsler og produktion'!C23)</f>
        <v/>
      </c>
      <c r="E20" s="137" t="str">
        <f>+IF(C20="","",(VLOOKUP(C20,'Tekst og tabeller 2010'!$A$4:$C$23,3,FALSE)*VLOOKUP(C20,'Indtast brændsler og produktion'!$B$19:$E$23,4,FALSE)))</f>
        <v/>
      </c>
      <c r="F20" s="148"/>
      <c r="G20" s="187" t="str">
        <f>+IF(C20="","",VLOOKUP(C20,'Tekst og tabeller 2010'!$A$4:$H$23,4,FALSE))</f>
        <v/>
      </c>
      <c r="H20" s="187" t="str">
        <f>+IF(C20="","",E20*G20)</f>
        <v/>
      </c>
      <c r="I20" s="187" t="str">
        <f>+IF(C20="","",VLOOKUP(C20,'Tekst og tabeller 2010'!$A$4:$H$23,5,FALSE))</f>
        <v/>
      </c>
      <c r="J20" s="187" t="str">
        <f>+IF(C20="","",E20*I20)</f>
        <v/>
      </c>
      <c r="K20" s="187" t="str">
        <f>+IF(C20="","",VLOOKUP(C20,'Tekst og tabeller 2010'!$A$4:$H$23,6,FALSE))</f>
        <v/>
      </c>
      <c r="L20" s="187" t="str">
        <f>+IF(C20="","",E20*K20)</f>
        <v/>
      </c>
      <c r="M20" s="187" t="str">
        <f>+IF(C20="","",VLOOKUP(C20,'Tekst og tabeller 2010'!$A$4:$H$23,7,FALSE))</f>
        <v/>
      </c>
      <c r="N20" s="187" t="str">
        <f>+IF(C20="","",E20*M20)</f>
        <v/>
      </c>
      <c r="O20" s="187" t="str">
        <f>+IF(C20="","",VLOOKUP(C20,'Tekst og tabeller 2010'!$A$4:$H$23,8,FALSE))</f>
        <v/>
      </c>
      <c r="P20" s="188" t="str">
        <f>+IF(C20="","",E20*O20)</f>
        <v/>
      </c>
    </row>
    <row r="21" spans="1:16" ht="15.75" thickBot="1">
      <c r="A21" s="98" t="s">
        <v>90</v>
      </c>
      <c r="B21" s="100"/>
      <c r="C21" s="99"/>
      <c r="D21" s="99"/>
      <c r="E21" s="152">
        <f>SUM(E16:E20)</f>
        <v>79.2</v>
      </c>
      <c r="F21" s="155"/>
      <c r="G21" s="189"/>
      <c r="H21" s="189">
        <f>SUM(H16:H20)</f>
        <v>4498.5599999999995</v>
      </c>
      <c r="I21" s="189"/>
      <c r="J21" s="189">
        <f>SUM(J16:J20)</f>
        <v>3.3264000000000005</v>
      </c>
      <c r="K21" s="189"/>
      <c r="L21" s="189">
        <f>SUM(L16:L20)</f>
        <v>2.376E-2</v>
      </c>
      <c r="M21" s="189"/>
      <c r="N21" s="189">
        <f>SUM(N16:N20)</f>
        <v>0.47520000000000001</v>
      </c>
      <c r="O21" s="189"/>
      <c r="P21" s="189">
        <f>SUM(P16:P20)</f>
        <v>7.9200000000000007E-2</v>
      </c>
    </row>
    <row r="23" spans="1:16" ht="15.75" thickBot="1">
      <c r="A23" s="1" t="s">
        <v>70</v>
      </c>
    </row>
    <row r="24" spans="1:16">
      <c r="A24" s="218" t="s">
        <v>38</v>
      </c>
      <c r="B24" s="140" t="s">
        <v>88</v>
      </c>
      <c r="C24" s="219" t="s">
        <v>0</v>
      </c>
      <c r="D24" s="219"/>
      <c r="E24" s="141" t="s">
        <v>50</v>
      </c>
      <c r="F24" s="140"/>
      <c r="G24" s="141" t="s">
        <v>97</v>
      </c>
      <c r="H24" s="141" t="s">
        <v>91</v>
      </c>
      <c r="I24" s="141" t="s">
        <v>98</v>
      </c>
      <c r="J24" s="141" t="s">
        <v>99</v>
      </c>
      <c r="K24" s="141" t="s">
        <v>100</v>
      </c>
      <c r="L24" s="141" t="s">
        <v>101</v>
      </c>
      <c r="M24" s="141" t="s">
        <v>102</v>
      </c>
      <c r="N24" s="141" t="s">
        <v>103</v>
      </c>
      <c r="O24" s="141" t="s">
        <v>104</v>
      </c>
      <c r="P24" s="142" t="s">
        <v>105</v>
      </c>
    </row>
    <row r="25" spans="1:16" ht="15.75" thickBot="1">
      <c r="A25" s="63"/>
      <c r="B25" s="217" t="s">
        <v>89</v>
      </c>
      <c r="C25" s="64"/>
      <c r="D25" s="64"/>
      <c r="E25" s="112" t="s">
        <v>87</v>
      </c>
      <c r="F25" s="144"/>
      <c r="G25" s="84" t="s">
        <v>23</v>
      </c>
      <c r="H25" s="84" t="s">
        <v>75</v>
      </c>
      <c r="I25" s="84" t="s">
        <v>23</v>
      </c>
      <c r="J25" s="84" t="s">
        <v>75</v>
      </c>
      <c r="K25" s="84" t="s">
        <v>23</v>
      </c>
      <c r="L25" s="84" t="s">
        <v>75</v>
      </c>
      <c r="M25" s="84" t="s">
        <v>23</v>
      </c>
      <c r="N25" s="84" t="s">
        <v>75</v>
      </c>
      <c r="O25" s="84" t="s">
        <v>23</v>
      </c>
      <c r="P25" s="145" t="s">
        <v>75</v>
      </c>
    </row>
    <row r="26" spans="1:16">
      <c r="A26" s="66">
        <v>1</v>
      </c>
      <c r="B26" s="78">
        <f>+IF('Indtast brændsler og produktion'!H29="",0,'Indtast brændsler og produktion'!H29)</f>
        <v>0</v>
      </c>
      <c r="C26" s="68" t="str">
        <f>+IF('Indtast brændsler og produktion'!B29="","",'Indtast brændsler og produktion'!B29)</f>
        <v/>
      </c>
      <c r="D26" s="86"/>
      <c r="E26" s="137" t="str">
        <f>+IF(C26="","",(VLOOKUP(C26,'Tekst og tabeller 2010'!$A$4:$C$23,3,FALSE)*VLOOKUP(C26,'Indtast brændsler og produktion'!B29:E32,4,FALSE)))</f>
        <v/>
      </c>
      <c r="F26" s="156"/>
      <c r="G26" s="185" t="str">
        <f>+IF(C26="","",VLOOKUP(C26,'Tekst og tabeller 2010'!$A$4:$H$23,4,FALSE))</f>
        <v/>
      </c>
      <c r="H26" s="185" t="str">
        <f>+IF(C26="","",E26*G26)</f>
        <v/>
      </c>
      <c r="I26" s="185" t="str">
        <f>+IF(C26="","",VLOOKUP(C26,'Tekst og tabeller 2010'!$A$4:$H$23,5,FALSE))</f>
        <v/>
      </c>
      <c r="J26" s="185" t="str">
        <f>+IF(C26="","",E26*I26)</f>
        <v/>
      </c>
      <c r="K26" s="185" t="str">
        <f>+IF(C26="","",VLOOKUP(C26,'Tekst og tabeller 2010'!$A$4:$H$23,6,FALSE))</f>
        <v/>
      </c>
      <c r="L26" s="185" t="str">
        <f>+IF(C26="","",E26*K26)</f>
        <v/>
      </c>
      <c r="M26" s="185" t="str">
        <f>+IF(C26="","",VLOOKUP(C26,'Tekst og tabeller 2010'!$A$4:$H$23,7,FALSE))</f>
        <v/>
      </c>
      <c r="N26" s="185" t="str">
        <f>+IF(C26="","",E26*M26)</f>
        <v/>
      </c>
      <c r="O26" s="185" t="str">
        <f>+IF(C26="","",VLOOKUP(C26,'Tekst og tabeller 2010'!$A$4:$H$23,8,FALSE))</f>
        <v/>
      </c>
      <c r="P26" s="186" t="str">
        <f>+IF(C26="","",E26*O26)</f>
        <v/>
      </c>
    </row>
    <row r="27" spans="1:16">
      <c r="A27" s="72">
        <v>2</v>
      </c>
      <c r="B27" s="78">
        <f>+IF('Indtast brændsler og produktion'!H30="",0,'Indtast brændsler og produktion'!H30)</f>
        <v>0</v>
      </c>
      <c r="C27" s="68" t="str">
        <f>+IF('Indtast brændsler og produktion'!B30="","",'Indtast brændsler og produktion'!B30)</f>
        <v/>
      </c>
      <c r="D27" s="87"/>
      <c r="E27" s="137" t="str">
        <f>+IF(C27="","",(VLOOKUP(C27,'Tekst og tabeller 2010'!$A$4:$C$23,3,FALSE)*VLOOKUP(C27,'Indtast brændsler og produktion'!B30:E33,4,FALSE)))</f>
        <v/>
      </c>
      <c r="F27" s="113"/>
      <c r="G27" s="185" t="str">
        <f>+IF(C27="","",VLOOKUP(C27,'Tekst og tabeller 2010'!$A$4:$H$23,4,FALSE))</f>
        <v/>
      </c>
      <c r="H27" s="185" t="str">
        <f>+IF(C27="","",E27*G27)</f>
        <v/>
      </c>
      <c r="I27" s="185" t="str">
        <f>+IF(C27="","",VLOOKUP(C27,'Tekst og tabeller 2010'!$A$4:$H$23,5,FALSE))</f>
        <v/>
      </c>
      <c r="J27" s="185" t="str">
        <f>+IF(C27="","",E27*I27)</f>
        <v/>
      </c>
      <c r="K27" s="185" t="str">
        <f>+IF(C27="","",VLOOKUP(C27,'Tekst og tabeller 2010'!$A$4:$H$23,6,FALSE))</f>
        <v/>
      </c>
      <c r="L27" s="185" t="str">
        <f>+IF(C27="","",E27*K27)</f>
        <v/>
      </c>
      <c r="M27" s="185" t="str">
        <f>+IF(C27="","",VLOOKUP(C27,'Tekst og tabeller 2010'!$A$4:$H$23,7,FALSE))</f>
        <v/>
      </c>
      <c r="N27" s="185" t="str">
        <f>+IF(C27="","",E27*M27)</f>
        <v/>
      </c>
      <c r="O27" s="185" t="str">
        <f>+IF(C27="","",VLOOKUP(C27,'Tekst og tabeller 2010'!$A$4:$H$23,8,FALSE))</f>
        <v/>
      </c>
      <c r="P27" s="186" t="str">
        <f>+IF(C27="","",E27*O27)</f>
        <v/>
      </c>
    </row>
    <row r="28" spans="1:16">
      <c r="A28" s="72">
        <v>3</v>
      </c>
      <c r="B28" s="78">
        <f>+IF('Indtast brændsler og produktion'!H31="",0,'Indtast brændsler og produktion'!H31)</f>
        <v>0</v>
      </c>
      <c r="C28" s="68" t="str">
        <f>+IF('Indtast brændsler og produktion'!B31="","",'Indtast brændsler og produktion'!B31)</f>
        <v/>
      </c>
      <c r="D28" s="87"/>
      <c r="E28" s="137" t="str">
        <f>+IF(C28="","",(VLOOKUP(C28,'Tekst og tabeller 2010'!$A$4:$C$23,3,FALSE)*VLOOKUP(C28,'Indtast brændsler og produktion'!B31:E34,4,FALSE)))</f>
        <v/>
      </c>
      <c r="F28" s="113"/>
      <c r="G28" s="185" t="str">
        <f>+IF(C28="","",VLOOKUP(C28,'Tekst og tabeller 2010'!$A$4:$H$23,4,FALSE))</f>
        <v/>
      </c>
      <c r="H28" s="185" t="str">
        <f>+IF(C28="","",E28*G28)</f>
        <v/>
      </c>
      <c r="I28" s="185" t="str">
        <f>+IF(C28="","",VLOOKUP(C28,'Tekst og tabeller 2010'!$A$4:$H$23,5,FALSE))</f>
        <v/>
      </c>
      <c r="J28" s="185" t="str">
        <f>+IF(C28="","",E28*I28)</f>
        <v/>
      </c>
      <c r="K28" s="185" t="str">
        <f>+IF(C28="","",VLOOKUP(C28,'Tekst og tabeller 2010'!$A$4:$H$23,6,FALSE))</f>
        <v/>
      </c>
      <c r="L28" s="185" t="str">
        <f>+IF(C28="","",E28*K28)</f>
        <v/>
      </c>
      <c r="M28" s="185" t="str">
        <f>+IF(C28="","",VLOOKUP(C28,'Tekst og tabeller 2010'!$A$4:$H$23,7,FALSE))</f>
        <v/>
      </c>
      <c r="N28" s="185" t="str">
        <f>+IF(C28="","",E28*M28)</f>
        <v/>
      </c>
      <c r="O28" s="185" t="str">
        <f>+IF(C28="","",VLOOKUP(C28,'Tekst og tabeller 2010'!$A$4:$H$23,8,FALSE))</f>
        <v/>
      </c>
      <c r="P28" s="186" t="str">
        <f>+IF(C28="","",E28*O28)</f>
        <v/>
      </c>
    </row>
    <row r="29" spans="1:16" ht="15.75" thickBot="1">
      <c r="A29" s="97">
        <v>4</v>
      </c>
      <c r="B29" s="104">
        <f>+IF('Indtast brændsler og produktion'!H32="",0,'Indtast brændsler og produktion'!H32)</f>
        <v>0</v>
      </c>
      <c r="C29" s="93" t="str">
        <f>+IF('Indtast brændsler og produktion'!B32="","",'Indtast brændsler og produktion'!B32)</f>
        <v/>
      </c>
      <c r="D29" s="108"/>
      <c r="E29" s="137" t="str">
        <f>+IF(C29="","",(VLOOKUP(C29,'Tekst og tabeller 2010'!$A$4:$C$23,3,FALSE)*VLOOKUP(C29,'Indtast brændsler og produktion'!B32:E35,4,FALSE)))</f>
        <v/>
      </c>
      <c r="F29" s="148"/>
      <c r="G29" s="187" t="str">
        <f>+IF(C29="","",VLOOKUP(C29,'Tekst og tabeller 2010'!$A$4:$H$23,4,FALSE))</f>
        <v/>
      </c>
      <c r="H29" s="187" t="str">
        <f>+IF(C29="","",E29*G29)</f>
        <v/>
      </c>
      <c r="I29" s="187" t="str">
        <f>+IF(C29="","",VLOOKUP(C29,'Tekst og tabeller 2010'!$A$4:$H$23,5,FALSE))</f>
        <v/>
      </c>
      <c r="J29" s="187" t="str">
        <f>+IF(C29="","",E29*I29)</f>
        <v/>
      </c>
      <c r="K29" s="187" t="str">
        <f>+IF(C29="","",VLOOKUP(C29,'Tekst og tabeller 2010'!$A$4:$H$23,6,FALSE))</f>
        <v/>
      </c>
      <c r="L29" s="187" t="str">
        <f>+IF(C29="","",E29*K29)</f>
        <v/>
      </c>
      <c r="M29" s="187" t="str">
        <f>+IF(C29="","",VLOOKUP(C29,'Tekst og tabeller 2010'!$A$4:$H$23,7,FALSE))</f>
        <v/>
      </c>
      <c r="N29" s="187" t="str">
        <f>+IF(C29="","",E29*M29)</f>
        <v/>
      </c>
      <c r="O29" s="187" t="str">
        <f>+IF(C29="","",VLOOKUP(C29,'Tekst og tabeller 2010'!$A$4:$H$23,8,FALSE))</f>
        <v/>
      </c>
      <c r="P29" s="188" t="str">
        <f>+IF(C29="","",E29*O29)</f>
        <v/>
      </c>
    </row>
    <row r="30" spans="1:16" ht="15.75" thickBot="1">
      <c r="A30" s="151" t="s">
        <v>90</v>
      </c>
      <c r="B30" s="155"/>
      <c r="C30" s="155"/>
      <c r="D30" s="155"/>
      <c r="E30" s="159">
        <f>SUM(E26:E29)</f>
        <v>0</v>
      </c>
      <c r="F30" s="155"/>
      <c r="G30" s="190"/>
      <c r="H30" s="190">
        <f>SUM(H26:H29)</f>
        <v>0</v>
      </c>
      <c r="I30" s="190"/>
      <c r="J30" s="190">
        <f>SUM(J26:J29)</f>
        <v>0</v>
      </c>
      <c r="K30" s="190"/>
      <c r="L30" s="190">
        <f>SUM(L26:L29)</f>
        <v>0</v>
      </c>
      <c r="M30" s="190"/>
      <c r="N30" s="190">
        <f>SUM(N26:N29)</f>
        <v>0</v>
      </c>
      <c r="O30" s="191"/>
      <c r="P30" s="192">
        <f>SUM(P26:P29)</f>
        <v>0</v>
      </c>
    </row>
    <row r="32" spans="1:16" ht="15.75" thickBot="1"/>
    <row r="33" spans="2:9" ht="18">
      <c r="B33" s="205" t="s">
        <v>108</v>
      </c>
      <c r="C33" s="206" t="s">
        <v>0</v>
      </c>
      <c r="D33" s="206" t="s">
        <v>111</v>
      </c>
      <c r="E33" s="207" t="s">
        <v>109</v>
      </c>
      <c r="F33" s="207" t="s">
        <v>112</v>
      </c>
      <c r="G33" s="207" t="s">
        <v>113</v>
      </c>
      <c r="H33" s="207" t="s">
        <v>114</v>
      </c>
      <c r="I33" s="208" t="s">
        <v>115</v>
      </c>
    </row>
    <row r="34" spans="2:9" ht="15.75" thickBot="1">
      <c r="B34" s="209" t="s">
        <v>89</v>
      </c>
      <c r="C34" s="210"/>
      <c r="D34" s="210" t="s">
        <v>43</v>
      </c>
      <c r="E34" s="211" t="s">
        <v>19</v>
      </c>
      <c r="F34" s="211" t="s">
        <v>19</v>
      </c>
      <c r="G34" s="211" t="s">
        <v>19</v>
      </c>
      <c r="H34" s="211" t="s">
        <v>19</v>
      </c>
      <c r="I34" s="212" t="s">
        <v>19</v>
      </c>
    </row>
    <row r="35" spans="2:9">
      <c r="B35" s="221">
        <f>+LARGE('Emissionsberegninger marginal'!$B$6:$B$29,1)</f>
        <v>80</v>
      </c>
      <c r="C35" s="160" t="str">
        <f>+IF(B35=0,"",VLOOKUP(B35,'Emissionsberegninger marginal'!$B$6:$P$29,2,FALSE))</f>
        <v>Naturgaskraftvarme</v>
      </c>
      <c r="D35" s="222">
        <f>+IF(C35="","",VLOOKUP(C35,'Indtast brændsler og produktion'!$B$6:$F$32,5,FALSE))</f>
        <v>53</v>
      </c>
      <c r="E35" s="223">
        <f>+IF(C35="","",VLOOKUP(C35,'Emissionsberegninger marginal'!$C$6:$P$29,6,FALSE)/D35*B35/100)</f>
        <v>-216.71999999999991</v>
      </c>
      <c r="F35" s="223">
        <f>+IF(C35="","",VLOOKUP(C35,'Emissionsberegninger marginal'!$C$6:$P$29,8,FALSE)/D35*B35/100)</f>
        <v>0.33653207547169822</v>
      </c>
      <c r="G35" s="223">
        <f>+IF(C35="","",VLOOKUP(C35,'Emissionsberegninger marginal'!$C$6:$P$29,10,FALSE)/D35*B35/100)</f>
        <v>-0.36795396226415084</v>
      </c>
      <c r="H35" s="223">
        <f>+IF(D35="","",VLOOKUP(C35,'Emissionsberegninger marginal'!$C$6:$P$29,12,FALSE)/D35*B35/100)</f>
        <v>2.863558867924529</v>
      </c>
      <c r="I35" s="224">
        <f>+IF(D35="","",VLOOKUP(C35,'Emissionsberegninger marginal'!$C$6:$P$29,14,FALSE)/D35*B35/100)</f>
        <v>-1.3177358490566032E-3</v>
      </c>
    </row>
    <row r="36" spans="2:9">
      <c r="B36" s="225">
        <f>+LARGE('Emissionsberegninger marginal'!$B$6:$B$29,2)</f>
        <v>20</v>
      </c>
      <c r="C36" s="113" t="str">
        <f>+IF(B36=0,"",VLOOKUP(B36,'Emissionsberegninger marginal'!$B$6:$P$29,2,FALSE))</f>
        <v>Naturgaskedel</v>
      </c>
      <c r="D36" s="183">
        <f>+IF(C36="","",VLOOKUP(C36,'Indtast brændsler og produktion'!$B$6:$F$32,5,FALSE))</f>
        <v>20</v>
      </c>
      <c r="E36" s="220">
        <f>+IF(C36="","",VLOOKUP(C36,'Emissionsberegninger marginal'!$C$6:$P$29,6,FALSE)/D36*B36/100)</f>
        <v>44.985599999999998</v>
      </c>
      <c r="F36" s="220">
        <f>+IF(C36="","",VLOOKUP(C36,'Emissionsberegninger marginal'!$C$6:$P$29,8,FALSE)/D36*B36/100)</f>
        <v>3.3264000000000002E-2</v>
      </c>
      <c r="G36" s="220">
        <f>+IF(C36="","",VLOOKUP(C36,'Emissionsberegninger marginal'!$C$6:$P$29,10,FALSE)/D36*B36/100)</f>
        <v>2.376E-4</v>
      </c>
      <c r="H36" s="220">
        <f>+IF(D36="","",VLOOKUP(C36,'Emissionsberegninger marginal'!$C$6:$P$29,12,FALSE)/D36*B36/100)</f>
        <v>4.7520000000000001E-3</v>
      </c>
      <c r="I36" s="226">
        <f>+IF(D36="","",VLOOKUP(C36,'Emissionsberegninger marginal'!$C$6:$P$29,14,FALSE)/D36*B36/100)</f>
        <v>7.9199999999999995E-4</v>
      </c>
    </row>
    <row r="37" spans="2:9">
      <c r="B37" s="225">
        <f>+LARGE('Emissionsberegninger marginal'!$B$6:$B$29,3)</f>
        <v>0</v>
      </c>
      <c r="C37" s="113" t="str">
        <f>+IF(B37=0,"",VLOOKUP(B37,'Emissionsberegninger marginal'!$B$6:$P$29,2,FALSE))</f>
        <v/>
      </c>
      <c r="D37" s="183" t="str">
        <f>+IF(C37="","",VLOOKUP(C37,'Indtast brændsler og produktion'!$B$6:$F$32,5,FALSE))</f>
        <v/>
      </c>
      <c r="E37" s="220" t="str">
        <f>+IF(C37="","",VLOOKUP(C37,'Emissionsberegninger marginal'!$C$6:$P$29,6,FALSE)/D37*B37/100)</f>
        <v/>
      </c>
      <c r="F37" s="220" t="str">
        <f>+IF(C37="","",VLOOKUP(C37,'Emissionsberegninger marginal'!$C$6:$P$29,8,FALSE)/D37*B37/100)</f>
        <v/>
      </c>
      <c r="G37" s="220" t="str">
        <f>+IF(C37="","",VLOOKUP(C37,'Emissionsberegninger marginal'!$C$6:$P$29,10,FALSE)/D37*B37/100)</f>
        <v/>
      </c>
      <c r="H37" s="220" t="str">
        <f>+IF(D37="","",VLOOKUP(C37,'Emissionsberegninger marginal'!$C$6:$P$29,12,FALSE)/D37*B37/100)</f>
        <v/>
      </c>
      <c r="I37" s="226" t="str">
        <f>+IF(D37="","",VLOOKUP(C37,'Emissionsberegninger marginal'!$C$6:$P$29,14,FALSE)/D37*B37/100)</f>
        <v/>
      </c>
    </row>
    <row r="38" spans="2:9">
      <c r="B38" s="225">
        <f>+LARGE('Emissionsberegninger marginal'!$B$6:$B$29,4)</f>
        <v>0</v>
      </c>
      <c r="C38" s="113" t="str">
        <f>+IF(B38=0,"",VLOOKUP(B38,'Emissionsberegninger marginal'!$B$6:$P$29,2,FALSE))</f>
        <v/>
      </c>
      <c r="D38" s="183" t="str">
        <f>+IF(C38="","",VLOOKUP(C38,'Indtast brændsler og produktion'!$B$6:$F$32,5,FALSE))</f>
        <v/>
      </c>
      <c r="E38" s="220" t="str">
        <f>+IF(C38="","",VLOOKUP(C38,'Emissionsberegninger marginal'!$C$6:$P$29,6,FALSE)/D38*B38/100)</f>
        <v/>
      </c>
      <c r="F38" s="220" t="str">
        <f>+IF(C38="","",VLOOKUP(C38,'Emissionsberegninger marginal'!$C$6:$P$29,8,FALSE)/D38*B38/100)</f>
        <v/>
      </c>
      <c r="G38" s="220" t="str">
        <f>+IF(C38="","",VLOOKUP(C38,'Emissionsberegninger marginal'!$C$6:$P$29,10,FALSE)/D38*B38/100)</f>
        <v/>
      </c>
      <c r="H38" s="220" t="str">
        <f>+IF(D38="","",VLOOKUP(C38,'Emissionsberegninger marginal'!$C$6:$P$29,12,FALSE)/D38*B38/100)</f>
        <v/>
      </c>
      <c r="I38" s="226" t="str">
        <f>+IF(D38="","",VLOOKUP(C38,'Emissionsberegninger marginal'!$C$6:$P$29,14,FALSE)/D38*B38/100)</f>
        <v/>
      </c>
    </row>
    <row r="39" spans="2:9">
      <c r="B39" s="225">
        <f>+LARGE('Emissionsberegninger marginal'!$B$6:$B$29,5)</f>
        <v>0</v>
      </c>
      <c r="C39" s="113" t="str">
        <f>+IF(B39=0,"",VLOOKUP(B39,'Emissionsberegninger marginal'!$B$6:$P$29,2,FALSE))</f>
        <v/>
      </c>
      <c r="D39" s="183" t="str">
        <f>+IF(C39="","",VLOOKUP(C39,'Indtast brændsler og produktion'!$B$6:$F$32,5,FALSE))</f>
        <v/>
      </c>
      <c r="E39" s="220" t="str">
        <f>+IF(C39="","",VLOOKUP(C39,'Emissionsberegninger marginal'!$C$6:$P$29,6,FALSE)/D39*B39/100)</f>
        <v/>
      </c>
      <c r="F39" s="220" t="str">
        <f>+IF(C39="","",VLOOKUP(C39,'Emissionsberegninger marginal'!$C$6:$P$29,8,FALSE)/D39*B39/100)</f>
        <v/>
      </c>
      <c r="G39" s="220" t="str">
        <f>+IF(C39="","",VLOOKUP(C39,'Emissionsberegninger marginal'!$C$6:$P$29,10,FALSE)/D39*B39/100)</f>
        <v/>
      </c>
      <c r="H39" s="220" t="str">
        <f>+IF(D39="","",VLOOKUP(C39,'Emissionsberegninger marginal'!$C$6:$P$29,12,FALSE)/D39*B39/100)</f>
        <v/>
      </c>
      <c r="I39" s="226" t="str">
        <f>+IF(D39="","",VLOOKUP(C39,'Emissionsberegninger marginal'!$C$6:$P$29,14,FALSE)/D39*B39/100)</f>
        <v/>
      </c>
    </row>
    <row r="40" spans="2:9">
      <c r="B40" s="225">
        <f>+LARGE('Emissionsberegninger marginal'!$B$6:$B$29,6)</f>
        <v>0</v>
      </c>
      <c r="C40" s="113" t="str">
        <f>+IF(B40=0,"",VLOOKUP(B40,'Emissionsberegninger marginal'!$B$6:$P$29,2,FALSE))</f>
        <v/>
      </c>
      <c r="D40" s="183" t="str">
        <f>+IF(C40="","",VLOOKUP(C40,'Indtast brændsler og produktion'!$B$6:$F$32,5,FALSE))</f>
        <v/>
      </c>
      <c r="E40" s="220" t="str">
        <f>+IF(C40="","",VLOOKUP(C40,'Emissionsberegninger marginal'!$C$6:$P$29,6,FALSE)/D40*B40/100)</f>
        <v/>
      </c>
      <c r="F40" s="220" t="str">
        <f>+IF(C40="","",VLOOKUP(C40,'Emissionsberegninger marginal'!$C$6:$P$29,8,FALSE)/D40*B40/100)</f>
        <v/>
      </c>
      <c r="G40" s="220" t="str">
        <f>+IF(C40="","",VLOOKUP(C40,'Emissionsberegninger marginal'!$C$6:$P$29,10,FALSE)/D40*B40/100)</f>
        <v/>
      </c>
      <c r="H40" s="220" t="str">
        <f>+IF(D40="","",VLOOKUP(C40,'Emissionsberegninger marginal'!$C$6:$P$29,12,FALSE)/D40*B40/100)</f>
        <v/>
      </c>
      <c r="I40" s="226" t="str">
        <f>+IF(D40="","",VLOOKUP(C40,'Emissionsberegninger marginal'!$C$6:$P$29,14,FALSE)/D40*B40/100)</f>
        <v/>
      </c>
    </row>
    <row r="41" spans="2:9">
      <c r="B41" s="225">
        <f>+LARGE('Emissionsberegninger marginal'!$B$6:$B$29,7)</f>
        <v>0</v>
      </c>
      <c r="C41" s="113" t="str">
        <f>+IF(B41=0,"",VLOOKUP(B41,'Emissionsberegninger marginal'!$B$6:$P$29,2,FALSE))</f>
        <v/>
      </c>
      <c r="D41" s="183" t="str">
        <f>+IF(C41="","",VLOOKUP(C41,'Indtast brændsler og produktion'!$B$6:$F$32,5,FALSE))</f>
        <v/>
      </c>
      <c r="E41" s="220" t="str">
        <f>+IF(C41="","",VLOOKUP(C41,'Emissionsberegninger marginal'!$C$6:$P$29,6,FALSE)/D41*B41/100)</f>
        <v/>
      </c>
      <c r="F41" s="220" t="str">
        <f>+IF(C41="","",VLOOKUP(C41,'Emissionsberegninger marginal'!$C$6:$P$29,8,FALSE)/D41*B41/100)</f>
        <v/>
      </c>
      <c r="G41" s="220" t="str">
        <f>+IF(C41="","",VLOOKUP(C41,'Emissionsberegninger marginal'!$C$6:$P$29,10,FALSE)/D41*B41/100)</f>
        <v/>
      </c>
      <c r="H41" s="220" t="str">
        <f>+IF(D41="","",VLOOKUP(C41,'Emissionsberegninger marginal'!$C$6:$P$29,12,FALSE)/D41*B41/100)</f>
        <v/>
      </c>
      <c r="I41" s="226" t="str">
        <f>+IF(D41="","",VLOOKUP(C41,'Emissionsberegninger marginal'!$C$6:$P$29,14,FALSE)/D41*B41/100)</f>
        <v/>
      </c>
    </row>
    <row r="42" spans="2:9" ht="15.75" thickBot="1">
      <c r="B42" s="227">
        <f>+LARGE('Emissionsberegninger marginal'!$B$6:$B$29,8)</f>
        <v>0</v>
      </c>
      <c r="C42" s="144" t="str">
        <f>+IF(B42=0,"",VLOOKUP(B42,'Emissionsberegninger marginal'!$B$6:$P$29,2,FALSE))</f>
        <v/>
      </c>
      <c r="D42" s="228" t="str">
        <f>+IF(C42="","",VLOOKUP(C42,'Indtast brændsler og produktion'!$B$6:$F$32,5,FALSE))</f>
        <v/>
      </c>
      <c r="E42" s="229" t="str">
        <f>+IF(C42="","",VLOOKUP(C42,'Emissionsberegninger marginal'!$C$6:$P$29,6,FALSE)/D42*B42/100)</f>
        <v/>
      </c>
      <c r="F42" s="229" t="str">
        <f>+IF(C42="","",VLOOKUP(C42,'Emissionsberegninger marginal'!$C$6:$P$29,8,FALSE)/D42*B42/100)</f>
        <v/>
      </c>
      <c r="G42" s="229" t="str">
        <f>+IF(C42="","",VLOOKUP(C42,'Emissionsberegninger marginal'!$C$6:$P$29,10,FALSE)/D42*B42/100)</f>
        <v/>
      </c>
      <c r="H42" s="229" t="str">
        <f>+IF(D42="","",VLOOKUP(C42,'Emissionsberegninger marginal'!$C$6:$P$29,12,FALSE)/D42*B42/100)</f>
        <v/>
      </c>
      <c r="I42" s="230" t="str">
        <f>+IF(D42="","",VLOOKUP(C42,'Emissionsberegninger marginal'!$C$6:$P$29,14,FALSE)/D42*B42/100)</f>
        <v/>
      </c>
    </row>
    <row r="43" spans="2:9" ht="15.75" thickBot="1">
      <c r="B43" s="215" t="s">
        <v>110</v>
      </c>
      <c r="C43" s="216"/>
      <c r="D43" s="210"/>
      <c r="E43" s="213">
        <f>SUM(E35:E42)</f>
        <v>-171.73439999999991</v>
      </c>
      <c r="F43" s="213">
        <f>SUM(F35:F42)</f>
        <v>0.36979607547169824</v>
      </c>
      <c r="G43" s="213">
        <f>SUM(G35:G42)</f>
        <v>-0.36771636226415083</v>
      </c>
      <c r="H43" s="213">
        <f>SUM(H35:H42)</f>
        <v>2.8683108679245288</v>
      </c>
      <c r="I43" s="214">
        <f>SUM(I35:I42)</f>
        <v>-5.2573584905660328E-4</v>
      </c>
    </row>
  </sheetData>
  <pageMargins left="0.7" right="0.7" top="0.75" bottom="0.75" header="0.3" footer="0.3"/>
  <pageSetup paperSize="9" scale="80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C21"/>
  <sheetViews>
    <sheetView workbookViewId="0">
      <selection activeCell="C28" sqref="C28"/>
    </sheetView>
  </sheetViews>
  <sheetFormatPr defaultRowHeight="15"/>
  <cols>
    <col min="1" max="1" width="19.42578125" customWidth="1"/>
    <col min="2" max="2" width="15.140625" customWidth="1"/>
    <col min="3" max="3" width="11.42578125" customWidth="1"/>
    <col min="4" max="4" width="8.85546875" customWidth="1"/>
    <col min="7" max="7" width="11.28515625" customWidth="1"/>
    <col min="8" max="8" width="11.42578125" customWidth="1"/>
  </cols>
  <sheetData>
    <row r="1" spans="1:3" ht="21">
      <c r="A1" s="168" t="s">
        <v>116</v>
      </c>
    </row>
    <row r="3" spans="1:3" ht="18.75">
      <c r="A3" s="169" t="s">
        <v>117</v>
      </c>
    </row>
    <row r="5" spans="1:3">
      <c r="A5" s="167" t="str">
        <f>"Ved at spare 1MWh varme  i"&amp;A3&amp;"opnås følgende miljøeffekter :"</f>
        <v>Ved at spare 1MWh varme  i"Fjordbykøbing fjernvarmeværk"opnås følgende miljøeffekter :</v>
      </c>
    </row>
    <row r="6" spans="1:3" ht="15.75" thickBot="1"/>
    <row r="7" spans="1:3">
      <c r="A7" s="178" t="s">
        <v>119</v>
      </c>
      <c r="B7" s="181" t="s">
        <v>121</v>
      </c>
      <c r="C7" s="179" t="s">
        <v>120</v>
      </c>
    </row>
    <row r="8" spans="1:3">
      <c r="A8" s="4"/>
      <c r="B8" s="174"/>
      <c r="C8" s="180"/>
    </row>
    <row r="9" spans="1:3" ht="18">
      <c r="A9" s="4" t="s">
        <v>118</v>
      </c>
      <c r="B9" s="182">
        <f>+'Emissionsberegninger marginal'!E43</f>
        <v>-171.73439999999991</v>
      </c>
      <c r="C9" s="180" t="str">
        <f>+'Emissionsberegninger marginal'!E34</f>
        <v>kg/MWh</v>
      </c>
    </row>
    <row r="10" spans="1:3">
      <c r="A10" s="4"/>
      <c r="B10" s="174"/>
      <c r="C10" s="180"/>
    </row>
    <row r="11" spans="1:3" ht="18">
      <c r="A11" s="4" t="s">
        <v>123</v>
      </c>
      <c r="B11" s="175">
        <f>+'Emissionsberegninger marginal'!F43</f>
        <v>0.36979607547169824</v>
      </c>
      <c r="C11" s="180" t="str">
        <f>+'Emissionsberegninger marginal'!F34</f>
        <v>kg/MWh</v>
      </c>
    </row>
    <row r="12" spans="1:3">
      <c r="A12" s="4"/>
      <c r="B12" s="175"/>
      <c r="C12" s="180"/>
    </row>
    <row r="13" spans="1:3" ht="18">
      <c r="A13" s="4" t="s">
        <v>122</v>
      </c>
      <c r="B13" s="175">
        <f>+'Emissionsberegninger marginal'!G43</f>
        <v>-0.36771636226415083</v>
      </c>
      <c r="C13" s="180" t="str">
        <f>+'Emissionsberegninger marginal'!G34</f>
        <v>kg/MWh</v>
      </c>
    </row>
    <row r="14" spans="1:3">
      <c r="A14" s="4"/>
      <c r="B14" s="175"/>
      <c r="C14" s="180"/>
    </row>
    <row r="15" spans="1:3" ht="18">
      <c r="A15" s="4" t="s">
        <v>124</v>
      </c>
      <c r="B15" s="175">
        <f>+'Emissionsberegninger marginal'!H43</f>
        <v>2.8683108679245288</v>
      </c>
      <c r="C15" s="180" t="s">
        <v>19</v>
      </c>
    </row>
    <row r="16" spans="1:3">
      <c r="A16" s="4"/>
      <c r="B16" s="175"/>
      <c r="C16" s="180"/>
    </row>
    <row r="17" spans="1:3" ht="18.75" thickBot="1">
      <c r="A17" s="6" t="s">
        <v>125</v>
      </c>
      <c r="B17" s="176">
        <f>+'Emissionsberegninger marginal'!I43</f>
        <v>-5.2573584905660328E-4</v>
      </c>
      <c r="C17" s="177" t="str">
        <f>+'Emissionsberegninger marginal'!I34</f>
        <v>kg/MWh</v>
      </c>
    </row>
    <row r="19" spans="1:3">
      <c r="A19" t="s">
        <v>126</v>
      </c>
    </row>
    <row r="20" spans="1:3">
      <c r="A20" t="s">
        <v>137</v>
      </c>
    </row>
    <row r="21" spans="1:3">
      <c r="A21" t="s">
        <v>138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Navngivne områder</vt:lpstr>
      </vt:variant>
      <vt:variant>
        <vt:i4>5</vt:i4>
      </vt:variant>
    </vt:vector>
  </HeadingPairs>
  <TitlesOfParts>
    <vt:vector size="9" baseType="lpstr">
      <vt:lpstr>Tekst og tabeller 2010</vt:lpstr>
      <vt:lpstr>Indtast brændsler og produktion</vt:lpstr>
      <vt:lpstr>Emissionsberegninger marginal</vt:lpstr>
      <vt:lpstr>Marginal miljøeffekt</vt:lpstr>
      <vt:lpstr>Anlæg</vt:lpstr>
      <vt:lpstr>produktionstype</vt:lpstr>
      <vt:lpstr>Type_elproduktion</vt:lpstr>
      <vt:lpstr>'Indtast brændsler og produktion'!Udskriftsområde</vt:lpstr>
      <vt:lpstr>'Tekst og tabeller 2010'!Varmeproduktionsanlæg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Tang</dc:creator>
  <cp:lastModifiedBy>ig</cp:lastModifiedBy>
  <cp:lastPrinted>2010-05-11T08:57:12Z</cp:lastPrinted>
  <dcterms:created xsi:type="dcterms:W3CDTF">2010-05-04T08:25:16Z</dcterms:created>
  <dcterms:modified xsi:type="dcterms:W3CDTF">2010-05-12T13:04:40Z</dcterms:modified>
</cp:coreProperties>
</file>