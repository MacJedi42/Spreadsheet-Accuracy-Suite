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2" windowWidth="15480" windowHeight="9348"/>
  </bookViews>
  <sheets>
    <sheet name="Weekly Menu K-5 (3)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Q22" i="4" l="1"/>
  <c r="Q26" i="4" l="1"/>
  <c r="N26" i="4"/>
  <c r="N22" i="4"/>
  <c r="P22" i="4" s="1"/>
  <c r="N14" i="4" l="1"/>
  <c r="N13" i="4"/>
  <c r="P14" i="4" l="1"/>
  <c r="Q14" i="4" l="1"/>
  <c r="N6" i="4"/>
  <c r="P6" i="4" s="1"/>
  <c r="Q6" i="4" s="1"/>
  <c r="D7" i="4"/>
  <c r="F7" i="4"/>
  <c r="H7" i="4"/>
  <c r="J7" i="4"/>
  <c r="L7" i="4"/>
  <c r="N9" i="4"/>
  <c r="N10" i="4"/>
  <c r="P10" i="4" s="1"/>
  <c r="Q10" i="4" s="1"/>
  <c r="N11" i="4"/>
  <c r="P11" i="4" s="1"/>
  <c r="Q11" i="4" s="1"/>
  <c r="N12" i="4"/>
  <c r="P12" i="4" s="1"/>
  <c r="Q12" i="4" s="1"/>
  <c r="P13" i="4"/>
  <c r="Q13" i="4" s="1"/>
  <c r="D18" i="4"/>
  <c r="F18" i="4"/>
  <c r="H18" i="4"/>
  <c r="J18" i="4"/>
  <c r="L18" i="4"/>
  <c r="N21" i="4"/>
  <c r="Q21" i="4" s="1"/>
  <c r="N23" i="4"/>
  <c r="P23" i="4" s="1"/>
  <c r="N25" i="4"/>
  <c r="Q25" i="4" s="1"/>
  <c r="N28" i="4"/>
  <c r="Q28" i="4" s="1"/>
  <c r="P9" i="4" l="1"/>
  <c r="Q9" i="4" s="1"/>
  <c r="N18" i="4"/>
  <c r="P18" i="4" s="1"/>
  <c r="Q18" i="4" s="1"/>
  <c r="Q23" i="4"/>
</calcChain>
</file>

<file path=xl/sharedStrings.xml><?xml version="1.0" encoding="utf-8"?>
<sst xmlns="http://schemas.openxmlformats.org/spreadsheetml/2006/main" count="141" uniqueCount="87">
  <si>
    <t>Offer 1 cup/day</t>
  </si>
  <si>
    <t>Non-fat (flavored or unflavored) or 1% unflavored</t>
  </si>
  <si>
    <t>cup</t>
  </si>
  <si>
    <t>MILK</t>
  </si>
  <si>
    <t>Minimum of 1 oz. per day</t>
  </si>
  <si>
    <t>oz</t>
  </si>
  <si>
    <t>MEAT / MEAT ALTERNATE</t>
  </si>
  <si>
    <t>Half of all grains must be whole grain</t>
  </si>
  <si>
    <t>List only WGR</t>
  </si>
  <si>
    <t>Grains (list all WGR and non-WGR)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</si>
  <si>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</si>
  <si>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</si>
  <si>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</si>
  <si>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</si>
  <si>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</si>
  <si>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</si>
  <si>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</si>
  <si>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</si>
  <si>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½ cup of other</t>
  </si>
  <si>
    <t>½ cup of starchy</t>
  </si>
  <si>
    <t>½ cup of legumes</t>
  </si>
  <si>
    <t>¾ cup of red/orange</t>
  </si>
  <si>
    <t>½ cup dark green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</si>
  <si>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</si>
  <si>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</si>
  <si>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</si>
  <si>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</si>
  <si>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</si>
  <si>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</si>
  <si>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</si>
  <si>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</si>
  <si>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</si>
  <si>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</si>
  <si>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</si>
  <si>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</si>
  <si>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</si>
  <si>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Lunch - Week 1</t>
  </si>
  <si>
    <t>Age/grade:                 K-5</t>
  </si>
  <si>
    <t>Choice of fresh apple or pineapple tidbits</t>
  </si>
  <si>
    <t>Fat free chocolate, strawberry, white and low fat white</t>
  </si>
  <si>
    <t>Date: Week # 4</t>
  </si>
  <si>
    <t>Cold ham and cheese sandwich</t>
  </si>
  <si>
    <t>Waffles</t>
  </si>
  <si>
    <t>Chipped steak sandwich</t>
  </si>
  <si>
    <t>Whole grain spaghetti</t>
  </si>
  <si>
    <t>Hummus</t>
  </si>
  <si>
    <t>Steamed broccoli</t>
  </si>
  <si>
    <t>Choice of fresh orange or 100% orange juice</t>
  </si>
  <si>
    <t>Choice of  sliced peaches or 100% apple juice</t>
  </si>
  <si>
    <t>Choice of fruit cocktail or applesauce</t>
  </si>
  <si>
    <t>Whole grain club roll</t>
  </si>
  <si>
    <t>Additional Vegetables</t>
  </si>
  <si>
    <t>1 cup of Additional</t>
  </si>
  <si>
    <t>VEG TOTALS             (for each day)</t>
  </si>
  <si>
    <t>Fruit Totals             (for each day</t>
  </si>
  <si>
    <t>Steamed corn</t>
  </si>
  <si>
    <t>Side salad w/dressing*                (1 cup)</t>
  </si>
  <si>
    <t xml:space="preserve">Spaghetti w/ meat sauce USDA recipe          D-35 (1 cup) </t>
  </si>
  <si>
    <t xml:space="preserve">Whole grain round roll </t>
  </si>
  <si>
    <t>COMMENTS/ RESULTS</t>
  </si>
  <si>
    <t>Grilled chicken patty on roll</t>
  </si>
  <si>
    <t>Sloppy joe on roll</t>
  </si>
  <si>
    <t>Soft pretzel</t>
  </si>
  <si>
    <t>Total oz. eq. of grains offered for this week</t>
  </si>
  <si>
    <t>Spaghetti w/ meatless sauce and 2 oz shredded cheese</t>
  </si>
  <si>
    <t xml:space="preserve">Whole grain spaghetti </t>
  </si>
  <si>
    <t xml:space="preserve">Tomato  sauce on  spaghetti </t>
  </si>
  <si>
    <t>Whole grain sliced bread (2 slices)</t>
  </si>
  <si>
    <t>8 per week minimum</t>
  </si>
  <si>
    <t>10 per week maximum</t>
  </si>
  <si>
    <t>9 per week maximum</t>
  </si>
  <si>
    <t>Yogurt w/soft pretzel</t>
  </si>
  <si>
    <t>Weekly Average: 636, Saturated fat 7.06 %, Sodium 1422</t>
  </si>
  <si>
    <t xml:space="preserve">Peanut butter &amp; jelly sandwich </t>
  </si>
  <si>
    <r>
      <t xml:space="preserve">Enter daily </t>
    </r>
    <r>
      <rPr>
        <b/>
        <sz val="10"/>
        <color theme="1"/>
        <rFont val="Calibri"/>
        <family val="2"/>
        <scheme val="minor"/>
      </rPr>
      <t>minimum</t>
    </r>
    <r>
      <rPr>
        <sz val="10"/>
        <color theme="1"/>
        <rFont val="Calibri"/>
        <family val="2"/>
        <scheme val="minor"/>
      </rPr>
      <t xml:space="preserve"> offering</t>
    </r>
  </si>
  <si>
    <r>
      <t xml:space="preserve">Enter daily </t>
    </r>
    <r>
      <rPr>
        <b/>
        <sz val="10"/>
        <color theme="1"/>
        <rFont val="Calibri"/>
        <family val="2"/>
        <scheme val="minor"/>
      </rPr>
      <t xml:space="preserve">maximum </t>
    </r>
    <r>
      <rPr>
        <sz val="10"/>
        <color theme="1"/>
        <rFont val="Calibri"/>
        <family val="2"/>
        <scheme val="minor"/>
      </rPr>
      <t>offering</t>
    </r>
  </si>
  <si>
    <t>VEGETABLES                  ¾ cup of vegs/day</t>
  </si>
  <si>
    <t>½ cup of fruit</t>
  </si>
  <si>
    <t xml:space="preserve">Fresh carrots w/ ff ranch dip </t>
  </si>
  <si>
    <t>Spanish rice (USDA recipe B-17, 2/3 cup serving)</t>
  </si>
  <si>
    <t xml:space="preserve">Required weekly vegetable sub-groups adds up to 2 ¾ cups; weekly total of all vegetables is 3 ¾ cups </t>
  </si>
  <si>
    <t>Fish sticks (4 each)</t>
  </si>
  <si>
    <t xml:space="preserve">Fresh carrot and cucumber </t>
  </si>
  <si>
    <t>Tater Tots</t>
  </si>
  <si>
    <t>Chicken and gravy with waffles</t>
  </si>
  <si>
    <t>Quantity difference (actual vs. required)</t>
  </si>
  <si>
    <t>Choice of banana or cantaloupe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</si>
</sst>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12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12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12" fontId="1" fillId="0" borderId="21" xfId="0" applyNumberFormat="1" applyFont="1" applyFill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0" borderId="17" xfId="0" applyNumberFormat="1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26" xfId="0" applyFont="1" applyBorder="1" applyAlignment="1" applyProtection="1">
      <alignment horizontal="center" vertical="center" wrapText="1"/>
    </xf>
    <xf numFmtId="0" fontId="1" fillId="5" borderId="2" xfId="0" applyFont="1" applyFill="1" applyBorder="1" applyAlignment="1" applyProtection="1">
      <alignment horizontal="center" vertical="center" wrapText="1"/>
    </xf>
    <xf numFmtId="12" fontId="1" fillId="0" borderId="34" xfId="0" applyNumberFormat="1" applyFont="1" applyBorder="1" applyAlignment="1" applyProtection="1">
      <alignment horizontal="center" vertical="center" wrapText="1"/>
    </xf>
    <xf numFmtId="0" fontId="1" fillId="0" borderId="35" xfId="0" applyFont="1" applyBorder="1" applyAlignment="1" applyProtection="1">
      <alignment horizontal="center" vertical="center" wrapText="1"/>
    </xf>
    <xf numFmtId="12" fontId="1" fillId="0" borderId="34" xfId="0" applyNumberFormat="1" applyFont="1" applyBorder="1" applyAlignment="1" applyProtection="1">
      <alignment horizontal="center" vertical="center" wrapText="1"/>
      <protection locked="0"/>
    </xf>
    <xf numFmtId="0" fontId="1" fillId="0" borderId="34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1" fillId="9" borderId="18" xfId="0" applyFont="1" applyFill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16" fontId="1" fillId="0" borderId="1" xfId="0" applyNumberFormat="1" applyFont="1" applyBorder="1" applyAlignment="1" applyProtection="1">
      <alignment horizontal="center" vertical="center" wrapText="1"/>
    </xf>
    <xf numFmtId="0" fontId="1" fillId="0" borderId="34" xfId="0" applyFont="1" applyBorder="1" applyAlignment="1" applyProtection="1">
      <alignment horizontal="center" vertical="center" wrapText="1"/>
    </xf>
    <xf numFmtId="0" fontId="1" fillId="9" borderId="13" xfId="0" applyFont="1" applyFill="1" applyBorder="1" applyAlignment="1" applyProtection="1">
      <alignment horizontal="center" vertical="center" wrapText="1"/>
    </xf>
    <xf numFmtId="12" fontId="1" fillId="9" borderId="13" xfId="0" applyNumberFormat="1" applyFont="1" applyFill="1" applyBorder="1" applyAlignment="1" applyProtection="1">
      <alignment horizontal="center" vertical="center" wrapText="1"/>
    </xf>
    <xf numFmtId="12" fontId="1" fillId="0" borderId="13" xfId="0" applyNumberFormat="1" applyFont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 wrapText="1"/>
    </xf>
    <xf numFmtId="12" fontId="1" fillId="6" borderId="8" xfId="0" applyNumberFormat="1" applyFont="1" applyFill="1" applyBorder="1" applyAlignment="1" applyProtection="1">
      <alignment horizontal="center" vertical="center" wrapText="1"/>
    </xf>
    <xf numFmtId="0" fontId="1" fillId="7" borderId="25" xfId="0" applyFont="1" applyFill="1" applyBorder="1" applyAlignment="1" applyProtection="1">
      <alignment horizontal="center" vertical="center" wrapText="1"/>
    </xf>
    <xf numFmtId="0" fontId="1" fillId="7" borderId="41" xfId="0" applyFont="1" applyFill="1" applyBorder="1" applyAlignment="1" applyProtection="1">
      <alignment horizontal="center" vertical="center" wrapText="1"/>
    </xf>
    <xf numFmtId="12" fontId="1" fillId="7" borderId="41" xfId="0" applyNumberFormat="1" applyFont="1" applyFill="1" applyBorder="1" applyAlignment="1" applyProtection="1">
      <alignment horizontal="center" vertical="center" wrapText="1"/>
    </xf>
    <xf numFmtId="12" fontId="1" fillId="7" borderId="42" xfId="0" applyNumberFormat="1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 applyProtection="1">
      <alignment horizontal="center" vertical="center" wrapText="1"/>
      <protection locked="0"/>
    </xf>
    <xf numFmtId="12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13" xfId="0" applyNumberFormat="1" applyFont="1" applyBorder="1" applyAlignment="1" applyProtection="1">
      <alignment horizontal="center" vertical="center" wrapText="1"/>
    </xf>
    <xf numFmtId="12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1" fillId="0" borderId="9" xfId="0" applyFont="1" applyFill="1" applyBorder="1" applyAlignment="1" applyProtection="1">
      <alignment horizontal="center" vertical="center" wrapText="1"/>
    </xf>
    <xf numFmtId="16" fontId="3" fillId="0" borderId="3" xfId="0" applyNumberFormat="1" applyFont="1" applyBorder="1" applyAlignment="1" applyProtection="1">
      <alignment horizontal="center" vertical="center" wrapText="1"/>
    </xf>
    <xf numFmtId="12" fontId="3" fillId="0" borderId="3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3" fillId="9" borderId="25" xfId="0" applyFont="1" applyFill="1" applyBorder="1" applyAlignment="1" applyProtection="1">
      <alignment horizontal="center" vertical="center" wrapText="1"/>
    </xf>
    <xf numFmtId="0" fontId="3" fillId="7" borderId="25" xfId="0" applyFont="1" applyFill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9" borderId="24" xfId="0" applyFont="1" applyFill="1" applyBorder="1" applyAlignment="1" applyProtection="1">
      <alignment horizontal="center" vertical="center" wrapText="1"/>
      <protection locked="0"/>
    </xf>
    <xf numFmtId="0" fontId="1" fillId="9" borderId="23" xfId="0" applyFont="1" applyFill="1" applyBorder="1" applyAlignment="1" applyProtection="1">
      <alignment horizontal="center" vertical="center" wrapText="1"/>
      <protection locked="0"/>
    </xf>
    <xf numFmtId="0" fontId="1" fillId="9" borderId="22" xfId="0" applyFont="1" applyFill="1" applyBorder="1" applyAlignment="1" applyProtection="1">
      <alignment horizontal="center" vertical="center" wrapText="1"/>
      <protection locked="0"/>
    </xf>
    <xf numFmtId="0" fontId="1" fillId="7" borderId="24" xfId="0" applyFont="1" applyFill="1" applyBorder="1" applyAlignment="1" applyProtection="1">
      <alignment horizontal="center" vertical="center" wrapText="1"/>
      <protection locked="0"/>
    </xf>
    <xf numFmtId="0" fontId="1" fillId="7" borderId="23" xfId="0" applyFont="1" applyFill="1" applyBorder="1" applyAlignment="1" applyProtection="1">
      <alignment horizontal="center" vertical="center" wrapText="1"/>
      <protection locked="0"/>
    </xf>
    <xf numFmtId="0" fontId="1" fillId="7" borderId="23" xfId="0" applyFont="1" applyFill="1" applyBorder="1" applyAlignment="1" applyProtection="1">
      <alignment horizontal="center" vertical="center" wrapText="1"/>
    </xf>
    <xf numFmtId="0" fontId="1" fillId="7" borderId="22" xfId="0" applyFont="1" applyFill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2" fillId="4" borderId="12" xfId="0" applyFont="1" applyFill="1" applyBorder="1" applyAlignment="1" applyProtection="1">
      <alignment horizontal="center" vertical="center" wrapText="1"/>
    </xf>
    <xf numFmtId="0" fontId="2" fillId="4" borderId="11" xfId="0" applyFont="1" applyFill="1" applyBorder="1" applyAlignment="1" applyProtection="1">
      <alignment horizontal="center" vertical="center" wrapText="1"/>
    </xf>
    <xf numFmtId="0" fontId="2" fillId="4" borderId="11" xfId="0" applyFont="1" applyFill="1" applyBorder="1" applyAlignment="1" applyProtection="1">
      <alignment horizontal="center" vertical="center" wrapText="1"/>
      <protection locked="0"/>
    </xf>
    <xf numFmtId="0" fontId="2" fillId="4" borderId="10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3" fillId="0" borderId="38" xfId="0" applyFont="1" applyBorder="1" applyAlignment="1" applyProtection="1">
      <alignment horizontal="center" vertical="center" wrapText="1"/>
    </xf>
    <xf numFmtId="0" fontId="3" fillId="0" borderId="19" xfId="0" applyFont="1" applyBorder="1" applyAlignment="1" applyProtection="1">
      <alignment horizontal="center" vertical="center" wrapText="1"/>
    </xf>
    <xf numFmtId="0" fontId="3" fillId="0" borderId="39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horizontal="center" vertical="center" wrapText="1"/>
    </xf>
    <xf numFmtId="0" fontId="1" fillId="0" borderId="40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1" fillId="0" borderId="19" xfId="0" applyFont="1" applyBorder="1" applyAlignment="1" applyProtection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13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Fill="1" applyBorder="1" applyAlignment="1" applyProtection="1">
      <alignment horizontal="center" vertical="center" wrapText="1"/>
    </xf>
    <xf numFmtId="12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1" fillId="0" borderId="38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2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7"/>
  <sheetViews>
    <sheetView tabSelected="1" view="pageLayout" topLeftCell="A18" zoomScaleNormal="100" workbookViewId="0">
      <selection activeCell="G25" sqref="G25"/>
    </sheetView>
  </sheetViews>
  <sheetFormatPr defaultColWidth="8.88671875" defaultRowHeight="14.4" x14ac:dyDescent="0.3"/>
  <cols>
    <col min="1" max="1" width="15.6640625" style="4" customWidth="1"/>
    <col min="2" max="2" width="15.5546875" style="2" customWidth="1"/>
    <col min="3" max="3" width="18.44140625" style="2" customWidth="1"/>
    <col min="4" max="4" width="6.44140625" style="3" customWidth="1"/>
    <col min="5" max="5" width="18.44140625" style="2" customWidth="1"/>
    <col min="6" max="6" width="6.44140625" style="2" customWidth="1"/>
    <col min="7" max="7" width="18.44140625" style="2" customWidth="1"/>
    <col min="8" max="8" width="6.44140625" style="2" customWidth="1"/>
    <col min="9" max="9" width="18.44140625" style="2" customWidth="1"/>
    <col min="10" max="10" width="6.5546875" style="2" customWidth="1"/>
    <col min="11" max="11" width="18.44140625" style="2" customWidth="1"/>
    <col min="12" max="12" width="6.5546875" style="2" customWidth="1"/>
    <col min="13" max="13" width="1.44140625" style="2" customWidth="1"/>
    <col min="14" max="14" width="6.6640625" style="2" customWidth="1"/>
    <col min="15" max="15" width="14.33203125" style="2" customWidth="1"/>
    <col min="16" max="16" width="14.44140625" style="2" customWidth="1"/>
    <col min="17" max="17" width="16.5546875" style="2" customWidth="1"/>
    <col min="18" max="20" width="8.88671875" style="1"/>
    <col min="21" max="21" width="9.109375" style="1" customWidth="1"/>
    <col min="22" max="16384" width="8.88671875" style="1"/>
  </cols>
  <sheetData>
    <row r="1" spans="1:34" ht="27.6" x14ac:dyDescent="0.3">
      <c r="A1" s="56" t="s">
        <v>40</v>
      </c>
      <c r="B1" s="31" t="s">
        <v>37</v>
      </c>
      <c r="C1" s="31" t="s">
        <v>36</v>
      </c>
      <c r="D1" s="107" t="s">
        <v>72</v>
      </c>
      <c r="E1" s="108"/>
      <c r="F1" s="108"/>
      <c r="G1" s="108"/>
      <c r="H1" s="108"/>
      <c r="I1" s="108"/>
      <c r="J1" s="108"/>
      <c r="K1" s="108"/>
      <c r="L1" s="109"/>
      <c r="M1" s="64"/>
      <c r="N1" s="64"/>
      <c r="O1" s="64"/>
      <c r="P1" s="65"/>
      <c r="Q1" s="34" t="s">
        <v>59</v>
      </c>
    </row>
    <row r="2" spans="1:34" ht="15" customHeight="1" x14ac:dyDescent="0.25">
      <c r="A2" s="97"/>
      <c r="B2" s="98"/>
      <c r="C2" s="98" t="s">
        <v>35</v>
      </c>
      <c r="D2" s="98"/>
      <c r="E2" s="98"/>
      <c r="F2" s="98"/>
      <c r="G2" s="98"/>
      <c r="H2" s="98"/>
      <c r="I2" s="98"/>
      <c r="J2" s="98"/>
      <c r="K2" s="98"/>
      <c r="L2" s="98"/>
      <c r="M2" s="16"/>
      <c r="N2" s="66" t="s">
        <v>34</v>
      </c>
      <c r="O2" s="66"/>
      <c r="P2" s="66"/>
      <c r="Q2" s="67"/>
    </row>
    <row r="3" spans="1:34" ht="18.75" customHeight="1" x14ac:dyDescent="0.3">
      <c r="A3" s="103" t="s">
        <v>16</v>
      </c>
      <c r="B3" s="91" t="s">
        <v>15</v>
      </c>
      <c r="C3" s="99" t="s">
        <v>33</v>
      </c>
      <c r="D3" s="100"/>
      <c r="E3" s="99" t="s">
        <v>32</v>
      </c>
      <c r="F3" s="100"/>
      <c r="G3" s="99" t="s">
        <v>31</v>
      </c>
      <c r="H3" s="100"/>
      <c r="I3" s="99" t="s">
        <v>30</v>
      </c>
      <c r="J3" s="100"/>
      <c r="K3" s="99" t="s">
        <v>29</v>
      </c>
      <c r="L3" s="100"/>
      <c r="M3" s="23"/>
      <c r="N3" s="93" t="s">
        <v>12</v>
      </c>
      <c r="O3" s="93" t="s">
        <v>28</v>
      </c>
      <c r="P3" s="93" t="s">
        <v>85</v>
      </c>
      <c r="Q3" s="95" t="s">
        <v>27</v>
      </c>
    </row>
    <row r="4" spans="1:34" ht="37.5" customHeight="1" thickBot="1" x14ac:dyDescent="0.35">
      <c r="A4" s="106"/>
      <c r="B4" s="121"/>
      <c r="C4" s="55" t="s">
        <v>14</v>
      </c>
      <c r="D4" s="51" t="s">
        <v>26</v>
      </c>
      <c r="E4" s="55" t="s">
        <v>14</v>
      </c>
      <c r="F4" s="55" t="s">
        <v>26</v>
      </c>
      <c r="G4" s="55" t="s">
        <v>14</v>
      </c>
      <c r="H4" s="55" t="s">
        <v>26</v>
      </c>
      <c r="I4" s="55" t="s">
        <v>14</v>
      </c>
      <c r="J4" s="55" t="s">
        <v>26</v>
      </c>
      <c r="K4" s="55" t="s">
        <v>14</v>
      </c>
      <c r="L4" s="55" t="s">
        <v>26</v>
      </c>
      <c r="M4" s="22"/>
      <c r="N4" s="94"/>
      <c r="O4" s="94"/>
      <c r="P4" s="94"/>
      <c r="Q4" s="96"/>
    </row>
    <row r="5" spans="1:34" ht="15.75" thickBot="1" x14ac:dyDescent="0.3">
      <c r="A5" s="62" t="s">
        <v>25</v>
      </c>
      <c r="B5" s="68" t="s">
        <v>23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70"/>
    </row>
    <row r="6" spans="1:34" s="20" customFormat="1" ht="47.25" customHeight="1" x14ac:dyDescent="0.3">
      <c r="A6" s="29" t="s">
        <v>25</v>
      </c>
      <c r="B6" s="53" t="s">
        <v>77</v>
      </c>
      <c r="C6" s="53" t="s">
        <v>38</v>
      </c>
      <c r="D6" s="21">
        <v>0.5</v>
      </c>
      <c r="E6" s="53" t="s">
        <v>47</v>
      </c>
      <c r="F6" s="21">
        <v>0.5</v>
      </c>
      <c r="G6" s="53" t="s">
        <v>86</v>
      </c>
      <c r="H6" s="21">
        <v>0.5</v>
      </c>
      <c r="I6" s="53" t="s">
        <v>48</v>
      </c>
      <c r="J6" s="21">
        <v>0.5</v>
      </c>
      <c r="K6" s="53" t="s">
        <v>49</v>
      </c>
      <c r="L6" s="21">
        <v>0.5</v>
      </c>
      <c r="M6" s="21"/>
      <c r="N6" s="110">
        <f>SUM(D6,F6,H6,J6,L6)</f>
        <v>2.5</v>
      </c>
      <c r="O6" s="112">
        <v>2.5</v>
      </c>
      <c r="P6" s="112">
        <f>N6-O6</f>
        <v>0</v>
      </c>
      <c r="Q6" s="101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20" customFormat="1" ht="28.2" thickBot="1" x14ac:dyDescent="0.35">
      <c r="A7" s="32" t="s">
        <v>54</v>
      </c>
      <c r="B7" s="37"/>
      <c r="C7" s="37" t="s">
        <v>17</v>
      </c>
      <c r="D7" s="38">
        <f>D6</f>
        <v>0.5</v>
      </c>
      <c r="E7" s="37" t="s">
        <v>17</v>
      </c>
      <c r="F7" s="38">
        <f>F6</f>
        <v>0.5</v>
      </c>
      <c r="G7" s="37" t="s">
        <v>17</v>
      </c>
      <c r="H7" s="38">
        <f>H6</f>
        <v>0.5</v>
      </c>
      <c r="I7" s="37" t="s">
        <v>17</v>
      </c>
      <c r="J7" s="38">
        <f>J6</f>
        <v>0.5</v>
      </c>
      <c r="K7" s="37" t="s">
        <v>17</v>
      </c>
      <c r="L7" s="38">
        <f>L6</f>
        <v>0.5</v>
      </c>
      <c r="M7" s="39"/>
      <c r="N7" s="111"/>
      <c r="O7" s="113"/>
      <c r="P7" s="113"/>
      <c r="Q7" s="10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thickBot="1" x14ac:dyDescent="0.3">
      <c r="A8" s="63" t="s">
        <v>24</v>
      </c>
      <c r="B8" s="71" t="s">
        <v>23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3"/>
      <c r="O8" s="73"/>
      <c r="P8" s="73"/>
      <c r="Q8" s="74"/>
    </row>
    <row r="9" spans="1:34" ht="27.6" x14ac:dyDescent="0.3">
      <c r="A9" s="75" t="s">
        <v>76</v>
      </c>
      <c r="B9" s="30" t="s">
        <v>22</v>
      </c>
      <c r="C9" s="30"/>
      <c r="D9" s="19"/>
      <c r="E9" s="30"/>
      <c r="F9" s="19"/>
      <c r="G9" s="30"/>
      <c r="H9" s="19"/>
      <c r="I9" s="30"/>
      <c r="J9" s="19"/>
      <c r="K9" s="30" t="s">
        <v>46</v>
      </c>
      <c r="L9" s="19">
        <v>0.5</v>
      </c>
      <c r="M9" s="19"/>
      <c r="N9" s="50">
        <f>SUM(D9,F9,H9,J9,L9)</f>
        <v>0.5</v>
      </c>
      <c r="O9" s="50">
        <v>0.5</v>
      </c>
      <c r="P9" s="18">
        <f t="shared" ref="P9:P14" si="0">N9-O9</f>
        <v>0</v>
      </c>
      <c r="Q9" s="61" t="str">
        <f t="shared" ref="Q9:Q14" si="1">IF(P9&gt;=0,"MEETS","DOES NOT MEET")</f>
        <v>MEETS</v>
      </c>
    </row>
    <row r="10" spans="1:34" ht="27.6" x14ac:dyDescent="0.3">
      <c r="A10" s="49"/>
      <c r="B10" s="16" t="s">
        <v>21</v>
      </c>
      <c r="C10" s="30" t="s">
        <v>78</v>
      </c>
      <c r="D10" s="3">
        <v>0.5</v>
      </c>
      <c r="E10" s="30"/>
      <c r="F10" s="3"/>
      <c r="G10" s="30" t="s">
        <v>78</v>
      </c>
      <c r="H10" s="3">
        <v>0.5</v>
      </c>
      <c r="I10" s="30" t="s">
        <v>66</v>
      </c>
      <c r="J10" s="3">
        <v>0.375</v>
      </c>
      <c r="K10" s="30"/>
      <c r="L10" s="3"/>
      <c r="M10" s="3"/>
      <c r="N10" s="9">
        <f>SUM(D10,F10,H10,J10,L10)</f>
        <v>1.375</v>
      </c>
      <c r="O10" s="9">
        <v>0.75</v>
      </c>
      <c r="P10" s="17">
        <f t="shared" si="0"/>
        <v>0.625</v>
      </c>
      <c r="Q10" s="8" t="str">
        <f t="shared" si="1"/>
        <v>MEETS</v>
      </c>
    </row>
    <row r="11" spans="1:34" x14ac:dyDescent="0.3">
      <c r="A11" s="49"/>
      <c r="B11" s="33" t="s">
        <v>20</v>
      </c>
      <c r="C11" s="16"/>
      <c r="E11" s="16" t="s">
        <v>45</v>
      </c>
      <c r="F11" s="3">
        <v>0.5</v>
      </c>
      <c r="G11" s="16"/>
      <c r="H11" s="3"/>
      <c r="I11" s="16"/>
      <c r="J11" s="3"/>
      <c r="K11" s="16"/>
      <c r="L11" s="3"/>
      <c r="M11" s="3"/>
      <c r="N11" s="9">
        <f>SUM(D11,F11,H11,J11,L11)</f>
        <v>0.5</v>
      </c>
      <c r="O11" s="9">
        <v>0.5</v>
      </c>
      <c r="P11" s="17">
        <f t="shared" si="0"/>
        <v>0</v>
      </c>
      <c r="Q11" s="8" t="str">
        <f t="shared" si="1"/>
        <v>MEETS</v>
      </c>
    </row>
    <row r="12" spans="1:34" ht="30.75" customHeight="1" x14ac:dyDescent="0.3">
      <c r="A12" s="49"/>
      <c r="B12" s="16" t="s">
        <v>19</v>
      </c>
      <c r="C12" s="16"/>
      <c r="E12" s="16"/>
      <c r="F12" s="3"/>
      <c r="G12" s="16" t="s">
        <v>83</v>
      </c>
      <c r="H12" s="3">
        <v>0.5</v>
      </c>
      <c r="I12" s="16"/>
      <c r="J12" s="3"/>
      <c r="K12" s="16"/>
      <c r="L12" s="3"/>
      <c r="M12" s="3"/>
      <c r="N12" s="9">
        <f>SUM(D12,F12,H12,J12,L12)</f>
        <v>0.5</v>
      </c>
      <c r="O12" s="9">
        <v>0.5</v>
      </c>
      <c r="P12" s="17">
        <f t="shared" si="0"/>
        <v>0</v>
      </c>
      <c r="Q12" s="8" t="str">
        <f t="shared" si="1"/>
        <v>MEETS</v>
      </c>
    </row>
    <row r="13" spans="1:34" ht="41.4" x14ac:dyDescent="0.3">
      <c r="A13" s="49"/>
      <c r="B13" s="16" t="s">
        <v>18</v>
      </c>
      <c r="C13" s="16"/>
      <c r="E13" s="30"/>
      <c r="F13" s="3"/>
      <c r="G13" s="16"/>
      <c r="H13" s="3"/>
      <c r="I13" s="16" t="s">
        <v>56</v>
      </c>
      <c r="J13" s="3">
        <v>0.5</v>
      </c>
      <c r="K13" s="16"/>
      <c r="L13" s="3"/>
      <c r="M13" s="3"/>
      <c r="N13" s="9">
        <f>D13+F13+H13+J13+L13</f>
        <v>0.5</v>
      </c>
      <c r="O13" s="9">
        <v>0.5</v>
      </c>
      <c r="P13" s="14">
        <f t="shared" si="0"/>
        <v>0</v>
      </c>
      <c r="Q13" s="8" t="str">
        <f t="shared" si="1"/>
        <v>MEETS</v>
      </c>
    </row>
    <row r="14" spans="1:34" ht="20.25" customHeight="1" x14ac:dyDescent="0.3">
      <c r="A14" s="102" t="s">
        <v>80</v>
      </c>
      <c r="B14" s="114" t="s">
        <v>52</v>
      </c>
      <c r="C14" s="118" t="s">
        <v>51</v>
      </c>
      <c r="D14" s="119"/>
      <c r="E14" s="119"/>
      <c r="F14" s="119"/>
      <c r="G14" s="119"/>
      <c r="H14" s="119"/>
      <c r="I14" s="119"/>
      <c r="J14" s="119"/>
      <c r="K14" s="119"/>
      <c r="L14" s="120"/>
      <c r="M14" s="3"/>
      <c r="N14" s="111">
        <f>D15+F15+H15+J15+L15+D16+F16+H16+J16+L16+D17+F17+H17+J17+L17</f>
        <v>1.5</v>
      </c>
      <c r="O14" s="111">
        <v>1</v>
      </c>
      <c r="P14" s="113">
        <f t="shared" si="0"/>
        <v>0.5</v>
      </c>
      <c r="Q14" s="104" t="str">
        <f t="shared" si="1"/>
        <v>MEETS</v>
      </c>
    </row>
    <row r="15" spans="1:34" ht="55.5" customHeight="1" x14ac:dyDescent="0.3">
      <c r="A15" s="102"/>
      <c r="B15" s="115"/>
      <c r="C15" s="16" t="s">
        <v>55</v>
      </c>
      <c r="D15" s="3">
        <v>0.5</v>
      </c>
      <c r="E15" s="16" t="s">
        <v>82</v>
      </c>
      <c r="F15" s="3">
        <v>0.5</v>
      </c>
      <c r="G15" s="16"/>
      <c r="H15" s="3"/>
      <c r="I15" s="16"/>
      <c r="J15" s="3"/>
      <c r="K15" s="16" t="s">
        <v>56</v>
      </c>
      <c r="L15" s="3">
        <v>0.5</v>
      </c>
      <c r="M15" s="3"/>
      <c r="N15" s="116"/>
      <c r="O15" s="116"/>
      <c r="P15" s="116"/>
      <c r="Q15" s="105"/>
    </row>
    <row r="16" spans="1:34" x14ac:dyDescent="0.3">
      <c r="A16" s="102"/>
      <c r="B16" s="115"/>
      <c r="C16" s="16"/>
      <c r="E16" s="16"/>
      <c r="F16" s="3"/>
      <c r="G16" s="16"/>
      <c r="H16" s="3"/>
      <c r="I16" s="16"/>
      <c r="J16" s="3"/>
      <c r="K16" s="16"/>
      <c r="L16" s="3"/>
      <c r="M16" s="3"/>
      <c r="N16" s="116"/>
      <c r="O16" s="116"/>
      <c r="P16" s="116"/>
      <c r="Q16" s="105"/>
    </row>
    <row r="17" spans="1:17" ht="15" thickBot="1" x14ac:dyDescent="0.35">
      <c r="A17" s="103"/>
      <c r="B17" s="115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3"/>
      <c r="N17" s="117"/>
      <c r="O17" s="117"/>
      <c r="P17" s="117"/>
      <c r="Q17" s="105"/>
    </row>
    <row r="18" spans="1:17" ht="28.2" thickBot="1" x14ac:dyDescent="0.35">
      <c r="A18" s="42" t="s">
        <v>53</v>
      </c>
      <c r="B18" s="43"/>
      <c r="C18" s="43" t="s">
        <v>17</v>
      </c>
      <c r="D18" s="44">
        <f>SUM(D9:D17)</f>
        <v>1</v>
      </c>
      <c r="E18" s="43" t="s">
        <v>17</v>
      </c>
      <c r="F18" s="44">
        <f>SUM(F9:F17)</f>
        <v>1</v>
      </c>
      <c r="G18" s="43" t="s">
        <v>17</v>
      </c>
      <c r="H18" s="44">
        <f>SUM(H9:H17)</f>
        <v>1</v>
      </c>
      <c r="I18" s="43" t="s">
        <v>17</v>
      </c>
      <c r="J18" s="44">
        <f>SUM(J9:J17)</f>
        <v>0.875</v>
      </c>
      <c r="K18" s="43" t="s">
        <v>17</v>
      </c>
      <c r="L18" s="45">
        <f>SUM(L9:L17)</f>
        <v>1</v>
      </c>
      <c r="M18" s="15"/>
      <c r="N18" s="52">
        <f>SUM(N9:N17)</f>
        <v>4.875</v>
      </c>
      <c r="O18" s="52">
        <v>3.75</v>
      </c>
      <c r="P18" s="52">
        <f>N18-O18</f>
        <v>1.125</v>
      </c>
      <c r="Q18" s="8" t="str">
        <f>IF(P18&gt;=0,"MEETS","DOES NOT MEET")</f>
        <v>MEETS</v>
      </c>
    </row>
    <row r="19" spans="1:17" ht="27.6" x14ac:dyDescent="0.3">
      <c r="A19" s="57" t="s">
        <v>16</v>
      </c>
      <c r="B19" s="40" t="s">
        <v>15</v>
      </c>
      <c r="C19" s="40" t="s">
        <v>14</v>
      </c>
      <c r="D19" s="40" t="s">
        <v>13</v>
      </c>
      <c r="E19" s="41" t="s">
        <v>14</v>
      </c>
      <c r="F19" s="40" t="s">
        <v>13</v>
      </c>
      <c r="G19" s="41" t="s">
        <v>14</v>
      </c>
      <c r="H19" s="40" t="s">
        <v>13</v>
      </c>
      <c r="I19" s="41" t="s">
        <v>14</v>
      </c>
      <c r="J19" s="40" t="s">
        <v>13</v>
      </c>
      <c r="K19" s="41" t="s">
        <v>14</v>
      </c>
      <c r="L19" s="40" t="s">
        <v>13</v>
      </c>
      <c r="M19" s="47"/>
      <c r="N19" s="14" t="s">
        <v>12</v>
      </c>
      <c r="O19" s="14" t="s">
        <v>11</v>
      </c>
      <c r="P19" s="14"/>
      <c r="Q19" s="24"/>
    </row>
    <row r="20" spans="1:17" ht="15.75" customHeight="1" x14ac:dyDescent="0.3">
      <c r="A20" s="80" t="s">
        <v>10</v>
      </c>
      <c r="B20" s="81"/>
      <c r="C20" s="12"/>
      <c r="D20" s="12"/>
      <c r="E20" s="13"/>
      <c r="F20" s="12"/>
      <c r="G20" s="13"/>
      <c r="H20" s="12"/>
      <c r="I20" s="13"/>
      <c r="J20" s="12"/>
      <c r="K20" s="13"/>
      <c r="L20" s="46"/>
      <c r="M20" s="82"/>
      <c r="N20" s="81"/>
      <c r="O20" s="81"/>
      <c r="P20" s="81"/>
      <c r="Q20" s="83"/>
    </row>
    <row r="21" spans="1:17" ht="57" customHeight="1" x14ac:dyDescent="0.3">
      <c r="A21" s="11" t="s">
        <v>9</v>
      </c>
      <c r="B21" s="11" t="s">
        <v>74</v>
      </c>
      <c r="C21" s="30" t="s">
        <v>42</v>
      </c>
      <c r="D21" s="19">
        <v>2</v>
      </c>
      <c r="E21" s="30" t="s">
        <v>67</v>
      </c>
      <c r="F21" s="19">
        <v>2</v>
      </c>
      <c r="G21" s="30" t="s">
        <v>58</v>
      </c>
      <c r="H21" s="30">
        <v>2</v>
      </c>
      <c r="I21" s="30" t="s">
        <v>44</v>
      </c>
      <c r="J21" s="30">
        <v>1</v>
      </c>
      <c r="K21" s="30" t="s">
        <v>79</v>
      </c>
      <c r="L21" s="30">
        <v>1</v>
      </c>
      <c r="M21" s="30"/>
      <c r="N21" s="9">
        <f>SUM(D21,F21,H21,J21,L21)</f>
        <v>8</v>
      </c>
      <c r="O21" s="35" t="s">
        <v>68</v>
      </c>
      <c r="P21" s="58" t="s">
        <v>63</v>
      </c>
      <c r="Q21" s="54" t="str">
        <f>IF(AND((N21)&gt;=8,(N21)&lt;=9),"MEETS","DOES NOT MEET")</f>
        <v>MEETS</v>
      </c>
    </row>
    <row r="22" spans="1:17" ht="59.25" customHeight="1" x14ac:dyDescent="0.3">
      <c r="A22" s="75"/>
      <c r="B22" s="11" t="s">
        <v>75</v>
      </c>
      <c r="C22" s="30" t="s">
        <v>62</v>
      </c>
      <c r="D22" s="19">
        <v>2</v>
      </c>
      <c r="E22" s="30" t="s">
        <v>58</v>
      </c>
      <c r="F22" s="30">
        <v>2</v>
      </c>
      <c r="G22" s="30" t="s">
        <v>58</v>
      </c>
      <c r="H22" s="30">
        <v>2</v>
      </c>
      <c r="I22" s="30" t="s">
        <v>44</v>
      </c>
      <c r="J22" s="30">
        <v>1</v>
      </c>
      <c r="K22" s="30" t="s">
        <v>58</v>
      </c>
      <c r="L22" s="30">
        <v>2</v>
      </c>
      <c r="M22" s="30"/>
      <c r="N22" s="9">
        <f>D22+F22+H22+J22+L22</f>
        <v>9</v>
      </c>
      <c r="O22" s="35" t="s">
        <v>70</v>
      </c>
      <c r="P22" s="59">
        <f>N21+N22</f>
        <v>17</v>
      </c>
      <c r="Q22" s="54" t="str">
        <f>IF(AND((N22)&gt;=8,(N22)&lt;=9),"MEETS","DOES NOT MEET")</f>
        <v>MEETS</v>
      </c>
    </row>
    <row r="23" spans="1:17" ht="41.4" x14ac:dyDescent="0.3">
      <c r="A23" s="75"/>
      <c r="B23" s="11" t="s">
        <v>8</v>
      </c>
      <c r="C23" s="30"/>
      <c r="D23" s="19">
        <v>0</v>
      </c>
      <c r="E23" s="30" t="s">
        <v>50</v>
      </c>
      <c r="F23" s="19">
        <v>4</v>
      </c>
      <c r="G23" s="30" t="s">
        <v>58</v>
      </c>
      <c r="H23" s="30">
        <v>4</v>
      </c>
      <c r="I23" s="30" t="s">
        <v>65</v>
      </c>
      <c r="J23" s="30">
        <v>2</v>
      </c>
      <c r="K23" s="30" t="s">
        <v>58</v>
      </c>
      <c r="L23" s="30">
        <v>2</v>
      </c>
      <c r="M23" s="30"/>
      <c r="N23" s="9">
        <f>SUM(D23,F23,H23,J23,L23)</f>
        <v>12</v>
      </c>
      <c r="O23" s="60" t="s">
        <v>7</v>
      </c>
      <c r="P23" s="59">
        <f>N23</f>
        <v>12</v>
      </c>
      <c r="Q23" s="8" t="str">
        <f>IF(N23&gt;=(N21/2),"MEETS","DOES NOT MEET")</f>
        <v>MEETS</v>
      </c>
    </row>
    <row r="24" spans="1:17" ht="24.6" customHeight="1" x14ac:dyDescent="0.3">
      <c r="A24" s="84" t="s">
        <v>6</v>
      </c>
      <c r="B24" s="76"/>
      <c r="C24" s="76"/>
      <c r="D24" s="76" t="s">
        <v>5</v>
      </c>
      <c r="E24" s="76"/>
      <c r="F24" s="76" t="s">
        <v>5</v>
      </c>
      <c r="G24" s="76"/>
      <c r="H24" s="76" t="s">
        <v>5</v>
      </c>
      <c r="I24" s="76"/>
      <c r="J24" s="76" t="s">
        <v>5</v>
      </c>
      <c r="K24" s="76"/>
      <c r="L24" s="76" t="s">
        <v>5</v>
      </c>
      <c r="M24" s="85"/>
      <c r="N24" s="76"/>
      <c r="O24" s="76"/>
      <c r="P24" s="76"/>
      <c r="Q24" s="86"/>
    </row>
    <row r="25" spans="1:17" ht="41.4" x14ac:dyDescent="0.3">
      <c r="A25" s="91" t="s">
        <v>4</v>
      </c>
      <c r="B25" s="11" t="s">
        <v>74</v>
      </c>
      <c r="C25" s="16" t="s">
        <v>84</v>
      </c>
      <c r="D25" s="3">
        <v>1.5</v>
      </c>
      <c r="E25" s="16" t="s">
        <v>73</v>
      </c>
      <c r="F25" s="16">
        <v>1</v>
      </c>
      <c r="G25" s="16" t="s">
        <v>61</v>
      </c>
      <c r="H25" s="16">
        <v>2</v>
      </c>
      <c r="I25" s="16" t="s">
        <v>64</v>
      </c>
      <c r="J25" s="16">
        <v>2</v>
      </c>
      <c r="K25" s="16" t="s">
        <v>81</v>
      </c>
      <c r="L25" s="16">
        <v>2</v>
      </c>
      <c r="M25" s="16"/>
      <c r="N25" s="9">
        <f>SUM(D25,F25,H25,J25,L25)</f>
        <v>8.5</v>
      </c>
      <c r="O25" s="10" t="s">
        <v>68</v>
      </c>
      <c r="P25" s="10"/>
      <c r="Q25" s="48" t="str">
        <f>IF(AND((N25)&gt;=8,(N25)&lt;=10),"MEETS","DOES NOT MEET")</f>
        <v>MEETS</v>
      </c>
    </row>
    <row r="26" spans="1:17" ht="37.950000000000003" customHeight="1" x14ac:dyDescent="0.3">
      <c r="A26" s="92"/>
      <c r="B26" s="11" t="s">
        <v>75</v>
      </c>
      <c r="C26" s="16" t="s">
        <v>71</v>
      </c>
      <c r="D26" s="16">
        <v>2</v>
      </c>
      <c r="E26" s="16" t="s">
        <v>43</v>
      </c>
      <c r="F26" s="16">
        <v>2</v>
      </c>
      <c r="G26" s="16" t="s">
        <v>41</v>
      </c>
      <c r="H26" s="16">
        <v>2</v>
      </c>
      <c r="I26" s="16" t="s">
        <v>57</v>
      </c>
      <c r="J26" s="16">
        <v>2</v>
      </c>
      <c r="K26" s="16" t="s">
        <v>60</v>
      </c>
      <c r="L26" s="16">
        <v>2</v>
      </c>
      <c r="M26" s="16"/>
      <c r="N26" s="9">
        <f>D26+F26+H26+J26+L26</f>
        <v>10</v>
      </c>
      <c r="O26" s="10" t="s">
        <v>69</v>
      </c>
      <c r="P26" s="10"/>
      <c r="Q26" s="48" t="str">
        <f>IF(AND((N26)&gt;=8,(N26)&lt;=10),"MEETS","DOES NOT MEET")</f>
        <v>MEETS</v>
      </c>
    </row>
    <row r="27" spans="1:17" x14ac:dyDescent="0.3">
      <c r="A27" s="87" t="s">
        <v>3</v>
      </c>
      <c r="B27" s="77"/>
      <c r="C27" s="77"/>
      <c r="D27" s="77" t="s">
        <v>2</v>
      </c>
      <c r="E27" s="77"/>
      <c r="F27" s="77" t="s">
        <v>2</v>
      </c>
      <c r="G27" s="77"/>
      <c r="H27" s="77" t="s">
        <v>2</v>
      </c>
      <c r="I27" s="77"/>
      <c r="J27" s="77" t="s">
        <v>2</v>
      </c>
      <c r="K27" s="77"/>
      <c r="L27" s="77" t="s">
        <v>2</v>
      </c>
      <c r="M27" s="88"/>
      <c r="N27" s="77"/>
      <c r="O27" s="77"/>
      <c r="P27" s="77"/>
      <c r="Q27" s="89"/>
    </row>
    <row r="28" spans="1:17" ht="54" customHeight="1" thickBot="1" x14ac:dyDescent="0.35">
      <c r="A28" s="90"/>
      <c r="B28" s="36" t="s">
        <v>1</v>
      </c>
      <c r="C28" s="28" t="s">
        <v>39</v>
      </c>
      <c r="D28" s="27">
        <v>1</v>
      </c>
      <c r="E28" s="28" t="s">
        <v>39</v>
      </c>
      <c r="F28" s="28">
        <v>1</v>
      </c>
      <c r="G28" s="28" t="s">
        <v>39</v>
      </c>
      <c r="H28" s="28">
        <v>1</v>
      </c>
      <c r="I28" s="28" t="s">
        <v>39</v>
      </c>
      <c r="J28" s="28">
        <v>1</v>
      </c>
      <c r="K28" s="28" t="s">
        <v>39</v>
      </c>
      <c r="L28" s="28">
        <v>1</v>
      </c>
      <c r="M28" s="28"/>
      <c r="N28" s="25">
        <f>SUM(D28,F28,H28,J28,L28)</f>
        <v>5</v>
      </c>
      <c r="O28" s="36" t="s">
        <v>0</v>
      </c>
      <c r="P28" s="78"/>
      <c r="Q28" s="26" t="str">
        <f>IF(N28&gt;=5,"MEETS","DOES NOT MEET")</f>
        <v>MEETS</v>
      </c>
    </row>
    <row r="29" spans="1:17" x14ac:dyDescent="0.3">
      <c r="A29" s="7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7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7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</sheetData>
  <sheetProtection selectLockedCells="1" selectUnlockedCells="1"/>
  <mergeCells count="26">
    <mergeCell ref="D1:L1"/>
    <mergeCell ref="N6:N7"/>
    <mergeCell ref="O6:O7"/>
    <mergeCell ref="P6:P7"/>
    <mergeCell ref="B14:B17"/>
    <mergeCell ref="N14:N17"/>
    <mergeCell ref="O14:O17"/>
    <mergeCell ref="P14:P17"/>
    <mergeCell ref="C14:L14"/>
    <mergeCell ref="B3:B4"/>
    <mergeCell ref="N3:N4"/>
    <mergeCell ref="A25:A26"/>
    <mergeCell ref="O3:O4"/>
    <mergeCell ref="P3:P4"/>
    <mergeCell ref="Q3:Q4"/>
    <mergeCell ref="A2:B2"/>
    <mergeCell ref="C2:L2"/>
    <mergeCell ref="C3:D3"/>
    <mergeCell ref="E3:F3"/>
    <mergeCell ref="G3:H3"/>
    <mergeCell ref="I3:J3"/>
    <mergeCell ref="K3:L3"/>
    <mergeCell ref="Q6:Q7"/>
    <mergeCell ref="A14:A17"/>
    <mergeCell ref="Q14:Q17"/>
    <mergeCell ref="A3:A4"/>
  </mergeCells>
  <conditionalFormatting sqref="Q21 Q6 Q9:Q13 Q19">
    <cfRule type="containsText" dxfId="21" priority="23" operator="containsText" text="MEETS">
      <formula>NOT(ISERROR(SEARCH("MEETS",Q6)))</formula>
    </cfRule>
    <cfRule type="containsText" dxfId="20" priority="24" operator="containsText" text="DOES NOT MEET">
      <formula>NOT(ISERROR(SEARCH("DOES NOT MEET",Q6)))</formula>
    </cfRule>
  </conditionalFormatting>
  <conditionalFormatting sqref="P6">
    <cfRule type="cellIs" dxfId="19" priority="22" operator="lessThan">
      <formula>0</formula>
    </cfRule>
  </conditionalFormatting>
  <conditionalFormatting sqref="F18 H18 L18 D18">
    <cfRule type="cellIs" dxfId="18" priority="21" operator="lessThan">
      <formula>0.75</formula>
    </cfRule>
  </conditionalFormatting>
  <conditionalFormatting sqref="Q25:Q26">
    <cfRule type="containsText" dxfId="17" priority="19" operator="containsText" text="MEETS">
      <formula>NOT(ISERROR(SEARCH("MEETS",Q25)))</formula>
    </cfRule>
    <cfRule type="containsText" dxfId="16" priority="20" operator="containsText" text="DOES NOT MEET">
      <formula>NOT(ISERROR(SEARCH("DOES NOT MEET",Q25)))</formula>
    </cfRule>
  </conditionalFormatting>
  <conditionalFormatting sqref="Q23">
    <cfRule type="containsText" dxfId="15" priority="17" operator="containsText" text="MEETS">
      <formula>NOT(ISERROR(SEARCH("MEETS",Q23)))</formula>
    </cfRule>
    <cfRule type="containsText" dxfId="14" priority="18" operator="containsText" text="DOES NOT MEET">
      <formula>NOT(ISERROR(SEARCH("DOES NOT MEET",Q23)))</formula>
    </cfRule>
  </conditionalFormatting>
  <conditionalFormatting sqref="Q28">
    <cfRule type="containsText" dxfId="13" priority="15" operator="containsText" text="MEETS">
      <formula>NOT(ISERROR(SEARCH("MEETS",Q28)))</formula>
    </cfRule>
    <cfRule type="containsText" dxfId="12" priority="16" operator="containsText" text="DOES NOT MEET">
      <formula>NOT(ISERROR(SEARCH("DOES NOT MEET",Q28)))</formula>
    </cfRule>
  </conditionalFormatting>
  <conditionalFormatting sqref="D7">
    <cfRule type="cellIs" dxfId="11" priority="14" operator="lessThan">
      <formula>0.5</formula>
    </cfRule>
  </conditionalFormatting>
  <conditionalFormatting sqref="H7">
    <cfRule type="cellIs" dxfId="10" priority="13" operator="lessThan">
      <formula>0.5</formula>
    </cfRule>
  </conditionalFormatting>
  <conditionalFormatting sqref="J7">
    <cfRule type="cellIs" dxfId="9" priority="12" operator="lessThan">
      <formula>0.5</formula>
    </cfRule>
  </conditionalFormatting>
  <conditionalFormatting sqref="L7">
    <cfRule type="cellIs" dxfId="8" priority="11" operator="lessThan">
      <formula>0.5</formula>
    </cfRule>
  </conditionalFormatting>
  <conditionalFormatting sqref="F7">
    <cfRule type="cellIs" dxfId="7" priority="10" operator="lessThan">
      <formula>0.5</formula>
    </cfRule>
  </conditionalFormatting>
  <conditionalFormatting sqref="J18">
    <cfRule type="cellIs" dxfId="6" priority="9" operator="lessThan">
      <formula>0.75</formula>
    </cfRule>
  </conditionalFormatting>
  <conditionalFormatting sqref="Q14">
    <cfRule type="containsText" dxfId="5" priority="5" operator="containsText" text="MEETS">
      <formula>NOT(ISERROR(SEARCH("MEETS",Q14)))</formula>
    </cfRule>
    <cfRule type="containsText" dxfId="4" priority="6" operator="containsText" text="DOES NOT MEET">
      <formula>NOT(ISERROR(SEARCH("DOES NOT MEET",Q14)))</formula>
    </cfRule>
  </conditionalFormatting>
  <conditionalFormatting sqref="Q18">
    <cfRule type="containsText" dxfId="3" priority="3" operator="containsText" text="MEETS">
      <formula>NOT(ISERROR(SEARCH("MEETS",Q18)))</formula>
    </cfRule>
    <cfRule type="containsText" dxfId="2" priority="4" operator="containsText" text="DOES NOT MEET">
      <formula>NOT(ISERROR(SEARCH("DOES NOT MEET",Q18)))</formula>
    </cfRule>
  </conditionalFormatting>
  <conditionalFormatting sqref="Q22">
    <cfRule type="containsText" dxfId="1" priority="1" operator="containsText" text="MEETS">
      <formula>NOT(ISERROR(SEARCH("MEETS",Q22)))</formula>
    </cfRule>
    <cfRule type="containsText" dxfId="0" priority="2" operator="containsText" text="DOES NOT MEET">
      <formula>NOT(ISERROR(SEARCH("DOES NOT MEET",Q22)))</formula>
    </cfRule>
  </conditionalFormatting>
  <pageMargins left="0.2" right="0.2" top="0.75" bottom="0.5" header="0" footer="0"/>
  <pageSetup scale="60" orientation="landscape" r:id="rId1"/>
  <headerFooter>
    <oddHeader xml:space="preserve">&amp;L&amp;G&amp;C&amp;"-,Bold"&amp;20Sample Menu Grades 
K-5 - Week #4&amp;"-,Regular"&amp;12
 (To meet requirements for K-5 and K-8, see footnote at bottom)&amp;"-,Bold"&amp;14               </oddHeader>
    <oddFooter xml:space="preserve">&amp;L*  Nutrition analysis consists of a variety of salad dressing &amp;C&amp;"-,Bold"For grades K-8 or 6-8, add 1 oz. cheese stick with the PBJ on Tuesday
Revised Weekly Average:  Calories 646, Saturated fat, 7.38, Sodium 1438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Menu K-5 (3)</vt:lpstr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2012-11-07T17:44:05Z</cp:lastPrinted>
  <dcterms:created xsi:type="dcterms:W3CDTF">2012-06-06T19:00:50Z</dcterms:created>
  <dcterms:modified xsi:type="dcterms:W3CDTF">2012-11-08T19:51:28Z</dcterms:modified>
</cp:coreProperties>
</file>