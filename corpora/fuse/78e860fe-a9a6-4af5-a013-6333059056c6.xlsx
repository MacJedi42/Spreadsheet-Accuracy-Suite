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45" windowWidth="12615" windowHeight="12435" activeTab="1"/>
  </bookViews>
  <sheets>
    <sheet name="Landbirds in the BPE" sheetId="1" r:id="rId1"/>
    <sheet name="Landbirds in the JCA region" sheetId="11" r:id="rId2"/>
    <sheet name="Neotropical Migrants" sheetId="2" r:id="rId3"/>
    <sheet name="Old Forest" sheetId="3" r:id="rId4"/>
    <sheet name="Forest Interior" sheetId="4" r:id="rId5"/>
    <sheet name="Winter Resident" sheetId="5" r:id="rId6"/>
    <sheet name="Species at Risk" sheetId="6" r:id="rId7"/>
    <sheet name="Human Associated" sheetId="7" r:id="rId8"/>
    <sheet name="Human Footprint" sheetId="8" r:id="rId9"/>
    <sheet name="Protected Areas" sheetId="10" r:id="rId10"/>
    <sheet name="Trees and snags" sheetId="9" r:id="rId11"/>
  </sheets>
  <definedNames>
    <definedName name="_xlnm._FilterDatabase" localSheetId="0" hidden="1">'Landbirds in the BPE'!$A$1:$L$77</definedName>
  </definedNames>
  <calcPr calcId="145621"/>
</workbook>
</file>

<file path=xl/calcChain.xml><?xml version="1.0" encoding="utf-8"?>
<calcChain xmlns="http://schemas.openxmlformats.org/spreadsheetml/2006/main">
  <c r="R79" i="1"/>
  <c r="Q79" i="11"/>
  <c r="D22" i="7"/>
  <c r="D18" i="6"/>
  <c r="D16" i="5"/>
  <c r="D14" i="4"/>
  <c r="D35" i="2"/>
  <c r="D17" i="3"/>
</calcChain>
</file>

<file path=xl/sharedStrings.xml><?xml version="1.0" encoding="utf-8"?>
<sst xmlns="http://schemas.openxmlformats.org/spreadsheetml/2006/main" count="1963" uniqueCount="339">
  <si>
    <t>Birds - Breeding Bird Surveys</t>
  </si>
  <si>
    <t>Management Information</t>
  </si>
  <si>
    <t>Summary Statistics</t>
  </si>
  <si>
    <t>Intactness Index on a 0-100 Scale</t>
  </si>
  <si>
    <t>Intactness Index and Confidence Intervals on a 0-200 Scale</t>
  </si>
  <si>
    <t>Analytical Key</t>
  </si>
  <si>
    <t>Species (Common Name)</t>
  </si>
  <si>
    <t>Species (Scientific Name)</t>
  </si>
  <si>
    <t>ABMI Protocol</t>
  </si>
  <si>
    <t>Native Status</t>
  </si>
  <si>
    <t>Threat</t>
  </si>
  <si>
    <t>Neotropical Migrant Guild?</t>
  </si>
  <si>
    <t>Old Forest Specialist Guild?</t>
  </si>
  <si>
    <t>Forest Interior Guild?</t>
  </si>
  <si>
    <t>Winter Resident Guild?</t>
  </si>
  <si>
    <t>Human Associated Guild</t>
  </si>
  <si>
    <t>Species at risk</t>
  </si>
  <si>
    <t>Occurrence in the Boreal Plains Ecozone (%)</t>
  </si>
  <si>
    <t>Relative Abundance (mean detections per ABMI site)</t>
  </si>
  <si>
    <t>Reference Abundance per Site (expected modeled abundance under zero human development)</t>
  </si>
  <si>
    <t>Intactness Index (0-100 scale)</t>
  </si>
  <si>
    <t>Above or Below Reference Conditions</t>
  </si>
  <si>
    <t>Intactness Index  5th Percentile</t>
  </si>
  <si>
    <t>Intactness Index 10th Percentile</t>
  </si>
  <si>
    <t xml:space="preserve">Intactness Index </t>
  </si>
  <si>
    <t>Intactness Index 90th Percentile</t>
  </si>
  <si>
    <t>Intactness Index 95th Percentile</t>
  </si>
  <si>
    <t>AlderFlycatcher</t>
  </si>
  <si>
    <t>Alder Flycatcher</t>
  </si>
  <si>
    <t>Empidonax alnorum</t>
  </si>
  <si>
    <t>Breeding Birds</t>
  </si>
  <si>
    <t>Native</t>
  </si>
  <si>
    <t>ESRD - Secure</t>
  </si>
  <si>
    <t>Above</t>
  </si>
  <si>
    <t>AmericanCrow</t>
  </si>
  <si>
    <t>American Crow</t>
  </si>
  <si>
    <t>Corvus brachyrhynchos</t>
  </si>
  <si>
    <t>Yes</t>
  </si>
  <si>
    <t>AmericanGoldfinch</t>
  </si>
  <si>
    <t>American Goldfinch</t>
  </si>
  <si>
    <t>Carduelis tristis</t>
  </si>
  <si>
    <t>AmericanRedstart</t>
  </si>
  <si>
    <t>American Redstart</t>
  </si>
  <si>
    <t>Setophaga ruticilla</t>
  </si>
  <si>
    <t>Below</t>
  </si>
  <si>
    <t>AmericanRobin</t>
  </si>
  <si>
    <t>American Robin</t>
  </si>
  <si>
    <t>Turdus migratorius</t>
  </si>
  <si>
    <t>BankSwallow</t>
  </si>
  <si>
    <t>Bank Swallow</t>
  </si>
  <si>
    <t>Riparia riparia</t>
  </si>
  <si>
    <t>BarnSwallow</t>
  </si>
  <si>
    <t>Barn Swallow</t>
  </si>
  <si>
    <t>Hirundo rustica</t>
  </si>
  <si>
    <t>ESRD - Sensitive</t>
  </si>
  <si>
    <t>BaybreastedWarbler</t>
  </si>
  <si>
    <t>Bay-breasted Warbler</t>
  </si>
  <si>
    <t>Dendroica castanea</t>
  </si>
  <si>
    <t>ESRD - Sensitive | AB ESCC 2010 - In Process</t>
  </si>
  <si>
    <t>BlackandWhiteWarbler</t>
  </si>
  <si>
    <t>Black and White Warbler</t>
  </si>
  <si>
    <t>Mniotilta varia</t>
  </si>
  <si>
    <t>BlackbilledMagpie</t>
  </si>
  <si>
    <t>Black-billed Magpie</t>
  </si>
  <si>
    <t>Pica hudsonia</t>
  </si>
  <si>
    <t>BlackcappedChickadee</t>
  </si>
  <si>
    <t>Black-capped Chickadee</t>
  </si>
  <si>
    <t>Poecile atricapillus</t>
  </si>
  <si>
    <t>BlackpollWarbler</t>
  </si>
  <si>
    <t>Blackpoll Warbler</t>
  </si>
  <si>
    <t>Dendroica striata</t>
  </si>
  <si>
    <t>BlackthroatedGreenWarbler</t>
  </si>
  <si>
    <t>Black-throated Green Warbler</t>
  </si>
  <si>
    <t>Dendroica virens</t>
  </si>
  <si>
    <t>ESRD - Sensitive | AB ESCC 2010 - Species of Special Concern</t>
  </si>
  <si>
    <t>BlueheadedsolitaryVireo</t>
  </si>
  <si>
    <t>Blue-headed (solitary) Vireo</t>
  </si>
  <si>
    <t>Vireo solitarius</t>
  </si>
  <si>
    <t>BlueJay</t>
  </si>
  <si>
    <t>Blue Jay</t>
  </si>
  <si>
    <t>Cyanocitta cristata</t>
  </si>
  <si>
    <t>BorealChickadee</t>
  </si>
  <si>
    <t>Boreal Chickadee</t>
  </si>
  <si>
    <t>Poecile hudsonica</t>
  </si>
  <si>
    <t>BrewersBlackbird</t>
  </si>
  <si>
    <t>Brewer's Blackbird</t>
  </si>
  <si>
    <t>Euphagus cyanocephalus</t>
  </si>
  <si>
    <t>BrownCreeper</t>
  </si>
  <si>
    <t>Brown Creeper</t>
  </si>
  <si>
    <t>Certhia americana</t>
  </si>
  <si>
    <t>BrownheadedCowbird</t>
  </si>
  <si>
    <t>Brown-headed Cowbird</t>
  </si>
  <si>
    <t>Molothrus ater</t>
  </si>
  <si>
    <t>CanadaWarbler</t>
  </si>
  <si>
    <t>Canada Warbler</t>
  </si>
  <si>
    <t>Wilsonia canadensis</t>
  </si>
  <si>
    <t>ESRD - Sensitive | COSEWIC - Threatened | SARA - Threatened</t>
  </si>
  <si>
    <t>CapeMayWarbler</t>
  </si>
  <si>
    <t>Cape May Warbler</t>
  </si>
  <si>
    <t>Dendroica tigrina</t>
  </si>
  <si>
    <t>CedarWaxwing</t>
  </si>
  <si>
    <t>Cedar Waxwing</t>
  </si>
  <si>
    <t>Bombycilla cedrorum</t>
  </si>
  <si>
    <t>ChippingSparrow</t>
  </si>
  <si>
    <t>Chipping Sparrow</t>
  </si>
  <si>
    <t>Spizella passerina</t>
  </si>
  <si>
    <t>ClaycoloredSparrow</t>
  </si>
  <si>
    <t>Clay-colored Sparrow</t>
  </si>
  <si>
    <t>Spizella pallida</t>
  </si>
  <si>
    <t>CommonRaven</t>
  </si>
  <si>
    <t>Common Raven</t>
  </si>
  <si>
    <t>Corvus corax</t>
  </si>
  <si>
    <t>CommonYellowthroat</t>
  </si>
  <si>
    <t>Common Yellowthroat</t>
  </si>
  <si>
    <t>Geothlypis trichas</t>
  </si>
  <si>
    <t>ConnecticutWarbler</t>
  </si>
  <si>
    <t>Connecticut Warbler</t>
  </si>
  <si>
    <t>Oporornis agilis</t>
  </si>
  <si>
    <t>DarkeyedJunco</t>
  </si>
  <si>
    <t>Dark-eyed Junco</t>
  </si>
  <si>
    <t>Junco hyemalis</t>
  </si>
  <si>
    <t>EuropeanStarling</t>
  </si>
  <si>
    <t>European Starling</t>
  </si>
  <si>
    <t>Sturnus vulgaris</t>
  </si>
  <si>
    <t>Non-Native</t>
  </si>
  <si>
    <t>EveningGrosbeak</t>
  </si>
  <si>
    <t>Evening Grosbeak</t>
  </si>
  <si>
    <t>Coccothraustes vespertinus</t>
  </si>
  <si>
    <t>FoxSparrow</t>
  </si>
  <si>
    <t>Fox Sparrow</t>
  </si>
  <si>
    <t>Passerella iliaca</t>
  </si>
  <si>
    <t>GoldencrownedKinglet</t>
  </si>
  <si>
    <t>Golden-crowned Kinglet</t>
  </si>
  <si>
    <t>Regulus satrapa</t>
  </si>
  <si>
    <t>GrayJay</t>
  </si>
  <si>
    <t>Gray Jay</t>
  </si>
  <si>
    <t>Perisoreus canadensis</t>
  </si>
  <si>
    <t>HairyWoodpecker</t>
  </si>
  <si>
    <t>Hairy Woodpecker</t>
  </si>
  <si>
    <t>Picoides villosus</t>
  </si>
  <si>
    <t>HermitThrush</t>
  </si>
  <si>
    <t>Hermit Thrush</t>
  </si>
  <si>
    <t>Catharus guttatus</t>
  </si>
  <si>
    <t>HouseWren</t>
  </si>
  <si>
    <t>House Wren</t>
  </si>
  <si>
    <t>Troglodytes aedon</t>
  </si>
  <si>
    <t>LeastFlycatcher</t>
  </si>
  <si>
    <t>Least Flycatcher</t>
  </si>
  <si>
    <t>Empidonax minimus</t>
  </si>
  <si>
    <t>LeContesSparrow</t>
  </si>
  <si>
    <t>Le Conte's Sparrow</t>
  </si>
  <si>
    <t>Ammodramus leconteii</t>
  </si>
  <si>
    <t>LincolnsSparrow</t>
  </si>
  <si>
    <t>Lincoln's Sparrow</t>
  </si>
  <si>
    <t>Melospiza lincolnii</t>
  </si>
  <si>
    <t>MagnoliaWarbler</t>
  </si>
  <si>
    <t>Magnolia Warbler</t>
  </si>
  <si>
    <t>Dendroica magnolia</t>
  </si>
  <si>
    <t>MourningWarbler</t>
  </si>
  <si>
    <t>Mourning Warbler</t>
  </si>
  <si>
    <t>Oporornis philadelphia</t>
  </si>
  <si>
    <t>NorthernFlicker</t>
  </si>
  <si>
    <t>Northern Flicker</t>
  </si>
  <si>
    <t>Colaptes auratus</t>
  </si>
  <si>
    <t>NorthernWaterthrush</t>
  </si>
  <si>
    <t>Northern Waterthrush</t>
  </si>
  <si>
    <t>Parkesia noveboracensis</t>
  </si>
  <si>
    <t>OlivesidedFlycatcher</t>
  </si>
  <si>
    <t>Olive-sided Flycatcher</t>
  </si>
  <si>
    <t>Contopus cooperi</t>
  </si>
  <si>
    <t>ESRD - May Be at Risk | COSEWIC - Threatened | SARA - Threatened</t>
  </si>
  <si>
    <t>OrangecrownedWarbler</t>
  </si>
  <si>
    <t>Orange-crowned Warbler</t>
  </si>
  <si>
    <t>Oreothlypis celata</t>
  </si>
  <si>
    <t>Ovenbird</t>
  </si>
  <si>
    <t>Seiurus aurocapilla</t>
  </si>
  <si>
    <t>PalmWarbler</t>
  </si>
  <si>
    <t>Palm Warbler</t>
  </si>
  <si>
    <t>Dendroica palmarum</t>
  </si>
  <si>
    <t>PileatedWoodpecker</t>
  </si>
  <si>
    <t>Pileated Woodpecker</t>
  </si>
  <si>
    <t>Dryocopus pileatus</t>
  </si>
  <si>
    <t>PineSiskin</t>
  </si>
  <si>
    <t>Pine Siskin</t>
  </si>
  <si>
    <t>Carduelis pinus</t>
  </si>
  <si>
    <t>RedbreastedNuthatch</t>
  </si>
  <si>
    <t>Red-breasted Nuthatch</t>
  </si>
  <si>
    <t>Sitta canadensis</t>
  </si>
  <si>
    <t>RedeyedVireo</t>
  </si>
  <si>
    <t>Red-eyed Vireo</t>
  </si>
  <si>
    <t>Vireo olivaceus</t>
  </si>
  <si>
    <t>RedwingedBlackbird</t>
  </si>
  <si>
    <t>Red-winged Blackbird</t>
  </si>
  <si>
    <t>Agelaius phoeniceus</t>
  </si>
  <si>
    <t>RosebreastedGrosbeak</t>
  </si>
  <si>
    <t>Rose-breasted Grosbeak</t>
  </si>
  <si>
    <t>Pheucticus ludovicianus</t>
  </si>
  <si>
    <t>RubycrownedKinglet</t>
  </si>
  <si>
    <t>Ruby-crowned Kinglet</t>
  </si>
  <si>
    <t>Regulus calendula</t>
  </si>
  <si>
    <t>RuffedGrouse</t>
  </si>
  <si>
    <t>Ruffed Grouse</t>
  </si>
  <si>
    <t>Bonasa umbellus</t>
  </si>
  <si>
    <t>RustyBlackbird</t>
  </si>
  <si>
    <t>Rusty Blackbird</t>
  </si>
  <si>
    <t>Euphagus carolinus</t>
  </si>
  <si>
    <t>ESRD - Sensitive | COSEWIC - Special Concern | SARA - Special Concern</t>
  </si>
  <si>
    <t>SavannahSparrow</t>
  </si>
  <si>
    <t>Savannah Sparrow</t>
  </si>
  <si>
    <t>Passerculus sandwichensis</t>
  </si>
  <si>
    <t>SongSparrow</t>
  </si>
  <si>
    <t>Song Sparrow</t>
  </si>
  <si>
    <t>Melospiza melodia</t>
  </si>
  <si>
    <t>SwainsonsThrush</t>
  </si>
  <si>
    <t>Swainson's Thrush</t>
  </si>
  <si>
    <t>Catharus ustulatus</t>
  </si>
  <si>
    <t>SwampSparrow</t>
  </si>
  <si>
    <t>Swamp Sparrow</t>
  </si>
  <si>
    <t>Melospiza georgiana</t>
  </si>
  <si>
    <t>TennesseeWarbler</t>
  </si>
  <si>
    <t>Tennessee Warbler</t>
  </si>
  <si>
    <t>Oreothlypis peregrina</t>
  </si>
  <si>
    <t>TreeSwallow</t>
  </si>
  <si>
    <t>Tree Swallow</t>
  </si>
  <si>
    <t>Tachycineta bicolor</t>
  </si>
  <si>
    <t>VesperSparrow</t>
  </si>
  <si>
    <t>Vesper Sparrow</t>
  </si>
  <si>
    <t>Pooecetes gramineus</t>
  </si>
  <si>
    <t>WarblingVireo</t>
  </si>
  <si>
    <t>Warbling Vireo</t>
  </si>
  <si>
    <t>Vireo gilvus</t>
  </si>
  <si>
    <t>WesternTanager</t>
  </si>
  <si>
    <t>Western Tanager</t>
  </si>
  <si>
    <t>Piranga ludoviciana</t>
  </si>
  <si>
    <t>WesternWoodPewee</t>
  </si>
  <si>
    <t>Western Wood Pewee</t>
  </si>
  <si>
    <t>Contopus sordidulus</t>
  </si>
  <si>
    <t>WhitethroatedSparrow</t>
  </si>
  <si>
    <t>White-throated Sparrow</t>
  </si>
  <si>
    <t>Zonotrichia albicollis</t>
  </si>
  <si>
    <t>WhitewingedCrossbill</t>
  </si>
  <si>
    <t>White-winged Crossbill</t>
  </si>
  <si>
    <t>Loxia leucoptera</t>
  </si>
  <si>
    <t>WilsonsWarbler</t>
  </si>
  <si>
    <t>Wilson's Warbler</t>
  </si>
  <si>
    <t>Wilsonia pusilla</t>
  </si>
  <si>
    <t>WinterWren</t>
  </si>
  <si>
    <t>Winter Wren</t>
  </si>
  <si>
    <t>Troglodytes troglodytes</t>
  </si>
  <si>
    <t>YellowbelliedFlycatcher</t>
  </si>
  <si>
    <t>Yellow-bellied Flycatcher</t>
  </si>
  <si>
    <t>Empidonax flaviventris</t>
  </si>
  <si>
    <t>ESRD - Undetermined</t>
  </si>
  <si>
    <t>YellowbelliedSapsucker</t>
  </si>
  <si>
    <t>Yellow-bellied Sapsucker</t>
  </si>
  <si>
    <t>Sphyrapicus varius</t>
  </si>
  <si>
    <t>YellowrumpedWarbler</t>
  </si>
  <si>
    <t>Yellow-rumped Warbler</t>
  </si>
  <si>
    <t>Dendroica coronata</t>
  </si>
  <si>
    <t>YellowWarbler</t>
  </si>
  <si>
    <t>Yellow Warbler</t>
  </si>
  <si>
    <t>Dendroica petechia</t>
  </si>
  <si>
    <t>Common Name (ABMI)</t>
  </si>
  <si>
    <t>Intactness (%)</t>
  </si>
  <si>
    <t>Relative to Reference</t>
  </si>
  <si>
    <t>Average Intactness</t>
  </si>
  <si>
    <t xml:space="preserve">ESRD - Sensitive | COSEWIC - Threatened </t>
  </si>
  <si>
    <t>Human Development Category</t>
  </si>
  <si>
    <t>Cultivation and Irrigation Infrastructure</t>
  </si>
  <si>
    <t>Residential, Commercial, and Energy Infrastructure</t>
  </si>
  <si>
    <t>Transportation Infrastructure</t>
  </si>
  <si>
    <t>Forest Harvesting</t>
  </si>
  <si>
    <t>Total Human Development (%)</t>
  </si>
  <si>
    <r>
      <rPr>
        <b/>
        <sz val="11"/>
        <color indexed="8"/>
        <rFont val="Calibri"/>
        <family val="2"/>
      </rPr>
      <t>Table 1</t>
    </r>
    <r>
      <rPr>
        <sz val="11"/>
        <color theme="1"/>
        <rFont val="Calibri"/>
        <family val="2"/>
        <scheme val="minor"/>
      </rPr>
      <t>. Percentage Human Development in the entire Boreal Plains Ecozone and nested ecoregions (circa 2010; ABMI source data)</t>
    </r>
  </si>
  <si>
    <t>Boreal Transition</t>
  </si>
  <si>
    <t>Clear Hills Upland</t>
  </si>
  <si>
    <t xml:space="preserve">Mid-Boreal Uplands </t>
  </si>
  <si>
    <t>Peace Lowland</t>
  </si>
  <si>
    <t>Slave River Lowland</t>
  </si>
  <si>
    <t>Wabasca Lowland</t>
  </si>
  <si>
    <t>Western Alberta Upland</t>
  </si>
  <si>
    <t>Western Boreal</t>
  </si>
  <si>
    <t>Total human footprint (%)</t>
  </si>
  <si>
    <t>&lt;1</t>
  </si>
  <si>
    <t>Percent Human Footprint (%)</t>
  </si>
  <si>
    <t>Total Human Footprint (%)</t>
  </si>
  <si>
    <r>
      <rPr>
        <b/>
        <sz val="11"/>
        <color indexed="8"/>
        <rFont val="Calibri"/>
        <family val="2"/>
      </rPr>
      <t>Table 2.</t>
    </r>
    <r>
      <rPr>
        <sz val="11"/>
        <color theme="1"/>
        <rFont val="Calibri"/>
        <family val="2"/>
        <scheme val="minor"/>
      </rPr>
      <t xml:space="preserve"> Percentage of human development in the JCA Oil Sands Region (circa 2010; ABMI source data)</t>
    </r>
  </si>
  <si>
    <t>Variable</t>
  </si>
  <si>
    <t>Units</t>
  </si>
  <si>
    <t>5%</t>
  </si>
  <si>
    <t>Median</t>
  </si>
  <si>
    <t>90%</t>
  </si>
  <si>
    <t>95%</t>
  </si>
  <si>
    <t>Tree and Snag BA (m2/ha)</t>
  </si>
  <si>
    <t>Live Deciduous &lt;7cm</t>
  </si>
  <si>
    <t>m2/ha</t>
  </si>
  <si>
    <t>Live Deciduous 7-25cm</t>
  </si>
  <si>
    <t>Live Deciduous &gt;25cm</t>
  </si>
  <si>
    <t>Live Deciduous all</t>
  </si>
  <si>
    <t>Live Upland Conifer &lt;7cm</t>
  </si>
  <si>
    <t>Live Upland Conifer 7-25cm</t>
  </si>
  <si>
    <t>Live Upland Conifer &gt;25cm</t>
  </si>
  <si>
    <t>Live Upland Conifer all</t>
  </si>
  <si>
    <t>Live Lowland Conifer &lt;7cm</t>
  </si>
  <si>
    <t>Live Lowland Conifer 7-25cm</t>
  </si>
  <si>
    <t>Live Lowland Conifer &gt;25cm</t>
  </si>
  <si>
    <t>Live Lowland Conifer all</t>
  </si>
  <si>
    <t>All Snags &lt;7cm</t>
  </si>
  <si>
    <t>All Snags 7-25cm</t>
  </si>
  <si>
    <t>All Snags &gt;25cm</t>
  </si>
  <si>
    <t>All Snags all</t>
  </si>
  <si>
    <t>DWD Volume (m2/ha)</t>
  </si>
  <si>
    <t>All DWD 7-13cm</t>
  </si>
  <si>
    <t>m3/ha</t>
  </si>
  <si>
    <t>All DWD 13-19cm</t>
  </si>
  <si>
    <t>All DWD 19-25cm</t>
  </si>
  <si>
    <t>All DWD &gt;25cm</t>
  </si>
  <si>
    <t>All DWD all</t>
  </si>
  <si>
    <t>10%</t>
  </si>
  <si>
    <t>"Live Lowland Conifer" category includes black spruce, tamarack, jack pine; the remaining conifer species were included in the "Live Upland Conifer" category.</t>
  </si>
  <si>
    <t>Reference (Expected Abundance Under No Footprint)</t>
  </si>
  <si>
    <t>Observed Abundance (Fitted at Current Footprint)</t>
  </si>
  <si>
    <t>Percentage of Ecoregion Managed as Protected Area</t>
  </si>
  <si>
    <t>Protected Area (km^2)</t>
  </si>
  <si>
    <t>Total Area (km^2)</t>
  </si>
  <si>
    <t>Alberta's Boreal Plains Ecozone</t>
  </si>
  <si>
    <t xml:space="preserve">Boreal Transition </t>
  </si>
  <si>
    <t xml:space="preserve">Clear Hills Upland </t>
  </si>
  <si>
    <t xml:space="preserve">Peace Lowland </t>
  </si>
  <si>
    <t xml:space="preserve">Slave River Lowland </t>
  </si>
  <si>
    <t xml:space="preserve">Wabasca Lowland </t>
  </si>
  <si>
    <t xml:space="preserve">Western Alberta Upland </t>
  </si>
  <si>
    <t xml:space="preserve">Western Boreal </t>
  </si>
  <si>
    <t>Ecoregion</t>
  </si>
  <si>
    <t>Gross Boreal Plains Ecoregion</t>
  </si>
  <si>
    <t>JCA Oil Sands Region</t>
  </si>
  <si>
    <t>Relative Abundance (mean detections per ABMI site; maximum 9)</t>
  </si>
  <si>
    <t>BPE Intactness (%)</t>
  </si>
  <si>
    <t>JCA Intactness (%)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</si>
</sst>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599963377788628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1" xfId="0" applyFill="1" applyBorder="1"/>
    <xf numFmtId="0" fontId="0" fillId="0" borderId="0" xfId="0" applyFill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Border="1"/>
    <xf numFmtId="1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Border="1"/>
    <xf numFmtId="0" fontId="6" fillId="0" borderId="0" xfId="0" applyFont="1"/>
    <xf numFmtId="1" fontId="0" fillId="0" borderId="0" xfId="0" applyNumberFormat="1" applyFill="1"/>
    <xf numFmtId="0" fontId="0" fillId="0" borderId="3" xfId="0" applyBorder="1"/>
    <xf numFmtId="1" fontId="0" fillId="0" borderId="3" xfId="0" applyNumberFormat="1" applyBorder="1" applyAlignment="1">
      <alignment horizontal="center"/>
    </xf>
    <xf numFmtId="0" fontId="0" fillId="2" borderId="0" xfId="0" applyFill="1" applyAlignment="1">
      <alignment vertical="center"/>
    </xf>
    <xf numFmtId="0" fontId="8" fillId="3" borderId="0" xfId="0" applyFont="1" applyFill="1" applyAlignment="1">
      <alignment vertical="center" wrapText="1"/>
    </xf>
    <xf numFmtId="1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" fontId="1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" fontId="10" fillId="3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0" fillId="0" borderId="4" xfId="0" applyFill="1" applyBorder="1" applyAlignment="1">
      <alignment vertical="center"/>
    </xf>
    <xf numFmtId="1" fontId="10" fillId="0" borderId="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" fontId="0" fillId="3" borderId="0" xfId="0" applyNumberFormat="1" applyFill="1" applyAlignment="1">
      <alignment horizontal="center"/>
    </xf>
    <xf numFmtId="0" fontId="0" fillId="3" borderId="0" xfId="0" applyFill="1"/>
    <xf numFmtId="0" fontId="0" fillId="0" borderId="4" xfId="0" applyFill="1" applyBorder="1"/>
    <xf numFmtId="1" fontId="0" fillId="0" borderId="4" xfId="0" applyNumberForma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Border="1"/>
    <xf numFmtId="2" fontId="1" fillId="0" borderId="0" xfId="0" applyNumberFormat="1" applyFont="1" applyBorder="1"/>
    <xf numFmtId="2" fontId="0" fillId="0" borderId="0" xfId="0" applyNumberFormat="1" applyFill="1"/>
    <xf numFmtId="2" fontId="1" fillId="0" borderId="0" xfId="0" applyNumberFormat="1" applyFont="1" applyFill="1"/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1" fontId="0" fillId="0" borderId="0" xfId="0" applyNumberFormat="1"/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2" fontId="0" fillId="0" borderId="5" xfId="0" applyNumberFormat="1" applyBorder="1"/>
    <xf numFmtId="2" fontId="1" fillId="0" borderId="5" xfId="0" applyNumberFormat="1" applyFont="1" applyBorder="1"/>
    <xf numFmtId="0" fontId="0" fillId="0" borderId="5" xfId="0" applyFill="1" applyBorder="1"/>
    <xf numFmtId="2" fontId="0" fillId="0" borderId="5" xfId="0" applyNumberFormat="1" applyFill="1" applyBorder="1"/>
    <xf numFmtId="2" fontId="1" fillId="0" borderId="5" xfId="0" applyNumberFormat="1" applyFont="1" applyFill="1" applyBorder="1"/>
    <xf numFmtId="0" fontId="0" fillId="0" borderId="3" xfId="0" applyFont="1" applyBorder="1"/>
    <xf numFmtId="49" fontId="0" fillId="0" borderId="3" xfId="0" applyNumberFormat="1" applyFont="1" applyBorder="1"/>
    <xf numFmtId="49" fontId="0" fillId="0" borderId="0" xfId="0" applyNumberFormat="1" applyFont="1"/>
    <xf numFmtId="0" fontId="1" fillId="3" borderId="6" xfId="0" applyFont="1" applyFill="1" applyBorder="1"/>
    <xf numFmtId="0" fontId="12" fillId="3" borderId="6" xfId="0" applyFont="1" applyFill="1" applyBorder="1" applyAlignment="1">
      <alignment wrapText="1"/>
    </xf>
    <xf numFmtId="164" fontId="11" fillId="0" borderId="0" xfId="0" applyNumberFormat="1" applyFont="1" applyFill="1" applyBorder="1" applyAlignment="1">
      <alignment horizontal="center"/>
    </xf>
    <xf numFmtId="3" fontId="0" fillId="0" borderId="0" xfId="0" applyNumberFormat="1" applyFill="1" applyBorder="1"/>
    <xf numFmtId="0" fontId="0" fillId="3" borderId="0" xfId="0" applyFill="1" applyBorder="1"/>
    <xf numFmtId="3" fontId="0" fillId="3" borderId="0" xfId="0" applyNumberFormat="1" applyFill="1" applyBorder="1"/>
    <xf numFmtId="164" fontId="11" fillId="3" borderId="0" xfId="0" applyNumberFormat="1" applyFont="1" applyFill="1" applyBorder="1" applyAlignment="1">
      <alignment horizontal="center"/>
    </xf>
    <xf numFmtId="0" fontId="0" fillId="0" borderId="7" xfId="0" applyFill="1" applyBorder="1"/>
    <xf numFmtId="3" fontId="0" fillId="0" borderId="7" xfId="0" applyNumberFormat="1" applyFill="1" applyBorder="1"/>
    <xf numFmtId="164" fontId="11" fillId="0" borderId="7" xfId="0" applyNumberFormat="1" applyFont="1" applyFill="1" applyBorder="1" applyAlignment="1">
      <alignment horizontal="center"/>
    </xf>
    <xf numFmtId="0" fontId="7" fillId="3" borderId="2" xfId="0" applyFont="1" applyFill="1" applyBorder="1"/>
    <xf numFmtId="0" fontId="8" fillId="3" borderId="2" xfId="0" applyFont="1" applyFill="1" applyBorder="1"/>
    <xf numFmtId="0" fontId="7" fillId="3" borderId="2" xfId="0" applyFont="1" applyFill="1" applyBorder="1" applyAlignment="1">
      <alignment horizontal="center" wrapText="1"/>
    </xf>
    <xf numFmtId="0" fontId="1" fillId="3" borderId="2" xfId="0" applyFont="1" applyFill="1" applyBorder="1"/>
    <xf numFmtId="0" fontId="0" fillId="0" borderId="3" xfId="0" applyFill="1" applyBorder="1"/>
    <xf numFmtId="1" fontId="0" fillId="0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0"/>
  <sheetViews>
    <sheetView topLeftCell="A55" zoomScale="70" zoomScaleNormal="70" workbookViewId="0">
      <selection activeCell="N64" sqref="A64:N64"/>
    </sheetView>
  </sheetViews>
  <sheetFormatPr defaultRowHeight="15"/>
  <cols>
    <col min="1" max="1" width="29.28515625" style="1" customWidth="1"/>
    <col min="2" max="2" width="31" style="1" customWidth="1"/>
    <col min="3" max="5" width="28.5703125" style="1" customWidth="1"/>
    <col min="6" max="6" width="29.85546875" style="1" customWidth="1"/>
    <col min="7" max="12" width="12.7109375" style="1" customWidth="1"/>
    <col min="13" max="13" width="11.7109375" style="1" customWidth="1"/>
    <col min="14" max="14" width="26.28515625" style="1" customWidth="1"/>
    <col min="15" max="15" width="21.85546875" style="1" customWidth="1"/>
    <col min="16" max="16" width="21.7109375" style="1" customWidth="1"/>
    <col min="17" max="17" width="19.7109375" style="1" customWidth="1"/>
    <col min="18" max="18" width="23.85546875" style="1" customWidth="1"/>
    <col min="19" max="19" width="30.42578125" style="1" customWidth="1"/>
    <col min="20" max="20" width="9.140625" style="1"/>
    <col min="21" max="25" width="21.28515625" style="1" customWidth="1"/>
    <col min="26" max="26" width="9.140625" style="1"/>
    <col min="27" max="27" width="13.28515625" style="4" customWidth="1"/>
    <col min="28" max="16384" width="9.140625" style="1"/>
  </cols>
  <sheetData>
    <row r="1" spans="1:27" ht="15.75" thickBot="1">
      <c r="B1" s="2" t="s">
        <v>0</v>
      </c>
      <c r="E1" s="3"/>
      <c r="F1" s="3"/>
      <c r="G1" s="3"/>
      <c r="H1" s="3"/>
      <c r="I1" s="3"/>
      <c r="J1" s="3"/>
      <c r="K1" s="3"/>
      <c r="L1" s="3"/>
      <c r="N1" s="3"/>
      <c r="O1" s="3"/>
      <c r="P1" s="3"/>
      <c r="R1" s="3"/>
      <c r="S1" s="3"/>
      <c r="U1" s="3"/>
      <c r="V1" s="3"/>
      <c r="W1" s="3"/>
      <c r="X1" s="3"/>
      <c r="Y1" s="3"/>
    </row>
    <row r="2" spans="1:27">
      <c r="B2" s="5" t="s">
        <v>334</v>
      </c>
      <c r="E2" s="1" t="s">
        <v>1</v>
      </c>
      <c r="N2" s="1" t="s">
        <v>2</v>
      </c>
      <c r="R2" s="1" t="s">
        <v>3</v>
      </c>
      <c r="U2" s="1" t="s">
        <v>4</v>
      </c>
    </row>
    <row r="3" spans="1:27" s="6" customFormat="1" ht="59.25" customHeight="1" thickBot="1">
      <c r="A3" s="6" t="s">
        <v>5</v>
      </c>
      <c r="B3" s="6" t="s">
        <v>6</v>
      </c>
      <c r="C3" s="6" t="s">
        <v>7</v>
      </c>
      <c r="D3" s="6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N3" s="8" t="s">
        <v>17</v>
      </c>
      <c r="O3" s="8" t="s">
        <v>336</v>
      </c>
      <c r="P3" s="8" t="s">
        <v>19</v>
      </c>
      <c r="Q3" s="9"/>
      <c r="R3" s="8" t="s">
        <v>20</v>
      </c>
      <c r="S3" s="7" t="s">
        <v>21</v>
      </c>
      <c r="U3" s="10" t="s">
        <v>22</v>
      </c>
      <c r="V3" s="10" t="s">
        <v>23</v>
      </c>
      <c r="W3" s="10" t="s">
        <v>24</v>
      </c>
      <c r="X3" s="10" t="s">
        <v>25</v>
      </c>
      <c r="Y3" s="10" t="s">
        <v>26</v>
      </c>
      <c r="AA3" s="9"/>
    </row>
    <row r="4" spans="1:27">
      <c r="A4" t="s">
        <v>27</v>
      </c>
      <c r="B4" s="11" t="s">
        <v>28</v>
      </c>
      <c r="C4" s="12" t="s">
        <v>29</v>
      </c>
      <c r="D4" s="1" t="s">
        <v>30</v>
      </c>
      <c r="E4" s="1" t="s">
        <v>31</v>
      </c>
      <c r="F4" s="13" t="s">
        <v>32</v>
      </c>
      <c r="G4" s="14" t="s">
        <v>37</v>
      </c>
      <c r="H4" s="14"/>
      <c r="I4"/>
      <c r="J4" s="14"/>
      <c r="K4"/>
      <c r="L4" s="14"/>
      <c r="N4" s="15">
        <v>40.07</v>
      </c>
      <c r="O4" s="17">
        <v>1.3930827932599901</v>
      </c>
      <c r="P4" s="17">
        <v>1.0762134834599399</v>
      </c>
      <c r="R4" s="15">
        <v>77.552935132499996</v>
      </c>
      <c r="S4" t="s">
        <v>33</v>
      </c>
      <c r="U4" s="15">
        <v>110.53682535798001</v>
      </c>
      <c r="V4" s="15">
        <v>113.994119148156</v>
      </c>
      <c r="W4" s="15">
        <v>122.4470648675</v>
      </c>
      <c r="X4" s="15">
        <v>131.80797943080699</v>
      </c>
      <c r="Y4" s="15">
        <v>133.83614441287199</v>
      </c>
    </row>
    <row r="5" spans="1:27">
      <c r="A5" t="s">
        <v>34</v>
      </c>
      <c r="B5" s="11" t="s">
        <v>35</v>
      </c>
      <c r="C5" s="12" t="s">
        <v>36</v>
      </c>
      <c r="D5" s="1" t="s">
        <v>30</v>
      </c>
      <c r="E5" s="1" t="s">
        <v>31</v>
      </c>
      <c r="F5" s="13" t="s">
        <v>32</v>
      </c>
      <c r="G5"/>
      <c r="H5" s="14"/>
      <c r="I5"/>
      <c r="J5"/>
      <c r="K5" s="14" t="s">
        <v>37</v>
      </c>
      <c r="L5"/>
      <c r="N5" s="15">
        <v>22.83</v>
      </c>
      <c r="O5" s="17">
        <v>0.96279895603882304</v>
      </c>
      <c r="P5" s="17">
        <v>0.25805541766180501</v>
      </c>
      <c r="R5" s="15">
        <v>26.395991650284998</v>
      </c>
      <c r="S5" t="s">
        <v>33</v>
      </c>
      <c r="U5" s="15">
        <v>155.49990048183099</v>
      </c>
      <c r="V5" s="15">
        <v>160.73688791095799</v>
      </c>
      <c r="W5" s="15">
        <v>173.604008349715</v>
      </c>
      <c r="X5" s="15">
        <v>184.44233274071101</v>
      </c>
      <c r="Y5" s="15">
        <v>186.34529599874401</v>
      </c>
    </row>
    <row r="6" spans="1:27">
      <c r="A6" t="s">
        <v>38</v>
      </c>
      <c r="B6" s="11" t="s">
        <v>39</v>
      </c>
      <c r="C6" s="12" t="s">
        <v>40</v>
      </c>
      <c r="D6" s="1" t="s">
        <v>30</v>
      </c>
      <c r="E6" s="1" t="s">
        <v>31</v>
      </c>
      <c r="F6" s="13" t="s">
        <v>32</v>
      </c>
      <c r="G6"/>
      <c r="H6" s="14"/>
      <c r="I6"/>
      <c r="J6"/>
      <c r="K6"/>
      <c r="L6"/>
      <c r="N6" s="15">
        <v>21.59</v>
      </c>
      <c r="O6" s="17">
        <v>0.43113504035038303</v>
      </c>
      <c r="P6" s="17">
        <v>0.24072068535362101</v>
      </c>
      <c r="R6" s="15">
        <v>56.057742851076995</v>
      </c>
      <c r="S6" t="s">
        <v>33</v>
      </c>
      <c r="U6" s="15">
        <v>109.620584326697</v>
      </c>
      <c r="V6" s="15">
        <v>118.904971228127</v>
      </c>
      <c r="W6" s="15">
        <v>143.94225714892301</v>
      </c>
      <c r="X6" s="15">
        <v>158.28705278046399</v>
      </c>
      <c r="Y6" s="15">
        <v>162.23554090727399</v>
      </c>
    </row>
    <row r="7" spans="1:27">
      <c r="A7" t="s">
        <v>41</v>
      </c>
      <c r="B7" s="11" t="s">
        <v>42</v>
      </c>
      <c r="C7" s="12" t="s">
        <v>43</v>
      </c>
      <c r="D7" s="1" t="s">
        <v>30</v>
      </c>
      <c r="E7" s="1" t="s">
        <v>31</v>
      </c>
      <c r="F7" s="13" t="s">
        <v>32</v>
      </c>
      <c r="G7" s="14" t="s">
        <v>37</v>
      </c>
      <c r="H7" s="14"/>
      <c r="I7"/>
      <c r="J7" s="14"/>
      <c r="K7"/>
      <c r="L7" s="14"/>
      <c r="N7" s="15">
        <v>38.54</v>
      </c>
      <c r="O7" s="17">
        <v>0.85039111904447695</v>
      </c>
      <c r="P7" s="17">
        <v>0.89867531094930697</v>
      </c>
      <c r="R7" s="15">
        <v>98.687206908788397</v>
      </c>
      <c r="S7" t="s">
        <v>44</v>
      </c>
      <c r="U7" s="15">
        <v>91.377172256528695</v>
      </c>
      <c r="V7" s="15">
        <v>92.525509104723895</v>
      </c>
      <c r="W7" s="15">
        <v>98.687206908788397</v>
      </c>
      <c r="X7" s="15">
        <v>101.286006559705</v>
      </c>
      <c r="Y7" s="15">
        <v>101.717336718003</v>
      </c>
    </row>
    <row r="8" spans="1:27">
      <c r="A8" t="s">
        <v>45</v>
      </c>
      <c r="B8" s="11" t="s">
        <v>46</v>
      </c>
      <c r="C8" s="12" t="s">
        <v>47</v>
      </c>
      <c r="D8" s="1" t="s">
        <v>30</v>
      </c>
      <c r="E8" s="1" t="s">
        <v>31</v>
      </c>
      <c r="F8" s="13" t="s">
        <v>32</v>
      </c>
      <c r="G8"/>
      <c r="H8" s="14"/>
      <c r="I8"/>
      <c r="J8"/>
      <c r="K8" s="14" t="s">
        <v>37</v>
      </c>
      <c r="L8"/>
      <c r="N8" s="15">
        <v>50.22</v>
      </c>
      <c r="O8" s="17">
        <v>2.1447827685031</v>
      </c>
      <c r="P8" s="17">
        <v>1.5580762586302399</v>
      </c>
      <c r="R8" s="15">
        <v>70.598115751089011</v>
      </c>
      <c r="S8" t="s">
        <v>33</v>
      </c>
      <c r="U8" s="15">
        <v>122.512152966174</v>
      </c>
      <c r="V8" s="15">
        <v>124.104996461735</v>
      </c>
      <c r="W8" s="15">
        <v>129.40188424891099</v>
      </c>
      <c r="X8" s="15">
        <v>136.36215398580899</v>
      </c>
      <c r="Y8" s="15">
        <v>138.073104132038</v>
      </c>
    </row>
    <row r="9" spans="1:27">
      <c r="A9" t="s">
        <v>48</v>
      </c>
      <c r="B9" s="11" t="s">
        <v>49</v>
      </c>
      <c r="C9" s="12" t="s">
        <v>50</v>
      </c>
      <c r="D9" s="1" t="s">
        <v>30</v>
      </c>
      <c r="E9" s="1" t="s">
        <v>31</v>
      </c>
      <c r="F9" s="13" t="s">
        <v>32</v>
      </c>
      <c r="G9" s="14" t="s">
        <v>37</v>
      </c>
      <c r="H9" s="14"/>
      <c r="I9"/>
      <c r="J9" s="14"/>
      <c r="K9" s="14" t="s">
        <v>37</v>
      </c>
      <c r="L9" s="14"/>
      <c r="N9" s="15">
        <v>7.37</v>
      </c>
      <c r="O9" s="17">
        <v>0.16673370831933501</v>
      </c>
      <c r="P9" s="17">
        <v>8.4309614171751701E-2</v>
      </c>
      <c r="R9" s="15">
        <v>54.302193081310008</v>
      </c>
      <c r="S9" t="s">
        <v>33</v>
      </c>
      <c r="U9" s="15">
        <v>105.782179556043</v>
      </c>
      <c r="V9" s="15">
        <v>110.719892143954</v>
      </c>
      <c r="W9" s="15">
        <v>145.69780691868999</v>
      </c>
      <c r="X9" s="15">
        <v>163.72293334087999</v>
      </c>
      <c r="Y9" s="15">
        <v>166.67814947613201</v>
      </c>
    </row>
    <row r="10" spans="1:27" ht="30">
      <c r="A10" t="s">
        <v>51</v>
      </c>
      <c r="B10" s="11" t="s">
        <v>52</v>
      </c>
      <c r="C10" s="12" t="s">
        <v>53</v>
      </c>
      <c r="D10" s="1" t="s">
        <v>30</v>
      </c>
      <c r="E10" s="1" t="s">
        <v>31</v>
      </c>
      <c r="F10" s="13" t="s">
        <v>266</v>
      </c>
      <c r="G10" s="14" t="s">
        <v>37</v>
      </c>
      <c r="H10" s="14"/>
      <c r="I10"/>
      <c r="J10" s="14"/>
      <c r="K10" s="14" t="s">
        <v>37</v>
      </c>
      <c r="L10" s="14" t="s">
        <v>37</v>
      </c>
      <c r="N10" s="15">
        <v>5.63</v>
      </c>
      <c r="O10" s="17">
        <v>0.12716586806087399</v>
      </c>
      <c r="P10" s="17">
        <v>2.6608642016240601E-2</v>
      </c>
      <c r="R10" s="15">
        <v>21.469008848816003</v>
      </c>
      <c r="S10" t="s">
        <v>33</v>
      </c>
      <c r="U10" s="15">
        <v>151.641972956351</v>
      </c>
      <c r="V10" s="15">
        <v>162.93367078585501</v>
      </c>
      <c r="W10" s="15">
        <v>178.530991151184</v>
      </c>
      <c r="X10" s="15">
        <v>188.70379638065501</v>
      </c>
      <c r="Y10" s="15">
        <v>192.188831726985</v>
      </c>
    </row>
    <row r="11" spans="1:27" ht="30">
      <c r="A11" t="s">
        <v>55</v>
      </c>
      <c r="B11" s="11" t="s">
        <v>56</v>
      </c>
      <c r="C11" s="12" t="s">
        <v>57</v>
      </c>
      <c r="D11" s="1" t="s">
        <v>30</v>
      </c>
      <c r="E11" s="1" t="s">
        <v>31</v>
      </c>
      <c r="F11" s="13" t="s">
        <v>58</v>
      </c>
      <c r="G11" s="14" t="s">
        <v>37</v>
      </c>
      <c r="H11" s="14" t="s">
        <v>37</v>
      </c>
      <c r="I11"/>
      <c r="J11" s="14"/>
      <c r="K11"/>
      <c r="L11" s="14" t="s">
        <v>37</v>
      </c>
      <c r="N11" s="15">
        <v>12.48</v>
      </c>
      <c r="O11" s="17">
        <v>0.14740056449327801</v>
      </c>
      <c r="P11" s="17">
        <v>0.171528329041189</v>
      </c>
      <c r="R11" s="15">
        <v>89.128547920414405</v>
      </c>
      <c r="S11" t="s">
        <v>44</v>
      </c>
      <c r="U11" s="15">
        <v>79.764164371540701</v>
      </c>
      <c r="V11" s="15">
        <v>81.698168073565</v>
      </c>
      <c r="W11" s="15">
        <v>89.128547920414405</v>
      </c>
      <c r="X11" s="15">
        <v>97.869247481338604</v>
      </c>
      <c r="Y11" s="15">
        <v>98.945680883589105</v>
      </c>
    </row>
    <row r="12" spans="1:27">
      <c r="A12" t="s">
        <v>59</v>
      </c>
      <c r="B12" s="11" t="s">
        <v>60</v>
      </c>
      <c r="C12" s="12" t="s">
        <v>61</v>
      </c>
      <c r="D12" s="1" t="s">
        <v>30</v>
      </c>
      <c r="E12" s="1" t="s">
        <v>31</v>
      </c>
      <c r="F12" s="13" t="s">
        <v>32</v>
      </c>
      <c r="G12" s="14" t="s">
        <v>37</v>
      </c>
      <c r="H12" s="14"/>
      <c r="I12"/>
      <c r="J12" s="14"/>
      <c r="K12"/>
      <c r="L12" s="14"/>
      <c r="N12" s="15">
        <v>30.59</v>
      </c>
      <c r="O12" s="17">
        <v>0.66434975775117899</v>
      </c>
      <c r="P12" s="17">
        <v>0.71655728468319702</v>
      </c>
      <c r="R12" s="15">
        <v>94.127792339016295</v>
      </c>
      <c r="S12" t="s">
        <v>44</v>
      </c>
      <c r="U12" s="15">
        <v>87.280590704923995</v>
      </c>
      <c r="V12" s="15">
        <v>87.643000435448002</v>
      </c>
      <c r="W12" s="15">
        <v>94.127792339016295</v>
      </c>
      <c r="X12" s="15">
        <v>99.584972984009397</v>
      </c>
      <c r="Y12" s="15">
        <v>99.868090713829005</v>
      </c>
    </row>
    <row r="13" spans="1:27">
      <c r="A13" t="s">
        <v>62</v>
      </c>
      <c r="B13" s="11" t="s">
        <v>63</v>
      </c>
      <c r="C13" s="12" t="s">
        <v>64</v>
      </c>
      <c r="D13" s="1" t="s">
        <v>30</v>
      </c>
      <c r="E13" s="1" t="s">
        <v>31</v>
      </c>
      <c r="F13" s="13" t="s">
        <v>32</v>
      </c>
      <c r="G13"/>
      <c r="H13" s="14"/>
      <c r="I13"/>
      <c r="J13"/>
      <c r="K13" s="14" t="s">
        <v>37</v>
      </c>
      <c r="L13"/>
      <c r="N13" s="15">
        <v>7.59</v>
      </c>
      <c r="O13" s="17">
        <v>0.41920152800254101</v>
      </c>
      <c r="P13" s="17">
        <v>6.16798013496151E-2</v>
      </c>
      <c r="R13" s="15">
        <v>18.418219951231009</v>
      </c>
      <c r="S13" t="s">
        <v>33</v>
      </c>
      <c r="U13" s="15">
        <v>140.693885933362</v>
      </c>
      <c r="V13" s="15">
        <v>146.87414699991101</v>
      </c>
      <c r="W13" s="15">
        <v>181.58178004876899</v>
      </c>
      <c r="X13" s="15">
        <v>192.70434253317299</v>
      </c>
      <c r="Y13" s="15">
        <v>194.66841786322701</v>
      </c>
    </row>
    <row r="14" spans="1:27">
      <c r="A14" t="s">
        <v>65</v>
      </c>
      <c r="B14" s="11" t="s">
        <v>66</v>
      </c>
      <c r="C14" s="12" t="s">
        <v>67</v>
      </c>
      <c r="D14" s="1" t="s">
        <v>30</v>
      </c>
      <c r="E14" s="1" t="s">
        <v>31</v>
      </c>
      <c r="F14" s="13" t="s">
        <v>32</v>
      </c>
      <c r="G14"/>
      <c r="H14" s="14"/>
      <c r="I14"/>
      <c r="J14" s="14" t="s">
        <v>37</v>
      </c>
      <c r="K14" s="14" t="s">
        <v>37</v>
      </c>
      <c r="L14" s="14"/>
      <c r="N14" s="15">
        <v>30.37</v>
      </c>
      <c r="O14" s="17">
        <v>0.49017496598597599</v>
      </c>
      <c r="P14" s="17">
        <v>0.48416019018059597</v>
      </c>
      <c r="R14" s="15">
        <v>98.863980453962</v>
      </c>
      <c r="S14" t="s">
        <v>33</v>
      </c>
      <c r="U14" s="15">
        <v>90.9953367027544</v>
      </c>
      <c r="V14" s="15">
        <v>96.557753592006705</v>
      </c>
      <c r="W14" s="15">
        <v>101.136019546038</v>
      </c>
      <c r="X14" s="15">
        <v>108.328631018644</v>
      </c>
      <c r="Y14" s="15">
        <v>112.293675541076</v>
      </c>
    </row>
    <row r="15" spans="1:27">
      <c r="A15" t="s">
        <v>68</v>
      </c>
      <c r="B15" s="11" t="s">
        <v>69</v>
      </c>
      <c r="C15" s="12" t="s">
        <v>70</v>
      </c>
      <c r="D15" s="1" t="s">
        <v>30</v>
      </c>
      <c r="E15" s="1" t="s">
        <v>31</v>
      </c>
      <c r="F15" s="13" t="s">
        <v>32</v>
      </c>
      <c r="G15" s="14" t="s">
        <v>37</v>
      </c>
      <c r="H15" s="14"/>
      <c r="I15"/>
      <c r="J15" s="14"/>
      <c r="K15"/>
      <c r="L15" s="14"/>
      <c r="N15" s="15">
        <v>7.04</v>
      </c>
      <c r="O15" s="17">
        <v>0.17987295750615101</v>
      </c>
      <c r="P15" s="17">
        <v>0.21786512213099399</v>
      </c>
      <c r="R15" s="15">
        <v>82.139617367040898</v>
      </c>
      <c r="S15" t="s">
        <v>44</v>
      </c>
      <c r="U15" s="15">
        <v>65.512424547413403</v>
      </c>
      <c r="V15" s="15">
        <v>70.047816472855303</v>
      </c>
      <c r="W15" s="15">
        <v>82.139617367040898</v>
      </c>
      <c r="X15" s="15">
        <v>97.321492867664105</v>
      </c>
      <c r="Y15" s="15">
        <v>99.175986031240299</v>
      </c>
    </row>
    <row r="16" spans="1:27" ht="30">
      <c r="A16" t="s">
        <v>71</v>
      </c>
      <c r="B16" s="11" t="s">
        <v>72</v>
      </c>
      <c r="C16" s="12" t="s">
        <v>73</v>
      </c>
      <c r="D16" s="1" t="s">
        <v>30</v>
      </c>
      <c r="E16" s="1" t="s">
        <v>31</v>
      </c>
      <c r="F16" s="13" t="s">
        <v>74</v>
      </c>
      <c r="G16" s="14" t="s">
        <v>37</v>
      </c>
      <c r="H16" s="14" t="s">
        <v>37</v>
      </c>
      <c r="I16" s="14" t="s">
        <v>37</v>
      </c>
      <c r="J16" s="14"/>
      <c r="K16"/>
      <c r="L16" s="14" t="s">
        <v>37</v>
      </c>
      <c r="N16" s="15">
        <v>13.91</v>
      </c>
      <c r="O16" s="17">
        <v>0.33773512837777803</v>
      </c>
      <c r="P16" s="17">
        <v>0.42240936653232097</v>
      </c>
      <c r="R16" s="15">
        <v>81.042468553199399</v>
      </c>
      <c r="S16" t="s">
        <v>44</v>
      </c>
      <c r="U16" s="15">
        <v>67.584619810335596</v>
      </c>
      <c r="V16" s="15">
        <v>71.263034359791405</v>
      </c>
      <c r="W16" s="15">
        <v>81.042468553199399</v>
      </c>
      <c r="X16" s="15">
        <v>98.267581008691707</v>
      </c>
      <c r="Y16" s="15">
        <v>99.879257641760105</v>
      </c>
    </row>
    <row r="17" spans="1:25">
      <c r="A17" t="s">
        <v>75</v>
      </c>
      <c r="B17" s="11" t="s">
        <v>76</v>
      </c>
      <c r="C17" s="12" t="s">
        <v>77</v>
      </c>
      <c r="D17" s="1" t="s">
        <v>30</v>
      </c>
      <c r="E17" s="1" t="s">
        <v>31</v>
      </c>
      <c r="F17" s="13" t="s">
        <v>32</v>
      </c>
      <c r="G17"/>
      <c r="H17" s="14" t="s">
        <v>37</v>
      </c>
      <c r="I17"/>
      <c r="J17"/>
      <c r="K17"/>
      <c r="L17"/>
      <c r="N17" s="15">
        <v>30.54</v>
      </c>
      <c r="O17" s="17">
        <v>0.4817620003741</v>
      </c>
      <c r="P17" s="17">
        <v>0.61722965595594903</v>
      </c>
      <c r="R17" s="15">
        <v>79.615340278928201</v>
      </c>
      <c r="S17" t="s">
        <v>44</v>
      </c>
      <c r="U17" s="15">
        <v>69.906477342215695</v>
      </c>
      <c r="V17" s="15">
        <v>72.545086747225795</v>
      </c>
      <c r="W17" s="15">
        <v>79.615340278928201</v>
      </c>
      <c r="X17" s="15">
        <v>91.291530242349907</v>
      </c>
      <c r="Y17" s="15">
        <v>95.225228013486799</v>
      </c>
    </row>
    <row r="18" spans="1:25">
      <c r="A18" t="s">
        <v>78</v>
      </c>
      <c r="B18" s="11" t="s">
        <v>79</v>
      </c>
      <c r="C18" s="12" t="s">
        <v>80</v>
      </c>
      <c r="D18" s="1" t="s">
        <v>30</v>
      </c>
      <c r="E18" s="1" t="s">
        <v>31</v>
      </c>
      <c r="F18" s="13" t="s">
        <v>32</v>
      </c>
      <c r="G18"/>
      <c r="H18" s="14"/>
      <c r="I18"/>
      <c r="J18" s="14" t="s">
        <v>37</v>
      </c>
      <c r="K18" s="14" t="s">
        <v>37</v>
      </c>
      <c r="L18" s="14"/>
      <c r="N18" s="15">
        <v>14.3</v>
      </c>
      <c r="O18" s="17">
        <v>0.22521416338879899</v>
      </c>
      <c r="P18" s="17">
        <v>0.235466998745823</v>
      </c>
      <c r="R18" s="15">
        <v>99.834311144336993</v>
      </c>
      <c r="S18" t="s">
        <v>44</v>
      </c>
      <c r="U18" s="15">
        <v>76.663955811865094</v>
      </c>
      <c r="V18" s="15">
        <v>80.842446857703706</v>
      </c>
      <c r="W18" s="15">
        <v>99.834311144336993</v>
      </c>
      <c r="X18" s="15">
        <v>105.062194788618</v>
      </c>
      <c r="Y18" s="15">
        <v>108.534566209822</v>
      </c>
    </row>
    <row r="19" spans="1:25">
      <c r="A19" t="s">
        <v>81</v>
      </c>
      <c r="B19" s="11" t="s">
        <v>82</v>
      </c>
      <c r="C19" s="12" t="s">
        <v>83</v>
      </c>
      <c r="D19" s="1" t="s">
        <v>30</v>
      </c>
      <c r="E19" s="1" t="s">
        <v>31</v>
      </c>
      <c r="F19" s="13" t="s">
        <v>32</v>
      </c>
      <c r="G19"/>
      <c r="H19" s="14" t="s">
        <v>37</v>
      </c>
      <c r="I19"/>
      <c r="J19" s="14" t="s">
        <v>37</v>
      </c>
      <c r="K19"/>
      <c r="L19" s="14"/>
      <c r="N19" s="15">
        <v>32.35</v>
      </c>
      <c r="O19" s="17">
        <v>0.46567434910754302</v>
      </c>
      <c r="P19" s="17">
        <v>0.60589630602995004</v>
      </c>
      <c r="R19" s="15">
        <v>76.383322660449195</v>
      </c>
      <c r="S19" t="s">
        <v>44</v>
      </c>
      <c r="U19" s="15">
        <v>66.372066410963399</v>
      </c>
      <c r="V19" s="15">
        <v>70.347710147399795</v>
      </c>
      <c r="W19" s="15">
        <v>76.383322660449195</v>
      </c>
      <c r="X19" s="15">
        <v>83.8766589465083</v>
      </c>
      <c r="Y19" s="15">
        <v>89.246541654928393</v>
      </c>
    </row>
    <row r="20" spans="1:25">
      <c r="A20" t="s">
        <v>84</v>
      </c>
      <c r="B20" s="11" t="s">
        <v>85</v>
      </c>
      <c r="C20" s="12" t="s">
        <v>86</v>
      </c>
      <c r="D20" s="1" t="s">
        <v>30</v>
      </c>
      <c r="E20" s="1" t="s">
        <v>31</v>
      </c>
      <c r="F20" s="13" t="s">
        <v>32</v>
      </c>
      <c r="G20"/>
      <c r="H20" s="14"/>
      <c r="I20"/>
      <c r="J20"/>
      <c r="K20" s="14" t="s">
        <v>37</v>
      </c>
      <c r="L20"/>
      <c r="N20" s="15">
        <v>5.56</v>
      </c>
      <c r="O20" s="17">
        <v>0.14761287990782099</v>
      </c>
      <c r="P20" s="17">
        <v>0.14155355888916299</v>
      </c>
      <c r="R20" s="15">
        <v>98.908150967946995</v>
      </c>
      <c r="S20" t="s">
        <v>33</v>
      </c>
      <c r="U20" s="15">
        <v>69.192208669079093</v>
      </c>
      <c r="V20" s="15">
        <v>82.490939176696997</v>
      </c>
      <c r="W20" s="15">
        <v>101.09184903205301</v>
      </c>
      <c r="X20" s="15">
        <v>129.077622697083</v>
      </c>
      <c r="Y20" s="15">
        <v>134.69270280819799</v>
      </c>
    </row>
    <row r="21" spans="1:25">
      <c r="A21" t="s">
        <v>87</v>
      </c>
      <c r="B21" s="11" t="s">
        <v>88</v>
      </c>
      <c r="C21" s="12" t="s">
        <v>89</v>
      </c>
      <c r="D21" s="1" t="s">
        <v>30</v>
      </c>
      <c r="E21" s="1" t="s">
        <v>31</v>
      </c>
      <c r="F21" s="13" t="s">
        <v>54</v>
      </c>
      <c r="G21" s="14"/>
      <c r="H21" s="14" t="s">
        <v>37</v>
      </c>
      <c r="I21" s="14" t="s">
        <v>37</v>
      </c>
      <c r="J21" s="14" t="s">
        <v>37</v>
      </c>
      <c r="K21"/>
      <c r="L21" s="14" t="s">
        <v>37</v>
      </c>
      <c r="N21" s="15">
        <v>6.3</v>
      </c>
      <c r="O21" s="17">
        <v>0.20338661936451799</v>
      </c>
      <c r="P21" s="17">
        <v>0.28893511365062002</v>
      </c>
      <c r="R21" s="15">
        <v>74.2538270216494</v>
      </c>
      <c r="S21" t="s">
        <v>44</v>
      </c>
      <c r="U21" s="15">
        <v>57.500054756473297</v>
      </c>
      <c r="V21" s="15">
        <v>58.929913966783197</v>
      </c>
      <c r="W21" s="15">
        <v>74.2538270216494</v>
      </c>
      <c r="X21" s="15">
        <v>90.677860572296296</v>
      </c>
      <c r="Y21" s="15">
        <v>92.682704312579105</v>
      </c>
    </row>
    <row r="22" spans="1:25">
      <c r="A22" t="s">
        <v>90</v>
      </c>
      <c r="B22" s="11" t="s">
        <v>91</v>
      </c>
      <c r="C22" s="12" t="s">
        <v>92</v>
      </c>
      <c r="D22" s="1" t="s">
        <v>30</v>
      </c>
      <c r="E22" s="1" t="s">
        <v>31</v>
      </c>
      <c r="F22" s="13" t="s">
        <v>32</v>
      </c>
      <c r="G22"/>
      <c r="H22" s="14"/>
      <c r="I22"/>
      <c r="J22"/>
      <c r="K22" s="14" t="s">
        <v>37</v>
      </c>
      <c r="L22"/>
      <c r="M22" s="18"/>
      <c r="N22" s="15">
        <v>27.43</v>
      </c>
      <c r="O22" s="17">
        <v>1.0027694818543</v>
      </c>
      <c r="P22" s="17">
        <v>0.87382423308875001</v>
      </c>
      <c r="R22" s="15">
        <v>91.452275729728001</v>
      </c>
      <c r="S22" t="s">
        <v>33</v>
      </c>
      <c r="U22" s="15">
        <v>96.470928431164793</v>
      </c>
      <c r="V22" s="15">
        <v>99.706722667230395</v>
      </c>
      <c r="W22" s="15">
        <v>108.547724270272</v>
      </c>
      <c r="X22" s="15">
        <v>123.412465433363</v>
      </c>
      <c r="Y22" s="15">
        <v>126.101039693524</v>
      </c>
    </row>
    <row r="23" spans="1:25" ht="45">
      <c r="A23" t="s">
        <v>93</v>
      </c>
      <c r="B23" s="11" t="s">
        <v>94</v>
      </c>
      <c r="C23" s="12" t="s">
        <v>95</v>
      </c>
      <c r="D23" s="1" t="s">
        <v>30</v>
      </c>
      <c r="E23" s="1" t="s">
        <v>31</v>
      </c>
      <c r="F23" s="13" t="s">
        <v>96</v>
      </c>
      <c r="G23" s="14" t="s">
        <v>37</v>
      </c>
      <c r="H23" s="14"/>
      <c r="I23"/>
      <c r="J23" s="14"/>
      <c r="K23"/>
      <c r="L23" s="14" t="s">
        <v>37</v>
      </c>
      <c r="M23" s="18"/>
      <c r="N23" s="15">
        <v>16.02</v>
      </c>
      <c r="O23" s="17">
        <v>0.44504552871960601</v>
      </c>
      <c r="P23" s="17">
        <v>0.43365276884224502</v>
      </c>
      <c r="R23" s="15">
        <v>99.907742612744002</v>
      </c>
      <c r="S23" t="s">
        <v>33</v>
      </c>
      <c r="U23" s="15">
        <v>93.924664052725205</v>
      </c>
      <c r="V23" s="15">
        <v>95.123970312155706</v>
      </c>
      <c r="W23" s="15">
        <v>100.092257387256</v>
      </c>
      <c r="X23" s="15">
        <v>105.55895283819299</v>
      </c>
      <c r="Y23" s="15">
        <v>110.041803502148</v>
      </c>
    </row>
    <row r="24" spans="1:25" ht="30">
      <c r="A24" t="s">
        <v>97</v>
      </c>
      <c r="B24" s="11" t="s">
        <v>98</v>
      </c>
      <c r="C24" s="12" t="s">
        <v>99</v>
      </c>
      <c r="D24" s="1" t="s">
        <v>30</v>
      </c>
      <c r="E24" s="1" t="s">
        <v>31</v>
      </c>
      <c r="F24" s="13" t="s">
        <v>58</v>
      </c>
      <c r="G24" s="14" t="s">
        <v>37</v>
      </c>
      <c r="H24" s="14" t="s">
        <v>37</v>
      </c>
      <c r="I24"/>
      <c r="J24" s="14"/>
      <c r="K24"/>
      <c r="L24" s="14" t="s">
        <v>37</v>
      </c>
      <c r="N24" s="15">
        <v>24.2</v>
      </c>
      <c r="O24" s="17">
        <v>0.41747750323519001</v>
      </c>
      <c r="P24" s="17">
        <v>0.45469017380059501</v>
      </c>
      <c r="R24" s="15">
        <v>91.670615012645996</v>
      </c>
      <c r="S24" t="s">
        <v>44</v>
      </c>
      <c r="U24" s="15">
        <v>84.112922424928996</v>
      </c>
      <c r="V24" s="15">
        <v>86.384988170455202</v>
      </c>
      <c r="W24" s="15">
        <v>91.670615012645996</v>
      </c>
      <c r="X24" s="15">
        <v>97.782255149048297</v>
      </c>
      <c r="Y24" s="15">
        <v>98.647581931791706</v>
      </c>
    </row>
    <row r="25" spans="1:25">
      <c r="A25" t="s">
        <v>100</v>
      </c>
      <c r="B25" s="11" t="s">
        <v>101</v>
      </c>
      <c r="C25" s="12" t="s">
        <v>102</v>
      </c>
      <c r="D25" s="1" t="s">
        <v>30</v>
      </c>
      <c r="E25" s="1" t="s">
        <v>31</v>
      </c>
      <c r="F25" s="13" t="s">
        <v>32</v>
      </c>
      <c r="G25"/>
      <c r="H25" s="14"/>
      <c r="I25"/>
      <c r="J25"/>
      <c r="K25" s="14" t="s">
        <v>37</v>
      </c>
      <c r="L25"/>
      <c r="N25" s="15">
        <v>27.41</v>
      </c>
      <c r="O25" s="17">
        <v>0.63399475619592405</v>
      </c>
      <c r="P25" s="17">
        <v>0.65933137633698602</v>
      </c>
      <c r="R25" s="15">
        <v>99.723264785387599</v>
      </c>
      <c r="S25" t="s">
        <v>44</v>
      </c>
      <c r="U25" s="15">
        <v>82.139266337139802</v>
      </c>
      <c r="V25" s="15">
        <v>89.039458900014907</v>
      </c>
      <c r="W25" s="15">
        <v>99.723264785387599</v>
      </c>
      <c r="X25" s="15">
        <v>103.41779931457801</v>
      </c>
      <c r="Y25" s="15">
        <v>109.202791450004</v>
      </c>
    </row>
    <row r="26" spans="1:25">
      <c r="A26" t="s">
        <v>103</v>
      </c>
      <c r="B26" s="11" t="s">
        <v>104</v>
      </c>
      <c r="C26" s="12" t="s">
        <v>105</v>
      </c>
      <c r="D26" s="1" t="s">
        <v>30</v>
      </c>
      <c r="E26" s="1" t="s">
        <v>31</v>
      </c>
      <c r="F26" s="13" t="s">
        <v>32</v>
      </c>
      <c r="G26"/>
      <c r="H26" s="14"/>
      <c r="I26"/>
      <c r="J26"/>
      <c r="K26"/>
      <c r="L26"/>
      <c r="N26" s="15">
        <v>92.15</v>
      </c>
      <c r="O26" s="17">
        <v>4.4279450490760501</v>
      </c>
      <c r="P26" s="17">
        <v>4.8373877259100704</v>
      </c>
      <c r="R26" s="15">
        <v>91.386866450931706</v>
      </c>
      <c r="S26" t="s">
        <v>44</v>
      </c>
      <c r="U26" s="15">
        <v>86.995679722647196</v>
      </c>
      <c r="V26" s="15">
        <v>88.104261840309604</v>
      </c>
      <c r="W26" s="15">
        <v>91.386866450931706</v>
      </c>
      <c r="X26" s="15">
        <v>96.388028402059206</v>
      </c>
      <c r="Y26" s="15">
        <v>97.075963940720399</v>
      </c>
    </row>
    <row r="27" spans="1:25">
      <c r="A27" t="s">
        <v>106</v>
      </c>
      <c r="B27" s="11" t="s">
        <v>107</v>
      </c>
      <c r="C27" s="12" t="s">
        <v>108</v>
      </c>
      <c r="D27" s="1" t="s">
        <v>30</v>
      </c>
      <c r="E27" s="1" t="s">
        <v>31</v>
      </c>
      <c r="F27" s="13" t="s">
        <v>32</v>
      </c>
      <c r="G27" s="14" t="s">
        <v>37</v>
      </c>
      <c r="H27" s="14"/>
      <c r="I27"/>
      <c r="J27" s="14"/>
      <c r="K27"/>
      <c r="L27" s="14"/>
      <c r="N27" s="15">
        <v>32.33</v>
      </c>
      <c r="O27" s="17">
        <v>2.0271776264266599</v>
      </c>
      <c r="P27" s="17">
        <v>0.91536967853267304</v>
      </c>
      <c r="R27" s="15">
        <v>45.208826861984988</v>
      </c>
      <c r="S27" t="s">
        <v>33</v>
      </c>
      <c r="U27" s="15">
        <v>141.133620037897</v>
      </c>
      <c r="V27" s="15">
        <v>144.93983485146899</v>
      </c>
      <c r="W27" s="15">
        <v>154.79117313801501</v>
      </c>
      <c r="X27" s="15">
        <v>164.48053438634301</v>
      </c>
      <c r="Y27" s="15">
        <v>166.59526511736101</v>
      </c>
    </row>
    <row r="28" spans="1:25">
      <c r="A28" t="s">
        <v>109</v>
      </c>
      <c r="B28" s="11" t="s">
        <v>110</v>
      </c>
      <c r="C28" s="12" t="s">
        <v>111</v>
      </c>
      <c r="D28" s="1" t="s">
        <v>30</v>
      </c>
      <c r="E28" s="1" t="s">
        <v>31</v>
      </c>
      <c r="F28" s="13" t="s">
        <v>32</v>
      </c>
      <c r="G28"/>
      <c r="H28" s="14"/>
      <c r="I28"/>
      <c r="J28" s="14" t="s">
        <v>37</v>
      </c>
      <c r="K28"/>
      <c r="L28" s="14"/>
      <c r="N28" s="15">
        <v>60.3</v>
      </c>
      <c r="O28" s="17">
        <v>1.5764966643452101</v>
      </c>
      <c r="P28" s="17">
        <v>1.4949906246984599</v>
      </c>
      <c r="R28" s="15">
        <v>97.944143163334999</v>
      </c>
      <c r="S28" t="s">
        <v>33</v>
      </c>
      <c r="U28" s="15">
        <v>96.217046875135694</v>
      </c>
      <c r="V28" s="15">
        <v>98.964628368810594</v>
      </c>
      <c r="W28" s="15">
        <v>102.055856836665</v>
      </c>
      <c r="X28" s="15">
        <v>113.181117929992</v>
      </c>
      <c r="Y28" s="15">
        <v>115.953398532251</v>
      </c>
    </row>
    <row r="29" spans="1:25">
      <c r="A29" t="s">
        <v>112</v>
      </c>
      <c r="B29" s="11" t="s">
        <v>113</v>
      </c>
      <c r="C29" s="12" t="s">
        <v>114</v>
      </c>
      <c r="D29" s="1" t="s">
        <v>30</v>
      </c>
      <c r="E29" s="1" t="s">
        <v>31</v>
      </c>
      <c r="F29" s="13" t="s">
        <v>54</v>
      </c>
      <c r="G29"/>
      <c r="H29" s="14"/>
      <c r="I29"/>
      <c r="J29"/>
      <c r="K29"/>
      <c r="L29" s="14" t="s">
        <v>37</v>
      </c>
      <c r="N29" s="15">
        <v>35.83</v>
      </c>
      <c r="O29" s="17">
        <v>1.07638071232552</v>
      </c>
      <c r="P29" s="17">
        <v>0.97621827770996605</v>
      </c>
      <c r="R29" s="15">
        <v>95.297506240017</v>
      </c>
      <c r="S29" t="s">
        <v>33</v>
      </c>
      <c r="U29" s="15">
        <v>99.000053268158695</v>
      </c>
      <c r="V29" s="15">
        <v>99.410575224606902</v>
      </c>
      <c r="W29" s="15">
        <v>104.702493759983</v>
      </c>
      <c r="X29" s="15">
        <v>119.34631644211601</v>
      </c>
      <c r="Y29" s="15">
        <v>120.739582368984</v>
      </c>
    </row>
    <row r="30" spans="1:25">
      <c r="A30" t="s">
        <v>115</v>
      </c>
      <c r="B30" s="11" t="s">
        <v>116</v>
      </c>
      <c r="C30" s="12" t="s">
        <v>117</v>
      </c>
      <c r="D30" s="1" t="s">
        <v>30</v>
      </c>
      <c r="E30" s="1" t="s">
        <v>31</v>
      </c>
      <c r="F30" s="13" t="s">
        <v>32</v>
      </c>
      <c r="G30" s="14" t="s">
        <v>37</v>
      </c>
      <c r="H30" s="14"/>
      <c r="I30"/>
      <c r="J30" s="14"/>
      <c r="K30"/>
      <c r="L30" s="14"/>
      <c r="N30" s="15">
        <v>23.15</v>
      </c>
      <c r="O30" s="17">
        <v>0.448220158322783</v>
      </c>
      <c r="P30" s="17">
        <v>0.57155765556690696</v>
      </c>
      <c r="R30" s="15">
        <v>83.301949704859595</v>
      </c>
      <c r="S30" t="s">
        <v>44</v>
      </c>
      <c r="U30" s="15">
        <v>71.473228246414493</v>
      </c>
      <c r="V30" s="15">
        <v>72.7557009120994</v>
      </c>
      <c r="W30" s="15">
        <v>83.301949704859595</v>
      </c>
      <c r="X30" s="15">
        <v>92.500368524540605</v>
      </c>
      <c r="Y30" s="15">
        <v>97.368048492358696</v>
      </c>
    </row>
    <row r="31" spans="1:25">
      <c r="A31" t="s">
        <v>118</v>
      </c>
      <c r="B31" s="11" t="s">
        <v>119</v>
      </c>
      <c r="C31" s="12" t="s">
        <v>120</v>
      </c>
      <c r="D31" s="1" t="s">
        <v>30</v>
      </c>
      <c r="E31" s="1" t="s">
        <v>31</v>
      </c>
      <c r="F31" s="13" t="s">
        <v>32</v>
      </c>
      <c r="G31"/>
      <c r="H31" s="14"/>
      <c r="I31"/>
      <c r="J31"/>
      <c r="K31"/>
      <c r="L31"/>
      <c r="N31" s="15">
        <v>69.44</v>
      </c>
      <c r="O31" s="17">
        <v>1.75086578347931</v>
      </c>
      <c r="P31" s="17">
        <v>2.1149824973013098</v>
      </c>
      <c r="R31" s="15">
        <v>82.807135634204897</v>
      </c>
      <c r="S31" t="s">
        <v>44</v>
      </c>
      <c r="U31" s="15">
        <v>76.658620264084703</v>
      </c>
      <c r="V31" s="15">
        <v>78.244217996022002</v>
      </c>
      <c r="W31" s="15">
        <v>82.807135634204897</v>
      </c>
      <c r="X31" s="15">
        <v>87.591478700028205</v>
      </c>
      <c r="Y31" s="15">
        <v>90.0046893748424</v>
      </c>
    </row>
    <row r="32" spans="1:25">
      <c r="A32" t="s">
        <v>121</v>
      </c>
      <c r="B32" t="s">
        <v>122</v>
      </c>
      <c r="C32" s="19" t="s">
        <v>123</v>
      </c>
      <c r="D32" s="1" t="s">
        <v>30</v>
      </c>
      <c r="E32" s="1" t="s">
        <v>124</v>
      </c>
      <c r="F32" s="13" t="s">
        <v>32</v>
      </c>
      <c r="G32"/>
      <c r="H32" s="14"/>
      <c r="I32"/>
      <c r="J32"/>
      <c r="K32" s="14" t="s">
        <v>37</v>
      </c>
      <c r="L32"/>
      <c r="N32" s="15">
        <v>5.6</v>
      </c>
      <c r="O32" s="17">
        <v>0.25484563344757699</v>
      </c>
      <c r="P32" s="17">
        <v>9.2858032780213304E-2</v>
      </c>
      <c r="R32" s="15">
        <v>65.495127922366009</v>
      </c>
      <c r="S32" t="s">
        <v>33</v>
      </c>
      <c r="U32" s="15">
        <v>101.05731678630799</v>
      </c>
      <c r="V32" s="15">
        <v>102.322032055161</v>
      </c>
      <c r="W32" s="15">
        <v>134.50487207763399</v>
      </c>
      <c r="X32" s="15">
        <v>191.71613293093299</v>
      </c>
      <c r="Y32" s="15">
        <v>193.16260456407599</v>
      </c>
    </row>
    <row r="33" spans="1:25">
      <c r="A33" t="s">
        <v>125</v>
      </c>
      <c r="B33" s="11" t="s">
        <v>126</v>
      </c>
      <c r="C33" s="12" t="s">
        <v>127</v>
      </c>
      <c r="D33" s="1" t="s">
        <v>30</v>
      </c>
      <c r="E33" s="1" t="s">
        <v>31</v>
      </c>
      <c r="F33" s="13" t="s">
        <v>32</v>
      </c>
      <c r="G33"/>
      <c r="H33" s="14"/>
      <c r="I33"/>
      <c r="J33" s="14" t="s">
        <v>37</v>
      </c>
      <c r="K33"/>
      <c r="L33" s="14"/>
      <c r="N33" s="15">
        <v>6.17</v>
      </c>
      <c r="O33" s="17">
        <v>0.122598202435298</v>
      </c>
      <c r="P33" s="17">
        <v>0.157166732801858</v>
      </c>
      <c r="R33" s="15">
        <v>81.0266516087799</v>
      </c>
      <c r="S33" t="s">
        <v>44</v>
      </c>
      <c r="U33" s="15">
        <v>58.330841571268998</v>
      </c>
      <c r="V33" s="15">
        <v>66.230720814787404</v>
      </c>
      <c r="W33" s="15">
        <v>81.0266516087799</v>
      </c>
      <c r="X33" s="15">
        <v>96.164057788927096</v>
      </c>
      <c r="Y33" s="15">
        <v>98.918600502444306</v>
      </c>
    </row>
    <row r="34" spans="1:25">
      <c r="A34" t="s">
        <v>128</v>
      </c>
      <c r="B34" t="s">
        <v>129</v>
      </c>
      <c r="C34" s="19" t="s">
        <v>130</v>
      </c>
      <c r="D34" s="1" t="s">
        <v>30</v>
      </c>
      <c r="E34" s="1" t="s">
        <v>31</v>
      </c>
      <c r="F34" s="13" t="s">
        <v>32</v>
      </c>
      <c r="G34"/>
      <c r="H34" s="14"/>
      <c r="I34"/>
      <c r="J34" s="14"/>
      <c r="K34"/>
      <c r="L34" s="14"/>
      <c r="N34" s="15">
        <v>6.9</v>
      </c>
      <c r="O34" s="17">
        <v>0.50041323998906995</v>
      </c>
      <c r="P34" s="17">
        <v>0.710070814502749</v>
      </c>
      <c r="R34" s="15">
        <v>83.350457636786601</v>
      </c>
      <c r="S34" t="s">
        <v>44</v>
      </c>
      <c r="U34" s="15">
        <v>43.109917566996799</v>
      </c>
      <c r="V34" s="15">
        <v>47.474728310934204</v>
      </c>
      <c r="W34" s="15">
        <v>83.350457636786601</v>
      </c>
      <c r="X34" s="15">
        <v>100.002315645829</v>
      </c>
      <c r="Y34" s="15">
        <v>106.00350588081599</v>
      </c>
    </row>
    <row r="35" spans="1:25">
      <c r="A35" t="s">
        <v>131</v>
      </c>
      <c r="B35" s="11" t="s">
        <v>132</v>
      </c>
      <c r="C35" s="12" t="s">
        <v>133</v>
      </c>
      <c r="D35" s="1" t="s">
        <v>30</v>
      </c>
      <c r="E35" s="1" t="s">
        <v>31</v>
      </c>
      <c r="F35" s="13" t="s">
        <v>32</v>
      </c>
      <c r="G35" s="14"/>
      <c r="H35" s="14" t="s">
        <v>37</v>
      </c>
      <c r="I35" s="14" t="s">
        <v>37</v>
      </c>
      <c r="J35" s="14"/>
      <c r="K35"/>
      <c r="L35" s="14"/>
      <c r="N35" s="15">
        <v>15.93</v>
      </c>
      <c r="O35" s="17">
        <v>0.40521263817310299</v>
      </c>
      <c r="P35" s="17">
        <v>0.52869495994663696</v>
      </c>
      <c r="R35" s="15">
        <v>74.962756114270704</v>
      </c>
      <c r="S35" t="s">
        <v>44</v>
      </c>
      <c r="U35" s="15">
        <v>65.734746993163995</v>
      </c>
      <c r="V35" s="15">
        <v>67.163959865889396</v>
      </c>
      <c r="W35" s="15">
        <v>74.962756114270704</v>
      </c>
      <c r="X35" s="15">
        <v>87.104299916667003</v>
      </c>
      <c r="Y35" s="15">
        <v>89.986735419695293</v>
      </c>
    </row>
    <row r="36" spans="1:25">
      <c r="A36" t="s">
        <v>134</v>
      </c>
      <c r="B36" s="11" t="s">
        <v>135</v>
      </c>
      <c r="C36" s="12" t="s">
        <v>136</v>
      </c>
      <c r="D36" s="1" t="s">
        <v>30</v>
      </c>
      <c r="E36" s="1" t="s">
        <v>31</v>
      </c>
      <c r="F36" s="13" t="s">
        <v>32</v>
      </c>
      <c r="G36"/>
      <c r="H36" s="14"/>
      <c r="I36"/>
      <c r="J36" s="14" t="s">
        <v>37</v>
      </c>
      <c r="K36"/>
      <c r="L36" s="14"/>
      <c r="N36" s="15">
        <v>82.83</v>
      </c>
      <c r="O36" s="17">
        <v>3.0984871453646199</v>
      </c>
      <c r="P36" s="17">
        <v>3.6706340795994099</v>
      </c>
      <c r="R36" s="15">
        <v>84.321823868320806</v>
      </c>
      <c r="S36" t="s">
        <v>44</v>
      </c>
      <c r="U36" s="15">
        <v>79.706960263995001</v>
      </c>
      <c r="V36" s="15">
        <v>80.869492964136597</v>
      </c>
      <c r="W36" s="15">
        <v>84.321823868320806</v>
      </c>
      <c r="X36" s="15">
        <v>87.868220934440799</v>
      </c>
      <c r="Y36" s="15">
        <v>88.790280986201296</v>
      </c>
    </row>
    <row r="37" spans="1:25">
      <c r="A37" t="s">
        <v>137</v>
      </c>
      <c r="B37" s="11" t="s">
        <v>138</v>
      </c>
      <c r="C37" s="12" t="s">
        <v>139</v>
      </c>
      <c r="D37" s="1" t="s">
        <v>30</v>
      </c>
      <c r="E37" s="1" t="s">
        <v>31</v>
      </c>
      <c r="F37" s="13" t="s">
        <v>32</v>
      </c>
      <c r="G37" s="14"/>
      <c r="H37" s="14"/>
      <c r="I37" s="14" t="s">
        <v>37</v>
      </c>
      <c r="J37" s="14" t="s">
        <v>37</v>
      </c>
      <c r="K37"/>
      <c r="L37" s="14"/>
      <c r="N37" s="15">
        <v>8.69</v>
      </c>
      <c r="O37" s="17">
        <v>0.12496756747519</v>
      </c>
      <c r="P37" s="17">
        <v>0.13856934214452399</v>
      </c>
      <c r="R37" s="15">
        <v>96.495885653847395</v>
      </c>
      <c r="S37" t="s">
        <v>44</v>
      </c>
      <c r="U37" s="15">
        <v>70.643289515815496</v>
      </c>
      <c r="V37" s="15">
        <v>76.028766370393697</v>
      </c>
      <c r="W37" s="15">
        <v>96.495885653847395</v>
      </c>
      <c r="X37" s="15">
        <v>100.478833616736</v>
      </c>
      <c r="Y37" s="15">
        <v>110.703810954598</v>
      </c>
    </row>
    <row r="38" spans="1:25">
      <c r="A38" t="s">
        <v>140</v>
      </c>
      <c r="B38" s="11" t="s">
        <v>141</v>
      </c>
      <c r="C38" s="12" t="s">
        <v>142</v>
      </c>
      <c r="D38" s="1" t="s">
        <v>30</v>
      </c>
      <c r="E38" s="1" t="s">
        <v>31</v>
      </c>
      <c r="F38" s="13" t="s">
        <v>32</v>
      </c>
      <c r="G38" s="14"/>
      <c r="H38" s="14"/>
      <c r="I38" s="14" t="s">
        <v>37</v>
      </c>
      <c r="J38" s="14"/>
      <c r="K38"/>
      <c r="L38" s="14"/>
      <c r="N38" s="15">
        <v>70.849999999999994</v>
      </c>
      <c r="O38" s="17">
        <v>2.6949348602450698</v>
      </c>
      <c r="P38" s="17">
        <v>3.22195953052523</v>
      </c>
      <c r="R38" s="15">
        <v>83.178207242120493</v>
      </c>
      <c r="S38" t="s">
        <v>44</v>
      </c>
      <c r="U38" s="15">
        <v>78.338411803576406</v>
      </c>
      <c r="V38" s="15">
        <v>78.763820430995494</v>
      </c>
      <c r="W38" s="15">
        <v>83.178207242120493</v>
      </c>
      <c r="X38" s="15">
        <v>89.760942795877796</v>
      </c>
      <c r="Y38" s="15">
        <v>91.978533467332895</v>
      </c>
    </row>
    <row r="39" spans="1:25">
      <c r="A39" t="s">
        <v>143</v>
      </c>
      <c r="B39" s="11" t="s">
        <v>144</v>
      </c>
      <c r="C39" s="12" t="s">
        <v>145</v>
      </c>
      <c r="D39" s="1" t="s">
        <v>30</v>
      </c>
      <c r="E39" s="1" t="s">
        <v>31</v>
      </c>
      <c r="F39" s="13" t="s">
        <v>32</v>
      </c>
      <c r="G39" s="14" t="s">
        <v>37</v>
      </c>
      <c r="H39" s="14"/>
      <c r="I39"/>
      <c r="J39" s="14"/>
      <c r="K39" s="14" t="s">
        <v>37</v>
      </c>
      <c r="L39" s="14"/>
      <c r="N39" s="15">
        <v>10.07</v>
      </c>
      <c r="O39" s="17">
        <v>0.766753080019973</v>
      </c>
      <c r="P39" s="17">
        <v>0.37947100020083002</v>
      </c>
      <c r="R39" s="15">
        <v>50.705186214187989</v>
      </c>
      <c r="S39" t="s">
        <v>33</v>
      </c>
      <c r="U39" s="15">
        <v>114.104456036613</v>
      </c>
      <c r="V39" s="15">
        <v>123.750821216604</v>
      </c>
      <c r="W39" s="15">
        <v>149.29481378581201</v>
      </c>
      <c r="X39" s="15">
        <v>171.76729960404001</v>
      </c>
      <c r="Y39" s="15">
        <v>175.97243069192101</v>
      </c>
    </row>
    <row r="40" spans="1:25">
      <c r="A40" t="s">
        <v>146</v>
      </c>
      <c r="B40" s="11" t="s">
        <v>147</v>
      </c>
      <c r="C40" s="12" t="s">
        <v>148</v>
      </c>
      <c r="D40" s="1" t="s">
        <v>30</v>
      </c>
      <c r="E40" s="1" t="s">
        <v>31</v>
      </c>
      <c r="F40" s="13" t="s">
        <v>54</v>
      </c>
      <c r="G40" s="14" t="s">
        <v>37</v>
      </c>
      <c r="H40" s="14"/>
      <c r="I40"/>
      <c r="J40" s="14"/>
      <c r="K40"/>
      <c r="L40" s="14" t="s">
        <v>37</v>
      </c>
      <c r="N40" s="15">
        <v>56.17</v>
      </c>
      <c r="O40" s="17">
        <v>1.69461664724406</v>
      </c>
      <c r="P40" s="17">
        <v>1.6694755920311</v>
      </c>
      <c r="R40" s="15">
        <v>99.942237441619397</v>
      </c>
      <c r="S40" t="s">
        <v>44</v>
      </c>
      <c r="U40" s="15">
        <v>91.951920217655697</v>
      </c>
      <c r="V40" s="15">
        <v>94.994825883310796</v>
      </c>
      <c r="W40" s="15">
        <v>99.942237441619397</v>
      </c>
      <c r="X40" s="15">
        <v>104.556587915487</v>
      </c>
      <c r="Y40" s="15">
        <v>109.476449578052</v>
      </c>
    </row>
    <row r="41" spans="1:25">
      <c r="A41" t="s">
        <v>149</v>
      </c>
      <c r="B41" s="11" t="s">
        <v>150</v>
      </c>
      <c r="C41" s="12" t="s">
        <v>151</v>
      </c>
      <c r="D41" s="1" t="s">
        <v>30</v>
      </c>
      <c r="E41" s="1" t="s">
        <v>31</v>
      </c>
      <c r="F41" s="13" t="s">
        <v>32</v>
      </c>
      <c r="G41"/>
      <c r="H41" s="14"/>
      <c r="I41"/>
      <c r="J41"/>
      <c r="K41"/>
      <c r="L41"/>
      <c r="N41" s="15">
        <v>22.93</v>
      </c>
      <c r="O41" s="17">
        <v>0.42474000018095998</v>
      </c>
      <c r="P41" s="17">
        <v>0.42047605894706003</v>
      </c>
      <c r="R41" s="15">
        <v>99.995553898989996</v>
      </c>
      <c r="S41" t="s">
        <v>33</v>
      </c>
      <c r="U41" s="15">
        <v>83.417698573744602</v>
      </c>
      <c r="V41" s="15">
        <v>88.402264433959701</v>
      </c>
      <c r="W41" s="15">
        <v>100.00444610101</v>
      </c>
      <c r="X41" s="15">
        <v>117.754600344727</v>
      </c>
      <c r="Y41" s="15">
        <v>121.822521692881</v>
      </c>
    </row>
    <row r="42" spans="1:25">
      <c r="A42" t="s">
        <v>152</v>
      </c>
      <c r="B42" s="11" t="s">
        <v>153</v>
      </c>
      <c r="C42" s="12" t="s">
        <v>154</v>
      </c>
      <c r="D42" s="1" t="s">
        <v>30</v>
      </c>
      <c r="E42" s="1" t="s">
        <v>31</v>
      </c>
      <c r="F42" s="13" t="s">
        <v>32</v>
      </c>
      <c r="G42"/>
      <c r="H42" s="14"/>
      <c r="I42"/>
      <c r="J42"/>
      <c r="K42"/>
      <c r="L42"/>
      <c r="N42" s="15">
        <v>68.44</v>
      </c>
      <c r="O42" s="17">
        <v>2.7417734566841201</v>
      </c>
      <c r="P42" s="17">
        <v>2.6921049507810899</v>
      </c>
      <c r="R42" s="15">
        <v>99.835557021387004</v>
      </c>
      <c r="S42" t="s">
        <v>33</v>
      </c>
      <c r="U42" s="15">
        <v>95.055541002203697</v>
      </c>
      <c r="V42" s="15">
        <v>96.770429580795806</v>
      </c>
      <c r="W42" s="15">
        <v>100.164442978613</v>
      </c>
      <c r="X42" s="15">
        <v>109.734926953887</v>
      </c>
      <c r="Y42" s="15">
        <v>112.51695060058699</v>
      </c>
    </row>
    <row r="43" spans="1:25">
      <c r="A43" t="s">
        <v>155</v>
      </c>
      <c r="B43" s="11" t="s">
        <v>156</v>
      </c>
      <c r="C43" s="12" t="s">
        <v>157</v>
      </c>
      <c r="D43" s="1" t="s">
        <v>30</v>
      </c>
      <c r="E43" s="1" t="s">
        <v>31</v>
      </c>
      <c r="F43" s="13" t="s">
        <v>32</v>
      </c>
      <c r="G43" s="14" t="s">
        <v>37</v>
      </c>
      <c r="H43" s="14"/>
      <c r="I43" s="14" t="s">
        <v>37</v>
      </c>
      <c r="J43" s="14"/>
      <c r="K43"/>
      <c r="L43" s="14"/>
      <c r="N43" s="15">
        <v>51.11</v>
      </c>
      <c r="O43" s="17">
        <v>1.19518785191013</v>
      </c>
      <c r="P43" s="17">
        <v>1.1353496324176999</v>
      </c>
      <c r="R43" s="15">
        <v>97.915102117879997</v>
      </c>
      <c r="S43" t="s">
        <v>33</v>
      </c>
      <c r="U43" s="15">
        <v>98.762484183069802</v>
      </c>
      <c r="V43" s="15">
        <v>99.760092177315698</v>
      </c>
      <c r="W43" s="15">
        <v>102.08489788212</v>
      </c>
      <c r="X43" s="15">
        <v>110.540978403748</v>
      </c>
      <c r="Y43" s="15">
        <v>113.990938358867</v>
      </c>
    </row>
    <row r="44" spans="1:25">
      <c r="A44" t="s">
        <v>158</v>
      </c>
      <c r="B44" s="11" t="s">
        <v>159</v>
      </c>
      <c r="C44" s="12" t="s">
        <v>160</v>
      </c>
      <c r="D44" s="1" t="s">
        <v>30</v>
      </c>
      <c r="E44" s="1" t="s">
        <v>31</v>
      </c>
      <c r="F44" s="13" t="s">
        <v>32</v>
      </c>
      <c r="G44" s="14" t="s">
        <v>37</v>
      </c>
      <c r="H44" s="14"/>
      <c r="I44"/>
      <c r="J44" s="14"/>
      <c r="K44"/>
      <c r="L44" s="14"/>
      <c r="N44" s="15">
        <v>24.52</v>
      </c>
      <c r="O44" s="17">
        <v>0.39606902815849998</v>
      </c>
      <c r="P44" s="17">
        <v>0.39649217277292997</v>
      </c>
      <c r="R44" s="15">
        <v>99.999612687302701</v>
      </c>
      <c r="S44" t="s">
        <v>44</v>
      </c>
      <c r="U44" s="15">
        <v>91.582408221132795</v>
      </c>
      <c r="V44" s="15">
        <v>95.288410821034702</v>
      </c>
      <c r="W44" s="15">
        <v>99.999612687302701</v>
      </c>
      <c r="X44" s="15">
        <v>104.938634981525</v>
      </c>
      <c r="Y44" s="15">
        <v>105.934480953791</v>
      </c>
    </row>
    <row r="45" spans="1:25">
      <c r="A45" t="s">
        <v>161</v>
      </c>
      <c r="B45" s="11" t="s">
        <v>162</v>
      </c>
      <c r="C45" s="12" t="s">
        <v>163</v>
      </c>
      <c r="D45" s="1" t="s">
        <v>30</v>
      </c>
      <c r="E45" s="1" t="s">
        <v>31</v>
      </c>
      <c r="F45" s="13" t="s">
        <v>32</v>
      </c>
      <c r="G45"/>
      <c r="H45" s="14"/>
      <c r="I45"/>
      <c r="J45"/>
      <c r="K45"/>
      <c r="L45"/>
      <c r="N45" s="15">
        <v>25.48</v>
      </c>
      <c r="O45" s="17">
        <v>0.41825231836217902</v>
      </c>
      <c r="P45" s="17">
        <v>0.27182081907402</v>
      </c>
      <c r="R45" s="15">
        <v>67.386006768227986</v>
      </c>
      <c r="S45" t="s">
        <v>33</v>
      </c>
      <c r="U45" s="15">
        <v>113.68944788023499</v>
      </c>
      <c r="V45" s="15">
        <v>119.945847989489</v>
      </c>
      <c r="W45" s="15">
        <v>132.61399323177201</v>
      </c>
      <c r="X45" s="15">
        <v>145.70811812170601</v>
      </c>
      <c r="Y45" s="15">
        <v>148.69029605173401</v>
      </c>
    </row>
    <row r="46" spans="1:25">
      <c r="A46" t="s">
        <v>164</v>
      </c>
      <c r="B46" s="11" t="s">
        <v>165</v>
      </c>
      <c r="C46" s="12" t="s">
        <v>166</v>
      </c>
      <c r="D46" s="1" t="s">
        <v>30</v>
      </c>
      <c r="E46" s="1" t="s">
        <v>31</v>
      </c>
      <c r="F46" s="13" t="s">
        <v>32</v>
      </c>
      <c r="G46" s="14" t="s">
        <v>37</v>
      </c>
      <c r="H46" s="14"/>
      <c r="I46"/>
      <c r="J46" s="14"/>
      <c r="K46"/>
      <c r="L46" s="14"/>
      <c r="N46" s="15">
        <v>15.33</v>
      </c>
      <c r="O46" s="17">
        <v>0.58338855007422297</v>
      </c>
      <c r="P46" s="17">
        <v>0.653868979357632</v>
      </c>
      <c r="R46" s="15">
        <v>94.5643199295465</v>
      </c>
      <c r="S46" t="s">
        <v>44</v>
      </c>
      <c r="U46" s="15">
        <v>75.856980836323899</v>
      </c>
      <c r="V46" s="15">
        <v>78.258172557066402</v>
      </c>
      <c r="W46" s="15">
        <v>94.5643199295465</v>
      </c>
      <c r="X46" s="15">
        <v>100.20146731613301</v>
      </c>
      <c r="Y46" s="15">
        <v>103.26350989549999</v>
      </c>
    </row>
    <row r="47" spans="1:25" ht="45">
      <c r="A47" t="s">
        <v>167</v>
      </c>
      <c r="B47" s="11" t="s">
        <v>168</v>
      </c>
      <c r="C47" s="12" t="s">
        <v>169</v>
      </c>
      <c r="D47" s="1" t="s">
        <v>30</v>
      </c>
      <c r="E47" s="1" t="s">
        <v>31</v>
      </c>
      <c r="F47" s="13" t="s">
        <v>170</v>
      </c>
      <c r="G47" s="14" t="s">
        <v>37</v>
      </c>
      <c r="H47" s="14"/>
      <c r="I47"/>
      <c r="J47" s="14"/>
      <c r="K47"/>
      <c r="L47" s="14" t="s">
        <v>37</v>
      </c>
      <c r="N47" s="15">
        <v>15.35</v>
      </c>
      <c r="O47" s="17">
        <v>0.49212683991539802</v>
      </c>
      <c r="P47" s="17">
        <v>0.59663784080453997</v>
      </c>
      <c r="R47" s="15">
        <v>91.053378776625905</v>
      </c>
      <c r="S47" t="s">
        <v>44</v>
      </c>
      <c r="U47" s="15">
        <v>71.104168932378101</v>
      </c>
      <c r="V47" s="15">
        <v>74.226456685227703</v>
      </c>
      <c r="W47" s="15">
        <v>91.053378776625905</v>
      </c>
      <c r="X47" s="15">
        <v>99.979311437196003</v>
      </c>
      <c r="Y47" s="15">
        <v>101.893274113619</v>
      </c>
    </row>
    <row r="48" spans="1:25">
      <c r="A48" t="s">
        <v>171</v>
      </c>
      <c r="B48" s="11" t="s">
        <v>172</v>
      </c>
      <c r="C48" s="12" t="s">
        <v>173</v>
      </c>
      <c r="D48" s="1" t="s">
        <v>30</v>
      </c>
      <c r="E48" s="1" t="s">
        <v>31</v>
      </c>
      <c r="F48" s="13" t="s">
        <v>32</v>
      </c>
      <c r="G48"/>
      <c r="H48" s="14"/>
      <c r="I48"/>
      <c r="J48"/>
      <c r="K48"/>
      <c r="L48"/>
      <c r="N48" s="15">
        <v>29.81</v>
      </c>
      <c r="O48" s="17">
        <v>0.89591500450914596</v>
      </c>
      <c r="P48" s="17">
        <v>0.90254123741095504</v>
      </c>
      <c r="R48" s="15">
        <v>99.731278842653595</v>
      </c>
      <c r="S48" t="s">
        <v>44</v>
      </c>
      <c r="U48" s="15">
        <v>83.927762254227304</v>
      </c>
      <c r="V48" s="15">
        <v>85.340067250416197</v>
      </c>
      <c r="W48" s="15">
        <v>99.731278842653595</v>
      </c>
      <c r="X48" s="15">
        <v>110.28764876033399</v>
      </c>
      <c r="Y48" s="15">
        <v>113.68556969536</v>
      </c>
    </row>
    <row r="49" spans="1:25">
      <c r="A49" t="s">
        <v>174</v>
      </c>
      <c r="B49" s="11" t="s">
        <v>174</v>
      </c>
      <c r="C49" s="12" t="s">
        <v>175</v>
      </c>
      <c r="D49" s="1" t="s">
        <v>30</v>
      </c>
      <c r="E49" s="1" t="s">
        <v>31</v>
      </c>
      <c r="F49" s="13" t="s">
        <v>32</v>
      </c>
      <c r="G49" s="14" t="s">
        <v>37</v>
      </c>
      <c r="H49" s="14"/>
      <c r="I49" s="14" t="s">
        <v>37</v>
      </c>
      <c r="J49" s="14"/>
      <c r="K49"/>
      <c r="L49" s="14"/>
      <c r="N49" s="15">
        <v>62.87</v>
      </c>
      <c r="O49" s="17">
        <v>2.5272251049644101</v>
      </c>
      <c r="P49" s="17">
        <v>2.9993982295610602</v>
      </c>
      <c r="R49" s="15">
        <v>84.732528984479202</v>
      </c>
      <c r="S49" t="s">
        <v>44</v>
      </c>
      <c r="U49" s="15">
        <v>80.080948129653805</v>
      </c>
      <c r="V49" s="15">
        <v>81.1294879003907</v>
      </c>
      <c r="W49" s="15">
        <v>84.732528984479202</v>
      </c>
      <c r="X49" s="15">
        <v>87.699675335516105</v>
      </c>
      <c r="Y49" s="15">
        <v>88.1361100054215</v>
      </c>
    </row>
    <row r="50" spans="1:25">
      <c r="A50" t="s">
        <v>176</v>
      </c>
      <c r="B50" s="11" t="s">
        <v>177</v>
      </c>
      <c r="C50" s="12" t="s">
        <v>178</v>
      </c>
      <c r="D50" s="1" t="s">
        <v>30</v>
      </c>
      <c r="E50" s="1" t="s">
        <v>31</v>
      </c>
      <c r="F50" s="13" t="s">
        <v>32</v>
      </c>
      <c r="G50" s="14" t="s">
        <v>37</v>
      </c>
      <c r="H50" s="14"/>
      <c r="I50"/>
      <c r="J50" s="14"/>
      <c r="K50"/>
      <c r="L50" s="14"/>
      <c r="N50" s="15">
        <v>42.72</v>
      </c>
      <c r="O50" s="17">
        <v>1.4017640201004999</v>
      </c>
      <c r="P50" s="17">
        <v>1.99374977434625</v>
      </c>
      <c r="R50" s="15">
        <v>70.4061244004602</v>
      </c>
      <c r="S50" t="s">
        <v>44</v>
      </c>
      <c r="U50" s="15">
        <v>64.138295761682301</v>
      </c>
      <c r="V50" s="15">
        <v>65.231213030268904</v>
      </c>
      <c r="W50" s="15">
        <v>70.4061244004602</v>
      </c>
      <c r="X50" s="15">
        <v>76.805367741337406</v>
      </c>
      <c r="Y50" s="15">
        <v>78.681872947867504</v>
      </c>
    </row>
    <row r="51" spans="1:25">
      <c r="A51" t="s">
        <v>179</v>
      </c>
      <c r="B51" s="11" t="s">
        <v>180</v>
      </c>
      <c r="C51" s="12" t="s">
        <v>181</v>
      </c>
      <c r="D51" s="1" t="s">
        <v>30</v>
      </c>
      <c r="E51" s="1" t="s">
        <v>31</v>
      </c>
      <c r="F51" s="13" t="s">
        <v>54</v>
      </c>
      <c r="G51"/>
      <c r="H51" s="14"/>
      <c r="I51"/>
      <c r="J51" s="14" t="s">
        <v>37</v>
      </c>
      <c r="K51"/>
      <c r="L51" s="14" t="s">
        <v>37</v>
      </c>
      <c r="N51" s="15">
        <v>16.59</v>
      </c>
      <c r="O51" s="17">
        <v>0.22794669272427501</v>
      </c>
      <c r="P51" s="17">
        <v>0.22421111319638401</v>
      </c>
      <c r="R51" s="15">
        <v>99.255223433517997</v>
      </c>
      <c r="S51" t="s">
        <v>33</v>
      </c>
      <c r="U51" s="15">
        <v>97.824993068669997</v>
      </c>
      <c r="V51" s="15">
        <v>98.767482024985199</v>
      </c>
      <c r="W51" s="15">
        <v>100.744776566482</v>
      </c>
      <c r="X51" s="15">
        <v>114.70117025595199</v>
      </c>
      <c r="Y51" s="15">
        <v>115.31580635209301</v>
      </c>
    </row>
    <row r="52" spans="1:25">
      <c r="A52" t="s">
        <v>182</v>
      </c>
      <c r="B52" s="11" t="s">
        <v>183</v>
      </c>
      <c r="C52" s="12" t="s">
        <v>184</v>
      </c>
      <c r="D52" s="1" t="s">
        <v>30</v>
      </c>
      <c r="E52" s="1" t="s">
        <v>31</v>
      </c>
      <c r="F52" s="13" t="s">
        <v>32</v>
      </c>
      <c r="G52"/>
      <c r="H52" s="14" t="s">
        <v>37</v>
      </c>
      <c r="I52"/>
      <c r="J52"/>
      <c r="K52"/>
      <c r="L52"/>
      <c r="N52" s="15">
        <v>36.74</v>
      </c>
      <c r="O52" s="17">
        <v>1.2628732574469801</v>
      </c>
      <c r="P52" s="17">
        <v>1.3914079462038</v>
      </c>
      <c r="R52" s="15">
        <v>93.8683708682385</v>
      </c>
      <c r="S52" t="s">
        <v>44</v>
      </c>
      <c r="U52" s="15">
        <v>80.393361529577803</v>
      </c>
      <c r="V52" s="15">
        <v>82.840356840185805</v>
      </c>
      <c r="W52" s="15">
        <v>93.8683708682385</v>
      </c>
      <c r="X52" s="15">
        <v>99.995125216966002</v>
      </c>
      <c r="Y52" s="15">
        <v>101.242069759717</v>
      </c>
    </row>
    <row r="53" spans="1:25">
      <c r="A53" t="s">
        <v>185</v>
      </c>
      <c r="B53" s="11" t="s">
        <v>186</v>
      </c>
      <c r="C53" s="12" t="s">
        <v>187</v>
      </c>
      <c r="D53" s="1" t="s">
        <v>30</v>
      </c>
      <c r="E53" s="1" t="s">
        <v>31</v>
      </c>
      <c r="F53" s="13" t="s">
        <v>32</v>
      </c>
      <c r="G53" s="14"/>
      <c r="H53" s="14" t="s">
        <v>37</v>
      </c>
      <c r="I53" s="14"/>
      <c r="J53" s="14" t="s">
        <v>37</v>
      </c>
      <c r="K53"/>
      <c r="L53" s="14"/>
      <c r="N53" s="15">
        <v>39.06</v>
      </c>
      <c r="O53" s="17">
        <v>1.0421041404570901</v>
      </c>
      <c r="P53" s="17">
        <v>1.0873581880518199</v>
      </c>
      <c r="R53" s="15">
        <v>98.9766426713838</v>
      </c>
      <c r="S53" t="s">
        <v>44</v>
      </c>
      <c r="U53" s="15">
        <v>88.845725186825007</v>
      </c>
      <c r="V53" s="15">
        <v>90.823100106073795</v>
      </c>
      <c r="W53" s="15">
        <v>98.9766426713838</v>
      </c>
      <c r="X53" s="15">
        <v>101.83279143497001</v>
      </c>
      <c r="Y53" s="15">
        <v>105.76883400753201</v>
      </c>
    </row>
    <row r="54" spans="1:25">
      <c r="A54" t="s">
        <v>188</v>
      </c>
      <c r="B54" s="11" t="s">
        <v>189</v>
      </c>
      <c r="C54" s="12" t="s">
        <v>190</v>
      </c>
      <c r="D54" s="1" t="s">
        <v>30</v>
      </c>
      <c r="E54" s="1" t="s">
        <v>31</v>
      </c>
      <c r="F54" s="13" t="s">
        <v>32</v>
      </c>
      <c r="G54" s="14" t="s">
        <v>37</v>
      </c>
      <c r="H54" s="14"/>
      <c r="I54"/>
      <c r="J54" s="14"/>
      <c r="K54"/>
      <c r="L54" s="14"/>
      <c r="N54" s="15">
        <v>60.65</v>
      </c>
      <c r="O54" s="17">
        <v>2.2559529558560598</v>
      </c>
      <c r="P54" s="17">
        <v>2.0971243645678199</v>
      </c>
      <c r="R54" s="15">
        <v>95.099227784182006</v>
      </c>
      <c r="S54" t="s">
        <v>33</v>
      </c>
      <c r="U54" s="15">
        <v>100.083659335504</v>
      </c>
      <c r="V54" s="15">
        <v>100.382826605105</v>
      </c>
      <c r="W54" s="15">
        <v>104.90077221581799</v>
      </c>
      <c r="X54" s="15">
        <v>111.701315496229</v>
      </c>
      <c r="Y54" s="15">
        <v>113.99318866204101</v>
      </c>
    </row>
    <row r="55" spans="1:25">
      <c r="A55" t="s">
        <v>191</v>
      </c>
      <c r="B55" s="11" t="s">
        <v>192</v>
      </c>
      <c r="C55" s="12" t="s">
        <v>193</v>
      </c>
      <c r="D55" s="1" t="s">
        <v>30</v>
      </c>
      <c r="E55" s="1" t="s">
        <v>31</v>
      </c>
      <c r="F55" s="13" t="s">
        <v>32</v>
      </c>
      <c r="G55"/>
      <c r="H55" s="14"/>
      <c r="I55"/>
      <c r="J55"/>
      <c r="K55" s="14" t="s">
        <v>37</v>
      </c>
      <c r="L55"/>
      <c r="N55" s="15">
        <v>29.48</v>
      </c>
      <c r="O55" s="17">
        <v>1.7212661527861099</v>
      </c>
      <c r="P55" s="17">
        <v>0.91945434895851696</v>
      </c>
      <c r="R55" s="15">
        <v>53.172275847310004</v>
      </c>
      <c r="S55" t="s">
        <v>33</v>
      </c>
      <c r="U55" s="15">
        <v>137.826454219292</v>
      </c>
      <c r="V55" s="15">
        <v>138.21757184458701</v>
      </c>
      <c r="W55" s="15">
        <v>146.82772415269</v>
      </c>
      <c r="X55" s="15">
        <v>152.927315277242</v>
      </c>
      <c r="Y55" s="15">
        <v>154.873956407707</v>
      </c>
    </row>
    <row r="56" spans="1:25">
      <c r="A56" t="s">
        <v>194</v>
      </c>
      <c r="B56" s="11" t="s">
        <v>195</v>
      </c>
      <c r="C56" s="12" t="s">
        <v>196</v>
      </c>
      <c r="D56" s="1" t="s">
        <v>30</v>
      </c>
      <c r="E56" s="1" t="s">
        <v>31</v>
      </c>
      <c r="F56" s="13" t="s">
        <v>32</v>
      </c>
      <c r="G56" s="14" t="s">
        <v>37</v>
      </c>
      <c r="H56" s="14"/>
      <c r="I56"/>
      <c r="J56" s="14"/>
      <c r="K56"/>
      <c r="L56" s="14"/>
      <c r="N56" s="15">
        <v>42.8</v>
      </c>
      <c r="O56" s="17">
        <v>1.1624178279555</v>
      </c>
      <c r="P56" s="17">
        <v>1.44524402626213</v>
      </c>
      <c r="R56" s="15">
        <v>78.8208924822558</v>
      </c>
      <c r="S56" t="s">
        <v>44</v>
      </c>
      <c r="U56" s="15">
        <v>70.755967555802897</v>
      </c>
      <c r="V56" s="15">
        <v>73.727661739165001</v>
      </c>
      <c r="W56" s="15">
        <v>78.8208924822558</v>
      </c>
      <c r="X56" s="15">
        <v>88.842349708914796</v>
      </c>
      <c r="Y56" s="15">
        <v>93.183819130041499</v>
      </c>
    </row>
    <row r="57" spans="1:25">
      <c r="A57" t="s">
        <v>197</v>
      </c>
      <c r="B57" s="11" t="s">
        <v>198</v>
      </c>
      <c r="C57" s="12" t="s">
        <v>199</v>
      </c>
      <c r="D57" s="1" t="s">
        <v>30</v>
      </c>
      <c r="E57" s="1" t="s">
        <v>31</v>
      </c>
      <c r="F57" s="13" t="s">
        <v>32</v>
      </c>
      <c r="G57"/>
      <c r="H57" s="14"/>
      <c r="I57"/>
      <c r="J57"/>
      <c r="K57"/>
      <c r="L57"/>
      <c r="N57" s="15">
        <v>80.739999999999995</v>
      </c>
      <c r="O57" s="17">
        <v>4.0259206266473804</v>
      </c>
      <c r="P57" s="17">
        <v>4.97905865589982</v>
      </c>
      <c r="R57" s="15">
        <v>81.775035784729297</v>
      </c>
      <c r="S57" t="s">
        <v>44</v>
      </c>
      <c r="U57" s="15">
        <v>77.743728122841503</v>
      </c>
      <c r="V57" s="15">
        <v>78.932728292839101</v>
      </c>
      <c r="W57" s="15">
        <v>81.775035784729297</v>
      </c>
      <c r="X57" s="15">
        <v>84.365284844984501</v>
      </c>
      <c r="Y57" s="15">
        <v>86.217410814131497</v>
      </c>
    </row>
    <row r="58" spans="1:25">
      <c r="A58" t="s">
        <v>200</v>
      </c>
      <c r="B58" s="11" t="s">
        <v>201</v>
      </c>
      <c r="C58" s="12" t="s">
        <v>202</v>
      </c>
      <c r="D58" s="1" t="s">
        <v>30</v>
      </c>
      <c r="E58" s="1" t="s">
        <v>31</v>
      </c>
      <c r="F58" s="13" t="s">
        <v>32</v>
      </c>
      <c r="G58"/>
      <c r="H58" s="14"/>
      <c r="I58"/>
      <c r="J58" s="14" t="s">
        <v>37</v>
      </c>
      <c r="K58"/>
      <c r="L58" s="14"/>
      <c r="N58" s="15">
        <v>23.2</v>
      </c>
      <c r="O58" s="17">
        <v>0.461949619328893</v>
      </c>
      <c r="P58" s="17">
        <v>0.640638399565153</v>
      </c>
      <c r="R58" s="15">
        <v>72.324093096370405</v>
      </c>
      <c r="S58" t="s">
        <v>44</v>
      </c>
      <c r="U58" s="15">
        <v>57.118474522931002</v>
      </c>
      <c r="V58" s="15">
        <v>61.105568380440801</v>
      </c>
      <c r="W58" s="15">
        <v>72.324093096370405</v>
      </c>
      <c r="X58" s="15">
        <v>91.039695645118996</v>
      </c>
      <c r="Y58" s="15">
        <v>96.729201963774102</v>
      </c>
    </row>
    <row r="59" spans="1:25" ht="45">
      <c r="A59" t="s">
        <v>203</v>
      </c>
      <c r="B59" s="11" t="s">
        <v>204</v>
      </c>
      <c r="C59" s="12" t="s">
        <v>205</v>
      </c>
      <c r="D59" s="1" t="s">
        <v>30</v>
      </c>
      <c r="E59" s="1" t="s">
        <v>31</v>
      </c>
      <c r="F59" s="13" t="s">
        <v>206</v>
      </c>
      <c r="G59"/>
      <c r="H59" s="14"/>
      <c r="I59"/>
      <c r="J59"/>
      <c r="K59"/>
      <c r="L59" s="14" t="s">
        <v>37</v>
      </c>
      <c r="N59" s="15">
        <v>7.78</v>
      </c>
      <c r="O59" s="17">
        <v>0.115148142484407</v>
      </c>
      <c r="P59" s="17">
        <v>0.198761979045144</v>
      </c>
      <c r="R59" s="15">
        <v>60.610479463954</v>
      </c>
      <c r="S59" t="s">
        <v>44</v>
      </c>
      <c r="U59" s="15">
        <v>41.742920323837097</v>
      </c>
      <c r="V59" s="15">
        <v>45.710150326973398</v>
      </c>
      <c r="W59" s="15">
        <v>60.610479463954</v>
      </c>
      <c r="X59" s="15">
        <v>85.580109954480207</v>
      </c>
      <c r="Y59" s="15">
        <v>93.643917525980299</v>
      </c>
    </row>
    <row r="60" spans="1:25">
      <c r="A60" t="s">
        <v>207</v>
      </c>
      <c r="B60" s="11" t="s">
        <v>208</v>
      </c>
      <c r="C60" s="12" t="s">
        <v>209</v>
      </c>
      <c r="D60" s="1" t="s">
        <v>30</v>
      </c>
      <c r="E60" s="1" t="s">
        <v>31</v>
      </c>
      <c r="F60" s="13" t="s">
        <v>32</v>
      </c>
      <c r="G60"/>
      <c r="H60" s="14"/>
      <c r="I60"/>
      <c r="J60"/>
      <c r="K60" s="14" t="s">
        <v>37</v>
      </c>
      <c r="L60"/>
      <c r="N60" s="15">
        <v>14.72</v>
      </c>
      <c r="O60" s="17">
        <v>1.05110583257996</v>
      </c>
      <c r="P60" s="17">
        <v>0.14707126815986801</v>
      </c>
      <c r="R60" s="15">
        <v>14.311337366271005</v>
      </c>
      <c r="S60" t="s">
        <v>33</v>
      </c>
      <c r="U60" s="15">
        <v>174.69626572388799</v>
      </c>
      <c r="V60" s="15">
        <v>176.72396817895199</v>
      </c>
      <c r="W60" s="15">
        <v>185.688662633729</v>
      </c>
      <c r="X60" s="15">
        <v>192.10228859726601</v>
      </c>
      <c r="Y60" s="15">
        <v>193.905432331133</v>
      </c>
    </row>
    <row r="61" spans="1:25">
      <c r="A61" t="s">
        <v>210</v>
      </c>
      <c r="B61" s="11" t="s">
        <v>211</v>
      </c>
      <c r="C61" s="12" t="s">
        <v>212</v>
      </c>
      <c r="D61" s="1" t="s">
        <v>30</v>
      </c>
      <c r="E61" s="1" t="s">
        <v>31</v>
      </c>
      <c r="F61" s="13" t="s">
        <v>32</v>
      </c>
      <c r="G61"/>
      <c r="H61" s="14"/>
      <c r="I61"/>
      <c r="J61"/>
      <c r="K61" s="14" t="s">
        <v>37</v>
      </c>
      <c r="L61"/>
      <c r="N61" s="15">
        <v>15.17</v>
      </c>
      <c r="O61" s="17">
        <v>0.85744100097982501</v>
      </c>
      <c r="P61" s="17">
        <v>0.109947883201144</v>
      </c>
      <c r="R61" s="15">
        <v>13.596663110925988</v>
      </c>
      <c r="S61" t="s">
        <v>33</v>
      </c>
      <c r="U61" s="15">
        <v>160.59141154210801</v>
      </c>
      <c r="V61" s="15">
        <v>166.23360641840799</v>
      </c>
      <c r="W61" s="15">
        <v>186.40333688907401</v>
      </c>
      <c r="X61" s="15">
        <v>193.61334353755799</v>
      </c>
      <c r="Y61" s="15">
        <v>194.45911592963299</v>
      </c>
    </row>
    <row r="62" spans="1:25">
      <c r="A62" t="s">
        <v>213</v>
      </c>
      <c r="B62" s="11" t="s">
        <v>214</v>
      </c>
      <c r="C62" s="12" t="s">
        <v>215</v>
      </c>
      <c r="D62" s="1" t="s">
        <v>30</v>
      </c>
      <c r="E62" s="1" t="s">
        <v>31</v>
      </c>
      <c r="F62" s="13" t="s">
        <v>32</v>
      </c>
      <c r="G62" s="14" t="s">
        <v>37</v>
      </c>
      <c r="H62" s="14" t="s">
        <v>37</v>
      </c>
      <c r="I62" s="14" t="s">
        <v>37</v>
      </c>
      <c r="J62" s="14"/>
      <c r="K62"/>
      <c r="L62" s="14"/>
      <c r="N62" s="15">
        <v>80.2</v>
      </c>
      <c r="O62" s="17">
        <v>3.9618806584173001</v>
      </c>
      <c r="P62" s="17">
        <v>4.2908368363411702</v>
      </c>
      <c r="R62" s="15">
        <v>92.527301800235605</v>
      </c>
      <c r="S62" t="s">
        <v>44</v>
      </c>
      <c r="U62" s="15">
        <v>89.074945806286806</v>
      </c>
      <c r="V62" s="15">
        <v>89.897607682319304</v>
      </c>
      <c r="W62" s="15">
        <v>92.527301800235605</v>
      </c>
      <c r="X62" s="15">
        <v>95.057114051947906</v>
      </c>
      <c r="Y62" s="15">
        <v>95.787927821226006</v>
      </c>
    </row>
    <row r="63" spans="1:25">
      <c r="A63" t="s">
        <v>216</v>
      </c>
      <c r="B63" s="11" t="s">
        <v>217</v>
      </c>
      <c r="C63" s="12" t="s">
        <v>218</v>
      </c>
      <c r="D63" s="1" t="s">
        <v>30</v>
      </c>
      <c r="E63" s="1" t="s">
        <v>31</v>
      </c>
      <c r="F63" s="13" t="s">
        <v>32</v>
      </c>
      <c r="G63"/>
      <c r="H63" s="14"/>
      <c r="I63"/>
      <c r="J63"/>
      <c r="K63"/>
      <c r="L63"/>
      <c r="N63" s="15">
        <v>15.19</v>
      </c>
      <c r="O63" s="17">
        <v>0.369671204125884</v>
      </c>
      <c r="P63" s="17">
        <v>0.48583746183286203</v>
      </c>
      <c r="R63" s="15">
        <v>88.052942800658499</v>
      </c>
      <c r="S63" t="s">
        <v>44</v>
      </c>
      <c r="U63" s="15">
        <v>66.248068986250303</v>
      </c>
      <c r="V63" s="15">
        <v>69.330194529290196</v>
      </c>
      <c r="W63" s="15">
        <v>88.052942800658499</v>
      </c>
      <c r="X63" s="15">
        <v>99.992263263197401</v>
      </c>
      <c r="Y63" s="15">
        <v>100.05401911238199</v>
      </c>
    </row>
    <row r="64" spans="1:25">
      <c r="A64" t="s">
        <v>219</v>
      </c>
      <c r="B64" s="11" t="s">
        <v>220</v>
      </c>
      <c r="C64" s="12" t="s">
        <v>221</v>
      </c>
      <c r="D64" s="1" t="s">
        <v>30</v>
      </c>
      <c r="E64" s="1" t="s">
        <v>31</v>
      </c>
      <c r="F64" s="13" t="s">
        <v>32</v>
      </c>
      <c r="G64" s="14" t="s">
        <v>37</v>
      </c>
      <c r="H64" s="14"/>
      <c r="I64"/>
      <c r="J64" s="14"/>
      <c r="K64"/>
      <c r="L64" s="14"/>
      <c r="N64" s="15">
        <v>66.39</v>
      </c>
      <c r="O64" s="17">
        <v>3.2101959435511098</v>
      </c>
      <c r="P64" s="17">
        <v>3.4120501902275802</v>
      </c>
      <c r="R64" s="15">
        <v>95.283392193610496</v>
      </c>
      <c r="S64" t="s">
        <v>44</v>
      </c>
      <c r="U64" s="15">
        <v>88.912256144314696</v>
      </c>
      <c r="V64" s="15">
        <v>90.460074193182393</v>
      </c>
      <c r="W64" s="15">
        <v>95.283392193610496</v>
      </c>
      <c r="X64" s="15">
        <v>99.903283548976404</v>
      </c>
      <c r="Y64" s="15">
        <v>100.080363935858</v>
      </c>
    </row>
    <row r="65" spans="1:25">
      <c r="A65" t="s">
        <v>222</v>
      </c>
      <c r="B65" s="11" t="s">
        <v>223</v>
      </c>
      <c r="C65" s="12" t="s">
        <v>224</v>
      </c>
      <c r="D65" s="1" t="s">
        <v>30</v>
      </c>
      <c r="E65" s="1" t="s">
        <v>31</v>
      </c>
      <c r="F65" s="13" t="s">
        <v>32</v>
      </c>
      <c r="G65" s="14" t="s">
        <v>37</v>
      </c>
      <c r="H65" s="14"/>
      <c r="I65"/>
      <c r="J65" s="14"/>
      <c r="K65" s="14" t="s">
        <v>37</v>
      </c>
      <c r="L65" s="14"/>
      <c r="N65" s="15">
        <v>24.78</v>
      </c>
      <c r="O65" s="17">
        <v>0.69097644525060797</v>
      </c>
      <c r="P65" s="17">
        <v>0.62496503004550896</v>
      </c>
      <c r="R65" s="15">
        <v>96.052848876930994</v>
      </c>
      <c r="S65" t="s">
        <v>33</v>
      </c>
      <c r="U65" s="15">
        <v>99.030888450519001</v>
      </c>
      <c r="V65" s="15">
        <v>99.452044951043106</v>
      </c>
      <c r="W65" s="15">
        <v>103.94715112306901</v>
      </c>
      <c r="X65" s="15">
        <v>120.32443468311401</v>
      </c>
      <c r="Y65" s="15">
        <v>124.70567403470601</v>
      </c>
    </row>
    <row r="66" spans="1:25">
      <c r="A66" t="s">
        <v>225</v>
      </c>
      <c r="B66" s="11" t="s">
        <v>226</v>
      </c>
      <c r="C66" s="12" t="s">
        <v>227</v>
      </c>
      <c r="D66" s="1" t="s">
        <v>30</v>
      </c>
      <c r="E66" s="1" t="s">
        <v>31</v>
      </c>
      <c r="F66" s="13" t="s">
        <v>32</v>
      </c>
      <c r="G66"/>
      <c r="H66" s="14"/>
      <c r="I66"/>
      <c r="J66"/>
      <c r="K66"/>
      <c r="L66"/>
      <c r="N66" s="15">
        <v>7.04</v>
      </c>
      <c r="O66" s="17">
        <v>0.99837704778966097</v>
      </c>
      <c r="P66" s="17">
        <v>0.13302285168098499</v>
      </c>
      <c r="R66" s="15">
        <v>18.00135311802299</v>
      </c>
      <c r="S66" t="s">
        <v>33</v>
      </c>
      <c r="U66" s="15">
        <v>116.651911849472</v>
      </c>
      <c r="V66" s="15">
        <v>127.161425729443</v>
      </c>
      <c r="W66" s="15">
        <v>181.99864688197701</v>
      </c>
      <c r="X66" s="15">
        <v>195.725090151948</v>
      </c>
      <c r="Y66" s="15">
        <v>196.86802860671</v>
      </c>
    </row>
    <row r="67" spans="1:25">
      <c r="A67" t="s">
        <v>228</v>
      </c>
      <c r="B67" s="11" t="s">
        <v>229</v>
      </c>
      <c r="C67" s="12" t="s">
        <v>230</v>
      </c>
      <c r="D67" s="1" t="s">
        <v>30</v>
      </c>
      <c r="E67" s="1" t="s">
        <v>31</v>
      </c>
      <c r="F67" s="13" t="s">
        <v>32</v>
      </c>
      <c r="G67" s="14" t="s">
        <v>37</v>
      </c>
      <c r="H67" s="14"/>
      <c r="I67"/>
      <c r="J67" s="14"/>
      <c r="K67" s="14" t="s">
        <v>37</v>
      </c>
      <c r="L67" s="14"/>
      <c r="N67" s="15">
        <v>27.2</v>
      </c>
      <c r="O67" s="17">
        <v>1.13096416501996</v>
      </c>
      <c r="P67" s="17">
        <v>0.94183945143558701</v>
      </c>
      <c r="R67" s="15">
        <v>84.393742100205003</v>
      </c>
      <c r="S67" t="s">
        <v>33</v>
      </c>
      <c r="U67" s="15">
        <v>100.15786683242899</v>
      </c>
      <c r="V67" s="15">
        <v>101.627330735946</v>
      </c>
      <c r="W67" s="15">
        <v>115.606257899795</v>
      </c>
      <c r="X67" s="15">
        <v>133.26735159204301</v>
      </c>
      <c r="Y67" s="15">
        <v>134.559700434224</v>
      </c>
    </row>
    <row r="68" spans="1:25">
      <c r="A68" t="s">
        <v>231</v>
      </c>
      <c r="B68" s="11" t="s">
        <v>232</v>
      </c>
      <c r="C68" s="12" t="s">
        <v>233</v>
      </c>
      <c r="D68" s="1" t="s">
        <v>30</v>
      </c>
      <c r="E68" s="1" t="s">
        <v>31</v>
      </c>
      <c r="F68" s="13" t="s">
        <v>54</v>
      </c>
      <c r="G68" s="14" t="s">
        <v>37</v>
      </c>
      <c r="H68" s="14" t="s">
        <v>37</v>
      </c>
      <c r="I68" s="14" t="s">
        <v>37</v>
      </c>
      <c r="J68" s="14"/>
      <c r="K68"/>
      <c r="L68" s="14" t="s">
        <v>37</v>
      </c>
      <c r="N68" s="15">
        <v>40.39</v>
      </c>
      <c r="O68" s="17">
        <v>0.99125050413692195</v>
      </c>
      <c r="P68" s="17">
        <v>1.0752178116320501</v>
      </c>
      <c r="R68" s="15">
        <v>92.964326353865204</v>
      </c>
      <c r="S68" t="s">
        <v>44</v>
      </c>
      <c r="U68" s="15">
        <v>85.393885009872804</v>
      </c>
      <c r="V68" s="15">
        <v>86.193983084372803</v>
      </c>
      <c r="W68" s="15">
        <v>92.964326353865204</v>
      </c>
      <c r="X68" s="15">
        <v>98.262932829987307</v>
      </c>
      <c r="Y68" s="15">
        <v>99.9742085697915</v>
      </c>
    </row>
    <row r="69" spans="1:25">
      <c r="A69" t="s">
        <v>234</v>
      </c>
      <c r="B69" s="11" t="s">
        <v>235</v>
      </c>
      <c r="C69" s="12" t="s">
        <v>236</v>
      </c>
      <c r="D69" s="1" t="s">
        <v>30</v>
      </c>
      <c r="E69" s="1" t="s">
        <v>31</v>
      </c>
      <c r="F69" s="13" t="s">
        <v>54</v>
      </c>
      <c r="G69" s="14" t="s">
        <v>37</v>
      </c>
      <c r="H69" s="14"/>
      <c r="I69"/>
      <c r="J69" s="14"/>
      <c r="K69"/>
      <c r="L69" s="14" t="s">
        <v>37</v>
      </c>
      <c r="N69" s="15">
        <v>18.39</v>
      </c>
      <c r="O69" s="17">
        <v>0.43785597844802798</v>
      </c>
      <c r="P69" s="17">
        <v>0.34684950287218302</v>
      </c>
      <c r="R69" s="15">
        <v>82.568656253979995</v>
      </c>
      <c r="S69" t="s">
        <v>33</v>
      </c>
      <c r="U69" s="15">
        <v>99.524435290481406</v>
      </c>
      <c r="V69" s="15">
        <v>100.13314109873301</v>
      </c>
      <c r="W69" s="15">
        <v>117.43134374602</v>
      </c>
      <c r="X69" s="15">
        <v>137.08462880403701</v>
      </c>
      <c r="Y69" s="15">
        <v>140.66895453759</v>
      </c>
    </row>
    <row r="70" spans="1:25">
      <c r="A70" t="s">
        <v>237</v>
      </c>
      <c r="B70" s="11" t="s">
        <v>238</v>
      </c>
      <c r="C70" s="12" t="s">
        <v>239</v>
      </c>
      <c r="D70" s="1" t="s">
        <v>30</v>
      </c>
      <c r="E70" s="1" t="s">
        <v>31</v>
      </c>
      <c r="F70" s="13" t="s">
        <v>32</v>
      </c>
      <c r="G70"/>
      <c r="H70" s="14"/>
      <c r="I70"/>
      <c r="J70"/>
      <c r="K70"/>
      <c r="L70"/>
      <c r="N70" s="15">
        <v>87.78</v>
      </c>
      <c r="O70" s="17">
        <v>5.2282557775987097</v>
      </c>
      <c r="P70" s="17">
        <v>5.3471245637829403</v>
      </c>
      <c r="R70" s="15">
        <v>99.111333975606598</v>
      </c>
      <c r="S70" t="s">
        <v>44</v>
      </c>
      <c r="U70" s="15">
        <v>93.357881099324302</v>
      </c>
      <c r="V70" s="15">
        <v>94.325691376778096</v>
      </c>
      <c r="W70" s="15">
        <v>99.111333975606598</v>
      </c>
      <c r="X70" s="15">
        <v>100.90531797511601</v>
      </c>
      <c r="Y70" s="15">
        <v>101.68518237413799</v>
      </c>
    </row>
    <row r="71" spans="1:25">
      <c r="A71" t="s">
        <v>240</v>
      </c>
      <c r="B71" s="11" t="s">
        <v>241</v>
      </c>
      <c r="C71" s="12" t="s">
        <v>242</v>
      </c>
      <c r="D71" s="1" t="s">
        <v>30</v>
      </c>
      <c r="E71" s="1" t="s">
        <v>31</v>
      </c>
      <c r="F71" s="13" t="s">
        <v>32</v>
      </c>
      <c r="G71"/>
      <c r="H71" s="14" t="s">
        <v>37</v>
      </c>
      <c r="I71"/>
      <c r="J71" s="14" t="s">
        <v>37</v>
      </c>
      <c r="K71"/>
      <c r="L71" s="14"/>
      <c r="N71" s="15">
        <v>47.19</v>
      </c>
      <c r="O71" s="17">
        <v>0.99160408895741003</v>
      </c>
      <c r="P71" s="17">
        <v>1.0901279269564701</v>
      </c>
      <c r="R71" s="15">
        <v>92.938424888763606</v>
      </c>
      <c r="S71" t="s">
        <v>44</v>
      </c>
      <c r="U71" s="15">
        <v>83.187297272214806</v>
      </c>
      <c r="V71" s="15">
        <v>84.849153600158999</v>
      </c>
      <c r="W71" s="15">
        <v>92.938424888763606</v>
      </c>
      <c r="X71" s="15">
        <v>99.403859735125494</v>
      </c>
      <c r="Y71" s="15">
        <v>99.866654984359798</v>
      </c>
    </row>
    <row r="72" spans="1:25">
      <c r="A72" t="s">
        <v>243</v>
      </c>
      <c r="B72" s="11" t="s">
        <v>244</v>
      </c>
      <c r="C72" s="12" t="s">
        <v>245</v>
      </c>
      <c r="D72" s="1" t="s">
        <v>30</v>
      </c>
      <c r="E72" s="1" t="s">
        <v>31</v>
      </c>
      <c r="F72" s="13" t="s">
        <v>32</v>
      </c>
      <c r="G72" s="14" t="s">
        <v>37</v>
      </c>
      <c r="H72" s="14"/>
      <c r="I72"/>
      <c r="J72" s="14"/>
      <c r="K72"/>
      <c r="L72" s="14"/>
      <c r="N72" s="15">
        <v>7.76</v>
      </c>
      <c r="O72" s="17">
        <v>0.27884729323007301</v>
      </c>
      <c r="P72" s="17">
        <v>0.304943050234949</v>
      </c>
      <c r="R72" s="15">
        <v>97.444759320958596</v>
      </c>
      <c r="S72" t="s">
        <v>44</v>
      </c>
      <c r="U72" s="15">
        <v>81.792450141304698</v>
      </c>
      <c r="V72" s="15">
        <v>87.460444453537605</v>
      </c>
      <c r="W72" s="15">
        <v>97.444759320958596</v>
      </c>
      <c r="X72" s="15">
        <v>100.322643984244</v>
      </c>
      <c r="Y72" s="15">
        <v>103.825665581888</v>
      </c>
    </row>
    <row r="73" spans="1:25">
      <c r="A73" t="s">
        <v>246</v>
      </c>
      <c r="B73" s="11" t="s">
        <v>247</v>
      </c>
      <c r="C73" s="12" t="s">
        <v>248</v>
      </c>
      <c r="D73" s="1" t="s">
        <v>30</v>
      </c>
      <c r="E73" s="1" t="s">
        <v>31</v>
      </c>
      <c r="F73" s="13" t="s">
        <v>32</v>
      </c>
      <c r="G73" s="14"/>
      <c r="H73" s="14" t="s">
        <v>37</v>
      </c>
      <c r="I73" s="14" t="s">
        <v>37</v>
      </c>
      <c r="J73" s="14"/>
      <c r="K73"/>
      <c r="L73" s="14"/>
      <c r="N73" s="15">
        <v>31.54</v>
      </c>
      <c r="O73" s="17">
        <v>0.76294887631800201</v>
      </c>
      <c r="P73" s="17">
        <v>0.80297224311904403</v>
      </c>
      <c r="R73" s="15">
        <v>96.9931564605766</v>
      </c>
      <c r="S73" t="s">
        <v>44</v>
      </c>
      <c r="U73" s="15">
        <v>85.786893250117302</v>
      </c>
      <c r="V73" s="15">
        <v>88.287507697641502</v>
      </c>
      <c r="W73" s="15">
        <v>96.9931564605766</v>
      </c>
      <c r="X73" s="15">
        <v>100.096002219464</v>
      </c>
      <c r="Y73" s="15">
        <v>100.415848984373</v>
      </c>
    </row>
    <row r="74" spans="1:25">
      <c r="A74" t="s">
        <v>249</v>
      </c>
      <c r="B74" s="11" t="s">
        <v>250</v>
      </c>
      <c r="C74" s="12" t="s">
        <v>251</v>
      </c>
      <c r="D74" s="1" t="s">
        <v>30</v>
      </c>
      <c r="E74" s="1" t="s">
        <v>31</v>
      </c>
      <c r="F74" s="13" t="s">
        <v>252</v>
      </c>
      <c r="G74" s="14" t="s">
        <v>37</v>
      </c>
      <c r="H74" s="14"/>
      <c r="I74"/>
      <c r="J74" s="14"/>
      <c r="K74"/>
      <c r="L74" s="14" t="s">
        <v>37</v>
      </c>
      <c r="N74" s="15">
        <v>8.67</v>
      </c>
      <c r="O74" s="17">
        <v>0.20459166852308699</v>
      </c>
      <c r="P74" s="17">
        <v>0.19927452214038699</v>
      </c>
      <c r="R74" s="15">
        <v>99.400150478273005</v>
      </c>
      <c r="S74" t="s">
        <v>33</v>
      </c>
      <c r="U74" s="15">
        <v>86.402326969406403</v>
      </c>
      <c r="V74" s="15">
        <v>91.444199103198997</v>
      </c>
      <c r="W74" s="15">
        <v>100.59984952172699</v>
      </c>
      <c r="X74" s="15">
        <v>116.846200046001</v>
      </c>
      <c r="Y74" s="15">
        <v>127.91687869005899</v>
      </c>
    </row>
    <row r="75" spans="1:25">
      <c r="A75" t="s">
        <v>253</v>
      </c>
      <c r="B75" s="11" t="s">
        <v>254</v>
      </c>
      <c r="C75" s="12" t="s">
        <v>255</v>
      </c>
      <c r="D75" s="1" t="s">
        <v>30</v>
      </c>
      <c r="E75" s="1" t="s">
        <v>31</v>
      </c>
      <c r="F75" s="13" t="s">
        <v>32</v>
      </c>
      <c r="G75"/>
      <c r="H75" s="14"/>
      <c r="I75"/>
      <c r="J75"/>
      <c r="K75"/>
      <c r="L75"/>
      <c r="N75" s="15">
        <v>44.69</v>
      </c>
      <c r="O75" s="17">
        <v>1.3110947355987399</v>
      </c>
      <c r="P75" s="17">
        <v>1.32611275924547</v>
      </c>
      <c r="R75" s="15">
        <v>99.905604391883202</v>
      </c>
      <c r="S75" t="s">
        <v>44</v>
      </c>
      <c r="U75" s="15">
        <v>91.822914684830906</v>
      </c>
      <c r="V75" s="15">
        <v>94.495111913294394</v>
      </c>
      <c r="W75" s="15">
        <v>99.905604391883202</v>
      </c>
      <c r="X75" s="15">
        <v>106.868633753022</v>
      </c>
      <c r="Y75" s="15">
        <v>113.150384955067</v>
      </c>
    </row>
    <row r="76" spans="1:25">
      <c r="A76" t="s">
        <v>256</v>
      </c>
      <c r="B76" s="11" t="s">
        <v>257</v>
      </c>
      <c r="C76" s="12" t="s">
        <v>258</v>
      </c>
      <c r="D76" s="1" t="s">
        <v>30</v>
      </c>
      <c r="E76" s="1" t="s">
        <v>31</v>
      </c>
      <c r="F76" s="13" t="s">
        <v>32</v>
      </c>
      <c r="G76" s="14"/>
      <c r="H76" s="14"/>
      <c r="I76" s="14"/>
      <c r="J76" s="14"/>
      <c r="K76"/>
      <c r="L76" s="14"/>
      <c r="N76" s="15">
        <v>92.78</v>
      </c>
      <c r="O76" s="17">
        <v>5.1161627870274202</v>
      </c>
      <c r="P76" s="17">
        <v>6.2129807733625304</v>
      </c>
      <c r="R76" s="15">
        <v>82.403405737431797</v>
      </c>
      <c r="S76" t="s">
        <v>44</v>
      </c>
      <c r="U76" s="15">
        <v>80.447957711984202</v>
      </c>
      <c r="V76" s="15">
        <v>80.772010943677699</v>
      </c>
      <c r="W76" s="15">
        <v>82.403405737431797</v>
      </c>
      <c r="X76" s="15">
        <v>84.051275380571496</v>
      </c>
      <c r="Y76" s="15">
        <v>84.854643777459501</v>
      </c>
    </row>
    <row r="77" spans="1:25">
      <c r="A77" t="s">
        <v>259</v>
      </c>
      <c r="B77" s="11" t="s">
        <v>260</v>
      </c>
      <c r="C77" s="12" t="s">
        <v>261</v>
      </c>
      <c r="D77" s="1" t="s">
        <v>30</v>
      </c>
      <c r="E77" s="1" t="s">
        <v>31</v>
      </c>
      <c r="F77" s="13" t="s">
        <v>32</v>
      </c>
      <c r="G77" s="14" t="s">
        <v>37</v>
      </c>
      <c r="H77" s="14"/>
      <c r="I77"/>
      <c r="J77" s="14"/>
      <c r="K77" s="14" t="s">
        <v>37</v>
      </c>
      <c r="L77" s="14"/>
      <c r="N77" s="15">
        <v>21.76</v>
      </c>
      <c r="O77" s="17">
        <v>1.24423670548989</v>
      </c>
      <c r="P77" s="17">
        <v>0.79428732768714105</v>
      </c>
      <c r="R77" s="15">
        <v>66.182999381964009</v>
      </c>
      <c r="S77" t="s">
        <v>33</v>
      </c>
      <c r="U77" s="15">
        <v>117.477393425008</v>
      </c>
      <c r="V77" s="15">
        <v>123.19808245740001</v>
      </c>
      <c r="W77" s="15">
        <v>133.81700061803599</v>
      </c>
      <c r="X77" s="15">
        <v>147.44681268895599</v>
      </c>
      <c r="Y77" s="15">
        <v>149.30187271376499</v>
      </c>
    </row>
    <row r="79" spans="1:25">
      <c r="Q79" s="85" t="s">
        <v>337</v>
      </c>
      <c r="R79" s="86">
        <f>AVERAGE(R4:R77)</f>
        <v>80.373128868241025</v>
      </c>
    </row>
    <row r="80" spans="1:25">
      <c r="R8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0"/>
  <sheetViews>
    <sheetView tabSelected="1" topLeftCell="D1" zoomScale="60" zoomScaleNormal="60" workbookViewId="0">
      <selection activeCell="K66" sqref="K66"/>
    </sheetView>
  </sheetViews>
  <sheetFormatPr defaultRowHeight="15"/>
  <cols>
    <col min="1" max="1" width="29.28515625" style="1" customWidth="1"/>
    <col min="2" max="2" width="31" style="1" customWidth="1"/>
    <col min="3" max="5" width="28.5703125" style="1" customWidth="1"/>
    <col min="6" max="6" width="29.85546875" style="1" customWidth="1"/>
    <col min="7" max="12" width="12.7109375" style="1" customWidth="1"/>
    <col min="13" max="13" width="11.7109375" style="1" customWidth="1"/>
    <col min="14" max="14" width="21.85546875" style="1" customWidth="1"/>
    <col min="15" max="15" width="31.28515625" style="1" bestFit="1" customWidth="1"/>
    <col min="16" max="16" width="20.5703125" style="1" customWidth="1"/>
    <col min="17" max="17" width="23.85546875" style="1" customWidth="1"/>
    <col min="18" max="18" width="30.42578125" style="1" customWidth="1"/>
    <col min="19" max="19" width="9.140625" style="1"/>
    <col min="20" max="24" width="21.28515625" style="1" customWidth="1"/>
    <col min="25" max="25" width="9.140625" style="1"/>
    <col min="26" max="26" width="13.28515625" style="4" customWidth="1"/>
    <col min="27" max="16384" width="9.140625" style="1"/>
  </cols>
  <sheetData>
    <row r="1" spans="1:26" ht="15.75" thickBot="1">
      <c r="B1" s="2" t="s">
        <v>0</v>
      </c>
      <c r="E1" s="3"/>
      <c r="F1" s="3"/>
      <c r="G1" s="3"/>
      <c r="H1" s="3"/>
      <c r="I1" s="3"/>
      <c r="J1" s="3"/>
      <c r="K1" s="3"/>
      <c r="L1" s="3"/>
      <c r="N1" s="3"/>
      <c r="O1" s="3"/>
      <c r="Q1" s="3"/>
      <c r="R1" s="3"/>
      <c r="T1" s="3"/>
      <c r="U1" s="3"/>
      <c r="V1" s="3"/>
      <c r="W1" s="3"/>
      <c r="X1" s="3"/>
    </row>
    <row r="2" spans="1:26">
      <c r="B2" s="5" t="s">
        <v>335</v>
      </c>
      <c r="E2" s="1" t="s">
        <v>1</v>
      </c>
      <c r="N2" s="1" t="s">
        <v>2</v>
      </c>
      <c r="Q2" s="1" t="s">
        <v>3</v>
      </c>
      <c r="T2" s="1" t="s">
        <v>4</v>
      </c>
    </row>
    <row r="3" spans="1:26" s="6" customFormat="1" ht="45.75" thickBot="1">
      <c r="A3" s="6" t="s">
        <v>5</v>
      </c>
      <c r="B3" s="6" t="s">
        <v>6</v>
      </c>
      <c r="C3" s="6" t="s">
        <v>7</v>
      </c>
      <c r="D3" s="6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N3" s="8" t="s">
        <v>18</v>
      </c>
      <c r="O3" s="8" t="s">
        <v>19</v>
      </c>
      <c r="P3" s="9"/>
      <c r="Q3" s="8" t="s">
        <v>20</v>
      </c>
      <c r="R3" s="7" t="s">
        <v>21</v>
      </c>
      <c r="T3" s="10" t="s">
        <v>22</v>
      </c>
      <c r="U3" s="10" t="s">
        <v>23</v>
      </c>
      <c r="V3" s="10" t="s">
        <v>24</v>
      </c>
      <c r="W3" s="10" t="s">
        <v>25</v>
      </c>
      <c r="X3" s="10" t="s">
        <v>26</v>
      </c>
      <c r="Z3" s="9"/>
    </row>
    <row r="4" spans="1:26">
      <c r="A4" t="s">
        <v>27</v>
      </c>
      <c r="B4" s="11" t="s">
        <v>28</v>
      </c>
      <c r="C4" s="12" t="s">
        <v>29</v>
      </c>
      <c r="D4" s="1" t="s">
        <v>30</v>
      </c>
      <c r="E4" s="1" t="s">
        <v>31</v>
      </c>
      <c r="F4" s="13" t="s">
        <v>32</v>
      </c>
      <c r="G4" s="14" t="s">
        <v>37</v>
      </c>
      <c r="H4" s="14"/>
      <c r="I4"/>
      <c r="J4" s="14"/>
      <c r="K4"/>
      <c r="L4" s="14"/>
      <c r="N4" s="17">
        <v>1.3031141434428399</v>
      </c>
      <c r="O4" s="17">
        <v>1.13321097733041</v>
      </c>
      <c r="Q4" s="15">
        <v>86.972187762439006</v>
      </c>
      <c r="R4" t="s">
        <v>33</v>
      </c>
      <c r="T4" s="15">
        <v>105.24949209610899</v>
      </c>
      <c r="U4" s="15">
        <v>106.96152503672501</v>
      </c>
      <c r="V4" s="15">
        <v>113.02781223756099</v>
      </c>
      <c r="W4" s="15">
        <v>120.734410726723</v>
      </c>
      <c r="X4" s="15">
        <v>122.378247658798</v>
      </c>
    </row>
    <row r="5" spans="1:26">
      <c r="A5" t="s">
        <v>34</v>
      </c>
      <c r="B5" s="11" t="s">
        <v>35</v>
      </c>
      <c r="C5" s="12" t="s">
        <v>36</v>
      </c>
      <c r="D5" s="1" t="s">
        <v>30</v>
      </c>
      <c r="E5" s="1" t="s">
        <v>31</v>
      </c>
      <c r="F5" s="13" t="s">
        <v>32</v>
      </c>
      <c r="G5"/>
      <c r="H5" s="14"/>
      <c r="I5"/>
      <c r="J5"/>
      <c r="K5" s="14" t="s">
        <v>37</v>
      </c>
      <c r="L5"/>
      <c r="N5" s="17">
        <v>0.60273106570803003</v>
      </c>
      <c r="O5" s="17">
        <v>0.22319024869180401</v>
      </c>
      <c r="Q5" s="15">
        <v>38.945458542213004</v>
      </c>
      <c r="R5" t="s">
        <v>33</v>
      </c>
      <c r="T5" s="15">
        <v>135.037348109037</v>
      </c>
      <c r="U5" s="15">
        <v>140.20621161417699</v>
      </c>
      <c r="V5" s="15">
        <v>161.054541457787</v>
      </c>
      <c r="W5" s="15">
        <v>175.02519405023301</v>
      </c>
      <c r="X5" s="15">
        <v>179.29647821262299</v>
      </c>
    </row>
    <row r="6" spans="1:26">
      <c r="A6" t="s">
        <v>38</v>
      </c>
      <c r="B6" s="11" t="s">
        <v>39</v>
      </c>
      <c r="C6" s="12" t="s">
        <v>40</v>
      </c>
      <c r="D6" s="1" t="s">
        <v>30</v>
      </c>
      <c r="E6" s="1" t="s">
        <v>31</v>
      </c>
      <c r="F6" s="13" t="s">
        <v>32</v>
      </c>
      <c r="G6"/>
      <c r="H6" s="14"/>
      <c r="I6"/>
      <c r="J6"/>
      <c r="K6"/>
      <c r="L6"/>
      <c r="N6" s="17">
        <v>0.39312055805025797</v>
      </c>
      <c r="O6" s="17">
        <v>0.25973352098527802</v>
      </c>
      <c r="Q6" s="15">
        <v>67.217634154053997</v>
      </c>
      <c r="R6" t="s">
        <v>33</v>
      </c>
      <c r="T6" s="15">
        <v>108.762945791494</v>
      </c>
      <c r="U6" s="15">
        <v>114.718199924567</v>
      </c>
      <c r="V6" s="15">
        <v>132.782365845946</v>
      </c>
      <c r="W6" s="15">
        <v>147.229155075834</v>
      </c>
      <c r="X6" s="15">
        <v>150.76062554959</v>
      </c>
    </row>
    <row r="7" spans="1:26">
      <c r="A7" t="s">
        <v>41</v>
      </c>
      <c r="B7" s="11" t="s">
        <v>42</v>
      </c>
      <c r="C7" s="12" t="s">
        <v>43</v>
      </c>
      <c r="D7" s="1" t="s">
        <v>30</v>
      </c>
      <c r="E7" s="1" t="s">
        <v>31</v>
      </c>
      <c r="F7" s="13" t="s">
        <v>32</v>
      </c>
      <c r="G7" s="14" t="s">
        <v>37</v>
      </c>
      <c r="H7" s="14"/>
      <c r="I7"/>
      <c r="J7" s="14"/>
      <c r="K7"/>
      <c r="L7" s="14"/>
      <c r="N7" s="17">
        <v>0.63591783466641405</v>
      </c>
      <c r="O7" s="17">
        <v>0.655202751705106</v>
      </c>
      <c r="Q7" s="15">
        <v>99.0214292063188</v>
      </c>
      <c r="R7" t="s">
        <v>44</v>
      </c>
      <c r="T7" s="15">
        <v>93.998833259974205</v>
      </c>
      <c r="U7" s="15">
        <v>94.566421036703005</v>
      </c>
      <c r="V7" s="15">
        <v>99.0214292063188</v>
      </c>
      <c r="W7" s="15">
        <v>100.742994038869</v>
      </c>
      <c r="X7" s="15">
        <v>101.354639369864</v>
      </c>
    </row>
    <row r="8" spans="1:26">
      <c r="A8" t="s">
        <v>45</v>
      </c>
      <c r="B8" s="11" t="s">
        <v>46</v>
      </c>
      <c r="C8" s="12" t="s">
        <v>47</v>
      </c>
      <c r="D8" s="1" t="s">
        <v>30</v>
      </c>
      <c r="E8" s="1" t="s">
        <v>31</v>
      </c>
      <c r="F8" s="13" t="s">
        <v>32</v>
      </c>
      <c r="G8"/>
      <c r="H8" s="14"/>
      <c r="I8"/>
      <c r="J8"/>
      <c r="K8" s="14" t="s">
        <v>37</v>
      </c>
      <c r="L8"/>
      <c r="N8" s="17">
        <v>1.4305925682731899</v>
      </c>
      <c r="O8" s="17">
        <v>1.11482155817457</v>
      </c>
      <c r="Q8" s="15">
        <v>80.164660651540999</v>
      </c>
      <c r="R8" t="s">
        <v>33</v>
      </c>
      <c r="T8" s="15">
        <v>113.869822874107</v>
      </c>
      <c r="U8" s="15">
        <v>115.354351297406</v>
      </c>
      <c r="V8" s="15">
        <v>119.835339348459</v>
      </c>
      <c r="W8" s="15">
        <v>126.12324164261</v>
      </c>
      <c r="X8" s="15">
        <v>127.669854789607</v>
      </c>
    </row>
    <row r="9" spans="1:26">
      <c r="A9" t="s">
        <v>48</v>
      </c>
      <c r="B9" s="11" t="s">
        <v>49</v>
      </c>
      <c r="C9" s="12" t="s">
        <v>50</v>
      </c>
      <c r="D9" s="1" t="s">
        <v>30</v>
      </c>
      <c r="E9" s="1" t="s">
        <v>31</v>
      </c>
      <c r="F9" s="13" t="s">
        <v>32</v>
      </c>
      <c r="G9" s="14" t="s">
        <v>37</v>
      </c>
      <c r="H9" s="14"/>
      <c r="I9"/>
      <c r="J9" s="14"/>
      <c r="K9" s="14" t="s">
        <v>37</v>
      </c>
      <c r="L9" s="14"/>
      <c r="N9" s="17">
        <v>6.2532824923647007E-2</v>
      </c>
      <c r="O9" s="17">
        <v>3.7339414178531802E-2</v>
      </c>
      <c r="Q9" s="15">
        <v>68.656008271643998</v>
      </c>
      <c r="R9" t="s">
        <v>33</v>
      </c>
      <c r="T9" s="15">
        <v>100.868538218848</v>
      </c>
      <c r="U9" s="15">
        <v>101.906262685031</v>
      </c>
      <c r="V9" s="15">
        <v>131.343991728356</v>
      </c>
      <c r="W9" s="15">
        <v>153.98291410181</v>
      </c>
      <c r="X9" s="15">
        <v>156.07777430453999</v>
      </c>
    </row>
    <row r="10" spans="1:26" ht="30">
      <c r="A10" t="s">
        <v>51</v>
      </c>
      <c r="B10" s="11" t="s">
        <v>52</v>
      </c>
      <c r="C10" s="12" t="s">
        <v>53</v>
      </c>
      <c r="D10" s="1" t="s">
        <v>30</v>
      </c>
      <c r="E10" s="1" t="s">
        <v>31</v>
      </c>
      <c r="F10" s="13" t="s">
        <v>266</v>
      </c>
      <c r="G10" s="14" t="s">
        <v>37</v>
      </c>
      <c r="H10" s="14"/>
      <c r="I10"/>
      <c r="J10" s="14"/>
      <c r="K10" s="14" t="s">
        <v>37</v>
      </c>
      <c r="L10" s="14" t="s">
        <v>37</v>
      </c>
      <c r="N10" s="17">
        <v>4.9419565687532002E-2</v>
      </c>
      <c r="O10" s="17">
        <v>1.24076492627903E-2</v>
      </c>
      <c r="Q10" s="15">
        <v>26.310112294432002</v>
      </c>
      <c r="R10" t="s">
        <v>33</v>
      </c>
      <c r="T10" s="15">
        <v>130.724621630775</v>
      </c>
      <c r="U10" s="15">
        <v>149.62155714926001</v>
      </c>
      <c r="V10" s="15">
        <v>173.689887705568</v>
      </c>
      <c r="W10" s="15">
        <v>189.60821489887499</v>
      </c>
      <c r="X10" s="15">
        <v>191.55992224551699</v>
      </c>
    </row>
    <row r="11" spans="1:26" ht="30">
      <c r="A11" t="s">
        <v>55</v>
      </c>
      <c r="B11" s="11" t="s">
        <v>56</v>
      </c>
      <c r="C11" s="12" t="s">
        <v>57</v>
      </c>
      <c r="D11" s="1" t="s">
        <v>30</v>
      </c>
      <c r="E11" s="1" t="s">
        <v>31</v>
      </c>
      <c r="F11" s="13" t="s">
        <v>58</v>
      </c>
      <c r="G11" s="14" t="s">
        <v>37</v>
      </c>
      <c r="H11" s="14" t="s">
        <v>37</v>
      </c>
      <c r="I11"/>
      <c r="J11" s="14"/>
      <c r="K11"/>
      <c r="L11" s="14" t="s">
        <v>37</v>
      </c>
      <c r="N11" s="17">
        <v>0.195660317019584</v>
      </c>
      <c r="O11" s="17">
        <v>0.22030064615098299</v>
      </c>
      <c r="Q11" s="15">
        <v>92.362182124670198</v>
      </c>
      <c r="R11" t="s">
        <v>44</v>
      </c>
      <c r="T11" s="15">
        <v>84.038223706508305</v>
      </c>
      <c r="U11" s="15">
        <v>86.569823400956196</v>
      </c>
      <c r="V11" s="15">
        <v>92.362182124670198</v>
      </c>
      <c r="W11" s="15">
        <v>99.367356085251899</v>
      </c>
      <c r="X11" s="15">
        <v>99.795559686430195</v>
      </c>
    </row>
    <row r="12" spans="1:26">
      <c r="A12" t="s">
        <v>59</v>
      </c>
      <c r="B12" s="11" t="s">
        <v>60</v>
      </c>
      <c r="C12" s="12" t="s">
        <v>61</v>
      </c>
      <c r="D12" s="1" t="s">
        <v>30</v>
      </c>
      <c r="E12" s="1" t="s">
        <v>31</v>
      </c>
      <c r="F12" s="13" t="s">
        <v>32</v>
      </c>
      <c r="G12" s="14" t="s">
        <v>37</v>
      </c>
      <c r="H12" s="14"/>
      <c r="I12"/>
      <c r="J12" s="14"/>
      <c r="K12"/>
      <c r="L12" s="14"/>
      <c r="N12" s="17">
        <v>0.65675577192596701</v>
      </c>
      <c r="O12" s="17">
        <v>0.68483606797019003</v>
      </c>
      <c r="Q12" s="15">
        <v>97.139193941303304</v>
      </c>
      <c r="R12" t="s">
        <v>44</v>
      </c>
      <c r="T12" s="15">
        <v>89.987506428802305</v>
      </c>
      <c r="U12" s="15">
        <v>91.309695144790098</v>
      </c>
      <c r="V12" s="15">
        <v>97.139193941303304</v>
      </c>
      <c r="W12" s="15">
        <v>99.9175819178501</v>
      </c>
      <c r="X12" s="15">
        <v>100.025471757815</v>
      </c>
    </row>
    <row r="13" spans="1:26">
      <c r="A13" t="s">
        <v>62</v>
      </c>
      <c r="B13" s="11" t="s">
        <v>63</v>
      </c>
      <c r="C13" s="12" t="s">
        <v>64</v>
      </c>
      <c r="D13" s="1" t="s">
        <v>30</v>
      </c>
      <c r="E13" s="1" t="s">
        <v>31</v>
      </c>
      <c r="F13" s="13" t="s">
        <v>32</v>
      </c>
      <c r="G13"/>
      <c r="H13" s="14"/>
      <c r="I13"/>
      <c r="J13"/>
      <c r="K13" s="14" t="s">
        <v>37</v>
      </c>
      <c r="L13"/>
      <c r="N13" s="17">
        <v>0.40144440138673998</v>
      </c>
      <c r="O13" s="17">
        <v>8.3123048975780794E-2</v>
      </c>
      <c r="Q13" s="15">
        <v>22.581741107889997</v>
      </c>
      <c r="R13" t="s">
        <v>33</v>
      </c>
      <c r="T13" s="15">
        <v>129.39231247612</v>
      </c>
      <c r="U13" s="15">
        <v>142.673808233334</v>
      </c>
      <c r="V13" s="15">
        <v>177.41825889211</v>
      </c>
      <c r="W13" s="15">
        <v>190.08823581172501</v>
      </c>
      <c r="X13" s="15">
        <v>191.53933220055399</v>
      </c>
    </row>
    <row r="14" spans="1:26">
      <c r="A14" t="s">
        <v>65</v>
      </c>
      <c r="B14" s="11" t="s">
        <v>66</v>
      </c>
      <c r="C14" s="12" t="s">
        <v>67</v>
      </c>
      <c r="D14" s="1" t="s">
        <v>30</v>
      </c>
      <c r="E14" s="1" t="s">
        <v>31</v>
      </c>
      <c r="F14" s="13" t="s">
        <v>32</v>
      </c>
      <c r="G14"/>
      <c r="H14" s="14"/>
      <c r="I14"/>
      <c r="J14" s="14" t="s">
        <v>37</v>
      </c>
      <c r="K14" s="14" t="s">
        <v>37</v>
      </c>
      <c r="L14" s="14"/>
      <c r="N14" s="17">
        <v>0.41350623170476902</v>
      </c>
      <c r="O14" s="17">
        <v>0.399747822490922</v>
      </c>
      <c r="Q14" s="15">
        <v>99.409976865789005</v>
      </c>
      <c r="R14" t="s">
        <v>33</v>
      </c>
      <c r="T14" s="15">
        <v>94.386762800005599</v>
      </c>
      <c r="U14" s="15">
        <v>97.902253843998906</v>
      </c>
      <c r="V14" s="15">
        <v>100.59002313421099</v>
      </c>
      <c r="W14" s="15">
        <v>107.905090228004</v>
      </c>
      <c r="X14" s="15">
        <v>109.84488736100801</v>
      </c>
    </row>
    <row r="15" spans="1:26">
      <c r="A15" t="s">
        <v>68</v>
      </c>
      <c r="B15" s="11" t="s">
        <v>69</v>
      </c>
      <c r="C15" s="12" t="s">
        <v>70</v>
      </c>
      <c r="D15" s="1" t="s">
        <v>30</v>
      </c>
      <c r="E15" s="1" t="s">
        <v>31</v>
      </c>
      <c r="F15" s="13" t="s">
        <v>32</v>
      </c>
      <c r="G15" s="14" t="s">
        <v>37</v>
      </c>
      <c r="H15" s="14"/>
      <c r="I15"/>
      <c r="J15" s="14"/>
      <c r="K15"/>
      <c r="L15" s="14"/>
      <c r="N15" s="17">
        <v>0.18952743841011499</v>
      </c>
      <c r="O15" s="17">
        <v>0.21871635857755101</v>
      </c>
      <c r="Q15" s="15">
        <v>88.563604154019899</v>
      </c>
      <c r="R15" t="s">
        <v>44</v>
      </c>
      <c r="T15" s="15">
        <v>78.105619628875999</v>
      </c>
      <c r="U15" s="15">
        <v>78.765236296255395</v>
      </c>
      <c r="V15" s="15">
        <v>88.563604154019899</v>
      </c>
      <c r="W15" s="15">
        <v>97.644699143834202</v>
      </c>
      <c r="X15" s="15">
        <v>98.890628187195006</v>
      </c>
    </row>
    <row r="16" spans="1:26" ht="30">
      <c r="A16" t="s">
        <v>71</v>
      </c>
      <c r="B16" s="11" t="s">
        <v>72</v>
      </c>
      <c r="C16" s="12" t="s">
        <v>73</v>
      </c>
      <c r="D16" s="1" t="s">
        <v>30</v>
      </c>
      <c r="E16" s="1" t="s">
        <v>31</v>
      </c>
      <c r="F16" s="13" t="s">
        <v>74</v>
      </c>
      <c r="G16" s="14" t="s">
        <v>37</v>
      </c>
      <c r="H16" s="14" t="s">
        <v>37</v>
      </c>
      <c r="I16" s="14" t="s">
        <v>37</v>
      </c>
      <c r="J16" s="14"/>
      <c r="K16"/>
      <c r="L16" s="14" t="s">
        <v>37</v>
      </c>
      <c r="N16" s="17">
        <v>0.154178374675428</v>
      </c>
      <c r="O16" s="17">
        <v>0.179515265068388</v>
      </c>
      <c r="Q16" s="15">
        <v>87.436833883352705</v>
      </c>
      <c r="R16" t="s">
        <v>44</v>
      </c>
      <c r="T16" s="15">
        <v>73.569928111985405</v>
      </c>
      <c r="U16" s="15">
        <v>75.323174522129406</v>
      </c>
      <c r="V16" s="15">
        <v>87.436833883352705</v>
      </c>
      <c r="W16" s="15">
        <v>99.414658030758901</v>
      </c>
      <c r="X16" s="15">
        <v>99.995663030306005</v>
      </c>
    </row>
    <row r="17" spans="1:24">
      <c r="A17" t="s">
        <v>75</v>
      </c>
      <c r="B17" s="11" t="s">
        <v>76</v>
      </c>
      <c r="C17" s="12" t="s">
        <v>77</v>
      </c>
      <c r="D17" s="1" t="s">
        <v>30</v>
      </c>
      <c r="E17" s="1" t="s">
        <v>31</v>
      </c>
      <c r="F17" s="13" t="s">
        <v>32</v>
      </c>
      <c r="G17"/>
      <c r="H17" s="14" t="s">
        <v>37</v>
      </c>
      <c r="I17"/>
      <c r="J17"/>
      <c r="K17"/>
      <c r="L17"/>
      <c r="N17" s="17">
        <v>0.452641309936542</v>
      </c>
      <c r="O17" s="17">
        <v>0.52117056701250197</v>
      </c>
      <c r="Q17" s="15">
        <v>88.641302806793306</v>
      </c>
      <c r="R17" t="s">
        <v>44</v>
      </c>
      <c r="T17" s="15">
        <v>80.376609319186699</v>
      </c>
      <c r="U17" s="15">
        <v>82.388487438508093</v>
      </c>
      <c r="V17" s="15">
        <v>88.641302806793306</v>
      </c>
      <c r="W17" s="15">
        <v>97.524029681593603</v>
      </c>
      <c r="X17" s="15">
        <v>99.280031674154898</v>
      </c>
    </row>
    <row r="18" spans="1:24">
      <c r="A18" t="s">
        <v>78</v>
      </c>
      <c r="B18" s="11" t="s">
        <v>79</v>
      </c>
      <c r="C18" s="12" t="s">
        <v>80</v>
      </c>
      <c r="D18" s="1" t="s">
        <v>30</v>
      </c>
      <c r="E18" s="1" t="s">
        <v>31</v>
      </c>
      <c r="F18" s="13" t="s">
        <v>32</v>
      </c>
      <c r="G18"/>
      <c r="H18" s="14"/>
      <c r="I18"/>
      <c r="J18" s="14" t="s">
        <v>37</v>
      </c>
      <c r="K18" s="14" t="s">
        <v>37</v>
      </c>
      <c r="L18" s="14"/>
      <c r="N18" s="17">
        <v>0.215072169696257</v>
      </c>
      <c r="O18" s="17">
        <v>0.22838709244312599</v>
      </c>
      <c r="Q18" s="15">
        <v>99.952465648971</v>
      </c>
      <c r="R18" t="s">
        <v>44</v>
      </c>
      <c r="T18" s="15">
        <v>78.453566621461803</v>
      </c>
      <c r="U18" s="15">
        <v>85.257957376321201</v>
      </c>
      <c r="V18" s="15">
        <v>99.952465648971</v>
      </c>
      <c r="W18" s="15">
        <v>102.63316416145</v>
      </c>
      <c r="X18" s="15">
        <v>104.782980968858</v>
      </c>
    </row>
    <row r="19" spans="1:24">
      <c r="A19" t="s">
        <v>81</v>
      </c>
      <c r="B19" s="11" t="s">
        <v>82</v>
      </c>
      <c r="C19" s="12" t="s">
        <v>83</v>
      </c>
      <c r="D19" s="1" t="s">
        <v>30</v>
      </c>
      <c r="E19" s="1" t="s">
        <v>31</v>
      </c>
      <c r="F19" s="13" t="s">
        <v>32</v>
      </c>
      <c r="G19"/>
      <c r="H19" s="14" t="s">
        <v>37</v>
      </c>
      <c r="I19"/>
      <c r="J19" s="14" t="s">
        <v>37</v>
      </c>
      <c r="K19"/>
      <c r="L19" s="14"/>
      <c r="N19" s="17">
        <v>0.45982133619503701</v>
      </c>
      <c r="O19" s="17">
        <v>0.538823889595617</v>
      </c>
      <c r="Q19" s="15">
        <v>84.657359434215707</v>
      </c>
      <c r="R19" t="s">
        <v>44</v>
      </c>
      <c r="T19" s="15">
        <v>77.563393690950505</v>
      </c>
      <c r="U19" s="15">
        <v>80.008705344709199</v>
      </c>
      <c r="V19" s="15">
        <v>84.657359434215707</v>
      </c>
      <c r="W19" s="15">
        <v>91.214651764490895</v>
      </c>
      <c r="X19" s="15">
        <v>93.728391695871807</v>
      </c>
    </row>
    <row r="20" spans="1:24">
      <c r="A20" t="s">
        <v>84</v>
      </c>
      <c r="B20" s="11" t="s">
        <v>85</v>
      </c>
      <c r="C20" s="12" t="s">
        <v>86</v>
      </c>
      <c r="D20" s="1" t="s">
        <v>30</v>
      </c>
      <c r="E20" s="1" t="s">
        <v>31</v>
      </c>
      <c r="F20" s="13" t="s">
        <v>32</v>
      </c>
      <c r="G20"/>
      <c r="H20" s="14"/>
      <c r="I20"/>
      <c r="J20"/>
      <c r="K20" s="14" t="s">
        <v>37</v>
      </c>
      <c r="L20"/>
      <c r="N20" s="17">
        <v>6.2533235507117105E-2</v>
      </c>
      <c r="O20" s="17">
        <v>6.2013915107917497E-2</v>
      </c>
      <c r="Q20" s="15">
        <v>99.524648378033007</v>
      </c>
      <c r="R20" t="s">
        <v>33</v>
      </c>
      <c r="T20" s="15">
        <v>79.366419576704899</v>
      </c>
      <c r="U20" s="15">
        <v>89.224999748523004</v>
      </c>
      <c r="V20" s="15">
        <v>100.47535162196699</v>
      </c>
      <c r="W20" s="15">
        <v>119.539383653559</v>
      </c>
      <c r="X20" s="15">
        <v>126.484502769275</v>
      </c>
    </row>
    <row r="21" spans="1:24">
      <c r="A21" t="s">
        <v>87</v>
      </c>
      <c r="B21" s="11" t="s">
        <v>88</v>
      </c>
      <c r="C21" s="12" t="s">
        <v>89</v>
      </c>
      <c r="D21" s="1" t="s">
        <v>30</v>
      </c>
      <c r="E21" s="1" t="s">
        <v>31</v>
      </c>
      <c r="F21" s="13" t="s">
        <v>54</v>
      </c>
      <c r="G21" s="14"/>
      <c r="H21" s="14" t="s">
        <v>37</v>
      </c>
      <c r="I21" s="14" t="s">
        <v>37</v>
      </c>
      <c r="J21" s="14" t="s">
        <v>37</v>
      </c>
      <c r="K21"/>
      <c r="L21" s="14" t="s">
        <v>37</v>
      </c>
      <c r="N21" s="17">
        <v>0.192254930573238</v>
      </c>
      <c r="O21" s="17">
        <v>0.239319626980702</v>
      </c>
      <c r="Q21" s="15">
        <v>87.195800053685304</v>
      </c>
      <c r="R21" t="s">
        <v>44</v>
      </c>
      <c r="T21" s="15">
        <v>61.413764239928099</v>
      </c>
      <c r="U21" s="15">
        <v>66.220729889974194</v>
      </c>
      <c r="V21" s="15">
        <v>87.195800053685304</v>
      </c>
      <c r="W21" s="15">
        <v>97.440857743344793</v>
      </c>
      <c r="X21" s="15">
        <v>98.482649688284795</v>
      </c>
    </row>
    <row r="22" spans="1:24">
      <c r="A22" t="s">
        <v>90</v>
      </c>
      <c r="B22" s="11" t="s">
        <v>91</v>
      </c>
      <c r="C22" s="12" t="s">
        <v>92</v>
      </c>
      <c r="D22" s="1" t="s">
        <v>30</v>
      </c>
      <c r="E22" s="1" t="s">
        <v>31</v>
      </c>
      <c r="F22" s="13" t="s">
        <v>32</v>
      </c>
      <c r="G22"/>
      <c r="H22" s="14"/>
      <c r="I22"/>
      <c r="J22"/>
      <c r="K22" s="14" t="s">
        <v>37</v>
      </c>
      <c r="L22"/>
      <c r="M22" s="18"/>
      <c r="N22" s="17">
        <v>0.451121303331941</v>
      </c>
      <c r="O22" s="17">
        <v>0.39149479686657301</v>
      </c>
      <c r="Q22" s="15">
        <v>92.137141567441006</v>
      </c>
      <c r="R22" t="s">
        <v>33</v>
      </c>
      <c r="T22" s="15">
        <v>99.741173544517807</v>
      </c>
      <c r="U22" s="15">
        <v>99.941477231388106</v>
      </c>
      <c r="V22" s="15">
        <v>107.86285843255899</v>
      </c>
      <c r="W22" s="15">
        <v>124.256356930818</v>
      </c>
      <c r="X22" s="15">
        <v>125.83561331450299</v>
      </c>
    </row>
    <row r="23" spans="1:24" ht="45">
      <c r="A23" t="s">
        <v>93</v>
      </c>
      <c r="B23" s="11" t="s">
        <v>94</v>
      </c>
      <c r="C23" s="12" t="s">
        <v>95</v>
      </c>
      <c r="D23" s="1" t="s">
        <v>30</v>
      </c>
      <c r="E23" s="1" t="s">
        <v>31</v>
      </c>
      <c r="F23" s="13" t="s">
        <v>96</v>
      </c>
      <c r="G23" s="14" t="s">
        <v>37</v>
      </c>
      <c r="H23" s="14"/>
      <c r="I23"/>
      <c r="J23" s="14"/>
      <c r="K23"/>
      <c r="L23" s="14" t="s">
        <v>37</v>
      </c>
      <c r="M23" s="18"/>
      <c r="N23" s="17">
        <v>0.53486129509524005</v>
      </c>
      <c r="O23" s="17">
        <v>0.53337960851944299</v>
      </c>
      <c r="Q23" s="15">
        <v>99.963622729199002</v>
      </c>
      <c r="R23" t="s">
        <v>33</v>
      </c>
      <c r="T23" s="15">
        <v>95.245557951248401</v>
      </c>
      <c r="U23" s="15">
        <v>98.220714906452301</v>
      </c>
      <c r="V23" s="15">
        <v>100.036377270801</v>
      </c>
      <c r="W23" s="15">
        <v>102.189683918094</v>
      </c>
      <c r="X23" s="15">
        <v>104.253103807122</v>
      </c>
    </row>
    <row r="24" spans="1:24" ht="30">
      <c r="A24" t="s">
        <v>97</v>
      </c>
      <c r="B24" s="11" t="s">
        <v>98</v>
      </c>
      <c r="C24" s="12" t="s">
        <v>99</v>
      </c>
      <c r="D24" s="1" t="s">
        <v>30</v>
      </c>
      <c r="E24" s="1" t="s">
        <v>31</v>
      </c>
      <c r="F24" s="13" t="s">
        <v>58</v>
      </c>
      <c r="G24" s="14" t="s">
        <v>37</v>
      </c>
      <c r="H24" s="14" t="s">
        <v>37</v>
      </c>
      <c r="I24"/>
      <c r="J24" s="14"/>
      <c r="K24"/>
      <c r="L24" s="14" t="s">
        <v>37</v>
      </c>
      <c r="N24" s="17">
        <v>0.50855725085882997</v>
      </c>
      <c r="O24" s="17">
        <v>0.53906931142839398</v>
      </c>
      <c r="Q24" s="15">
        <v>95.286799330442406</v>
      </c>
      <c r="R24" t="s">
        <v>44</v>
      </c>
      <c r="T24" s="15">
        <v>88.036379340862794</v>
      </c>
      <c r="U24" s="15">
        <v>90.689244846645494</v>
      </c>
      <c r="V24" s="15">
        <v>95.286799330442406</v>
      </c>
      <c r="W24" s="15">
        <v>98.775870270144097</v>
      </c>
      <c r="X24" s="15">
        <v>99.805466299572004</v>
      </c>
    </row>
    <row r="25" spans="1:24">
      <c r="A25" t="s">
        <v>100</v>
      </c>
      <c r="B25" s="11" t="s">
        <v>101</v>
      </c>
      <c r="C25" s="12" t="s">
        <v>102</v>
      </c>
      <c r="D25" s="1" t="s">
        <v>30</v>
      </c>
      <c r="E25" s="1" t="s">
        <v>31</v>
      </c>
      <c r="F25" s="13" t="s">
        <v>32</v>
      </c>
      <c r="G25"/>
      <c r="H25" s="14"/>
      <c r="I25"/>
      <c r="J25"/>
      <c r="K25" s="14" t="s">
        <v>37</v>
      </c>
      <c r="L25"/>
      <c r="N25" s="17">
        <v>0.405571243388271</v>
      </c>
      <c r="O25" s="17">
        <v>0.42072892686176799</v>
      </c>
      <c r="Q25" s="15">
        <v>99.125689958026996</v>
      </c>
      <c r="R25" t="s">
        <v>44</v>
      </c>
      <c r="T25" s="15">
        <v>86.923358876576998</v>
      </c>
      <c r="U25" s="15">
        <v>88.777910032431606</v>
      </c>
      <c r="V25" s="15">
        <v>99.125689958026996</v>
      </c>
      <c r="W25" s="15">
        <v>101.396423672559</v>
      </c>
      <c r="X25" s="15">
        <v>102.697596054119</v>
      </c>
    </row>
    <row r="26" spans="1:24">
      <c r="A26" t="s">
        <v>103</v>
      </c>
      <c r="B26" s="11" t="s">
        <v>104</v>
      </c>
      <c r="C26" s="12" t="s">
        <v>105</v>
      </c>
      <c r="D26" s="1" t="s">
        <v>30</v>
      </c>
      <c r="E26" s="1" t="s">
        <v>31</v>
      </c>
      <c r="F26" s="13" t="s">
        <v>32</v>
      </c>
      <c r="G26"/>
      <c r="H26" s="14"/>
      <c r="I26"/>
      <c r="J26"/>
      <c r="K26"/>
      <c r="L26"/>
      <c r="N26" s="17">
        <v>4.5834689835030602</v>
      </c>
      <c r="O26" s="17">
        <v>4.7850418681071902</v>
      </c>
      <c r="Q26" s="15">
        <v>95.706172221562596</v>
      </c>
      <c r="R26" t="s">
        <v>44</v>
      </c>
      <c r="T26" s="15">
        <v>92.605408512769898</v>
      </c>
      <c r="U26" s="15">
        <v>93.311147474162297</v>
      </c>
      <c r="V26" s="15">
        <v>95.706172221562596</v>
      </c>
      <c r="W26" s="15">
        <v>99.273149742762897</v>
      </c>
      <c r="X26" s="15">
        <v>99.482238923222397</v>
      </c>
    </row>
    <row r="27" spans="1:24">
      <c r="A27" t="s">
        <v>106</v>
      </c>
      <c r="B27" s="11" t="s">
        <v>107</v>
      </c>
      <c r="C27" s="12" t="s">
        <v>108</v>
      </c>
      <c r="D27" s="1" t="s">
        <v>30</v>
      </c>
      <c r="E27" s="1" t="s">
        <v>31</v>
      </c>
      <c r="F27" s="13" t="s">
        <v>32</v>
      </c>
      <c r="G27" s="14" t="s">
        <v>37</v>
      </c>
      <c r="H27" s="14"/>
      <c r="I27"/>
      <c r="J27" s="14"/>
      <c r="K27"/>
      <c r="L27" s="14"/>
      <c r="N27" s="17">
        <v>1.31939461644574</v>
      </c>
      <c r="O27" s="17">
        <v>0.715494316051424</v>
      </c>
      <c r="Q27" s="15">
        <v>54.968800182357995</v>
      </c>
      <c r="R27" t="s">
        <v>33</v>
      </c>
      <c r="T27" s="15">
        <v>132.073068109301</v>
      </c>
      <c r="U27" s="15">
        <v>133.349601950227</v>
      </c>
      <c r="V27" s="15">
        <v>145.031199817642</v>
      </c>
      <c r="W27" s="15">
        <v>154.04421031524899</v>
      </c>
      <c r="X27" s="15">
        <v>157.405795283777</v>
      </c>
    </row>
    <row r="28" spans="1:24">
      <c r="A28" t="s">
        <v>109</v>
      </c>
      <c r="B28" s="11" t="s">
        <v>110</v>
      </c>
      <c r="C28" s="12" t="s">
        <v>111</v>
      </c>
      <c r="D28" s="1" t="s">
        <v>30</v>
      </c>
      <c r="E28" s="1" t="s">
        <v>31</v>
      </c>
      <c r="F28" s="13" t="s">
        <v>32</v>
      </c>
      <c r="G28"/>
      <c r="H28" s="14"/>
      <c r="I28"/>
      <c r="J28" s="14" t="s">
        <v>37</v>
      </c>
      <c r="K28"/>
      <c r="L28" s="14"/>
      <c r="N28" s="17">
        <v>1.4005006904013499</v>
      </c>
      <c r="O28" s="17">
        <v>1.35604212552846</v>
      </c>
      <c r="Q28" s="15">
        <v>98.723574579336997</v>
      </c>
      <c r="R28" t="s">
        <v>33</v>
      </c>
      <c r="T28" s="15">
        <v>98.040008524627794</v>
      </c>
      <c r="U28" s="15">
        <v>98.579932862112798</v>
      </c>
      <c r="V28" s="15">
        <v>101.276425420663</v>
      </c>
      <c r="W28" s="15">
        <v>108.173869834264</v>
      </c>
      <c r="X28" s="15">
        <v>108.773258334479</v>
      </c>
    </row>
    <row r="29" spans="1:24">
      <c r="A29" t="s">
        <v>112</v>
      </c>
      <c r="B29" s="11" t="s">
        <v>113</v>
      </c>
      <c r="C29" s="12" t="s">
        <v>114</v>
      </c>
      <c r="D29" s="1" t="s">
        <v>30</v>
      </c>
      <c r="E29" s="1" t="s">
        <v>31</v>
      </c>
      <c r="F29" s="13" t="s">
        <v>54</v>
      </c>
      <c r="G29"/>
      <c r="H29" s="14"/>
      <c r="I29"/>
      <c r="J29"/>
      <c r="K29"/>
      <c r="L29" s="14" t="s">
        <v>37</v>
      </c>
      <c r="N29" s="17">
        <v>0.92332499803835</v>
      </c>
      <c r="O29" s="17">
        <v>0.90413132973917198</v>
      </c>
      <c r="Q29" s="15">
        <v>98.587530008127999</v>
      </c>
      <c r="R29" t="s">
        <v>33</v>
      </c>
      <c r="T29" s="15">
        <v>98.812394801735806</v>
      </c>
      <c r="U29" s="15">
        <v>99.163240282751801</v>
      </c>
      <c r="V29" s="15">
        <v>101.412469991872</v>
      </c>
      <c r="W29" s="15">
        <v>110.01213341259999</v>
      </c>
      <c r="X29" s="15">
        <v>112.634477621546</v>
      </c>
    </row>
    <row r="30" spans="1:24">
      <c r="A30" t="s">
        <v>115</v>
      </c>
      <c r="B30" s="11" t="s">
        <v>116</v>
      </c>
      <c r="C30" s="12" t="s">
        <v>117</v>
      </c>
      <c r="D30" s="1" t="s">
        <v>30</v>
      </c>
      <c r="E30" s="1" t="s">
        <v>31</v>
      </c>
      <c r="F30" s="13" t="s">
        <v>32</v>
      </c>
      <c r="G30" s="14" t="s">
        <v>37</v>
      </c>
      <c r="H30" s="14"/>
      <c r="I30"/>
      <c r="J30" s="14"/>
      <c r="K30"/>
      <c r="L30" s="14"/>
      <c r="N30" s="17">
        <v>0.41107031459300802</v>
      </c>
      <c r="O30" s="17">
        <v>0.47424775858059898</v>
      </c>
      <c r="Q30" s="15">
        <v>90.188333763366998</v>
      </c>
      <c r="R30" t="s">
        <v>44</v>
      </c>
      <c r="T30" s="15">
        <v>78.502161529617993</v>
      </c>
      <c r="U30" s="15">
        <v>81.507198899889701</v>
      </c>
      <c r="V30" s="15">
        <v>90.188333763366998</v>
      </c>
      <c r="W30" s="15">
        <v>97.8858697759661</v>
      </c>
      <c r="X30" s="15">
        <v>98.705179032367298</v>
      </c>
    </row>
    <row r="31" spans="1:24">
      <c r="A31" t="s">
        <v>118</v>
      </c>
      <c r="B31" s="11" t="s">
        <v>119</v>
      </c>
      <c r="C31" s="12" t="s">
        <v>120</v>
      </c>
      <c r="D31" s="1" t="s">
        <v>30</v>
      </c>
      <c r="E31" s="1" t="s">
        <v>31</v>
      </c>
      <c r="F31" s="13" t="s">
        <v>32</v>
      </c>
      <c r="G31"/>
      <c r="H31" s="14"/>
      <c r="I31"/>
      <c r="J31"/>
      <c r="K31"/>
      <c r="L31"/>
      <c r="N31" s="17">
        <v>1.8972353123212999</v>
      </c>
      <c r="O31" s="17">
        <v>2.10887076668602</v>
      </c>
      <c r="Q31" s="15">
        <v>90.745193983392298</v>
      </c>
      <c r="R31" t="s">
        <v>44</v>
      </c>
      <c r="T31" s="15">
        <v>86.710241445415406</v>
      </c>
      <c r="U31" s="15">
        <v>87.781816244190097</v>
      </c>
      <c r="V31" s="15">
        <v>90.745193983392298</v>
      </c>
      <c r="W31" s="15">
        <v>93.450881534809298</v>
      </c>
      <c r="X31" s="15">
        <v>94.766547294911504</v>
      </c>
    </row>
    <row r="32" spans="1:24">
      <c r="A32" t="s">
        <v>121</v>
      </c>
      <c r="B32" t="s">
        <v>122</v>
      </c>
      <c r="C32" s="19" t="s">
        <v>123</v>
      </c>
      <c r="D32" s="1" t="s">
        <v>30</v>
      </c>
      <c r="E32" s="1" t="s">
        <v>124</v>
      </c>
      <c r="F32" s="13" t="s">
        <v>32</v>
      </c>
      <c r="G32"/>
      <c r="H32" s="14"/>
      <c r="I32"/>
      <c r="J32"/>
      <c r="K32" s="14" t="s">
        <v>37</v>
      </c>
      <c r="L32"/>
      <c r="N32" s="17">
        <v>0.196283051621922</v>
      </c>
      <c r="O32" s="17">
        <v>0.10732250035001099</v>
      </c>
      <c r="Q32" s="15">
        <v>84.605368503323007</v>
      </c>
      <c r="R32" t="s">
        <v>33</v>
      </c>
      <c r="T32" s="15">
        <v>100.266638939177</v>
      </c>
      <c r="U32" s="15">
        <v>100.694967493764</v>
      </c>
      <c r="V32" s="15">
        <v>115.39463149667699</v>
      </c>
      <c r="W32" s="15">
        <v>187.01683424235401</v>
      </c>
      <c r="X32" s="15">
        <v>191.89547585342399</v>
      </c>
    </row>
    <row r="33" spans="1:24">
      <c r="A33" t="s">
        <v>125</v>
      </c>
      <c r="B33" s="11" t="s">
        <v>126</v>
      </c>
      <c r="C33" s="12" t="s">
        <v>127</v>
      </c>
      <c r="D33" s="1" t="s">
        <v>30</v>
      </c>
      <c r="E33" s="1" t="s">
        <v>31</v>
      </c>
      <c r="F33" s="13" t="s">
        <v>32</v>
      </c>
      <c r="G33"/>
      <c r="H33" s="14"/>
      <c r="I33"/>
      <c r="J33" s="14" t="s">
        <v>37</v>
      </c>
      <c r="K33"/>
      <c r="L33" s="14"/>
      <c r="N33" s="17">
        <v>0.13250806870116999</v>
      </c>
      <c r="O33" s="17">
        <v>0.15563997814018801</v>
      </c>
      <c r="Q33" s="15">
        <v>88.691691029604797</v>
      </c>
      <c r="R33" t="s">
        <v>44</v>
      </c>
      <c r="T33" s="15">
        <v>71.088653907762193</v>
      </c>
      <c r="U33" s="15">
        <v>75.448146634170001</v>
      </c>
      <c r="V33" s="15">
        <v>88.691691029604797</v>
      </c>
      <c r="W33" s="15">
        <v>98.009829623850194</v>
      </c>
      <c r="X33" s="15">
        <v>99.194655992266306</v>
      </c>
    </row>
    <row r="34" spans="1:24">
      <c r="A34" t="s">
        <v>128</v>
      </c>
      <c r="B34" t="s">
        <v>129</v>
      </c>
      <c r="C34" s="19" t="s">
        <v>130</v>
      </c>
      <c r="D34" s="1" t="s">
        <v>30</v>
      </c>
      <c r="E34" s="1" t="s">
        <v>31</v>
      </c>
      <c r="F34" s="13" t="s">
        <v>32</v>
      </c>
      <c r="G34"/>
      <c r="H34" s="14"/>
      <c r="I34"/>
      <c r="J34" s="14"/>
      <c r="K34"/>
      <c r="L34" s="14"/>
      <c r="N34" s="17">
        <v>0.42852020874900598</v>
      </c>
      <c r="O34" s="17">
        <v>0.51888716489514697</v>
      </c>
      <c r="Q34" s="15">
        <v>92.782481869466295</v>
      </c>
      <c r="R34" t="s">
        <v>44</v>
      </c>
      <c r="T34" s="15">
        <v>60.2271204313694</v>
      </c>
      <c r="U34" s="15">
        <v>66.134518714149195</v>
      </c>
      <c r="V34" s="15">
        <v>92.782481869466295</v>
      </c>
      <c r="W34" s="15">
        <v>100.01491760772301</v>
      </c>
      <c r="X34" s="15">
        <v>105.334357976208</v>
      </c>
    </row>
    <row r="35" spans="1:24">
      <c r="A35" t="s">
        <v>131</v>
      </c>
      <c r="B35" s="11" t="s">
        <v>132</v>
      </c>
      <c r="C35" s="12" t="s">
        <v>133</v>
      </c>
      <c r="D35" s="1" t="s">
        <v>30</v>
      </c>
      <c r="E35" s="1" t="s">
        <v>31</v>
      </c>
      <c r="F35" s="13" t="s">
        <v>32</v>
      </c>
      <c r="G35" s="14"/>
      <c r="H35" s="14" t="s">
        <v>37</v>
      </c>
      <c r="I35" s="14" t="s">
        <v>37</v>
      </c>
      <c r="J35" s="14"/>
      <c r="K35"/>
      <c r="L35" s="14"/>
      <c r="N35" s="17">
        <v>0.119989257155708</v>
      </c>
      <c r="O35" s="17">
        <v>0.14989114537958401</v>
      </c>
      <c r="Q35" s="15">
        <v>81.090955269762105</v>
      </c>
      <c r="R35" t="s">
        <v>44</v>
      </c>
      <c r="T35" s="15">
        <v>68.599811668219303</v>
      </c>
      <c r="U35" s="15">
        <v>69.859722998493595</v>
      </c>
      <c r="V35" s="15">
        <v>81.090955269762105</v>
      </c>
      <c r="W35" s="15">
        <v>93.072799628465106</v>
      </c>
      <c r="X35" s="15">
        <v>95.738922876329298</v>
      </c>
    </row>
    <row r="36" spans="1:24">
      <c r="A36" t="s">
        <v>134</v>
      </c>
      <c r="B36" s="11" t="s">
        <v>135</v>
      </c>
      <c r="C36" s="12" t="s">
        <v>136</v>
      </c>
      <c r="D36" s="1" t="s">
        <v>30</v>
      </c>
      <c r="E36" s="1" t="s">
        <v>31</v>
      </c>
      <c r="F36" s="13" t="s">
        <v>32</v>
      </c>
      <c r="G36"/>
      <c r="H36" s="14"/>
      <c r="I36"/>
      <c r="J36" s="14" t="s">
        <v>37</v>
      </c>
      <c r="K36"/>
      <c r="L36" s="14"/>
      <c r="N36" s="17">
        <v>3.18615870351229</v>
      </c>
      <c r="O36" s="17">
        <v>3.4782209235984798</v>
      </c>
      <c r="Q36" s="15">
        <v>90.886877217531094</v>
      </c>
      <c r="R36" t="s">
        <v>44</v>
      </c>
      <c r="T36" s="15">
        <v>88.068349861551596</v>
      </c>
      <c r="U36" s="15">
        <v>88.377822859330195</v>
      </c>
      <c r="V36" s="15">
        <v>90.886877217531094</v>
      </c>
      <c r="W36" s="15">
        <v>93.275366610576597</v>
      </c>
      <c r="X36" s="15">
        <v>94.405209132861103</v>
      </c>
    </row>
    <row r="37" spans="1:24">
      <c r="A37" t="s">
        <v>137</v>
      </c>
      <c r="B37" s="11" t="s">
        <v>138</v>
      </c>
      <c r="C37" s="12" t="s">
        <v>139</v>
      </c>
      <c r="D37" s="1" t="s">
        <v>30</v>
      </c>
      <c r="E37" s="1" t="s">
        <v>31</v>
      </c>
      <c r="F37" s="13" t="s">
        <v>32</v>
      </c>
      <c r="G37" s="14"/>
      <c r="H37" s="14"/>
      <c r="I37" s="14" t="s">
        <v>37</v>
      </c>
      <c r="J37" s="14" t="s">
        <v>37</v>
      </c>
      <c r="K37"/>
      <c r="L37" s="14"/>
      <c r="N37" s="17">
        <v>0.12724154941013699</v>
      </c>
      <c r="O37" s="17">
        <v>0.134139462207017</v>
      </c>
      <c r="Q37" s="15">
        <v>97.964846306450696</v>
      </c>
      <c r="R37" t="s">
        <v>44</v>
      </c>
      <c r="T37" s="15">
        <v>79.053582113149403</v>
      </c>
      <c r="U37" s="15">
        <v>81.959315784802698</v>
      </c>
      <c r="V37" s="15">
        <v>97.964846306450696</v>
      </c>
      <c r="W37" s="15">
        <v>100.096735589015</v>
      </c>
      <c r="X37" s="15">
        <v>105.04048990875199</v>
      </c>
    </row>
    <row r="38" spans="1:24">
      <c r="A38" t="s">
        <v>140</v>
      </c>
      <c r="B38" s="11" t="s">
        <v>141</v>
      </c>
      <c r="C38" s="12" t="s">
        <v>142</v>
      </c>
      <c r="D38" s="1" t="s">
        <v>30</v>
      </c>
      <c r="E38" s="1" t="s">
        <v>31</v>
      </c>
      <c r="F38" s="13" t="s">
        <v>32</v>
      </c>
      <c r="G38" s="14"/>
      <c r="H38" s="14"/>
      <c r="I38" s="14" t="s">
        <v>37</v>
      </c>
      <c r="J38" s="14"/>
      <c r="K38"/>
      <c r="L38" s="14"/>
      <c r="N38" s="17">
        <v>3.09507616927828</v>
      </c>
      <c r="O38" s="17">
        <v>3.4033744195329398</v>
      </c>
      <c r="Q38" s="15">
        <v>90.778774570870695</v>
      </c>
      <c r="R38" t="s">
        <v>44</v>
      </c>
      <c r="T38" s="15">
        <v>87.184761941669905</v>
      </c>
      <c r="U38" s="15">
        <v>88.002231028015999</v>
      </c>
      <c r="V38" s="15">
        <v>90.778774570870695</v>
      </c>
      <c r="W38" s="15">
        <v>94.471494371711202</v>
      </c>
      <c r="X38" s="15">
        <v>95.583141464403596</v>
      </c>
    </row>
    <row r="39" spans="1:24">
      <c r="A39" t="s">
        <v>143</v>
      </c>
      <c r="B39" s="11" t="s">
        <v>144</v>
      </c>
      <c r="C39" s="12" t="s">
        <v>145</v>
      </c>
      <c r="D39" s="1" t="s">
        <v>30</v>
      </c>
      <c r="E39" s="1" t="s">
        <v>31</v>
      </c>
      <c r="F39" s="13" t="s">
        <v>32</v>
      </c>
      <c r="G39" s="14" t="s">
        <v>37</v>
      </c>
      <c r="H39" s="14"/>
      <c r="I39"/>
      <c r="J39" s="14"/>
      <c r="K39" s="14" t="s">
        <v>37</v>
      </c>
      <c r="L39" s="14"/>
      <c r="N39" s="17">
        <v>0.34124691375770499</v>
      </c>
      <c r="O39" s="17">
        <v>0.12587238590911601</v>
      </c>
      <c r="Q39" s="15">
        <v>44.265224300347001</v>
      </c>
      <c r="R39" t="s">
        <v>33</v>
      </c>
      <c r="T39" s="15">
        <v>109.670671286548</v>
      </c>
      <c r="U39" s="15">
        <v>114.058659383863</v>
      </c>
      <c r="V39" s="15">
        <v>155.734775699653</v>
      </c>
      <c r="W39" s="15">
        <v>184.09241265593801</v>
      </c>
      <c r="X39" s="15">
        <v>186.50622682050499</v>
      </c>
    </row>
    <row r="40" spans="1:24">
      <c r="A40" t="s">
        <v>146</v>
      </c>
      <c r="B40" s="11" t="s">
        <v>147</v>
      </c>
      <c r="C40" s="12" t="s">
        <v>148</v>
      </c>
      <c r="D40" s="1" t="s">
        <v>30</v>
      </c>
      <c r="E40" s="1" t="s">
        <v>31</v>
      </c>
      <c r="F40" s="13" t="s">
        <v>54</v>
      </c>
      <c r="G40" s="14" t="s">
        <v>37</v>
      </c>
      <c r="H40" s="14"/>
      <c r="I40"/>
      <c r="J40" s="14"/>
      <c r="K40"/>
      <c r="L40" s="14" t="s">
        <v>37</v>
      </c>
      <c r="N40" s="17">
        <v>1.55416812102366</v>
      </c>
      <c r="O40" s="17">
        <v>1.5645651044884199</v>
      </c>
      <c r="Q40" s="15">
        <v>99.949066042718798</v>
      </c>
      <c r="R40" t="s">
        <v>44</v>
      </c>
      <c r="T40" s="15">
        <v>95.045967919095006</v>
      </c>
      <c r="U40" s="15">
        <v>96.719741209791707</v>
      </c>
      <c r="V40" s="15">
        <v>99.949066042718798</v>
      </c>
      <c r="W40" s="15">
        <v>102.763900196885</v>
      </c>
      <c r="X40" s="15">
        <v>104.661709365593</v>
      </c>
    </row>
    <row r="41" spans="1:24">
      <c r="A41" t="s">
        <v>149</v>
      </c>
      <c r="B41" s="11" t="s">
        <v>150</v>
      </c>
      <c r="C41" s="12" t="s">
        <v>151</v>
      </c>
      <c r="D41" s="1" t="s">
        <v>30</v>
      </c>
      <c r="E41" s="1" t="s">
        <v>31</v>
      </c>
      <c r="F41" s="13" t="s">
        <v>32</v>
      </c>
      <c r="G41"/>
      <c r="H41" s="14"/>
      <c r="I41"/>
      <c r="J41"/>
      <c r="K41"/>
      <c r="L41"/>
      <c r="N41" s="17">
        <v>0.45872722189028797</v>
      </c>
      <c r="O41" s="17">
        <v>0.44172924838356098</v>
      </c>
      <c r="Q41" s="15">
        <v>99.786180182256004</v>
      </c>
      <c r="R41" t="s">
        <v>33</v>
      </c>
      <c r="T41" s="15">
        <v>89.574927568516898</v>
      </c>
      <c r="U41" s="15">
        <v>93.776303380748104</v>
      </c>
      <c r="V41" s="15">
        <v>100.213819817744</v>
      </c>
      <c r="W41" s="15">
        <v>112.474980720315</v>
      </c>
      <c r="X41" s="15">
        <v>115.399192256061</v>
      </c>
    </row>
    <row r="42" spans="1:24">
      <c r="A42" t="s">
        <v>152</v>
      </c>
      <c r="B42" s="11" t="s">
        <v>153</v>
      </c>
      <c r="C42" s="12" t="s">
        <v>154</v>
      </c>
      <c r="D42" s="1" t="s">
        <v>30</v>
      </c>
      <c r="E42" s="1" t="s">
        <v>31</v>
      </c>
      <c r="F42" s="13" t="s">
        <v>32</v>
      </c>
      <c r="G42"/>
      <c r="H42" s="14"/>
      <c r="I42"/>
      <c r="J42"/>
      <c r="K42"/>
      <c r="L42"/>
      <c r="N42" s="17">
        <v>2.4225358921523199</v>
      </c>
      <c r="O42" s="17">
        <v>2.3799747695094702</v>
      </c>
      <c r="Q42" s="15">
        <v>99.809897654479002</v>
      </c>
      <c r="R42" t="s">
        <v>33</v>
      </c>
      <c r="T42" s="15">
        <v>97.507249324395303</v>
      </c>
      <c r="U42" s="15">
        <v>98.403002951327807</v>
      </c>
      <c r="V42" s="15">
        <v>100.190102345521</v>
      </c>
      <c r="W42" s="15">
        <v>106.75657588310899</v>
      </c>
      <c r="X42" s="15">
        <v>108.59750364744001</v>
      </c>
    </row>
    <row r="43" spans="1:24">
      <c r="A43" t="s">
        <v>155</v>
      </c>
      <c r="B43" s="11" t="s">
        <v>156</v>
      </c>
      <c r="C43" s="12" t="s">
        <v>157</v>
      </c>
      <c r="D43" s="1" t="s">
        <v>30</v>
      </c>
      <c r="E43" s="1" t="s">
        <v>31</v>
      </c>
      <c r="F43" s="13" t="s">
        <v>32</v>
      </c>
      <c r="G43" s="14" t="s">
        <v>37</v>
      </c>
      <c r="H43" s="14"/>
      <c r="I43" s="14" t="s">
        <v>37</v>
      </c>
      <c r="J43" s="14"/>
      <c r="K43"/>
      <c r="L43" s="14"/>
      <c r="N43" s="17">
        <v>1.2917278211026499</v>
      </c>
      <c r="O43" s="17">
        <v>1.2569323141645901</v>
      </c>
      <c r="Q43" s="15">
        <v>98.510977656934998</v>
      </c>
      <c r="R43" t="s">
        <v>33</v>
      </c>
      <c r="T43" s="15">
        <v>99.084691409001906</v>
      </c>
      <c r="U43" s="15">
        <v>99.846315226271301</v>
      </c>
      <c r="V43" s="15">
        <v>101.489022343065</v>
      </c>
      <c r="W43" s="15">
        <v>107.948915005218</v>
      </c>
      <c r="X43" s="15">
        <v>109.464727239114</v>
      </c>
    </row>
    <row r="44" spans="1:24">
      <c r="A44" t="s">
        <v>158</v>
      </c>
      <c r="B44" s="11" t="s">
        <v>159</v>
      </c>
      <c r="C44" s="12" t="s">
        <v>160</v>
      </c>
      <c r="D44" s="1" t="s">
        <v>30</v>
      </c>
      <c r="E44" s="1" t="s">
        <v>31</v>
      </c>
      <c r="F44" s="13" t="s">
        <v>32</v>
      </c>
      <c r="G44" s="14" t="s">
        <v>37</v>
      </c>
      <c r="H44" s="14"/>
      <c r="I44"/>
      <c r="J44" s="14"/>
      <c r="K44"/>
      <c r="L44" s="14"/>
      <c r="N44" s="17">
        <v>0.35816436852442501</v>
      </c>
      <c r="O44" s="17">
        <v>0.368751118630542</v>
      </c>
      <c r="Q44" s="15">
        <v>99.990770117045003</v>
      </c>
      <c r="R44" t="s">
        <v>33</v>
      </c>
      <c r="T44" s="15">
        <v>94.997773638061702</v>
      </c>
      <c r="U44" s="15">
        <v>96.282345160513003</v>
      </c>
      <c r="V44" s="15">
        <v>100.009229882955</v>
      </c>
      <c r="W44" s="15">
        <v>104.080873721439</v>
      </c>
      <c r="X44" s="15">
        <v>104.913282756779</v>
      </c>
    </row>
    <row r="45" spans="1:24">
      <c r="A45" t="s">
        <v>161</v>
      </c>
      <c r="B45" s="11" t="s">
        <v>162</v>
      </c>
      <c r="C45" s="12" t="s">
        <v>163</v>
      </c>
      <c r="D45" s="1" t="s">
        <v>30</v>
      </c>
      <c r="E45" s="1" t="s">
        <v>31</v>
      </c>
      <c r="F45" s="13" t="s">
        <v>32</v>
      </c>
      <c r="G45"/>
      <c r="H45" s="14"/>
      <c r="I45"/>
      <c r="J45"/>
      <c r="K45"/>
      <c r="L45"/>
      <c r="N45" s="17">
        <v>0.45909977588099199</v>
      </c>
      <c r="O45" s="17">
        <v>0.35728479038832101</v>
      </c>
      <c r="Q45" s="15">
        <v>80.334976162204995</v>
      </c>
      <c r="R45" t="s">
        <v>33</v>
      </c>
      <c r="T45" s="15">
        <v>107.304692626403</v>
      </c>
      <c r="U45" s="15">
        <v>109.67234762301899</v>
      </c>
      <c r="V45" s="15">
        <v>119.665023837795</v>
      </c>
      <c r="W45" s="15">
        <v>130.12212774576301</v>
      </c>
      <c r="X45" s="15">
        <v>132.38184229599599</v>
      </c>
    </row>
    <row r="46" spans="1:24">
      <c r="A46" t="s">
        <v>164</v>
      </c>
      <c r="B46" s="11" t="s">
        <v>165</v>
      </c>
      <c r="C46" s="12" t="s">
        <v>166</v>
      </c>
      <c r="D46" s="1" t="s">
        <v>30</v>
      </c>
      <c r="E46" s="1" t="s">
        <v>31</v>
      </c>
      <c r="F46" s="13" t="s">
        <v>32</v>
      </c>
      <c r="G46" s="14" t="s">
        <v>37</v>
      </c>
      <c r="H46" s="14"/>
      <c r="I46"/>
      <c r="J46" s="14"/>
      <c r="K46"/>
      <c r="L46" s="14"/>
      <c r="N46" s="17">
        <v>0.52739218687492195</v>
      </c>
      <c r="O46" s="17">
        <v>0.57221139404625998</v>
      </c>
      <c r="Q46" s="15">
        <v>96.154549955662503</v>
      </c>
      <c r="R46" t="s">
        <v>44</v>
      </c>
      <c r="T46" s="15">
        <v>81.328043782705905</v>
      </c>
      <c r="U46" s="15">
        <v>83.5792345616033</v>
      </c>
      <c r="V46" s="15">
        <v>96.154549955662503</v>
      </c>
      <c r="W46" s="15">
        <v>100.07849508949801</v>
      </c>
      <c r="X46" s="15">
        <v>100.701976959628</v>
      </c>
    </row>
    <row r="47" spans="1:24" ht="45">
      <c r="A47" t="s">
        <v>167</v>
      </c>
      <c r="B47" s="11" t="s">
        <v>168</v>
      </c>
      <c r="C47" s="12" t="s">
        <v>169</v>
      </c>
      <c r="D47" s="1" t="s">
        <v>30</v>
      </c>
      <c r="E47" s="1" t="s">
        <v>31</v>
      </c>
      <c r="F47" s="13" t="s">
        <v>170</v>
      </c>
      <c r="G47" s="14" t="s">
        <v>37</v>
      </c>
      <c r="H47" s="14"/>
      <c r="I47"/>
      <c r="J47" s="14"/>
      <c r="K47"/>
      <c r="L47" s="14" t="s">
        <v>37</v>
      </c>
      <c r="N47" s="17">
        <v>0.57807199785835905</v>
      </c>
      <c r="O47" s="17">
        <v>0.65389523792481696</v>
      </c>
      <c r="Q47" s="15">
        <v>94.280368257031697</v>
      </c>
      <c r="R47" t="s">
        <v>44</v>
      </c>
      <c r="T47" s="15">
        <v>82.689839441748802</v>
      </c>
      <c r="U47" s="15">
        <v>84.368706881658795</v>
      </c>
      <c r="V47" s="15">
        <v>94.280368257031697</v>
      </c>
      <c r="W47" s="15">
        <v>99.694226537573797</v>
      </c>
      <c r="X47" s="15">
        <v>100.01820832318199</v>
      </c>
    </row>
    <row r="48" spans="1:24">
      <c r="A48" t="s">
        <v>171</v>
      </c>
      <c r="B48" s="11" t="s">
        <v>172</v>
      </c>
      <c r="C48" s="12" t="s">
        <v>173</v>
      </c>
      <c r="D48" s="1" t="s">
        <v>30</v>
      </c>
      <c r="E48" s="1" t="s">
        <v>31</v>
      </c>
      <c r="F48" s="13" t="s">
        <v>32</v>
      </c>
      <c r="G48"/>
      <c r="H48" s="14"/>
      <c r="I48"/>
      <c r="J48"/>
      <c r="K48"/>
      <c r="L48"/>
      <c r="N48" s="17">
        <v>0.60306295700997303</v>
      </c>
      <c r="O48" s="17">
        <v>0.61768995769801305</v>
      </c>
      <c r="Q48" s="15">
        <v>99.859008377416302</v>
      </c>
      <c r="R48" t="s">
        <v>44</v>
      </c>
      <c r="T48" s="15">
        <v>88.118387065668301</v>
      </c>
      <c r="U48" s="15">
        <v>91.226918308585297</v>
      </c>
      <c r="V48" s="15">
        <v>99.859008377416302</v>
      </c>
      <c r="W48" s="15">
        <v>106.43108286218801</v>
      </c>
      <c r="X48" s="15">
        <v>114.3878351029</v>
      </c>
    </row>
    <row r="49" spans="1:24">
      <c r="A49" t="s">
        <v>174</v>
      </c>
      <c r="B49" s="11" t="s">
        <v>174</v>
      </c>
      <c r="C49" s="12" t="s">
        <v>175</v>
      </c>
      <c r="D49" s="1" t="s">
        <v>30</v>
      </c>
      <c r="E49" s="1" t="s">
        <v>31</v>
      </c>
      <c r="F49" s="13" t="s">
        <v>32</v>
      </c>
      <c r="G49" s="14" t="s">
        <v>37</v>
      </c>
      <c r="H49" s="14"/>
      <c r="I49" s="14" t="s">
        <v>37</v>
      </c>
      <c r="J49" s="14"/>
      <c r="K49"/>
      <c r="L49" s="14"/>
      <c r="N49" s="17">
        <v>2.5645605997882002</v>
      </c>
      <c r="O49" s="17">
        <v>2.8712870496759599</v>
      </c>
      <c r="Q49" s="15">
        <v>89.371580014727698</v>
      </c>
      <c r="R49" t="s">
        <v>44</v>
      </c>
      <c r="T49" s="15">
        <v>86.087414995555307</v>
      </c>
      <c r="U49" s="15">
        <v>86.902833755697699</v>
      </c>
      <c r="V49" s="15">
        <v>89.371580014727698</v>
      </c>
      <c r="W49" s="15">
        <v>91.350552823018404</v>
      </c>
      <c r="X49" s="15">
        <v>91.688795011052605</v>
      </c>
    </row>
    <row r="50" spans="1:24">
      <c r="A50" t="s">
        <v>176</v>
      </c>
      <c r="B50" s="11" t="s">
        <v>177</v>
      </c>
      <c r="C50" s="12" t="s">
        <v>178</v>
      </c>
      <c r="D50" s="1" t="s">
        <v>30</v>
      </c>
      <c r="E50" s="1" t="s">
        <v>31</v>
      </c>
      <c r="F50" s="13" t="s">
        <v>32</v>
      </c>
      <c r="G50" s="14" t="s">
        <v>37</v>
      </c>
      <c r="H50" s="14"/>
      <c r="I50"/>
      <c r="J50" s="14"/>
      <c r="K50"/>
      <c r="L50" s="14"/>
      <c r="N50" s="17">
        <v>1.9095066354299599</v>
      </c>
      <c r="O50" s="17">
        <v>2.2911860503996699</v>
      </c>
      <c r="Q50" s="15">
        <v>83.473597564052994</v>
      </c>
      <c r="R50" t="s">
        <v>44</v>
      </c>
      <c r="T50" s="15">
        <v>79.151729535338404</v>
      </c>
      <c r="U50" s="15">
        <v>79.549322480641607</v>
      </c>
      <c r="V50" s="15">
        <v>83.473597564052994</v>
      </c>
      <c r="W50" s="15">
        <v>87.857861636083001</v>
      </c>
      <c r="X50" s="15">
        <v>89.098016274018207</v>
      </c>
    </row>
    <row r="51" spans="1:24">
      <c r="A51" t="s">
        <v>179</v>
      </c>
      <c r="B51" s="11" t="s">
        <v>180</v>
      </c>
      <c r="C51" s="12" t="s">
        <v>181</v>
      </c>
      <c r="D51" s="1" t="s">
        <v>30</v>
      </c>
      <c r="E51" s="1" t="s">
        <v>31</v>
      </c>
      <c r="F51" s="13" t="s">
        <v>54</v>
      </c>
      <c r="G51"/>
      <c r="H51" s="14"/>
      <c r="I51"/>
      <c r="J51" s="14" t="s">
        <v>37</v>
      </c>
      <c r="K51"/>
      <c r="L51" s="14" t="s">
        <v>37</v>
      </c>
      <c r="N51" s="17">
        <v>0.32897289621707798</v>
      </c>
      <c r="O51" s="17">
        <v>0.32673875418619802</v>
      </c>
      <c r="Q51" s="15">
        <v>99.513577507278001</v>
      </c>
      <c r="R51" t="s">
        <v>33</v>
      </c>
      <c r="T51" s="15">
        <v>99.120118341813594</v>
      </c>
      <c r="U51" s="15">
        <v>99.568039360911399</v>
      </c>
      <c r="V51" s="15">
        <v>100.486422492722</v>
      </c>
      <c r="W51" s="15">
        <v>107.73219215893199</v>
      </c>
      <c r="X51" s="15">
        <v>109.98126101605</v>
      </c>
    </row>
    <row r="52" spans="1:24">
      <c r="A52" t="s">
        <v>182</v>
      </c>
      <c r="B52" s="11" t="s">
        <v>183</v>
      </c>
      <c r="C52" s="12" t="s">
        <v>184</v>
      </c>
      <c r="D52" s="1" t="s">
        <v>30</v>
      </c>
      <c r="E52" s="1" t="s">
        <v>31</v>
      </c>
      <c r="F52" s="13" t="s">
        <v>32</v>
      </c>
      <c r="G52"/>
      <c r="H52" s="14" t="s">
        <v>37</v>
      </c>
      <c r="I52"/>
      <c r="J52"/>
      <c r="K52"/>
      <c r="L52"/>
      <c r="N52" s="17">
        <v>0.60688878640274302</v>
      </c>
      <c r="O52" s="17">
        <v>0.655238505765109</v>
      </c>
      <c r="Q52" s="15">
        <v>95.0070848364347</v>
      </c>
      <c r="R52" t="s">
        <v>44</v>
      </c>
      <c r="T52" s="15">
        <v>83.368506979101497</v>
      </c>
      <c r="U52" s="15">
        <v>85.524226190316597</v>
      </c>
      <c r="V52" s="15">
        <v>95.0070848364347</v>
      </c>
      <c r="W52" s="15">
        <v>100.00086642340899</v>
      </c>
      <c r="X52" s="15">
        <v>100.856725754142</v>
      </c>
    </row>
    <row r="53" spans="1:24">
      <c r="A53" t="s">
        <v>185</v>
      </c>
      <c r="B53" s="11" t="s">
        <v>186</v>
      </c>
      <c r="C53" s="12" t="s">
        <v>187</v>
      </c>
      <c r="D53" s="1" t="s">
        <v>30</v>
      </c>
      <c r="E53" s="1" t="s">
        <v>31</v>
      </c>
      <c r="F53" s="13" t="s">
        <v>32</v>
      </c>
      <c r="G53" s="14"/>
      <c r="H53" s="14" t="s">
        <v>37</v>
      </c>
      <c r="I53" s="14"/>
      <c r="J53" s="14" t="s">
        <v>37</v>
      </c>
      <c r="K53"/>
      <c r="L53" s="14"/>
      <c r="N53" s="17">
        <v>0.61473838609822395</v>
      </c>
      <c r="O53" s="17">
        <v>0.61794329345142196</v>
      </c>
      <c r="Q53" s="15">
        <v>99.892807355525804</v>
      </c>
      <c r="R53" t="s">
        <v>44</v>
      </c>
      <c r="T53" s="15">
        <v>93.062694349163095</v>
      </c>
      <c r="U53" s="15">
        <v>94.235929513365704</v>
      </c>
      <c r="V53" s="15">
        <v>99.892807355525804</v>
      </c>
      <c r="W53" s="15">
        <v>103.185521388594</v>
      </c>
      <c r="X53" s="15">
        <v>105.54998906145801</v>
      </c>
    </row>
    <row r="54" spans="1:24">
      <c r="A54" t="s">
        <v>188</v>
      </c>
      <c r="B54" s="11" t="s">
        <v>189</v>
      </c>
      <c r="C54" s="12" t="s">
        <v>190</v>
      </c>
      <c r="D54" s="1" t="s">
        <v>30</v>
      </c>
      <c r="E54" s="1" t="s">
        <v>31</v>
      </c>
      <c r="F54" s="13" t="s">
        <v>32</v>
      </c>
      <c r="G54" s="14" t="s">
        <v>37</v>
      </c>
      <c r="H54" s="14"/>
      <c r="I54"/>
      <c r="J54" s="14"/>
      <c r="K54"/>
      <c r="L54" s="14"/>
      <c r="N54" s="17">
        <v>2.3124933411509501</v>
      </c>
      <c r="O54" s="17">
        <v>2.2246493623731398</v>
      </c>
      <c r="Q54" s="15">
        <v>97.006196784183004</v>
      </c>
      <c r="R54" t="s">
        <v>33</v>
      </c>
      <c r="T54" s="15">
        <v>100.01443335379599</v>
      </c>
      <c r="U54" s="15">
        <v>100.227329038345</v>
      </c>
      <c r="V54" s="15">
        <v>102.993803215817</v>
      </c>
      <c r="W54" s="15">
        <v>107.26917821571099</v>
      </c>
      <c r="X54" s="15">
        <v>109.431542918603</v>
      </c>
    </row>
    <row r="55" spans="1:24">
      <c r="A55" t="s">
        <v>191</v>
      </c>
      <c r="B55" s="11" t="s">
        <v>192</v>
      </c>
      <c r="C55" s="12" t="s">
        <v>193</v>
      </c>
      <c r="D55" s="1" t="s">
        <v>30</v>
      </c>
      <c r="E55" s="1" t="s">
        <v>31</v>
      </c>
      <c r="F55" s="13" t="s">
        <v>32</v>
      </c>
      <c r="G55"/>
      <c r="H55" s="14"/>
      <c r="I55"/>
      <c r="J55"/>
      <c r="K55" s="14" t="s">
        <v>37</v>
      </c>
      <c r="L55"/>
      <c r="N55" s="17">
        <v>1.2698068234836599</v>
      </c>
      <c r="O55" s="17">
        <v>0.87231433311384998</v>
      </c>
      <c r="Q55" s="15">
        <v>69.118925077920011</v>
      </c>
      <c r="R55" t="s">
        <v>33</v>
      </c>
      <c r="T55" s="15">
        <v>122.33594397498</v>
      </c>
      <c r="U55" s="15">
        <v>124.363616193341</v>
      </c>
      <c r="V55" s="15">
        <v>130.88107492207999</v>
      </c>
      <c r="W55" s="15">
        <v>138.12433140354901</v>
      </c>
      <c r="X55" s="15">
        <v>140.317716635696</v>
      </c>
    </row>
    <row r="56" spans="1:24">
      <c r="A56" t="s">
        <v>194</v>
      </c>
      <c r="B56" s="11" t="s">
        <v>195</v>
      </c>
      <c r="C56" s="12" t="s">
        <v>196</v>
      </c>
      <c r="D56" s="1" t="s">
        <v>30</v>
      </c>
      <c r="E56" s="1" t="s">
        <v>31</v>
      </c>
      <c r="F56" s="13" t="s">
        <v>32</v>
      </c>
      <c r="G56" s="14" t="s">
        <v>37</v>
      </c>
      <c r="H56" s="14"/>
      <c r="I56"/>
      <c r="J56" s="14"/>
      <c r="K56"/>
      <c r="L56" s="14"/>
      <c r="N56" s="17">
        <v>0.87584378188665202</v>
      </c>
      <c r="O56" s="17">
        <v>1.0230403166398401</v>
      </c>
      <c r="Q56" s="15">
        <v>85.559892099347707</v>
      </c>
      <c r="R56" t="s">
        <v>44</v>
      </c>
      <c r="T56" s="15">
        <v>78.615953337801898</v>
      </c>
      <c r="U56" s="15">
        <v>80.166626801203407</v>
      </c>
      <c r="V56" s="15">
        <v>85.559892099347707</v>
      </c>
      <c r="W56" s="15">
        <v>91.013204091532401</v>
      </c>
      <c r="X56" s="15">
        <v>94.705938887547404</v>
      </c>
    </row>
    <row r="57" spans="1:24">
      <c r="A57" t="s">
        <v>197</v>
      </c>
      <c r="B57" s="11" t="s">
        <v>198</v>
      </c>
      <c r="C57" s="12" t="s">
        <v>199</v>
      </c>
      <c r="D57" s="1" t="s">
        <v>30</v>
      </c>
      <c r="E57" s="1" t="s">
        <v>31</v>
      </c>
      <c r="F57" s="13" t="s">
        <v>32</v>
      </c>
      <c r="G57"/>
      <c r="H57" s="14"/>
      <c r="I57"/>
      <c r="J57"/>
      <c r="K57"/>
      <c r="L57"/>
      <c r="N57" s="17">
        <v>4.39506243220029</v>
      </c>
      <c r="O57" s="17">
        <v>4.9089759815096299</v>
      </c>
      <c r="Q57" s="15">
        <v>89.700818555267205</v>
      </c>
      <c r="R57" t="s">
        <v>44</v>
      </c>
      <c r="T57" s="15">
        <v>87.103391882349896</v>
      </c>
      <c r="U57" s="15">
        <v>87.500744047393596</v>
      </c>
      <c r="V57" s="15">
        <v>89.700818555267205</v>
      </c>
      <c r="W57" s="15">
        <v>91.391177295480404</v>
      </c>
      <c r="X57" s="15">
        <v>92.573783135705696</v>
      </c>
    </row>
    <row r="58" spans="1:24">
      <c r="A58" t="s">
        <v>200</v>
      </c>
      <c r="B58" s="11" t="s">
        <v>201</v>
      </c>
      <c r="C58" s="12" t="s">
        <v>202</v>
      </c>
      <c r="D58" s="1" t="s">
        <v>30</v>
      </c>
      <c r="E58" s="1" t="s">
        <v>31</v>
      </c>
      <c r="F58" s="13" t="s">
        <v>32</v>
      </c>
      <c r="G58"/>
      <c r="H58" s="14"/>
      <c r="I58"/>
      <c r="J58" s="14" t="s">
        <v>37</v>
      </c>
      <c r="K58"/>
      <c r="L58" s="14"/>
      <c r="N58" s="17">
        <v>0.401556724445082</v>
      </c>
      <c r="O58" s="17">
        <v>0.50781025210241904</v>
      </c>
      <c r="Q58" s="15">
        <v>80.551520802505607</v>
      </c>
      <c r="R58" t="s">
        <v>44</v>
      </c>
      <c r="T58" s="15">
        <v>64.813478075334103</v>
      </c>
      <c r="U58" s="15">
        <v>68.530968873431902</v>
      </c>
      <c r="V58" s="15">
        <v>80.551520802505607</v>
      </c>
      <c r="W58" s="15">
        <v>95.047171096035996</v>
      </c>
      <c r="X58" s="15">
        <v>98.525904894315104</v>
      </c>
    </row>
    <row r="59" spans="1:24" ht="45">
      <c r="A59" t="s">
        <v>203</v>
      </c>
      <c r="B59" s="11" t="s">
        <v>204</v>
      </c>
      <c r="C59" s="12" t="s">
        <v>205</v>
      </c>
      <c r="D59" s="1" t="s">
        <v>30</v>
      </c>
      <c r="E59" s="1" t="s">
        <v>31</v>
      </c>
      <c r="F59" s="13" t="s">
        <v>206</v>
      </c>
      <c r="G59"/>
      <c r="H59" s="14"/>
      <c r="I59"/>
      <c r="J59"/>
      <c r="K59"/>
      <c r="L59" s="14" t="s">
        <v>37</v>
      </c>
      <c r="N59" s="17">
        <v>0.13185948086812699</v>
      </c>
      <c r="O59" s="17">
        <v>0.18358964469233399</v>
      </c>
      <c r="Q59" s="15">
        <v>75.572358493704201</v>
      </c>
      <c r="R59" t="s">
        <v>44</v>
      </c>
      <c r="T59" s="15">
        <v>58.2347689914249</v>
      </c>
      <c r="U59" s="15">
        <v>62.456984233185402</v>
      </c>
      <c r="V59" s="15">
        <v>75.572358493704201</v>
      </c>
      <c r="W59" s="15">
        <v>91.722786576576098</v>
      </c>
      <c r="X59" s="15">
        <v>97.457211478168702</v>
      </c>
    </row>
    <row r="60" spans="1:24">
      <c r="A60" t="s">
        <v>207</v>
      </c>
      <c r="B60" s="11" t="s">
        <v>208</v>
      </c>
      <c r="C60" s="12" t="s">
        <v>209</v>
      </c>
      <c r="D60" s="1" t="s">
        <v>30</v>
      </c>
      <c r="E60" s="1" t="s">
        <v>31</v>
      </c>
      <c r="F60" s="13" t="s">
        <v>32</v>
      </c>
      <c r="G60"/>
      <c r="H60" s="14"/>
      <c r="I60"/>
      <c r="J60"/>
      <c r="K60" s="14" t="s">
        <v>37</v>
      </c>
      <c r="L60"/>
      <c r="N60" s="17">
        <v>0.63974854294385597</v>
      </c>
      <c r="O60" s="17">
        <v>0.135651658390295</v>
      </c>
      <c r="Q60" s="15">
        <v>22.015908091256989</v>
      </c>
      <c r="R60" t="s">
        <v>33</v>
      </c>
      <c r="T60" s="15">
        <v>163.04562470677499</v>
      </c>
      <c r="U60" s="15">
        <v>166.565773510886</v>
      </c>
      <c r="V60" s="15">
        <v>177.98409190874301</v>
      </c>
      <c r="W60" s="15">
        <v>186.97184535420499</v>
      </c>
      <c r="X60" s="15">
        <v>189.28520996189999</v>
      </c>
    </row>
    <row r="61" spans="1:24">
      <c r="A61" t="s">
        <v>210</v>
      </c>
      <c r="B61" s="11" t="s">
        <v>211</v>
      </c>
      <c r="C61" s="12" t="s">
        <v>212</v>
      </c>
      <c r="D61" s="1" t="s">
        <v>30</v>
      </c>
      <c r="E61" s="1" t="s">
        <v>31</v>
      </c>
      <c r="F61" s="13" t="s">
        <v>32</v>
      </c>
      <c r="G61"/>
      <c r="H61" s="14"/>
      <c r="I61"/>
      <c r="J61"/>
      <c r="K61" s="14" t="s">
        <v>37</v>
      </c>
      <c r="L61"/>
      <c r="N61" s="17">
        <v>0.52510110364092299</v>
      </c>
      <c r="O61" s="17">
        <v>0.105007737472427</v>
      </c>
      <c r="Q61" s="15">
        <v>20.837805858492004</v>
      </c>
      <c r="R61" t="s">
        <v>33</v>
      </c>
      <c r="T61" s="15">
        <v>126.828215035356</v>
      </c>
      <c r="U61" s="15">
        <v>133.77500098758699</v>
      </c>
      <c r="V61" s="15">
        <v>179.162194141508</v>
      </c>
      <c r="W61" s="15">
        <v>190.11424644716899</v>
      </c>
      <c r="X61" s="15">
        <v>191.053275497285</v>
      </c>
    </row>
    <row r="62" spans="1:24">
      <c r="A62" t="s">
        <v>213</v>
      </c>
      <c r="B62" s="11" t="s">
        <v>214</v>
      </c>
      <c r="C62" s="12" t="s">
        <v>215</v>
      </c>
      <c r="D62" s="1" t="s">
        <v>30</v>
      </c>
      <c r="E62" s="1" t="s">
        <v>31</v>
      </c>
      <c r="F62" s="13" t="s">
        <v>32</v>
      </c>
      <c r="G62" s="14" t="s">
        <v>37</v>
      </c>
      <c r="H62" s="14" t="s">
        <v>37</v>
      </c>
      <c r="I62" s="14" t="s">
        <v>37</v>
      </c>
      <c r="J62" s="14"/>
      <c r="K62"/>
      <c r="L62" s="14"/>
      <c r="N62" s="17">
        <v>3.6268611165740201</v>
      </c>
      <c r="O62" s="17">
        <v>3.7736908351843099</v>
      </c>
      <c r="Q62" s="15">
        <v>96.347879143320498</v>
      </c>
      <c r="R62" t="s">
        <v>44</v>
      </c>
      <c r="T62" s="15">
        <v>93.959929225484998</v>
      </c>
      <c r="U62" s="15">
        <v>94.343679547508103</v>
      </c>
      <c r="V62" s="15">
        <v>96.347879143320498</v>
      </c>
      <c r="W62" s="15">
        <v>98.519842343307403</v>
      </c>
      <c r="X62" s="15">
        <v>99.443868046292096</v>
      </c>
    </row>
    <row r="63" spans="1:24">
      <c r="A63" t="s">
        <v>216</v>
      </c>
      <c r="B63" s="11" t="s">
        <v>217</v>
      </c>
      <c r="C63" s="12" t="s">
        <v>218</v>
      </c>
      <c r="D63" s="1" t="s">
        <v>30</v>
      </c>
      <c r="E63" s="1" t="s">
        <v>31</v>
      </c>
      <c r="F63" s="13" t="s">
        <v>32</v>
      </c>
      <c r="G63"/>
      <c r="H63" s="14"/>
      <c r="I63"/>
      <c r="J63"/>
      <c r="K63"/>
      <c r="L63"/>
      <c r="N63" s="17">
        <v>0.40788877267333301</v>
      </c>
      <c r="O63" s="17">
        <v>0.47763230923988997</v>
      </c>
      <c r="Q63" s="15">
        <v>93.293730964235095</v>
      </c>
      <c r="R63" t="s">
        <v>44</v>
      </c>
      <c r="T63" s="15">
        <v>77.579315512433595</v>
      </c>
      <c r="U63" s="15">
        <v>80.4946498208148</v>
      </c>
      <c r="V63" s="15">
        <v>93.293730964235095</v>
      </c>
      <c r="W63" s="15">
        <v>99.991427999866303</v>
      </c>
      <c r="X63" s="15">
        <v>100.002580361482</v>
      </c>
    </row>
    <row r="64" spans="1:24">
      <c r="A64" t="s">
        <v>219</v>
      </c>
      <c r="B64" s="11" t="s">
        <v>220</v>
      </c>
      <c r="C64" s="12" t="s">
        <v>221</v>
      </c>
      <c r="D64" s="1" t="s">
        <v>30</v>
      </c>
      <c r="E64" s="1" t="s">
        <v>31</v>
      </c>
      <c r="F64" s="13" t="s">
        <v>32</v>
      </c>
      <c r="G64" s="14" t="s">
        <v>37</v>
      </c>
      <c r="H64" s="14"/>
      <c r="I64"/>
      <c r="J64" s="14"/>
      <c r="K64"/>
      <c r="L64" s="14"/>
      <c r="N64" s="17">
        <v>3.2299624344195399</v>
      </c>
      <c r="O64" s="17">
        <v>3.34089524330569</v>
      </c>
      <c r="Q64" s="15">
        <v>98.025177625319699</v>
      </c>
      <c r="R64" t="s">
        <v>44</v>
      </c>
      <c r="T64" s="15">
        <v>93.311924778851505</v>
      </c>
      <c r="U64" s="15">
        <v>94.702330709595202</v>
      </c>
      <c r="V64" s="15">
        <v>98.025177625319699</v>
      </c>
      <c r="W64" s="15">
        <v>100.036292479539</v>
      </c>
      <c r="X64" s="15">
        <v>100.276730287036</v>
      </c>
    </row>
    <row r="65" spans="1:24">
      <c r="A65" t="s">
        <v>222</v>
      </c>
      <c r="B65" s="11" t="s">
        <v>223</v>
      </c>
      <c r="C65" s="12" t="s">
        <v>224</v>
      </c>
      <c r="D65" s="1" t="s">
        <v>30</v>
      </c>
      <c r="E65" s="1" t="s">
        <v>31</v>
      </c>
      <c r="F65" s="13" t="s">
        <v>32</v>
      </c>
      <c r="G65" s="14" t="s">
        <v>37</v>
      </c>
      <c r="H65" s="14"/>
      <c r="I65"/>
      <c r="J65" s="14"/>
      <c r="K65" s="14" t="s">
        <v>37</v>
      </c>
      <c r="L65" s="14"/>
      <c r="N65" s="17">
        <v>0.67127447182301603</v>
      </c>
      <c r="O65" s="17">
        <v>0.65173447961711595</v>
      </c>
      <c r="Q65" s="15">
        <v>98.322745987648005</v>
      </c>
      <c r="R65" t="s">
        <v>33</v>
      </c>
      <c r="T65" s="15">
        <v>99.602382933522605</v>
      </c>
      <c r="U65" s="15">
        <v>99.833665362702305</v>
      </c>
      <c r="V65" s="15">
        <v>101.67725401235199</v>
      </c>
      <c r="W65" s="15">
        <v>112.565501484614</v>
      </c>
      <c r="X65" s="15">
        <v>113.58995349855</v>
      </c>
    </row>
    <row r="66" spans="1:24">
      <c r="A66" t="s">
        <v>225</v>
      </c>
      <c r="B66" s="11" t="s">
        <v>226</v>
      </c>
      <c r="C66" s="12" t="s">
        <v>227</v>
      </c>
      <c r="D66" s="1" t="s">
        <v>30</v>
      </c>
      <c r="E66" s="1" t="s">
        <v>31</v>
      </c>
      <c r="F66" s="13" t="s">
        <v>32</v>
      </c>
      <c r="G66"/>
      <c r="H66" s="14"/>
      <c r="I66"/>
      <c r="J66"/>
      <c r="K66"/>
      <c r="L66"/>
      <c r="N66" s="17">
        <v>0.50964472817856898</v>
      </c>
      <c r="O66" s="17">
        <v>6.7778481296718499E-2</v>
      </c>
      <c r="Q66" s="15">
        <v>19.558185912974011</v>
      </c>
      <c r="R66" t="s">
        <v>33</v>
      </c>
      <c r="T66" s="15">
        <v>111.41653693713199</v>
      </c>
      <c r="U66" s="15">
        <v>119.86316129092501</v>
      </c>
      <c r="V66" s="15">
        <v>180.44181408702599</v>
      </c>
      <c r="W66" s="15">
        <v>196.37853783463001</v>
      </c>
      <c r="X66" s="15">
        <v>197.79737751997499</v>
      </c>
    </row>
    <row r="67" spans="1:24">
      <c r="A67" t="s">
        <v>228</v>
      </c>
      <c r="B67" s="11" t="s">
        <v>229</v>
      </c>
      <c r="C67" s="12" t="s">
        <v>230</v>
      </c>
      <c r="D67" s="1" t="s">
        <v>30</v>
      </c>
      <c r="E67" s="1" t="s">
        <v>31</v>
      </c>
      <c r="F67" s="13" t="s">
        <v>32</v>
      </c>
      <c r="G67" s="14" t="s">
        <v>37</v>
      </c>
      <c r="H67" s="14"/>
      <c r="I67"/>
      <c r="J67" s="14"/>
      <c r="K67" s="14" t="s">
        <v>37</v>
      </c>
      <c r="L67" s="14"/>
      <c r="N67" s="17">
        <v>0.28707189679334399</v>
      </c>
      <c r="O67" s="17">
        <v>0.25085330393910599</v>
      </c>
      <c r="Q67" s="15">
        <v>94.039320055153993</v>
      </c>
      <c r="R67" t="s">
        <v>33</v>
      </c>
      <c r="T67" s="15">
        <v>100.000021768854</v>
      </c>
      <c r="U67" s="15">
        <v>100.461436668684</v>
      </c>
      <c r="V67" s="15">
        <v>105.96067994484601</v>
      </c>
      <c r="W67" s="15">
        <v>123.58733677239999</v>
      </c>
      <c r="X67" s="15">
        <v>127.275881422461</v>
      </c>
    </row>
    <row r="68" spans="1:24">
      <c r="A68" t="s">
        <v>231</v>
      </c>
      <c r="B68" s="11" t="s">
        <v>232</v>
      </c>
      <c r="C68" s="12" t="s">
        <v>233</v>
      </c>
      <c r="D68" s="1" t="s">
        <v>30</v>
      </c>
      <c r="E68" s="1" t="s">
        <v>31</v>
      </c>
      <c r="F68" s="13" t="s">
        <v>54</v>
      </c>
      <c r="G68" s="14" t="s">
        <v>37</v>
      </c>
      <c r="H68" s="14" t="s">
        <v>37</v>
      </c>
      <c r="I68" s="14" t="s">
        <v>37</v>
      </c>
      <c r="J68" s="14"/>
      <c r="K68"/>
      <c r="L68" s="14" t="s">
        <v>37</v>
      </c>
      <c r="N68" s="17">
        <v>0.93948503542456996</v>
      </c>
      <c r="O68" s="17">
        <v>0.99496872481377496</v>
      </c>
      <c r="Q68" s="15">
        <v>95.807145576593697</v>
      </c>
      <c r="R68" t="s">
        <v>44</v>
      </c>
      <c r="T68" s="15">
        <v>89.791272111375307</v>
      </c>
      <c r="U68" s="15">
        <v>90.605903252331302</v>
      </c>
      <c r="V68" s="15">
        <v>95.807145576593697</v>
      </c>
      <c r="W68" s="15">
        <v>99.512203729158699</v>
      </c>
      <c r="X68" s="15">
        <v>99.9993901379421</v>
      </c>
    </row>
    <row r="69" spans="1:24">
      <c r="A69" t="s">
        <v>234</v>
      </c>
      <c r="B69" s="11" t="s">
        <v>235</v>
      </c>
      <c r="C69" s="12" t="s">
        <v>236</v>
      </c>
      <c r="D69" s="1" t="s">
        <v>30</v>
      </c>
      <c r="E69" s="1" t="s">
        <v>31</v>
      </c>
      <c r="F69" s="13" t="s">
        <v>54</v>
      </c>
      <c r="G69" s="14" t="s">
        <v>37</v>
      </c>
      <c r="H69" s="14"/>
      <c r="I69"/>
      <c r="J69" s="14"/>
      <c r="K69"/>
      <c r="L69" s="14" t="s">
        <v>37</v>
      </c>
      <c r="N69" s="17">
        <v>0.30239245764523998</v>
      </c>
      <c r="O69" s="17">
        <v>0.25738913085081999</v>
      </c>
      <c r="Q69" s="15">
        <v>88.421662852880004</v>
      </c>
      <c r="R69" t="s">
        <v>33</v>
      </c>
      <c r="T69" s="15">
        <v>99.490569466313104</v>
      </c>
      <c r="U69" s="15">
        <v>100.168622172171</v>
      </c>
      <c r="V69" s="15">
        <v>111.57833714712</v>
      </c>
      <c r="W69" s="15">
        <v>124.754174234505</v>
      </c>
      <c r="X69" s="15">
        <v>125.694008781704</v>
      </c>
    </row>
    <row r="70" spans="1:24">
      <c r="A70" t="s">
        <v>237</v>
      </c>
      <c r="B70" s="11" t="s">
        <v>238</v>
      </c>
      <c r="C70" s="12" t="s">
        <v>239</v>
      </c>
      <c r="D70" s="1" t="s">
        <v>30</v>
      </c>
      <c r="E70" s="1" t="s">
        <v>31</v>
      </c>
      <c r="F70" s="13" t="s">
        <v>32</v>
      </c>
      <c r="G70"/>
      <c r="H70" s="14"/>
      <c r="I70"/>
      <c r="J70"/>
      <c r="K70"/>
      <c r="L70"/>
      <c r="N70" s="17">
        <v>5.0862839690644899</v>
      </c>
      <c r="O70" s="17">
        <v>5.1376574331707401</v>
      </c>
      <c r="Q70" s="15">
        <v>99.669140465784096</v>
      </c>
      <c r="R70" t="s">
        <v>44</v>
      </c>
      <c r="T70" s="15">
        <v>96.085373926216306</v>
      </c>
      <c r="U70" s="15">
        <v>96.708492198684596</v>
      </c>
      <c r="V70" s="15">
        <v>99.669140465784096</v>
      </c>
      <c r="W70" s="15">
        <v>100.72134236951101</v>
      </c>
      <c r="X70" s="15">
        <v>101.255472051593</v>
      </c>
    </row>
    <row r="71" spans="1:24">
      <c r="A71" t="s">
        <v>240</v>
      </c>
      <c r="B71" s="11" t="s">
        <v>241</v>
      </c>
      <c r="C71" s="12" t="s">
        <v>242</v>
      </c>
      <c r="D71" s="1" t="s">
        <v>30</v>
      </c>
      <c r="E71" s="1" t="s">
        <v>31</v>
      </c>
      <c r="F71" s="13" t="s">
        <v>32</v>
      </c>
      <c r="G71"/>
      <c r="H71" s="14" t="s">
        <v>37</v>
      </c>
      <c r="I71"/>
      <c r="J71" s="14" t="s">
        <v>37</v>
      </c>
      <c r="K71"/>
      <c r="L71" s="14"/>
      <c r="N71" s="17">
        <v>1.01340451815303</v>
      </c>
      <c r="O71" s="17">
        <v>1.06901312757099</v>
      </c>
      <c r="Q71" s="15">
        <v>96.076326226033402</v>
      </c>
      <c r="R71" t="s">
        <v>44</v>
      </c>
      <c r="T71" s="15">
        <v>89.798042811982796</v>
      </c>
      <c r="U71" s="15">
        <v>90.600542658235696</v>
      </c>
      <c r="V71" s="15">
        <v>96.076326226033402</v>
      </c>
      <c r="W71" s="15">
        <v>99.913123678437103</v>
      </c>
      <c r="X71" s="15">
        <v>99.989841012368601</v>
      </c>
    </row>
    <row r="72" spans="1:24">
      <c r="A72" t="s">
        <v>243</v>
      </c>
      <c r="B72" s="11" t="s">
        <v>244</v>
      </c>
      <c r="C72" s="12" t="s">
        <v>245</v>
      </c>
      <c r="D72" s="1" t="s">
        <v>30</v>
      </c>
      <c r="E72" s="1" t="s">
        <v>31</v>
      </c>
      <c r="F72" s="13" t="s">
        <v>32</v>
      </c>
      <c r="G72" s="14" t="s">
        <v>37</v>
      </c>
      <c r="H72" s="14"/>
      <c r="I72"/>
      <c r="J72" s="14"/>
      <c r="K72"/>
      <c r="L72" s="14"/>
      <c r="N72" s="17">
        <v>0.509077294781627</v>
      </c>
      <c r="O72" s="17">
        <v>0.53113698147059996</v>
      </c>
      <c r="Q72" s="15">
        <v>98.139910683717503</v>
      </c>
      <c r="R72" t="s">
        <v>44</v>
      </c>
      <c r="T72" s="15">
        <v>85.767185599708</v>
      </c>
      <c r="U72" s="15">
        <v>90.222226991225597</v>
      </c>
      <c r="V72" s="15">
        <v>98.139910683717503</v>
      </c>
      <c r="W72" s="15">
        <v>100.07528219954401</v>
      </c>
      <c r="X72" s="15">
        <v>100.45931008659601</v>
      </c>
    </row>
    <row r="73" spans="1:24">
      <c r="A73" t="s">
        <v>246</v>
      </c>
      <c r="B73" s="11" t="s">
        <v>247</v>
      </c>
      <c r="C73" s="12" t="s">
        <v>248</v>
      </c>
      <c r="D73" s="1" t="s">
        <v>30</v>
      </c>
      <c r="E73" s="1" t="s">
        <v>31</v>
      </c>
      <c r="F73" s="13" t="s">
        <v>32</v>
      </c>
      <c r="G73" s="14"/>
      <c r="H73" s="14" t="s">
        <v>37</v>
      </c>
      <c r="I73" s="14" t="s">
        <v>37</v>
      </c>
      <c r="J73" s="14"/>
      <c r="K73"/>
      <c r="L73" s="14"/>
      <c r="N73" s="17">
        <v>0.84515648069318305</v>
      </c>
      <c r="O73" s="17">
        <v>0.86591766659096903</v>
      </c>
      <c r="Q73" s="15">
        <v>98.991586706952603</v>
      </c>
      <c r="R73" t="s">
        <v>44</v>
      </c>
      <c r="T73" s="15">
        <v>91.430125298214904</v>
      </c>
      <c r="U73" s="15">
        <v>93.087525276521902</v>
      </c>
      <c r="V73" s="15">
        <v>98.991586706952603</v>
      </c>
      <c r="W73" s="15">
        <v>100.276043621928</v>
      </c>
      <c r="X73" s="15">
        <v>100.949194521246</v>
      </c>
    </row>
    <row r="74" spans="1:24">
      <c r="A74" t="s">
        <v>249</v>
      </c>
      <c r="B74" s="11" t="s">
        <v>250</v>
      </c>
      <c r="C74" s="12" t="s">
        <v>251</v>
      </c>
      <c r="D74" s="1" t="s">
        <v>30</v>
      </c>
      <c r="E74" s="1" t="s">
        <v>31</v>
      </c>
      <c r="F74" s="13" t="s">
        <v>252</v>
      </c>
      <c r="G74" s="14" t="s">
        <v>37</v>
      </c>
      <c r="H74" s="14"/>
      <c r="I74"/>
      <c r="J74" s="14"/>
      <c r="K74"/>
      <c r="L74" s="14" t="s">
        <v>37</v>
      </c>
      <c r="N74" s="17">
        <v>0.30690261623231102</v>
      </c>
      <c r="O74" s="17">
        <v>0.31616715463174</v>
      </c>
      <c r="Q74" s="15">
        <v>99.994503451219799</v>
      </c>
      <c r="R74" t="s">
        <v>44</v>
      </c>
      <c r="T74" s="15">
        <v>90.742445677180299</v>
      </c>
      <c r="U74" s="15">
        <v>92.705053409505297</v>
      </c>
      <c r="V74" s="15">
        <v>99.994503451219799</v>
      </c>
      <c r="W74" s="15">
        <v>104.150226380821</v>
      </c>
      <c r="X74" s="15">
        <v>108.86377169975199</v>
      </c>
    </row>
    <row r="75" spans="1:24">
      <c r="A75" t="s">
        <v>253</v>
      </c>
      <c r="B75" s="11" t="s">
        <v>254</v>
      </c>
      <c r="C75" s="12" t="s">
        <v>255</v>
      </c>
      <c r="D75" s="1" t="s">
        <v>30</v>
      </c>
      <c r="E75" s="1" t="s">
        <v>31</v>
      </c>
      <c r="F75" s="13" t="s">
        <v>32</v>
      </c>
      <c r="G75"/>
      <c r="H75" s="14"/>
      <c r="I75"/>
      <c r="J75"/>
      <c r="K75"/>
      <c r="L75"/>
      <c r="N75" s="17">
        <v>1.0363957690707399</v>
      </c>
      <c r="O75" s="17">
        <v>1.04397599196449</v>
      </c>
      <c r="Q75" s="15">
        <v>99.987023361597593</v>
      </c>
      <c r="R75" t="s">
        <v>44</v>
      </c>
      <c r="T75" s="15">
        <v>95.165074699844894</v>
      </c>
      <c r="U75" s="15">
        <v>96.863372158365095</v>
      </c>
      <c r="V75" s="15">
        <v>99.987023361597593</v>
      </c>
      <c r="W75" s="15">
        <v>104.208513273977</v>
      </c>
      <c r="X75" s="15">
        <v>107.632103979965</v>
      </c>
    </row>
    <row r="76" spans="1:24">
      <c r="A76" t="s">
        <v>256</v>
      </c>
      <c r="B76" s="11" t="s">
        <v>257</v>
      </c>
      <c r="C76" s="12" t="s">
        <v>258</v>
      </c>
      <c r="D76" s="1" t="s">
        <v>30</v>
      </c>
      <c r="E76" s="1" t="s">
        <v>31</v>
      </c>
      <c r="F76" s="13" t="s">
        <v>32</v>
      </c>
      <c r="G76" s="14"/>
      <c r="H76" s="14"/>
      <c r="I76" s="14"/>
      <c r="J76" s="14"/>
      <c r="K76"/>
      <c r="L76" s="14"/>
      <c r="N76" s="17">
        <v>4.8714693725621103</v>
      </c>
      <c r="O76" s="17">
        <v>5.5126692396877699</v>
      </c>
      <c r="Q76" s="15">
        <v>88.389073883610706</v>
      </c>
      <c r="R76" t="s">
        <v>44</v>
      </c>
      <c r="T76" s="15">
        <v>86.786427125099394</v>
      </c>
      <c r="U76" s="15">
        <v>86.886933983725697</v>
      </c>
      <c r="V76" s="15">
        <v>88.389073883610706</v>
      </c>
      <c r="W76" s="15">
        <v>89.747980301983404</v>
      </c>
      <c r="X76" s="15">
        <v>89.993101536741605</v>
      </c>
    </row>
    <row r="77" spans="1:24">
      <c r="A77" t="s">
        <v>259</v>
      </c>
      <c r="B77" s="11" t="s">
        <v>260</v>
      </c>
      <c r="C77" s="12" t="s">
        <v>261</v>
      </c>
      <c r="D77" s="1" t="s">
        <v>30</v>
      </c>
      <c r="E77" s="1" t="s">
        <v>31</v>
      </c>
      <c r="F77" s="13" t="s">
        <v>32</v>
      </c>
      <c r="G77" s="14" t="s">
        <v>37</v>
      </c>
      <c r="H77" s="14"/>
      <c r="I77"/>
      <c r="J77" s="14"/>
      <c r="K77" s="14" t="s">
        <v>37</v>
      </c>
      <c r="L77" s="14"/>
      <c r="N77" s="17">
        <v>0.94976703010261898</v>
      </c>
      <c r="O77" s="17">
        <v>0.72908154192362595</v>
      </c>
      <c r="Q77" s="15">
        <v>78.130964082412007</v>
      </c>
      <c r="R77" t="s">
        <v>33</v>
      </c>
      <c r="T77" s="15">
        <v>109.05492398333</v>
      </c>
      <c r="U77" s="15">
        <v>111.80888756415099</v>
      </c>
      <c r="V77" s="15">
        <v>121.86903591758799</v>
      </c>
      <c r="W77" s="15">
        <v>134.411642334616</v>
      </c>
      <c r="X77" s="15">
        <v>139.31624794825899</v>
      </c>
    </row>
    <row r="79" spans="1:24">
      <c r="P79" s="85" t="s">
        <v>338</v>
      </c>
      <c r="Q79" s="86">
        <f>AVERAGE(Q4:Q77)</f>
        <v>85.415458393214507</v>
      </c>
    </row>
    <row r="80" spans="1:24">
      <c r="Q8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C38" sqref="C38"/>
    </sheetView>
  </sheetViews>
  <sheetFormatPr defaultRowHeight="15"/>
  <cols>
    <col min="1" max="1" width="28" customWidth="1"/>
    <col min="2" max="2" width="26" customWidth="1"/>
    <col min="3" max="3" width="25.85546875" customWidth="1"/>
    <col min="4" max="4" width="13.85546875" customWidth="1"/>
    <col min="5" max="5" width="18.5703125" customWidth="1"/>
    <col min="6" max="6" width="10.5703125" bestFit="1" customWidth="1"/>
    <col min="7" max="7" width="42.85546875" customWidth="1"/>
  </cols>
  <sheetData>
    <row r="1" spans="1:7" ht="15.75" thickBot="1"/>
    <row r="2" spans="1:7" ht="48" customHeight="1" thickTop="1" thickBot="1">
      <c r="A2" s="84" t="s">
        <v>5</v>
      </c>
      <c r="B2" s="81" t="s">
        <v>262</v>
      </c>
      <c r="C2" s="81" t="s">
        <v>7</v>
      </c>
      <c r="D2" s="82" t="s">
        <v>263</v>
      </c>
      <c r="E2" s="83" t="s">
        <v>17</v>
      </c>
      <c r="F2" s="83" t="s">
        <v>264</v>
      </c>
      <c r="G2" s="81" t="s">
        <v>10</v>
      </c>
    </row>
    <row r="3" spans="1:7">
      <c r="A3" t="s">
        <v>27</v>
      </c>
      <c r="B3" s="11" t="s">
        <v>28</v>
      </c>
      <c r="C3" s="12" t="s">
        <v>29</v>
      </c>
      <c r="D3" s="15">
        <v>77.552935132499996</v>
      </c>
      <c r="E3" s="15">
        <v>40.07</v>
      </c>
      <c r="F3" t="s">
        <v>33</v>
      </c>
      <c r="G3" s="13" t="s">
        <v>32</v>
      </c>
    </row>
    <row r="4" spans="1:7">
      <c r="A4" t="s">
        <v>41</v>
      </c>
      <c r="B4" s="11" t="s">
        <v>42</v>
      </c>
      <c r="C4" s="12" t="s">
        <v>43</v>
      </c>
      <c r="D4" s="15">
        <v>98.687206908788397</v>
      </c>
      <c r="E4" s="15">
        <v>38.54</v>
      </c>
      <c r="F4" t="s">
        <v>44</v>
      </c>
      <c r="G4" s="13" t="s">
        <v>32</v>
      </c>
    </row>
    <row r="5" spans="1:7">
      <c r="A5" t="s">
        <v>48</v>
      </c>
      <c r="B5" s="11" t="s">
        <v>49</v>
      </c>
      <c r="C5" s="12" t="s">
        <v>50</v>
      </c>
      <c r="D5" s="15">
        <v>54.302193081310008</v>
      </c>
      <c r="E5" s="15">
        <v>7.37</v>
      </c>
      <c r="F5" t="s">
        <v>33</v>
      </c>
      <c r="G5" s="13" t="s">
        <v>32</v>
      </c>
    </row>
    <row r="6" spans="1:7">
      <c r="A6" t="s">
        <v>51</v>
      </c>
      <c r="B6" s="11" t="s">
        <v>52</v>
      </c>
      <c r="C6" s="12" t="s">
        <v>53</v>
      </c>
      <c r="D6" s="15">
        <v>21.469008848816003</v>
      </c>
      <c r="E6" s="15">
        <v>5.63</v>
      </c>
      <c r="F6" t="s">
        <v>33</v>
      </c>
      <c r="G6" s="13" t="s">
        <v>266</v>
      </c>
    </row>
    <row r="7" spans="1:7">
      <c r="A7" t="s">
        <v>55</v>
      </c>
      <c r="B7" s="11" t="s">
        <v>56</v>
      </c>
      <c r="C7" s="12" t="s">
        <v>57</v>
      </c>
      <c r="D7" s="15">
        <v>89.128547920414405</v>
      </c>
      <c r="E7" s="15">
        <v>12.48</v>
      </c>
      <c r="F7" t="s">
        <v>44</v>
      </c>
      <c r="G7" s="13" t="s">
        <v>58</v>
      </c>
    </row>
    <row r="8" spans="1:7">
      <c r="A8" t="s">
        <v>59</v>
      </c>
      <c r="B8" s="11" t="s">
        <v>60</v>
      </c>
      <c r="C8" s="12" t="s">
        <v>61</v>
      </c>
      <c r="D8" s="15">
        <v>94.127792339016295</v>
      </c>
      <c r="E8" s="15">
        <v>30.59</v>
      </c>
      <c r="F8" t="s">
        <v>44</v>
      </c>
      <c r="G8" s="13" t="s">
        <v>32</v>
      </c>
    </row>
    <row r="9" spans="1:7">
      <c r="A9" t="s">
        <v>68</v>
      </c>
      <c r="B9" s="11" t="s">
        <v>69</v>
      </c>
      <c r="C9" s="12" t="s">
        <v>70</v>
      </c>
      <c r="D9" s="15">
        <v>82.139617367040898</v>
      </c>
      <c r="E9" s="15">
        <v>7.04</v>
      </c>
      <c r="F9" t="s">
        <v>44</v>
      </c>
      <c r="G9" s="13" t="s">
        <v>32</v>
      </c>
    </row>
    <row r="10" spans="1:7" ht="30">
      <c r="A10" t="s">
        <v>71</v>
      </c>
      <c r="B10" s="11" t="s">
        <v>72</v>
      </c>
      <c r="C10" s="12" t="s">
        <v>73</v>
      </c>
      <c r="D10" s="15">
        <v>81.042468553199399</v>
      </c>
      <c r="E10" s="15">
        <v>13.91</v>
      </c>
      <c r="F10" t="s">
        <v>44</v>
      </c>
      <c r="G10" s="13" t="s">
        <v>74</v>
      </c>
    </row>
    <row r="11" spans="1:7" ht="30">
      <c r="A11" t="s">
        <v>93</v>
      </c>
      <c r="B11" s="11" t="s">
        <v>94</v>
      </c>
      <c r="C11" s="12" t="s">
        <v>95</v>
      </c>
      <c r="D11" s="15">
        <v>99.907742612744002</v>
      </c>
      <c r="E11" s="15">
        <v>16.02</v>
      </c>
      <c r="F11" t="s">
        <v>33</v>
      </c>
      <c r="G11" s="13" t="s">
        <v>96</v>
      </c>
    </row>
    <row r="12" spans="1:7">
      <c r="A12" t="s">
        <v>97</v>
      </c>
      <c r="B12" s="11" t="s">
        <v>98</v>
      </c>
      <c r="C12" s="12" t="s">
        <v>99</v>
      </c>
      <c r="D12" s="15">
        <v>91.670615012645996</v>
      </c>
      <c r="E12" s="15">
        <v>24.2</v>
      </c>
      <c r="F12" t="s">
        <v>44</v>
      </c>
      <c r="G12" s="13" t="s">
        <v>58</v>
      </c>
    </row>
    <row r="13" spans="1:7">
      <c r="A13" t="s">
        <v>106</v>
      </c>
      <c r="B13" s="11" t="s">
        <v>107</v>
      </c>
      <c r="C13" s="12" t="s">
        <v>108</v>
      </c>
      <c r="D13" s="15">
        <v>45.208826861984988</v>
      </c>
      <c r="E13" s="15">
        <v>32.33</v>
      </c>
      <c r="F13" t="s">
        <v>33</v>
      </c>
      <c r="G13" s="13" t="s">
        <v>32</v>
      </c>
    </row>
    <row r="14" spans="1:7">
      <c r="A14" t="s">
        <v>115</v>
      </c>
      <c r="B14" s="11" t="s">
        <v>116</v>
      </c>
      <c r="C14" s="12" t="s">
        <v>117</v>
      </c>
      <c r="D14" s="15">
        <v>83.301949704859595</v>
      </c>
      <c r="E14" s="15">
        <v>23.15</v>
      </c>
      <c r="F14" t="s">
        <v>44</v>
      </c>
      <c r="G14" s="13" t="s">
        <v>32</v>
      </c>
    </row>
    <row r="15" spans="1:7">
      <c r="A15" t="s">
        <v>143</v>
      </c>
      <c r="B15" s="11" t="s">
        <v>144</v>
      </c>
      <c r="C15" s="12" t="s">
        <v>145</v>
      </c>
      <c r="D15" s="15">
        <v>50.705186214187989</v>
      </c>
      <c r="E15" s="15">
        <v>10.07</v>
      </c>
      <c r="F15" t="s">
        <v>33</v>
      </c>
      <c r="G15" s="13" t="s">
        <v>32</v>
      </c>
    </row>
    <row r="16" spans="1:7">
      <c r="A16" t="s">
        <v>146</v>
      </c>
      <c r="B16" s="11" t="s">
        <v>147</v>
      </c>
      <c r="C16" s="12" t="s">
        <v>148</v>
      </c>
      <c r="D16" s="15">
        <v>99.942237441619397</v>
      </c>
      <c r="E16" s="15">
        <v>56.17</v>
      </c>
      <c r="F16" t="s">
        <v>44</v>
      </c>
      <c r="G16" s="13" t="s">
        <v>54</v>
      </c>
    </row>
    <row r="17" spans="1:7">
      <c r="A17" t="s">
        <v>155</v>
      </c>
      <c r="B17" s="11" t="s">
        <v>156</v>
      </c>
      <c r="C17" s="12" t="s">
        <v>157</v>
      </c>
      <c r="D17" s="15">
        <v>97.915102117879997</v>
      </c>
      <c r="E17" s="15">
        <v>51.11</v>
      </c>
      <c r="F17" t="s">
        <v>33</v>
      </c>
      <c r="G17" s="13" t="s">
        <v>32</v>
      </c>
    </row>
    <row r="18" spans="1:7">
      <c r="A18" t="s">
        <v>158</v>
      </c>
      <c r="B18" s="11" t="s">
        <v>159</v>
      </c>
      <c r="C18" s="12" t="s">
        <v>160</v>
      </c>
      <c r="D18" s="15">
        <v>99.999612687302701</v>
      </c>
      <c r="E18" s="15">
        <v>24.52</v>
      </c>
      <c r="F18" t="s">
        <v>44</v>
      </c>
      <c r="G18" s="13" t="s">
        <v>32</v>
      </c>
    </row>
    <row r="19" spans="1:7">
      <c r="A19" t="s">
        <v>164</v>
      </c>
      <c r="B19" s="11" t="s">
        <v>165</v>
      </c>
      <c r="C19" s="12" t="s">
        <v>166</v>
      </c>
      <c r="D19" s="15">
        <v>94.5643199295465</v>
      </c>
      <c r="E19" s="15">
        <v>15.33</v>
      </c>
      <c r="F19" t="s">
        <v>44</v>
      </c>
      <c r="G19" s="13" t="s">
        <v>32</v>
      </c>
    </row>
    <row r="20" spans="1:7" ht="30">
      <c r="A20" t="s">
        <v>167</v>
      </c>
      <c r="B20" s="11" t="s">
        <v>168</v>
      </c>
      <c r="C20" s="12" t="s">
        <v>169</v>
      </c>
      <c r="D20" s="15">
        <v>91.053378776625905</v>
      </c>
      <c r="E20" s="15">
        <v>15.35</v>
      </c>
      <c r="F20" t="s">
        <v>44</v>
      </c>
      <c r="G20" s="13" t="s">
        <v>170</v>
      </c>
    </row>
    <row r="21" spans="1:7">
      <c r="A21" t="s">
        <v>174</v>
      </c>
      <c r="B21" s="11" t="s">
        <v>174</v>
      </c>
      <c r="C21" s="12" t="s">
        <v>175</v>
      </c>
      <c r="D21" s="15">
        <v>84.732528984479202</v>
      </c>
      <c r="E21" s="15">
        <v>62.87</v>
      </c>
      <c r="F21" t="s">
        <v>44</v>
      </c>
      <c r="G21" s="13" t="s">
        <v>32</v>
      </c>
    </row>
    <row r="22" spans="1:7">
      <c r="A22" t="s">
        <v>176</v>
      </c>
      <c r="B22" s="11" t="s">
        <v>177</v>
      </c>
      <c r="C22" s="12" t="s">
        <v>178</v>
      </c>
      <c r="D22" s="15">
        <v>70.4061244004602</v>
      </c>
      <c r="E22" s="15">
        <v>42.72</v>
      </c>
      <c r="F22" t="s">
        <v>44</v>
      </c>
      <c r="G22" s="13" t="s">
        <v>32</v>
      </c>
    </row>
    <row r="23" spans="1:7">
      <c r="A23" t="s">
        <v>188</v>
      </c>
      <c r="B23" s="11" t="s">
        <v>189</v>
      </c>
      <c r="C23" s="12" t="s">
        <v>190</v>
      </c>
      <c r="D23" s="15">
        <v>95.099227784182006</v>
      </c>
      <c r="E23" s="15">
        <v>60.65</v>
      </c>
      <c r="F23" t="s">
        <v>33</v>
      </c>
      <c r="G23" s="13" t="s">
        <v>32</v>
      </c>
    </row>
    <row r="24" spans="1:7">
      <c r="A24" t="s">
        <v>194</v>
      </c>
      <c r="B24" s="11" t="s">
        <v>195</v>
      </c>
      <c r="C24" s="12" t="s">
        <v>196</v>
      </c>
      <c r="D24" s="15">
        <v>78.8208924822558</v>
      </c>
      <c r="E24" s="15">
        <v>42.8</v>
      </c>
      <c r="F24" t="s">
        <v>44</v>
      </c>
      <c r="G24" s="13" t="s">
        <v>32</v>
      </c>
    </row>
    <row r="25" spans="1:7">
      <c r="A25" t="s">
        <v>213</v>
      </c>
      <c r="B25" s="11" t="s">
        <v>214</v>
      </c>
      <c r="C25" s="12" t="s">
        <v>215</v>
      </c>
      <c r="D25" s="15">
        <v>92.527301800235605</v>
      </c>
      <c r="E25" s="15">
        <v>80.2</v>
      </c>
      <c r="F25" t="s">
        <v>44</v>
      </c>
      <c r="G25" s="13" t="s">
        <v>32</v>
      </c>
    </row>
    <row r="26" spans="1:7">
      <c r="A26" t="s">
        <v>219</v>
      </c>
      <c r="B26" s="11" t="s">
        <v>220</v>
      </c>
      <c r="C26" s="12" t="s">
        <v>221</v>
      </c>
      <c r="D26" s="15">
        <v>95.283392193610496</v>
      </c>
      <c r="E26" s="15">
        <v>66.39</v>
      </c>
      <c r="F26" t="s">
        <v>44</v>
      </c>
      <c r="G26" s="13" t="s">
        <v>32</v>
      </c>
    </row>
    <row r="27" spans="1:7">
      <c r="A27" t="s">
        <v>222</v>
      </c>
      <c r="B27" s="11" t="s">
        <v>223</v>
      </c>
      <c r="C27" s="12" t="s">
        <v>224</v>
      </c>
      <c r="D27" s="15">
        <v>96.052848876930994</v>
      </c>
      <c r="E27" s="15">
        <v>24.78</v>
      </c>
      <c r="F27" t="s">
        <v>33</v>
      </c>
      <c r="G27" s="13" t="s">
        <v>32</v>
      </c>
    </row>
    <row r="28" spans="1:7">
      <c r="A28" t="s">
        <v>228</v>
      </c>
      <c r="B28" s="11" t="s">
        <v>229</v>
      </c>
      <c r="C28" s="12" t="s">
        <v>230</v>
      </c>
      <c r="D28" s="15">
        <v>84.393742100205003</v>
      </c>
      <c r="E28" s="15">
        <v>27.2</v>
      </c>
      <c r="F28" t="s">
        <v>33</v>
      </c>
      <c r="G28" s="13" t="s">
        <v>32</v>
      </c>
    </row>
    <row r="29" spans="1:7">
      <c r="A29" t="s">
        <v>231</v>
      </c>
      <c r="B29" s="11" t="s">
        <v>232</v>
      </c>
      <c r="C29" s="12" t="s">
        <v>233</v>
      </c>
      <c r="D29" s="15">
        <v>92.964326353865204</v>
      </c>
      <c r="E29" s="15">
        <v>40.39</v>
      </c>
      <c r="F29" t="s">
        <v>44</v>
      </c>
      <c r="G29" s="13" t="s">
        <v>54</v>
      </c>
    </row>
    <row r="30" spans="1:7">
      <c r="A30" t="s">
        <v>234</v>
      </c>
      <c r="B30" s="11" t="s">
        <v>235</v>
      </c>
      <c r="C30" s="12" t="s">
        <v>236</v>
      </c>
      <c r="D30" s="15">
        <v>82.568656253979995</v>
      </c>
      <c r="E30" s="15">
        <v>18.39</v>
      </c>
      <c r="F30" t="s">
        <v>33</v>
      </c>
      <c r="G30" s="13" t="s">
        <v>54</v>
      </c>
    </row>
    <row r="31" spans="1:7">
      <c r="A31" t="s">
        <v>243</v>
      </c>
      <c r="B31" s="11" t="s">
        <v>244</v>
      </c>
      <c r="C31" s="12" t="s">
        <v>245</v>
      </c>
      <c r="D31" s="15">
        <v>97.444759320958596</v>
      </c>
      <c r="E31" s="15">
        <v>7.76</v>
      </c>
      <c r="F31" t="s">
        <v>44</v>
      </c>
      <c r="G31" s="13" t="s">
        <v>32</v>
      </c>
    </row>
    <row r="32" spans="1:7">
      <c r="A32" t="s">
        <v>249</v>
      </c>
      <c r="B32" s="11" t="s">
        <v>250</v>
      </c>
      <c r="C32" s="12" t="s">
        <v>251</v>
      </c>
      <c r="D32" s="15">
        <v>99.400150478273005</v>
      </c>
      <c r="E32" s="15">
        <v>8.67</v>
      </c>
      <c r="F32" t="s">
        <v>33</v>
      </c>
      <c r="G32" s="13" t="s">
        <v>252</v>
      </c>
    </row>
    <row r="33" spans="1:7">
      <c r="A33" t="s">
        <v>259</v>
      </c>
      <c r="B33" s="11" t="s">
        <v>260</v>
      </c>
      <c r="C33" s="12" t="s">
        <v>261</v>
      </c>
      <c r="D33" s="15">
        <v>66.182999381964009</v>
      </c>
      <c r="E33" s="15">
        <v>21.76</v>
      </c>
      <c r="F33" t="s">
        <v>33</v>
      </c>
      <c r="G33" s="13" t="s">
        <v>32</v>
      </c>
    </row>
    <row r="34" spans="1:7">
      <c r="F34" s="1"/>
    </row>
    <row r="35" spans="1:7">
      <c r="C35" s="21" t="s">
        <v>265</v>
      </c>
      <c r="D35" s="22">
        <f>AVERAGE(D3:D33)</f>
        <v>83.503086836189752</v>
      </c>
      <c r="F35" s="1"/>
    </row>
    <row r="36" spans="1:7">
      <c r="F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F21" sqref="F21"/>
    </sheetView>
  </sheetViews>
  <sheetFormatPr defaultRowHeight="15"/>
  <cols>
    <col min="1" max="1" width="28" customWidth="1"/>
    <col min="2" max="2" width="25.85546875" bestFit="1" customWidth="1"/>
    <col min="3" max="3" width="25.85546875" customWidth="1"/>
    <col min="4" max="4" width="13.85546875" customWidth="1"/>
    <col min="5" max="5" width="16.5703125" customWidth="1"/>
    <col min="6" max="6" width="10.5703125" bestFit="1" customWidth="1"/>
    <col min="7" max="7" width="42.85546875" customWidth="1"/>
  </cols>
  <sheetData>
    <row r="1" spans="1:7" ht="15.75" thickBot="1"/>
    <row r="2" spans="1:7" ht="45.75" customHeight="1" thickTop="1" thickBot="1">
      <c r="A2" s="84" t="s">
        <v>5</v>
      </c>
      <c r="B2" s="81" t="s">
        <v>262</v>
      </c>
      <c r="C2" s="81" t="s">
        <v>7</v>
      </c>
      <c r="D2" s="82" t="s">
        <v>263</v>
      </c>
      <c r="E2" s="83" t="s">
        <v>17</v>
      </c>
      <c r="F2" s="83" t="s">
        <v>264</v>
      </c>
      <c r="G2" s="81" t="s">
        <v>10</v>
      </c>
    </row>
    <row r="3" spans="1:7">
      <c r="A3" t="s">
        <v>55</v>
      </c>
      <c r="B3" s="11" t="s">
        <v>56</v>
      </c>
      <c r="C3" s="12" t="s">
        <v>57</v>
      </c>
      <c r="D3" s="15">
        <v>89.128547920414405</v>
      </c>
      <c r="E3" s="15">
        <v>12.48</v>
      </c>
      <c r="F3" t="s">
        <v>44</v>
      </c>
      <c r="G3" s="13" t="s">
        <v>58</v>
      </c>
    </row>
    <row r="4" spans="1:7" ht="30">
      <c r="A4" t="s">
        <v>71</v>
      </c>
      <c r="B4" s="11" t="s">
        <v>72</v>
      </c>
      <c r="C4" s="12" t="s">
        <v>73</v>
      </c>
      <c r="D4" s="15">
        <v>81.042468553199399</v>
      </c>
      <c r="E4" s="15">
        <v>13.91</v>
      </c>
      <c r="F4" t="s">
        <v>44</v>
      </c>
      <c r="G4" s="13" t="s">
        <v>74</v>
      </c>
    </row>
    <row r="5" spans="1:7">
      <c r="A5" t="s">
        <v>75</v>
      </c>
      <c r="B5" s="11" t="s">
        <v>76</v>
      </c>
      <c r="C5" s="12" t="s">
        <v>77</v>
      </c>
      <c r="D5" s="15">
        <v>79.615340278928201</v>
      </c>
      <c r="E5" s="15">
        <v>30.54</v>
      </c>
      <c r="F5" t="s">
        <v>44</v>
      </c>
      <c r="G5" s="13" t="s">
        <v>32</v>
      </c>
    </row>
    <row r="6" spans="1:7">
      <c r="A6" t="s">
        <v>81</v>
      </c>
      <c r="B6" s="11" t="s">
        <v>82</v>
      </c>
      <c r="C6" s="12" t="s">
        <v>83</v>
      </c>
      <c r="D6" s="15">
        <v>76.383322660449195</v>
      </c>
      <c r="E6" s="15">
        <v>32.35</v>
      </c>
      <c r="F6" t="s">
        <v>44</v>
      </c>
      <c r="G6" s="13" t="s">
        <v>32</v>
      </c>
    </row>
    <row r="7" spans="1:7">
      <c r="A7" t="s">
        <v>87</v>
      </c>
      <c r="B7" s="11" t="s">
        <v>88</v>
      </c>
      <c r="C7" s="12" t="s">
        <v>89</v>
      </c>
      <c r="D7" s="15">
        <v>74.2538270216494</v>
      </c>
      <c r="E7" s="15">
        <v>6.3</v>
      </c>
      <c r="F7" t="s">
        <v>44</v>
      </c>
      <c r="G7" s="13" t="s">
        <v>54</v>
      </c>
    </row>
    <row r="8" spans="1:7">
      <c r="A8" t="s">
        <v>97</v>
      </c>
      <c r="B8" s="11" t="s">
        <v>98</v>
      </c>
      <c r="C8" s="12" t="s">
        <v>99</v>
      </c>
      <c r="D8" s="15">
        <v>91.670615012645996</v>
      </c>
      <c r="E8" s="15">
        <v>24.2</v>
      </c>
      <c r="F8" t="s">
        <v>44</v>
      </c>
      <c r="G8" s="13" t="s">
        <v>58</v>
      </c>
    </row>
    <row r="9" spans="1:7">
      <c r="A9" t="s">
        <v>131</v>
      </c>
      <c r="B9" s="11" t="s">
        <v>132</v>
      </c>
      <c r="C9" s="12" t="s">
        <v>133</v>
      </c>
      <c r="D9" s="15">
        <v>74.962756114270704</v>
      </c>
      <c r="E9" s="15">
        <v>15.93</v>
      </c>
      <c r="F9" t="s">
        <v>44</v>
      </c>
      <c r="G9" s="13" t="s">
        <v>32</v>
      </c>
    </row>
    <row r="10" spans="1:7">
      <c r="A10" t="s">
        <v>182</v>
      </c>
      <c r="B10" s="11" t="s">
        <v>183</v>
      </c>
      <c r="C10" s="12" t="s">
        <v>184</v>
      </c>
      <c r="D10" s="15">
        <v>93.8683708682385</v>
      </c>
      <c r="E10" s="15">
        <v>36.74</v>
      </c>
      <c r="F10" t="s">
        <v>44</v>
      </c>
      <c r="G10" s="13" t="s">
        <v>32</v>
      </c>
    </row>
    <row r="11" spans="1:7">
      <c r="A11" t="s">
        <v>185</v>
      </c>
      <c r="B11" s="11" t="s">
        <v>186</v>
      </c>
      <c r="C11" s="12" t="s">
        <v>187</v>
      </c>
      <c r="D11" s="15">
        <v>98.9766426713838</v>
      </c>
      <c r="E11" s="15">
        <v>39.06</v>
      </c>
      <c r="F11" t="s">
        <v>44</v>
      </c>
      <c r="G11" s="13" t="s">
        <v>32</v>
      </c>
    </row>
    <row r="12" spans="1:7">
      <c r="A12" t="s">
        <v>213</v>
      </c>
      <c r="B12" s="11" t="s">
        <v>214</v>
      </c>
      <c r="C12" s="12" t="s">
        <v>215</v>
      </c>
      <c r="D12" s="15">
        <v>92.527301800235605</v>
      </c>
      <c r="E12" s="15">
        <v>80.2</v>
      </c>
      <c r="F12" t="s">
        <v>44</v>
      </c>
      <c r="G12" s="13" t="s">
        <v>32</v>
      </c>
    </row>
    <row r="13" spans="1:7">
      <c r="A13" t="s">
        <v>231</v>
      </c>
      <c r="B13" s="11" t="s">
        <v>232</v>
      </c>
      <c r="C13" s="12" t="s">
        <v>233</v>
      </c>
      <c r="D13" s="15">
        <v>92.964326353865204</v>
      </c>
      <c r="E13" s="15">
        <v>40.39</v>
      </c>
      <c r="F13" t="s">
        <v>44</v>
      </c>
      <c r="G13" s="13" t="s">
        <v>54</v>
      </c>
    </row>
    <row r="14" spans="1:7">
      <c r="A14" t="s">
        <v>240</v>
      </c>
      <c r="B14" s="11" t="s">
        <v>241</v>
      </c>
      <c r="C14" s="12" t="s">
        <v>242</v>
      </c>
      <c r="D14" s="15">
        <v>92.938424888763606</v>
      </c>
      <c r="E14" s="15">
        <v>47.19</v>
      </c>
      <c r="F14" t="s">
        <v>44</v>
      </c>
      <c r="G14" s="13" t="s">
        <v>32</v>
      </c>
    </row>
    <row r="15" spans="1:7">
      <c r="A15" t="s">
        <v>246</v>
      </c>
      <c r="B15" s="11" t="s">
        <v>247</v>
      </c>
      <c r="C15" s="12" t="s">
        <v>248</v>
      </c>
      <c r="D15" s="15">
        <v>96.9931564605766</v>
      </c>
      <c r="E15" s="15">
        <v>31.54</v>
      </c>
      <c r="F15" t="s">
        <v>44</v>
      </c>
      <c r="G15" s="13" t="s">
        <v>32</v>
      </c>
    </row>
    <row r="16" spans="1:7">
      <c r="F16" s="1"/>
    </row>
    <row r="17" spans="3:6">
      <c r="C17" s="21" t="s">
        <v>265</v>
      </c>
      <c r="D17" s="22">
        <f>AVERAGE(D3:D15)</f>
        <v>87.332700046509274</v>
      </c>
      <c r="F17" s="1"/>
    </row>
    <row r="18" spans="3:6">
      <c r="F18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selection activeCell="G32" sqref="G32"/>
    </sheetView>
  </sheetViews>
  <sheetFormatPr defaultRowHeight="15"/>
  <cols>
    <col min="1" max="1" width="28" customWidth="1"/>
    <col min="2" max="2" width="25.85546875" bestFit="1" customWidth="1"/>
    <col min="3" max="3" width="25.85546875" customWidth="1"/>
    <col min="4" max="4" width="13.85546875" customWidth="1"/>
    <col min="5" max="5" width="16.5703125" customWidth="1"/>
    <col min="6" max="6" width="10.5703125" bestFit="1" customWidth="1"/>
    <col min="7" max="7" width="42.85546875" customWidth="1"/>
  </cols>
  <sheetData>
    <row r="1" spans="1:7" ht="15.75" thickBot="1"/>
    <row r="2" spans="1:7" ht="50.25" customHeight="1" thickTop="1" thickBot="1">
      <c r="A2" s="84" t="s">
        <v>5</v>
      </c>
      <c r="B2" s="81" t="s">
        <v>262</v>
      </c>
      <c r="C2" s="81" t="s">
        <v>7</v>
      </c>
      <c r="D2" s="82" t="s">
        <v>263</v>
      </c>
      <c r="E2" s="83" t="s">
        <v>17</v>
      </c>
      <c r="F2" s="83" t="s">
        <v>264</v>
      </c>
      <c r="G2" s="81" t="s">
        <v>10</v>
      </c>
    </row>
    <row r="3" spans="1:7" ht="30">
      <c r="A3" t="s">
        <v>71</v>
      </c>
      <c r="B3" s="11" t="s">
        <v>72</v>
      </c>
      <c r="C3" s="12" t="s">
        <v>73</v>
      </c>
      <c r="D3" s="15">
        <v>81.042468553199399</v>
      </c>
      <c r="E3" s="15">
        <v>13.91</v>
      </c>
      <c r="F3" t="s">
        <v>44</v>
      </c>
      <c r="G3" s="13" t="s">
        <v>74</v>
      </c>
    </row>
    <row r="4" spans="1:7">
      <c r="A4" t="s">
        <v>87</v>
      </c>
      <c r="B4" s="11" t="s">
        <v>88</v>
      </c>
      <c r="C4" s="12" t="s">
        <v>89</v>
      </c>
      <c r="D4" s="15">
        <v>74.2538270216494</v>
      </c>
      <c r="E4" s="15">
        <v>6.3</v>
      </c>
      <c r="F4" t="s">
        <v>44</v>
      </c>
      <c r="G4" s="13" t="s">
        <v>54</v>
      </c>
    </row>
    <row r="5" spans="1:7">
      <c r="A5" t="s">
        <v>131</v>
      </c>
      <c r="B5" s="11" t="s">
        <v>132</v>
      </c>
      <c r="C5" s="12" t="s">
        <v>133</v>
      </c>
      <c r="D5" s="15">
        <v>74.962756114270704</v>
      </c>
      <c r="E5" s="15">
        <v>15.93</v>
      </c>
      <c r="F5" t="s">
        <v>44</v>
      </c>
      <c r="G5" s="13" t="s">
        <v>32</v>
      </c>
    </row>
    <row r="6" spans="1:7">
      <c r="A6" t="s">
        <v>137</v>
      </c>
      <c r="B6" s="11" t="s">
        <v>138</v>
      </c>
      <c r="C6" s="12" t="s">
        <v>139</v>
      </c>
      <c r="D6" s="15">
        <v>96.495885653847395</v>
      </c>
      <c r="E6" s="15">
        <v>8.69</v>
      </c>
      <c r="F6" t="s">
        <v>44</v>
      </c>
      <c r="G6" s="13" t="s">
        <v>32</v>
      </c>
    </row>
    <row r="7" spans="1:7">
      <c r="A7" t="s">
        <v>140</v>
      </c>
      <c r="B7" s="11" t="s">
        <v>141</v>
      </c>
      <c r="C7" s="12" t="s">
        <v>142</v>
      </c>
      <c r="D7" s="15">
        <v>83.178207242120493</v>
      </c>
      <c r="E7" s="15">
        <v>70.849999999999994</v>
      </c>
      <c r="F7" t="s">
        <v>44</v>
      </c>
      <c r="G7" s="13" t="s">
        <v>32</v>
      </c>
    </row>
    <row r="8" spans="1:7">
      <c r="A8" t="s">
        <v>155</v>
      </c>
      <c r="B8" s="11" t="s">
        <v>156</v>
      </c>
      <c r="C8" s="12" t="s">
        <v>157</v>
      </c>
      <c r="D8" s="15">
        <v>97.915102117879997</v>
      </c>
      <c r="E8" s="15">
        <v>51.11</v>
      </c>
      <c r="F8" t="s">
        <v>33</v>
      </c>
      <c r="G8" s="13" t="s">
        <v>32</v>
      </c>
    </row>
    <row r="9" spans="1:7">
      <c r="A9" t="s">
        <v>174</v>
      </c>
      <c r="B9" s="11" t="s">
        <v>174</v>
      </c>
      <c r="C9" s="12" t="s">
        <v>175</v>
      </c>
      <c r="D9" s="15">
        <v>84.732528984479202</v>
      </c>
      <c r="E9" s="15">
        <v>62.87</v>
      </c>
      <c r="F9" t="s">
        <v>44</v>
      </c>
      <c r="G9" s="13" t="s">
        <v>32</v>
      </c>
    </row>
    <row r="10" spans="1:7">
      <c r="A10" t="s">
        <v>213</v>
      </c>
      <c r="B10" s="11" t="s">
        <v>214</v>
      </c>
      <c r="C10" s="12" t="s">
        <v>215</v>
      </c>
      <c r="D10" s="15">
        <v>92.527301800235605</v>
      </c>
      <c r="E10" s="15">
        <v>80.2</v>
      </c>
      <c r="F10" t="s">
        <v>44</v>
      </c>
      <c r="G10" s="13" t="s">
        <v>32</v>
      </c>
    </row>
    <row r="11" spans="1:7">
      <c r="A11" t="s">
        <v>231</v>
      </c>
      <c r="B11" s="11" t="s">
        <v>232</v>
      </c>
      <c r="C11" s="12" t="s">
        <v>233</v>
      </c>
      <c r="D11" s="15">
        <v>92.964326353865204</v>
      </c>
      <c r="E11" s="15">
        <v>40.39</v>
      </c>
      <c r="F11" t="s">
        <v>44</v>
      </c>
      <c r="G11" s="13" t="s">
        <v>54</v>
      </c>
    </row>
    <row r="12" spans="1:7">
      <c r="A12" t="s">
        <v>246</v>
      </c>
      <c r="B12" s="11" t="s">
        <v>247</v>
      </c>
      <c r="C12" s="12" t="s">
        <v>248</v>
      </c>
      <c r="D12" s="15">
        <v>96.9931564605766</v>
      </c>
      <c r="E12" s="15">
        <v>31.54</v>
      </c>
      <c r="F12" t="s">
        <v>44</v>
      </c>
      <c r="G12" s="13" t="s">
        <v>32</v>
      </c>
    </row>
    <row r="13" spans="1:7">
      <c r="F13" s="1"/>
    </row>
    <row r="14" spans="1:7">
      <c r="C14" s="21" t="s">
        <v>265</v>
      </c>
      <c r="D14" s="22">
        <f>AVERAGE(D3:D12)</f>
        <v>87.506556030212408</v>
      </c>
      <c r="F14" s="1"/>
    </row>
    <row r="15" spans="1:7">
      <c r="F1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A5" sqref="A5:XFD5"/>
    </sheetView>
  </sheetViews>
  <sheetFormatPr defaultRowHeight="15"/>
  <cols>
    <col min="1" max="1" width="28" customWidth="1"/>
    <col min="2" max="2" width="25.85546875" bestFit="1" customWidth="1"/>
    <col min="3" max="3" width="25.85546875" customWidth="1"/>
    <col min="4" max="4" width="13.85546875" customWidth="1"/>
    <col min="5" max="5" width="16.5703125" customWidth="1"/>
    <col min="6" max="6" width="10.5703125" bestFit="1" customWidth="1"/>
    <col min="7" max="7" width="42.85546875" customWidth="1"/>
  </cols>
  <sheetData>
    <row r="1" spans="1:7" ht="15.75" thickBot="1"/>
    <row r="2" spans="1:7" ht="45.75" customHeight="1" thickTop="1" thickBot="1">
      <c r="A2" s="84" t="s">
        <v>5</v>
      </c>
      <c r="B2" s="81" t="s">
        <v>262</v>
      </c>
      <c r="C2" s="81" t="s">
        <v>7</v>
      </c>
      <c r="D2" s="82" t="s">
        <v>263</v>
      </c>
      <c r="E2" s="83" t="s">
        <v>17</v>
      </c>
      <c r="F2" s="83" t="s">
        <v>264</v>
      </c>
      <c r="G2" s="81" t="s">
        <v>10</v>
      </c>
    </row>
    <row r="3" spans="1:7">
      <c r="A3" t="s">
        <v>65</v>
      </c>
      <c r="B3" s="11" t="s">
        <v>66</v>
      </c>
      <c r="C3" s="12" t="s">
        <v>67</v>
      </c>
      <c r="D3" s="15">
        <v>98.863980453962</v>
      </c>
      <c r="E3" s="15">
        <v>30.37</v>
      </c>
      <c r="F3" t="s">
        <v>33</v>
      </c>
      <c r="G3" s="13" t="s">
        <v>32</v>
      </c>
    </row>
    <row r="4" spans="1:7">
      <c r="A4" t="s">
        <v>78</v>
      </c>
      <c r="B4" s="11" t="s">
        <v>79</v>
      </c>
      <c r="C4" s="12" t="s">
        <v>80</v>
      </c>
      <c r="D4" s="15">
        <v>99.834311144336993</v>
      </c>
      <c r="E4" s="15">
        <v>14.3</v>
      </c>
      <c r="F4" t="s">
        <v>44</v>
      </c>
      <c r="G4" s="13" t="s">
        <v>32</v>
      </c>
    </row>
    <row r="5" spans="1:7">
      <c r="A5" t="s">
        <v>81</v>
      </c>
      <c r="B5" s="11" t="s">
        <v>82</v>
      </c>
      <c r="C5" s="12" t="s">
        <v>83</v>
      </c>
      <c r="D5" s="15">
        <v>76.383322660449195</v>
      </c>
      <c r="E5" s="15">
        <v>32.35</v>
      </c>
      <c r="F5" t="s">
        <v>44</v>
      </c>
      <c r="G5" s="13" t="s">
        <v>32</v>
      </c>
    </row>
    <row r="6" spans="1:7">
      <c r="A6" t="s">
        <v>87</v>
      </c>
      <c r="B6" s="11" t="s">
        <v>88</v>
      </c>
      <c r="C6" s="12" t="s">
        <v>89</v>
      </c>
      <c r="D6" s="15">
        <v>74.2538270216494</v>
      </c>
      <c r="E6" s="15">
        <v>6.3</v>
      </c>
      <c r="F6" t="s">
        <v>44</v>
      </c>
      <c r="G6" s="13" t="s">
        <v>54</v>
      </c>
    </row>
    <row r="7" spans="1:7">
      <c r="A7" t="s">
        <v>109</v>
      </c>
      <c r="B7" s="11" t="s">
        <v>110</v>
      </c>
      <c r="C7" s="12" t="s">
        <v>111</v>
      </c>
      <c r="D7" s="15">
        <v>97.944143163334999</v>
      </c>
      <c r="E7" s="15">
        <v>60.3</v>
      </c>
      <c r="F7" t="s">
        <v>33</v>
      </c>
      <c r="G7" s="13" t="s">
        <v>32</v>
      </c>
    </row>
    <row r="8" spans="1:7">
      <c r="A8" t="s">
        <v>125</v>
      </c>
      <c r="B8" s="11" t="s">
        <v>126</v>
      </c>
      <c r="C8" s="12" t="s">
        <v>127</v>
      </c>
      <c r="D8" s="15">
        <v>81.0266516087799</v>
      </c>
      <c r="E8" s="15">
        <v>6.17</v>
      </c>
      <c r="F8" t="s">
        <v>44</v>
      </c>
      <c r="G8" s="13" t="s">
        <v>32</v>
      </c>
    </row>
    <row r="9" spans="1:7">
      <c r="A9" t="s">
        <v>134</v>
      </c>
      <c r="B9" s="11" t="s">
        <v>135</v>
      </c>
      <c r="C9" s="12" t="s">
        <v>136</v>
      </c>
      <c r="D9" s="15">
        <v>84.321823868320806</v>
      </c>
      <c r="E9" s="15">
        <v>82.83</v>
      </c>
      <c r="F9" t="s">
        <v>44</v>
      </c>
      <c r="G9" s="13" t="s">
        <v>32</v>
      </c>
    </row>
    <row r="10" spans="1:7">
      <c r="A10" t="s">
        <v>137</v>
      </c>
      <c r="B10" s="11" t="s">
        <v>138</v>
      </c>
      <c r="C10" s="12" t="s">
        <v>139</v>
      </c>
      <c r="D10" s="15">
        <v>96.495885653847395</v>
      </c>
      <c r="E10" s="15">
        <v>8.69</v>
      </c>
      <c r="F10" t="s">
        <v>44</v>
      </c>
      <c r="G10" s="13" t="s">
        <v>32</v>
      </c>
    </row>
    <row r="11" spans="1:7">
      <c r="A11" t="s">
        <v>179</v>
      </c>
      <c r="B11" s="11" t="s">
        <v>180</v>
      </c>
      <c r="C11" s="12" t="s">
        <v>181</v>
      </c>
      <c r="D11" s="15">
        <v>99.255223433517997</v>
      </c>
      <c r="E11" s="15">
        <v>16.59</v>
      </c>
      <c r="F11" t="s">
        <v>33</v>
      </c>
      <c r="G11" s="13" t="s">
        <v>54</v>
      </c>
    </row>
    <row r="12" spans="1:7">
      <c r="A12" t="s">
        <v>185</v>
      </c>
      <c r="B12" s="11" t="s">
        <v>186</v>
      </c>
      <c r="C12" s="12" t="s">
        <v>187</v>
      </c>
      <c r="D12" s="15">
        <v>98.9766426713838</v>
      </c>
      <c r="E12" s="15">
        <v>39.06</v>
      </c>
      <c r="F12" t="s">
        <v>44</v>
      </c>
      <c r="G12" s="13" t="s">
        <v>32</v>
      </c>
    </row>
    <row r="13" spans="1:7">
      <c r="A13" t="s">
        <v>200</v>
      </c>
      <c r="B13" s="11" t="s">
        <v>201</v>
      </c>
      <c r="C13" s="12" t="s">
        <v>202</v>
      </c>
      <c r="D13" s="15">
        <v>72.324093096370405</v>
      </c>
      <c r="E13" s="15">
        <v>23.2</v>
      </c>
      <c r="F13" t="s">
        <v>44</v>
      </c>
      <c r="G13" s="13" t="s">
        <v>32</v>
      </c>
    </row>
    <row r="14" spans="1:7">
      <c r="A14" t="s">
        <v>240</v>
      </c>
      <c r="B14" s="11" t="s">
        <v>241</v>
      </c>
      <c r="C14" s="12" t="s">
        <v>242</v>
      </c>
      <c r="D14" s="15">
        <v>92.938424888763606</v>
      </c>
      <c r="E14" s="15">
        <v>47.19</v>
      </c>
      <c r="F14" t="s">
        <v>44</v>
      </c>
      <c r="G14" s="13" t="s">
        <v>32</v>
      </c>
    </row>
    <row r="15" spans="1:7">
      <c r="F15" s="1"/>
    </row>
    <row r="16" spans="1:7">
      <c r="C16" s="21" t="s">
        <v>265</v>
      </c>
      <c r="D16" s="22">
        <f>AVERAGE(D3:D14)</f>
        <v>89.384860805393046</v>
      </c>
      <c r="F16" s="1"/>
    </row>
    <row r="17" spans="6:6">
      <c r="F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topLeftCell="A3" workbookViewId="0">
      <selection activeCell="G41" sqref="G41"/>
    </sheetView>
  </sheetViews>
  <sheetFormatPr defaultRowHeight="15"/>
  <cols>
    <col min="1" max="1" width="28" customWidth="1"/>
    <col min="2" max="2" width="25.85546875" bestFit="1" customWidth="1"/>
    <col min="3" max="3" width="25.85546875" customWidth="1"/>
    <col min="4" max="4" width="13.85546875" customWidth="1"/>
    <col min="5" max="5" width="16.5703125" customWidth="1"/>
    <col min="6" max="6" width="10.5703125" bestFit="1" customWidth="1"/>
    <col min="7" max="7" width="42.85546875" customWidth="1"/>
  </cols>
  <sheetData>
    <row r="1" spans="1:7" ht="15.75" thickBot="1"/>
    <row r="2" spans="1:7" ht="51.75" customHeight="1" thickTop="1" thickBot="1">
      <c r="A2" s="84" t="s">
        <v>5</v>
      </c>
      <c r="B2" s="81" t="s">
        <v>262</v>
      </c>
      <c r="C2" s="81" t="s">
        <v>7</v>
      </c>
      <c r="D2" s="82" t="s">
        <v>263</v>
      </c>
      <c r="E2" s="83" t="s">
        <v>17</v>
      </c>
      <c r="F2" s="83" t="s">
        <v>264</v>
      </c>
      <c r="G2" s="81" t="s">
        <v>10</v>
      </c>
    </row>
    <row r="3" spans="1:7">
      <c r="A3" t="s">
        <v>51</v>
      </c>
      <c r="B3" s="11" t="s">
        <v>52</v>
      </c>
      <c r="C3" s="12" t="s">
        <v>53</v>
      </c>
      <c r="D3" s="15">
        <v>21.469008848816003</v>
      </c>
      <c r="E3" s="15">
        <v>5.63</v>
      </c>
      <c r="F3" t="s">
        <v>33</v>
      </c>
      <c r="G3" s="13" t="s">
        <v>266</v>
      </c>
    </row>
    <row r="4" spans="1:7">
      <c r="A4" t="s">
        <v>55</v>
      </c>
      <c r="B4" s="11" t="s">
        <v>56</v>
      </c>
      <c r="C4" s="12" t="s">
        <v>57</v>
      </c>
      <c r="D4" s="15">
        <v>89.128547920414405</v>
      </c>
      <c r="E4" s="15">
        <v>12.48</v>
      </c>
      <c r="F4" t="s">
        <v>44</v>
      </c>
      <c r="G4" s="13" t="s">
        <v>58</v>
      </c>
    </row>
    <row r="5" spans="1:7" ht="30">
      <c r="A5" t="s">
        <v>71</v>
      </c>
      <c r="B5" s="11" t="s">
        <v>72</v>
      </c>
      <c r="C5" s="12" t="s">
        <v>73</v>
      </c>
      <c r="D5" s="15">
        <v>81.042468553199399</v>
      </c>
      <c r="E5" s="15">
        <v>13.91</v>
      </c>
      <c r="F5" t="s">
        <v>44</v>
      </c>
      <c r="G5" s="13" t="s">
        <v>74</v>
      </c>
    </row>
    <row r="6" spans="1:7">
      <c r="A6" t="s">
        <v>87</v>
      </c>
      <c r="B6" s="11" t="s">
        <v>88</v>
      </c>
      <c r="C6" s="12" t="s">
        <v>89</v>
      </c>
      <c r="D6" s="15">
        <v>74.2538270216494</v>
      </c>
      <c r="E6" s="15">
        <v>6.3</v>
      </c>
      <c r="F6" t="s">
        <v>44</v>
      </c>
      <c r="G6" s="13" t="s">
        <v>54</v>
      </c>
    </row>
    <row r="7" spans="1:7" ht="30">
      <c r="A7" t="s">
        <v>93</v>
      </c>
      <c r="B7" s="11" t="s">
        <v>94</v>
      </c>
      <c r="C7" s="12" t="s">
        <v>95</v>
      </c>
      <c r="D7" s="15">
        <v>99.907742612744002</v>
      </c>
      <c r="E7" s="15">
        <v>16.02</v>
      </c>
      <c r="F7" t="s">
        <v>33</v>
      </c>
      <c r="G7" s="13" t="s">
        <v>96</v>
      </c>
    </row>
    <row r="8" spans="1:7">
      <c r="A8" t="s">
        <v>97</v>
      </c>
      <c r="B8" s="11" t="s">
        <v>98</v>
      </c>
      <c r="C8" s="12" t="s">
        <v>99</v>
      </c>
      <c r="D8" s="15">
        <v>91.670615012645996</v>
      </c>
      <c r="E8" s="15">
        <v>24.2</v>
      </c>
      <c r="F8" t="s">
        <v>44</v>
      </c>
      <c r="G8" s="13" t="s">
        <v>58</v>
      </c>
    </row>
    <row r="9" spans="1:7">
      <c r="A9" t="s">
        <v>112</v>
      </c>
      <c r="B9" s="11" t="s">
        <v>113</v>
      </c>
      <c r="C9" s="12" t="s">
        <v>114</v>
      </c>
      <c r="D9" s="15">
        <v>95.297506240017</v>
      </c>
      <c r="E9" s="15">
        <v>35.83</v>
      </c>
      <c r="F9" t="s">
        <v>33</v>
      </c>
      <c r="G9" s="13" t="s">
        <v>54</v>
      </c>
    </row>
    <row r="10" spans="1:7">
      <c r="A10" t="s">
        <v>146</v>
      </c>
      <c r="B10" s="11" t="s">
        <v>147</v>
      </c>
      <c r="C10" s="12" t="s">
        <v>148</v>
      </c>
      <c r="D10" s="15">
        <v>99.942237441619397</v>
      </c>
      <c r="E10" s="15">
        <v>56.17</v>
      </c>
      <c r="F10" t="s">
        <v>44</v>
      </c>
      <c r="G10" s="13" t="s">
        <v>54</v>
      </c>
    </row>
    <row r="11" spans="1:7" ht="30">
      <c r="A11" t="s">
        <v>167</v>
      </c>
      <c r="B11" s="11" t="s">
        <v>168</v>
      </c>
      <c r="C11" s="12" t="s">
        <v>169</v>
      </c>
      <c r="D11" s="15">
        <v>91.053378776625905</v>
      </c>
      <c r="E11" s="15">
        <v>15.35</v>
      </c>
      <c r="F11" t="s">
        <v>44</v>
      </c>
      <c r="G11" s="13" t="s">
        <v>170</v>
      </c>
    </row>
    <row r="12" spans="1:7">
      <c r="A12" t="s">
        <v>179</v>
      </c>
      <c r="B12" s="11" t="s">
        <v>180</v>
      </c>
      <c r="C12" s="12" t="s">
        <v>181</v>
      </c>
      <c r="D12" s="15">
        <v>99.255223433517997</v>
      </c>
      <c r="E12" s="15">
        <v>16.59</v>
      </c>
      <c r="F12" t="s">
        <v>33</v>
      </c>
      <c r="G12" s="13" t="s">
        <v>54</v>
      </c>
    </row>
    <row r="13" spans="1:7" ht="30">
      <c r="A13" t="s">
        <v>203</v>
      </c>
      <c r="B13" s="11" t="s">
        <v>204</v>
      </c>
      <c r="C13" s="12" t="s">
        <v>205</v>
      </c>
      <c r="D13" s="15">
        <v>60.610479463954</v>
      </c>
      <c r="E13" s="15">
        <v>7.78</v>
      </c>
      <c r="F13" t="s">
        <v>44</v>
      </c>
      <c r="G13" s="13" t="s">
        <v>206</v>
      </c>
    </row>
    <row r="14" spans="1:7">
      <c r="A14" t="s">
        <v>231</v>
      </c>
      <c r="B14" s="11" t="s">
        <v>232</v>
      </c>
      <c r="C14" s="12" t="s">
        <v>233</v>
      </c>
      <c r="D14" s="15">
        <v>92.964326353865204</v>
      </c>
      <c r="E14" s="15">
        <v>40.39</v>
      </c>
      <c r="F14" t="s">
        <v>44</v>
      </c>
      <c r="G14" s="13" t="s">
        <v>54</v>
      </c>
    </row>
    <row r="15" spans="1:7">
      <c r="A15" t="s">
        <v>234</v>
      </c>
      <c r="B15" s="11" t="s">
        <v>235</v>
      </c>
      <c r="C15" s="12" t="s">
        <v>236</v>
      </c>
      <c r="D15" s="15">
        <v>82.568656253979995</v>
      </c>
      <c r="E15" s="15">
        <v>18.39</v>
      </c>
      <c r="F15" t="s">
        <v>33</v>
      </c>
      <c r="G15" s="13" t="s">
        <v>54</v>
      </c>
    </row>
    <row r="16" spans="1:7">
      <c r="A16" t="s">
        <v>249</v>
      </c>
      <c r="B16" s="11" t="s">
        <v>250</v>
      </c>
      <c r="C16" s="12" t="s">
        <v>251</v>
      </c>
      <c r="D16" s="15">
        <v>99.400150478273005</v>
      </c>
      <c r="E16" s="15">
        <v>8.67</v>
      </c>
      <c r="F16" t="s">
        <v>33</v>
      </c>
      <c r="G16" s="13" t="s">
        <v>252</v>
      </c>
    </row>
    <row r="17" spans="3:6">
      <c r="F17" s="1"/>
    </row>
    <row r="18" spans="3:6">
      <c r="C18" s="21" t="s">
        <v>265</v>
      </c>
      <c r="D18" s="22">
        <f>AVERAGE(D3:D16)</f>
        <v>84.183154886522985</v>
      </c>
      <c r="F18" s="1"/>
    </row>
    <row r="19" spans="3:6">
      <c r="F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G45" sqref="G45"/>
    </sheetView>
  </sheetViews>
  <sheetFormatPr defaultRowHeight="15"/>
  <cols>
    <col min="1" max="1" width="28" customWidth="1"/>
    <col min="2" max="2" width="25.85546875" bestFit="1" customWidth="1"/>
    <col min="3" max="3" width="25.85546875" customWidth="1"/>
    <col min="4" max="4" width="13.85546875" customWidth="1"/>
    <col min="5" max="5" width="16.5703125" customWidth="1"/>
    <col min="6" max="6" width="10.5703125" bestFit="1" customWidth="1"/>
    <col min="7" max="7" width="42.85546875" customWidth="1"/>
  </cols>
  <sheetData>
    <row r="1" spans="1:7" ht="15.75" thickBot="1"/>
    <row r="2" spans="1:7" ht="51.75" customHeight="1" thickTop="1" thickBot="1">
      <c r="A2" s="84" t="s">
        <v>5</v>
      </c>
      <c r="B2" s="81" t="s">
        <v>262</v>
      </c>
      <c r="C2" s="81" t="s">
        <v>7</v>
      </c>
      <c r="D2" s="82" t="s">
        <v>263</v>
      </c>
      <c r="E2" s="83" t="s">
        <v>17</v>
      </c>
      <c r="F2" s="83" t="s">
        <v>264</v>
      </c>
      <c r="G2" s="81" t="s">
        <v>10</v>
      </c>
    </row>
    <row r="3" spans="1:7">
      <c r="A3" t="s">
        <v>34</v>
      </c>
      <c r="B3" s="11" t="s">
        <v>35</v>
      </c>
      <c r="C3" s="12" t="s">
        <v>36</v>
      </c>
      <c r="D3" s="15">
        <v>26.395991650284998</v>
      </c>
      <c r="E3" s="15">
        <v>22.83</v>
      </c>
      <c r="F3" t="s">
        <v>33</v>
      </c>
      <c r="G3" s="13" t="s">
        <v>32</v>
      </c>
    </row>
    <row r="4" spans="1:7">
      <c r="A4" t="s">
        <v>45</v>
      </c>
      <c r="B4" s="11" t="s">
        <v>46</v>
      </c>
      <c r="C4" s="12" t="s">
        <v>47</v>
      </c>
      <c r="D4" s="15">
        <v>70.598115751089011</v>
      </c>
      <c r="E4" s="15">
        <v>50.22</v>
      </c>
      <c r="F4" t="s">
        <v>33</v>
      </c>
      <c r="G4" s="13" t="s">
        <v>32</v>
      </c>
    </row>
    <row r="5" spans="1:7">
      <c r="A5" t="s">
        <v>48</v>
      </c>
      <c r="B5" s="11" t="s">
        <v>49</v>
      </c>
      <c r="C5" s="12" t="s">
        <v>50</v>
      </c>
      <c r="D5" s="15">
        <v>54.302193081310008</v>
      </c>
      <c r="E5" s="15">
        <v>7.37</v>
      </c>
      <c r="F5" t="s">
        <v>33</v>
      </c>
      <c r="G5" s="13" t="s">
        <v>32</v>
      </c>
    </row>
    <row r="6" spans="1:7">
      <c r="A6" t="s">
        <v>51</v>
      </c>
      <c r="B6" s="11" t="s">
        <v>52</v>
      </c>
      <c r="C6" s="12" t="s">
        <v>53</v>
      </c>
      <c r="D6" s="15">
        <v>21.469008848816003</v>
      </c>
      <c r="E6" s="15">
        <v>5.63</v>
      </c>
      <c r="F6" t="s">
        <v>33</v>
      </c>
      <c r="G6" s="13" t="s">
        <v>266</v>
      </c>
    </row>
    <row r="7" spans="1:7">
      <c r="A7" t="s">
        <v>62</v>
      </c>
      <c r="B7" s="11" t="s">
        <v>63</v>
      </c>
      <c r="C7" s="12" t="s">
        <v>64</v>
      </c>
      <c r="D7" s="15">
        <v>18.418219951231009</v>
      </c>
      <c r="E7" s="15">
        <v>7.59</v>
      </c>
      <c r="F7" t="s">
        <v>33</v>
      </c>
      <c r="G7" s="13" t="s">
        <v>32</v>
      </c>
    </row>
    <row r="8" spans="1:7">
      <c r="A8" t="s">
        <v>65</v>
      </c>
      <c r="B8" s="11" t="s">
        <v>66</v>
      </c>
      <c r="C8" s="12" t="s">
        <v>67</v>
      </c>
      <c r="D8" s="15">
        <v>98.863980453962</v>
      </c>
      <c r="E8" s="15">
        <v>30.37</v>
      </c>
      <c r="F8" t="s">
        <v>33</v>
      </c>
      <c r="G8" s="13" t="s">
        <v>32</v>
      </c>
    </row>
    <row r="9" spans="1:7">
      <c r="A9" t="s">
        <v>78</v>
      </c>
      <c r="B9" s="11" t="s">
        <v>79</v>
      </c>
      <c r="C9" s="12" t="s">
        <v>80</v>
      </c>
      <c r="D9" s="15">
        <v>99.834311144336993</v>
      </c>
      <c r="E9" s="15">
        <v>14.3</v>
      </c>
      <c r="F9" t="s">
        <v>44</v>
      </c>
      <c r="G9" s="13" t="s">
        <v>32</v>
      </c>
    </row>
    <row r="10" spans="1:7">
      <c r="A10" t="s">
        <v>84</v>
      </c>
      <c r="B10" s="11" t="s">
        <v>85</v>
      </c>
      <c r="C10" s="12" t="s">
        <v>86</v>
      </c>
      <c r="D10" s="15">
        <v>98.908150967946995</v>
      </c>
      <c r="E10" s="15">
        <v>5.56</v>
      </c>
      <c r="F10" t="s">
        <v>33</v>
      </c>
      <c r="G10" s="13" t="s">
        <v>32</v>
      </c>
    </row>
    <row r="11" spans="1:7">
      <c r="A11" t="s">
        <v>90</v>
      </c>
      <c r="B11" s="11" t="s">
        <v>91</v>
      </c>
      <c r="C11" s="12" t="s">
        <v>92</v>
      </c>
      <c r="D11" s="15">
        <v>91.452275729728001</v>
      </c>
      <c r="E11" s="15">
        <v>27.43</v>
      </c>
      <c r="F11" t="s">
        <v>33</v>
      </c>
      <c r="G11" s="13" t="s">
        <v>32</v>
      </c>
    </row>
    <row r="12" spans="1:7">
      <c r="A12" t="s">
        <v>100</v>
      </c>
      <c r="B12" s="11" t="s">
        <v>101</v>
      </c>
      <c r="C12" s="12" t="s">
        <v>102</v>
      </c>
      <c r="D12" s="15">
        <v>99.723264785387599</v>
      </c>
      <c r="E12" s="15">
        <v>27.41</v>
      </c>
      <c r="F12" t="s">
        <v>44</v>
      </c>
      <c r="G12" s="13" t="s">
        <v>32</v>
      </c>
    </row>
    <row r="13" spans="1:7">
      <c r="A13" t="s">
        <v>121</v>
      </c>
      <c r="B13" t="s">
        <v>122</v>
      </c>
      <c r="C13" s="19" t="s">
        <v>123</v>
      </c>
      <c r="D13" s="15">
        <v>65.495127922366009</v>
      </c>
      <c r="E13" s="15"/>
      <c r="F13" t="s">
        <v>33</v>
      </c>
      <c r="G13" s="13" t="s">
        <v>32</v>
      </c>
    </row>
    <row r="14" spans="1:7">
      <c r="A14" t="s">
        <v>143</v>
      </c>
      <c r="B14" s="11" t="s">
        <v>144</v>
      </c>
      <c r="C14" s="12" t="s">
        <v>145</v>
      </c>
      <c r="D14" s="15">
        <v>50.705186214187989</v>
      </c>
      <c r="E14" s="15">
        <v>10.07</v>
      </c>
      <c r="F14" t="s">
        <v>33</v>
      </c>
      <c r="G14" s="13" t="s">
        <v>32</v>
      </c>
    </row>
    <row r="15" spans="1:7">
      <c r="A15" t="s">
        <v>191</v>
      </c>
      <c r="B15" s="11" t="s">
        <v>192</v>
      </c>
      <c r="C15" s="12" t="s">
        <v>193</v>
      </c>
      <c r="D15" s="15">
        <v>53.172275847310004</v>
      </c>
      <c r="E15" s="15">
        <v>29.48</v>
      </c>
      <c r="F15" t="s">
        <v>33</v>
      </c>
      <c r="G15" s="13" t="s">
        <v>32</v>
      </c>
    </row>
    <row r="16" spans="1:7">
      <c r="A16" t="s">
        <v>207</v>
      </c>
      <c r="B16" s="11" t="s">
        <v>208</v>
      </c>
      <c r="C16" s="12" t="s">
        <v>209</v>
      </c>
      <c r="D16" s="15">
        <v>14.311337366271005</v>
      </c>
      <c r="E16" s="15">
        <v>14.72</v>
      </c>
      <c r="F16" t="s">
        <v>33</v>
      </c>
      <c r="G16" s="13" t="s">
        <v>32</v>
      </c>
    </row>
    <row r="17" spans="1:7">
      <c r="A17" t="s">
        <v>210</v>
      </c>
      <c r="B17" s="11" t="s">
        <v>211</v>
      </c>
      <c r="C17" s="12" t="s">
        <v>212</v>
      </c>
      <c r="D17" s="15">
        <v>13.596663110925988</v>
      </c>
      <c r="E17" s="15">
        <v>15.17</v>
      </c>
      <c r="F17" t="s">
        <v>33</v>
      </c>
      <c r="G17" s="13" t="s">
        <v>32</v>
      </c>
    </row>
    <row r="18" spans="1:7">
      <c r="A18" t="s">
        <v>222</v>
      </c>
      <c r="B18" s="11" t="s">
        <v>223</v>
      </c>
      <c r="C18" s="12" t="s">
        <v>224</v>
      </c>
      <c r="D18" s="15">
        <v>96.052848876930994</v>
      </c>
      <c r="E18" s="15">
        <v>24.78</v>
      </c>
      <c r="F18" t="s">
        <v>33</v>
      </c>
      <c r="G18" s="13" t="s">
        <v>32</v>
      </c>
    </row>
    <row r="19" spans="1:7">
      <c r="A19" t="s">
        <v>228</v>
      </c>
      <c r="B19" s="11" t="s">
        <v>229</v>
      </c>
      <c r="C19" s="12" t="s">
        <v>230</v>
      </c>
      <c r="D19" s="15">
        <v>84.393742100205003</v>
      </c>
      <c r="E19" s="15">
        <v>27.2</v>
      </c>
      <c r="F19" t="s">
        <v>33</v>
      </c>
      <c r="G19" s="13" t="s">
        <v>32</v>
      </c>
    </row>
    <row r="20" spans="1:7">
      <c r="A20" t="s">
        <v>259</v>
      </c>
      <c r="B20" s="11" t="s">
        <v>260</v>
      </c>
      <c r="C20" s="12" t="s">
        <v>261</v>
      </c>
      <c r="D20" s="15">
        <v>66.182999381964009</v>
      </c>
      <c r="E20" s="15">
        <v>21.76</v>
      </c>
      <c r="F20" t="s">
        <v>33</v>
      </c>
      <c r="G20" s="13" t="s">
        <v>32</v>
      </c>
    </row>
    <row r="21" spans="1:7">
      <c r="B21" s="11"/>
      <c r="C21" s="11"/>
      <c r="D21" s="15"/>
      <c r="E21" s="15"/>
      <c r="G21" s="13"/>
    </row>
    <row r="22" spans="1:7">
      <c r="C22" s="21" t="s">
        <v>265</v>
      </c>
      <c r="D22" s="22">
        <f>AVERAGE(D3:D20)</f>
        <v>62.437538510236308</v>
      </c>
      <c r="F22" s="1"/>
    </row>
    <row r="23" spans="1:7">
      <c r="F2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L17"/>
  <sheetViews>
    <sheetView workbookViewId="0">
      <selection activeCell="D23" sqref="D23"/>
    </sheetView>
  </sheetViews>
  <sheetFormatPr defaultRowHeight="15"/>
  <cols>
    <col min="1" max="1" width="54.85546875" customWidth="1"/>
    <col min="2" max="2" width="13.7109375" customWidth="1"/>
    <col min="3" max="10" width="10.42578125" customWidth="1"/>
  </cols>
  <sheetData>
    <row r="2" spans="1:12">
      <c r="A2" t="s">
        <v>273</v>
      </c>
    </row>
    <row r="3" spans="1:12" ht="60" customHeight="1">
      <c r="A3" s="37" t="s">
        <v>267</v>
      </c>
      <c r="B3" s="24" t="s">
        <v>274</v>
      </c>
      <c r="C3" s="24" t="s">
        <v>275</v>
      </c>
      <c r="D3" s="24" t="s">
        <v>276</v>
      </c>
      <c r="E3" s="24" t="s">
        <v>277</v>
      </c>
      <c r="F3" s="24" t="s">
        <v>278</v>
      </c>
      <c r="G3" s="24" t="s">
        <v>279</v>
      </c>
      <c r="H3" s="24" t="s">
        <v>280</v>
      </c>
      <c r="I3" s="33" t="s">
        <v>281</v>
      </c>
      <c r="J3" s="33" t="s">
        <v>282</v>
      </c>
    </row>
    <row r="4" spans="1:12" ht="31.5" customHeight="1">
      <c r="A4" s="27" t="s">
        <v>268</v>
      </c>
      <c r="B4" s="28">
        <v>46.826975437370493</v>
      </c>
      <c r="C4" s="29" t="s">
        <v>283</v>
      </c>
      <c r="D4" s="28">
        <v>1.4430390426597679</v>
      </c>
      <c r="E4" s="32">
        <v>30.849474234810593</v>
      </c>
      <c r="F4" s="34" t="s">
        <v>283</v>
      </c>
      <c r="G4" s="34" t="s">
        <v>283</v>
      </c>
      <c r="H4" s="32">
        <v>4.2469764250758875</v>
      </c>
      <c r="I4" s="32">
        <v>10.590703195327464</v>
      </c>
      <c r="J4" s="32">
        <v>11.675921233475485</v>
      </c>
      <c r="K4" s="35"/>
      <c r="L4" s="35"/>
    </row>
    <row r="5" spans="1:12" ht="31.5" customHeight="1">
      <c r="A5" s="23" t="s">
        <v>269</v>
      </c>
      <c r="B5" s="25">
        <v>4.1843665842541773</v>
      </c>
      <c r="C5" s="25">
        <v>2.1451737186365971</v>
      </c>
      <c r="D5" s="25">
        <v>2.3746385105063639</v>
      </c>
      <c r="E5" s="25">
        <v>2.0704193902999375</v>
      </c>
      <c r="F5" s="25">
        <v>0.74373634097357999</v>
      </c>
      <c r="G5" s="25">
        <v>2.2755152180209142</v>
      </c>
      <c r="H5" s="25">
        <v>3.1606185389137789</v>
      </c>
      <c r="I5" s="31">
        <v>2.8624529839780215</v>
      </c>
      <c r="J5" s="31">
        <v>2.5128805817065243</v>
      </c>
    </row>
    <row r="6" spans="1:12" ht="31.5" customHeight="1">
      <c r="A6" s="27" t="s">
        <v>270</v>
      </c>
      <c r="B6" s="28">
        <v>2.549320456012806</v>
      </c>
      <c r="C6" s="28" t="s">
        <v>283</v>
      </c>
      <c r="D6" s="28" t="s">
        <v>283</v>
      </c>
      <c r="E6" s="28">
        <v>1.3471922248783352</v>
      </c>
      <c r="F6" s="30" t="s">
        <v>283</v>
      </c>
      <c r="G6" s="28" t="s">
        <v>283</v>
      </c>
      <c r="H6" s="32">
        <v>1.3178048804955118</v>
      </c>
      <c r="I6" s="32">
        <v>1.0560897112523531</v>
      </c>
      <c r="J6" s="32">
        <v>0.91108372859616626</v>
      </c>
      <c r="K6" s="18"/>
      <c r="L6" s="1"/>
    </row>
    <row r="7" spans="1:12" ht="31.5" customHeight="1" thickBot="1">
      <c r="A7" s="23" t="s">
        <v>271</v>
      </c>
      <c r="B7" s="25">
        <v>0.81099873367132713</v>
      </c>
      <c r="C7" s="25">
        <v>5.2207340919794261</v>
      </c>
      <c r="D7" s="25">
        <v>3.6974881859503643</v>
      </c>
      <c r="E7" s="25">
        <v>3.1682370368654151</v>
      </c>
      <c r="F7" s="26" t="s">
        <v>283</v>
      </c>
      <c r="G7" s="25">
        <v>3.1196537178666524</v>
      </c>
      <c r="H7" s="25">
        <v>18.073559176340336</v>
      </c>
      <c r="I7" s="31">
        <v>9.1795723070123518</v>
      </c>
      <c r="J7" s="31">
        <v>5.7490913739493159</v>
      </c>
    </row>
    <row r="8" spans="1:12" ht="31.5" customHeight="1">
      <c r="A8" s="38" t="s">
        <v>272</v>
      </c>
      <c r="B8" s="39">
        <v>54.371661211308798</v>
      </c>
      <c r="C8" s="39">
        <v>7.9069656218162869</v>
      </c>
      <c r="D8" s="39">
        <v>7.858752787328231</v>
      </c>
      <c r="E8" s="39">
        <v>37.435322886854273</v>
      </c>
      <c r="F8" s="39">
        <v>1.3036903588444635</v>
      </c>
      <c r="G8" s="39">
        <v>5.8806970548030657</v>
      </c>
      <c r="H8" s="39">
        <v>26.798959020825521</v>
      </c>
      <c r="I8" s="39">
        <v>23.688818197570193</v>
      </c>
      <c r="J8" s="39">
        <v>20.848976917727491</v>
      </c>
      <c r="K8" s="18"/>
    </row>
    <row r="11" spans="1:12">
      <c r="A11" t="s">
        <v>286</v>
      </c>
    </row>
    <row r="12" spans="1:12" ht="45">
      <c r="A12" s="37" t="s">
        <v>267</v>
      </c>
      <c r="B12" s="36" t="s">
        <v>284</v>
      </c>
    </row>
    <row r="13" spans="1:12">
      <c r="A13" t="s">
        <v>268</v>
      </c>
      <c r="B13" s="15">
        <v>6</v>
      </c>
    </row>
    <row r="14" spans="1:12">
      <c r="A14" s="40" t="s">
        <v>271</v>
      </c>
      <c r="B14" s="41">
        <v>3</v>
      </c>
      <c r="C14" s="1"/>
    </row>
    <row r="15" spans="1:12">
      <c r="A15" s="1" t="s">
        <v>269</v>
      </c>
      <c r="B15" s="16">
        <v>2</v>
      </c>
      <c r="C15" s="1"/>
      <c r="D15" s="1"/>
    </row>
    <row r="16" spans="1:12" ht="15.75" thickBot="1">
      <c r="A16" s="42" t="s">
        <v>270</v>
      </c>
      <c r="B16" s="41" t="s">
        <v>283</v>
      </c>
    </row>
    <row r="17" spans="1:3">
      <c r="A17" s="43" t="s">
        <v>285</v>
      </c>
      <c r="B17" s="44">
        <v>11.551216641303778</v>
      </c>
      <c r="C1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D28" sqref="D28"/>
    </sheetView>
  </sheetViews>
  <sheetFormatPr defaultRowHeight="15"/>
  <cols>
    <col min="1" max="1" width="28.7109375" customWidth="1"/>
    <col min="2" max="2" width="20.5703125" customWidth="1"/>
    <col min="3" max="3" width="16.5703125" customWidth="1"/>
    <col min="4" max="4" width="32.7109375" customWidth="1"/>
  </cols>
  <sheetData>
    <row r="1" spans="1:5" ht="15.75" thickBot="1">
      <c r="A1" s="1"/>
      <c r="B1" s="1"/>
      <c r="C1" s="1"/>
      <c r="D1" s="1"/>
      <c r="E1" s="1"/>
    </row>
    <row r="2" spans="1:5" ht="31.5" customHeight="1" thickBot="1">
      <c r="A2" s="71" t="s">
        <v>333</v>
      </c>
      <c r="B2" s="71" t="s">
        <v>323</v>
      </c>
      <c r="C2" s="71" t="s">
        <v>324</v>
      </c>
      <c r="D2" s="72" t="s">
        <v>322</v>
      </c>
      <c r="E2" s="18"/>
    </row>
    <row r="3" spans="1:5">
      <c r="A3" s="18" t="s">
        <v>326</v>
      </c>
      <c r="B3" s="74">
        <v>376.44850600000001</v>
      </c>
      <c r="C3" s="74">
        <v>43628.664174999998</v>
      </c>
      <c r="D3" s="73">
        <v>0.8628467387633465</v>
      </c>
      <c r="E3" s="18"/>
    </row>
    <row r="4" spans="1:5">
      <c r="A4" s="75" t="s">
        <v>327</v>
      </c>
      <c r="B4" s="76">
        <v>803.06445510000003</v>
      </c>
      <c r="C4" s="76">
        <v>23511.213161</v>
      </c>
      <c r="D4" s="77">
        <v>3.4156657489376587</v>
      </c>
      <c r="E4" s="18"/>
    </row>
    <row r="5" spans="1:5">
      <c r="A5" s="18" t="s">
        <v>276</v>
      </c>
      <c r="B5" s="74">
        <v>10122.905543999999</v>
      </c>
      <c r="C5" s="74">
        <v>87915.437856999997</v>
      </c>
      <c r="D5" s="73">
        <v>11.514366294194591</v>
      </c>
      <c r="E5" s="18"/>
    </row>
    <row r="6" spans="1:5">
      <c r="A6" s="75" t="s">
        <v>328</v>
      </c>
      <c r="B6" s="76">
        <v>1022.000264</v>
      </c>
      <c r="C6" s="76">
        <v>60130.902706000001</v>
      </c>
      <c r="D6" s="77">
        <v>1.6996256799883738</v>
      </c>
      <c r="E6" s="18"/>
    </row>
    <row r="7" spans="1:5">
      <c r="A7" s="18" t="s">
        <v>329</v>
      </c>
      <c r="B7" s="74">
        <v>27169.282306000001</v>
      </c>
      <c r="C7" s="74">
        <v>34782.420276999997</v>
      </c>
      <c r="D7" s="73">
        <v>78.112109765880163</v>
      </c>
      <c r="E7" s="18"/>
    </row>
    <row r="8" spans="1:5">
      <c r="A8" s="75" t="s">
        <v>330</v>
      </c>
      <c r="B8" s="76">
        <v>3161.7617380000002</v>
      </c>
      <c r="C8" s="76">
        <v>51569.153636000003</v>
      </c>
      <c r="D8" s="77">
        <v>6.1311103926918049</v>
      </c>
      <c r="E8" s="18"/>
    </row>
    <row r="9" spans="1:5">
      <c r="A9" s="18" t="s">
        <v>331</v>
      </c>
      <c r="B9" s="74">
        <v>584.79903139999999</v>
      </c>
      <c r="C9" s="74">
        <v>68474.934947999995</v>
      </c>
      <c r="D9" s="73">
        <v>0.85403371590509369</v>
      </c>
      <c r="E9" s="18"/>
    </row>
    <row r="10" spans="1:5" ht="15.75" thickBot="1">
      <c r="A10" s="75" t="s">
        <v>332</v>
      </c>
      <c r="B10" s="76">
        <v>31.233546130000001</v>
      </c>
      <c r="C10" s="76">
        <v>11393.160189</v>
      </c>
      <c r="D10" s="77">
        <v>0.27414295605319167</v>
      </c>
      <c r="E10" s="18"/>
    </row>
    <row r="11" spans="1:5" ht="16.5" thickTop="1" thickBot="1">
      <c r="A11" s="78" t="s">
        <v>325</v>
      </c>
      <c r="B11" s="79">
        <v>43271.495390999997</v>
      </c>
      <c r="C11" s="79">
        <v>381405.88694900001</v>
      </c>
      <c r="D11" s="80">
        <v>11.345261536769641</v>
      </c>
      <c r="E11" s="18"/>
    </row>
    <row r="12" spans="1:5">
      <c r="A12" s="18"/>
      <c r="B12" s="18"/>
      <c r="C12" s="18"/>
      <c r="D12" s="18"/>
      <c r="E12" s="18"/>
    </row>
    <row r="13" spans="1:5">
      <c r="A13" s="18"/>
      <c r="B13" s="18"/>
      <c r="C13" s="18"/>
      <c r="D13" s="18"/>
      <c r="E13" s="18"/>
    </row>
    <row r="14" spans="1:5">
      <c r="A14" s="1"/>
      <c r="B14" s="1"/>
      <c r="C14" s="1"/>
      <c r="D14" s="1"/>
      <c r="E14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6"/>
  <sheetViews>
    <sheetView workbookViewId="0">
      <selection activeCell="B27" sqref="B27:E27"/>
    </sheetView>
  </sheetViews>
  <sheetFormatPr defaultRowHeight="15"/>
  <cols>
    <col min="2" max="2" width="27.85546875" customWidth="1"/>
    <col min="15" max="15" width="5.28515625" customWidth="1"/>
    <col min="16" max="17" width="16" customWidth="1"/>
    <col min="18" max="18" width="5.7109375" customWidth="1"/>
    <col min="19" max="23" width="11" customWidth="1"/>
  </cols>
  <sheetData>
    <row r="1" spans="1:25" ht="15.75" thickBot="1"/>
    <row r="2" spans="1:25">
      <c r="D2" s="87" t="s">
        <v>2</v>
      </c>
      <c r="E2" s="87"/>
      <c r="F2" s="87"/>
      <c r="G2" s="87"/>
      <c r="H2" s="87"/>
      <c r="I2" s="87"/>
      <c r="J2" s="87"/>
      <c r="K2" s="87"/>
      <c r="L2" s="87"/>
      <c r="M2" s="87"/>
      <c r="N2" s="87"/>
      <c r="P2" s="60" t="s">
        <v>3</v>
      </c>
      <c r="Q2" s="60"/>
      <c r="S2" s="60" t="s">
        <v>4</v>
      </c>
      <c r="T2" s="60"/>
      <c r="U2" s="60"/>
      <c r="V2" s="60"/>
      <c r="W2" s="60"/>
    </row>
    <row r="4" spans="1:25">
      <c r="D4" s="21"/>
      <c r="E4" s="53"/>
      <c r="F4" s="53" t="s">
        <v>321</v>
      </c>
      <c r="G4" s="53"/>
      <c r="H4" s="53"/>
      <c r="J4" s="21"/>
      <c r="K4" s="53"/>
      <c r="L4" s="53" t="s">
        <v>320</v>
      </c>
      <c r="M4" s="53"/>
      <c r="N4" s="53"/>
      <c r="O4" s="54"/>
    </row>
    <row r="5" spans="1:25" ht="47.25" customHeight="1" thickBot="1">
      <c r="B5" s="45" t="s">
        <v>287</v>
      </c>
      <c r="C5" s="68" t="s">
        <v>288</v>
      </c>
      <c r="D5" s="69" t="s">
        <v>289</v>
      </c>
      <c r="E5" s="69" t="s">
        <v>318</v>
      </c>
      <c r="F5" s="69" t="s">
        <v>290</v>
      </c>
      <c r="G5" s="69" t="s">
        <v>291</v>
      </c>
      <c r="H5" s="69" t="s">
        <v>292</v>
      </c>
      <c r="I5" s="70"/>
      <c r="J5" s="69" t="s">
        <v>289</v>
      </c>
      <c r="K5" s="69" t="s">
        <v>318</v>
      </c>
      <c r="L5" s="69" t="s">
        <v>290</v>
      </c>
      <c r="M5" s="69" t="s">
        <v>291</v>
      </c>
      <c r="N5" s="69" t="s">
        <v>292</v>
      </c>
      <c r="P5" s="55" t="s">
        <v>20</v>
      </c>
      <c r="Q5" s="56" t="s">
        <v>21</v>
      </c>
      <c r="R5" s="57"/>
      <c r="S5" s="58" t="s">
        <v>22</v>
      </c>
      <c r="T5" s="58" t="s">
        <v>23</v>
      </c>
      <c r="U5" s="58" t="s">
        <v>24</v>
      </c>
      <c r="V5" s="58" t="s">
        <v>25</v>
      </c>
      <c r="W5" s="58" t="s">
        <v>26</v>
      </c>
    </row>
    <row r="6" spans="1:25">
      <c r="A6" s="46" t="s">
        <v>293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P6" s="17"/>
      <c r="Q6" s="17"/>
    </row>
    <row r="7" spans="1:25" ht="18" customHeight="1">
      <c r="B7" t="s">
        <v>294</v>
      </c>
      <c r="C7" t="s">
        <v>295</v>
      </c>
      <c r="D7" s="47">
        <v>1.316857668893527</v>
      </c>
      <c r="E7" s="47">
        <v>1.3702608351376182</v>
      </c>
      <c r="F7" s="48">
        <v>1.6782259309109306</v>
      </c>
      <c r="G7" s="47">
        <v>2.1643512271925593</v>
      </c>
      <c r="H7" s="47">
        <v>2.3467172650548309</v>
      </c>
      <c r="I7" s="47"/>
      <c r="J7" s="47">
        <v>1.1069963235644518</v>
      </c>
      <c r="K7" s="47">
        <v>1.2156280022588719</v>
      </c>
      <c r="L7" s="48">
        <v>1.501668890139227</v>
      </c>
      <c r="M7" s="47">
        <v>1.9400191700043397</v>
      </c>
      <c r="N7" s="47">
        <v>2.2316633689013234</v>
      </c>
      <c r="P7" s="15">
        <v>92.029301852367993</v>
      </c>
      <c r="Q7" t="s">
        <v>33</v>
      </c>
      <c r="S7" s="47">
        <v>92.352311035668905</v>
      </c>
      <c r="T7" s="47">
        <v>96.182978407115201</v>
      </c>
      <c r="U7" s="48">
        <v>107.97069814763201</v>
      </c>
      <c r="V7" s="47">
        <v>122.345327692449</v>
      </c>
      <c r="W7" s="47">
        <v>124.91959821839301</v>
      </c>
    </row>
    <row r="8" spans="1:25">
      <c r="B8" t="s">
        <v>296</v>
      </c>
      <c r="C8" t="s">
        <v>295</v>
      </c>
      <c r="D8" s="47">
        <v>2.7750557065229455</v>
      </c>
      <c r="E8" s="47">
        <v>2.9401851448020202</v>
      </c>
      <c r="F8" s="48">
        <v>3.4353088588822049</v>
      </c>
      <c r="G8" s="47">
        <v>4.0920450928330627</v>
      </c>
      <c r="H8" s="47">
        <v>4.2191968944508851</v>
      </c>
      <c r="I8" s="47"/>
      <c r="J8" s="47">
        <v>3.638690983427427</v>
      </c>
      <c r="K8" s="47">
        <v>3.7539103998026317</v>
      </c>
      <c r="L8" s="48">
        <v>4.6438892774635354</v>
      </c>
      <c r="M8" s="47">
        <v>5.6916705745816376</v>
      </c>
      <c r="N8" s="47">
        <v>5.9403304893738875</v>
      </c>
      <c r="P8" s="15">
        <v>74.065771714179505</v>
      </c>
      <c r="Q8" t="s">
        <v>44</v>
      </c>
      <c r="S8" s="47">
        <v>66.276073632011602</v>
      </c>
      <c r="T8" s="47">
        <v>67.754653403875196</v>
      </c>
      <c r="U8" s="48">
        <v>74.065771714179505</v>
      </c>
      <c r="V8" s="47">
        <v>81.805210081836194</v>
      </c>
      <c r="W8" s="47">
        <v>82.667175988716807</v>
      </c>
      <c r="Y8" s="59"/>
    </row>
    <row r="9" spans="1:25">
      <c r="B9" s="35" t="s">
        <v>297</v>
      </c>
      <c r="C9" s="35" t="s">
        <v>295</v>
      </c>
      <c r="D9" s="49">
        <v>2.143891672750788</v>
      </c>
      <c r="E9" s="49">
        <v>2.2571350082040706</v>
      </c>
      <c r="F9" s="50">
        <v>2.8450048728451214</v>
      </c>
      <c r="G9" s="49">
        <v>3.584173883601117</v>
      </c>
      <c r="H9" s="49">
        <v>3.7610540733625717</v>
      </c>
      <c r="I9" s="49"/>
      <c r="J9" s="49">
        <v>3.9201329118452617</v>
      </c>
      <c r="K9" s="49">
        <v>4.2343043752085077</v>
      </c>
      <c r="L9" s="50">
        <v>5.5646470853483834</v>
      </c>
      <c r="M9" s="49">
        <v>7.4358708587779816</v>
      </c>
      <c r="N9" s="49">
        <v>8.5429677104504957</v>
      </c>
      <c r="P9" s="15">
        <v>50.127709236960897</v>
      </c>
      <c r="Q9" t="s">
        <v>44</v>
      </c>
      <c r="S9" s="47">
        <v>39.337453164620399</v>
      </c>
      <c r="T9" s="47">
        <v>42.732438805629101</v>
      </c>
      <c r="U9" s="48">
        <v>50.127709236960897</v>
      </c>
      <c r="V9" s="47">
        <v>58.952478574326697</v>
      </c>
      <c r="W9" s="47">
        <v>60.837946054446199</v>
      </c>
      <c r="Y9" s="59"/>
    </row>
    <row r="10" spans="1:25">
      <c r="B10" s="65" t="s">
        <v>298</v>
      </c>
      <c r="C10" s="61" t="s">
        <v>295</v>
      </c>
      <c r="D10" s="63">
        <v>6.2358050481672613</v>
      </c>
      <c r="E10" s="63">
        <v>6.5675809881437086</v>
      </c>
      <c r="F10" s="64">
        <v>7.9585396626382572</v>
      </c>
      <c r="G10" s="63">
        <v>9.84057020362674</v>
      </c>
      <c r="H10" s="63">
        <v>10.326968232868289</v>
      </c>
      <c r="I10" s="63"/>
      <c r="J10" s="63">
        <v>8.6658202188371405</v>
      </c>
      <c r="K10" s="63">
        <v>9.2038427772700118</v>
      </c>
      <c r="L10" s="64">
        <v>11.710205252951145</v>
      </c>
      <c r="M10" s="63">
        <v>15.067560603363958</v>
      </c>
      <c r="N10" s="63">
        <v>16.714961568725705</v>
      </c>
      <c r="O10" s="61"/>
      <c r="P10" s="62">
        <v>68.011177611790103</v>
      </c>
      <c r="Q10" s="61" t="s">
        <v>44</v>
      </c>
      <c r="R10" s="61"/>
      <c r="S10" s="63">
        <v>56.537003422006798</v>
      </c>
      <c r="T10" s="63">
        <v>58.835467957294803</v>
      </c>
      <c r="U10" s="64">
        <v>68.011177611790103</v>
      </c>
      <c r="V10" s="63">
        <v>78.501997119939503</v>
      </c>
      <c r="W10" s="63">
        <v>81.749874377518694</v>
      </c>
      <c r="Y10" s="59"/>
    </row>
    <row r="11" spans="1:25">
      <c r="B11" s="18"/>
      <c r="D11" s="49"/>
      <c r="E11" s="49"/>
      <c r="F11" s="50"/>
      <c r="G11" s="49"/>
      <c r="H11" s="49"/>
      <c r="I11" s="49"/>
      <c r="J11" s="49"/>
      <c r="K11" s="49"/>
      <c r="L11" s="50"/>
      <c r="M11" s="49"/>
      <c r="N11" s="49"/>
      <c r="P11" s="15"/>
      <c r="S11" s="47"/>
      <c r="T11" s="47"/>
      <c r="U11" s="48"/>
      <c r="V11" s="47"/>
      <c r="W11" s="47"/>
      <c r="Y11" s="59"/>
    </row>
    <row r="12" spans="1:25" s="1" customFormat="1" ht="18" customHeight="1">
      <c r="B12" t="s">
        <v>299</v>
      </c>
      <c r="C12" t="s">
        <v>295</v>
      </c>
      <c r="D12" s="47">
        <v>0.60951414112040947</v>
      </c>
      <c r="E12" s="47">
        <v>0.63932197993962026</v>
      </c>
      <c r="F12" s="48">
        <v>0.8731770211887796</v>
      </c>
      <c r="G12" s="47">
        <v>1.1246858812912084</v>
      </c>
      <c r="H12" s="47">
        <v>1.1818620424555966</v>
      </c>
      <c r="I12" s="47"/>
      <c r="J12" s="47">
        <v>0.73464337172376393</v>
      </c>
      <c r="K12" s="47">
        <v>0.77390103244657493</v>
      </c>
      <c r="L12" s="48">
        <v>1.075776036317319</v>
      </c>
      <c r="M12" s="47">
        <v>1.3938706407840256</v>
      </c>
      <c r="N12" s="47">
        <v>1.5167709503896218</v>
      </c>
      <c r="O12"/>
      <c r="P12" s="16">
        <v>80.066965504951497</v>
      </c>
      <c r="Q12" s="1" t="s">
        <v>44</v>
      </c>
      <c r="R12"/>
      <c r="S12" s="47">
        <v>70.728760172241607</v>
      </c>
      <c r="T12" s="47">
        <v>73.175674127633201</v>
      </c>
      <c r="U12" s="48">
        <v>80.066965504951497</v>
      </c>
      <c r="V12" s="47">
        <v>87.616226613567704</v>
      </c>
      <c r="W12" s="47">
        <v>90.033095572258901</v>
      </c>
      <c r="Y12" s="20"/>
    </row>
    <row r="13" spans="1:25" s="1" customFormat="1">
      <c r="B13" t="s">
        <v>300</v>
      </c>
      <c r="C13" t="s">
        <v>295</v>
      </c>
      <c r="D13" s="47">
        <v>0.76684154345322253</v>
      </c>
      <c r="E13" s="47">
        <v>0.83555315402812103</v>
      </c>
      <c r="F13" s="48">
        <v>1.0154906677443185</v>
      </c>
      <c r="G13" s="47">
        <v>1.2625527920715076</v>
      </c>
      <c r="H13" s="47">
        <v>1.3158645912340667</v>
      </c>
      <c r="I13" s="47"/>
      <c r="J13" s="47">
        <v>1.0553935154450791</v>
      </c>
      <c r="K13" s="47">
        <v>1.2092884605438481</v>
      </c>
      <c r="L13" s="48">
        <v>1.5116164325373476</v>
      </c>
      <c r="M13" s="47">
        <v>2.0122634408088738</v>
      </c>
      <c r="N13" s="47">
        <v>2.2318777503693212</v>
      </c>
      <c r="O13"/>
      <c r="P13" s="16">
        <v>67.066745725219505</v>
      </c>
      <c r="Q13" s="1" t="s">
        <v>44</v>
      </c>
      <c r="R13"/>
      <c r="S13" s="47">
        <v>55.834224918573398</v>
      </c>
      <c r="T13" s="47">
        <v>57.816667366127</v>
      </c>
      <c r="U13" s="48">
        <v>67.066745725219505</v>
      </c>
      <c r="V13" s="47">
        <v>73.254800347675797</v>
      </c>
      <c r="W13" s="47">
        <v>76.381118827551106</v>
      </c>
      <c r="Y13" s="20"/>
    </row>
    <row r="14" spans="1:25" s="1" customFormat="1">
      <c r="B14" s="35" t="s">
        <v>301</v>
      </c>
      <c r="C14" s="35" t="s">
        <v>295</v>
      </c>
      <c r="D14" s="49">
        <v>0.6220251163993803</v>
      </c>
      <c r="E14" s="49">
        <v>0.68874469107497494</v>
      </c>
      <c r="F14" s="50">
        <v>0.94346081017024486</v>
      </c>
      <c r="G14" s="49">
        <v>1.1594543111045665</v>
      </c>
      <c r="H14" s="49">
        <v>1.2201443115817621</v>
      </c>
      <c r="I14" s="49"/>
      <c r="J14" s="49">
        <v>0.95570149381326019</v>
      </c>
      <c r="K14" s="49">
        <v>1.0212302202760912</v>
      </c>
      <c r="L14" s="50">
        <v>1.4595501539679412</v>
      </c>
      <c r="M14" s="49">
        <v>1.964868167696235</v>
      </c>
      <c r="N14" s="49">
        <v>2.0519662780341101</v>
      </c>
      <c r="O14"/>
      <c r="P14" s="16">
        <v>63.564491479481902</v>
      </c>
      <c r="Q14" s="1" t="s">
        <v>44</v>
      </c>
      <c r="R14"/>
      <c r="S14" s="47">
        <v>50.255807056588303</v>
      </c>
      <c r="T14" s="47">
        <v>54.157282625575597</v>
      </c>
      <c r="U14" s="48">
        <v>63.564491479481902</v>
      </c>
      <c r="V14" s="47">
        <v>74.981429759376894</v>
      </c>
      <c r="W14" s="47">
        <v>83.688664240628</v>
      </c>
      <c r="Y14" s="20"/>
    </row>
    <row r="15" spans="1:25" s="1" customFormat="1">
      <c r="B15" s="61" t="s">
        <v>302</v>
      </c>
      <c r="C15" s="61" t="s">
        <v>295</v>
      </c>
      <c r="D15" s="66">
        <v>1.9983808009730124</v>
      </c>
      <c r="E15" s="66">
        <v>2.1636198250427161</v>
      </c>
      <c r="F15" s="67">
        <v>2.8321284991033426</v>
      </c>
      <c r="G15" s="66">
        <v>3.5466929844672821</v>
      </c>
      <c r="H15" s="66">
        <v>3.7178709452714256</v>
      </c>
      <c r="I15" s="66"/>
      <c r="J15" s="66">
        <v>2.745738380982103</v>
      </c>
      <c r="K15" s="66">
        <v>3.0044197132665142</v>
      </c>
      <c r="L15" s="67">
        <v>4.0469426228226073</v>
      </c>
      <c r="M15" s="66">
        <v>5.3710022492891341</v>
      </c>
      <c r="N15" s="66">
        <v>5.8006149787930532</v>
      </c>
      <c r="O15" s="61"/>
      <c r="P15" s="62">
        <v>69.854646973784796</v>
      </c>
      <c r="Q15" s="61" t="s">
        <v>44</v>
      </c>
      <c r="R15" s="61"/>
      <c r="S15" s="63">
        <v>56.690380533886497</v>
      </c>
      <c r="T15" s="63">
        <v>59.380559359756099</v>
      </c>
      <c r="U15" s="64">
        <v>69.854646973784796</v>
      </c>
      <c r="V15" s="63">
        <v>82.263326885064302</v>
      </c>
      <c r="W15" s="63">
        <v>86.126068665676897</v>
      </c>
      <c r="Y15" s="20"/>
    </row>
    <row r="16" spans="1:25" s="1" customFormat="1">
      <c r="B16"/>
      <c r="C16"/>
      <c r="D16" s="51"/>
      <c r="E16" s="51"/>
      <c r="F16" s="52"/>
      <c r="G16" s="51"/>
      <c r="H16" s="51"/>
      <c r="I16" s="51"/>
      <c r="J16" s="51"/>
      <c r="K16" s="51"/>
      <c r="L16" s="52"/>
      <c r="M16" s="51"/>
      <c r="N16" s="51"/>
      <c r="O16"/>
      <c r="P16" s="15"/>
      <c r="Q16"/>
      <c r="R16"/>
      <c r="S16" s="47"/>
      <c r="T16" s="47"/>
      <c r="U16" s="48"/>
      <c r="V16" s="47"/>
      <c r="W16" s="47"/>
      <c r="Y16" s="20"/>
    </row>
    <row r="17" spans="1:25" s="1" customFormat="1" ht="18" customHeight="1">
      <c r="B17" t="s">
        <v>303</v>
      </c>
      <c r="C17" t="s">
        <v>295</v>
      </c>
      <c r="D17" s="47">
        <v>4.339680842721644</v>
      </c>
      <c r="E17" s="47">
        <v>4.6143105273853937</v>
      </c>
      <c r="F17" s="48">
        <v>5.4128935286628375</v>
      </c>
      <c r="G17" s="47">
        <v>6.4516086202730243</v>
      </c>
      <c r="H17" s="47">
        <v>6.5496631244477186</v>
      </c>
      <c r="I17" s="47"/>
      <c r="J17" s="47">
        <v>4.8895603516932766</v>
      </c>
      <c r="K17" s="47">
        <v>5.2302831488059773</v>
      </c>
      <c r="L17" s="48">
        <v>6.1603929541207245</v>
      </c>
      <c r="M17" s="47">
        <v>7.5643162324492765</v>
      </c>
      <c r="N17" s="47">
        <v>7.7999982795596257</v>
      </c>
      <c r="O17"/>
      <c r="P17" s="16">
        <v>87.343584442224099</v>
      </c>
      <c r="Q17" s="1" t="s">
        <v>44</v>
      </c>
      <c r="S17" s="47">
        <v>81.137615370156396</v>
      </c>
      <c r="T17" s="47">
        <v>82.793434492072905</v>
      </c>
      <c r="U17" s="48">
        <v>87.343584442224099</v>
      </c>
      <c r="V17" s="47">
        <v>92.459049404775996</v>
      </c>
      <c r="W17" s="47">
        <v>95.337631506371494</v>
      </c>
      <c r="Y17" s="20"/>
    </row>
    <row r="18" spans="1:25" s="1" customFormat="1">
      <c r="B18" t="s">
        <v>304</v>
      </c>
      <c r="C18" t="s">
        <v>295</v>
      </c>
      <c r="D18" s="47">
        <v>2.1641636080606812</v>
      </c>
      <c r="E18" s="47">
        <v>2.2638949168972302</v>
      </c>
      <c r="F18" s="48">
        <v>2.7172424047025996</v>
      </c>
      <c r="G18" s="47">
        <v>3.5970023370019821</v>
      </c>
      <c r="H18" s="47">
        <v>3.8219547248758254</v>
      </c>
      <c r="I18" s="47"/>
      <c r="J18" s="47">
        <v>2.6484164127495049</v>
      </c>
      <c r="K18" s="47">
        <v>2.6824820893496888</v>
      </c>
      <c r="L18" s="48">
        <v>3.2220091153861246</v>
      </c>
      <c r="M18" s="47">
        <v>3.9682244156301811</v>
      </c>
      <c r="N18" s="47">
        <v>4.2144904966512984</v>
      </c>
      <c r="O18"/>
      <c r="P18" s="16">
        <v>84.738991034627901</v>
      </c>
      <c r="Q18" s="1" t="s">
        <v>44</v>
      </c>
      <c r="S18" s="47">
        <v>78.4388450773654</v>
      </c>
      <c r="T18" s="47">
        <v>80.044240051084103</v>
      </c>
      <c r="U18" s="48">
        <v>84.738991034627901</v>
      </c>
      <c r="V18" s="47">
        <v>94.865853529925303</v>
      </c>
      <c r="W18" s="47">
        <v>95.8585906109696</v>
      </c>
      <c r="Y18" s="20"/>
    </row>
    <row r="19" spans="1:25" s="1" customFormat="1">
      <c r="B19" s="35" t="s">
        <v>305</v>
      </c>
      <c r="C19" s="35" t="s">
        <v>295</v>
      </c>
      <c r="D19" s="49">
        <v>0.20119214992484041</v>
      </c>
      <c r="E19" s="49">
        <v>0.22338023483873656</v>
      </c>
      <c r="F19" s="50">
        <v>0.34263956123767036</v>
      </c>
      <c r="G19" s="49">
        <v>0.97381715067761621</v>
      </c>
      <c r="H19" s="49">
        <v>1.3949236494539128</v>
      </c>
      <c r="I19" s="49"/>
      <c r="J19" s="49">
        <v>0.19898439318414973</v>
      </c>
      <c r="K19" s="49">
        <v>0.23156822567482593</v>
      </c>
      <c r="L19" s="50">
        <v>0.39750873624775651</v>
      </c>
      <c r="M19" s="49">
        <v>1.1858502490537399</v>
      </c>
      <c r="N19" s="49">
        <v>1.6532169238582364</v>
      </c>
      <c r="O19"/>
      <c r="P19" s="16">
        <v>90.236652478469296</v>
      </c>
      <c r="Q19" s="1" t="s">
        <v>44</v>
      </c>
      <c r="S19" s="47">
        <v>62.902889870555903</v>
      </c>
      <c r="T19" s="47">
        <v>69.024692537863103</v>
      </c>
      <c r="U19" s="48">
        <v>90.236652478469296</v>
      </c>
      <c r="V19" s="47">
        <v>102.01256982603201</v>
      </c>
      <c r="W19" s="47">
        <v>107.509364850254</v>
      </c>
      <c r="Y19" s="20"/>
    </row>
    <row r="20" spans="1:25" s="1" customFormat="1">
      <c r="B20" s="65" t="s">
        <v>306</v>
      </c>
      <c r="C20" s="61" t="s">
        <v>295</v>
      </c>
      <c r="D20" s="66">
        <v>6.7050366007071656</v>
      </c>
      <c r="E20" s="66">
        <v>7.101585679121361</v>
      </c>
      <c r="F20" s="67">
        <v>8.4727754946031073</v>
      </c>
      <c r="G20" s="66">
        <v>11.022428107952623</v>
      </c>
      <c r="H20" s="66">
        <v>11.766541498777457</v>
      </c>
      <c r="I20" s="66"/>
      <c r="J20" s="66">
        <v>7.736961157626931</v>
      </c>
      <c r="K20" s="66">
        <v>8.1443334638304918</v>
      </c>
      <c r="L20" s="67">
        <v>9.7799108057546054</v>
      </c>
      <c r="M20" s="66">
        <v>12.718390897133197</v>
      </c>
      <c r="N20" s="66">
        <v>13.667705700069162</v>
      </c>
      <c r="O20" s="61"/>
      <c r="P20" s="62">
        <v>86.597080125111404</v>
      </c>
      <c r="Q20" s="61" t="s">
        <v>44</v>
      </c>
      <c r="R20" s="65"/>
      <c r="S20" s="63">
        <v>73.347564829248597</v>
      </c>
      <c r="T20" s="63">
        <v>76.124699736055703</v>
      </c>
      <c r="U20" s="64">
        <v>86.597080125111404</v>
      </c>
      <c r="V20" s="63">
        <v>98.434101645728703</v>
      </c>
      <c r="W20" s="63">
        <v>102.13116758983401</v>
      </c>
      <c r="Y20" s="20"/>
    </row>
    <row r="21" spans="1:25" s="1" customFormat="1">
      <c r="C21"/>
      <c r="D21" s="51"/>
      <c r="E21" s="51"/>
      <c r="F21" s="52"/>
      <c r="G21" s="51"/>
      <c r="H21" s="51"/>
      <c r="I21" s="51"/>
      <c r="J21" s="51"/>
      <c r="K21" s="51"/>
      <c r="L21" s="52"/>
      <c r="M21" s="51"/>
      <c r="N21" s="51"/>
      <c r="O21"/>
      <c r="P21" s="15"/>
      <c r="Q21"/>
      <c r="S21" s="47"/>
      <c r="T21" s="47"/>
      <c r="U21" s="48"/>
      <c r="V21" s="47"/>
      <c r="W21" s="47"/>
      <c r="Y21" s="20"/>
    </row>
    <row r="22" spans="1:25" ht="18" customHeight="1">
      <c r="B22" t="s">
        <v>307</v>
      </c>
      <c r="C22" t="s">
        <v>295</v>
      </c>
      <c r="D22" s="47">
        <v>0.98625530092568137</v>
      </c>
      <c r="E22" s="47">
        <v>1.0164618664542084</v>
      </c>
      <c r="F22" s="48">
        <v>1.1657126070630504</v>
      </c>
      <c r="G22" s="47">
        <v>1.3842426345855618</v>
      </c>
      <c r="H22" s="47">
        <v>1.4366350073674667</v>
      </c>
      <c r="I22" s="47"/>
      <c r="J22" s="47">
        <v>1.1011643399437099</v>
      </c>
      <c r="K22" s="47">
        <v>1.1302821519747366</v>
      </c>
      <c r="L22" s="48">
        <v>1.321669030601001</v>
      </c>
      <c r="M22" s="47">
        <v>1.5376965444931618</v>
      </c>
      <c r="N22" s="47">
        <v>1.6352805324538997</v>
      </c>
      <c r="P22" s="16">
        <v>88.467663036209302</v>
      </c>
      <c r="Q22" s="1" t="s">
        <v>44</v>
      </c>
      <c r="R22" s="1"/>
      <c r="S22" s="47">
        <v>81.955253369039397</v>
      </c>
      <c r="T22" s="47">
        <v>84.411919410388407</v>
      </c>
      <c r="U22" s="48">
        <v>88.467663036209302</v>
      </c>
      <c r="V22" s="47">
        <v>94.925251233691796</v>
      </c>
      <c r="W22" s="47">
        <v>96.263203371911402</v>
      </c>
      <c r="Y22" s="59"/>
    </row>
    <row r="23" spans="1:25">
      <c r="B23" t="s">
        <v>308</v>
      </c>
      <c r="C23" t="s">
        <v>295</v>
      </c>
      <c r="D23" s="47">
        <v>1.3785095575876247</v>
      </c>
      <c r="E23" s="47">
        <v>1.4157786250241635</v>
      </c>
      <c r="F23" s="48">
        <v>1.6155731608535642</v>
      </c>
      <c r="G23" s="47">
        <v>1.8770205996874063</v>
      </c>
      <c r="H23" s="47">
        <v>1.9257314692936729</v>
      </c>
      <c r="I23" s="47"/>
      <c r="J23" s="47">
        <v>1.6736496109531369</v>
      </c>
      <c r="K23" s="47">
        <v>1.801663467555777</v>
      </c>
      <c r="L23" s="48">
        <v>2.1266427008069391</v>
      </c>
      <c r="M23" s="47">
        <v>2.4299615741473315</v>
      </c>
      <c r="N23" s="47">
        <v>2.4880337736789921</v>
      </c>
      <c r="P23" s="16">
        <v>77.860692263349605</v>
      </c>
      <c r="Q23" s="1" t="s">
        <v>44</v>
      </c>
      <c r="R23" s="1"/>
      <c r="S23" s="47">
        <v>71.909587554947805</v>
      </c>
      <c r="T23" s="47">
        <v>73.513456188119406</v>
      </c>
      <c r="U23" s="48">
        <v>77.860692263349605</v>
      </c>
      <c r="V23" s="47">
        <v>82.807589371092803</v>
      </c>
      <c r="W23" s="47">
        <v>84.561547022959502</v>
      </c>
      <c r="Y23" s="59"/>
    </row>
    <row r="24" spans="1:25">
      <c r="B24" s="35" t="s">
        <v>309</v>
      </c>
      <c r="C24" s="35" t="s">
        <v>295</v>
      </c>
      <c r="D24" s="49">
        <v>0.50070107316388091</v>
      </c>
      <c r="E24" s="49">
        <v>0.56053140972777782</v>
      </c>
      <c r="F24" s="50">
        <v>0.67430806477024552</v>
      </c>
      <c r="G24" s="49">
        <v>0.80845721517576796</v>
      </c>
      <c r="H24" s="49">
        <v>0.86537300037666121</v>
      </c>
      <c r="I24" s="49"/>
      <c r="J24" s="49">
        <v>0.62248691122899524</v>
      </c>
      <c r="K24" s="49">
        <v>0.68774835847509586</v>
      </c>
      <c r="L24" s="50">
        <v>0.87482409047515042</v>
      </c>
      <c r="M24" s="49">
        <v>1.155047779998343</v>
      </c>
      <c r="N24" s="49">
        <v>1.2384423327527512</v>
      </c>
      <c r="P24" s="15">
        <v>74.733696659800898</v>
      </c>
      <c r="Q24" t="s">
        <v>44</v>
      </c>
      <c r="R24" s="1"/>
      <c r="S24" s="47">
        <v>65.851836981155301</v>
      </c>
      <c r="T24" s="47">
        <v>68.2902244519736</v>
      </c>
      <c r="U24" s="48">
        <v>74.733696659800898</v>
      </c>
      <c r="V24" s="47">
        <v>84.319496355752605</v>
      </c>
      <c r="W24" s="47">
        <v>86.7690948946519</v>
      </c>
      <c r="Y24" s="59"/>
    </row>
    <row r="25" spans="1:25">
      <c r="B25" s="65" t="s">
        <v>310</v>
      </c>
      <c r="C25" s="61" t="s">
        <v>295</v>
      </c>
      <c r="D25" s="63">
        <v>2.8654659316771869</v>
      </c>
      <c r="E25" s="63">
        <v>2.99277190120615</v>
      </c>
      <c r="F25" s="64">
        <v>3.4555938326868598</v>
      </c>
      <c r="G25" s="63">
        <v>4.0697204494487362</v>
      </c>
      <c r="H25" s="63">
        <v>4.227739477037801</v>
      </c>
      <c r="I25" s="63"/>
      <c r="J25" s="63">
        <v>3.3973008621258418</v>
      </c>
      <c r="K25" s="63">
        <v>3.6196939780056097</v>
      </c>
      <c r="L25" s="64">
        <v>4.3231358218830902</v>
      </c>
      <c r="M25" s="63">
        <v>5.1227058986388361</v>
      </c>
      <c r="N25" s="63">
        <v>5.3617566388856428</v>
      </c>
      <c r="O25" s="61"/>
      <c r="P25" s="62">
        <v>80.047826093706306</v>
      </c>
      <c r="Q25" s="61" t="s">
        <v>44</v>
      </c>
      <c r="R25" s="65"/>
      <c r="S25" s="63">
        <v>70.521331156964905</v>
      </c>
      <c r="T25" s="63">
        <v>72.518321086197602</v>
      </c>
      <c r="U25" s="64">
        <v>80.047826093706306</v>
      </c>
      <c r="V25" s="63">
        <v>88.423901616351102</v>
      </c>
      <c r="W25" s="63">
        <v>90.968075811548402</v>
      </c>
      <c r="Y25" s="59"/>
    </row>
    <row r="26" spans="1:25">
      <c r="B26" s="18"/>
      <c r="D26" s="49"/>
      <c r="E26" s="49"/>
      <c r="F26" s="50"/>
      <c r="G26" s="49"/>
      <c r="H26" s="49"/>
      <c r="I26" s="49"/>
      <c r="J26" s="49"/>
      <c r="K26" s="49"/>
      <c r="L26" s="50"/>
      <c r="M26" s="49"/>
      <c r="N26" s="49"/>
      <c r="P26" s="15"/>
      <c r="R26" s="1"/>
      <c r="S26" s="47"/>
      <c r="T26" s="47"/>
      <c r="U26" s="48"/>
      <c r="V26" s="47"/>
      <c r="W26" s="47"/>
      <c r="Y26" s="59"/>
    </row>
    <row r="27" spans="1:25">
      <c r="B27" t="s">
        <v>319</v>
      </c>
      <c r="P27" s="15"/>
      <c r="R27" s="1"/>
      <c r="S27" s="47"/>
      <c r="T27" s="47"/>
      <c r="U27" s="48"/>
      <c r="V27" s="47"/>
      <c r="W27" s="47"/>
      <c r="Y27" s="59"/>
    </row>
    <row r="28" spans="1:25">
      <c r="B28" s="18"/>
      <c r="D28" s="49"/>
      <c r="E28" s="49"/>
      <c r="F28" s="50"/>
      <c r="G28" s="49"/>
      <c r="H28" s="49"/>
      <c r="I28" s="49"/>
      <c r="J28" s="49"/>
      <c r="K28" s="49"/>
      <c r="L28" s="50"/>
      <c r="M28" s="49"/>
      <c r="N28" s="49"/>
      <c r="P28" s="15"/>
      <c r="R28" s="1"/>
      <c r="S28" s="47"/>
      <c r="T28" s="47"/>
      <c r="U28" s="48"/>
      <c r="V28" s="47"/>
      <c r="W28" s="47"/>
      <c r="Y28" s="59"/>
    </row>
    <row r="29" spans="1:25">
      <c r="A29" s="46" t="s">
        <v>311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P29" s="15"/>
      <c r="R29" s="1"/>
      <c r="S29" s="47"/>
      <c r="T29" s="47"/>
      <c r="U29" s="48"/>
      <c r="V29" s="47"/>
      <c r="W29" s="47"/>
      <c r="Y29" s="59"/>
    </row>
    <row r="30" spans="1:25" ht="18" customHeight="1">
      <c r="B30" t="s">
        <v>312</v>
      </c>
      <c r="C30" t="s">
        <v>313</v>
      </c>
      <c r="D30" s="47">
        <v>4.0249452854722838</v>
      </c>
      <c r="E30" s="47">
        <v>4.2702647786981505</v>
      </c>
      <c r="F30" s="48">
        <v>4.8647417176183403</v>
      </c>
      <c r="G30" s="47">
        <v>6.0782460133542076</v>
      </c>
      <c r="H30" s="47">
        <v>6.2682236522619279</v>
      </c>
      <c r="I30" s="47"/>
      <c r="J30" s="47">
        <v>4.3543821405971084</v>
      </c>
      <c r="K30" s="47">
        <v>4.5568658786866161</v>
      </c>
      <c r="L30" s="48">
        <v>5.3749836300584741</v>
      </c>
      <c r="M30" s="47">
        <v>7.0158462727106157</v>
      </c>
      <c r="N30" s="47">
        <v>7.3263589157287727</v>
      </c>
      <c r="P30" s="15">
        <v>90.192486953388297</v>
      </c>
      <c r="Q30" t="s">
        <v>44</v>
      </c>
      <c r="S30" s="47">
        <v>81.166863477912301</v>
      </c>
      <c r="T30" s="47">
        <v>83.519823937066505</v>
      </c>
      <c r="U30" s="48">
        <v>90.192486953388297</v>
      </c>
      <c r="V30" s="47">
        <v>95.807670750082394</v>
      </c>
      <c r="W30" s="47">
        <v>98.146871087959198</v>
      </c>
      <c r="Y30" s="59"/>
    </row>
    <row r="31" spans="1:25">
      <c r="B31" t="s">
        <v>314</v>
      </c>
      <c r="C31" t="s">
        <v>313</v>
      </c>
      <c r="D31" s="47">
        <v>9.6594866581901453</v>
      </c>
      <c r="E31" s="47">
        <v>10.130640361436305</v>
      </c>
      <c r="F31" s="48">
        <v>14.548565661928496</v>
      </c>
      <c r="G31" s="47">
        <v>28.983094043181524</v>
      </c>
      <c r="H31" s="47">
        <v>32.908324316812113</v>
      </c>
      <c r="I31" s="47"/>
      <c r="J31" s="47">
        <v>10.498268098327344</v>
      </c>
      <c r="K31" s="47">
        <v>11.176773724966148</v>
      </c>
      <c r="L31" s="48">
        <v>16.996286012519104</v>
      </c>
      <c r="M31" s="47">
        <v>34.940654900045267</v>
      </c>
      <c r="N31" s="47">
        <v>39.302944690425882</v>
      </c>
      <c r="P31" s="15">
        <v>88.364616741052004</v>
      </c>
      <c r="Q31" t="s">
        <v>44</v>
      </c>
      <c r="S31" s="47">
        <v>79.132577961888202</v>
      </c>
      <c r="T31" s="47">
        <v>80.747871622204997</v>
      </c>
      <c r="U31" s="48">
        <v>88.364616741052004</v>
      </c>
      <c r="V31" s="47">
        <v>95.695635618879507</v>
      </c>
      <c r="W31" s="47">
        <v>98.263122096340794</v>
      </c>
    </row>
    <row r="32" spans="1:25">
      <c r="B32" t="s">
        <v>315</v>
      </c>
      <c r="C32" t="s">
        <v>313</v>
      </c>
      <c r="D32" s="47">
        <v>6.1531588374670605</v>
      </c>
      <c r="E32" s="47">
        <v>6.9282758364794734</v>
      </c>
      <c r="F32" s="48">
        <v>10.942437594930366</v>
      </c>
      <c r="G32" s="47">
        <v>16.327363867953633</v>
      </c>
      <c r="H32" s="47">
        <v>19.301891401914517</v>
      </c>
      <c r="I32" s="47"/>
      <c r="J32" s="47">
        <v>6.566957182293109</v>
      </c>
      <c r="K32" s="47">
        <v>7.0003375480543104</v>
      </c>
      <c r="L32" s="48">
        <v>12.145851681744842</v>
      </c>
      <c r="M32" s="47">
        <v>18.915560624052535</v>
      </c>
      <c r="N32" s="47">
        <v>22.673169763945673</v>
      </c>
      <c r="P32" s="15">
        <v>90.019827238344007</v>
      </c>
      <c r="Q32" t="s">
        <v>44</v>
      </c>
      <c r="S32" s="47">
        <v>78.419622903260802</v>
      </c>
      <c r="T32" s="47">
        <v>81.920296940492705</v>
      </c>
      <c r="U32" s="48">
        <v>90.019827238344007</v>
      </c>
      <c r="V32" s="47">
        <v>102.525804800957</v>
      </c>
      <c r="W32" s="47">
        <v>104.447415698669</v>
      </c>
    </row>
    <row r="33" spans="2:23">
      <c r="B33" s="35" t="s">
        <v>316</v>
      </c>
      <c r="C33" s="35" t="s">
        <v>313</v>
      </c>
      <c r="D33" s="49">
        <v>9.5754349920112016</v>
      </c>
      <c r="E33" s="49">
        <v>9.8673922141938188</v>
      </c>
      <c r="F33" s="50">
        <v>11.754672251549581</v>
      </c>
      <c r="G33" s="49">
        <v>14.444552766151313</v>
      </c>
      <c r="H33" s="49">
        <v>15.226523564452568</v>
      </c>
      <c r="I33" s="49"/>
      <c r="J33" s="49">
        <v>8.3118984977930115</v>
      </c>
      <c r="K33" s="49">
        <v>8.7097094404262076</v>
      </c>
      <c r="L33" s="50">
        <v>11.120779050839085</v>
      </c>
      <c r="M33" s="49">
        <v>13.71003822603063</v>
      </c>
      <c r="N33" s="49">
        <v>14.338475908826915</v>
      </c>
      <c r="P33" s="15">
        <v>93.374196743810003</v>
      </c>
      <c r="Q33" t="s">
        <v>33</v>
      </c>
      <c r="S33" s="47">
        <v>85.001163524214405</v>
      </c>
      <c r="T33" s="47">
        <v>89.257596058255203</v>
      </c>
      <c r="U33" s="48">
        <v>106.62580325619</v>
      </c>
      <c r="V33" s="47">
        <v>122.715212932803</v>
      </c>
      <c r="W33" s="47">
        <v>126.838425655957</v>
      </c>
    </row>
    <row r="34" spans="2:23">
      <c r="B34" s="61" t="s">
        <v>317</v>
      </c>
      <c r="C34" s="61" t="s">
        <v>313</v>
      </c>
      <c r="D34" s="63">
        <v>29.413025773140689</v>
      </c>
      <c r="E34" s="63">
        <v>31.196573190807747</v>
      </c>
      <c r="F34" s="63">
        <v>42.110417226026783</v>
      </c>
      <c r="G34" s="63">
        <v>65.833256690640681</v>
      </c>
      <c r="H34" s="63">
        <v>73.704962935441131</v>
      </c>
      <c r="I34" s="63"/>
      <c r="J34" s="63">
        <v>29.731505919010573</v>
      </c>
      <c r="K34" s="63">
        <v>31.443686592133282</v>
      </c>
      <c r="L34" s="63">
        <v>45.6379003751615</v>
      </c>
      <c r="M34" s="63">
        <v>74.582100022839057</v>
      </c>
      <c r="N34" s="63">
        <v>83.640949278927252</v>
      </c>
      <c r="O34" s="61"/>
      <c r="P34" s="62">
        <v>92.238438591710505</v>
      </c>
      <c r="Q34" s="61" t="s">
        <v>44</v>
      </c>
      <c r="R34" s="61"/>
      <c r="S34" s="63">
        <v>69.026757394976897</v>
      </c>
      <c r="T34" s="63">
        <v>73.601094245931804</v>
      </c>
      <c r="U34" s="64">
        <v>92.238438591710505</v>
      </c>
      <c r="V34" s="63">
        <v>113.577740301324</v>
      </c>
      <c r="W34" s="63">
        <v>118.89641308069599</v>
      </c>
    </row>
    <row r="45" spans="2:23">
      <c r="S45" s="15"/>
    </row>
    <row r="48" spans="2:23">
      <c r="O48" s="49"/>
      <c r="P48" s="49"/>
    </row>
    <row r="49" spans="15:19">
      <c r="O49" s="47"/>
      <c r="P49" s="47"/>
    </row>
    <row r="51" spans="15:19">
      <c r="S51" s="15"/>
    </row>
    <row r="52" spans="15:19">
      <c r="S52" s="15"/>
    </row>
    <row r="53" spans="15:19">
      <c r="S53" s="15"/>
    </row>
    <row r="54" spans="15:19">
      <c r="S54" s="15"/>
    </row>
    <row r="55" spans="15:19">
      <c r="S55" s="15"/>
    </row>
    <row r="56" spans="15:19">
      <c r="S56" s="15"/>
    </row>
  </sheetData>
  <mergeCells count="1">
    <mergeCell ref="D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Landbirds in the BPE</vt:lpstr>
      <vt:lpstr>Landbirds in the JCA region</vt:lpstr>
      <vt:lpstr>Neotropical Migrants</vt:lpstr>
      <vt:lpstr>Old Forest</vt:lpstr>
      <vt:lpstr>Forest Interior</vt:lpstr>
      <vt:lpstr>Winter Resident</vt:lpstr>
      <vt:lpstr>Species at Risk</vt:lpstr>
      <vt:lpstr>Human Associated</vt:lpstr>
      <vt:lpstr>Human Footprint</vt:lpstr>
      <vt:lpstr>Protected Areas</vt:lpstr>
      <vt:lpstr>Trees and snags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</dc:creator>
  <cp:lastModifiedBy>Katherine</cp:lastModifiedBy>
  <dcterms:created xsi:type="dcterms:W3CDTF">2012-09-17T16:57:10Z</dcterms:created>
  <dcterms:modified xsi:type="dcterms:W3CDTF">2012-09-25T02:39:02Z</dcterms:modified>
</cp:coreProperties>
</file>