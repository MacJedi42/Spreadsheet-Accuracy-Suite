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105" windowWidth="9630" windowHeight="13545"/>
  </bookViews>
  <sheets>
    <sheet name="Appendix B - Cost Submittal" sheetId="2" r:id="rId1"/>
  </sheets>
  <calcPr calcId="145621"/>
</workbook>
</file>

<file path=xl/calcChain.xml><?xml version="1.0" encoding="utf-8"?>
<calcChain xmlns="http://schemas.openxmlformats.org/spreadsheetml/2006/main">
  <c r="L60" i="2" l="1"/>
  <c r="M58" i="2"/>
  <c r="K58" i="2"/>
  <c r="N60" i="2"/>
  <c r="M60" i="2"/>
  <c r="N59" i="2"/>
  <c r="M59" i="2"/>
  <c r="L59" i="2"/>
  <c r="N58" i="2"/>
  <c r="L58" i="2"/>
  <c r="K60" i="2"/>
  <c r="K59" i="2"/>
  <c r="K46" i="2"/>
  <c r="N51" i="2"/>
  <c r="M51" i="2"/>
  <c r="L51" i="2"/>
  <c r="K51" i="2"/>
  <c r="N39" i="2"/>
  <c r="M39" i="2"/>
  <c r="L39" i="2"/>
  <c r="K39" i="2"/>
  <c r="N27" i="2"/>
  <c r="M27" i="2"/>
  <c r="L27" i="2"/>
  <c r="K27" i="2"/>
  <c r="N15" i="2"/>
  <c r="M15" i="2"/>
  <c r="L15" i="2"/>
  <c r="N48" i="2" l="1"/>
  <c r="M48" i="2"/>
  <c r="L48" i="2"/>
  <c r="K48" i="2"/>
  <c r="N47" i="2"/>
  <c r="M47" i="2"/>
  <c r="L47" i="2"/>
  <c r="K47" i="2"/>
  <c r="N46" i="2"/>
  <c r="M46" i="2"/>
  <c r="L46" i="2"/>
  <c r="N36" i="2"/>
  <c r="M36" i="2"/>
  <c r="L36" i="2"/>
  <c r="K36" i="2"/>
  <c r="N35" i="2"/>
  <c r="M35" i="2"/>
  <c r="L35" i="2"/>
  <c r="K35" i="2"/>
  <c r="N34" i="2"/>
  <c r="M34" i="2"/>
  <c r="L34" i="2"/>
  <c r="K34" i="2"/>
  <c r="N24" i="2"/>
  <c r="M24" i="2"/>
  <c r="L24" i="2"/>
  <c r="K24" i="2"/>
  <c r="N23" i="2"/>
  <c r="M23" i="2"/>
  <c r="L23" i="2"/>
  <c r="K23" i="2"/>
  <c r="N22" i="2"/>
  <c r="M22" i="2"/>
  <c r="L22" i="2"/>
  <c r="K22" i="2"/>
  <c r="K12" i="2"/>
  <c r="L12" i="2"/>
  <c r="M12" i="2"/>
  <c r="N12" i="2"/>
  <c r="K11" i="2"/>
  <c r="L11" i="2"/>
  <c r="M11" i="2"/>
  <c r="N11" i="2"/>
  <c r="N14" i="2" s="1"/>
  <c r="L10" i="2"/>
  <c r="M10" i="2"/>
  <c r="N10" i="2"/>
  <c r="K10" i="2"/>
  <c r="N50" i="2"/>
  <c r="M50" i="2"/>
  <c r="L50" i="2"/>
  <c r="K50" i="2"/>
  <c r="N38" i="2"/>
  <c r="M38" i="2"/>
  <c r="L38" i="2"/>
  <c r="K38" i="2"/>
  <c r="N26" i="2"/>
  <c r="M26" i="2"/>
  <c r="L26" i="2"/>
  <c r="K26" i="2"/>
  <c r="M14" i="2"/>
  <c r="M62" i="2" l="1"/>
  <c r="K62" i="2"/>
  <c r="K63" i="2" s="1"/>
  <c r="K14" i="2"/>
  <c r="K15" i="2" s="1"/>
  <c r="L14" i="2"/>
  <c r="N62" i="2"/>
  <c r="L62" i="2"/>
  <c r="K66" i="2" l="1"/>
  <c r="L66" i="2"/>
  <c r="L63" i="2"/>
  <c r="N66" i="2"/>
  <c r="N63" i="2"/>
  <c r="M66" i="2"/>
  <c r="M63" i="2"/>
  <c r="N68" i="2" l="1"/>
</calcChain>
</file>

<file path=xl/sharedStrings.xml><?xml version="1.0" encoding="utf-8"?>
<sst xmlns="http://schemas.openxmlformats.org/spreadsheetml/2006/main" count="108" uniqueCount="47">
  <si>
    <t>Application Review:</t>
  </si>
  <si>
    <t>Staff Level:</t>
  </si>
  <si>
    <t>Senior Staff</t>
  </si>
  <si>
    <t>Professional Staff</t>
  </si>
  <si>
    <t>Clerical Staff</t>
  </si>
  <si>
    <t>Year 1 (6/2014)</t>
  </si>
  <si>
    <t>Year 2 (6/2015)</t>
  </si>
  <si>
    <t>Year 3 (6/2016)</t>
  </si>
  <si>
    <t>Year 4 (6/2017)</t>
  </si>
  <si>
    <t>Proposed Hourly Rate</t>
  </si>
  <si>
    <t>Estimated Total Cost per Application</t>
  </si>
  <si>
    <t>Direct Labor Hour Costs:</t>
  </si>
  <si>
    <t>Total Estimated Cost of New Application Reviews per year</t>
  </si>
  <si>
    <t>Annual Report Reviews:</t>
  </si>
  <si>
    <t>Estimated Total Cost per Review</t>
  </si>
  <si>
    <t>Review of Approved Loan Amendment Requests:</t>
  </si>
  <si>
    <t>Estimated Total Cost per Amendment Review</t>
  </si>
  <si>
    <t>NCT Application Reviews:</t>
  </si>
  <si>
    <t>Estimated Total Cost per NCT Application Review</t>
  </si>
  <si>
    <t>Special Assignments:</t>
  </si>
  <si>
    <t>Estimated Total Cost per Special Assignment</t>
  </si>
  <si>
    <t>Total Estimated Cost of Special Assignments per year</t>
  </si>
  <si>
    <t>Estimated total Per Year</t>
  </si>
  <si>
    <t>Actual cost to bill will be based on the actual hours spend on work assigned at the hourly rates proposed above for each Staff level.</t>
  </si>
  <si>
    <t>Estimated Annual Number of Applications</t>
  </si>
  <si>
    <t>Estimated Annual Number of Reviews</t>
  </si>
  <si>
    <t>Estimated Annual Number of Requests</t>
  </si>
  <si>
    <t>Total Estimated Cost of Annual Reports per year</t>
  </si>
  <si>
    <t>Total Estimated Cost of Approved Loan Amendment Requests per year</t>
  </si>
  <si>
    <t>Total Estimated Cost of Application Reviews per year</t>
  </si>
  <si>
    <t xml:space="preserve">Estimated Total </t>
  </si>
  <si>
    <t>TT Estimated Average Hours per Application *</t>
  </si>
  <si>
    <t>TT Estimated Average Hours per Review *</t>
  </si>
  <si>
    <t>TT Estimated Average Hours per Amendment Review *</t>
  </si>
  <si>
    <t>TT Estimated Average Hours per NCT Application Review *</t>
  </si>
  <si>
    <t>TT Estimated Average Annual Hours for Special Assignments *</t>
  </si>
  <si>
    <t>Hourly rates are inclusive of all expenses (travel, overhead, benefits, profit, etc.).  Pennvest will not pay anything other than the hourly rates.</t>
  </si>
  <si>
    <t xml:space="preserve">Offeror Name:  </t>
  </si>
  <si>
    <t>* The number of hours and reviews (applications, annual reports, loan amendments and NTC applications) are estimated for evaluation purposes and are not a guarantee of work to be performed.</t>
  </si>
  <si>
    <t>Appendix B - Cost Submittal</t>
  </si>
  <si>
    <t>Estimated Cost per Annual Review per year (billable amount per review):</t>
  </si>
  <si>
    <t>Estimated Cost per application per year (billable amount per application):</t>
  </si>
  <si>
    <t>Estimated Cost per Amendment Review per year (billable amount per review):</t>
  </si>
  <si>
    <t>Estimated Cost per NCT Application Review per year (billable amount per review):</t>
  </si>
  <si>
    <t>Estimated Cost per Special Assignment per year (billable amount per review):</t>
  </si>
  <si>
    <t>Revised 8/2/2013</t>
  </si>
  <si>
    <t>Estimated Annual Number of Special 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</si>
</sst>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b/>
      <u/>
      <sz val="16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wrapText="1"/>
    </xf>
    <xf numFmtId="0" fontId="2" fillId="0" borderId="2" xfId="0" applyFont="1" applyFill="1" applyBorder="1"/>
    <xf numFmtId="2" fontId="2" fillId="0" borderId="2" xfId="0" applyNumberFormat="1" applyFont="1" applyFill="1" applyBorder="1"/>
    <xf numFmtId="0" fontId="2" fillId="0" borderId="2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 applyFill="1" applyBorder="1"/>
    <xf numFmtId="0" fontId="2" fillId="0" borderId="0" xfId="0" applyFont="1" applyBorder="1"/>
    <xf numFmtId="2" fontId="2" fillId="0" borderId="0" xfId="0" applyNumberFormat="1" applyFont="1" applyFill="1" applyBorder="1"/>
    <xf numFmtId="0" fontId="7" fillId="0" borderId="0" xfId="0" applyFont="1" applyAlignment="1">
      <alignment horizontal="center"/>
    </xf>
    <xf numFmtId="0" fontId="0" fillId="2" borderId="2" xfId="0" applyFill="1" applyBorder="1" applyAlignment="1">
      <alignment horizontal="right"/>
    </xf>
    <xf numFmtId="0" fontId="0" fillId="3" borderId="2" xfId="0" applyFill="1" applyBorder="1" applyProtection="1">
      <protection locked="0"/>
    </xf>
    <xf numFmtId="0" fontId="0" fillId="0" borderId="0" xfId="0" quotePrefix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/>
    </xf>
    <xf numFmtId="4" fontId="0" fillId="0" borderId="0" xfId="0" applyNumberFormat="1"/>
    <xf numFmtId="4" fontId="2" fillId="0" borderId="0" xfId="0" applyNumberFormat="1" applyFont="1"/>
    <xf numFmtId="4" fontId="2" fillId="0" borderId="1" xfId="0" applyNumberFormat="1" applyFont="1" applyBorder="1" applyAlignment="1"/>
    <xf numFmtId="4" fontId="2" fillId="2" borderId="0" xfId="0" applyNumberFormat="1" applyFont="1" applyFill="1" applyAlignment="1">
      <alignment wrapText="1"/>
    </xf>
    <xf numFmtId="4" fontId="2" fillId="0" borderId="2" xfId="0" applyNumberFormat="1" applyFont="1" applyBorder="1"/>
    <xf numFmtId="4" fontId="0" fillId="0" borderId="2" xfId="0" applyNumberFormat="1" applyBorder="1"/>
    <xf numFmtId="4" fontId="0" fillId="2" borderId="0" xfId="0" applyNumberFormat="1" applyFill="1"/>
    <xf numFmtId="4" fontId="2" fillId="0" borderId="0" xfId="0" applyNumberFormat="1" applyFont="1" applyBorder="1"/>
    <xf numFmtId="4" fontId="0" fillId="0" borderId="0" xfId="0" applyNumberFormat="1" applyBorder="1"/>
    <xf numFmtId="4" fontId="0" fillId="0" borderId="3" xfId="0" applyNumberFormat="1" applyBorder="1"/>
    <xf numFmtId="164" fontId="2" fillId="3" borderId="2" xfId="0" applyNumberFormat="1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tabSelected="1" workbookViewId="0">
      <selection activeCell="F22" sqref="F22"/>
    </sheetView>
  </sheetViews>
  <sheetFormatPr defaultRowHeight="15" x14ac:dyDescent="0.25"/>
  <cols>
    <col min="3" max="3" width="16.7109375" bestFit="1" customWidth="1"/>
    <col min="4" max="4" width="16.140625" customWidth="1"/>
    <col min="5" max="5" width="12.28515625" customWidth="1"/>
    <col min="10" max="10" width="6.140625" customWidth="1"/>
    <col min="11" max="11" width="13.7109375" style="20" customWidth="1"/>
    <col min="12" max="12" width="13.28515625" style="20" customWidth="1"/>
    <col min="13" max="14" width="12.42578125" style="20" customWidth="1"/>
  </cols>
  <sheetData>
    <row r="1" spans="1:14" ht="33.75" x14ac:dyDescent="0.5">
      <c r="A1" s="14" t="s">
        <v>39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x14ac:dyDescent="0.25">
      <c r="A2" t="s">
        <v>45</v>
      </c>
    </row>
    <row r="3" spans="1:14" x14ac:dyDescent="0.25">
      <c r="A3" s="15" t="s">
        <v>37</v>
      </c>
      <c r="B3" s="15"/>
      <c r="C3" s="15"/>
      <c r="D3" s="16"/>
      <c r="E3" s="16"/>
      <c r="F3" s="16"/>
      <c r="G3" s="16"/>
      <c r="H3" s="16"/>
      <c r="I3" s="16"/>
      <c r="J3" s="16"/>
      <c r="K3" s="16"/>
    </row>
    <row r="5" spans="1:14" ht="20.25" x14ac:dyDescent="0.3">
      <c r="A5" s="1" t="s">
        <v>0</v>
      </c>
      <c r="B5" s="2"/>
      <c r="C5" s="2"/>
      <c r="D5" s="2"/>
      <c r="E5" s="2"/>
      <c r="F5" s="2"/>
      <c r="G5" s="2"/>
      <c r="H5" s="2"/>
      <c r="I5" s="2"/>
      <c r="J5" s="2"/>
      <c r="K5" s="21"/>
      <c r="L5" s="21"/>
      <c r="M5" s="21"/>
      <c r="N5" s="21"/>
    </row>
    <row r="6" spans="1:14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1"/>
      <c r="L6" s="21"/>
      <c r="M6" s="21"/>
      <c r="N6" s="21"/>
    </row>
    <row r="7" spans="1:14" x14ac:dyDescent="0.25">
      <c r="A7" s="2"/>
      <c r="B7" s="2" t="s">
        <v>11</v>
      </c>
      <c r="C7" s="2"/>
      <c r="D7" s="2"/>
      <c r="E7" s="2"/>
      <c r="F7" s="2"/>
      <c r="G7" s="2"/>
      <c r="H7" s="2"/>
      <c r="I7" s="2"/>
      <c r="J7" s="2"/>
      <c r="K7" s="21"/>
      <c r="L7" s="21"/>
      <c r="M7" s="21"/>
      <c r="N7" s="21"/>
    </row>
    <row r="8" spans="1:14" ht="15.75" thickBot="1" x14ac:dyDescent="0.3">
      <c r="A8" s="2"/>
      <c r="B8" s="2"/>
      <c r="C8" s="2"/>
      <c r="D8" s="2"/>
      <c r="E8" s="2"/>
      <c r="F8" s="19" t="s">
        <v>9</v>
      </c>
      <c r="G8" s="19"/>
      <c r="H8" s="19"/>
      <c r="I8" s="19"/>
      <c r="J8" s="2"/>
      <c r="K8" s="22" t="s">
        <v>10</v>
      </c>
      <c r="L8" s="22"/>
      <c r="M8" s="22"/>
      <c r="N8" s="22"/>
    </row>
    <row r="9" spans="1:14" ht="57.75" x14ac:dyDescent="0.25">
      <c r="A9" s="3"/>
      <c r="B9" s="3"/>
      <c r="C9" s="3" t="s">
        <v>1</v>
      </c>
      <c r="D9" s="3" t="s">
        <v>31</v>
      </c>
      <c r="E9" s="3" t="s">
        <v>24</v>
      </c>
      <c r="F9" s="3" t="s">
        <v>5</v>
      </c>
      <c r="G9" s="3" t="s">
        <v>6</v>
      </c>
      <c r="H9" s="3" t="s">
        <v>7</v>
      </c>
      <c r="I9" s="3" t="s">
        <v>8</v>
      </c>
      <c r="J9" s="3"/>
      <c r="K9" s="23" t="s">
        <v>5</v>
      </c>
      <c r="L9" s="23" t="s">
        <v>6</v>
      </c>
      <c r="M9" s="23" t="s">
        <v>7</v>
      </c>
      <c r="N9" s="23" t="s">
        <v>8</v>
      </c>
    </row>
    <row r="10" spans="1:14" x14ac:dyDescent="0.25">
      <c r="A10" s="2"/>
      <c r="B10" s="2"/>
      <c r="C10" s="4" t="s">
        <v>2</v>
      </c>
      <c r="D10" s="5">
        <v>3</v>
      </c>
      <c r="E10" s="4">
        <v>250</v>
      </c>
      <c r="F10" s="30"/>
      <c r="G10" s="30"/>
      <c r="H10" s="30"/>
      <c r="I10" s="30"/>
      <c r="J10" s="6"/>
      <c r="K10" s="24">
        <f>$D10*$E10*F10</f>
        <v>0</v>
      </c>
      <c r="L10" s="24">
        <f t="shared" ref="L10:N10" si="0">$D10*$E10*G10</f>
        <v>0</v>
      </c>
      <c r="M10" s="24">
        <f t="shared" si="0"/>
        <v>0</v>
      </c>
      <c r="N10" s="24">
        <f t="shared" si="0"/>
        <v>0</v>
      </c>
    </row>
    <row r="11" spans="1:14" x14ac:dyDescent="0.25">
      <c r="A11" s="2"/>
      <c r="B11" s="2"/>
      <c r="C11" s="4" t="s">
        <v>3</v>
      </c>
      <c r="D11" s="5">
        <v>7.5</v>
      </c>
      <c r="E11" s="4">
        <v>250</v>
      </c>
      <c r="F11" s="30"/>
      <c r="G11" s="30"/>
      <c r="H11" s="30"/>
      <c r="I11" s="30"/>
      <c r="J11" s="6"/>
      <c r="K11" s="24">
        <f>$D11*$E11*F11</f>
        <v>0</v>
      </c>
      <c r="L11" s="24">
        <f t="shared" ref="L11:L12" si="1">$D11*$E11*G11</f>
        <v>0</v>
      </c>
      <c r="M11" s="24">
        <f t="shared" ref="M11:M12" si="2">$D11*$E11*H11</f>
        <v>0</v>
      </c>
      <c r="N11" s="24">
        <f t="shared" ref="N11:N12" si="3">$D11*$E11*I11</f>
        <v>0</v>
      </c>
    </row>
    <row r="12" spans="1:14" x14ac:dyDescent="0.25">
      <c r="A12" s="2"/>
      <c r="B12" s="2"/>
      <c r="C12" s="4" t="s">
        <v>4</v>
      </c>
      <c r="D12" s="5">
        <v>2.75</v>
      </c>
      <c r="E12" s="4">
        <v>250</v>
      </c>
      <c r="F12" s="30"/>
      <c r="G12" s="30"/>
      <c r="H12" s="30"/>
      <c r="I12" s="30"/>
      <c r="J12" s="6"/>
      <c r="K12" s="24">
        <f>$D12*$E12*F12</f>
        <v>0</v>
      </c>
      <c r="L12" s="24">
        <f t="shared" si="1"/>
        <v>0</v>
      </c>
      <c r="M12" s="24">
        <f t="shared" si="2"/>
        <v>0</v>
      </c>
      <c r="N12" s="24">
        <f t="shared" si="3"/>
        <v>0</v>
      </c>
    </row>
    <row r="14" spans="1:14" ht="18" x14ac:dyDescent="0.25">
      <c r="C14" s="8" t="s">
        <v>12</v>
      </c>
      <c r="D14" s="7"/>
      <c r="E14" s="7"/>
      <c r="F14" s="7"/>
      <c r="G14" s="7"/>
      <c r="H14" s="7"/>
      <c r="I14" s="7"/>
      <c r="K14" s="25">
        <f>SUM(K10:K13)</f>
        <v>0</v>
      </c>
      <c r="L14" s="25">
        <f t="shared" ref="L14:N14" si="4">SUM(L10:L13)</f>
        <v>0</v>
      </c>
      <c r="M14" s="25">
        <f t="shared" si="4"/>
        <v>0</v>
      </c>
      <c r="N14" s="25">
        <f t="shared" si="4"/>
        <v>0</v>
      </c>
    </row>
    <row r="15" spans="1:14" x14ac:dyDescent="0.25">
      <c r="D15" t="s">
        <v>41</v>
      </c>
      <c r="K15" s="26">
        <f>K14/250</f>
        <v>0</v>
      </c>
      <c r="L15" s="26">
        <f t="shared" ref="L15:N15" si="5">L14/250</f>
        <v>0</v>
      </c>
      <c r="M15" s="26">
        <f t="shared" si="5"/>
        <v>0</v>
      </c>
      <c r="N15" s="26">
        <f t="shared" si="5"/>
        <v>0</v>
      </c>
    </row>
    <row r="17" spans="1:14" ht="20.25" x14ac:dyDescent="0.3">
      <c r="A17" s="9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1"/>
      <c r="L17" s="21"/>
      <c r="M17" s="21"/>
      <c r="N17" s="21"/>
    </row>
    <row r="18" spans="1:14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1"/>
      <c r="L18" s="21"/>
      <c r="M18" s="21"/>
      <c r="N18" s="21"/>
    </row>
    <row r="19" spans="1:14" x14ac:dyDescent="0.25">
      <c r="A19" s="2"/>
      <c r="B19" s="2" t="s">
        <v>11</v>
      </c>
      <c r="C19" s="2"/>
      <c r="D19" s="2"/>
      <c r="E19" s="2"/>
      <c r="F19" s="2"/>
      <c r="G19" s="2"/>
      <c r="H19" s="2"/>
      <c r="I19" s="2"/>
      <c r="J19" s="2"/>
      <c r="K19" s="21"/>
      <c r="L19" s="21"/>
      <c r="M19" s="21"/>
      <c r="N19" s="21"/>
    </row>
    <row r="20" spans="1:14" ht="15.75" thickBot="1" x14ac:dyDescent="0.3">
      <c r="A20" s="2"/>
      <c r="B20" s="2"/>
      <c r="C20" s="2"/>
      <c r="D20" s="2"/>
      <c r="E20" s="2"/>
      <c r="F20" s="19" t="s">
        <v>9</v>
      </c>
      <c r="G20" s="19"/>
      <c r="H20" s="19"/>
      <c r="I20" s="19"/>
      <c r="J20" s="2"/>
      <c r="K20" s="22" t="s">
        <v>14</v>
      </c>
      <c r="L20" s="22"/>
      <c r="M20" s="22"/>
      <c r="N20" s="22"/>
    </row>
    <row r="21" spans="1:14" ht="57.75" x14ac:dyDescent="0.25">
      <c r="A21" s="2"/>
      <c r="B21" s="3"/>
      <c r="C21" s="3" t="s">
        <v>1</v>
      </c>
      <c r="D21" s="3" t="s">
        <v>32</v>
      </c>
      <c r="E21" s="3" t="s">
        <v>25</v>
      </c>
      <c r="F21" s="3" t="s">
        <v>5</v>
      </c>
      <c r="G21" s="3" t="s">
        <v>6</v>
      </c>
      <c r="H21" s="3" t="s">
        <v>7</v>
      </c>
      <c r="I21" s="3" t="s">
        <v>8</v>
      </c>
      <c r="J21" s="3"/>
      <c r="K21" s="23" t="s">
        <v>5</v>
      </c>
      <c r="L21" s="23" t="s">
        <v>6</v>
      </c>
      <c r="M21" s="23" t="s">
        <v>7</v>
      </c>
      <c r="N21" s="23" t="s">
        <v>8</v>
      </c>
    </row>
    <row r="22" spans="1:14" x14ac:dyDescent="0.25">
      <c r="A22" s="2"/>
      <c r="B22" s="2"/>
      <c r="C22" s="4" t="s">
        <v>2</v>
      </c>
      <c r="D22" s="5">
        <v>0.25</v>
      </c>
      <c r="E22" s="4">
        <v>2250</v>
      </c>
      <c r="F22" s="30"/>
      <c r="G22" s="30"/>
      <c r="H22" s="30"/>
      <c r="I22" s="30"/>
      <c r="J22" s="6"/>
      <c r="K22" s="24">
        <f>$D22*$E22*F22</f>
        <v>0</v>
      </c>
      <c r="L22" s="24">
        <f t="shared" ref="L22:L24" si="6">$D22*$E22*G22</f>
        <v>0</v>
      </c>
      <c r="M22" s="24">
        <f t="shared" ref="M22:M24" si="7">$D22*$E22*H22</f>
        <v>0</v>
      </c>
      <c r="N22" s="24">
        <f t="shared" ref="N22:N24" si="8">$D22*$E22*I22</f>
        <v>0</v>
      </c>
    </row>
    <row r="23" spans="1:14" x14ac:dyDescent="0.25">
      <c r="A23" s="2"/>
      <c r="B23" s="2"/>
      <c r="C23" s="4" t="s">
        <v>3</v>
      </c>
      <c r="D23" s="5">
        <v>0.5</v>
      </c>
      <c r="E23" s="4">
        <v>2250</v>
      </c>
      <c r="F23" s="30"/>
      <c r="G23" s="30"/>
      <c r="H23" s="30"/>
      <c r="I23" s="30"/>
      <c r="J23" s="6"/>
      <c r="K23" s="24">
        <f>$D23*$E23*F23</f>
        <v>0</v>
      </c>
      <c r="L23" s="24">
        <f t="shared" si="6"/>
        <v>0</v>
      </c>
      <c r="M23" s="24">
        <f t="shared" si="7"/>
        <v>0</v>
      </c>
      <c r="N23" s="24">
        <f t="shared" si="8"/>
        <v>0</v>
      </c>
    </row>
    <row r="24" spans="1:14" x14ac:dyDescent="0.25">
      <c r="A24" s="2"/>
      <c r="B24" s="2"/>
      <c r="C24" s="4" t="s">
        <v>4</v>
      </c>
      <c r="D24" s="5">
        <v>0.25</v>
      </c>
      <c r="E24" s="4">
        <v>2250</v>
      </c>
      <c r="F24" s="30"/>
      <c r="G24" s="30"/>
      <c r="H24" s="30"/>
      <c r="I24" s="30"/>
      <c r="J24" s="6"/>
      <c r="K24" s="24">
        <f>$D24*$E24*F24</f>
        <v>0</v>
      </c>
      <c r="L24" s="24">
        <f t="shared" si="6"/>
        <v>0</v>
      </c>
      <c r="M24" s="24">
        <f t="shared" si="7"/>
        <v>0</v>
      </c>
      <c r="N24" s="24">
        <f t="shared" si="8"/>
        <v>0</v>
      </c>
    </row>
    <row r="26" spans="1:14" ht="18" x14ac:dyDescent="0.25">
      <c r="C26" s="8" t="s">
        <v>27</v>
      </c>
      <c r="D26" s="7"/>
      <c r="E26" s="7"/>
      <c r="F26" s="7"/>
      <c r="G26" s="7"/>
      <c r="H26" s="7"/>
      <c r="I26" s="7"/>
      <c r="K26" s="25">
        <f>SUM(K22:K25)</f>
        <v>0</v>
      </c>
      <c r="L26" s="25">
        <f t="shared" ref="L26" si="9">SUM(L22:L25)</f>
        <v>0</v>
      </c>
      <c r="M26" s="25">
        <f t="shared" ref="M26" si="10">SUM(M22:M25)</f>
        <v>0</v>
      </c>
      <c r="N26" s="25">
        <f t="shared" ref="N26" si="11">SUM(N22:N25)</f>
        <v>0</v>
      </c>
    </row>
    <row r="27" spans="1:14" x14ac:dyDescent="0.25">
      <c r="D27" t="s">
        <v>40</v>
      </c>
      <c r="K27" s="26">
        <f>K26/2250</f>
        <v>0</v>
      </c>
      <c r="L27" s="26">
        <f t="shared" ref="L27:N27" si="12">L26/2250</f>
        <v>0</v>
      </c>
      <c r="M27" s="26">
        <f t="shared" si="12"/>
        <v>0</v>
      </c>
      <c r="N27" s="26">
        <f t="shared" si="12"/>
        <v>0</v>
      </c>
    </row>
    <row r="29" spans="1:14" ht="20.25" x14ac:dyDescent="0.3">
      <c r="A29" s="9" t="s">
        <v>15</v>
      </c>
      <c r="B29" s="2"/>
      <c r="C29" s="2"/>
      <c r="D29" s="2"/>
      <c r="E29" s="2"/>
      <c r="F29" s="2"/>
      <c r="G29" s="2"/>
      <c r="H29" s="2"/>
      <c r="I29" s="2"/>
      <c r="J29" s="2"/>
      <c r="K29" s="21"/>
      <c r="L29" s="21"/>
      <c r="M29" s="21"/>
      <c r="N29" s="21"/>
    </row>
    <row r="30" spans="1:14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1"/>
      <c r="L30" s="21"/>
      <c r="M30" s="21"/>
      <c r="N30" s="21"/>
    </row>
    <row r="31" spans="1:14" x14ac:dyDescent="0.25">
      <c r="A31" s="2"/>
      <c r="B31" s="2" t="s">
        <v>11</v>
      </c>
      <c r="C31" s="2"/>
      <c r="D31" s="2"/>
      <c r="E31" s="2"/>
      <c r="F31" s="2"/>
      <c r="G31" s="2"/>
      <c r="H31" s="2"/>
      <c r="I31" s="2"/>
      <c r="J31" s="2"/>
      <c r="K31" s="21"/>
      <c r="L31" s="21"/>
      <c r="M31" s="21"/>
      <c r="N31" s="21"/>
    </row>
    <row r="32" spans="1:14" ht="15.75" thickBot="1" x14ac:dyDescent="0.3">
      <c r="A32" s="2"/>
      <c r="B32" s="2"/>
      <c r="C32" s="2"/>
      <c r="D32" s="2"/>
      <c r="E32" s="2"/>
      <c r="F32" s="19" t="s">
        <v>9</v>
      </c>
      <c r="G32" s="19"/>
      <c r="H32" s="19"/>
      <c r="I32" s="19"/>
      <c r="J32" s="2"/>
      <c r="K32" s="22" t="s">
        <v>16</v>
      </c>
      <c r="L32" s="22"/>
      <c r="M32" s="22"/>
      <c r="N32" s="22"/>
    </row>
    <row r="33" spans="1:14" ht="57.75" x14ac:dyDescent="0.25">
      <c r="A33" s="2"/>
      <c r="B33" s="3"/>
      <c r="C33" s="3" t="s">
        <v>1</v>
      </c>
      <c r="D33" s="3" t="s">
        <v>33</v>
      </c>
      <c r="E33" s="3" t="s">
        <v>26</v>
      </c>
      <c r="F33" s="3" t="s">
        <v>5</v>
      </c>
      <c r="G33" s="3" t="s">
        <v>6</v>
      </c>
      <c r="H33" s="3" t="s">
        <v>7</v>
      </c>
      <c r="I33" s="3" t="s">
        <v>8</v>
      </c>
      <c r="J33" s="3"/>
      <c r="K33" s="23" t="s">
        <v>5</v>
      </c>
      <c r="L33" s="23" t="s">
        <v>6</v>
      </c>
      <c r="M33" s="23" t="s">
        <v>7</v>
      </c>
      <c r="N33" s="23" t="s">
        <v>8</v>
      </c>
    </row>
    <row r="34" spans="1:14" x14ac:dyDescent="0.25">
      <c r="A34" s="2"/>
      <c r="B34" s="2"/>
      <c r="C34" s="4" t="s">
        <v>2</v>
      </c>
      <c r="D34" s="5">
        <v>2.25</v>
      </c>
      <c r="E34" s="4">
        <v>100</v>
      </c>
      <c r="F34" s="30"/>
      <c r="G34" s="30"/>
      <c r="H34" s="30"/>
      <c r="I34" s="30"/>
      <c r="J34" s="6"/>
      <c r="K34" s="24">
        <f>$D34*$E34*F34</f>
        <v>0</v>
      </c>
      <c r="L34" s="24">
        <f t="shared" ref="L34:L36" si="13">$D34*$E34*G34</f>
        <v>0</v>
      </c>
      <c r="M34" s="24">
        <f t="shared" ref="M34:M36" si="14">$D34*$E34*H34</f>
        <v>0</v>
      </c>
      <c r="N34" s="24">
        <f t="shared" ref="N34:N36" si="15">$D34*$E34*I34</f>
        <v>0</v>
      </c>
    </row>
    <row r="35" spans="1:14" x14ac:dyDescent="0.25">
      <c r="A35" s="2"/>
      <c r="B35" s="2"/>
      <c r="C35" s="4" t="s">
        <v>3</v>
      </c>
      <c r="D35" s="5">
        <v>2.5</v>
      </c>
      <c r="E35" s="4">
        <v>100</v>
      </c>
      <c r="F35" s="30"/>
      <c r="G35" s="30"/>
      <c r="H35" s="30"/>
      <c r="I35" s="30"/>
      <c r="J35" s="6"/>
      <c r="K35" s="24">
        <f>$D35*$E35*F35</f>
        <v>0</v>
      </c>
      <c r="L35" s="24">
        <f t="shared" si="13"/>
        <v>0</v>
      </c>
      <c r="M35" s="24">
        <f t="shared" si="14"/>
        <v>0</v>
      </c>
      <c r="N35" s="24">
        <f t="shared" si="15"/>
        <v>0</v>
      </c>
    </row>
    <row r="36" spans="1:14" x14ac:dyDescent="0.25">
      <c r="A36" s="2"/>
      <c r="B36" s="2"/>
      <c r="C36" s="4" t="s">
        <v>4</v>
      </c>
      <c r="D36" s="5">
        <v>1</v>
      </c>
      <c r="E36" s="4">
        <v>100</v>
      </c>
      <c r="F36" s="30"/>
      <c r="G36" s="30"/>
      <c r="H36" s="30"/>
      <c r="I36" s="30"/>
      <c r="J36" s="6"/>
      <c r="K36" s="24">
        <f>$D36*$E36*F36</f>
        <v>0</v>
      </c>
      <c r="L36" s="24">
        <f t="shared" si="13"/>
        <v>0</v>
      </c>
      <c r="M36" s="24">
        <f t="shared" si="14"/>
        <v>0</v>
      </c>
      <c r="N36" s="24">
        <f t="shared" si="15"/>
        <v>0</v>
      </c>
    </row>
    <row r="38" spans="1:14" ht="18" x14ac:dyDescent="0.25">
      <c r="C38" s="10" t="s">
        <v>28</v>
      </c>
      <c r="D38" s="7"/>
      <c r="E38" s="7"/>
      <c r="F38" s="7"/>
      <c r="G38" s="7"/>
      <c r="H38" s="7"/>
      <c r="I38" s="7"/>
      <c r="K38" s="25">
        <f>SUM(K34:K37)</f>
        <v>0</v>
      </c>
      <c r="L38" s="25">
        <f t="shared" ref="L38" si="16">SUM(L34:L37)</f>
        <v>0</v>
      </c>
      <c r="M38" s="25">
        <f t="shared" ref="M38" si="17">SUM(M34:M37)</f>
        <v>0</v>
      </c>
      <c r="N38" s="25">
        <f t="shared" ref="N38" si="18">SUM(N34:N37)</f>
        <v>0</v>
      </c>
    </row>
    <row r="39" spans="1:14" x14ac:dyDescent="0.25">
      <c r="D39" t="s">
        <v>42</v>
      </c>
      <c r="K39" s="26">
        <f>K38/100</f>
        <v>0</v>
      </c>
      <c r="L39" s="26">
        <f t="shared" ref="L39:N39" si="19">L38/100</f>
        <v>0</v>
      </c>
      <c r="M39" s="26">
        <f t="shared" si="19"/>
        <v>0</v>
      </c>
      <c r="N39" s="26">
        <f t="shared" si="19"/>
        <v>0</v>
      </c>
    </row>
    <row r="41" spans="1:14" ht="20.25" x14ac:dyDescent="0.3">
      <c r="A41" s="9" t="s">
        <v>17</v>
      </c>
      <c r="B41" s="2"/>
      <c r="C41" s="2"/>
      <c r="D41" s="2"/>
      <c r="E41" s="2"/>
      <c r="F41" s="2"/>
      <c r="G41" s="2"/>
      <c r="H41" s="2"/>
      <c r="I41" s="2"/>
      <c r="J41" s="2"/>
      <c r="K41" s="21"/>
      <c r="L41" s="21"/>
      <c r="M41" s="21"/>
      <c r="N41" s="21"/>
    </row>
    <row r="42" spans="1:14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1"/>
      <c r="L42" s="21"/>
      <c r="M42" s="21"/>
      <c r="N42" s="21"/>
    </row>
    <row r="43" spans="1:14" x14ac:dyDescent="0.25">
      <c r="A43" s="2"/>
      <c r="B43" s="2" t="s">
        <v>11</v>
      </c>
      <c r="C43" s="2"/>
      <c r="D43" s="2"/>
      <c r="E43" s="2"/>
      <c r="F43" s="2"/>
      <c r="G43" s="2"/>
      <c r="H43" s="2"/>
      <c r="I43" s="2"/>
      <c r="J43" s="2"/>
      <c r="K43" s="21"/>
      <c r="L43" s="21"/>
      <c r="M43" s="21"/>
      <c r="N43" s="21"/>
    </row>
    <row r="44" spans="1:14" ht="15.75" thickBot="1" x14ac:dyDescent="0.3">
      <c r="A44" s="2"/>
      <c r="B44" s="2"/>
      <c r="C44" s="2"/>
      <c r="D44" s="2"/>
      <c r="E44" s="2"/>
      <c r="F44" s="19" t="s">
        <v>9</v>
      </c>
      <c r="G44" s="19"/>
      <c r="H44" s="19"/>
      <c r="I44" s="19"/>
      <c r="J44" s="2"/>
      <c r="K44" s="22" t="s">
        <v>18</v>
      </c>
      <c r="L44" s="22"/>
      <c r="M44" s="22"/>
      <c r="N44" s="22"/>
    </row>
    <row r="45" spans="1:14" ht="72" x14ac:dyDescent="0.25">
      <c r="A45" s="2"/>
      <c r="B45" s="3"/>
      <c r="C45" s="3" t="s">
        <v>1</v>
      </c>
      <c r="D45" s="3" t="s">
        <v>34</v>
      </c>
      <c r="E45" s="3" t="s">
        <v>25</v>
      </c>
      <c r="F45" s="3" t="s">
        <v>5</v>
      </c>
      <c r="G45" s="3" t="s">
        <v>6</v>
      </c>
      <c r="H45" s="3" t="s">
        <v>7</v>
      </c>
      <c r="I45" s="3" t="s">
        <v>8</v>
      </c>
      <c r="J45" s="3"/>
      <c r="K45" s="23" t="s">
        <v>5</v>
      </c>
      <c r="L45" s="23" t="s">
        <v>6</v>
      </c>
      <c r="M45" s="23" t="s">
        <v>7</v>
      </c>
      <c r="N45" s="23" t="s">
        <v>8</v>
      </c>
    </row>
    <row r="46" spans="1:14" x14ac:dyDescent="0.25">
      <c r="A46" s="2"/>
      <c r="B46" s="2"/>
      <c r="C46" s="4" t="s">
        <v>2</v>
      </c>
      <c r="D46" s="5">
        <v>3</v>
      </c>
      <c r="E46" s="4">
        <v>50</v>
      </c>
      <c r="F46" s="30"/>
      <c r="G46" s="30"/>
      <c r="H46" s="30"/>
      <c r="I46" s="30"/>
      <c r="J46" s="6"/>
      <c r="K46" s="24">
        <f>$D46*$E46*F46</f>
        <v>0</v>
      </c>
      <c r="L46" s="24">
        <f t="shared" ref="L46:L48" si="20">$D46*$E46*G46</f>
        <v>0</v>
      </c>
      <c r="M46" s="24">
        <f t="shared" ref="M46:M48" si="21">$D46*$E46*H46</f>
        <v>0</v>
      </c>
      <c r="N46" s="24">
        <f t="shared" ref="N46:N48" si="22">$D46*$E46*I46</f>
        <v>0</v>
      </c>
    </row>
    <row r="47" spans="1:14" x14ac:dyDescent="0.25">
      <c r="A47" s="2"/>
      <c r="B47" s="2"/>
      <c r="C47" s="4" t="s">
        <v>3</v>
      </c>
      <c r="D47" s="5">
        <v>7.5</v>
      </c>
      <c r="E47" s="4">
        <v>50</v>
      </c>
      <c r="F47" s="30"/>
      <c r="G47" s="30"/>
      <c r="H47" s="30"/>
      <c r="I47" s="30"/>
      <c r="J47" s="6"/>
      <c r="K47" s="24">
        <f>$D47*$E47*F47</f>
        <v>0</v>
      </c>
      <c r="L47" s="24">
        <f t="shared" si="20"/>
        <v>0</v>
      </c>
      <c r="M47" s="24">
        <f t="shared" si="21"/>
        <v>0</v>
      </c>
      <c r="N47" s="24">
        <f t="shared" si="22"/>
        <v>0</v>
      </c>
    </row>
    <row r="48" spans="1:14" x14ac:dyDescent="0.25">
      <c r="A48" s="2"/>
      <c r="B48" s="2"/>
      <c r="C48" s="4" t="s">
        <v>4</v>
      </c>
      <c r="D48" s="5">
        <v>2.75</v>
      </c>
      <c r="E48" s="4">
        <v>50</v>
      </c>
      <c r="F48" s="30"/>
      <c r="G48" s="30"/>
      <c r="H48" s="30"/>
      <c r="I48" s="30"/>
      <c r="J48" s="6"/>
      <c r="K48" s="24">
        <f>$D48*$E48*F48</f>
        <v>0</v>
      </c>
      <c r="L48" s="24">
        <f t="shared" si="20"/>
        <v>0</v>
      </c>
      <c r="M48" s="24">
        <f t="shared" si="21"/>
        <v>0</v>
      </c>
      <c r="N48" s="24">
        <f t="shared" si="22"/>
        <v>0</v>
      </c>
    </row>
    <row r="49" spans="1:14" x14ac:dyDescent="0.25">
      <c r="A49" s="2"/>
      <c r="B49" s="2"/>
      <c r="C49" s="11"/>
      <c r="D49" s="13"/>
      <c r="E49" s="11"/>
      <c r="F49" s="11"/>
      <c r="G49" s="11"/>
      <c r="H49" s="11"/>
      <c r="I49" s="11"/>
      <c r="J49" s="12"/>
      <c r="K49" s="27"/>
      <c r="L49" s="27"/>
      <c r="M49" s="27"/>
      <c r="N49" s="27"/>
    </row>
    <row r="50" spans="1:14" ht="18" x14ac:dyDescent="0.25">
      <c r="A50" s="2"/>
      <c r="B50" s="2"/>
      <c r="C50" s="8" t="s">
        <v>29</v>
      </c>
      <c r="D50" s="7"/>
      <c r="E50" s="7"/>
      <c r="F50" s="7"/>
      <c r="G50" s="7"/>
      <c r="H50" s="7"/>
      <c r="I50" s="7"/>
      <c r="K50" s="25">
        <f>SUM(K46:K49)</f>
        <v>0</v>
      </c>
      <c r="L50" s="25">
        <f t="shared" ref="L50" si="23">SUM(L46:L49)</f>
        <v>0</v>
      </c>
      <c r="M50" s="25">
        <f t="shared" ref="M50" si="24">SUM(M46:M49)</f>
        <v>0</v>
      </c>
      <c r="N50" s="25">
        <f t="shared" ref="N50" si="25">SUM(N46:N49)</f>
        <v>0</v>
      </c>
    </row>
    <row r="51" spans="1:14" x14ac:dyDescent="0.25">
      <c r="D51" t="s">
        <v>43</v>
      </c>
      <c r="K51" s="26">
        <f>K50/50</f>
        <v>0</v>
      </c>
      <c r="L51" s="26">
        <f t="shared" ref="L51:N51" si="26">L50/50</f>
        <v>0</v>
      </c>
      <c r="M51" s="26">
        <f t="shared" si="26"/>
        <v>0</v>
      </c>
      <c r="N51" s="26">
        <f t="shared" si="26"/>
        <v>0</v>
      </c>
    </row>
    <row r="53" spans="1:14" ht="20.25" x14ac:dyDescent="0.3">
      <c r="A53" s="9" t="s">
        <v>19</v>
      </c>
      <c r="B53" s="2"/>
      <c r="C53" s="2"/>
      <c r="D53" s="2"/>
      <c r="E53" s="2"/>
      <c r="F53" s="2"/>
      <c r="G53" s="2"/>
      <c r="H53" s="2"/>
      <c r="I53" s="2"/>
      <c r="J53" s="2"/>
      <c r="K53" s="21"/>
      <c r="L53" s="21"/>
      <c r="M53" s="21"/>
      <c r="N53" s="21"/>
    </row>
    <row r="54" spans="1:14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1"/>
      <c r="L54" s="21"/>
      <c r="M54" s="21"/>
      <c r="N54" s="21"/>
    </row>
    <row r="55" spans="1:14" x14ac:dyDescent="0.25">
      <c r="A55" s="2"/>
      <c r="B55" s="2" t="s">
        <v>11</v>
      </c>
      <c r="C55" s="2"/>
      <c r="D55" s="2"/>
      <c r="E55" s="2"/>
      <c r="F55" s="2"/>
      <c r="G55" s="2"/>
      <c r="H55" s="2"/>
      <c r="I55" s="2"/>
      <c r="J55" s="2"/>
      <c r="K55" s="21"/>
      <c r="L55" s="21"/>
      <c r="M55" s="21"/>
      <c r="N55" s="21"/>
    </row>
    <row r="56" spans="1:14" ht="15.75" thickBot="1" x14ac:dyDescent="0.3">
      <c r="A56" s="2"/>
      <c r="B56" s="2"/>
      <c r="C56" s="2"/>
      <c r="D56" s="2"/>
      <c r="E56" s="2"/>
      <c r="F56" s="19" t="s">
        <v>9</v>
      </c>
      <c r="G56" s="19"/>
      <c r="H56" s="19"/>
      <c r="I56" s="19"/>
      <c r="J56" s="2"/>
      <c r="K56" s="22" t="s">
        <v>20</v>
      </c>
      <c r="L56" s="22"/>
      <c r="M56" s="22"/>
      <c r="N56" s="22"/>
    </row>
    <row r="57" spans="1:14" ht="72" x14ac:dyDescent="0.25">
      <c r="A57" s="2"/>
      <c r="B57" s="3"/>
      <c r="C57" s="3" t="s">
        <v>1</v>
      </c>
      <c r="D57" s="3" t="s">
        <v>35</v>
      </c>
      <c r="E57" s="3" t="s">
        <v>46</v>
      </c>
      <c r="F57" s="3" t="s">
        <v>5</v>
      </c>
      <c r="G57" s="3" t="s">
        <v>6</v>
      </c>
      <c r="H57" s="3" t="s">
        <v>7</v>
      </c>
      <c r="I57" s="3" t="s">
        <v>8</v>
      </c>
      <c r="J57" s="3"/>
      <c r="K57" s="23" t="s">
        <v>5</v>
      </c>
      <c r="L57" s="23" t="s">
        <v>6</v>
      </c>
      <c r="M57" s="23" t="s">
        <v>7</v>
      </c>
      <c r="N57" s="23" t="s">
        <v>8</v>
      </c>
    </row>
    <row r="58" spans="1:14" x14ac:dyDescent="0.25">
      <c r="A58" s="2"/>
      <c r="B58" s="2"/>
      <c r="C58" s="4" t="s">
        <v>2</v>
      </c>
      <c r="D58" s="5">
        <v>3</v>
      </c>
      <c r="E58" s="4">
        <v>20</v>
      </c>
      <c r="F58" s="30"/>
      <c r="G58" s="30"/>
      <c r="H58" s="30"/>
      <c r="I58" s="30"/>
      <c r="J58" s="6"/>
      <c r="K58" s="24">
        <f>$D58*F58*$E58</f>
        <v>0</v>
      </c>
      <c r="L58" s="24">
        <f t="shared" ref="L58:N60" si="27">$D58*G58*$E58</f>
        <v>0</v>
      </c>
      <c r="M58" s="24">
        <f>$D58*H58*$E58</f>
        <v>0</v>
      </c>
      <c r="N58" s="24">
        <f t="shared" si="27"/>
        <v>0</v>
      </c>
    </row>
    <row r="59" spans="1:14" x14ac:dyDescent="0.25">
      <c r="A59" s="2"/>
      <c r="B59" s="2"/>
      <c r="C59" s="4" t="s">
        <v>3</v>
      </c>
      <c r="D59" s="5">
        <v>10</v>
      </c>
      <c r="E59" s="4">
        <v>20</v>
      </c>
      <c r="F59" s="30"/>
      <c r="G59" s="30"/>
      <c r="H59" s="30"/>
      <c r="I59" s="30"/>
      <c r="J59" s="6"/>
      <c r="K59" s="24">
        <f>$D59*F59*$E59</f>
        <v>0</v>
      </c>
      <c r="L59" s="24">
        <f t="shared" si="27"/>
        <v>0</v>
      </c>
      <c r="M59" s="24">
        <f t="shared" si="27"/>
        <v>0</v>
      </c>
      <c r="N59" s="24">
        <f t="shared" si="27"/>
        <v>0</v>
      </c>
    </row>
    <row r="60" spans="1:14" x14ac:dyDescent="0.25">
      <c r="A60" s="2"/>
      <c r="B60" s="2"/>
      <c r="C60" s="4" t="s">
        <v>4</v>
      </c>
      <c r="D60" s="5">
        <v>2.75</v>
      </c>
      <c r="E60" s="4">
        <v>20</v>
      </c>
      <c r="F60" s="30"/>
      <c r="G60" s="30"/>
      <c r="H60" s="30"/>
      <c r="I60" s="30"/>
      <c r="J60" s="6"/>
      <c r="K60" s="24">
        <f>$D60*F60*$E60</f>
        <v>0</v>
      </c>
      <c r="L60" s="24">
        <f>$D60*G60*$E60</f>
        <v>0</v>
      </c>
      <c r="M60" s="24">
        <f t="shared" si="27"/>
        <v>0</v>
      </c>
      <c r="N60" s="24">
        <f t="shared" si="27"/>
        <v>0</v>
      </c>
    </row>
    <row r="62" spans="1:14" ht="18" x14ac:dyDescent="0.25">
      <c r="C62" s="8" t="s">
        <v>21</v>
      </c>
      <c r="D62" s="7"/>
      <c r="E62" s="7"/>
      <c r="F62" s="7"/>
      <c r="G62" s="7"/>
      <c r="H62" s="7"/>
      <c r="I62" s="7"/>
      <c r="K62" s="25">
        <f>SUM(K58:K61)</f>
        <v>0</v>
      </c>
      <c r="L62" s="25">
        <f t="shared" ref="L62" si="28">SUM(L58:L61)</f>
        <v>0</v>
      </c>
      <c r="M62" s="25">
        <f t="shared" ref="M62" si="29">SUM(M58:M61)</f>
        <v>0</v>
      </c>
      <c r="N62" s="25">
        <f t="shared" ref="N62" si="30">SUM(N58:N61)</f>
        <v>0</v>
      </c>
    </row>
    <row r="63" spans="1:14" x14ac:dyDescent="0.25">
      <c r="D63" t="s">
        <v>44</v>
      </c>
      <c r="K63" s="26">
        <f>K62/20</f>
        <v>0</v>
      </c>
      <c r="L63" s="26">
        <f t="shared" ref="L63:N63" si="31">L62/20</f>
        <v>0</v>
      </c>
      <c r="M63" s="26">
        <f t="shared" si="31"/>
        <v>0</v>
      </c>
      <c r="N63" s="26">
        <f t="shared" si="31"/>
        <v>0</v>
      </c>
    </row>
    <row r="64" spans="1:14" ht="18" x14ac:dyDescent="0.25">
      <c r="C64" s="8"/>
      <c r="D64" s="7"/>
      <c r="E64" s="7"/>
      <c r="F64" s="7"/>
      <c r="G64" s="7"/>
      <c r="H64" s="7"/>
      <c r="I64" s="7"/>
      <c r="K64" s="28"/>
      <c r="L64" s="28"/>
      <c r="M64" s="28"/>
      <c r="N64" s="28"/>
    </row>
    <row r="66" spans="1:14" ht="18" x14ac:dyDescent="0.25">
      <c r="C66" s="8" t="s">
        <v>22</v>
      </c>
      <c r="K66" s="25">
        <f>+K14+K26+K38+K50+K62</f>
        <v>0</v>
      </c>
      <c r="L66" s="25">
        <f t="shared" ref="L66:N66" si="32">+L14+L26+L38+L50+L62</f>
        <v>0</v>
      </c>
      <c r="M66" s="25">
        <f t="shared" si="32"/>
        <v>0</v>
      </c>
      <c r="N66" s="25">
        <f t="shared" si="32"/>
        <v>0</v>
      </c>
    </row>
    <row r="67" spans="1:14" ht="15.75" thickBot="1" x14ac:dyDescent="0.3"/>
    <row r="68" spans="1:14" ht="18.75" thickBot="1" x14ac:dyDescent="0.3">
      <c r="C68" s="8" t="s">
        <v>30</v>
      </c>
      <c r="N68" s="29">
        <f>SUM(K66:N66)</f>
        <v>0</v>
      </c>
    </row>
    <row r="71" spans="1:14" x14ac:dyDescent="0.25">
      <c r="A71" s="18" t="s">
        <v>23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x14ac:dyDescent="0.25">
      <c r="A72" s="2"/>
    </row>
    <row r="73" spans="1:14" x14ac:dyDescent="0.25">
      <c r="A73" s="18" t="s">
        <v>36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5" spans="1:14" ht="31.5" customHeight="1" x14ac:dyDescent="0.25">
      <c r="A75" s="17" t="s">
        <v>38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</row>
  </sheetData>
  <sheetProtection password="F96B" sheet="1" objects="1" scenarios="1" selectLockedCells="1"/>
  <mergeCells count="16">
    <mergeCell ref="A1:N1"/>
    <mergeCell ref="A3:C3"/>
    <mergeCell ref="D3:K3"/>
    <mergeCell ref="A75:N75"/>
    <mergeCell ref="A73:N73"/>
    <mergeCell ref="A71:N71"/>
    <mergeCell ref="F44:I44"/>
    <mergeCell ref="K44:N44"/>
    <mergeCell ref="F56:I56"/>
    <mergeCell ref="K56:N56"/>
    <mergeCell ref="F8:I8"/>
    <mergeCell ref="K8:N8"/>
    <mergeCell ref="F20:I20"/>
    <mergeCell ref="K20:N20"/>
    <mergeCell ref="F32:I32"/>
    <mergeCell ref="K32:N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Appendix B - Cost Submittal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Reinhold, Beverly</dc:creator>
  <cp:lastModifiedBy>Reinhold, Beverly</cp:lastModifiedBy>
  <dcterms:created xsi:type="dcterms:W3CDTF">2013-07-18T17:28:31Z</dcterms:created>
  <dcterms:modified xsi:type="dcterms:W3CDTF">2013-08-05T17:42:24Z</dcterms:modified>
</cp:coreProperties>
</file>