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worksheets/sheet6.xml" ContentType="application/vnd.openxmlformats-officedocument.spreadsheetml.worksheet+xml"/>
  <Default Extension="rels" ContentType="application/vnd.openxmlformats-package.relationship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charts/chart2.xml" ContentType="application/vnd.openxmlformats-officedocument.drawingml.char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720" yWindow="320" windowWidth="22700" windowHeight="9680"/>
  </bookViews>
  <sheets>
    <sheet name="Legend" sheetId="10" r:id="rId1"/>
    <sheet name="DE District Master" sheetId="1" r:id="rId2"/>
    <sheet name="DE Charter Master" sheetId="2" r:id="rId3"/>
    <sheet name="Figures 1,2,4" sheetId="6" r:id="rId4"/>
    <sheet name="Figure 3" sheetId="7" r:id="rId5"/>
    <sheet name="Figure 5" sheetId="8" r:id="rId6"/>
    <sheet name="Figure 6" sheetId="9" r:id="rId7"/>
    <sheet name="DE District Wrk" sheetId="3" r:id="rId8"/>
    <sheet name="DE Charter Wrk" sheetId="4" r:id="rId9"/>
    <sheet name="Wilmington Charters" sheetId="5" r:id="rId10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E29" i="4"/>
  <c r="E30"/>
  <c r="E33"/>
  <c r="F29"/>
  <c r="G29"/>
  <c r="H29"/>
  <c r="I29"/>
  <c r="J29"/>
  <c r="K29"/>
  <c r="L29"/>
  <c r="M29"/>
  <c r="N29"/>
  <c r="O29"/>
  <c r="P29"/>
  <c r="P30"/>
  <c r="P33"/>
  <c r="Q29"/>
  <c r="R29"/>
  <c r="S29"/>
  <c r="T29"/>
  <c r="U29"/>
  <c r="V29"/>
  <c r="W29"/>
  <c r="X29"/>
  <c r="Y29"/>
  <c r="Z29"/>
  <c r="Z30"/>
  <c r="Z33"/>
  <c r="AA29"/>
  <c r="AB29"/>
  <c r="AC29"/>
  <c r="AD29"/>
  <c r="AD30"/>
  <c r="AD33"/>
  <c r="AF33"/>
  <c r="C30"/>
  <c r="E34"/>
  <c r="P34"/>
  <c r="Z34"/>
  <c r="AD34"/>
  <c r="AF34"/>
  <c r="E35"/>
  <c r="P35"/>
  <c r="Z35"/>
  <c r="AD35"/>
  <c r="D29"/>
  <c r="AF30"/>
  <c r="AG61" i="3"/>
  <c r="AF61"/>
  <c r="AA61"/>
  <c r="Q61"/>
  <c r="F61"/>
  <c r="B61"/>
  <c r="AH61"/>
  <c r="AH65"/>
  <c r="F64"/>
  <c r="AA64"/>
  <c r="AG64"/>
  <c r="AG65"/>
  <c r="Q64"/>
  <c r="Q65"/>
  <c r="AF64"/>
  <c r="AF65"/>
  <c r="B44"/>
  <c r="AG44"/>
  <c r="AF44"/>
  <c r="AA44"/>
  <c r="Q44"/>
  <c r="F44"/>
  <c r="AA65"/>
  <c r="AH64"/>
  <c r="F65"/>
  <c r="F47"/>
  <c r="AA47"/>
  <c r="AG47"/>
  <c r="AG48"/>
  <c r="AH44"/>
  <c r="AH48"/>
  <c r="Q47"/>
  <c r="Q48"/>
  <c r="AF47"/>
  <c r="AF48"/>
  <c r="F66"/>
  <c r="AG66"/>
  <c r="Q66"/>
  <c r="AF66"/>
  <c r="AA66"/>
  <c r="AA48"/>
  <c r="AH47"/>
  <c r="AA49"/>
  <c r="F48"/>
  <c r="F49"/>
  <c r="AG49"/>
  <c r="Q49"/>
  <c r="AF49"/>
  <c r="N33" i="6"/>
  <c r="F12"/>
  <c r="M32"/>
  <c r="F10"/>
  <c r="K32"/>
  <c r="N31"/>
  <c r="M31"/>
  <c r="L31"/>
  <c r="K31"/>
  <c r="J31"/>
  <c r="N30"/>
  <c r="I5"/>
  <c r="L4"/>
  <c r="K4"/>
  <c r="J4"/>
  <c r="E32"/>
  <c r="C31"/>
  <c r="E31"/>
  <c r="C29"/>
  <c r="E29"/>
  <c r="D14"/>
  <c r="D32"/>
  <c r="E13"/>
  <c r="C11"/>
  <c r="E11"/>
  <c r="C9"/>
  <c r="E9"/>
  <c r="C12"/>
  <c r="E12"/>
  <c r="L30"/>
  <c r="C10"/>
  <c r="E10"/>
  <c r="J30"/>
  <c r="B18"/>
  <c r="B24"/>
  <c r="F13"/>
  <c r="N32"/>
  <c r="F11"/>
  <c r="L32"/>
  <c r="F16"/>
  <c r="C30"/>
  <c r="E30"/>
  <c r="C28"/>
  <c r="E28"/>
  <c r="K30"/>
  <c r="M30"/>
  <c r="D28"/>
  <c r="D29"/>
  <c r="D30"/>
  <c r="D31"/>
  <c r="C14"/>
  <c r="B16"/>
  <c r="B19"/>
  <c r="B5"/>
  <c r="K3"/>
  <c r="E14"/>
  <c r="F9"/>
  <c r="J32"/>
  <c r="B13"/>
  <c r="N29"/>
  <c r="B17"/>
  <c r="B10"/>
  <c r="K29"/>
  <c r="B12"/>
  <c r="M29"/>
  <c r="F30"/>
  <c r="F32"/>
  <c r="F22"/>
  <c r="F29"/>
  <c r="F31"/>
  <c r="F14"/>
  <c r="F4"/>
  <c r="J5"/>
  <c r="F28"/>
  <c r="B9"/>
  <c r="J29"/>
  <c r="B11"/>
  <c r="L29"/>
  <c r="B22"/>
  <c r="B30"/>
  <c r="B28"/>
  <c r="B32"/>
  <c r="B29"/>
  <c r="B31"/>
  <c r="B14"/>
  <c r="B4"/>
  <c r="J3"/>
  <c r="B6"/>
  <c r="B26"/>
  <c r="B25"/>
  <c r="B35"/>
  <c r="L3"/>
  <c r="B23"/>
  <c r="B7"/>
  <c r="G11"/>
  <c r="L33"/>
  <c r="G9"/>
  <c r="J33"/>
  <c r="G31"/>
  <c r="G30"/>
  <c r="G29"/>
  <c r="G28"/>
  <c r="G12"/>
  <c r="M33"/>
  <c r="G10"/>
  <c r="K33"/>
  <c r="F18"/>
  <c r="F19"/>
  <c r="F17"/>
  <c r="G14"/>
  <c r="F5"/>
  <c r="K5"/>
  <c r="F6"/>
  <c r="L5"/>
  <c r="F24"/>
  <c r="F26"/>
  <c r="F25"/>
  <c r="F23"/>
  <c r="F7"/>
  <c r="F35"/>
  <c r="E20" i="5"/>
  <c r="E23"/>
  <c r="C19"/>
  <c r="E24"/>
  <c r="P20"/>
  <c r="P23"/>
  <c r="P24"/>
  <c r="Z20"/>
  <c r="Z23"/>
  <c r="Z24"/>
  <c r="AD20"/>
  <c r="AD23"/>
  <c r="AD24"/>
  <c r="AF24"/>
  <c r="AF23"/>
  <c r="E19"/>
  <c r="P19"/>
  <c r="AD19"/>
  <c r="AC19"/>
  <c r="AB19"/>
  <c r="AA19"/>
  <c r="Z19"/>
  <c r="Y19"/>
  <c r="X19"/>
  <c r="W19"/>
  <c r="V19"/>
  <c r="U19"/>
  <c r="T19"/>
  <c r="S19"/>
  <c r="R19"/>
  <c r="Q19"/>
  <c r="O19"/>
  <c r="N19"/>
  <c r="M19"/>
  <c r="L19"/>
  <c r="K19"/>
  <c r="J19"/>
  <c r="I19"/>
  <c r="H19"/>
  <c r="G19"/>
  <c r="F19"/>
  <c r="D19"/>
  <c r="AD25"/>
  <c r="P25"/>
  <c r="Z25"/>
  <c r="E25"/>
</calcChain>
</file>

<file path=xl/sharedStrings.xml><?xml version="1.0" encoding="utf-8"?>
<sst xmlns="http://schemas.openxmlformats.org/spreadsheetml/2006/main" count="1443" uniqueCount="302">
  <si>
    <t>Use these options for the query to the left only (B18)</t>
  </si>
  <si>
    <t>State funding formula is fair and equitable (Yes = black, No = white</t>
  </si>
  <si>
    <t>* For this finding, No could indicate that the statue is silent or that it denies access.</t>
  </si>
  <si>
    <t>http://www.doe.k12.de.us/infosuites/schools/charterschools/Reports/charter_DECharterSchoolFAQ-Apr06.pdf</t>
  </si>
  <si>
    <t>X</t>
  </si>
  <si>
    <t>The state charter school law specified a cap of no more than five charter schools per year for the first three years after passage of the charter school law.  Those caps ended with the 1998-99 school year.  While the law no longer specifies a cap, local school boards and the state department of education may limit the number of charters geranted in a given year.  Such action requires the approval of the state board of education.  To date, neither districts nor the state department have requested permission to limite charters in any year.</t>
  </si>
  <si>
    <t>&gt;</t>
  </si>
  <si>
    <t>Percentage of students eligible for free or reduced price lunch</t>
  </si>
  <si>
    <t>Figure 5: State Characteristics</t>
  </si>
  <si>
    <t>Figure 6:  State Scorecard</t>
  </si>
  <si>
    <t>Delaware</t>
  </si>
  <si>
    <t>Percentage of federal revenue equals percentage of total enrollment for charter schools (&lt;, &gt;, or =)</t>
  </si>
  <si>
    <t>Percentage of state revenue equals percentage of total enrollment for charter schools (&lt;, &gt;, or =)</t>
  </si>
  <si>
    <t>Percentage of local revenue equals percentage of total enrollment for charter schools (&lt;, &gt;, or =)</t>
  </si>
  <si>
    <t>Percentage of facilities revenue equals percentage of total enrollment for charter schools (&lt;, &gt;, or =)</t>
  </si>
  <si>
    <t>Statewide Weighted for Charter Enrollment</t>
  </si>
  <si>
    <t>n/a</t>
  </si>
  <si>
    <t>Statewide Weighted</t>
  </si>
  <si>
    <t>Legend</t>
  </si>
  <si>
    <t>Source</t>
  </si>
  <si>
    <t>Delaware Department of Education</t>
  </si>
  <si>
    <t>The conclusions reached in this document are those of the author(s) and do not necessarily represent those</t>
  </si>
  <si>
    <t xml:space="preserve">of Ball State University.  </t>
  </si>
  <si>
    <t>All files are "read only" and based on data collections from the Delaware Department of Education.</t>
  </si>
  <si>
    <t>Charter schools are eligible for local funding</t>
  </si>
  <si>
    <t>Cap on funding a charter school can receive</t>
  </si>
  <si>
    <t>District public school receive differential funding (e.g. more funding for 9-12 vs. K-8 schools)</t>
  </si>
  <si>
    <t>Charter schools receive differential funding</t>
  </si>
  <si>
    <t>State allows districts to withhold funding from charter schools for providing adminstrative services</t>
  </si>
  <si>
    <t>State "holds harmless" ditrict funding for charter enrollment</t>
  </si>
  <si>
    <t>School is considered LEA if authorized by non-district organization</t>
  </si>
  <si>
    <t>School is considered LEA if authorized by district</t>
  </si>
  <si>
    <t>Cap on number of charter schools</t>
  </si>
  <si>
    <t>Cap on number of charters schools authorized per year</t>
  </si>
  <si>
    <t>Cap on number of studens attending charter schools</t>
  </si>
  <si>
    <t>Charter schools have an open enrollment policy</t>
  </si>
  <si>
    <t>Percentage of schools eligible for Title 1</t>
  </si>
  <si>
    <t>Percent of students by school type</t>
  </si>
  <si>
    <t>Primary (K-5)</t>
  </si>
  <si>
    <t>Middle (6-8)</t>
  </si>
  <si>
    <t>High (9-12)</t>
  </si>
  <si>
    <t>Other (K-12,K-8, etc.)</t>
  </si>
  <si>
    <t>Findings</t>
  </si>
  <si>
    <t>Use the following options only</t>
  </si>
  <si>
    <t>Federal Funding</t>
  </si>
  <si>
    <t>Charters have access to federal funds according to state statutes (Yes = black, No = white)*</t>
  </si>
  <si>
    <t>Y</t>
  </si>
  <si>
    <t>P</t>
  </si>
  <si>
    <t>N</t>
  </si>
  <si>
    <t>State Funding</t>
  </si>
  <si>
    <t>Charters have access to state funds according to state statutes (Yes = black, No = white)</t>
  </si>
  <si>
    <t>Local Funding</t>
  </si>
  <si>
    <t>Charters have access to local funds according to state statutes (Yes = black, No = white)</t>
  </si>
  <si>
    <t>Facilities Funding</t>
  </si>
  <si>
    <t>Charters have access to facilities funds according to state statutes (Yes = black, No = white)</t>
  </si>
  <si>
    <t>Data Availability</t>
  </si>
  <si>
    <t>State provides detailed, public data on federal, state, local and other revenues for district schools (Yes = black, Partial = grey, No = white)</t>
  </si>
  <si>
    <t>State provides detailed, public data on federal, state, local and other revenues for charter schools (Yes = black, Partial = grey, No = white)</t>
  </si>
  <si>
    <t>Funding Formula</t>
  </si>
  <si>
    <t>Charters are treated as LEAs for funding purposes (Yes = black, Partial = grey, No = white)</t>
  </si>
  <si>
    <t>State funds student (black) or the LEA (grey)</t>
  </si>
  <si>
    <t>S</t>
  </si>
  <si>
    <t>L</t>
  </si>
  <si>
    <t>Academy of Dover</t>
  </si>
  <si>
    <t>Sussex College</t>
  </si>
  <si>
    <t xml:space="preserve">Odyssey </t>
  </si>
  <si>
    <t>Fam Foundations Acad</t>
  </si>
  <si>
    <t>Pencader Charter High</t>
  </si>
  <si>
    <t>Moyer Academy</t>
  </si>
  <si>
    <t xml:space="preserve"> </t>
  </si>
  <si>
    <t>CHARTER SCHOOL TOTAL</t>
  </si>
  <si>
    <t>State Funds - $48,546,674 64.1%</t>
  </si>
  <si>
    <t>Federal Funds - $4,698,404 6.2%</t>
  </si>
  <si>
    <t>Local Funds* - $19,596,250 25.9%</t>
  </si>
  <si>
    <t>Total $75693727 Million</t>
  </si>
  <si>
    <t>STATE APPROPRIATIONS FOR CHARTER SCHOOLS</t>
  </si>
  <si>
    <t>REVENUE RECEIPTS FOR CHARTER SCHOOLS</t>
  </si>
  <si>
    <t>Note:      Row totals may vary due to rounding.     * Related Services Reflects Contractual Option Only</t>
  </si>
  <si>
    <t>Division II - $7,824     (0.0%)</t>
  </si>
  <si>
    <t>Taxes for Current</t>
  </si>
  <si>
    <t>Omit</t>
  </si>
  <si>
    <t>Indeterminate</t>
  </si>
  <si>
    <t>light blue equals Wilmington charter</t>
  </si>
  <si>
    <t>State CHARTER SCHOOL TOTAL</t>
  </si>
  <si>
    <t>Location</t>
  </si>
  <si>
    <t>Wilmington</t>
  </si>
  <si>
    <t>PPR</t>
  </si>
  <si>
    <t>Statewide District TOTALS</t>
  </si>
  <si>
    <t xml:space="preserve">local and state - </t>
  </si>
  <si>
    <t>combo of state and local too from the choice program</t>
  </si>
  <si>
    <t>Wilmington Charter</t>
  </si>
  <si>
    <t>have a call into Scott Kessel at DDE to ask why there is no Local contribution when there was a local contribution in the FY03 data.  302-735-4040 or skessel@doe.k12.de.us</t>
  </si>
  <si>
    <t>Figure 1</t>
  </si>
  <si>
    <t>Figure 2</t>
  </si>
  <si>
    <t>Statewide</t>
  </si>
  <si>
    <t>District</t>
  </si>
  <si>
    <t>Charter</t>
  </si>
  <si>
    <t>Difference</t>
  </si>
  <si>
    <t>Per-Pupil Revenue</t>
  </si>
  <si>
    <t>Per-Pupil Revenue by Source</t>
  </si>
  <si>
    <t xml:space="preserve">District </t>
  </si>
  <si>
    <t>Number of Charters</t>
  </si>
  <si>
    <t>Total Revenue</t>
  </si>
  <si>
    <t>Figure 4</t>
  </si>
  <si>
    <t>Percentage of Revenue by Source</t>
  </si>
  <si>
    <t xml:space="preserve">Other </t>
  </si>
  <si>
    <t>Statewide District</t>
  </si>
  <si>
    <t>Statewide Charter</t>
  </si>
  <si>
    <t>Change in district school funding if subjected to charter funding structure</t>
  </si>
  <si>
    <t>Delaware  (2006-07)</t>
  </si>
  <si>
    <t>Wilmington District</t>
  </si>
  <si>
    <t>Tuition incoming is considered Local</t>
  </si>
  <si>
    <t>Less Adult</t>
  </si>
  <si>
    <t>Less PreK</t>
  </si>
  <si>
    <t>Wilmington Districts</t>
  </si>
  <si>
    <t>Wilington District Totals</t>
  </si>
  <si>
    <t>Subtotal</t>
  </si>
  <si>
    <t>Less Adult Education - State does not have this information</t>
  </si>
  <si>
    <t>Less Pre-K - Used NIEER data as the state does not have this information</t>
  </si>
  <si>
    <t>($418 million)</t>
  </si>
  <si>
    <t>($157 million)</t>
  </si>
  <si>
    <t>State Charter School Policies</t>
  </si>
  <si>
    <t>Figure 3</t>
  </si>
  <si>
    <t>State Policies</t>
  </si>
  <si>
    <t>Yes</t>
  </si>
  <si>
    <t xml:space="preserve">No </t>
  </si>
  <si>
    <t>Partial</t>
  </si>
  <si>
    <t>Charter schools received their funding directly from the state</t>
  </si>
  <si>
    <t xml:space="preserve">Related  </t>
  </si>
  <si>
    <t>Other</t>
  </si>
  <si>
    <t xml:space="preserve">Total </t>
  </si>
  <si>
    <t>Allocation</t>
  </si>
  <si>
    <t>Services *</t>
  </si>
  <si>
    <t>State</t>
  </si>
  <si>
    <t>Notes:      Row totals may vary due to rounding.    * Related Services is Contractual Option Only</t>
  </si>
  <si>
    <t>Revenue Receipts Pie Chart</t>
  </si>
  <si>
    <t>TABLE 32</t>
  </si>
  <si>
    <t>FEDERAL SOURCES</t>
  </si>
  <si>
    <t xml:space="preserve">IASA </t>
  </si>
  <si>
    <t>IDEA-B</t>
  </si>
  <si>
    <t xml:space="preserve">IDEA-B   </t>
  </si>
  <si>
    <t xml:space="preserve">IASA  </t>
  </si>
  <si>
    <t xml:space="preserve">Public   </t>
  </si>
  <si>
    <t>Title I</t>
  </si>
  <si>
    <t>Title VI</t>
  </si>
  <si>
    <t xml:space="preserve">Basic </t>
  </si>
  <si>
    <t>Pre-School</t>
  </si>
  <si>
    <t>Migrant</t>
  </si>
  <si>
    <t>Law 874</t>
  </si>
  <si>
    <t>Title II</t>
  </si>
  <si>
    <t xml:space="preserve">159   </t>
  </si>
  <si>
    <t>TABLE 32 (CONTINUED)</t>
  </si>
  <si>
    <t>Vocational</t>
  </si>
  <si>
    <t>Adult Basic</t>
  </si>
  <si>
    <t>Drug Free</t>
  </si>
  <si>
    <t>Education</t>
  </si>
  <si>
    <t xml:space="preserve">Schools </t>
  </si>
  <si>
    <t>Federal</t>
  </si>
  <si>
    <t>TABLE 33</t>
  </si>
  <si>
    <t>LOCAL SOURCES</t>
  </si>
  <si>
    <t>Current Expenses</t>
  </si>
  <si>
    <t xml:space="preserve">Tuition   </t>
  </si>
  <si>
    <t xml:space="preserve">Interest  </t>
  </si>
  <si>
    <t xml:space="preserve">Rent   </t>
  </si>
  <si>
    <t>Athletic</t>
  </si>
  <si>
    <t>Operations</t>
  </si>
  <si>
    <t>Incoming</t>
  </si>
  <si>
    <t>Received</t>
  </si>
  <si>
    <t>Income</t>
  </si>
  <si>
    <t>Funds</t>
  </si>
  <si>
    <t xml:space="preserve">161            </t>
  </si>
  <si>
    <t>TABLE 33 (CONTINUED)</t>
  </si>
  <si>
    <t>Other Than Current Expenses</t>
  </si>
  <si>
    <t>Taxes For</t>
  </si>
  <si>
    <t xml:space="preserve">Interest    </t>
  </si>
  <si>
    <t xml:space="preserve">Net     </t>
  </si>
  <si>
    <t xml:space="preserve">Tuition  </t>
  </si>
  <si>
    <t xml:space="preserve">Debt    </t>
  </si>
  <si>
    <t>Construction</t>
  </si>
  <si>
    <t xml:space="preserve">Minor   </t>
  </si>
  <si>
    <t>Revenue</t>
  </si>
  <si>
    <t>Outgoing</t>
  </si>
  <si>
    <t xml:space="preserve">Service  </t>
  </si>
  <si>
    <t xml:space="preserve">Fund      </t>
  </si>
  <si>
    <t xml:space="preserve">Caps.  </t>
  </si>
  <si>
    <t>Receipts</t>
  </si>
  <si>
    <t>Note:      Revenue Receipts Adjusted For Within State Tuition ($64,819,653).  Row totals may vary due to rounding.</t>
  </si>
  <si>
    <t>TABLE 36</t>
  </si>
  <si>
    <t>NONREVENUE RECEIPTS</t>
  </si>
  <si>
    <t>Sale Of Bonds</t>
  </si>
  <si>
    <t>Local</t>
  </si>
  <si>
    <t xml:space="preserve">165    </t>
  </si>
  <si>
    <t>REVENUE RECEIPTS - FEDERAL SOURCES</t>
  </si>
  <si>
    <t>REVENUE RECEIPTS - LOCAL SOURCES FOR CURRENT EXPENSES</t>
  </si>
  <si>
    <t>REVENUE RECEIPTS - LOCAL SOURCES FOR OTHER THAN CURRENT EXPENSES</t>
  </si>
  <si>
    <t>tAXes for current</t>
  </si>
  <si>
    <t>Taxes for Tuition</t>
  </si>
  <si>
    <t>Taxes for Debt</t>
  </si>
  <si>
    <t>Interest Construction</t>
  </si>
  <si>
    <t>Taxes for Minor</t>
  </si>
  <si>
    <t>Net Revenue</t>
  </si>
  <si>
    <t>Other State</t>
  </si>
  <si>
    <t>Sale of Property</t>
  </si>
  <si>
    <t>Insurance Adjustments</t>
  </si>
  <si>
    <t>Other nonrevenue</t>
  </si>
  <si>
    <t>Total Nonrevenue Receipts</t>
  </si>
  <si>
    <t>Enrollment</t>
  </si>
  <si>
    <t>INCOME SOURCES BY CHARTER SCHOOL</t>
  </si>
  <si>
    <t>CHARTER SCHOOL</t>
  </si>
  <si>
    <t>Charter School of Wilmington</t>
  </si>
  <si>
    <t>Positive Outcms</t>
  </si>
  <si>
    <t>East Side</t>
  </si>
  <si>
    <t>Campus Comm</t>
  </si>
  <si>
    <t>Thomas Edison</t>
  </si>
  <si>
    <t>Sussex Academy</t>
  </si>
  <si>
    <t>Delaware Military Academy</t>
  </si>
  <si>
    <t>Kuumba</t>
  </si>
  <si>
    <t>Marion T. Academy</t>
  </si>
  <si>
    <t>Providence Creek</t>
  </si>
  <si>
    <t>MOT</t>
  </si>
  <si>
    <t>Newark Charter</t>
  </si>
  <si>
    <t>TABLE 30</t>
  </si>
  <si>
    <t>INCOME SOURCES BY DISTRICT</t>
  </si>
  <si>
    <t>2006-2007</t>
  </si>
  <si>
    <t>Revenue Receipts</t>
  </si>
  <si>
    <t>Nonrevenue Receipts</t>
  </si>
  <si>
    <t xml:space="preserve">Net Total   </t>
  </si>
  <si>
    <t xml:space="preserve">         District</t>
  </si>
  <si>
    <t xml:space="preserve">State   </t>
  </si>
  <si>
    <t xml:space="preserve">Federal </t>
  </si>
  <si>
    <t>Net Local</t>
  </si>
  <si>
    <t xml:space="preserve">Total   </t>
  </si>
  <si>
    <t xml:space="preserve">Local   </t>
  </si>
  <si>
    <t xml:space="preserve">Total  </t>
  </si>
  <si>
    <t xml:space="preserve">Income    </t>
  </si>
  <si>
    <t>NEW CASTLE COUNTY</t>
  </si>
  <si>
    <t xml:space="preserve">    Appoquinimink</t>
  </si>
  <si>
    <t xml:space="preserve">    Brandywine</t>
  </si>
  <si>
    <t xml:space="preserve">        Data Service Center</t>
  </si>
  <si>
    <t xml:space="preserve">    Christina</t>
  </si>
  <si>
    <t xml:space="preserve">        Brennen School</t>
  </si>
  <si>
    <t xml:space="preserve">        Margaret S. Sterck</t>
  </si>
  <si>
    <t xml:space="preserve">        Reach/CBIP</t>
  </si>
  <si>
    <t xml:space="preserve">        Douglass</t>
  </si>
  <si>
    <t xml:space="preserve">    Colonial</t>
  </si>
  <si>
    <t xml:space="preserve">        John G. Leach</t>
  </si>
  <si>
    <t xml:space="preserve">    New Castle Voc-Tech</t>
  </si>
  <si>
    <t xml:space="preserve">    Red Clay</t>
  </si>
  <si>
    <t xml:space="preserve">        Meadow Wood</t>
  </si>
  <si>
    <t xml:space="preserve">        Central School</t>
  </si>
  <si>
    <t xml:space="preserve">     COUNTY TOTALS</t>
  </si>
  <si>
    <t>KENT COUNTY</t>
  </si>
  <si>
    <t xml:space="preserve">    Caesar Rodney</t>
  </si>
  <si>
    <t xml:space="preserve">        John S. Charlton</t>
  </si>
  <si>
    <t xml:space="preserve">        Dover Air Base</t>
  </si>
  <si>
    <t xml:space="preserve">    Capital</t>
  </si>
  <si>
    <t xml:space="preserve">    Polytech</t>
  </si>
  <si>
    <t xml:space="preserve">    Lake Forest</t>
  </si>
  <si>
    <t xml:space="preserve">    Milford</t>
  </si>
  <si>
    <t xml:space="preserve">    Smyrna</t>
  </si>
  <si>
    <t>SUSSEX COUNTY</t>
  </si>
  <si>
    <t xml:space="preserve">    Cape Henlopen</t>
  </si>
  <si>
    <t xml:space="preserve">    Delmar</t>
  </si>
  <si>
    <t xml:space="preserve">    Indian River</t>
  </si>
  <si>
    <t xml:space="preserve">        Howard T. Ennis</t>
  </si>
  <si>
    <t xml:space="preserve">    Laurel</t>
  </si>
  <si>
    <t xml:space="preserve">    Seaford</t>
  </si>
  <si>
    <t xml:space="preserve">    Sussex Technical</t>
  </si>
  <si>
    <t xml:space="preserve">    Woodbridge</t>
  </si>
  <si>
    <t>CHARTER TOTALS</t>
  </si>
  <si>
    <t>TOTAL ALL DISTRICTS</t>
  </si>
  <si>
    <t xml:space="preserve">    Department of Education</t>
  </si>
  <si>
    <t>TOTAL ALL DISTRICTS, STATE</t>
  </si>
  <si>
    <t>Note:      Local Revenue Receipts Adjusted For Within State Tuition ($64,819,653).  Row totals may vary due to rounding</t>
  </si>
  <si>
    <t>Source:  School Districts’ Annual Financial Statement To DOE Finance Section</t>
  </si>
  <si>
    <t>GRAPH   DATA</t>
  </si>
  <si>
    <t>State Funds</t>
  </si>
  <si>
    <t>Federal Funds</t>
  </si>
  <si>
    <t>Local Funds*</t>
  </si>
  <si>
    <t>Total</t>
  </si>
  <si>
    <t>TABLE 31</t>
  </si>
  <si>
    <t>REVENUE RECEIPTS</t>
  </si>
  <si>
    <t>STATE APPROPRIATIONS</t>
  </si>
  <si>
    <t>Division I</t>
  </si>
  <si>
    <t xml:space="preserve">Division I  </t>
  </si>
  <si>
    <t>Division II</t>
  </si>
  <si>
    <t xml:space="preserve">Division II </t>
  </si>
  <si>
    <t xml:space="preserve">Division III  </t>
  </si>
  <si>
    <t xml:space="preserve">Trans-    </t>
  </si>
  <si>
    <t xml:space="preserve">             Debt Service</t>
  </si>
  <si>
    <t xml:space="preserve">Salaries </t>
  </si>
  <si>
    <t>Other Cost</t>
  </si>
  <si>
    <t xml:space="preserve">Energy  </t>
  </si>
  <si>
    <t>Equalization</t>
  </si>
  <si>
    <t xml:space="preserve">Portation  </t>
  </si>
  <si>
    <t>Principal</t>
  </si>
  <si>
    <t>Interest</t>
  </si>
  <si>
    <t>Note:      Row totals may vary due to rounding.</t>
  </si>
  <si>
    <t>Source:  School Districts' Annual Financial Statement To DOE Finance Section</t>
  </si>
  <si>
    <t>REVENUE RECEIPTS - STATE APPROPRIATIONS</t>
  </si>
  <si>
    <t>TABLE 31 (CONTINUED)</t>
  </si>
  <si>
    <t>Academic</t>
  </si>
</sst>
</file>

<file path=xl/styles.xml><?xml version="1.0" encoding="utf-8"?>
<styleSheet xmlns="http://schemas.openxmlformats.org/spreadsheetml/2006/main">
  <numFmts count="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0.0%"/>
    <numFmt numFmtId="167" formatCode="_(&quot;$&quot;* #,##0_);_(&quot;$&quot;* \(#,##0\);_(&quot;$&quot;* &quot;-&quot;??_);_(@_)"/>
  </numFmts>
  <fonts count="20">
    <font>
      <sz val="11"/>
      <color theme="1"/>
      <name val="Calibri"/>
      <family val="2"/>
      <scheme val="minor"/>
    </font>
    <font>
      <sz val="8"/>
      <name val="Helvetica"/>
      <family val="2"/>
    </font>
    <font>
      <b/>
      <sz val="8"/>
      <name val="Helvetica"/>
      <family val="2"/>
    </font>
    <font>
      <sz val="10"/>
      <color indexed="12"/>
      <name val="Helvetica"/>
      <family val="2"/>
    </font>
    <font>
      <sz val="8"/>
      <color indexed="10"/>
      <name val="Helvetica"/>
      <family val="2"/>
    </font>
    <font>
      <sz val="8"/>
      <color indexed="18"/>
      <name val="Helvetica"/>
      <family val="2"/>
    </font>
    <font>
      <b/>
      <i/>
      <sz val="8"/>
      <name val="Helvetica"/>
      <family val="2"/>
    </font>
    <font>
      <sz val="7"/>
      <name val="Helvetica"/>
      <family val="2"/>
    </font>
    <font>
      <sz val="8"/>
      <name val="Arial"/>
      <family val="2"/>
    </font>
    <font>
      <sz val="10"/>
      <name val="Helvetica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</font>
  </fonts>
  <fills count="1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</cellStyleXfs>
  <cellXfs count="203">
    <xf numFmtId="0" fontId="0" fillId="0" borderId="0" xfId="0"/>
    <xf numFmtId="0" fontId="1" fillId="0" borderId="0" xfId="0" applyFont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1" fillId="0" borderId="0" xfId="0" applyFont="1" applyAlignment="1"/>
    <xf numFmtId="0" fontId="1" fillId="0" borderId="2" xfId="0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/>
    <xf numFmtId="0" fontId="1" fillId="0" borderId="4" xfId="0" applyFont="1" applyBorder="1" applyAlignment="1">
      <alignment horizontal="right"/>
    </xf>
    <xf numFmtId="3" fontId="1" fillId="0" borderId="0" xfId="0" applyNumberFormat="1" applyFont="1" applyAlignment="1"/>
    <xf numFmtId="0" fontId="2" fillId="0" borderId="0" xfId="0" applyFont="1" applyAlignment="1"/>
    <xf numFmtId="3" fontId="2" fillId="0" borderId="0" xfId="0" applyNumberFormat="1" applyFont="1" applyAlignment="1"/>
    <xf numFmtId="0" fontId="2" fillId="0" borderId="1" xfId="0" applyFont="1" applyBorder="1" applyAlignment="1"/>
    <xf numFmtId="3" fontId="2" fillId="0" borderId="1" xfId="0" applyNumberFormat="1" applyFont="1" applyBorder="1" applyAlignment="1"/>
    <xf numFmtId="0" fontId="3" fillId="0" borderId="0" xfId="0" applyFont="1" applyAlignment="1">
      <alignment horizontal="left"/>
    </xf>
    <xf numFmtId="3" fontId="4" fillId="0" borderId="0" xfId="0" applyNumberFormat="1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wrapText="1"/>
    </xf>
    <xf numFmtId="166" fontId="1" fillId="0" borderId="0" xfId="0" applyNumberFormat="1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/>
    <xf numFmtId="3" fontId="1" fillId="0" borderId="0" xfId="0" applyNumberFormat="1" applyFont="1" applyAlignment="1">
      <alignment wrapText="1"/>
    </xf>
    <xf numFmtId="166" fontId="5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6" fillId="0" borderId="4" xfId="0" applyFont="1" applyBorder="1" applyAlignment="1">
      <alignment horizontal="centerContinuous"/>
    </xf>
    <xf numFmtId="0" fontId="7" fillId="0" borderId="0" xfId="0" applyFont="1" applyAlignment="1">
      <alignment horizontal="right"/>
    </xf>
    <xf numFmtId="0" fontId="7" fillId="0" borderId="4" xfId="0" applyFont="1" applyBorder="1" applyAlignment="1"/>
    <xf numFmtId="0" fontId="7" fillId="0" borderId="4" xfId="0" applyFont="1" applyBorder="1" applyAlignment="1">
      <alignment horizontal="right"/>
    </xf>
    <xf numFmtId="0" fontId="7" fillId="0" borderId="0" xfId="0" applyFont="1" applyAlignment="1"/>
    <xf numFmtId="0" fontId="8" fillId="0" borderId="0" xfId="0" applyFont="1" applyAlignment="1"/>
    <xf numFmtId="0" fontId="9" fillId="0" borderId="2" xfId="0" applyFont="1" applyBorder="1" applyAlignment="1">
      <alignment horizontal="centerContinuous"/>
    </xf>
    <xf numFmtId="0" fontId="1" fillId="0" borderId="4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" fillId="0" borderId="0" xfId="0" applyFont="1"/>
    <xf numFmtId="0" fontId="1" fillId="0" borderId="4" xfId="0" applyFont="1" applyBorder="1"/>
    <xf numFmtId="3" fontId="1" fillId="0" borderId="0" xfId="0" applyNumberFormat="1" applyFont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166" fontId="1" fillId="0" borderId="0" xfId="0" applyNumberFormat="1" applyFont="1"/>
    <xf numFmtId="166" fontId="4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2" fillId="0" borderId="1" xfId="0" applyFont="1" applyBorder="1"/>
    <xf numFmtId="0" fontId="7" fillId="0" borderId="4" xfId="0" applyFont="1" applyBorder="1"/>
    <xf numFmtId="0" fontId="7" fillId="0" borderId="0" xfId="0" applyFont="1"/>
    <xf numFmtId="0" fontId="11" fillId="0" borderId="0" xfId="0" applyFont="1"/>
    <xf numFmtId="0" fontId="3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1" fillId="0" borderId="0" xfId="0" applyFont="1" applyAlignment="1">
      <alignment horizontal="left"/>
    </xf>
    <xf numFmtId="3" fontId="1" fillId="2" borderId="0" xfId="0" applyNumberFormat="1" applyFont="1" applyFill="1" applyAlignment="1"/>
    <xf numFmtId="0" fontId="1" fillId="2" borderId="0" xfId="0" applyFont="1" applyFill="1" applyAlignment="1"/>
    <xf numFmtId="3" fontId="2" fillId="2" borderId="0" xfId="0" applyNumberFormat="1" applyFont="1" applyFill="1" applyAlignment="1"/>
    <xf numFmtId="3" fontId="2" fillId="2" borderId="1" xfId="0" applyNumberFormat="1" applyFont="1" applyFill="1" applyBorder="1" applyAlignment="1"/>
    <xf numFmtId="0" fontId="1" fillId="2" borderId="4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4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/>
    <xf numFmtId="3" fontId="1" fillId="3" borderId="0" xfId="0" applyNumberFormat="1" applyFont="1" applyFill="1" applyAlignment="1"/>
    <xf numFmtId="3" fontId="2" fillId="3" borderId="0" xfId="0" applyNumberFormat="1" applyFont="1" applyFill="1" applyAlignment="1"/>
    <xf numFmtId="3" fontId="2" fillId="3" borderId="1" xfId="0" applyNumberFormat="1" applyFont="1" applyFill="1" applyBorder="1" applyAlignment="1"/>
    <xf numFmtId="0" fontId="7" fillId="4" borderId="4" xfId="0" applyFont="1" applyFill="1" applyBorder="1" applyAlignment="1">
      <alignment horizontal="right"/>
    </xf>
    <xf numFmtId="0" fontId="7" fillId="4" borderId="0" xfId="0" applyFont="1" applyFill="1" applyAlignment="1">
      <alignment horizontal="right"/>
    </xf>
    <xf numFmtId="0" fontId="1" fillId="4" borderId="0" xfId="0" applyFont="1" applyFill="1" applyAlignment="1"/>
    <xf numFmtId="3" fontId="1" fillId="4" borderId="0" xfId="0" applyNumberFormat="1" applyFont="1" applyFill="1" applyAlignment="1"/>
    <xf numFmtId="3" fontId="2" fillId="4" borderId="0" xfId="0" applyNumberFormat="1" applyFont="1" applyFill="1" applyAlignment="1"/>
    <xf numFmtId="3" fontId="2" fillId="4" borderId="1" xfId="0" applyNumberFormat="1" applyFont="1" applyFill="1" applyBorder="1" applyAlignment="1"/>
    <xf numFmtId="0" fontId="7" fillId="5" borderId="4" xfId="0" applyFont="1" applyFill="1" applyBorder="1" applyAlignment="1">
      <alignment horizontal="right"/>
    </xf>
    <xf numFmtId="0" fontId="7" fillId="5" borderId="0" xfId="0" applyFont="1" applyFill="1" applyAlignment="1">
      <alignment horizontal="right"/>
    </xf>
    <xf numFmtId="0" fontId="1" fillId="5" borderId="0" xfId="0" applyFont="1" applyFill="1" applyAlignment="1"/>
    <xf numFmtId="3" fontId="1" fillId="5" borderId="0" xfId="0" applyNumberFormat="1" applyFont="1" applyFill="1" applyAlignment="1"/>
    <xf numFmtId="3" fontId="2" fillId="5" borderId="0" xfId="0" applyNumberFormat="1" applyFont="1" applyFill="1" applyAlignment="1"/>
    <xf numFmtId="3" fontId="2" fillId="5" borderId="1" xfId="0" applyNumberFormat="1" applyFont="1" applyFill="1" applyBorder="1" applyAlignment="1"/>
    <xf numFmtId="0" fontId="7" fillId="6" borderId="4" xfId="0" applyFont="1" applyFill="1" applyBorder="1" applyAlignment="1">
      <alignment horizontal="right"/>
    </xf>
    <xf numFmtId="0" fontId="7" fillId="6" borderId="0" xfId="0" applyFont="1" applyFill="1" applyAlignment="1">
      <alignment horizontal="right"/>
    </xf>
    <xf numFmtId="0" fontId="1" fillId="6" borderId="0" xfId="0" applyFont="1" applyFill="1" applyAlignment="1"/>
    <xf numFmtId="3" fontId="1" fillId="6" borderId="0" xfId="0" applyNumberFormat="1" applyFont="1" applyFill="1" applyAlignment="1"/>
    <xf numFmtId="3" fontId="2" fillId="6" borderId="0" xfId="0" applyNumberFormat="1" applyFont="1" applyFill="1" applyAlignment="1"/>
    <xf numFmtId="3" fontId="2" fillId="6" borderId="1" xfId="0" applyNumberFormat="1" applyFont="1" applyFill="1" applyBorder="1" applyAlignment="1"/>
    <xf numFmtId="0" fontId="1" fillId="2" borderId="3" xfId="0" applyFont="1" applyFill="1" applyBorder="1" applyAlignment="1">
      <alignment horizontal="right"/>
    </xf>
    <xf numFmtId="0" fontId="1" fillId="2" borderId="0" xfId="0" applyFont="1" applyFill="1"/>
    <xf numFmtId="3" fontId="1" fillId="2" borderId="0" xfId="0" applyNumberFormat="1" applyFont="1" applyFill="1"/>
    <xf numFmtId="3" fontId="2" fillId="2" borderId="1" xfId="0" applyNumberFormat="1" applyFont="1" applyFill="1" applyBorder="1"/>
    <xf numFmtId="0" fontId="1" fillId="2" borderId="0" xfId="0" applyFont="1" applyFill="1" applyAlignment="1">
      <alignment horizontal="centerContinuous"/>
    </xf>
    <xf numFmtId="0" fontId="1" fillId="2" borderId="5" xfId="0" applyFont="1" applyFill="1" applyBorder="1" applyAlignment="1">
      <alignment horizontal="right"/>
    </xf>
    <xf numFmtId="0" fontId="1" fillId="6" borderId="0" xfId="0" applyFont="1" applyFill="1"/>
    <xf numFmtId="3" fontId="1" fillId="6" borderId="0" xfId="0" applyNumberFormat="1" applyFont="1" applyFill="1"/>
    <xf numFmtId="3" fontId="2" fillId="6" borderId="1" xfId="0" applyNumberFormat="1" applyFont="1" applyFill="1" applyBorder="1"/>
    <xf numFmtId="0" fontId="1" fillId="3" borderId="0" xfId="0" applyFont="1" applyFill="1"/>
    <xf numFmtId="3" fontId="1" fillId="3" borderId="0" xfId="0" applyNumberFormat="1" applyFont="1" applyFill="1"/>
    <xf numFmtId="3" fontId="2" fillId="3" borderId="1" xfId="0" applyNumberFormat="1" applyFont="1" applyFill="1" applyBorder="1"/>
    <xf numFmtId="0" fontId="1" fillId="4" borderId="0" xfId="0" applyFont="1" applyFill="1"/>
    <xf numFmtId="3" fontId="1" fillId="4" borderId="0" xfId="0" applyNumberFormat="1" applyFont="1" applyFill="1"/>
    <xf numFmtId="3" fontId="2" fillId="4" borderId="1" xfId="0" applyNumberFormat="1" applyFont="1" applyFill="1" applyBorder="1"/>
    <xf numFmtId="0" fontId="1" fillId="7" borderId="0" xfId="0" applyFont="1" applyFill="1" applyAlignment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 applyBorder="1" applyAlignment="1">
      <alignment horizontal="centerContinuous"/>
    </xf>
    <xf numFmtId="0" fontId="1" fillId="0" borderId="0" xfId="0" applyFont="1" applyFill="1"/>
    <xf numFmtId="0" fontId="2" fillId="0" borderId="1" xfId="0" applyFont="1" applyBorder="1" applyAlignment="1">
      <alignment horizontal="left"/>
    </xf>
    <xf numFmtId="0" fontId="7" fillId="4" borderId="0" xfId="0" applyFont="1" applyFill="1" applyAlignment="1">
      <alignment horizontal="left"/>
    </xf>
    <xf numFmtId="164" fontId="1" fillId="0" borderId="0" xfId="0" applyNumberFormat="1" applyFont="1"/>
    <xf numFmtId="3" fontId="0" fillId="0" borderId="0" xfId="0" applyNumberFormat="1"/>
    <xf numFmtId="164" fontId="1" fillId="0" borderId="0" xfId="0" applyNumberFormat="1" applyFont="1" applyAlignment="1"/>
    <xf numFmtId="0" fontId="0" fillId="0" borderId="0" xfId="0" applyFill="1"/>
    <xf numFmtId="3" fontId="0" fillId="0" borderId="0" xfId="0" applyNumberFormat="1" applyFill="1"/>
    <xf numFmtId="0" fontId="0" fillId="0" borderId="6" xfId="0" applyBorder="1" applyAlignment="1">
      <alignment wrapText="1"/>
    </xf>
    <xf numFmtId="0" fontId="0" fillId="10" borderId="8" xfId="0" applyFill="1" applyBorder="1"/>
    <xf numFmtId="0" fontId="0" fillId="10" borderId="5" xfId="0" applyFill="1" applyBorder="1"/>
    <xf numFmtId="0" fontId="12" fillId="0" borderId="0" xfId="0" applyFont="1"/>
    <xf numFmtId="164" fontId="0" fillId="0" borderId="0" xfId="0" applyNumberFormat="1"/>
    <xf numFmtId="0" fontId="0" fillId="0" borderId="7" xfId="0" applyBorder="1"/>
    <xf numFmtId="0" fontId="0" fillId="10" borderId="8" xfId="0" applyFill="1" applyBorder="1" applyAlignment="1">
      <alignment wrapText="1"/>
    </xf>
    <xf numFmtId="0" fontId="0" fillId="10" borderId="7" xfId="0" applyFill="1" applyBorder="1" applyAlignment="1">
      <alignment horizontal="center" vertical="center"/>
    </xf>
    <xf numFmtId="0" fontId="0" fillId="10" borderId="7" xfId="0" applyFill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0" fillId="0" borderId="12" xfId="0" applyBorder="1"/>
    <xf numFmtId="0" fontId="2" fillId="0" borderId="0" xfId="0" applyFont="1" applyFill="1" applyAlignment="1"/>
    <xf numFmtId="3" fontId="2" fillId="0" borderId="0" xfId="0" applyNumberFormat="1" applyFont="1" applyFill="1" applyAlignment="1"/>
    <xf numFmtId="0" fontId="0" fillId="0" borderId="7" xfId="0" applyBorder="1" applyAlignment="1">
      <alignment horizontal="center" vertical="center"/>
    </xf>
    <xf numFmtId="0" fontId="13" fillId="0" borderId="0" xfId="0" applyFo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3" fontId="2" fillId="0" borderId="0" xfId="0" applyNumberFormat="1" applyFont="1" applyFill="1" applyBorder="1"/>
    <xf numFmtId="0" fontId="0" fillId="10" borderId="7" xfId="0" applyFont="1" applyFill="1" applyBorder="1" applyAlignment="1">
      <alignment horizontal="center" vertical="center"/>
    </xf>
    <xf numFmtId="164" fontId="0" fillId="0" borderId="7" xfId="0" applyNumberFormat="1" applyFont="1" applyBorder="1"/>
    <xf numFmtId="164" fontId="15" fillId="0" borderId="7" xfId="0" applyNumberFormat="1" applyFont="1" applyBorder="1"/>
    <xf numFmtId="0" fontId="0" fillId="10" borderId="5" xfId="0" applyFont="1" applyFill="1" applyBorder="1"/>
    <xf numFmtId="166" fontId="0" fillId="0" borderId="7" xfId="0" applyNumberFormat="1" applyFont="1" applyBorder="1"/>
    <xf numFmtId="0" fontId="0" fillId="0" borderId="7" xfId="0" applyBorder="1" applyAlignment="1">
      <alignment wrapText="1"/>
    </xf>
    <xf numFmtId="0" fontId="0" fillId="10" borderId="9" xfId="0" applyFill="1" applyBorder="1"/>
    <xf numFmtId="0" fontId="0" fillId="10" borderId="7" xfId="0" applyFill="1" applyBorder="1"/>
    <xf numFmtId="0" fontId="16" fillId="11" borderId="7" xfId="0" applyFont="1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166" fontId="0" fillId="0" borderId="7" xfId="0" applyNumberFormat="1" applyBorder="1" applyAlignment="1">
      <alignment wrapText="1"/>
    </xf>
    <xf numFmtId="166" fontId="0" fillId="0" borderId="7" xfId="0" applyNumberFormat="1" applyBorder="1"/>
    <xf numFmtId="0" fontId="0" fillId="12" borderId="8" xfId="0" applyFill="1" applyBorder="1"/>
    <xf numFmtId="0" fontId="0" fillId="12" borderId="9" xfId="0" applyFill="1" applyBorder="1"/>
    <xf numFmtId="0" fontId="0" fillId="0" borderId="7" xfId="0" applyBorder="1" applyAlignment="1">
      <alignment horizontal="center" vertical="center"/>
    </xf>
    <xf numFmtId="0" fontId="14" fillId="0" borderId="13" xfId="0" applyFont="1" applyBorder="1" applyAlignment="1"/>
    <xf numFmtId="0" fontId="0" fillId="0" borderId="7" xfId="0" applyBorder="1" applyAlignment="1">
      <alignment wrapText="1"/>
    </xf>
    <xf numFmtId="0" fontId="0" fillId="12" borderId="0" xfId="0" applyFill="1"/>
    <xf numFmtId="0" fontId="18" fillId="0" borderId="7" xfId="0" applyFont="1" applyBorder="1" applyAlignment="1">
      <alignment wrapText="1"/>
    </xf>
    <xf numFmtId="0" fontId="18" fillId="10" borderId="7" xfId="0" applyFont="1" applyFill="1" applyBorder="1" applyAlignment="1">
      <alignment wrapText="1"/>
    </xf>
    <xf numFmtId="0" fontId="18" fillId="12" borderId="7" xfId="0" applyFont="1" applyFill="1" applyBorder="1" applyAlignment="1">
      <alignment horizontal="center" vertical="center"/>
    </xf>
    <xf numFmtId="0" fontId="15" fillId="13" borderId="5" xfId="0" applyFont="1" applyFill="1" applyBorder="1"/>
    <xf numFmtId="0" fontId="15" fillId="13" borderId="5" xfId="0" applyFont="1" applyFill="1" applyBorder="1" applyAlignment="1">
      <alignment wrapText="1"/>
    </xf>
    <xf numFmtId="0" fontId="15" fillId="13" borderId="7" xfId="0" applyFont="1" applyFill="1" applyBorder="1" applyAlignment="1">
      <alignment horizontal="center" vertical="center" wrapText="1"/>
    </xf>
    <xf numFmtId="164" fontId="15" fillId="13" borderId="7" xfId="0" applyNumberFormat="1" applyFont="1" applyFill="1" applyBorder="1" applyAlignment="1">
      <alignment wrapText="1"/>
    </xf>
    <xf numFmtId="166" fontId="15" fillId="13" borderId="7" xfId="0" applyNumberFormat="1" applyFont="1" applyFill="1" applyBorder="1" applyAlignment="1">
      <alignment wrapText="1"/>
    </xf>
    <xf numFmtId="0" fontId="0" fillId="4" borderId="8" xfId="0" applyFill="1" applyBorder="1"/>
    <xf numFmtId="0" fontId="0" fillId="4" borderId="5" xfId="0" applyFill="1" applyBorder="1"/>
    <xf numFmtId="0" fontId="0" fillId="12" borderId="5" xfId="0" applyFill="1" applyBorder="1"/>
    <xf numFmtId="0" fontId="0" fillId="2" borderId="8" xfId="0" applyFill="1" applyBorder="1"/>
    <xf numFmtId="0" fontId="0" fillId="2" borderId="5" xfId="0" applyFill="1" applyBorder="1"/>
    <xf numFmtId="0" fontId="0" fillId="3" borderId="8" xfId="0" applyFill="1" applyBorder="1"/>
    <xf numFmtId="0" fontId="0" fillId="3" borderId="5" xfId="0" applyFill="1" applyBorder="1"/>
    <xf numFmtId="0" fontId="0" fillId="6" borderId="8" xfId="0" applyFill="1" applyBorder="1"/>
    <xf numFmtId="0" fontId="0" fillId="6" borderId="5" xfId="0" applyFill="1" applyBorder="1"/>
    <xf numFmtId="0" fontId="0" fillId="5" borderId="8" xfId="0" applyFill="1" applyBorder="1"/>
    <xf numFmtId="0" fontId="0" fillId="5" borderId="5" xfId="0" applyFill="1" applyBorder="1"/>
    <xf numFmtId="0" fontId="1" fillId="7" borderId="8" xfId="0" applyFont="1" applyFill="1" applyBorder="1" applyAlignment="1"/>
    <xf numFmtId="0" fontId="1" fillId="7" borderId="5" xfId="0" applyFont="1" applyFill="1" applyBorder="1" applyAlignment="1"/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/>
    <xf numFmtId="164" fontId="0" fillId="0" borderId="9" xfId="0" applyNumberFormat="1" applyBorder="1" applyAlignment="1"/>
    <xf numFmtId="164" fontId="0" fillId="0" borderId="8" xfId="0" applyNumberFormat="1" applyFont="1" applyBorder="1" applyAlignment="1"/>
    <xf numFmtId="164" fontId="0" fillId="0" borderId="9" xfId="0" applyNumberFormat="1" applyFont="1" applyBorder="1" applyAlignment="1"/>
    <xf numFmtId="0" fontId="18" fillId="13" borderId="8" xfId="3" applyFont="1" applyFill="1" applyBorder="1" applyAlignment="1">
      <alignment horizontal="center" vertical="center" wrapText="1"/>
    </xf>
    <xf numFmtId="0" fontId="18" fillId="13" borderId="9" xfId="3" applyFont="1" applyFill="1" applyBorder="1" applyAlignment="1">
      <alignment horizontal="center" vertical="center"/>
    </xf>
    <xf numFmtId="164" fontId="15" fillId="13" borderId="8" xfId="0" applyNumberFormat="1" applyFont="1" applyFill="1" applyBorder="1" applyAlignment="1">
      <alignment horizontal="center" wrapText="1"/>
    </xf>
    <xf numFmtId="164" fontId="15" fillId="13" borderId="9" xfId="0" applyNumberFormat="1" applyFont="1" applyFill="1" applyBorder="1" applyAlignment="1">
      <alignment horizont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64" fontId="15" fillId="0" borderId="8" xfId="0" applyNumberFormat="1" applyFont="1" applyBorder="1" applyAlignment="1"/>
    <xf numFmtId="164" fontId="15" fillId="0" borderId="9" xfId="0" applyNumberFormat="1" applyFont="1" applyBorder="1" applyAlignment="1"/>
    <xf numFmtId="166" fontId="15" fillId="0" borderId="8" xfId="0" applyNumberFormat="1" applyFont="1" applyBorder="1" applyAlignment="1"/>
    <xf numFmtId="166" fontId="15" fillId="0" borderId="9" xfId="0" applyNumberFormat="1" applyFont="1" applyBorder="1" applyAlignment="1"/>
    <xf numFmtId="167" fontId="15" fillId="13" borderId="8" xfId="1" applyNumberFormat="1" applyFont="1" applyFill="1" applyBorder="1" applyAlignment="1">
      <alignment horizontal="center" wrapText="1"/>
    </xf>
    <xf numFmtId="167" fontId="15" fillId="13" borderId="9" xfId="1" applyNumberFormat="1" applyFont="1" applyFill="1" applyBorder="1" applyAlignment="1">
      <alignment horizontal="center" wrapText="1"/>
    </xf>
    <xf numFmtId="166" fontId="15" fillId="13" borderId="8" xfId="2" applyNumberFormat="1" applyFont="1" applyFill="1" applyBorder="1" applyAlignment="1">
      <alignment horizontal="right" wrapText="1"/>
    </xf>
    <xf numFmtId="166" fontId="15" fillId="13" borderId="9" xfId="2" applyNumberFormat="1" applyFont="1" applyFill="1" applyBorder="1" applyAlignment="1">
      <alignment horizontal="right" wrapText="1"/>
    </xf>
    <xf numFmtId="3" fontId="0" fillId="0" borderId="8" xfId="0" applyNumberFormat="1" applyFont="1" applyBorder="1" applyAlignment="1"/>
    <xf numFmtId="3" fontId="0" fillId="0" borderId="9" xfId="0" applyNumberFormat="1" applyFont="1" applyBorder="1" applyAlignment="1"/>
    <xf numFmtId="3" fontId="15" fillId="13" borderId="8" xfId="0" applyNumberFormat="1" applyFont="1" applyFill="1" applyBorder="1" applyAlignment="1">
      <alignment horizontal="center" wrapText="1"/>
    </xf>
    <xf numFmtId="3" fontId="15" fillId="13" borderId="9" xfId="0" applyNumberFormat="1" applyFont="1" applyFill="1" applyBorder="1" applyAlignment="1">
      <alignment horizontal="center" wrapText="1"/>
    </xf>
    <xf numFmtId="0" fontId="0" fillId="0" borderId="8" xfId="0" applyFont="1" applyBorder="1" applyAlignment="1"/>
    <xf numFmtId="0" fontId="0" fillId="0" borderId="9" xfId="0" applyFont="1" applyBorder="1" applyAlignment="1"/>
    <xf numFmtId="165" fontId="14" fillId="0" borderId="13" xfId="0" applyNumberFormat="1" applyFont="1" applyBorder="1" applyAlignment="1"/>
    <xf numFmtId="0" fontId="14" fillId="0" borderId="13" xfId="0" applyFont="1" applyBorder="1" applyAlignment="1"/>
    <xf numFmtId="0" fontId="0" fillId="0" borderId="8" xfId="0" applyFill="1" applyBorder="1" applyAlignment="1"/>
    <xf numFmtId="0" fontId="0" fillId="0" borderId="9" xfId="0" applyFill="1" applyBorder="1" applyAlignment="1"/>
    <xf numFmtId="0" fontId="15" fillId="13" borderId="8" xfId="0" applyFont="1" applyFill="1" applyBorder="1" applyAlignment="1">
      <alignment horizontal="center"/>
    </xf>
    <xf numFmtId="0" fontId="15" fillId="13" borderId="9" xfId="0" applyFont="1" applyFill="1" applyBorder="1" applyAlignment="1">
      <alignment horizontal="center"/>
    </xf>
    <xf numFmtId="0" fontId="0" fillId="0" borderId="7" xfId="0" applyBorder="1" applyAlignment="1">
      <alignment wrapText="1"/>
    </xf>
    <xf numFmtId="0" fontId="0" fillId="10" borderId="10" xfId="0" applyFill="1" applyBorder="1" applyAlignment="1">
      <alignment horizontal="center" vertical="center" textRotation="90"/>
    </xf>
    <xf numFmtId="0" fontId="0" fillId="10" borderId="14" xfId="0" applyFill="1" applyBorder="1" applyAlignment="1">
      <alignment horizontal="center" vertical="center" textRotation="90"/>
    </xf>
    <xf numFmtId="0" fontId="0" fillId="10" borderId="11" xfId="0" applyFill="1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10" borderId="10" xfId="0" applyFill="1" applyBorder="1" applyAlignment="1">
      <alignment horizontal="center" vertical="center" textRotation="90" wrapText="1"/>
    </xf>
    <xf numFmtId="0" fontId="0" fillId="10" borderId="11" xfId="0" applyFill="1" applyBorder="1" applyAlignment="1">
      <alignment horizontal="center" vertical="center" textRotation="90" wrapText="1"/>
    </xf>
  </cellXfs>
  <cellStyles count="4">
    <cellStyle name="Currency" xfId="1" builtinId="4"/>
    <cellStyle name="Normal" xfId="0" builtinId="0"/>
    <cellStyle name="Normal 3" xfId="3"/>
    <cellStyle name="Percent" xfId="2" builtinId="5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4" Type="http://schemas.openxmlformats.org/officeDocument/2006/relationships/calcChain" Target="calcChain.xml"/><Relationship Id="rId4" Type="http://schemas.openxmlformats.org/officeDocument/2006/relationships/worksheet" Target="worksheets/sheet4.xml"/><Relationship Id="rId7" Type="http://schemas.openxmlformats.org/officeDocument/2006/relationships/worksheet" Target="worksheets/sheet7.xml"/><Relationship Id="rId1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>
        <c:manualLayout>
          <c:layoutTarget val="inner"/>
          <c:xMode val="edge"/>
          <c:yMode val="edge"/>
          <c:x val="0.0997963340122203"/>
          <c:y val="0.197802905373259"/>
          <c:w val="0.871690427698582"/>
          <c:h val="0.575093632288924"/>
        </c:manualLayout>
      </c:layout>
      <c:barChart>
        <c:barDir val="col"/>
        <c:grouping val="clustered"/>
        <c:ser>
          <c:idx val="0"/>
          <c:order val="0"/>
          <c:tx>
            <c:strRef>
              <c:f>'C:\Users\Larry\Documents\Aspire Consulting LLC\BSU Charter Revenue Study\Monograph Production\Figure1withAdjustedValues-04_06\[Figure1withAdjustedValues-04_06.xlsx]DE'!$J$2</c:f>
              <c:strCache>
                <c:ptCount val="1"/>
                <c:pt idx="0">
                  <c:v>District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'C:\Users\Larry\Documents\Aspire Consulting LLC\BSU Charter Revenue Study\Monograph Production\Figure1withAdjustedValues-04_06\[Figure1withAdjustedValues-04_06.xlsx]DE'!$I$3:$I$5</c:f>
              <c:strCache>
                <c:ptCount val="3"/>
                <c:pt idx="0">
                  <c:v>State</c:v>
                </c:pt>
                <c:pt idx="1">
                  <c:v>Statewide Weighted</c:v>
                </c:pt>
                <c:pt idx="2">
                  <c:v>Wilmington</c:v>
                </c:pt>
              </c:strCache>
            </c:strRef>
          </c:cat>
          <c:val>
            <c:numRef>
              <c:f>'C:\Users\Larry\Documents\Aspire Consulting LLC\BSU Charter Revenue Study\Monograph Production\Figure1withAdjustedValues-04_06\[Figure1withAdjustedValues-04_06.xlsx]DE'!$J$3:$J$5</c:f>
              <c:numCache>
                <c:formatCode>General</c:formatCode>
                <c:ptCount val="3"/>
                <c:pt idx="0">
                  <c:v>13654.70483150985</c:v>
                </c:pt>
                <c:pt idx="1">
                  <c:v>13852.0</c:v>
                </c:pt>
                <c:pt idx="2">
                  <c:v>14754.34444965421</c:v>
                </c:pt>
              </c:numCache>
            </c:numRef>
          </c:val>
        </c:ser>
        <c:ser>
          <c:idx val="1"/>
          <c:order val="1"/>
          <c:tx>
            <c:strRef>
              <c:f>'C:\Users\Larry\Documents\Aspire Consulting LLC\BSU Charter Revenue Study\Monograph Production\Figure1withAdjustedValues-04_06\[Figure1withAdjustedValues-04_06.xlsx]DE'!$K$2</c:f>
              <c:strCache>
                <c:ptCount val="1"/>
                <c:pt idx="0">
                  <c:v>Charter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'C:\Users\Larry\Documents\Aspire Consulting LLC\BSU Charter Revenue Study\Monograph Production\Figure1withAdjustedValues-04_06\[Figure1withAdjustedValues-04_06.xlsx]DE'!$I$3:$I$5</c:f>
              <c:strCache>
                <c:ptCount val="3"/>
                <c:pt idx="0">
                  <c:v>State</c:v>
                </c:pt>
                <c:pt idx="1">
                  <c:v>Statewide Weighted</c:v>
                </c:pt>
                <c:pt idx="2">
                  <c:v>Wilmington</c:v>
                </c:pt>
              </c:strCache>
            </c:strRef>
          </c:cat>
          <c:val>
            <c:numRef>
              <c:f>'C:\Users\Larry\Documents\Aspire Consulting LLC\BSU Charter Revenue Study\Monograph Production\Figure1withAdjustedValues-04_06\[Figure1withAdjustedValues-04_06.xlsx]DE'!$K$3:$K$5</c:f>
              <c:numCache>
                <c:formatCode>General</c:formatCode>
                <c:ptCount val="3"/>
                <c:pt idx="0">
                  <c:v>9989.560660066003</c:v>
                </c:pt>
                <c:pt idx="1">
                  <c:v>9990.0</c:v>
                </c:pt>
                <c:pt idx="2">
                  <c:v>10149.95861854387</c:v>
                </c:pt>
              </c:numCache>
            </c:numRef>
          </c:val>
        </c:ser>
        <c:ser>
          <c:idx val="2"/>
          <c:order val="2"/>
          <c:tx>
            <c:strRef>
              <c:f>'C:\Users\Larry\Documents\Aspire Consulting LLC\BSU Charter Revenue Study\Monograph Production\Figure1withAdjustedValues-04_06\[Figure1withAdjustedValues-04_06.xlsx]DE'!$L$2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</c:spPr>
          <c:cat>
            <c:strRef>
              <c:f>'C:\Users\Larry\Documents\Aspire Consulting LLC\BSU Charter Revenue Study\Monograph Production\Figure1withAdjustedValues-04_06\[Figure1withAdjustedValues-04_06.xlsx]DE'!$I$3:$I$5</c:f>
              <c:strCache>
                <c:ptCount val="3"/>
                <c:pt idx="0">
                  <c:v>State</c:v>
                </c:pt>
                <c:pt idx="1">
                  <c:v>Statewide Weighted</c:v>
                </c:pt>
                <c:pt idx="2">
                  <c:v>Wilmington</c:v>
                </c:pt>
              </c:strCache>
            </c:strRef>
          </c:cat>
          <c:val>
            <c:numRef>
              <c:f>'C:\Users\Larry\Documents\Aspire Consulting LLC\BSU Charter Revenue Study\Monograph Production\Figure1withAdjustedValues-04_06\[Figure1withAdjustedValues-04_06.xlsx]DE'!$L$3:$L$5</c:f>
              <c:numCache>
                <c:formatCode>General</c:formatCode>
                <c:ptCount val="3"/>
                <c:pt idx="0">
                  <c:v>3665.144171443839</c:v>
                </c:pt>
                <c:pt idx="1">
                  <c:v>3862.0</c:v>
                </c:pt>
                <c:pt idx="2">
                  <c:v>4604.385831110332</c:v>
                </c:pt>
              </c:numCache>
            </c:numRef>
          </c:val>
        </c:ser>
        <c:axId val="467950456"/>
        <c:axId val="467518840"/>
      </c:barChart>
      <c:catAx>
        <c:axId val="4679504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7518840"/>
        <c:crosses val="autoZero"/>
        <c:auto val="1"/>
        <c:lblAlgn val="ctr"/>
        <c:lblOffset val="100"/>
        <c:tickLblSkip val="1"/>
        <c:tickMarkSkip val="1"/>
      </c:catAx>
      <c:valAx>
        <c:axId val="467518840"/>
        <c:scaling>
          <c:orientation val="minMax"/>
        </c:scaling>
        <c:axPos val="l"/>
        <c:numFmt formatCode="#,##0" sourceLinked="0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7950456"/>
        <c:crosses val="autoZero"/>
        <c:crossBetween val="between"/>
        <c:majorUnit val="4000.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33604887983707"/>
          <c:y val="0.0293040293040293"/>
          <c:w val="0.418626296967464"/>
          <c:h val="0.067194871669078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.0" l="0.750000000000002" r="0.750000000000002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>
        <c:manualLayout>
          <c:layoutTarget val="inner"/>
          <c:xMode val="edge"/>
          <c:yMode val="edge"/>
          <c:x val="0.264765784114053"/>
          <c:y val="0.157509720945373"/>
          <c:w val="0.680244399185336"/>
          <c:h val="0.677658101741722"/>
        </c:manualLayout>
      </c:layout>
      <c:barChart>
        <c:barDir val="bar"/>
        <c:grouping val="stacked"/>
        <c:ser>
          <c:idx val="0"/>
          <c:order val="0"/>
          <c:tx>
            <c:strRef>
              <c:f>'C:\Users\Larry\Documents\Aspire Consulting LLC\BSU Charter Revenue Study\Monograph Production\Figure1withAdjustedValues-04_06\[Figure1withAdjustedValues-04_06.xlsx]DE'!$J$28</c:f>
              <c:strCache>
                <c:ptCount val="1"/>
                <c:pt idx="0">
                  <c:v>Federal 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'C:\Users\Larry\Documents\Aspire Consulting LLC\BSU Charter Revenue Study\Monograph Production\Figure1withAdjustedValues-04_06\[Figure1withAdjustedValues-04_06.xlsx]DE'!$I$29:$I$33</c:f>
              <c:strCache>
                <c:ptCount val="5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Wilmington District</c:v>
                </c:pt>
                <c:pt idx="4">
                  <c:v>Wilmington Charter</c:v>
                </c:pt>
              </c:strCache>
            </c:strRef>
          </c:cat>
          <c:val>
            <c:numRef>
              <c:f>'C:\Users\Larry\Documents\Aspire Consulting LLC\BSU Charter Revenue Study\Monograph Production\Figure1withAdjustedValues-04_06\[Figure1withAdjustedValues-04_06.xlsx]DE'!$J$29:$J$33</c:f>
              <c:numCache>
                <c:formatCode>General</c:formatCode>
                <c:ptCount val="5"/>
                <c:pt idx="0">
                  <c:v>655.3660919037196</c:v>
                </c:pt>
                <c:pt idx="1">
                  <c:v>620.2512211221122</c:v>
                </c:pt>
                <c:pt idx="2">
                  <c:v>639.0</c:v>
                </c:pt>
                <c:pt idx="3">
                  <c:v>565.6210291876685</c:v>
                </c:pt>
                <c:pt idx="4">
                  <c:v>848.8811449906658</c:v>
                </c:pt>
              </c:numCache>
            </c:numRef>
          </c:val>
        </c:ser>
        <c:ser>
          <c:idx val="1"/>
          <c:order val="1"/>
          <c:tx>
            <c:strRef>
              <c:f>'C:\Users\Larry\Documents\Aspire Consulting LLC\BSU Charter Revenue Study\Monograph Production\Figure1withAdjustedValues-04_06\[Figure1withAdjustedValues-04_06.xlsx]DE'!$K$28</c:f>
              <c:strCache>
                <c:ptCount val="1"/>
                <c:pt idx="0">
                  <c:v>State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'C:\Users\Larry\Documents\Aspire Consulting LLC\BSU Charter Revenue Study\Monograph Production\Figure1withAdjustedValues-04_06\[Figure1withAdjustedValues-04_06.xlsx]DE'!$I$29:$I$33</c:f>
              <c:strCache>
                <c:ptCount val="5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Wilmington District</c:v>
                </c:pt>
                <c:pt idx="4">
                  <c:v>Wilmington Charter</c:v>
                </c:pt>
              </c:strCache>
            </c:strRef>
          </c:cat>
          <c:val>
            <c:numRef>
              <c:f>'C:\Users\Larry\Documents\Aspire Consulting LLC\BSU Charter Revenue Study\Monograph Production\Figure1withAdjustedValues-04_06\[Figure1withAdjustedValues-04_06.xlsx]DE'!$K$29:$K$33</c:f>
              <c:numCache>
                <c:formatCode>General</c:formatCode>
                <c:ptCount val="5"/>
                <c:pt idx="0">
                  <c:v>8586.96376367615</c:v>
                </c:pt>
                <c:pt idx="1">
                  <c:v>6408.80184818482</c:v>
                </c:pt>
                <c:pt idx="2">
                  <c:v>8543.0</c:v>
                </c:pt>
                <c:pt idx="3">
                  <c:v>8341.542990270773</c:v>
                </c:pt>
                <c:pt idx="4">
                  <c:v>5911.748911014311</c:v>
                </c:pt>
              </c:numCache>
            </c:numRef>
          </c:val>
        </c:ser>
        <c:ser>
          <c:idx val="2"/>
          <c:order val="2"/>
          <c:tx>
            <c:strRef>
              <c:f>'C:\Users\Larry\Documents\Aspire Consulting LLC\BSU Charter Revenue Study\Monograph Production\Figure1withAdjustedValues-04_06\[Figure1withAdjustedValues-04_06.xlsx]DE'!$L$28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'C:\Users\Larry\Documents\Aspire Consulting LLC\BSU Charter Revenue Study\Monograph Production\Figure1withAdjustedValues-04_06\[Figure1withAdjustedValues-04_06.xlsx]DE'!$I$29:$I$33</c:f>
              <c:strCache>
                <c:ptCount val="5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Wilmington District</c:v>
                </c:pt>
                <c:pt idx="4">
                  <c:v>Wilmington Charter</c:v>
                </c:pt>
              </c:strCache>
            </c:strRef>
          </c:cat>
          <c:val>
            <c:numRef>
              <c:f>'C:\Users\Larry\Documents\Aspire Consulting LLC\BSU Charter Revenue Study\Monograph Production\Figure1withAdjustedValues-04_06\[Figure1withAdjustedValues-04_06.xlsx]DE'!$L$29:$L$33</c:f>
              <c:numCache>
                <c:formatCode>General</c:formatCode>
                <c:ptCount val="5"/>
                <c:pt idx="0">
                  <c:v>3402.015921225384</c:v>
                </c:pt>
                <c:pt idx="1">
                  <c:v>1675.915247524753</c:v>
                </c:pt>
                <c:pt idx="2">
                  <c:v>3578.0</c:v>
                </c:pt>
                <c:pt idx="3">
                  <c:v>4382.985640604853</c:v>
                </c:pt>
                <c:pt idx="4">
                  <c:v>1984.813005600498</c:v>
                </c:pt>
              </c:numCache>
            </c:numRef>
          </c:val>
        </c:ser>
        <c:ser>
          <c:idx val="3"/>
          <c:order val="3"/>
          <c:tx>
            <c:strRef>
              <c:f>'C:\Users\Larry\Documents\Aspire Consulting LLC\BSU Charter Revenue Study\Monograph Production\Figure1withAdjustedValues-04_06\[Figure1withAdjustedValues-04_06.xlsx]DE'!$M$28</c:f>
              <c:strCache>
                <c:ptCount val="1"/>
                <c:pt idx="0">
                  <c:v>Other 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'C:\Users\Larry\Documents\Aspire Consulting LLC\BSU Charter Revenue Study\Monograph Production\Figure1withAdjustedValues-04_06\[Figure1withAdjustedValues-04_06.xlsx]DE'!$I$29:$I$33</c:f>
              <c:strCache>
                <c:ptCount val="5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Wilmington District</c:v>
                </c:pt>
                <c:pt idx="4">
                  <c:v>Wilmington Charter</c:v>
                </c:pt>
              </c:strCache>
            </c:strRef>
          </c:cat>
          <c:val>
            <c:numRef>
              <c:f>'C:\Users\Larry\Documents\Aspire Consulting LLC\BSU Charter Revenue Study\Monograph Production\Figure1withAdjustedValues-04_06\[Figure1withAdjustedValues-04_06.xlsx]DE'!$M$29:$M$33</c:f>
              <c:numCache>
                <c:formatCode>General</c:formatCode>
                <c:ptCount val="5"/>
                <c:pt idx="0">
                  <c:v>560.2218118161928</c:v>
                </c:pt>
                <c:pt idx="1">
                  <c:v>1284.592343234322</c:v>
                </c:pt>
                <c:pt idx="2">
                  <c:v>559.0</c:v>
                </c:pt>
                <c:pt idx="3">
                  <c:v>552.5257883014887</c:v>
                </c:pt>
                <c:pt idx="4">
                  <c:v>1404.515556938395</c:v>
                </c:pt>
              </c:numCache>
            </c:numRef>
          </c:val>
        </c:ser>
        <c:ser>
          <c:idx val="4"/>
          <c:order val="4"/>
          <c:tx>
            <c:strRef>
              <c:f>'C:\Users\Larry\Documents\Aspire Consulting LLC\BSU Charter Revenue Study\Monograph Production\Figure1withAdjustedValues-04_06\[Figure1withAdjustedValues-04_06.xlsx]DE'!$N$28</c:f>
              <c:strCache>
                <c:ptCount val="1"/>
                <c:pt idx="0">
                  <c:v>Indeterminate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solidFill>
                <a:schemeClr val="tx1"/>
              </a:solidFill>
            </a:ln>
          </c:spPr>
          <c:cat>
            <c:strRef>
              <c:f>'C:\Users\Larry\Documents\Aspire Consulting LLC\BSU Charter Revenue Study\Monograph Production\Figure1withAdjustedValues-04_06\[Figure1withAdjustedValues-04_06.xlsx]DE'!$I$29:$I$33</c:f>
              <c:strCache>
                <c:ptCount val="5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Wilmington District</c:v>
                </c:pt>
                <c:pt idx="4">
                  <c:v>Wilmington Charter</c:v>
                </c:pt>
              </c:strCache>
            </c:strRef>
          </c:cat>
          <c:val>
            <c:numRef>
              <c:f>'C:\Users\Larry\Documents\Aspire Consulting LLC\BSU Charter Revenue Study\Monograph Production\Figure1withAdjustedValues-04_06\[Figure1withAdjustedValues-04_06.xlsx]DE'!$N$29:$N$33</c:f>
              <c:numCache>
                <c:formatCode>General</c:formatCode>
                <c:ptCount val="5"/>
                <c:pt idx="0">
                  <c:v>450.1372428884026</c:v>
                </c:pt>
                <c:pt idx="1">
                  <c:v>0.0</c:v>
                </c:pt>
                <c:pt idx="2">
                  <c:v>533.0</c:v>
                </c:pt>
                <c:pt idx="3">
                  <c:v>911.6690012894151</c:v>
                </c:pt>
                <c:pt idx="4">
                  <c:v>0.0</c:v>
                </c:pt>
              </c:numCache>
            </c:numRef>
          </c:val>
        </c:ser>
        <c:overlap val="100"/>
        <c:axId val="467062152"/>
        <c:axId val="467065800"/>
      </c:barChart>
      <c:catAx>
        <c:axId val="467062152"/>
        <c:scaling>
          <c:orientation val="minMax"/>
        </c:scaling>
        <c:axPos val="l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7065800"/>
        <c:crosses val="autoZero"/>
        <c:auto val="1"/>
        <c:lblAlgn val="ctr"/>
        <c:lblOffset val="100"/>
        <c:tickLblSkip val="1"/>
        <c:tickMarkSkip val="1"/>
      </c:catAx>
      <c:valAx>
        <c:axId val="467065800"/>
        <c:scaling>
          <c:orientation val="minMax"/>
        </c:scaling>
        <c:axPos val="b"/>
        <c:numFmt formatCode="#,##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70621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85132382892058"/>
          <c:y val="0.0293040293040293"/>
          <c:w val="0.668920356442209"/>
          <c:h val="0.067194871669078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.0" l="0.750000000000002" r="0.750000000000002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8</xdr:row>
      <xdr:rowOff>9525</xdr:rowOff>
    </xdr:from>
    <xdr:to>
      <xdr:col>15</xdr:col>
      <xdr:colOff>400050</xdr:colOff>
      <xdr:row>23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15</xdr:col>
      <xdr:colOff>409575</xdr:colOff>
      <xdr:row>54</xdr:row>
      <xdr:rowOff>9525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D19"/>
  <sheetViews>
    <sheetView tabSelected="1" workbookViewId="0">
      <selection activeCell="A18" sqref="A18"/>
    </sheetView>
  </sheetViews>
  <sheetFormatPr baseColWidth="10" defaultColWidth="8.83203125" defaultRowHeight="14"/>
  <cols>
    <col min="3" max="3" width="1.5" customWidth="1"/>
    <col min="4" max="4" width="14" bestFit="1" customWidth="1"/>
  </cols>
  <sheetData>
    <row r="2" spans="1:4">
      <c r="A2" t="s">
        <v>18</v>
      </c>
    </row>
    <row r="3" spans="1:4">
      <c r="A3" s="151"/>
      <c r="B3" s="152"/>
      <c r="C3" s="153"/>
      <c r="D3" s="138" t="s">
        <v>190</v>
      </c>
    </row>
    <row r="4" spans="1:4">
      <c r="A4" s="137"/>
      <c r="B4" s="153"/>
      <c r="C4" s="153"/>
      <c r="D4" s="138"/>
    </row>
    <row r="5" spans="1:4">
      <c r="A5" s="154"/>
      <c r="B5" s="155"/>
      <c r="C5" s="153"/>
      <c r="D5" s="138" t="s">
        <v>133</v>
      </c>
    </row>
    <row r="6" spans="1:4">
      <c r="A6" s="137"/>
      <c r="B6" s="153"/>
      <c r="C6" s="153"/>
      <c r="D6" s="138"/>
    </row>
    <row r="7" spans="1:4">
      <c r="A7" s="156"/>
      <c r="B7" s="157"/>
      <c r="C7" s="153"/>
      <c r="D7" s="138" t="s">
        <v>157</v>
      </c>
    </row>
    <row r="8" spans="1:4">
      <c r="A8" s="137"/>
      <c r="B8" s="153"/>
      <c r="C8" s="153"/>
      <c r="D8" s="138"/>
    </row>
    <row r="9" spans="1:4">
      <c r="A9" s="158"/>
      <c r="B9" s="159"/>
      <c r="C9" s="153"/>
      <c r="D9" s="138" t="s">
        <v>129</v>
      </c>
    </row>
    <row r="10" spans="1:4">
      <c r="A10" s="137"/>
      <c r="B10" s="153"/>
      <c r="C10" s="153"/>
      <c r="D10" s="138"/>
    </row>
    <row r="11" spans="1:4">
      <c r="A11" s="160"/>
      <c r="B11" s="161"/>
      <c r="C11" s="153"/>
      <c r="D11" s="138" t="s">
        <v>81</v>
      </c>
    </row>
    <row r="12" spans="1:4">
      <c r="A12" s="137"/>
      <c r="B12" s="153"/>
      <c r="C12" s="153"/>
      <c r="D12" s="138"/>
    </row>
    <row r="13" spans="1:4">
      <c r="A13" s="162"/>
      <c r="B13" s="163"/>
      <c r="C13" s="153"/>
      <c r="D13" s="138" t="s">
        <v>85</v>
      </c>
    </row>
    <row r="15" spans="1:4">
      <c r="A15" t="s">
        <v>19</v>
      </c>
      <c r="B15" t="s">
        <v>20</v>
      </c>
    </row>
    <row r="17" spans="1:1">
      <c r="A17" t="s">
        <v>23</v>
      </c>
    </row>
    <row r="18" spans="1:1">
      <c r="A18" t="s">
        <v>21</v>
      </c>
    </row>
    <row r="19" spans="1:1">
      <c r="A19" t="s">
        <v>22</v>
      </c>
    </row>
  </sheetData>
  <sheetCalcPr fullCalcOnLoad="1"/>
  <phoneticPr fontId="1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T97"/>
  <sheetViews>
    <sheetView topLeftCell="A30" workbookViewId="0">
      <selection activeCell="A60" sqref="A60"/>
    </sheetView>
  </sheetViews>
  <sheetFormatPr baseColWidth="10" defaultColWidth="8.83203125" defaultRowHeight="14"/>
  <cols>
    <col min="1" max="2" width="27.83203125" style="3" customWidth="1"/>
    <col min="3" max="3" width="12.5" style="3" customWidth="1"/>
    <col min="4" max="10" width="8.83203125" style="3"/>
    <col min="11" max="11" width="13.83203125" style="3" customWidth="1"/>
    <col min="13" max="22" width="8.83203125" style="3"/>
    <col min="24" max="27" width="8.83203125" style="3"/>
    <col min="28" max="28" width="12.1640625" style="3" customWidth="1"/>
    <col min="30" max="37" width="8.83203125" style="21"/>
    <col min="39" max="44" width="8.83203125" style="21"/>
    <col min="46" max="53" width="8.83203125" style="3"/>
    <col min="55" max="62" width="8.83203125" style="30"/>
    <col min="64" max="72" width="8.83203125" style="21"/>
  </cols>
  <sheetData>
    <row r="1" spans="1:72">
      <c r="A1" s="1" t="s">
        <v>221</v>
      </c>
      <c r="B1" s="1"/>
      <c r="C1" s="1"/>
      <c r="D1" s="1"/>
      <c r="E1" s="1"/>
      <c r="F1" s="1"/>
      <c r="G1" s="1"/>
      <c r="H1" s="1"/>
      <c r="I1" s="1"/>
      <c r="J1" s="1"/>
      <c r="K1" s="1"/>
      <c r="M1" s="1" t="s">
        <v>280</v>
      </c>
      <c r="N1" s="1"/>
      <c r="O1" s="1"/>
      <c r="P1" s="1"/>
      <c r="Q1" s="1"/>
      <c r="R1" s="1"/>
      <c r="S1" s="1"/>
      <c r="T1" s="1"/>
      <c r="U1" s="1"/>
      <c r="V1" s="1"/>
      <c r="X1" s="1" t="s">
        <v>300</v>
      </c>
      <c r="Y1" s="1"/>
      <c r="Z1" s="1"/>
      <c r="AA1" s="1"/>
      <c r="AB1" s="1"/>
      <c r="AD1" s="1" t="s">
        <v>136</v>
      </c>
      <c r="AE1" s="1"/>
      <c r="AF1" s="1"/>
      <c r="AG1" s="1"/>
      <c r="AH1" s="1"/>
      <c r="AI1" s="1"/>
      <c r="AJ1" s="1"/>
      <c r="AK1" s="1"/>
      <c r="AM1" s="1" t="s">
        <v>151</v>
      </c>
      <c r="AN1" s="1"/>
      <c r="AO1" s="1"/>
      <c r="AP1" s="1"/>
      <c r="AQ1" s="1"/>
      <c r="AR1" s="1"/>
      <c r="AT1" s="5" t="s">
        <v>158</v>
      </c>
      <c r="AU1" s="5"/>
      <c r="AV1" s="5"/>
      <c r="AW1" s="5"/>
      <c r="AX1" s="5"/>
      <c r="AY1" s="5"/>
      <c r="AZ1" s="5"/>
      <c r="BA1" s="5"/>
      <c r="BC1" s="5" t="s">
        <v>171</v>
      </c>
      <c r="BD1" s="5"/>
      <c r="BE1" s="5"/>
      <c r="BF1" s="5"/>
      <c r="BG1" s="5"/>
      <c r="BH1" s="5"/>
      <c r="BI1" s="5"/>
      <c r="BJ1" s="5"/>
      <c r="BL1" s="1" t="s">
        <v>187</v>
      </c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222</v>
      </c>
      <c r="B2" s="1"/>
      <c r="C2" s="1"/>
      <c r="D2" s="1"/>
      <c r="E2" s="1"/>
      <c r="F2" s="1"/>
      <c r="G2" s="1"/>
      <c r="H2" s="1"/>
      <c r="I2" s="1"/>
      <c r="J2" s="1"/>
      <c r="K2" s="1"/>
      <c r="M2" s="1" t="s">
        <v>299</v>
      </c>
      <c r="N2" s="1"/>
      <c r="O2" s="1"/>
      <c r="P2" s="1"/>
      <c r="Q2" s="1"/>
      <c r="R2" s="1"/>
      <c r="S2" s="1"/>
      <c r="T2" s="1"/>
      <c r="U2" s="1"/>
      <c r="V2" s="1"/>
      <c r="X2" s="1" t="s">
        <v>299</v>
      </c>
      <c r="Y2" s="1"/>
      <c r="Z2" s="1"/>
      <c r="AA2" s="1"/>
      <c r="AB2" s="1"/>
      <c r="AD2" s="1" t="s">
        <v>192</v>
      </c>
      <c r="AE2" s="1"/>
      <c r="AF2" s="1"/>
      <c r="AG2" s="1"/>
      <c r="AH2" s="1"/>
      <c r="AI2" s="1"/>
      <c r="AJ2" s="1"/>
      <c r="AK2" s="1"/>
      <c r="AM2" s="1" t="s">
        <v>192</v>
      </c>
      <c r="AN2" s="1"/>
      <c r="AO2" s="1"/>
      <c r="AP2" s="1"/>
      <c r="AQ2" s="1"/>
      <c r="AR2" s="1"/>
      <c r="AT2" s="5" t="s">
        <v>193</v>
      </c>
      <c r="AU2" s="5"/>
      <c r="AV2" s="5"/>
      <c r="AW2" s="5"/>
      <c r="AX2" s="5"/>
      <c r="AY2" s="5"/>
      <c r="AZ2" s="5"/>
      <c r="BA2" s="5"/>
      <c r="BC2" s="5" t="s">
        <v>194</v>
      </c>
      <c r="BD2" s="5"/>
      <c r="BE2" s="5"/>
      <c r="BF2" s="5"/>
      <c r="BG2" s="5"/>
      <c r="BH2" s="5"/>
      <c r="BI2" s="5"/>
      <c r="BJ2" s="5"/>
      <c r="BL2" s="1" t="s">
        <v>188</v>
      </c>
      <c r="BM2" s="1"/>
      <c r="BN2" s="1"/>
      <c r="BO2" s="1"/>
      <c r="BP2" s="1"/>
      <c r="BQ2" s="1"/>
      <c r="BR2" s="1"/>
      <c r="BS2" s="1"/>
      <c r="BT2" s="1"/>
    </row>
    <row r="3" spans="1:72" ht="15" thickBot="1">
      <c r="A3" s="2" t="s">
        <v>223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223</v>
      </c>
      <c r="N3" s="2"/>
      <c r="O3" s="2"/>
      <c r="P3" s="2"/>
      <c r="Q3" s="2"/>
      <c r="R3" s="2"/>
      <c r="S3" s="2"/>
      <c r="T3" s="2"/>
      <c r="U3" s="2"/>
      <c r="V3" s="2"/>
      <c r="X3" s="2" t="s">
        <v>223</v>
      </c>
      <c r="Y3" s="2"/>
      <c r="Z3" s="2"/>
      <c r="AA3" s="2"/>
      <c r="AB3" s="2"/>
      <c r="AD3" s="2" t="s">
        <v>223</v>
      </c>
      <c r="AE3" s="2"/>
      <c r="AF3" s="2"/>
      <c r="AG3" s="2"/>
      <c r="AH3" s="2"/>
      <c r="AI3" s="2"/>
      <c r="AJ3" s="2"/>
      <c r="AK3" s="2"/>
      <c r="AM3" s="2" t="s">
        <v>223</v>
      </c>
      <c r="AN3" s="2"/>
      <c r="AO3" s="2"/>
      <c r="AP3" s="2"/>
      <c r="AQ3" s="2"/>
      <c r="AR3" s="2"/>
      <c r="AT3" s="2" t="s">
        <v>223</v>
      </c>
      <c r="AU3" s="2"/>
      <c r="AV3" s="2"/>
      <c r="AW3" s="2"/>
      <c r="AX3" s="2"/>
      <c r="AY3" s="2"/>
      <c r="AZ3" s="2"/>
      <c r="BA3" s="2"/>
      <c r="BC3" s="2" t="s">
        <v>223</v>
      </c>
      <c r="BD3" s="2"/>
      <c r="BE3" s="2"/>
      <c r="BF3" s="2"/>
      <c r="BG3" s="2"/>
      <c r="BH3" s="2"/>
      <c r="BI3" s="2"/>
      <c r="BJ3" s="2"/>
      <c r="BL3" s="2" t="s">
        <v>223</v>
      </c>
      <c r="BM3" s="2"/>
      <c r="BN3" s="2"/>
      <c r="BO3" s="2"/>
      <c r="BP3" s="2"/>
      <c r="BQ3" s="2"/>
      <c r="BR3" s="2"/>
      <c r="BS3" s="2"/>
      <c r="BT3" s="2"/>
    </row>
    <row r="4" spans="1:72" ht="16" thickTop="1" thickBot="1">
      <c r="A4" s="5"/>
      <c r="B4" s="5"/>
      <c r="C4" s="8" t="s">
        <v>279</v>
      </c>
      <c r="D4" s="8" t="s">
        <v>279</v>
      </c>
      <c r="E4" s="8" t="s">
        <v>279</v>
      </c>
      <c r="F4" s="8" t="s">
        <v>279</v>
      </c>
      <c r="G4" s="8"/>
      <c r="H4" s="8" t="s">
        <v>279</v>
      </c>
      <c r="I4" s="8" t="s">
        <v>279</v>
      </c>
      <c r="J4" s="8" t="s">
        <v>279</v>
      </c>
      <c r="K4" s="8" t="s">
        <v>279</v>
      </c>
      <c r="M4" s="5"/>
      <c r="N4" s="54" t="s">
        <v>133</v>
      </c>
      <c r="O4" s="54" t="s">
        <v>133</v>
      </c>
      <c r="P4" s="54" t="s">
        <v>133</v>
      </c>
      <c r="Q4" s="54" t="s">
        <v>133</v>
      </c>
      <c r="R4" s="54" t="s">
        <v>133</v>
      </c>
      <c r="S4" s="54" t="s">
        <v>133</v>
      </c>
      <c r="T4" s="8"/>
      <c r="U4" s="54" t="s">
        <v>133</v>
      </c>
      <c r="V4" s="54" t="s">
        <v>133</v>
      </c>
      <c r="X4" s="7"/>
      <c r="Y4" s="54" t="s">
        <v>133</v>
      </c>
      <c r="Z4" s="54" t="s">
        <v>133</v>
      </c>
      <c r="AA4" s="54" t="s">
        <v>133</v>
      </c>
      <c r="AB4" s="8" t="s">
        <v>130</v>
      </c>
      <c r="AD4" s="5"/>
      <c r="AE4" s="56" t="s">
        <v>157</v>
      </c>
      <c r="AF4" s="56" t="s">
        <v>157</v>
      </c>
      <c r="AG4" s="56" t="s">
        <v>157</v>
      </c>
      <c r="AH4" s="56" t="s">
        <v>157</v>
      </c>
      <c r="AI4" s="56" t="s">
        <v>157</v>
      </c>
      <c r="AJ4" s="56" t="s">
        <v>157</v>
      </c>
      <c r="AK4" s="56" t="s">
        <v>157</v>
      </c>
      <c r="AM4" s="8" t="s">
        <v>157</v>
      </c>
      <c r="AN4" s="56" t="s">
        <v>157</v>
      </c>
      <c r="AO4" s="8" t="s">
        <v>80</v>
      </c>
      <c r="AP4" s="56" t="s">
        <v>157</v>
      </c>
      <c r="AQ4" s="56" t="s">
        <v>157</v>
      </c>
      <c r="AR4" s="8" t="s">
        <v>231</v>
      </c>
      <c r="AT4" s="5"/>
      <c r="AU4" s="62" t="s">
        <v>190</v>
      </c>
      <c r="AV4" s="68" t="s">
        <v>81</v>
      </c>
      <c r="AW4" s="74" t="s">
        <v>129</v>
      </c>
      <c r="AX4" s="74" t="s">
        <v>129</v>
      </c>
      <c r="AY4" s="74" t="s">
        <v>129</v>
      </c>
      <c r="AZ4" s="74" t="s">
        <v>129</v>
      </c>
      <c r="BA4" s="28"/>
      <c r="BC4" s="27"/>
      <c r="BD4" s="62" t="s">
        <v>190</v>
      </c>
      <c r="BE4" s="62" t="s">
        <v>190</v>
      </c>
      <c r="BF4" s="74" t="s">
        <v>129</v>
      </c>
      <c r="BG4" s="62" t="s">
        <v>190</v>
      </c>
      <c r="BH4" s="28" t="s">
        <v>130</v>
      </c>
      <c r="BI4" s="28" t="s">
        <v>279</v>
      </c>
      <c r="BJ4" s="5"/>
      <c r="BL4" s="5"/>
      <c r="BM4" s="8" t="s">
        <v>80</v>
      </c>
      <c r="BN4" s="8" t="s">
        <v>80</v>
      </c>
      <c r="BO4" s="8" t="s">
        <v>80</v>
      </c>
      <c r="BP4" s="8" t="s">
        <v>80</v>
      </c>
      <c r="BQ4" s="8" t="s">
        <v>80</v>
      </c>
      <c r="BR4" s="8" t="s">
        <v>80</v>
      </c>
      <c r="BS4" s="8" t="s">
        <v>80</v>
      </c>
      <c r="BT4" s="8" t="s">
        <v>80</v>
      </c>
    </row>
    <row r="5" spans="1:72" ht="15" thickTop="1">
      <c r="C5" s="4" t="s">
        <v>224</v>
      </c>
      <c r="D5" s="4"/>
      <c r="E5" s="4"/>
      <c r="F5" s="4"/>
      <c r="G5" s="5"/>
      <c r="H5" s="4" t="s">
        <v>225</v>
      </c>
      <c r="I5" s="4"/>
      <c r="J5" s="4"/>
      <c r="K5" s="6" t="s">
        <v>226</v>
      </c>
      <c r="N5" s="55" t="s">
        <v>283</v>
      </c>
      <c r="O5" s="55" t="s">
        <v>284</v>
      </c>
      <c r="P5" s="55" t="s">
        <v>285</v>
      </c>
      <c r="Q5" s="55" t="s">
        <v>286</v>
      </c>
      <c r="R5" s="55" t="s">
        <v>287</v>
      </c>
      <c r="S5" s="55" t="s">
        <v>288</v>
      </c>
      <c r="T5" s="19"/>
      <c r="U5" s="55" t="s">
        <v>289</v>
      </c>
      <c r="V5" s="55"/>
      <c r="Y5" s="55" t="s">
        <v>301</v>
      </c>
      <c r="Z5" s="55" t="s">
        <v>128</v>
      </c>
      <c r="AA5" s="55" t="s">
        <v>129</v>
      </c>
      <c r="AB5" s="19" t="s">
        <v>130</v>
      </c>
      <c r="AD5" s="3"/>
      <c r="AE5" s="57" t="s">
        <v>138</v>
      </c>
      <c r="AF5" s="57" t="s">
        <v>138</v>
      </c>
      <c r="AG5" s="57" t="s">
        <v>139</v>
      </c>
      <c r="AH5" s="57" t="s">
        <v>140</v>
      </c>
      <c r="AI5" s="57" t="s">
        <v>141</v>
      </c>
      <c r="AJ5" s="57" t="s">
        <v>142</v>
      </c>
      <c r="AK5" s="57" t="s">
        <v>138</v>
      </c>
      <c r="AM5" s="3"/>
      <c r="AN5" s="57" t="s">
        <v>152</v>
      </c>
      <c r="AO5" s="19" t="s">
        <v>153</v>
      </c>
      <c r="AP5" s="57" t="s">
        <v>154</v>
      </c>
      <c r="AQ5" s="57"/>
      <c r="AR5" s="19" t="s">
        <v>231</v>
      </c>
      <c r="AU5" s="63" t="s">
        <v>195</v>
      </c>
      <c r="AV5" s="69" t="s">
        <v>161</v>
      </c>
      <c r="AW5" s="75" t="s">
        <v>162</v>
      </c>
      <c r="AX5" s="75" t="s">
        <v>163</v>
      </c>
      <c r="AY5" s="75" t="s">
        <v>164</v>
      </c>
      <c r="AZ5" s="75"/>
      <c r="BA5" s="26"/>
      <c r="BC5" s="3"/>
      <c r="BD5" s="63" t="s">
        <v>196</v>
      </c>
      <c r="BE5" s="63" t="s">
        <v>197</v>
      </c>
      <c r="BF5" s="75" t="s">
        <v>198</v>
      </c>
      <c r="BG5" s="63" t="s">
        <v>199</v>
      </c>
      <c r="BH5" s="26" t="s">
        <v>130</v>
      </c>
      <c r="BI5" s="26" t="s">
        <v>200</v>
      </c>
      <c r="BJ5" s="26"/>
      <c r="BM5" s="4" t="s">
        <v>189</v>
      </c>
      <c r="BN5" s="31"/>
      <c r="BO5" s="31"/>
      <c r="BQ5" s="4" t="s">
        <v>190</v>
      </c>
      <c r="BR5" s="31"/>
      <c r="BS5" s="31"/>
      <c r="BT5" s="19"/>
    </row>
    <row r="6" spans="1:72">
      <c r="A6" s="7" t="s">
        <v>227</v>
      </c>
      <c r="B6" s="7" t="s">
        <v>206</v>
      </c>
      <c r="C6" s="8" t="s">
        <v>228</v>
      </c>
      <c r="D6" s="8" t="s">
        <v>229</v>
      </c>
      <c r="E6" s="8" t="s">
        <v>230</v>
      </c>
      <c r="F6" s="8" t="s">
        <v>231</v>
      </c>
      <c r="G6" s="8"/>
      <c r="H6" s="8" t="s">
        <v>228</v>
      </c>
      <c r="I6" s="8" t="s">
        <v>232</v>
      </c>
      <c r="J6" s="8" t="s">
        <v>233</v>
      </c>
      <c r="K6" s="8" t="s">
        <v>234</v>
      </c>
      <c r="M6" s="7" t="s">
        <v>227</v>
      </c>
      <c r="N6" s="54" t="s">
        <v>290</v>
      </c>
      <c r="O6" s="54" t="s">
        <v>291</v>
      </c>
      <c r="P6" s="54" t="s">
        <v>292</v>
      </c>
      <c r="Q6" s="54" t="s">
        <v>291</v>
      </c>
      <c r="R6" s="54" t="s">
        <v>293</v>
      </c>
      <c r="S6" s="54" t="s">
        <v>294</v>
      </c>
      <c r="T6" s="8"/>
      <c r="U6" s="54" t="s">
        <v>295</v>
      </c>
      <c r="V6" s="54" t="s">
        <v>296</v>
      </c>
      <c r="X6" s="7" t="s">
        <v>227</v>
      </c>
      <c r="Y6" s="54" t="s">
        <v>131</v>
      </c>
      <c r="Z6" s="54" t="s">
        <v>132</v>
      </c>
      <c r="AA6" s="54" t="s">
        <v>133</v>
      </c>
      <c r="AB6" s="8" t="s">
        <v>133</v>
      </c>
      <c r="AD6" s="7" t="s">
        <v>227</v>
      </c>
      <c r="AE6" s="56" t="s">
        <v>143</v>
      </c>
      <c r="AF6" s="56" t="s">
        <v>144</v>
      </c>
      <c r="AG6" s="56" t="s">
        <v>145</v>
      </c>
      <c r="AH6" s="56" t="s">
        <v>146</v>
      </c>
      <c r="AI6" s="56" t="s">
        <v>147</v>
      </c>
      <c r="AJ6" s="56" t="s">
        <v>148</v>
      </c>
      <c r="AK6" s="56" t="s">
        <v>149</v>
      </c>
      <c r="AM6" s="7" t="s">
        <v>227</v>
      </c>
      <c r="AN6" s="56" t="s">
        <v>155</v>
      </c>
      <c r="AO6" s="8" t="s">
        <v>155</v>
      </c>
      <c r="AP6" s="56" t="s">
        <v>156</v>
      </c>
      <c r="AQ6" s="56" t="s">
        <v>129</v>
      </c>
      <c r="AR6" s="8" t="s">
        <v>157</v>
      </c>
      <c r="AT6" s="27" t="s">
        <v>227</v>
      </c>
      <c r="AU6" s="62" t="s">
        <v>165</v>
      </c>
      <c r="AV6" s="68" t="s">
        <v>166</v>
      </c>
      <c r="AW6" s="74" t="s">
        <v>167</v>
      </c>
      <c r="AX6" s="74" t="s">
        <v>168</v>
      </c>
      <c r="AY6" s="74" t="s">
        <v>169</v>
      </c>
      <c r="AZ6" s="74" t="s">
        <v>129</v>
      </c>
      <c r="BA6" s="28" t="s">
        <v>279</v>
      </c>
      <c r="BC6" s="27" t="s">
        <v>227</v>
      </c>
      <c r="BD6" s="62" t="s">
        <v>181</v>
      </c>
      <c r="BE6" s="62" t="s">
        <v>182</v>
      </c>
      <c r="BF6" s="74" t="s">
        <v>183</v>
      </c>
      <c r="BG6" s="62" t="s">
        <v>184</v>
      </c>
      <c r="BH6" s="28" t="s">
        <v>129</v>
      </c>
      <c r="BI6" s="28" t="s">
        <v>185</v>
      </c>
      <c r="BJ6" s="28"/>
      <c r="BL6" s="7" t="s">
        <v>227</v>
      </c>
      <c r="BM6" s="8" t="s">
        <v>133</v>
      </c>
      <c r="BN6" s="8" t="s">
        <v>190</v>
      </c>
      <c r="BO6" s="8" t="s">
        <v>279</v>
      </c>
      <c r="BP6" s="32" t="s">
        <v>201</v>
      </c>
      <c r="BQ6" s="8" t="s">
        <v>202</v>
      </c>
      <c r="BR6" s="8" t="s">
        <v>203</v>
      </c>
      <c r="BS6" s="8" t="s">
        <v>204</v>
      </c>
      <c r="BT6" s="8" t="s">
        <v>205</v>
      </c>
    </row>
    <row r="7" spans="1:72">
      <c r="A7" s="3" t="s">
        <v>235</v>
      </c>
      <c r="M7" s="3" t="s">
        <v>235</v>
      </c>
      <c r="N7" s="51"/>
      <c r="O7" s="51"/>
      <c r="P7" s="51"/>
      <c r="Q7" s="51"/>
      <c r="R7" s="51"/>
      <c r="S7" s="51"/>
      <c r="U7" s="51"/>
      <c r="V7" s="51"/>
      <c r="X7" s="3" t="s">
        <v>235</v>
      </c>
      <c r="Y7" s="51"/>
      <c r="Z7" s="51"/>
      <c r="AA7" s="51"/>
      <c r="AD7" s="3" t="s">
        <v>235</v>
      </c>
      <c r="AE7" s="58"/>
      <c r="AF7" s="58"/>
      <c r="AG7" s="58"/>
      <c r="AH7" s="58"/>
      <c r="AI7" s="58"/>
      <c r="AJ7" s="58"/>
      <c r="AK7" s="58"/>
      <c r="AM7" s="3" t="s">
        <v>235</v>
      </c>
      <c r="AN7" s="58"/>
      <c r="AO7" s="3"/>
      <c r="AP7" s="58"/>
      <c r="AQ7" s="58"/>
      <c r="AR7" s="3"/>
      <c r="AT7" s="3" t="s">
        <v>235</v>
      </c>
      <c r="AU7" s="64"/>
      <c r="AV7" s="70"/>
      <c r="AW7" s="76"/>
      <c r="AX7" s="76"/>
      <c r="AY7" s="76"/>
      <c r="AZ7" s="76"/>
      <c r="BC7" s="3" t="s">
        <v>235</v>
      </c>
      <c r="BD7" s="64"/>
      <c r="BE7" s="64"/>
      <c r="BF7" s="76"/>
      <c r="BG7" s="64"/>
      <c r="BH7" s="3"/>
      <c r="BI7" s="3"/>
      <c r="BJ7" s="3"/>
      <c r="BL7" s="3" t="s">
        <v>235</v>
      </c>
      <c r="BM7" s="3"/>
      <c r="BN7" s="3"/>
      <c r="BO7" s="3"/>
      <c r="BP7" s="3"/>
      <c r="BQ7" s="3"/>
      <c r="BR7" s="3"/>
      <c r="BS7" s="3"/>
      <c r="BT7" s="3"/>
    </row>
    <row r="8" spans="1:72">
      <c r="A8" s="3" t="s">
        <v>236</v>
      </c>
      <c r="B8" s="3">
        <v>7563</v>
      </c>
      <c r="C8" s="9">
        <v>64263835</v>
      </c>
      <c r="D8" s="9">
        <v>1970175</v>
      </c>
      <c r="E8" s="9">
        <v>18043387</v>
      </c>
      <c r="F8" s="9">
        <v>84277397</v>
      </c>
      <c r="G8" s="9"/>
      <c r="H8" s="9">
        <v>18068830</v>
      </c>
      <c r="I8" s="9">
        <v>6348508</v>
      </c>
      <c r="J8" s="9">
        <v>24417337</v>
      </c>
      <c r="K8" s="9">
        <v>108694734</v>
      </c>
      <c r="M8" s="3" t="s">
        <v>236</v>
      </c>
      <c r="N8" s="50">
        <v>23974228</v>
      </c>
      <c r="O8" s="50">
        <v>11628610</v>
      </c>
      <c r="P8" s="50">
        <v>1334956</v>
      </c>
      <c r="Q8" s="50">
        <v>1668672</v>
      </c>
      <c r="R8" s="50">
        <v>7621457</v>
      </c>
      <c r="S8" s="50">
        <v>3975480</v>
      </c>
      <c r="T8" s="9"/>
      <c r="U8" s="50">
        <v>2632373</v>
      </c>
      <c r="V8" s="50">
        <v>705926</v>
      </c>
      <c r="X8" s="3" t="s">
        <v>236</v>
      </c>
      <c r="Y8" s="50">
        <v>278221</v>
      </c>
      <c r="Z8" s="50">
        <v>84335</v>
      </c>
      <c r="AA8" s="50">
        <v>10359577</v>
      </c>
      <c r="AB8" s="9">
        <v>64263835</v>
      </c>
      <c r="AD8" s="3" t="s">
        <v>236</v>
      </c>
      <c r="AE8" s="59">
        <v>275551</v>
      </c>
      <c r="AF8" s="59">
        <v>32853</v>
      </c>
      <c r="AG8" s="59">
        <v>981819</v>
      </c>
      <c r="AH8" s="59">
        <v>41568</v>
      </c>
      <c r="AI8" s="59">
        <v>0</v>
      </c>
      <c r="AJ8" s="59">
        <v>0</v>
      </c>
      <c r="AK8" s="59">
        <v>266718</v>
      </c>
      <c r="AM8" s="3" t="s">
        <v>236</v>
      </c>
      <c r="AN8" s="59">
        <v>63667</v>
      </c>
      <c r="AO8" s="9">
        <v>69655</v>
      </c>
      <c r="AP8" s="59">
        <v>37529</v>
      </c>
      <c r="AQ8" s="59">
        <v>200815</v>
      </c>
      <c r="AR8" s="9">
        <v>1970175</v>
      </c>
      <c r="AT8" s="3" t="s">
        <v>236</v>
      </c>
      <c r="AU8" s="65">
        <v>9971564</v>
      </c>
      <c r="AV8" s="71">
        <v>0</v>
      </c>
      <c r="AW8" s="77">
        <v>417820</v>
      </c>
      <c r="AX8" s="77">
        <v>76663</v>
      </c>
      <c r="AY8" s="77">
        <v>101667</v>
      </c>
      <c r="AZ8" s="77">
        <v>0</v>
      </c>
      <c r="BA8" s="9">
        <v>10567714</v>
      </c>
      <c r="BC8" s="3" t="s">
        <v>236</v>
      </c>
      <c r="BD8" s="65">
        <v>4558320</v>
      </c>
      <c r="BE8" s="65">
        <v>3127855</v>
      </c>
      <c r="BF8" s="77">
        <v>715380</v>
      </c>
      <c r="BG8" s="65">
        <v>707609</v>
      </c>
      <c r="BH8" s="9">
        <v>9109164</v>
      </c>
      <c r="BI8" s="9">
        <v>18043387</v>
      </c>
      <c r="BJ8" s="9"/>
      <c r="BL8" s="3" t="s">
        <v>236</v>
      </c>
      <c r="BM8" s="9">
        <v>18068830</v>
      </c>
      <c r="BN8" s="9">
        <v>6348508</v>
      </c>
      <c r="BO8" s="9">
        <v>24417337</v>
      </c>
      <c r="BP8" s="9">
        <v>0</v>
      </c>
      <c r="BQ8" s="9">
        <v>0</v>
      </c>
      <c r="BR8" s="9">
        <v>0</v>
      </c>
      <c r="BS8" s="9">
        <v>0</v>
      </c>
      <c r="BT8" s="9">
        <v>24417337</v>
      </c>
    </row>
    <row r="9" spans="1:72">
      <c r="A9" s="3" t="s">
        <v>237</v>
      </c>
      <c r="B9" s="3">
        <v>10267</v>
      </c>
      <c r="C9" s="9">
        <v>81295677</v>
      </c>
      <c r="D9" s="9">
        <v>7673827</v>
      </c>
      <c r="E9" s="9">
        <v>53251846</v>
      </c>
      <c r="F9" s="9">
        <v>142221350</v>
      </c>
      <c r="G9" s="9"/>
      <c r="H9" s="9">
        <v>25910296</v>
      </c>
      <c r="I9" s="9">
        <v>17273530</v>
      </c>
      <c r="J9" s="9">
        <v>43183826</v>
      </c>
      <c r="K9" s="9">
        <v>185405176</v>
      </c>
      <c r="M9" s="3" t="s">
        <v>237</v>
      </c>
      <c r="N9" s="50">
        <v>37262351</v>
      </c>
      <c r="O9" s="50">
        <v>18248511</v>
      </c>
      <c r="P9" s="50">
        <v>1798102</v>
      </c>
      <c r="Q9" s="50">
        <v>2395125</v>
      </c>
      <c r="R9" s="50">
        <v>4176986</v>
      </c>
      <c r="S9" s="50">
        <v>2943732</v>
      </c>
      <c r="T9" s="9"/>
      <c r="U9" s="50">
        <v>2843974</v>
      </c>
      <c r="V9" s="50">
        <v>950216</v>
      </c>
      <c r="X9" s="3" t="s">
        <v>237</v>
      </c>
      <c r="Y9" s="50">
        <v>359222</v>
      </c>
      <c r="Z9" s="50">
        <v>777</v>
      </c>
      <c r="AA9" s="50">
        <v>10316681</v>
      </c>
      <c r="AB9" s="9">
        <v>81295677</v>
      </c>
      <c r="AD9" s="3" t="s">
        <v>237</v>
      </c>
      <c r="AE9" s="59">
        <v>2723247</v>
      </c>
      <c r="AF9" s="59">
        <v>21143</v>
      </c>
      <c r="AG9" s="59">
        <v>2826704</v>
      </c>
      <c r="AH9" s="59">
        <v>114376</v>
      </c>
      <c r="AI9" s="59">
        <v>0</v>
      </c>
      <c r="AJ9" s="59">
        <v>0</v>
      </c>
      <c r="AK9" s="59">
        <v>1266236</v>
      </c>
      <c r="AM9" s="3" t="s">
        <v>237</v>
      </c>
      <c r="AN9" s="59">
        <v>271827</v>
      </c>
      <c r="AO9" s="9">
        <v>0</v>
      </c>
      <c r="AP9" s="59">
        <v>128466</v>
      </c>
      <c r="AQ9" s="59">
        <v>321827</v>
      </c>
      <c r="AR9" s="9">
        <v>7673827</v>
      </c>
      <c r="AT9" s="3" t="s">
        <v>237</v>
      </c>
      <c r="AU9" s="65">
        <v>33986504</v>
      </c>
      <c r="AV9" s="71">
        <v>776842</v>
      </c>
      <c r="AW9" s="77">
        <v>758943</v>
      </c>
      <c r="AX9" s="77">
        <v>42508</v>
      </c>
      <c r="AY9" s="77">
        <v>31894</v>
      </c>
      <c r="AZ9" s="77">
        <v>5573542</v>
      </c>
      <c r="BA9" s="9">
        <v>41170234</v>
      </c>
      <c r="BC9" s="3" t="s">
        <v>237</v>
      </c>
      <c r="BD9" s="65">
        <v>5200997</v>
      </c>
      <c r="BE9" s="65">
        <v>5654241</v>
      </c>
      <c r="BF9" s="77">
        <v>788398</v>
      </c>
      <c r="BG9" s="65">
        <v>883404</v>
      </c>
      <c r="BH9" s="9">
        <v>12527040</v>
      </c>
      <c r="BI9" s="9">
        <v>53251846</v>
      </c>
      <c r="BJ9" s="9"/>
      <c r="BL9" s="3" t="s">
        <v>237</v>
      </c>
      <c r="BM9" s="9">
        <v>25910296</v>
      </c>
      <c r="BN9" s="9">
        <v>17273530</v>
      </c>
      <c r="BO9" s="9">
        <v>43183826</v>
      </c>
      <c r="BP9" s="9">
        <v>0</v>
      </c>
      <c r="BQ9" s="9">
        <v>0</v>
      </c>
      <c r="BR9" s="9">
        <v>0</v>
      </c>
      <c r="BS9" s="9">
        <v>0</v>
      </c>
      <c r="BT9" s="9">
        <v>43183826</v>
      </c>
    </row>
    <row r="10" spans="1:72">
      <c r="A10" s="3" t="s">
        <v>238</v>
      </c>
      <c r="C10" s="3">
        <v>0</v>
      </c>
      <c r="D10" s="3">
        <v>0</v>
      </c>
      <c r="E10" s="9">
        <v>2263611</v>
      </c>
      <c r="F10" s="9">
        <v>2263611</v>
      </c>
      <c r="H10" s="9">
        <v>0</v>
      </c>
      <c r="I10" s="9">
        <v>0</v>
      </c>
      <c r="J10" s="3">
        <v>0</v>
      </c>
      <c r="K10" s="3">
        <v>2263611</v>
      </c>
      <c r="M10" s="3" t="s">
        <v>238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U10" s="51">
        <v>0</v>
      </c>
      <c r="V10" s="51">
        <v>0</v>
      </c>
      <c r="X10" s="3" t="s">
        <v>238</v>
      </c>
      <c r="Y10" s="51">
        <v>0</v>
      </c>
      <c r="Z10" s="51">
        <v>0</v>
      </c>
      <c r="AA10" s="51">
        <v>0</v>
      </c>
      <c r="AB10" s="3">
        <v>0</v>
      </c>
      <c r="AD10" s="3" t="s">
        <v>238</v>
      </c>
      <c r="AE10" s="58">
        <v>0</v>
      </c>
      <c r="AF10" s="58">
        <v>0</v>
      </c>
      <c r="AG10" s="58">
        <v>0</v>
      </c>
      <c r="AH10" s="58">
        <v>0</v>
      </c>
      <c r="AI10" s="58">
        <v>0</v>
      </c>
      <c r="AJ10" s="58">
        <v>0</v>
      </c>
      <c r="AK10" s="58">
        <v>0</v>
      </c>
      <c r="AM10" s="3" t="s">
        <v>238</v>
      </c>
      <c r="AN10" s="58">
        <v>0</v>
      </c>
      <c r="AO10" s="3">
        <v>0</v>
      </c>
      <c r="AP10" s="58">
        <v>0</v>
      </c>
      <c r="AQ10" s="58">
        <v>0</v>
      </c>
      <c r="AR10" s="3">
        <v>0</v>
      </c>
      <c r="AT10" s="3" t="s">
        <v>238</v>
      </c>
      <c r="AU10" s="64">
        <v>0</v>
      </c>
      <c r="AV10" s="70">
        <v>0</v>
      </c>
      <c r="AW10" s="76">
        <v>0</v>
      </c>
      <c r="AX10" s="76">
        <v>0</v>
      </c>
      <c r="AY10" s="76">
        <v>0</v>
      </c>
      <c r="AZ10" s="76">
        <v>2263611</v>
      </c>
      <c r="BA10" s="3">
        <v>2263611</v>
      </c>
      <c r="BC10" s="3" t="s">
        <v>238</v>
      </c>
      <c r="BD10" s="64">
        <v>0</v>
      </c>
      <c r="BE10" s="64">
        <v>0</v>
      </c>
      <c r="BF10" s="76">
        <v>0</v>
      </c>
      <c r="BG10" s="64">
        <v>0</v>
      </c>
      <c r="BH10" s="3">
        <v>0</v>
      </c>
      <c r="BI10" s="3">
        <v>2263611</v>
      </c>
      <c r="BJ10" s="9"/>
      <c r="BL10" s="3" t="s">
        <v>238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</row>
    <row r="11" spans="1:72">
      <c r="A11" s="3" t="s">
        <v>239</v>
      </c>
      <c r="B11" s="3">
        <v>17864</v>
      </c>
      <c r="C11" s="9">
        <v>135408184</v>
      </c>
      <c r="D11" s="9">
        <v>9614024</v>
      </c>
      <c r="E11" s="9">
        <v>71479665</v>
      </c>
      <c r="F11" s="9">
        <v>216501873</v>
      </c>
      <c r="G11" s="9"/>
      <c r="H11" s="9">
        <v>0</v>
      </c>
      <c r="I11" s="9">
        <v>925</v>
      </c>
      <c r="J11" s="9">
        <v>-925</v>
      </c>
      <c r="K11" s="9">
        <v>216500948</v>
      </c>
      <c r="M11" s="3" t="s">
        <v>239</v>
      </c>
      <c r="N11" s="50">
        <v>56263088</v>
      </c>
      <c r="O11" s="50">
        <v>27251038</v>
      </c>
      <c r="P11" s="50">
        <v>2947749</v>
      </c>
      <c r="Q11" s="50">
        <v>3914307</v>
      </c>
      <c r="R11" s="50">
        <v>6670313</v>
      </c>
      <c r="S11" s="50">
        <v>14797604</v>
      </c>
      <c r="T11" s="9"/>
      <c r="U11" s="50">
        <v>4651560</v>
      </c>
      <c r="V11" s="50">
        <v>1576043</v>
      </c>
      <c r="X11" s="3" t="s">
        <v>239</v>
      </c>
      <c r="Y11" s="50">
        <v>477816</v>
      </c>
      <c r="Z11" s="50">
        <v>94440</v>
      </c>
      <c r="AA11" s="50">
        <v>16764226</v>
      </c>
      <c r="AB11" s="9">
        <v>135408184</v>
      </c>
      <c r="AD11" s="3" t="s">
        <v>239</v>
      </c>
      <c r="AE11" s="59">
        <v>3460419</v>
      </c>
      <c r="AF11" s="59">
        <v>156594</v>
      </c>
      <c r="AG11" s="59">
        <v>2490600</v>
      </c>
      <c r="AH11" s="59">
        <v>134451</v>
      </c>
      <c r="AI11" s="59">
        <v>0</v>
      </c>
      <c r="AJ11" s="59">
        <v>0</v>
      </c>
      <c r="AK11" s="59">
        <v>1615639</v>
      </c>
      <c r="AM11" s="3" t="s">
        <v>239</v>
      </c>
      <c r="AN11" s="59">
        <v>407740</v>
      </c>
      <c r="AO11" s="9">
        <v>120989</v>
      </c>
      <c r="AP11" s="59">
        <v>157284</v>
      </c>
      <c r="AQ11" s="59">
        <v>1070308</v>
      </c>
      <c r="AR11" s="9">
        <v>9614024</v>
      </c>
      <c r="AT11" s="3" t="s">
        <v>239</v>
      </c>
      <c r="AU11" s="65">
        <v>56821062</v>
      </c>
      <c r="AV11" s="71">
        <v>0</v>
      </c>
      <c r="AW11" s="77">
        <v>1172681</v>
      </c>
      <c r="AX11" s="77">
        <v>91003</v>
      </c>
      <c r="AY11" s="77">
        <v>53974</v>
      </c>
      <c r="AZ11" s="77">
        <v>1949773</v>
      </c>
      <c r="BA11" s="9">
        <v>60088494</v>
      </c>
      <c r="BC11" s="3" t="s">
        <v>239</v>
      </c>
      <c r="BD11" s="65">
        <v>20022068</v>
      </c>
      <c r="BE11" s="65">
        <v>9565869</v>
      </c>
      <c r="BF11" s="77">
        <v>1220894</v>
      </c>
      <c r="BG11" s="65">
        <v>1758848</v>
      </c>
      <c r="BH11" s="9">
        <v>32567679</v>
      </c>
      <c r="BI11" s="9">
        <v>71479665</v>
      </c>
      <c r="BJ11" s="3"/>
      <c r="BL11" s="3" t="s">
        <v>239</v>
      </c>
      <c r="BM11" s="9">
        <v>0</v>
      </c>
      <c r="BN11" s="9">
        <v>925</v>
      </c>
      <c r="BO11" s="9">
        <v>925</v>
      </c>
      <c r="BP11" s="9">
        <v>0</v>
      </c>
      <c r="BQ11" s="9">
        <v>0</v>
      </c>
      <c r="BR11" s="9">
        <v>0</v>
      </c>
      <c r="BS11" s="9">
        <v>0</v>
      </c>
      <c r="BT11" s="9">
        <v>925</v>
      </c>
    </row>
    <row r="12" spans="1:72">
      <c r="A12" s="3" t="s">
        <v>240</v>
      </c>
      <c r="B12" s="3">
        <v>280</v>
      </c>
      <c r="C12" s="9">
        <v>12712785</v>
      </c>
      <c r="D12" s="3">
        <v>0</v>
      </c>
      <c r="E12" s="9">
        <v>8325288</v>
      </c>
      <c r="F12" s="9">
        <v>21038073</v>
      </c>
      <c r="G12" s="9"/>
      <c r="H12" s="9">
        <v>0</v>
      </c>
      <c r="I12" s="9">
        <v>0</v>
      </c>
      <c r="J12" s="9">
        <v>0</v>
      </c>
      <c r="K12" s="9">
        <v>21038073</v>
      </c>
      <c r="M12" s="3" t="s">
        <v>240</v>
      </c>
      <c r="N12" s="50">
        <v>7207212</v>
      </c>
      <c r="O12" s="50">
        <v>3647988</v>
      </c>
      <c r="P12" s="50">
        <v>208579</v>
      </c>
      <c r="Q12" s="50">
        <v>272157</v>
      </c>
      <c r="R12" s="50">
        <v>541520</v>
      </c>
      <c r="S12" s="50">
        <v>0</v>
      </c>
      <c r="T12" s="9"/>
      <c r="U12" s="50">
        <v>341656</v>
      </c>
      <c r="V12" s="50">
        <v>202156</v>
      </c>
      <c r="X12" s="3" t="s">
        <v>240</v>
      </c>
      <c r="Y12" s="50">
        <v>46957</v>
      </c>
      <c r="Z12" s="50">
        <v>0</v>
      </c>
      <c r="AA12" s="50">
        <v>244560</v>
      </c>
      <c r="AB12" s="9">
        <v>12712785</v>
      </c>
      <c r="AD12" s="3" t="s">
        <v>240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M12" s="3" t="s">
        <v>240</v>
      </c>
      <c r="AN12" s="59">
        <v>0</v>
      </c>
      <c r="AO12" s="9">
        <v>0</v>
      </c>
      <c r="AP12" s="59">
        <v>0</v>
      </c>
      <c r="AQ12" s="59">
        <v>0</v>
      </c>
      <c r="AR12" s="9">
        <v>0</v>
      </c>
      <c r="AT12" s="3" t="s">
        <v>240</v>
      </c>
      <c r="AU12" s="65">
        <v>0</v>
      </c>
      <c r="AV12" s="71">
        <v>8186947</v>
      </c>
      <c r="AW12" s="77">
        <v>25641</v>
      </c>
      <c r="AX12" s="77">
        <v>0</v>
      </c>
      <c r="AY12" s="77">
        <v>0</v>
      </c>
      <c r="AZ12" s="77">
        <v>127660</v>
      </c>
      <c r="BA12" s="9">
        <v>8340248</v>
      </c>
      <c r="BC12" s="3" t="s">
        <v>240</v>
      </c>
      <c r="BD12" s="65">
        <v>0</v>
      </c>
      <c r="BE12" s="65">
        <v>0</v>
      </c>
      <c r="BF12" s="77">
        <v>0</v>
      </c>
      <c r="BG12" s="65">
        <v>0</v>
      </c>
      <c r="BH12" s="9">
        <v>0</v>
      </c>
      <c r="BI12" s="9">
        <v>8325288</v>
      </c>
      <c r="BJ12" s="9"/>
      <c r="BL12" s="3" t="s">
        <v>240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</row>
    <row r="13" spans="1:72">
      <c r="A13" s="3" t="s">
        <v>241</v>
      </c>
      <c r="B13" s="3">
        <v>94</v>
      </c>
      <c r="C13" s="9">
        <v>5723244</v>
      </c>
      <c r="D13" s="9">
        <v>113563</v>
      </c>
      <c r="E13" s="9">
        <v>4709811</v>
      </c>
      <c r="F13" s="9">
        <v>10546618</v>
      </c>
      <c r="G13" s="9"/>
      <c r="H13" s="9">
        <v>8000000</v>
      </c>
      <c r="I13" s="9">
        <v>0</v>
      </c>
      <c r="J13" s="9">
        <v>8000000</v>
      </c>
      <c r="K13" s="9">
        <v>18546618</v>
      </c>
      <c r="M13" s="3" t="s">
        <v>241</v>
      </c>
      <c r="N13" s="50">
        <v>3375267</v>
      </c>
      <c r="O13" s="50">
        <v>1629453</v>
      </c>
      <c r="P13" s="50">
        <v>57799</v>
      </c>
      <c r="Q13" s="50">
        <v>75417</v>
      </c>
      <c r="R13" s="50">
        <v>155687</v>
      </c>
      <c r="S13" s="50">
        <v>0</v>
      </c>
      <c r="T13" s="9"/>
      <c r="U13" s="50">
        <v>190</v>
      </c>
      <c r="V13" s="50">
        <v>41</v>
      </c>
      <c r="X13" s="3" t="s">
        <v>241</v>
      </c>
      <c r="Y13" s="50">
        <v>13495</v>
      </c>
      <c r="Z13" s="50">
        <v>0</v>
      </c>
      <c r="AA13" s="50">
        <v>415895</v>
      </c>
      <c r="AB13" s="9">
        <v>5723244</v>
      </c>
      <c r="AD13" s="3" t="s">
        <v>241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M13" s="3" t="s">
        <v>241</v>
      </c>
      <c r="AN13" s="59">
        <v>0</v>
      </c>
      <c r="AO13" s="9">
        <v>0</v>
      </c>
      <c r="AP13" s="59">
        <v>0</v>
      </c>
      <c r="AQ13" s="59">
        <v>113563</v>
      </c>
      <c r="AR13" s="9">
        <v>113563</v>
      </c>
      <c r="AT13" s="3" t="s">
        <v>241</v>
      </c>
      <c r="AU13" s="65">
        <v>0</v>
      </c>
      <c r="AV13" s="71">
        <v>4652439</v>
      </c>
      <c r="AW13" s="77">
        <v>9355</v>
      </c>
      <c r="AX13" s="77">
        <v>0</v>
      </c>
      <c r="AY13" s="77">
        <v>0</v>
      </c>
      <c r="AZ13" s="77">
        <v>56091</v>
      </c>
      <c r="BA13" s="9">
        <v>4717884</v>
      </c>
      <c r="BC13" s="3" t="s">
        <v>241</v>
      </c>
      <c r="BD13" s="65">
        <v>0</v>
      </c>
      <c r="BE13" s="65">
        <v>0</v>
      </c>
      <c r="BF13" s="77">
        <v>0</v>
      </c>
      <c r="BG13" s="65">
        <v>0</v>
      </c>
      <c r="BH13" s="9">
        <v>0</v>
      </c>
      <c r="BI13" s="9">
        <v>4709811</v>
      </c>
      <c r="BJ13" s="9"/>
      <c r="BL13" s="3" t="s">
        <v>241</v>
      </c>
      <c r="BM13" s="9">
        <v>8000000</v>
      </c>
      <c r="BN13" s="9">
        <v>0</v>
      </c>
      <c r="BO13" s="9">
        <v>8000000</v>
      </c>
      <c r="BP13" s="9">
        <v>0</v>
      </c>
      <c r="BQ13" s="9">
        <v>0</v>
      </c>
      <c r="BR13" s="9">
        <v>0</v>
      </c>
      <c r="BS13" s="9">
        <v>0</v>
      </c>
      <c r="BT13" s="9">
        <v>8000000</v>
      </c>
    </row>
    <row r="14" spans="1:72">
      <c r="A14" s="3" t="s">
        <v>242</v>
      </c>
      <c r="B14" s="3">
        <v>0</v>
      </c>
      <c r="C14" s="9">
        <v>2056842</v>
      </c>
      <c r="D14" s="3">
        <v>0</v>
      </c>
      <c r="E14" s="9">
        <v>3315200</v>
      </c>
      <c r="F14" s="9">
        <v>5372041</v>
      </c>
      <c r="G14" s="9"/>
      <c r="H14" s="9">
        <v>0</v>
      </c>
      <c r="I14" s="9">
        <v>0</v>
      </c>
      <c r="J14" s="9">
        <v>0</v>
      </c>
      <c r="K14" s="9">
        <v>5372041</v>
      </c>
      <c r="M14" s="3" t="s">
        <v>242</v>
      </c>
      <c r="N14" s="50">
        <v>1217514</v>
      </c>
      <c r="O14" s="50">
        <v>556026</v>
      </c>
      <c r="P14" s="50">
        <v>42721</v>
      </c>
      <c r="Q14" s="50">
        <v>55743</v>
      </c>
      <c r="R14" s="50">
        <v>115073</v>
      </c>
      <c r="S14" s="50">
        <v>0</v>
      </c>
      <c r="T14" s="9"/>
      <c r="U14" s="50">
        <v>1231</v>
      </c>
      <c r="V14" s="50">
        <v>268</v>
      </c>
      <c r="X14" s="3" t="s">
        <v>242</v>
      </c>
      <c r="Y14" s="50">
        <v>9978</v>
      </c>
      <c r="Z14" s="50">
        <v>0</v>
      </c>
      <c r="AA14" s="50">
        <v>58288</v>
      </c>
      <c r="AB14" s="9">
        <v>2056842</v>
      </c>
      <c r="AD14" s="3" t="s">
        <v>242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M14" s="3" t="s">
        <v>242</v>
      </c>
      <c r="AN14" s="59">
        <v>0</v>
      </c>
      <c r="AO14" s="9">
        <v>0</v>
      </c>
      <c r="AP14" s="59">
        <v>0</v>
      </c>
      <c r="AQ14" s="59">
        <v>0</v>
      </c>
      <c r="AR14" s="9">
        <v>0</v>
      </c>
      <c r="AT14" s="3" t="s">
        <v>242</v>
      </c>
      <c r="AU14" s="65">
        <v>0</v>
      </c>
      <c r="AV14" s="71">
        <v>3245371</v>
      </c>
      <c r="AW14" s="77">
        <v>13395</v>
      </c>
      <c r="AX14" s="77">
        <v>0</v>
      </c>
      <c r="AY14" s="77">
        <v>0</v>
      </c>
      <c r="AZ14" s="77">
        <v>56433</v>
      </c>
      <c r="BA14" s="9">
        <v>3315200</v>
      </c>
      <c r="BC14" s="3" t="s">
        <v>242</v>
      </c>
      <c r="BD14" s="65">
        <v>0</v>
      </c>
      <c r="BE14" s="65">
        <v>0</v>
      </c>
      <c r="BF14" s="77">
        <v>0</v>
      </c>
      <c r="BG14" s="65">
        <v>0</v>
      </c>
      <c r="BH14" s="9">
        <v>0</v>
      </c>
      <c r="BI14" s="9">
        <v>3315200</v>
      </c>
      <c r="BJ14" s="9"/>
      <c r="BL14" s="3" t="s">
        <v>242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</row>
    <row r="15" spans="1:72">
      <c r="A15" s="3" t="s">
        <v>243</v>
      </c>
      <c r="B15" s="3">
        <v>106</v>
      </c>
      <c r="C15" s="9">
        <v>7076816</v>
      </c>
      <c r="D15" s="3">
        <v>0</v>
      </c>
      <c r="E15" s="9">
        <v>6120559</v>
      </c>
      <c r="F15" s="9">
        <v>13197375</v>
      </c>
      <c r="G15" s="9"/>
      <c r="H15" s="9">
        <v>0</v>
      </c>
      <c r="I15" s="9">
        <v>0</v>
      </c>
      <c r="J15" s="9">
        <v>0</v>
      </c>
      <c r="K15" s="9">
        <v>13197375</v>
      </c>
      <c r="M15" s="3" t="s">
        <v>243</v>
      </c>
      <c r="N15" s="50">
        <v>3918718</v>
      </c>
      <c r="O15" s="50">
        <v>1914586</v>
      </c>
      <c r="P15" s="50">
        <v>221144</v>
      </c>
      <c r="Q15" s="50">
        <v>288552</v>
      </c>
      <c r="R15" s="50">
        <v>498440</v>
      </c>
      <c r="S15" s="50">
        <v>0</v>
      </c>
      <c r="T15" s="9"/>
      <c r="U15" s="50">
        <v>0</v>
      </c>
      <c r="V15" s="50">
        <v>0</v>
      </c>
      <c r="X15" s="3" t="s">
        <v>243</v>
      </c>
      <c r="Y15" s="50">
        <v>49892</v>
      </c>
      <c r="Z15" s="50">
        <v>0</v>
      </c>
      <c r="AA15" s="50">
        <v>185485</v>
      </c>
      <c r="AB15" s="9">
        <v>7076816</v>
      </c>
      <c r="AD15" s="3" t="s">
        <v>243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M15" s="3" t="s">
        <v>243</v>
      </c>
      <c r="AN15" s="59">
        <v>0</v>
      </c>
      <c r="AO15" s="9">
        <v>0</v>
      </c>
      <c r="AP15" s="59">
        <v>0</v>
      </c>
      <c r="AQ15" s="59">
        <v>0</v>
      </c>
      <c r="AR15" s="9">
        <v>0</v>
      </c>
      <c r="AT15" s="3" t="s">
        <v>243</v>
      </c>
      <c r="AU15" s="65">
        <v>0</v>
      </c>
      <c r="AV15" s="71">
        <v>6042690</v>
      </c>
      <c r="AW15" s="77">
        <v>10966</v>
      </c>
      <c r="AX15" s="77">
        <v>0</v>
      </c>
      <c r="AY15" s="77">
        <v>0</v>
      </c>
      <c r="AZ15" s="77">
        <v>66903</v>
      </c>
      <c r="BA15" s="9">
        <v>6210559</v>
      </c>
      <c r="BC15" s="3" t="s">
        <v>243</v>
      </c>
      <c r="BD15" s="65">
        <v>0</v>
      </c>
      <c r="BE15" s="65">
        <v>0</v>
      </c>
      <c r="BF15" s="77">
        <v>0</v>
      </c>
      <c r="BG15" s="65">
        <v>0</v>
      </c>
      <c r="BH15" s="9">
        <v>0</v>
      </c>
      <c r="BI15" s="9">
        <v>6120559</v>
      </c>
      <c r="BJ15" s="9"/>
      <c r="BL15" s="3" t="s">
        <v>243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</row>
    <row r="16" spans="1:72">
      <c r="A16" s="3" t="s">
        <v>244</v>
      </c>
      <c r="B16" s="3">
        <v>10216</v>
      </c>
      <c r="C16" s="9">
        <v>74333224</v>
      </c>
      <c r="D16" s="9">
        <v>7525790</v>
      </c>
      <c r="E16" s="9">
        <v>32021141</v>
      </c>
      <c r="F16" s="9">
        <v>113880156</v>
      </c>
      <c r="G16" s="9"/>
      <c r="H16" s="9">
        <v>23929476</v>
      </c>
      <c r="I16" s="9">
        <v>11786160</v>
      </c>
      <c r="J16" s="9">
        <v>35715636</v>
      </c>
      <c r="K16" s="9">
        <v>149595792</v>
      </c>
      <c r="M16" s="3" t="s">
        <v>244</v>
      </c>
      <c r="N16" s="50">
        <v>31995020</v>
      </c>
      <c r="O16" s="50">
        <v>15934553</v>
      </c>
      <c r="P16" s="50">
        <v>1679689</v>
      </c>
      <c r="Q16" s="50">
        <v>2041742</v>
      </c>
      <c r="R16" s="50">
        <v>3917739</v>
      </c>
      <c r="S16" s="50">
        <v>5004872</v>
      </c>
      <c r="T16" s="9"/>
      <c r="U16" s="50">
        <v>5009397</v>
      </c>
      <c r="V16" s="50">
        <v>1762023</v>
      </c>
      <c r="X16" s="3" t="s">
        <v>244</v>
      </c>
      <c r="Y16" s="50">
        <v>365092</v>
      </c>
      <c r="Z16" s="50">
        <v>0</v>
      </c>
      <c r="AA16" s="50">
        <v>6623097</v>
      </c>
      <c r="AB16" s="9">
        <v>74333224</v>
      </c>
      <c r="AD16" s="3" t="s">
        <v>244</v>
      </c>
      <c r="AE16" s="59">
        <v>2651082</v>
      </c>
      <c r="AF16" s="59">
        <v>54769</v>
      </c>
      <c r="AG16" s="59">
        <v>2460378</v>
      </c>
      <c r="AH16" s="59">
        <v>115038</v>
      </c>
      <c r="AI16" s="59">
        <v>0</v>
      </c>
      <c r="AJ16" s="59">
        <v>0</v>
      </c>
      <c r="AK16" s="59">
        <v>1259978</v>
      </c>
      <c r="AM16" s="3" t="s">
        <v>244</v>
      </c>
      <c r="AN16" s="59">
        <v>117920</v>
      </c>
      <c r="AO16" s="9">
        <v>5904</v>
      </c>
      <c r="AP16" s="59">
        <v>127598</v>
      </c>
      <c r="AQ16" s="59">
        <v>733122</v>
      </c>
      <c r="AR16" s="9">
        <v>7525790</v>
      </c>
      <c r="AT16" s="3" t="s">
        <v>244</v>
      </c>
      <c r="AU16" s="65">
        <v>22066660</v>
      </c>
      <c r="AV16" s="71">
        <v>598999</v>
      </c>
      <c r="AW16" s="77">
        <v>1666233</v>
      </c>
      <c r="AX16" s="77">
        <v>42874</v>
      </c>
      <c r="AY16" s="77">
        <v>21693</v>
      </c>
      <c r="AZ16" s="77">
        <v>21453</v>
      </c>
      <c r="BA16" s="9">
        <v>24417912</v>
      </c>
      <c r="BC16" s="3" t="s">
        <v>244</v>
      </c>
      <c r="BD16" s="65">
        <v>7511588</v>
      </c>
      <c r="BE16" s="65">
        <v>4226123</v>
      </c>
      <c r="BF16" s="77">
        <v>436959</v>
      </c>
      <c r="BG16" s="65">
        <v>1305478</v>
      </c>
      <c r="BH16" s="9">
        <v>13480148</v>
      </c>
      <c r="BI16" s="9">
        <v>32021141</v>
      </c>
      <c r="BJ16" s="9"/>
      <c r="BL16" s="3" t="s">
        <v>244</v>
      </c>
      <c r="BM16" s="9">
        <v>23929476</v>
      </c>
      <c r="BN16" s="9">
        <v>11786160</v>
      </c>
      <c r="BO16" s="9">
        <v>35715636</v>
      </c>
      <c r="BP16" s="9">
        <v>0</v>
      </c>
      <c r="BQ16" s="9">
        <v>0</v>
      </c>
      <c r="BR16" s="9">
        <v>0</v>
      </c>
      <c r="BS16" s="9">
        <v>0</v>
      </c>
      <c r="BT16" s="9">
        <v>35715636</v>
      </c>
    </row>
    <row r="17" spans="1:72">
      <c r="A17" s="3" t="s">
        <v>245</v>
      </c>
      <c r="B17" s="3">
        <v>67</v>
      </c>
      <c r="C17" s="9">
        <v>5709379</v>
      </c>
      <c r="D17" s="9">
        <v>0</v>
      </c>
      <c r="E17" s="9">
        <v>3389289</v>
      </c>
      <c r="F17" s="9">
        <v>9098667</v>
      </c>
      <c r="G17" s="9"/>
      <c r="H17" s="9">
        <v>0</v>
      </c>
      <c r="I17" s="9">
        <v>0</v>
      </c>
      <c r="J17" s="9">
        <v>0</v>
      </c>
      <c r="K17" s="9">
        <v>9098667</v>
      </c>
      <c r="M17" s="3" t="s">
        <v>245</v>
      </c>
      <c r="N17" s="50">
        <v>3199539</v>
      </c>
      <c r="O17" s="50">
        <v>1596941</v>
      </c>
      <c r="P17" s="50">
        <v>110572</v>
      </c>
      <c r="Q17" s="50">
        <v>119683</v>
      </c>
      <c r="R17" s="50">
        <v>162456</v>
      </c>
      <c r="S17" s="50">
        <v>0</v>
      </c>
      <c r="T17" s="9"/>
      <c r="U17" s="50">
        <v>266111</v>
      </c>
      <c r="V17" s="50">
        <v>92420</v>
      </c>
      <c r="X17" s="3" t="s">
        <v>245</v>
      </c>
      <c r="Y17" s="50">
        <v>14087</v>
      </c>
      <c r="Z17" s="50">
        <v>0</v>
      </c>
      <c r="AA17" s="50">
        <v>147570</v>
      </c>
      <c r="AB17" s="9">
        <v>5709379</v>
      </c>
      <c r="AD17" s="3" t="s">
        <v>245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M17" s="3" t="s">
        <v>245</v>
      </c>
      <c r="AN17" s="59">
        <v>0</v>
      </c>
      <c r="AO17" s="9">
        <v>0</v>
      </c>
      <c r="AP17" s="59">
        <v>0</v>
      </c>
      <c r="AQ17" s="59">
        <v>0</v>
      </c>
      <c r="AR17" s="9">
        <v>0</v>
      </c>
      <c r="AT17" s="3" t="s">
        <v>245</v>
      </c>
      <c r="AU17" s="65">
        <v>0</v>
      </c>
      <c r="AV17" s="71">
        <v>3200000</v>
      </c>
      <c r="AW17" s="77">
        <v>53904</v>
      </c>
      <c r="AX17" s="77">
        <v>0</v>
      </c>
      <c r="AY17" s="77">
        <v>0</v>
      </c>
      <c r="AZ17" s="77">
        <v>135385</v>
      </c>
      <c r="BA17" s="9">
        <v>3389289</v>
      </c>
      <c r="BC17" s="3" t="s">
        <v>245</v>
      </c>
      <c r="BD17" s="65">
        <v>0</v>
      </c>
      <c r="BE17" s="65">
        <v>0</v>
      </c>
      <c r="BF17" s="77">
        <v>0</v>
      </c>
      <c r="BG17" s="65">
        <v>0</v>
      </c>
      <c r="BH17" s="9">
        <v>0</v>
      </c>
      <c r="BI17" s="9">
        <v>3389289</v>
      </c>
      <c r="BJ17" s="9"/>
      <c r="BL17" s="3" t="s">
        <v>245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</row>
    <row r="18" spans="1:72">
      <c r="A18" s="3" t="s">
        <v>246</v>
      </c>
      <c r="B18" s="3">
        <v>3794</v>
      </c>
      <c r="C18" s="9">
        <v>42608732</v>
      </c>
      <c r="D18" s="9">
        <v>2277859</v>
      </c>
      <c r="E18" s="9">
        <v>27249270</v>
      </c>
      <c r="F18" s="9">
        <v>72135861</v>
      </c>
      <c r="G18" s="9"/>
      <c r="H18" s="9">
        <v>5342313</v>
      </c>
      <c r="I18" s="9">
        <v>0</v>
      </c>
      <c r="J18" s="9">
        <v>5342313</v>
      </c>
      <c r="K18" s="9">
        <v>77478174</v>
      </c>
      <c r="M18" s="3" t="s">
        <v>246</v>
      </c>
      <c r="N18" s="50">
        <v>16265912</v>
      </c>
      <c r="O18" s="50">
        <v>8407392</v>
      </c>
      <c r="P18" s="50">
        <v>1365665</v>
      </c>
      <c r="Q18" s="50">
        <v>1831125</v>
      </c>
      <c r="R18" s="50">
        <v>1713144</v>
      </c>
      <c r="S18" s="50">
        <v>4327018</v>
      </c>
      <c r="T18" s="9"/>
      <c r="U18" s="50">
        <v>591819</v>
      </c>
      <c r="V18" s="50">
        <v>133425</v>
      </c>
      <c r="X18" s="3" t="s">
        <v>246</v>
      </c>
      <c r="Y18" s="50">
        <v>169633</v>
      </c>
      <c r="Z18" s="50">
        <v>15546</v>
      </c>
      <c r="AA18" s="50">
        <v>7788053</v>
      </c>
      <c r="AB18" s="9">
        <v>42608732</v>
      </c>
      <c r="AD18" s="3" t="s">
        <v>246</v>
      </c>
      <c r="AE18" s="59">
        <v>474563</v>
      </c>
      <c r="AF18" s="59">
        <v>9973</v>
      </c>
      <c r="AG18" s="59">
        <v>735552</v>
      </c>
      <c r="AH18" s="59">
        <v>0</v>
      </c>
      <c r="AI18" s="59">
        <v>0</v>
      </c>
      <c r="AJ18" s="59">
        <v>0</v>
      </c>
      <c r="AK18" s="59">
        <v>201499</v>
      </c>
      <c r="AM18" s="3" t="s">
        <v>246</v>
      </c>
      <c r="AN18" s="59">
        <v>626402</v>
      </c>
      <c r="AO18" s="9">
        <v>62170</v>
      </c>
      <c r="AP18" s="59">
        <v>24558</v>
      </c>
      <c r="AQ18" s="59">
        <v>143143</v>
      </c>
      <c r="AR18" s="9">
        <v>2277859</v>
      </c>
      <c r="AT18" s="3" t="s">
        <v>246</v>
      </c>
      <c r="AU18" s="65">
        <v>23814669</v>
      </c>
      <c r="AV18" s="71">
        <v>0</v>
      </c>
      <c r="AW18" s="77">
        <v>666356</v>
      </c>
      <c r="AX18" s="77">
        <v>0</v>
      </c>
      <c r="AY18" s="77">
        <v>35460</v>
      </c>
      <c r="AZ18" s="77">
        <v>1734414</v>
      </c>
      <c r="BA18" s="9">
        <v>26250899</v>
      </c>
      <c r="BC18" s="3" t="s">
        <v>246</v>
      </c>
      <c r="BD18" s="65">
        <v>0</v>
      </c>
      <c r="BE18" s="65">
        <v>897428</v>
      </c>
      <c r="BF18" s="77">
        <v>102629</v>
      </c>
      <c r="BG18" s="65">
        <v>0</v>
      </c>
      <c r="BH18" s="9">
        <v>1000057</v>
      </c>
      <c r="BI18" s="9">
        <v>27249270</v>
      </c>
      <c r="BJ18" s="9"/>
      <c r="BL18" s="3" t="s">
        <v>246</v>
      </c>
      <c r="BM18" s="9">
        <v>5342313</v>
      </c>
      <c r="BN18" s="9">
        <v>0</v>
      </c>
      <c r="BO18" s="9">
        <v>5342313</v>
      </c>
      <c r="BP18" s="9">
        <v>0</v>
      </c>
      <c r="BQ18" s="9">
        <v>0</v>
      </c>
      <c r="BR18" s="9">
        <v>0</v>
      </c>
      <c r="BS18" s="9">
        <v>0</v>
      </c>
      <c r="BT18" s="9">
        <v>5342313</v>
      </c>
    </row>
    <row r="19" spans="1:72">
      <c r="A19" s="3" t="s">
        <v>247</v>
      </c>
      <c r="B19" s="3">
        <v>15545</v>
      </c>
      <c r="C19" s="9">
        <v>113643134</v>
      </c>
      <c r="D19" s="9">
        <v>11867910</v>
      </c>
      <c r="E19" s="9">
        <v>57580215</v>
      </c>
      <c r="F19" s="9">
        <v>183091259</v>
      </c>
      <c r="G19" s="9"/>
      <c r="H19" s="9">
        <v>17174796</v>
      </c>
      <c r="I19" s="9">
        <v>11449864</v>
      </c>
      <c r="J19" s="9">
        <v>28624660</v>
      </c>
      <c r="K19" s="9">
        <v>211715919</v>
      </c>
      <c r="M19" s="3" t="s">
        <v>247</v>
      </c>
      <c r="N19" s="50">
        <v>49525480</v>
      </c>
      <c r="O19" s="50">
        <v>25077066</v>
      </c>
      <c r="P19" s="50">
        <v>2421276</v>
      </c>
      <c r="Q19" s="50">
        <v>3243036</v>
      </c>
      <c r="R19" s="50">
        <v>5639350</v>
      </c>
      <c r="S19" s="50">
        <v>6083470</v>
      </c>
      <c r="T19" s="9"/>
      <c r="U19" s="50">
        <v>1113134</v>
      </c>
      <c r="V19" s="50">
        <v>512890</v>
      </c>
      <c r="X19" s="3" t="s">
        <v>247</v>
      </c>
      <c r="Y19" s="50">
        <v>515354</v>
      </c>
      <c r="Z19" s="50">
        <v>26039</v>
      </c>
      <c r="AA19" s="50">
        <v>19486038</v>
      </c>
      <c r="AB19" s="9">
        <v>113643134</v>
      </c>
      <c r="AD19" s="3" t="s">
        <v>247</v>
      </c>
      <c r="AE19" s="59">
        <v>3564230</v>
      </c>
      <c r="AF19" s="59">
        <v>40011</v>
      </c>
      <c r="AG19" s="59">
        <v>4048047</v>
      </c>
      <c r="AH19" s="59">
        <v>117609</v>
      </c>
      <c r="AI19" s="59">
        <v>0</v>
      </c>
      <c r="AJ19" s="59">
        <v>0</v>
      </c>
      <c r="AK19" s="59">
        <v>1948380</v>
      </c>
      <c r="AM19" s="3" t="s">
        <v>247</v>
      </c>
      <c r="AN19" s="59">
        <v>193483</v>
      </c>
      <c r="AO19" s="9">
        <v>42104</v>
      </c>
      <c r="AP19" s="59">
        <v>181263</v>
      </c>
      <c r="AQ19" s="59">
        <v>1732784</v>
      </c>
      <c r="AR19" s="9">
        <v>11867910</v>
      </c>
      <c r="AT19" s="3" t="s">
        <v>247</v>
      </c>
      <c r="AU19" s="65">
        <v>41647573</v>
      </c>
      <c r="AV19" s="71">
        <v>569450</v>
      </c>
      <c r="AW19" s="77">
        <v>730635</v>
      </c>
      <c r="AX19" s="77">
        <v>212067</v>
      </c>
      <c r="AY19" s="77">
        <v>0</v>
      </c>
      <c r="AZ19" s="77">
        <v>11564314</v>
      </c>
      <c r="BA19" s="9">
        <v>54724039</v>
      </c>
      <c r="BC19" s="3" t="s">
        <v>247</v>
      </c>
      <c r="BD19" s="65">
        <v>12097079</v>
      </c>
      <c r="BE19" s="65">
        <v>7623173</v>
      </c>
      <c r="BF19" s="77">
        <v>1380054</v>
      </c>
      <c r="BG19" s="65">
        <v>29330</v>
      </c>
      <c r="BH19" s="9">
        <v>21129637</v>
      </c>
      <c r="BI19" s="9">
        <v>57580215</v>
      </c>
      <c r="BJ19" s="9"/>
      <c r="BL19" s="3" t="s">
        <v>247</v>
      </c>
      <c r="BM19" s="9">
        <v>17174796</v>
      </c>
      <c r="BN19" s="9">
        <v>11449864</v>
      </c>
      <c r="BO19" s="9">
        <v>28624660</v>
      </c>
      <c r="BP19" s="9">
        <v>0</v>
      </c>
      <c r="BQ19" s="9">
        <v>0</v>
      </c>
      <c r="BR19" s="9">
        <v>0</v>
      </c>
      <c r="BS19" s="9">
        <v>0</v>
      </c>
      <c r="BT19" s="9">
        <v>28624660</v>
      </c>
    </row>
    <row r="20" spans="1:72">
      <c r="A20" s="3" t="s">
        <v>248</v>
      </c>
      <c r="B20" s="3">
        <v>128</v>
      </c>
      <c r="C20" s="9">
        <v>3625852</v>
      </c>
      <c r="D20" s="3">
        <v>80462</v>
      </c>
      <c r="E20" s="9">
        <v>3981063</v>
      </c>
      <c r="F20" s="9">
        <v>7687377</v>
      </c>
      <c r="G20" s="9"/>
      <c r="H20" s="9">
        <v>0</v>
      </c>
      <c r="I20" s="9">
        <v>0</v>
      </c>
      <c r="J20" s="9">
        <v>0</v>
      </c>
      <c r="K20" s="9">
        <v>7687377</v>
      </c>
      <c r="M20" s="3" t="s">
        <v>248</v>
      </c>
      <c r="N20" s="50">
        <v>1405242</v>
      </c>
      <c r="O20" s="50">
        <v>766854</v>
      </c>
      <c r="P20" s="50">
        <v>25903</v>
      </c>
      <c r="Q20" s="50">
        <v>153649</v>
      </c>
      <c r="R20" s="50">
        <v>175994</v>
      </c>
      <c r="S20" s="50">
        <v>985153</v>
      </c>
      <c r="T20" s="9"/>
      <c r="U20" s="50">
        <v>0</v>
      </c>
      <c r="V20" s="50">
        <v>0</v>
      </c>
      <c r="X20" s="3" t="s">
        <v>248</v>
      </c>
      <c r="Y20" s="50">
        <v>15261</v>
      </c>
      <c r="Z20" s="50">
        <v>0</v>
      </c>
      <c r="AA20" s="50">
        <v>97796</v>
      </c>
      <c r="AB20" s="9">
        <v>3625852</v>
      </c>
      <c r="AD20" s="3" t="s">
        <v>248</v>
      </c>
      <c r="AE20" s="59">
        <v>0</v>
      </c>
      <c r="AF20" s="59">
        <v>0</v>
      </c>
      <c r="AG20" s="59">
        <v>7888</v>
      </c>
      <c r="AH20" s="59">
        <v>0</v>
      </c>
      <c r="AI20" s="59">
        <v>0</v>
      </c>
      <c r="AJ20" s="59">
        <v>0</v>
      </c>
      <c r="AK20" s="59">
        <v>0</v>
      </c>
      <c r="AM20" s="3" t="s">
        <v>248</v>
      </c>
      <c r="AN20" s="59">
        <v>0</v>
      </c>
      <c r="AO20" s="9">
        <v>0</v>
      </c>
      <c r="AP20" s="59">
        <v>0</v>
      </c>
      <c r="AQ20" s="59">
        <v>72574</v>
      </c>
      <c r="AR20" s="9">
        <v>80462</v>
      </c>
      <c r="AT20" s="3" t="s">
        <v>248</v>
      </c>
      <c r="AU20" s="65">
        <v>0</v>
      </c>
      <c r="AV20" s="71">
        <v>3895574</v>
      </c>
      <c r="AW20" s="77">
        <v>22591</v>
      </c>
      <c r="AX20" s="77">
        <v>0</v>
      </c>
      <c r="AY20" s="77">
        <v>0</v>
      </c>
      <c r="AZ20" s="77">
        <v>62898</v>
      </c>
      <c r="BA20" s="9">
        <v>3981063</v>
      </c>
      <c r="BC20" s="3" t="s">
        <v>248</v>
      </c>
      <c r="BD20" s="65">
        <v>0</v>
      </c>
      <c r="BE20" s="65">
        <v>0</v>
      </c>
      <c r="BF20" s="77">
        <v>0</v>
      </c>
      <c r="BG20" s="65">
        <v>0</v>
      </c>
      <c r="BH20" s="9">
        <v>0</v>
      </c>
      <c r="BI20" s="9">
        <v>3981063</v>
      </c>
      <c r="BJ20" s="9"/>
      <c r="BL20" s="3" t="s">
        <v>248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</row>
    <row r="21" spans="1:72">
      <c r="A21" s="3" t="s">
        <v>249</v>
      </c>
      <c r="B21" s="3">
        <v>107</v>
      </c>
      <c r="C21" s="9">
        <v>4399956</v>
      </c>
      <c r="D21" s="3">
        <v>0</v>
      </c>
      <c r="E21" s="9">
        <v>4544383</v>
      </c>
      <c r="F21" s="9">
        <v>8944339</v>
      </c>
      <c r="G21" s="9"/>
      <c r="H21" s="9">
        <v>0</v>
      </c>
      <c r="I21" s="9">
        <v>0</v>
      </c>
      <c r="J21" s="9">
        <v>0</v>
      </c>
      <c r="K21" s="9">
        <v>8944339</v>
      </c>
      <c r="M21" s="3" t="s">
        <v>249</v>
      </c>
      <c r="N21" s="50">
        <v>2144503</v>
      </c>
      <c r="O21" s="50">
        <v>1259429</v>
      </c>
      <c r="P21" s="50">
        <v>48455</v>
      </c>
      <c r="Q21" s="50">
        <v>154265</v>
      </c>
      <c r="R21" s="50">
        <v>236915</v>
      </c>
      <c r="S21" s="50">
        <v>403245</v>
      </c>
      <c r="T21" s="9"/>
      <c r="U21" s="50">
        <v>0</v>
      </c>
      <c r="V21" s="50">
        <v>0</v>
      </c>
      <c r="X21" s="3" t="s">
        <v>249</v>
      </c>
      <c r="Y21" s="50">
        <v>20544</v>
      </c>
      <c r="Z21" s="50">
        <v>0</v>
      </c>
      <c r="AA21" s="50">
        <v>132600</v>
      </c>
      <c r="AB21" s="9">
        <v>4399956</v>
      </c>
      <c r="AD21" s="3" t="s">
        <v>249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M21" s="3" t="s">
        <v>249</v>
      </c>
      <c r="AN21" s="59">
        <v>0</v>
      </c>
      <c r="AO21" s="9">
        <v>0</v>
      </c>
      <c r="AP21" s="59">
        <v>0</v>
      </c>
      <c r="AQ21" s="59">
        <v>0</v>
      </c>
      <c r="AR21" s="9">
        <v>0</v>
      </c>
      <c r="AT21" s="3" t="s">
        <v>249</v>
      </c>
      <c r="AU21" s="65">
        <v>0</v>
      </c>
      <c r="AV21" s="71">
        <v>4517322</v>
      </c>
      <c r="AW21" s="77">
        <v>20046</v>
      </c>
      <c r="AX21" s="77">
        <v>0</v>
      </c>
      <c r="AY21" s="77">
        <v>0</v>
      </c>
      <c r="AZ21" s="77">
        <v>7016</v>
      </c>
      <c r="BA21" s="9">
        <v>4544384</v>
      </c>
      <c r="BC21" s="3" t="s">
        <v>249</v>
      </c>
      <c r="BD21" s="65">
        <v>0</v>
      </c>
      <c r="BE21" s="65">
        <v>0</v>
      </c>
      <c r="BF21" s="77">
        <v>0</v>
      </c>
      <c r="BG21" s="65">
        <v>0</v>
      </c>
      <c r="BH21" s="9">
        <v>0</v>
      </c>
      <c r="BI21" s="9">
        <v>4544383</v>
      </c>
      <c r="BJ21" s="9"/>
      <c r="BL21" s="3" t="s">
        <v>249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</row>
    <row r="22" spans="1:72">
      <c r="A22" s="10" t="s">
        <v>250</v>
      </c>
      <c r="B22" s="10"/>
      <c r="C22" s="11">
        <v>552857660</v>
      </c>
      <c r="D22" s="11">
        <v>41123610</v>
      </c>
      <c r="E22" s="11">
        <v>296274728</v>
      </c>
      <c r="F22" s="11">
        <v>890255997</v>
      </c>
      <c r="G22" s="11"/>
      <c r="H22" s="11">
        <v>98425711</v>
      </c>
      <c r="I22" s="11">
        <v>46858987</v>
      </c>
      <c r="J22" s="11">
        <v>145282847</v>
      </c>
      <c r="K22" s="11">
        <v>1035538844</v>
      </c>
      <c r="M22" s="10" t="s">
        <v>250</v>
      </c>
      <c r="N22" s="52">
        <v>237754074</v>
      </c>
      <c r="O22" s="52">
        <v>117918447</v>
      </c>
      <c r="P22" s="52">
        <v>12262610</v>
      </c>
      <c r="Q22" s="52">
        <v>16213473</v>
      </c>
      <c r="R22" s="52">
        <v>31625074</v>
      </c>
      <c r="S22" s="52">
        <v>38520574</v>
      </c>
      <c r="T22" s="11"/>
      <c r="U22" s="52">
        <v>17451445</v>
      </c>
      <c r="V22" s="52">
        <v>5935408</v>
      </c>
      <c r="X22" s="10" t="s">
        <v>250</v>
      </c>
      <c r="Y22" s="52">
        <v>2335552</v>
      </c>
      <c r="Z22" s="52">
        <v>221137</v>
      </c>
      <c r="AA22" s="52">
        <v>72619866</v>
      </c>
      <c r="AB22" s="11">
        <v>552857660</v>
      </c>
      <c r="AD22" s="10" t="s">
        <v>250</v>
      </c>
      <c r="AE22" s="60">
        <v>13149092</v>
      </c>
      <c r="AF22" s="60">
        <v>315343</v>
      </c>
      <c r="AG22" s="60">
        <v>13550988</v>
      </c>
      <c r="AH22" s="60">
        <v>523042</v>
      </c>
      <c r="AI22" s="60">
        <v>0</v>
      </c>
      <c r="AJ22" s="60">
        <v>0</v>
      </c>
      <c r="AK22" s="60">
        <v>6558450</v>
      </c>
      <c r="AM22" s="10" t="s">
        <v>250</v>
      </c>
      <c r="AN22" s="60">
        <v>1681039</v>
      </c>
      <c r="AO22" s="11">
        <v>300822</v>
      </c>
      <c r="AP22" s="60">
        <v>656698</v>
      </c>
      <c r="AQ22" s="60">
        <v>4388136</v>
      </c>
      <c r="AR22" s="11">
        <v>41123610</v>
      </c>
      <c r="AT22" s="10" t="s">
        <v>250</v>
      </c>
      <c r="AU22" s="66">
        <v>188308032</v>
      </c>
      <c r="AV22" s="72">
        <v>35685634</v>
      </c>
      <c r="AW22" s="78">
        <v>5568566</v>
      </c>
      <c r="AX22" s="78">
        <v>465115</v>
      </c>
      <c r="AY22" s="78">
        <v>244688</v>
      </c>
      <c r="AZ22" s="78">
        <v>23619493</v>
      </c>
      <c r="BA22" s="11">
        <v>253981530</v>
      </c>
      <c r="BC22" s="10" t="s">
        <v>250</v>
      </c>
      <c r="BD22" s="66">
        <v>49390052</v>
      </c>
      <c r="BE22" s="66">
        <v>31094689</v>
      </c>
      <c r="BF22" s="78">
        <v>4644314</v>
      </c>
      <c r="BG22" s="66">
        <v>4684669</v>
      </c>
      <c r="BH22" s="11">
        <v>89813725</v>
      </c>
      <c r="BI22" s="11">
        <v>296274728</v>
      </c>
      <c r="BJ22" s="9"/>
      <c r="BL22" s="10" t="s">
        <v>250</v>
      </c>
      <c r="BM22" s="11">
        <v>98425711</v>
      </c>
      <c r="BN22" s="11">
        <v>46858987</v>
      </c>
      <c r="BO22" s="11">
        <v>145284697</v>
      </c>
      <c r="BP22" s="11">
        <v>0</v>
      </c>
      <c r="BQ22" s="11">
        <v>0</v>
      </c>
      <c r="BR22" s="11">
        <v>0</v>
      </c>
      <c r="BS22" s="11">
        <v>0</v>
      </c>
      <c r="BT22" s="11">
        <v>145284697</v>
      </c>
    </row>
    <row r="23" spans="1:72">
      <c r="N23" s="51"/>
      <c r="O23" s="51"/>
      <c r="P23" s="51"/>
      <c r="Q23" s="51"/>
      <c r="R23" s="51"/>
      <c r="S23" s="51"/>
      <c r="U23" s="51"/>
      <c r="V23" s="51"/>
      <c r="Y23" s="51"/>
      <c r="Z23" s="51"/>
      <c r="AA23" s="51"/>
      <c r="AD23" s="3"/>
      <c r="AE23" s="58"/>
      <c r="AF23" s="58"/>
      <c r="AG23" s="58"/>
      <c r="AH23" s="58"/>
      <c r="AI23" s="58"/>
      <c r="AJ23" s="58"/>
      <c r="AK23" s="58"/>
      <c r="AM23" s="3"/>
      <c r="AN23" s="58"/>
      <c r="AO23" s="3"/>
      <c r="AP23" s="58"/>
      <c r="AQ23" s="58"/>
      <c r="AR23" s="3"/>
      <c r="AU23" s="64"/>
      <c r="AV23" s="70"/>
      <c r="AW23" s="76"/>
      <c r="AX23" s="76"/>
      <c r="AY23" s="76"/>
      <c r="AZ23" s="76"/>
      <c r="BC23" s="3"/>
      <c r="BD23" s="64"/>
      <c r="BE23" s="64"/>
      <c r="BF23" s="76"/>
      <c r="BG23" s="64"/>
      <c r="BH23" s="3"/>
      <c r="BI23" s="3"/>
      <c r="BJ23" s="11"/>
      <c r="BL23" s="3"/>
      <c r="BM23" s="3"/>
      <c r="BN23" s="3"/>
      <c r="BO23" s="3"/>
      <c r="BP23" s="3"/>
      <c r="BQ23" s="3"/>
      <c r="BR23" s="3"/>
      <c r="BS23" s="3"/>
      <c r="BT23" s="3"/>
    </row>
    <row r="24" spans="1:72">
      <c r="A24" s="3" t="s">
        <v>251</v>
      </c>
      <c r="M24" s="3" t="s">
        <v>251</v>
      </c>
      <c r="N24" s="51"/>
      <c r="O24" s="51"/>
      <c r="P24" s="51"/>
      <c r="Q24" s="51"/>
      <c r="R24" s="51"/>
      <c r="S24" s="51"/>
      <c r="U24" s="51"/>
      <c r="V24" s="51"/>
      <c r="X24" s="3" t="s">
        <v>251</v>
      </c>
      <c r="Y24" s="51"/>
      <c r="Z24" s="51"/>
      <c r="AA24" s="51"/>
      <c r="AD24" s="3" t="s">
        <v>251</v>
      </c>
      <c r="AE24" s="58"/>
      <c r="AF24" s="58"/>
      <c r="AG24" s="58"/>
      <c r="AH24" s="58"/>
      <c r="AI24" s="58"/>
      <c r="AJ24" s="58"/>
      <c r="AK24" s="58"/>
      <c r="AM24" s="3" t="s">
        <v>251</v>
      </c>
      <c r="AN24" s="58"/>
      <c r="AO24" s="3"/>
      <c r="AP24" s="58"/>
      <c r="AQ24" s="58"/>
      <c r="AR24" s="3"/>
      <c r="AT24" s="3" t="s">
        <v>251</v>
      </c>
      <c r="AU24" s="64"/>
      <c r="AV24" s="70"/>
      <c r="AW24" s="76"/>
      <c r="AX24" s="76"/>
      <c r="AY24" s="76"/>
      <c r="AZ24" s="76"/>
      <c r="BC24" s="3" t="s">
        <v>251</v>
      </c>
      <c r="BD24" s="64"/>
      <c r="BE24" s="64"/>
      <c r="BF24" s="76"/>
      <c r="BG24" s="64"/>
      <c r="BH24" s="3"/>
      <c r="BI24" s="3"/>
      <c r="BJ24" s="3"/>
      <c r="BL24" s="3" t="s">
        <v>251</v>
      </c>
      <c r="BM24" s="3"/>
      <c r="BN24" s="3"/>
      <c r="BO24" s="3"/>
      <c r="BP24" s="3"/>
      <c r="BQ24" s="3"/>
      <c r="BR24" s="3"/>
      <c r="BS24" s="3"/>
      <c r="BT24" s="3"/>
    </row>
    <row r="25" spans="1:72">
      <c r="A25" s="3" t="s">
        <v>252</v>
      </c>
      <c r="B25" s="3">
        <v>6596</v>
      </c>
      <c r="C25" s="9">
        <v>55628420</v>
      </c>
      <c r="D25" s="9">
        <v>4305278</v>
      </c>
      <c r="E25" s="9">
        <v>10403044</v>
      </c>
      <c r="F25" s="9">
        <v>70336742</v>
      </c>
      <c r="G25" s="9"/>
      <c r="H25" s="9">
        <v>0</v>
      </c>
      <c r="I25" s="9">
        <v>707</v>
      </c>
      <c r="J25" s="9">
        <v>-707</v>
      </c>
      <c r="K25" s="9">
        <v>70336035</v>
      </c>
      <c r="M25" s="3" t="s">
        <v>252</v>
      </c>
      <c r="N25" s="50">
        <v>21179996</v>
      </c>
      <c r="O25" s="50">
        <v>10651162</v>
      </c>
      <c r="P25" s="50">
        <v>988056</v>
      </c>
      <c r="Q25" s="50">
        <v>1448534</v>
      </c>
      <c r="R25" s="50">
        <v>8769828</v>
      </c>
      <c r="S25" s="50">
        <v>2707819</v>
      </c>
      <c r="T25" s="9"/>
      <c r="U25" s="50">
        <v>4228620</v>
      </c>
      <c r="V25" s="50">
        <v>1037364</v>
      </c>
      <c r="X25" s="3" t="s">
        <v>252</v>
      </c>
      <c r="Y25" s="50">
        <v>229503</v>
      </c>
      <c r="Z25" s="50">
        <v>0</v>
      </c>
      <c r="AA25" s="50">
        <v>4387537</v>
      </c>
      <c r="AB25" s="9">
        <v>55628420</v>
      </c>
      <c r="AD25" s="3" t="s">
        <v>252</v>
      </c>
      <c r="AE25" s="59">
        <v>1805825</v>
      </c>
      <c r="AF25" s="59">
        <v>20927</v>
      </c>
      <c r="AG25" s="59">
        <v>1459532</v>
      </c>
      <c r="AH25" s="59">
        <v>7</v>
      </c>
      <c r="AI25" s="59">
        <v>0</v>
      </c>
      <c r="AJ25" s="59">
        <v>0</v>
      </c>
      <c r="AK25" s="59">
        <v>605432</v>
      </c>
      <c r="AM25" s="3" t="s">
        <v>252</v>
      </c>
      <c r="AN25" s="59">
        <v>198367</v>
      </c>
      <c r="AO25" s="9">
        <v>0</v>
      </c>
      <c r="AP25" s="59">
        <v>85123</v>
      </c>
      <c r="AQ25" s="59">
        <v>130066</v>
      </c>
      <c r="AR25" s="9">
        <v>4305278</v>
      </c>
      <c r="AT25" s="3" t="s">
        <v>252</v>
      </c>
      <c r="AU25" s="65">
        <v>3809302</v>
      </c>
      <c r="AV25" s="71">
        <v>1758352</v>
      </c>
      <c r="AW25" s="77">
        <v>175638</v>
      </c>
      <c r="AX25" s="77">
        <v>19831</v>
      </c>
      <c r="AY25" s="77">
        <v>50142</v>
      </c>
      <c r="AZ25" s="77">
        <v>3110725</v>
      </c>
      <c r="BA25" s="9">
        <v>8923990</v>
      </c>
      <c r="BC25" s="3" t="s">
        <v>252</v>
      </c>
      <c r="BD25" s="65">
        <v>2010420</v>
      </c>
      <c r="BE25" s="65">
        <v>1002592</v>
      </c>
      <c r="BF25" s="77">
        <v>66909</v>
      </c>
      <c r="BG25" s="65">
        <v>561482</v>
      </c>
      <c r="BH25" s="9">
        <v>3641403</v>
      </c>
      <c r="BI25" s="9">
        <v>10403044</v>
      </c>
      <c r="BJ25" s="3"/>
      <c r="BL25" s="3" t="s">
        <v>252</v>
      </c>
      <c r="BM25" s="9">
        <v>0</v>
      </c>
      <c r="BN25" s="9">
        <v>707</v>
      </c>
      <c r="BO25" s="9">
        <v>707</v>
      </c>
      <c r="BP25" s="9">
        <v>0</v>
      </c>
      <c r="BQ25" s="9">
        <v>0</v>
      </c>
      <c r="BR25" s="9">
        <v>0</v>
      </c>
      <c r="BS25" s="9">
        <v>0</v>
      </c>
      <c r="BT25" s="9">
        <v>707</v>
      </c>
    </row>
    <row r="26" spans="1:72">
      <c r="A26" s="3" t="s">
        <v>253</v>
      </c>
      <c r="B26" s="3">
        <v>182</v>
      </c>
      <c r="C26" s="9">
        <v>7071182</v>
      </c>
      <c r="D26" s="3">
        <v>0</v>
      </c>
      <c r="E26" s="9">
        <v>3643114</v>
      </c>
      <c r="F26" s="9">
        <v>10714295</v>
      </c>
      <c r="G26" s="9"/>
      <c r="H26" s="9">
        <v>0</v>
      </c>
      <c r="I26" s="9">
        <v>0</v>
      </c>
      <c r="J26" s="9">
        <v>0</v>
      </c>
      <c r="K26" s="9">
        <v>10714295</v>
      </c>
      <c r="M26" s="3" t="s">
        <v>253</v>
      </c>
      <c r="N26" s="50">
        <v>2630224</v>
      </c>
      <c r="O26" s="50">
        <v>1266921</v>
      </c>
      <c r="P26" s="50">
        <v>123137</v>
      </c>
      <c r="Q26" s="50">
        <v>160671</v>
      </c>
      <c r="R26" s="50">
        <v>824783</v>
      </c>
      <c r="S26" s="50">
        <v>1013191</v>
      </c>
      <c r="T26" s="9"/>
      <c r="U26" s="50">
        <v>702613</v>
      </c>
      <c r="V26" s="50">
        <v>244768</v>
      </c>
      <c r="X26" s="3" t="s">
        <v>253</v>
      </c>
      <c r="Y26" s="50">
        <v>25239</v>
      </c>
      <c r="Z26" s="50">
        <v>0</v>
      </c>
      <c r="AA26" s="50">
        <v>79635</v>
      </c>
      <c r="AB26" s="9">
        <v>7071182</v>
      </c>
      <c r="AD26" s="3" t="s">
        <v>253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M26" s="3" t="s">
        <v>253</v>
      </c>
      <c r="AN26" s="59">
        <v>0</v>
      </c>
      <c r="AO26" s="9">
        <v>0</v>
      </c>
      <c r="AP26" s="59">
        <v>0</v>
      </c>
      <c r="AQ26" s="59">
        <v>0</v>
      </c>
      <c r="AR26" s="9">
        <v>0</v>
      </c>
      <c r="AT26" s="3" t="s">
        <v>253</v>
      </c>
      <c r="AU26" s="65">
        <v>0</v>
      </c>
      <c r="AV26" s="71">
        <v>2924995</v>
      </c>
      <c r="AW26" s="77">
        <v>29255</v>
      </c>
      <c r="AX26" s="77">
        <v>0</v>
      </c>
      <c r="AY26" s="77">
        <v>0</v>
      </c>
      <c r="AZ26" s="77">
        <v>688864</v>
      </c>
      <c r="BA26" s="9">
        <v>3643114</v>
      </c>
      <c r="BC26" s="3" t="s">
        <v>253</v>
      </c>
      <c r="BD26" s="65">
        <v>0</v>
      </c>
      <c r="BE26" s="65">
        <v>0</v>
      </c>
      <c r="BF26" s="77">
        <v>0</v>
      </c>
      <c r="BG26" s="65">
        <v>0</v>
      </c>
      <c r="BH26" s="9">
        <v>0</v>
      </c>
      <c r="BI26" s="9">
        <v>3643114</v>
      </c>
      <c r="BJ26" s="9"/>
      <c r="BL26" s="3" t="s">
        <v>253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</row>
    <row r="27" spans="1:72">
      <c r="A27" s="3" t="s">
        <v>254</v>
      </c>
      <c r="B27" s="3">
        <v>173</v>
      </c>
      <c r="C27" s="3">
        <v>0</v>
      </c>
      <c r="D27" s="9">
        <v>-264974</v>
      </c>
      <c r="E27" s="9">
        <v>6215907</v>
      </c>
      <c r="F27" s="9">
        <v>5950933</v>
      </c>
      <c r="H27" s="9">
        <v>0</v>
      </c>
      <c r="I27" s="9">
        <v>0</v>
      </c>
      <c r="J27" s="3">
        <v>0</v>
      </c>
      <c r="K27" s="3">
        <v>5950933</v>
      </c>
      <c r="M27" s="3" t="s">
        <v>254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U27" s="51">
        <v>0</v>
      </c>
      <c r="V27" s="51">
        <v>0</v>
      </c>
      <c r="X27" s="3" t="s">
        <v>254</v>
      </c>
      <c r="Y27" s="51">
        <v>0</v>
      </c>
      <c r="Z27" s="51">
        <v>0</v>
      </c>
      <c r="AA27" s="51">
        <v>0</v>
      </c>
      <c r="AB27" s="3">
        <v>0</v>
      </c>
      <c r="AD27" s="3" t="s">
        <v>254</v>
      </c>
      <c r="AE27" s="58">
        <v>0</v>
      </c>
      <c r="AF27" s="58">
        <v>0</v>
      </c>
      <c r="AG27" s="58">
        <v>0</v>
      </c>
      <c r="AH27" s="58">
        <v>0</v>
      </c>
      <c r="AI27" s="58">
        <v>0</v>
      </c>
      <c r="AJ27" s="58">
        <v>0</v>
      </c>
      <c r="AK27" s="58">
        <v>0</v>
      </c>
      <c r="AM27" s="3" t="s">
        <v>254</v>
      </c>
      <c r="AN27" s="58">
        <v>0</v>
      </c>
      <c r="AO27" s="3">
        <v>0</v>
      </c>
      <c r="AP27" s="58">
        <v>0</v>
      </c>
      <c r="AQ27" s="58">
        <v>0</v>
      </c>
      <c r="AR27" s="9">
        <v>-264974</v>
      </c>
      <c r="AT27" s="3" t="s">
        <v>254</v>
      </c>
      <c r="AU27" s="64">
        <v>0</v>
      </c>
      <c r="AV27" s="70">
        <v>0</v>
      </c>
      <c r="AW27" s="76">
        <v>0</v>
      </c>
      <c r="AX27" s="76">
        <v>0</v>
      </c>
      <c r="AY27" s="76">
        <v>0</v>
      </c>
      <c r="AZ27" s="76">
        <v>6215907</v>
      </c>
      <c r="BA27" s="3">
        <v>6215907</v>
      </c>
      <c r="BC27" s="3" t="s">
        <v>254</v>
      </c>
      <c r="BD27" s="64">
        <v>0</v>
      </c>
      <c r="BE27" s="64">
        <v>0</v>
      </c>
      <c r="BF27" s="76">
        <v>0</v>
      </c>
      <c r="BG27" s="64">
        <v>0</v>
      </c>
      <c r="BH27" s="3">
        <v>0</v>
      </c>
      <c r="BI27" s="3">
        <v>6215907</v>
      </c>
      <c r="BJ27" s="9"/>
      <c r="BL27" s="3" t="s">
        <v>254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</row>
    <row r="28" spans="1:72">
      <c r="A28" s="3" t="s">
        <v>255</v>
      </c>
      <c r="B28" s="3">
        <v>6069</v>
      </c>
      <c r="C28" s="9">
        <v>54131729</v>
      </c>
      <c r="D28" s="9">
        <v>7183885</v>
      </c>
      <c r="E28" s="9">
        <v>16763757</v>
      </c>
      <c r="F28" s="9">
        <v>78079371</v>
      </c>
      <c r="G28" s="9"/>
      <c r="H28" s="9">
        <v>0</v>
      </c>
      <c r="I28" s="9">
        <v>0</v>
      </c>
      <c r="J28" s="9">
        <v>0</v>
      </c>
      <c r="K28" s="9">
        <v>78079371</v>
      </c>
      <c r="M28" s="3" t="s">
        <v>255</v>
      </c>
      <c r="N28" s="50">
        <v>23193720</v>
      </c>
      <c r="O28" s="50">
        <v>11163354</v>
      </c>
      <c r="P28" s="50">
        <v>1123311</v>
      </c>
      <c r="Q28" s="50">
        <v>1458383</v>
      </c>
      <c r="R28" s="50">
        <v>6413909</v>
      </c>
      <c r="S28" s="50">
        <v>2965507</v>
      </c>
      <c r="T28" s="9"/>
      <c r="U28" s="50">
        <v>1903739</v>
      </c>
      <c r="V28" s="50">
        <v>644646</v>
      </c>
      <c r="X28" s="3" t="s">
        <v>255</v>
      </c>
      <c r="Y28" s="50">
        <v>244764</v>
      </c>
      <c r="Z28" s="50">
        <v>2720</v>
      </c>
      <c r="AA28" s="50">
        <v>5017676</v>
      </c>
      <c r="AB28" s="9">
        <v>54131729</v>
      </c>
      <c r="AD28" s="3" t="s">
        <v>255</v>
      </c>
      <c r="AE28" s="59">
        <v>3287894</v>
      </c>
      <c r="AF28" s="59">
        <v>41751</v>
      </c>
      <c r="AG28" s="59">
        <v>1406423</v>
      </c>
      <c r="AH28" s="59">
        <v>46390</v>
      </c>
      <c r="AI28" s="59">
        <v>0</v>
      </c>
      <c r="AJ28" s="59">
        <v>0</v>
      </c>
      <c r="AK28" s="59">
        <v>1013028</v>
      </c>
      <c r="AM28" s="3" t="s">
        <v>255</v>
      </c>
      <c r="AN28" s="59">
        <v>163350</v>
      </c>
      <c r="AO28" s="9">
        <v>0</v>
      </c>
      <c r="AP28" s="59">
        <v>129938</v>
      </c>
      <c r="AQ28" s="59">
        <v>1095112</v>
      </c>
      <c r="AR28" s="9">
        <v>7183885</v>
      </c>
      <c r="AT28" s="3" t="s">
        <v>255</v>
      </c>
      <c r="AU28" s="65">
        <v>9488740</v>
      </c>
      <c r="AV28" s="71">
        <v>958979</v>
      </c>
      <c r="AW28" s="77">
        <v>453421</v>
      </c>
      <c r="AX28" s="77">
        <v>33160</v>
      </c>
      <c r="AY28" s="77">
        <v>31312</v>
      </c>
      <c r="AZ28" s="77">
        <v>1307648</v>
      </c>
      <c r="BA28" s="9">
        <v>12273260</v>
      </c>
      <c r="BC28" s="3" t="s">
        <v>255</v>
      </c>
      <c r="BD28" s="65">
        <v>3642333</v>
      </c>
      <c r="BE28" s="65">
        <v>2064691</v>
      </c>
      <c r="BF28" s="77">
        <v>55941</v>
      </c>
      <c r="BG28" s="65">
        <v>782703</v>
      </c>
      <c r="BH28" s="9">
        <v>6545668</v>
      </c>
      <c r="BI28" s="9">
        <v>16763757</v>
      </c>
      <c r="BJ28" s="3"/>
      <c r="BL28" s="3" t="s">
        <v>255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</row>
    <row r="29" spans="1:72">
      <c r="A29" s="3" t="s">
        <v>256</v>
      </c>
      <c r="B29" s="3">
        <v>1162</v>
      </c>
      <c r="C29" s="9">
        <v>14610912</v>
      </c>
      <c r="D29" s="9">
        <v>1473299</v>
      </c>
      <c r="E29" s="9">
        <v>4960631</v>
      </c>
      <c r="F29" s="9">
        <v>21044843</v>
      </c>
      <c r="G29" s="9"/>
      <c r="H29" s="9">
        <v>981992</v>
      </c>
      <c r="I29" s="9">
        <v>245498</v>
      </c>
      <c r="J29" s="9">
        <v>1227490</v>
      </c>
      <c r="K29" s="9">
        <v>22272333</v>
      </c>
      <c r="M29" s="3" t="s">
        <v>256</v>
      </c>
      <c r="N29" s="50">
        <v>5061855</v>
      </c>
      <c r="O29" s="50">
        <v>2361293</v>
      </c>
      <c r="P29" s="50">
        <v>412132</v>
      </c>
      <c r="Q29" s="50">
        <v>536564</v>
      </c>
      <c r="R29" s="50">
        <v>1801863</v>
      </c>
      <c r="S29" s="50">
        <v>1122890</v>
      </c>
      <c r="T29" s="9"/>
      <c r="U29" s="50">
        <v>298260</v>
      </c>
      <c r="V29" s="50">
        <v>32241</v>
      </c>
      <c r="X29" s="3" t="s">
        <v>256</v>
      </c>
      <c r="Y29" s="50">
        <v>51652</v>
      </c>
      <c r="Z29" s="50">
        <v>4250</v>
      </c>
      <c r="AA29" s="50">
        <v>2927912</v>
      </c>
      <c r="AB29" s="9">
        <v>14610912</v>
      </c>
      <c r="AD29" s="3" t="s">
        <v>256</v>
      </c>
      <c r="AE29" s="59">
        <v>126936</v>
      </c>
      <c r="AF29" s="59">
        <v>7698</v>
      </c>
      <c r="AG29" s="59">
        <v>173596</v>
      </c>
      <c r="AH29" s="59">
        <v>7000</v>
      </c>
      <c r="AI29" s="59">
        <v>0</v>
      </c>
      <c r="AJ29" s="59">
        <v>0</v>
      </c>
      <c r="AK29" s="59">
        <v>123008</v>
      </c>
      <c r="AM29" s="3" t="s">
        <v>256</v>
      </c>
      <c r="AN29" s="59">
        <v>623948</v>
      </c>
      <c r="AO29" s="9">
        <v>86458</v>
      </c>
      <c r="AP29" s="59">
        <v>8740</v>
      </c>
      <c r="AQ29" s="59">
        <v>315916</v>
      </c>
      <c r="AR29" s="9">
        <v>1473299</v>
      </c>
      <c r="AT29" s="3" t="s">
        <v>256</v>
      </c>
      <c r="AU29" s="65">
        <v>3239673</v>
      </c>
      <c r="AV29" s="71">
        <v>0</v>
      </c>
      <c r="AW29" s="77">
        <v>123480</v>
      </c>
      <c r="AX29" s="77">
        <v>0</v>
      </c>
      <c r="AY29" s="77">
        <v>14114</v>
      </c>
      <c r="AZ29" s="77">
        <v>1561524</v>
      </c>
      <c r="BA29" s="9">
        <v>4938791</v>
      </c>
      <c r="BC29" s="3" t="s">
        <v>256</v>
      </c>
      <c r="BD29" s="65">
        <v>0</v>
      </c>
      <c r="BE29" s="65">
        <v>203552</v>
      </c>
      <c r="BF29" s="77">
        <v>29899</v>
      </c>
      <c r="BG29" s="65">
        <v>0</v>
      </c>
      <c r="BH29" s="9">
        <v>233450</v>
      </c>
      <c r="BI29" s="9">
        <v>4960631</v>
      </c>
      <c r="BJ29" s="9"/>
      <c r="BL29" s="3" t="s">
        <v>256</v>
      </c>
      <c r="BM29" s="9">
        <v>981992</v>
      </c>
      <c r="BN29" s="9">
        <v>245498</v>
      </c>
      <c r="BO29" s="9">
        <v>1227490</v>
      </c>
      <c r="BP29" s="9">
        <v>0</v>
      </c>
      <c r="BQ29" s="9">
        <v>0</v>
      </c>
      <c r="BR29" s="9">
        <v>0</v>
      </c>
      <c r="BS29" s="9">
        <v>0</v>
      </c>
      <c r="BT29" s="9">
        <v>1227490</v>
      </c>
    </row>
    <row r="30" spans="1:72">
      <c r="A30" s="3" t="s">
        <v>257</v>
      </c>
      <c r="B30" s="3">
        <v>3890</v>
      </c>
      <c r="C30" s="9">
        <v>32678873</v>
      </c>
      <c r="D30" s="9">
        <v>3102710</v>
      </c>
      <c r="E30" s="9">
        <v>7573329</v>
      </c>
      <c r="F30" s="9">
        <v>43354912</v>
      </c>
      <c r="G30" s="9"/>
      <c r="H30" s="9">
        <v>9103238</v>
      </c>
      <c r="I30" s="9">
        <v>0</v>
      </c>
      <c r="J30" s="9">
        <v>9103238</v>
      </c>
      <c r="K30" s="9">
        <v>52458150</v>
      </c>
      <c r="M30" s="3" t="s">
        <v>257</v>
      </c>
      <c r="N30" s="50">
        <v>12624237</v>
      </c>
      <c r="O30" s="50">
        <v>6142843</v>
      </c>
      <c r="P30" s="50">
        <v>693588</v>
      </c>
      <c r="Q30" s="50">
        <v>754341</v>
      </c>
      <c r="R30" s="50">
        <v>5509537</v>
      </c>
      <c r="S30" s="50">
        <v>2019609</v>
      </c>
      <c r="T30" s="9"/>
      <c r="U30" s="50">
        <v>2861</v>
      </c>
      <c r="V30" s="50">
        <v>622</v>
      </c>
      <c r="X30" s="3" t="s">
        <v>257</v>
      </c>
      <c r="Y30" s="50">
        <v>143806</v>
      </c>
      <c r="Z30" s="50">
        <v>67235</v>
      </c>
      <c r="AA30" s="50">
        <v>4720193</v>
      </c>
      <c r="AB30" s="9">
        <v>32678873</v>
      </c>
      <c r="AD30" s="3" t="s">
        <v>257</v>
      </c>
      <c r="AE30" s="59">
        <v>1038644</v>
      </c>
      <c r="AF30" s="59">
        <v>15713</v>
      </c>
      <c r="AG30" s="59">
        <v>694988</v>
      </c>
      <c r="AH30" s="59">
        <v>61228</v>
      </c>
      <c r="AI30" s="59">
        <v>0</v>
      </c>
      <c r="AJ30" s="59">
        <v>0</v>
      </c>
      <c r="AK30" s="59">
        <v>430387</v>
      </c>
      <c r="AM30" s="3" t="s">
        <v>257</v>
      </c>
      <c r="AN30" s="59">
        <v>82197</v>
      </c>
      <c r="AO30" s="9">
        <v>77626</v>
      </c>
      <c r="AP30" s="59">
        <v>79390</v>
      </c>
      <c r="AQ30" s="59">
        <v>622537</v>
      </c>
      <c r="AR30" s="9">
        <v>3102710</v>
      </c>
      <c r="AT30" s="3" t="s">
        <v>257</v>
      </c>
      <c r="AU30" s="65">
        <v>2696000</v>
      </c>
      <c r="AV30" s="71">
        <v>1801712</v>
      </c>
      <c r="AW30" s="77">
        <v>408651</v>
      </c>
      <c r="AX30" s="77">
        <v>8848</v>
      </c>
      <c r="AY30" s="77">
        <v>27375</v>
      </c>
      <c r="AZ30" s="77">
        <v>1756487</v>
      </c>
      <c r="BA30" s="9">
        <v>6699073</v>
      </c>
      <c r="BC30" s="3" t="s">
        <v>257</v>
      </c>
      <c r="BD30" s="65">
        <v>1018343</v>
      </c>
      <c r="BE30" s="65">
        <v>484085</v>
      </c>
      <c r="BF30" s="77">
        <v>28089</v>
      </c>
      <c r="BG30" s="65">
        <v>295100</v>
      </c>
      <c r="BH30" s="9">
        <v>1825618</v>
      </c>
      <c r="BI30" s="9">
        <v>7573329</v>
      </c>
      <c r="BJ30" s="9"/>
      <c r="BL30" s="3" t="s">
        <v>257</v>
      </c>
      <c r="BM30" s="9">
        <v>9103238</v>
      </c>
      <c r="BN30" s="9">
        <v>0</v>
      </c>
      <c r="BO30" s="9">
        <v>9103238</v>
      </c>
      <c r="BP30" s="9">
        <v>0</v>
      </c>
      <c r="BQ30" s="9">
        <v>0</v>
      </c>
      <c r="BR30" s="9">
        <v>0</v>
      </c>
      <c r="BS30" s="9">
        <v>0</v>
      </c>
      <c r="BT30" s="9">
        <v>9103238</v>
      </c>
    </row>
    <row r="31" spans="1:72">
      <c r="A31" s="3" t="s">
        <v>258</v>
      </c>
      <c r="B31" s="3">
        <v>3943</v>
      </c>
      <c r="C31" s="9">
        <v>33946384</v>
      </c>
      <c r="D31" s="9">
        <v>2673712</v>
      </c>
      <c r="E31" s="9">
        <v>5702409</v>
      </c>
      <c r="F31" s="9">
        <v>42322506</v>
      </c>
      <c r="G31" s="9"/>
      <c r="H31" s="9">
        <v>0</v>
      </c>
      <c r="I31" s="9">
        <v>0</v>
      </c>
      <c r="J31" s="9">
        <v>0</v>
      </c>
      <c r="K31" s="9">
        <v>42322506</v>
      </c>
      <c r="M31" s="3" t="s">
        <v>258</v>
      </c>
      <c r="N31" s="50">
        <v>14516176</v>
      </c>
      <c r="O31" s="50">
        <v>6793859</v>
      </c>
      <c r="P31" s="50">
        <v>719874</v>
      </c>
      <c r="Q31" s="50">
        <v>935469</v>
      </c>
      <c r="R31" s="50">
        <v>4939356</v>
      </c>
      <c r="S31" s="50">
        <v>2492388</v>
      </c>
      <c r="T31" s="9"/>
      <c r="U31" s="50">
        <v>1084106</v>
      </c>
      <c r="V31" s="50">
        <v>251689</v>
      </c>
      <c r="X31" s="3" t="s">
        <v>258</v>
      </c>
      <c r="Y31" s="50">
        <v>145567</v>
      </c>
      <c r="Z31" s="50">
        <v>0</v>
      </c>
      <c r="AA31" s="50">
        <v>2067900</v>
      </c>
      <c r="AB31" s="9">
        <v>33946384</v>
      </c>
      <c r="AD31" s="3" t="s">
        <v>258</v>
      </c>
      <c r="AE31" s="59">
        <v>1025784</v>
      </c>
      <c r="AF31" s="59">
        <v>21213</v>
      </c>
      <c r="AG31" s="59">
        <v>909114</v>
      </c>
      <c r="AH31" s="59">
        <v>51246</v>
      </c>
      <c r="AI31" s="59">
        <v>0</v>
      </c>
      <c r="AJ31" s="59">
        <v>0</v>
      </c>
      <c r="AK31" s="59">
        <v>380851</v>
      </c>
      <c r="AM31" s="3" t="s">
        <v>258</v>
      </c>
      <c r="AN31" s="59">
        <v>71322</v>
      </c>
      <c r="AO31" s="9">
        <v>0</v>
      </c>
      <c r="AP31" s="59">
        <v>42497</v>
      </c>
      <c r="AQ31" s="59">
        <v>171686</v>
      </c>
      <c r="AR31" s="9">
        <v>2673712</v>
      </c>
      <c r="AT31" s="3" t="s">
        <v>258</v>
      </c>
      <c r="AU31" s="65">
        <v>3835393</v>
      </c>
      <c r="AV31" s="71">
        <v>0</v>
      </c>
      <c r="AW31" s="77">
        <v>399644</v>
      </c>
      <c r="AX31" s="77">
        <v>10867</v>
      </c>
      <c r="AY31" s="77">
        <v>29788</v>
      </c>
      <c r="AZ31" s="77">
        <v>452805</v>
      </c>
      <c r="BA31" s="9">
        <v>4728497</v>
      </c>
      <c r="BC31" s="3" t="s">
        <v>258</v>
      </c>
      <c r="BD31" s="65">
        <v>1841294</v>
      </c>
      <c r="BE31" s="65">
        <v>469989</v>
      </c>
      <c r="BF31" s="77">
        <v>46104</v>
      </c>
      <c r="BG31" s="65">
        <v>394172</v>
      </c>
      <c r="BH31" s="9">
        <v>2751559</v>
      </c>
      <c r="BI31" s="9">
        <v>5702409</v>
      </c>
      <c r="BJ31" s="9"/>
      <c r="BL31" s="3" t="s">
        <v>258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</row>
    <row r="32" spans="1:72">
      <c r="A32" s="3" t="s">
        <v>259</v>
      </c>
      <c r="B32" s="3">
        <v>4206</v>
      </c>
      <c r="C32" s="9">
        <v>37071292</v>
      </c>
      <c r="D32" s="9">
        <v>2023254</v>
      </c>
      <c r="E32" s="9">
        <v>5506320</v>
      </c>
      <c r="F32" s="9">
        <v>44600866</v>
      </c>
      <c r="G32" s="9"/>
      <c r="H32" s="9">
        <v>11355038</v>
      </c>
      <c r="I32" s="9">
        <v>2381800</v>
      </c>
      <c r="J32" s="9">
        <v>13736838</v>
      </c>
      <c r="K32" s="9">
        <v>58337704</v>
      </c>
      <c r="M32" s="3" t="s">
        <v>259</v>
      </c>
      <c r="N32" s="50">
        <v>14474981</v>
      </c>
      <c r="O32" s="50">
        <v>7014748</v>
      </c>
      <c r="P32" s="50">
        <v>786569</v>
      </c>
      <c r="Q32" s="50">
        <v>972673</v>
      </c>
      <c r="R32" s="50">
        <v>5788787</v>
      </c>
      <c r="S32" s="50">
        <v>1777691</v>
      </c>
      <c r="T32" s="9"/>
      <c r="U32" s="50">
        <v>2490201</v>
      </c>
      <c r="V32" s="50">
        <v>900575</v>
      </c>
      <c r="X32" s="3" t="s">
        <v>259</v>
      </c>
      <c r="Y32" s="50">
        <v>162002</v>
      </c>
      <c r="Z32" s="50">
        <v>0</v>
      </c>
      <c r="AA32" s="50">
        <v>2703064</v>
      </c>
      <c r="AB32" s="9">
        <v>37071292</v>
      </c>
      <c r="AD32" s="3" t="s">
        <v>259</v>
      </c>
      <c r="AE32" s="59">
        <v>798595</v>
      </c>
      <c r="AF32" s="59">
        <v>9336</v>
      </c>
      <c r="AG32" s="59">
        <v>732897</v>
      </c>
      <c r="AH32" s="59">
        <v>45807</v>
      </c>
      <c r="AI32" s="59">
        <v>0</v>
      </c>
      <c r="AJ32" s="59">
        <v>0</v>
      </c>
      <c r="AK32" s="59">
        <v>265961</v>
      </c>
      <c r="AM32" s="3" t="s">
        <v>259</v>
      </c>
      <c r="AN32" s="59">
        <v>91550</v>
      </c>
      <c r="AO32" s="9">
        <v>0</v>
      </c>
      <c r="AP32" s="59">
        <v>44062</v>
      </c>
      <c r="AQ32" s="59">
        <v>35046</v>
      </c>
      <c r="AR32" s="9">
        <v>2023254</v>
      </c>
      <c r="AT32" s="3" t="s">
        <v>259</v>
      </c>
      <c r="AU32" s="65">
        <v>3658226</v>
      </c>
      <c r="AV32" s="71">
        <v>0</v>
      </c>
      <c r="AW32" s="77">
        <v>360976</v>
      </c>
      <c r="AX32" s="77">
        <v>0</v>
      </c>
      <c r="AY32" s="77">
        <v>28863</v>
      </c>
      <c r="AZ32" s="77">
        <v>386634</v>
      </c>
      <c r="BA32" s="9">
        <v>4434699</v>
      </c>
      <c r="BC32" s="3" t="s">
        <v>259</v>
      </c>
      <c r="BD32" s="65">
        <v>946353</v>
      </c>
      <c r="BE32" s="65">
        <v>782382</v>
      </c>
      <c r="BF32" s="77">
        <v>247896</v>
      </c>
      <c r="BG32" s="65">
        <v>138847</v>
      </c>
      <c r="BH32" s="9">
        <v>2115478</v>
      </c>
      <c r="BI32" s="9">
        <v>5506320</v>
      </c>
      <c r="BJ32" s="9"/>
      <c r="BL32" s="3" t="s">
        <v>259</v>
      </c>
      <c r="BM32" s="9">
        <v>11355038</v>
      </c>
      <c r="BN32" s="9">
        <v>2381800</v>
      </c>
      <c r="BO32" s="9">
        <v>13736838</v>
      </c>
      <c r="BP32" s="9">
        <v>0</v>
      </c>
      <c r="BQ32" s="9">
        <v>0</v>
      </c>
      <c r="BR32" s="9">
        <v>0</v>
      </c>
      <c r="BS32" s="9">
        <v>0</v>
      </c>
      <c r="BT32" s="9">
        <v>13736838</v>
      </c>
    </row>
    <row r="33" spans="1:72">
      <c r="A33" s="10" t="s">
        <v>250</v>
      </c>
      <c r="B33" s="10"/>
      <c r="C33" s="11">
        <v>235138792</v>
      </c>
      <c r="D33" s="11">
        <v>20497164</v>
      </c>
      <c r="E33" s="11">
        <v>60768511</v>
      </c>
      <c r="F33" s="11">
        <v>316404468</v>
      </c>
      <c r="G33" s="11"/>
      <c r="H33" s="11">
        <v>21440268</v>
      </c>
      <c r="I33" s="11">
        <v>2628005</v>
      </c>
      <c r="J33" s="11">
        <v>24066859</v>
      </c>
      <c r="K33" s="11">
        <v>340471327</v>
      </c>
      <c r="M33" s="10" t="s">
        <v>250</v>
      </c>
      <c r="N33" s="52">
        <v>93681189</v>
      </c>
      <c r="O33" s="52">
        <v>45394180</v>
      </c>
      <c r="P33" s="52">
        <v>4846667</v>
      </c>
      <c r="Q33" s="52">
        <v>6266635</v>
      </c>
      <c r="R33" s="52">
        <v>34048063</v>
      </c>
      <c r="S33" s="52">
        <v>14099095</v>
      </c>
      <c r="T33" s="11"/>
      <c r="U33" s="52">
        <v>10710400</v>
      </c>
      <c r="V33" s="52">
        <v>3111905</v>
      </c>
      <c r="X33" s="10" t="s">
        <v>250</v>
      </c>
      <c r="Y33" s="52">
        <v>1002533</v>
      </c>
      <c r="Z33" s="52">
        <v>74205</v>
      </c>
      <c r="AA33" s="52">
        <v>21903917</v>
      </c>
      <c r="AB33" s="11">
        <v>235138792</v>
      </c>
      <c r="AD33" s="10" t="s">
        <v>250</v>
      </c>
      <c r="AE33" s="60">
        <v>8083678</v>
      </c>
      <c r="AF33" s="60">
        <v>116638</v>
      </c>
      <c r="AG33" s="60">
        <v>5376550</v>
      </c>
      <c r="AH33" s="60">
        <v>211678</v>
      </c>
      <c r="AI33" s="60">
        <v>0</v>
      </c>
      <c r="AJ33" s="60">
        <v>0</v>
      </c>
      <c r="AK33" s="60">
        <v>2818667</v>
      </c>
      <c r="AM33" s="10" t="s">
        <v>250</v>
      </c>
      <c r="AN33" s="60">
        <v>1230734</v>
      </c>
      <c r="AO33" s="11">
        <v>164084</v>
      </c>
      <c r="AP33" s="60">
        <v>389750</v>
      </c>
      <c r="AQ33" s="60">
        <v>2370363</v>
      </c>
      <c r="AR33" s="11">
        <v>20497164</v>
      </c>
      <c r="AT33" s="10" t="s">
        <v>250</v>
      </c>
      <c r="AU33" s="66">
        <v>26727334</v>
      </c>
      <c r="AV33" s="72">
        <v>7444038</v>
      </c>
      <c r="AW33" s="78">
        <v>1951065</v>
      </c>
      <c r="AX33" s="78">
        <v>72706</v>
      </c>
      <c r="AY33" s="78">
        <v>181594</v>
      </c>
      <c r="AZ33" s="78">
        <v>15480594</v>
      </c>
      <c r="BA33" s="11">
        <v>51857331</v>
      </c>
      <c r="BC33" s="10" t="s">
        <v>250</v>
      </c>
      <c r="BD33" s="66">
        <v>9458743</v>
      </c>
      <c r="BE33" s="66">
        <v>5007291</v>
      </c>
      <c r="BF33" s="78">
        <v>474838</v>
      </c>
      <c r="BG33" s="66">
        <v>2172304</v>
      </c>
      <c r="BH33" s="11">
        <v>17113176</v>
      </c>
      <c r="BI33" s="11">
        <v>60768511</v>
      </c>
      <c r="BJ33" s="9"/>
      <c r="BL33" s="10" t="s">
        <v>250</v>
      </c>
      <c r="BM33" s="11">
        <v>21440268</v>
      </c>
      <c r="BN33" s="11">
        <v>2628005</v>
      </c>
      <c r="BO33" s="11">
        <v>24068273</v>
      </c>
      <c r="BP33" s="11">
        <v>0</v>
      </c>
      <c r="BQ33" s="11">
        <v>0</v>
      </c>
      <c r="BR33" s="11">
        <v>0</v>
      </c>
      <c r="BS33" s="11">
        <v>0</v>
      </c>
      <c r="BT33" s="11">
        <v>24068273</v>
      </c>
    </row>
    <row r="34" spans="1:72">
      <c r="N34" s="51"/>
      <c r="O34" s="51"/>
      <c r="P34" s="51"/>
      <c r="Q34" s="51"/>
      <c r="R34" s="51"/>
      <c r="S34" s="51"/>
      <c r="U34" s="51"/>
      <c r="V34" s="51"/>
      <c r="Y34" s="51"/>
      <c r="Z34" s="51"/>
      <c r="AA34" s="51"/>
      <c r="AD34" s="3"/>
      <c r="AE34" s="58"/>
      <c r="AF34" s="58"/>
      <c r="AG34" s="58"/>
      <c r="AH34" s="58"/>
      <c r="AI34" s="58"/>
      <c r="AJ34" s="58"/>
      <c r="AK34" s="58"/>
      <c r="AM34" s="3"/>
      <c r="AN34" s="58"/>
      <c r="AO34" s="3"/>
      <c r="AP34" s="58"/>
      <c r="AQ34" s="58"/>
      <c r="AR34" s="3"/>
      <c r="AU34" s="64"/>
      <c r="AV34" s="70"/>
      <c r="AW34" s="76"/>
      <c r="AX34" s="76"/>
      <c r="AY34" s="76"/>
      <c r="AZ34" s="76"/>
      <c r="BC34" s="3"/>
      <c r="BD34" s="64"/>
      <c r="BE34" s="64"/>
      <c r="BF34" s="76"/>
      <c r="BG34" s="64"/>
      <c r="BH34" s="3"/>
      <c r="BI34" s="3"/>
      <c r="BJ34" s="11"/>
      <c r="BL34" s="3"/>
      <c r="BM34" s="3"/>
      <c r="BN34" s="3"/>
      <c r="BO34" s="3"/>
      <c r="BP34" s="3"/>
      <c r="BQ34" s="3"/>
      <c r="BR34" s="3"/>
      <c r="BS34" s="3"/>
      <c r="BT34" s="3"/>
    </row>
    <row r="35" spans="1:72">
      <c r="A35" s="3" t="s">
        <v>260</v>
      </c>
      <c r="M35" s="3" t="s">
        <v>260</v>
      </c>
      <c r="N35" s="51"/>
      <c r="O35" s="51"/>
      <c r="P35" s="51"/>
      <c r="Q35" s="51"/>
      <c r="R35" s="51"/>
      <c r="S35" s="51"/>
      <c r="U35" s="51"/>
      <c r="V35" s="51"/>
      <c r="X35" s="3" t="s">
        <v>260</v>
      </c>
      <c r="Y35" s="51"/>
      <c r="Z35" s="51"/>
      <c r="AA35" s="51"/>
      <c r="AD35" s="3" t="s">
        <v>260</v>
      </c>
      <c r="AE35" s="58"/>
      <c r="AF35" s="58"/>
      <c r="AG35" s="58"/>
      <c r="AH35" s="58"/>
      <c r="AI35" s="58"/>
      <c r="AJ35" s="58"/>
      <c r="AK35" s="58"/>
      <c r="AM35" s="3" t="s">
        <v>260</v>
      </c>
      <c r="AN35" s="58"/>
      <c r="AO35" s="3"/>
      <c r="AP35" s="58"/>
      <c r="AQ35" s="58"/>
      <c r="AR35" s="3"/>
      <c r="AT35" s="3" t="s">
        <v>260</v>
      </c>
      <c r="AU35" s="64"/>
      <c r="AV35" s="70"/>
      <c r="AW35" s="76"/>
      <c r="AX35" s="76"/>
      <c r="AY35" s="76"/>
      <c r="AZ35" s="76"/>
      <c r="BC35" s="3" t="s">
        <v>260</v>
      </c>
      <c r="BD35" s="64"/>
      <c r="BE35" s="64"/>
      <c r="BF35" s="76"/>
      <c r="BG35" s="64"/>
      <c r="BH35" s="3"/>
      <c r="BI35" s="3"/>
      <c r="BJ35" s="3"/>
      <c r="BL35" s="3" t="s">
        <v>260</v>
      </c>
      <c r="BM35" s="3"/>
      <c r="BN35" s="3"/>
      <c r="BO35" s="3"/>
      <c r="BP35" s="3"/>
      <c r="BQ35" s="3"/>
      <c r="BR35" s="3"/>
      <c r="BS35" s="3"/>
      <c r="BT35" s="3"/>
    </row>
    <row r="36" spans="1:72">
      <c r="A36" s="3" t="s">
        <v>261</v>
      </c>
      <c r="B36" s="3">
        <v>4368</v>
      </c>
      <c r="C36" s="9">
        <v>40026958</v>
      </c>
      <c r="D36" s="9">
        <v>2581820</v>
      </c>
      <c r="E36" s="9">
        <v>28763180</v>
      </c>
      <c r="F36" s="9">
        <v>71371958</v>
      </c>
      <c r="G36" s="9"/>
      <c r="H36" s="9">
        <v>29954000</v>
      </c>
      <c r="I36" s="9">
        <v>7488500</v>
      </c>
      <c r="J36" s="9">
        <v>37442500</v>
      </c>
      <c r="K36" s="9">
        <v>108814458</v>
      </c>
      <c r="M36" s="3" t="s">
        <v>261</v>
      </c>
      <c r="N36" s="50">
        <v>19922398</v>
      </c>
      <c r="O36" s="50">
        <v>9930655</v>
      </c>
      <c r="P36" s="50">
        <v>839342</v>
      </c>
      <c r="Q36" s="50">
        <v>992200</v>
      </c>
      <c r="R36" s="50">
        <v>552826</v>
      </c>
      <c r="S36" s="50">
        <v>3409704</v>
      </c>
      <c r="T36" s="9"/>
      <c r="U36" s="50">
        <v>1506801</v>
      </c>
      <c r="V36" s="50">
        <v>537677</v>
      </c>
      <c r="X36" s="3" t="s">
        <v>261</v>
      </c>
      <c r="Y36" s="50">
        <v>179024</v>
      </c>
      <c r="Z36" s="50">
        <v>0</v>
      </c>
      <c r="AA36" s="50">
        <v>2156331</v>
      </c>
      <c r="AB36" s="9">
        <v>40026958</v>
      </c>
      <c r="AD36" s="3" t="s">
        <v>261</v>
      </c>
      <c r="AE36" s="59">
        <v>992178</v>
      </c>
      <c r="AF36" s="59">
        <v>16788</v>
      </c>
      <c r="AG36" s="59">
        <v>877302</v>
      </c>
      <c r="AH36" s="59">
        <v>89371</v>
      </c>
      <c r="AI36" s="59">
        <v>0</v>
      </c>
      <c r="AJ36" s="59">
        <v>0</v>
      </c>
      <c r="AK36" s="59">
        <v>394505</v>
      </c>
      <c r="AM36" s="3" t="s">
        <v>261</v>
      </c>
      <c r="AN36" s="59">
        <v>91151</v>
      </c>
      <c r="AO36" s="9">
        <v>0</v>
      </c>
      <c r="AP36" s="59">
        <v>64094</v>
      </c>
      <c r="AQ36" s="59">
        <v>56431</v>
      </c>
      <c r="AR36" s="9">
        <v>2581820</v>
      </c>
      <c r="AT36" s="3" t="s">
        <v>261</v>
      </c>
      <c r="AU36" s="65">
        <v>13417874</v>
      </c>
      <c r="AV36" s="71">
        <v>2084983</v>
      </c>
      <c r="AW36" s="77">
        <v>399504</v>
      </c>
      <c r="AX36" s="77">
        <v>44987</v>
      </c>
      <c r="AY36" s="77">
        <v>38536</v>
      </c>
      <c r="AZ36" s="77">
        <v>1132982</v>
      </c>
      <c r="BA36" s="9">
        <v>17118866</v>
      </c>
      <c r="BC36" s="3" t="s">
        <v>261</v>
      </c>
      <c r="BD36" s="65">
        <v>6996139</v>
      </c>
      <c r="BE36" s="65">
        <v>3936995</v>
      </c>
      <c r="BF36" s="77">
        <v>551299</v>
      </c>
      <c r="BG36" s="65">
        <v>896790</v>
      </c>
      <c r="BH36" s="9">
        <v>12381223</v>
      </c>
      <c r="BI36" s="9">
        <v>28763180</v>
      </c>
      <c r="BJ36" s="3"/>
      <c r="BL36" s="3" t="s">
        <v>261</v>
      </c>
      <c r="BM36" s="9">
        <v>29954000</v>
      </c>
      <c r="BN36" s="9">
        <v>7488500</v>
      </c>
      <c r="BO36" s="9">
        <v>37442500</v>
      </c>
      <c r="BP36" s="9">
        <v>0</v>
      </c>
      <c r="BQ36" s="9">
        <v>0</v>
      </c>
      <c r="BR36" s="9">
        <v>0</v>
      </c>
      <c r="BS36" s="9">
        <v>0</v>
      </c>
      <c r="BT36" s="9">
        <v>37442500</v>
      </c>
    </row>
    <row r="37" spans="1:72">
      <c r="A37" s="3" t="s">
        <v>262</v>
      </c>
      <c r="B37" s="3">
        <v>1070</v>
      </c>
      <c r="C37" s="9">
        <v>9811994</v>
      </c>
      <c r="D37" s="9">
        <v>496718</v>
      </c>
      <c r="E37" s="9">
        <v>1403602</v>
      </c>
      <c r="F37" s="9">
        <v>11712314</v>
      </c>
      <c r="G37" s="9"/>
      <c r="H37" s="9">
        <v>2243460</v>
      </c>
      <c r="I37" s="9">
        <v>560798</v>
      </c>
      <c r="J37" s="9">
        <v>2804258</v>
      </c>
      <c r="K37" s="9">
        <v>14516572</v>
      </c>
      <c r="M37" s="3" t="s">
        <v>262</v>
      </c>
      <c r="N37" s="50">
        <v>3740105</v>
      </c>
      <c r="O37" s="50">
        <v>1861217</v>
      </c>
      <c r="P37" s="50">
        <v>203466</v>
      </c>
      <c r="Q37" s="50">
        <v>289658</v>
      </c>
      <c r="R37" s="50">
        <v>1560478</v>
      </c>
      <c r="S37" s="50">
        <v>481231</v>
      </c>
      <c r="T37" s="9"/>
      <c r="U37" s="50">
        <v>718529</v>
      </c>
      <c r="V37" s="50">
        <v>130918</v>
      </c>
      <c r="X37" s="3" t="s">
        <v>262</v>
      </c>
      <c r="Y37" s="50">
        <v>39914</v>
      </c>
      <c r="Z37" s="50">
        <v>18266</v>
      </c>
      <c r="AA37" s="50">
        <v>768212</v>
      </c>
      <c r="AB37" s="9">
        <v>9811994</v>
      </c>
      <c r="AD37" s="3" t="s">
        <v>262</v>
      </c>
      <c r="AE37" s="59">
        <v>178371</v>
      </c>
      <c r="AF37" s="59">
        <v>3455</v>
      </c>
      <c r="AG37" s="59">
        <v>189328</v>
      </c>
      <c r="AH37" s="59">
        <v>4948</v>
      </c>
      <c r="AI37" s="59">
        <v>0</v>
      </c>
      <c r="AJ37" s="59">
        <v>0</v>
      </c>
      <c r="AK37" s="59">
        <v>72918</v>
      </c>
      <c r="AM37" s="3" t="s">
        <v>262</v>
      </c>
      <c r="AN37" s="59">
        <v>36557</v>
      </c>
      <c r="AO37" s="9">
        <v>0</v>
      </c>
      <c r="AP37" s="59">
        <v>6162</v>
      </c>
      <c r="AQ37" s="59">
        <v>4979</v>
      </c>
      <c r="AR37" s="9">
        <v>496718</v>
      </c>
      <c r="AT37" s="3" t="s">
        <v>262</v>
      </c>
      <c r="AU37" s="65">
        <v>580403</v>
      </c>
      <c r="AV37" s="71">
        <v>520545</v>
      </c>
      <c r="AW37" s="77">
        <v>105803</v>
      </c>
      <c r="AX37" s="77">
        <v>0</v>
      </c>
      <c r="AY37" s="77">
        <v>34496</v>
      </c>
      <c r="AZ37" s="77">
        <v>226128</v>
      </c>
      <c r="BA37" s="9">
        <v>1467375</v>
      </c>
      <c r="BC37" s="3" t="s">
        <v>262</v>
      </c>
      <c r="BD37" s="65">
        <v>324444</v>
      </c>
      <c r="BE37" s="65">
        <v>343101</v>
      </c>
      <c r="BF37" s="77">
        <v>60820</v>
      </c>
      <c r="BG37" s="65">
        <v>47470</v>
      </c>
      <c r="BH37" s="9">
        <v>775835</v>
      </c>
      <c r="BI37" s="9">
        <v>1403602</v>
      </c>
      <c r="BJ37" s="9"/>
      <c r="BL37" s="3" t="s">
        <v>262</v>
      </c>
      <c r="BM37" s="9">
        <v>2243460</v>
      </c>
      <c r="BN37" s="9">
        <v>560798</v>
      </c>
      <c r="BO37" s="9">
        <v>2804258</v>
      </c>
      <c r="BP37" s="9">
        <v>0</v>
      </c>
      <c r="BQ37" s="9">
        <v>0</v>
      </c>
      <c r="BR37" s="9">
        <v>0</v>
      </c>
      <c r="BS37" s="9">
        <v>0</v>
      </c>
      <c r="BT37" s="9">
        <v>2804258</v>
      </c>
    </row>
    <row r="38" spans="1:72">
      <c r="A38" s="3" t="s">
        <v>263</v>
      </c>
      <c r="B38" s="3">
        <v>7933</v>
      </c>
      <c r="C38" s="9">
        <v>59736396</v>
      </c>
      <c r="D38" s="9">
        <v>6189557</v>
      </c>
      <c r="E38" s="9">
        <v>29743583</v>
      </c>
      <c r="F38" s="9">
        <v>95669536</v>
      </c>
      <c r="G38" s="9"/>
      <c r="H38" s="9">
        <v>12242433</v>
      </c>
      <c r="I38" s="9">
        <v>8161467</v>
      </c>
      <c r="J38" s="9">
        <v>20403900</v>
      </c>
      <c r="K38" s="9">
        <v>116073436</v>
      </c>
      <c r="M38" s="3" t="s">
        <v>263</v>
      </c>
      <c r="N38" s="50">
        <v>28309183</v>
      </c>
      <c r="O38" s="50">
        <v>13252713</v>
      </c>
      <c r="P38" s="50">
        <v>1243935</v>
      </c>
      <c r="Q38" s="50">
        <v>1712348</v>
      </c>
      <c r="R38" s="50">
        <v>782243</v>
      </c>
      <c r="S38" s="50">
        <v>4915191</v>
      </c>
      <c r="T38" s="9"/>
      <c r="U38" s="50">
        <v>2551290</v>
      </c>
      <c r="V38" s="50">
        <v>1356321</v>
      </c>
      <c r="X38" s="3" t="s">
        <v>263</v>
      </c>
      <c r="Y38" s="50">
        <v>297004</v>
      </c>
      <c r="Z38" s="50">
        <v>19432</v>
      </c>
      <c r="AA38" s="50">
        <v>5296737</v>
      </c>
      <c r="AB38" s="9">
        <v>59736396</v>
      </c>
      <c r="AD38" s="3" t="s">
        <v>263</v>
      </c>
      <c r="AE38" s="59">
        <v>2193197</v>
      </c>
      <c r="AF38" s="59">
        <v>51602</v>
      </c>
      <c r="AG38" s="59">
        <v>2059149</v>
      </c>
      <c r="AH38" s="59">
        <v>112006</v>
      </c>
      <c r="AI38" s="59">
        <v>0</v>
      </c>
      <c r="AJ38" s="59">
        <v>0</v>
      </c>
      <c r="AK38" s="59">
        <v>925447</v>
      </c>
      <c r="AM38" s="3" t="s">
        <v>263</v>
      </c>
      <c r="AN38" s="59">
        <v>198102</v>
      </c>
      <c r="AO38" s="9">
        <v>40005</v>
      </c>
      <c r="AP38" s="59">
        <v>108889</v>
      </c>
      <c r="AQ38" s="59">
        <v>501160</v>
      </c>
      <c r="AR38" s="9">
        <v>6189557</v>
      </c>
      <c r="AT38" s="3" t="s">
        <v>263</v>
      </c>
      <c r="AU38" s="65">
        <v>18420821</v>
      </c>
      <c r="AV38" s="71">
        <v>2277450</v>
      </c>
      <c r="AW38" s="77">
        <v>646714</v>
      </c>
      <c r="AX38" s="77">
        <v>17082</v>
      </c>
      <c r="AY38" s="77">
        <v>78909</v>
      </c>
      <c r="AZ38" s="77">
        <v>3116266</v>
      </c>
      <c r="BA38" s="9">
        <v>24557243</v>
      </c>
      <c r="BC38" s="3" t="s">
        <v>263</v>
      </c>
      <c r="BD38" s="65">
        <v>4322654</v>
      </c>
      <c r="BE38" s="65">
        <v>4352617</v>
      </c>
      <c r="BF38" s="77">
        <v>615918</v>
      </c>
      <c r="BG38" s="65">
        <v>479112</v>
      </c>
      <c r="BH38" s="9">
        <v>9770301</v>
      </c>
      <c r="BI38" s="9">
        <v>29743583</v>
      </c>
      <c r="BJ38" s="9"/>
      <c r="BL38" s="3" t="s">
        <v>263</v>
      </c>
      <c r="BM38" s="9">
        <v>0</v>
      </c>
      <c r="BN38" s="9">
        <v>8161467</v>
      </c>
      <c r="BO38" s="9">
        <v>8161467</v>
      </c>
      <c r="BP38" s="9">
        <v>0</v>
      </c>
      <c r="BQ38" s="9">
        <v>0</v>
      </c>
      <c r="BR38" s="9">
        <v>0</v>
      </c>
      <c r="BS38" s="9">
        <v>0</v>
      </c>
      <c r="BT38" s="9">
        <v>8161467</v>
      </c>
    </row>
    <row r="39" spans="1:72">
      <c r="A39" s="3" t="s">
        <v>264</v>
      </c>
      <c r="B39" s="3">
        <v>113</v>
      </c>
      <c r="C39" s="9">
        <v>4919147</v>
      </c>
      <c r="D39" s="3">
        <v>0</v>
      </c>
      <c r="E39" s="9">
        <v>2317004</v>
      </c>
      <c r="F39" s="9">
        <v>7236151</v>
      </c>
      <c r="G39" s="9"/>
      <c r="H39" s="3">
        <v>0</v>
      </c>
      <c r="I39" s="9">
        <v>0</v>
      </c>
      <c r="J39" s="9">
        <v>0</v>
      </c>
      <c r="K39" s="9">
        <v>7236151</v>
      </c>
      <c r="M39" s="3" t="s">
        <v>264</v>
      </c>
      <c r="N39" s="50">
        <v>2190131</v>
      </c>
      <c r="O39" s="50">
        <v>1107494</v>
      </c>
      <c r="P39" s="50">
        <v>47496</v>
      </c>
      <c r="Q39" s="50">
        <v>62956</v>
      </c>
      <c r="R39" s="50">
        <v>39864</v>
      </c>
      <c r="S39" s="50">
        <v>1002239</v>
      </c>
      <c r="T39" s="9"/>
      <c r="U39" s="50">
        <v>6877</v>
      </c>
      <c r="V39" s="50">
        <v>1496</v>
      </c>
      <c r="X39" s="3" t="s">
        <v>264</v>
      </c>
      <c r="Y39" s="50">
        <v>13500</v>
      </c>
      <c r="Z39" s="50">
        <v>0</v>
      </c>
      <c r="AA39" s="50">
        <v>447093</v>
      </c>
      <c r="AB39" s="9">
        <v>4919147</v>
      </c>
      <c r="AD39" s="3" t="s">
        <v>264</v>
      </c>
      <c r="AE39" s="59">
        <v>0</v>
      </c>
      <c r="AF39" s="59">
        <v>0</v>
      </c>
      <c r="AG39" s="59">
        <v>0</v>
      </c>
      <c r="AH39" s="59">
        <v>0</v>
      </c>
      <c r="AI39" s="59">
        <v>0</v>
      </c>
      <c r="AJ39" s="59">
        <v>0</v>
      </c>
      <c r="AK39" s="59">
        <v>0</v>
      </c>
      <c r="AM39" s="3" t="s">
        <v>264</v>
      </c>
      <c r="AN39" s="59">
        <v>0</v>
      </c>
      <c r="AO39" s="9">
        <v>0</v>
      </c>
      <c r="AP39" s="59">
        <v>0</v>
      </c>
      <c r="AQ39" s="59">
        <v>0</v>
      </c>
      <c r="AR39" s="9">
        <v>0</v>
      </c>
      <c r="AT39" s="3" t="s">
        <v>264</v>
      </c>
      <c r="AU39" s="65">
        <v>0</v>
      </c>
      <c r="AV39" s="71">
        <v>2009418</v>
      </c>
      <c r="AW39" s="77">
        <v>50162</v>
      </c>
      <c r="AX39" s="77">
        <v>0</v>
      </c>
      <c r="AY39" s="77">
        <v>78313</v>
      </c>
      <c r="AZ39" s="77">
        <v>57735</v>
      </c>
      <c r="BA39" s="9">
        <v>2195627</v>
      </c>
      <c r="BC39" s="3" t="s">
        <v>264</v>
      </c>
      <c r="BD39" s="65">
        <v>2131</v>
      </c>
      <c r="BE39" s="65">
        <v>119246</v>
      </c>
      <c r="BF39" s="77">
        <v>0</v>
      </c>
      <c r="BG39" s="65">
        <v>0</v>
      </c>
      <c r="BH39" s="9">
        <v>121377</v>
      </c>
      <c r="BI39" s="9">
        <v>2317004</v>
      </c>
      <c r="BJ39" s="9"/>
      <c r="BL39" s="3" t="s">
        <v>264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</row>
    <row r="40" spans="1:72">
      <c r="A40" s="3" t="s">
        <v>265</v>
      </c>
      <c r="B40" s="3">
        <v>2069</v>
      </c>
      <c r="C40" s="9">
        <v>17575401</v>
      </c>
      <c r="D40" s="9">
        <v>1768936</v>
      </c>
      <c r="E40" s="9">
        <v>3062302</v>
      </c>
      <c r="F40" s="9">
        <v>22406639</v>
      </c>
      <c r="G40" s="9"/>
      <c r="H40" s="9">
        <v>0</v>
      </c>
      <c r="I40" s="9">
        <v>0</v>
      </c>
      <c r="J40" s="9">
        <v>0</v>
      </c>
      <c r="K40" s="9">
        <v>22406639</v>
      </c>
      <c r="M40" s="3" t="s">
        <v>265</v>
      </c>
      <c r="N40" s="50">
        <v>7746958</v>
      </c>
      <c r="O40" s="50">
        <v>3760657</v>
      </c>
      <c r="P40" s="50">
        <v>350312</v>
      </c>
      <c r="Q40" s="50">
        <v>411334</v>
      </c>
      <c r="R40" s="50">
        <v>2410086</v>
      </c>
      <c r="S40" s="50">
        <v>1342789</v>
      </c>
      <c r="T40" s="9"/>
      <c r="U40" s="50">
        <v>70389</v>
      </c>
      <c r="V40" s="50">
        <v>15308</v>
      </c>
      <c r="X40" s="3" t="s">
        <v>265</v>
      </c>
      <c r="Y40" s="50">
        <v>76892</v>
      </c>
      <c r="Z40" s="50">
        <v>0</v>
      </c>
      <c r="AA40" s="50">
        <v>1390675</v>
      </c>
      <c r="AB40" s="9">
        <v>17575401</v>
      </c>
      <c r="AD40" s="3" t="s">
        <v>265</v>
      </c>
      <c r="AE40" s="59">
        <v>796261</v>
      </c>
      <c r="AF40" s="59">
        <v>23</v>
      </c>
      <c r="AG40" s="59">
        <v>479359</v>
      </c>
      <c r="AH40" s="59">
        <v>42294</v>
      </c>
      <c r="AI40" s="59">
        <v>0</v>
      </c>
      <c r="AJ40" s="59">
        <v>0</v>
      </c>
      <c r="AK40" s="59">
        <v>303550</v>
      </c>
      <c r="AM40" s="3" t="s">
        <v>265</v>
      </c>
      <c r="AN40" s="59">
        <v>51008</v>
      </c>
      <c r="AO40" s="9">
        <v>0</v>
      </c>
      <c r="AP40" s="59">
        <v>40280</v>
      </c>
      <c r="AQ40" s="59">
        <v>56162</v>
      </c>
      <c r="AR40" s="9">
        <v>1768936</v>
      </c>
      <c r="AT40" s="3" t="s">
        <v>265</v>
      </c>
      <c r="AU40" s="65">
        <v>1672235</v>
      </c>
      <c r="AV40" s="71">
        <v>0</v>
      </c>
      <c r="AW40" s="77">
        <v>123821</v>
      </c>
      <c r="AX40" s="77">
        <v>1800</v>
      </c>
      <c r="AY40" s="77">
        <v>26116</v>
      </c>
      <c r="AZ40" s="77">
        <v>608596</v>
      </c>
      <c r="BA40" s="9">
        <v>2432568</v>
      </c>
      <c r="BC40" s="3" t="s">
        <v>265</v>
      </c>
      <c r="BD40" s="65">
        <v>814718</v>
      </c>
      <c r="BE40" s="65">
        <v>248769</v>
      </c>
      <c r="BF40" s="77">
        <v>0</v>
      </c>
      <c r="BG40" s="65">
        <v>0</v>
      </c>
      <c r="BH40" s="9">
        <v>1063487</v>
      </c>
      <c r="BI40" s="9">
        <v>3062302</v>
      </c>
      <c r="BJ40" s="9"/>
      <c r="BL40" s="3" t="s">
        <v>265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</row>
    <row r="41" spans="1:72">
      <c r="A41" s="3" t="s">
        <v>266</v>
      </c>
      <c r="B41" s="3">
        <v>3298</v>
      </c>
      <c r="C41" s="9">
        <v>29384747</v>
      </c>
      <c r="D41" s="9">
        <v>4774642</v>
      </c>
      <c r="E41" s="9">
        <v>6125347</v>
      </c>
      <c r="F41" s="9">
        <v>40284737</v>
      </c>
      <c r="G41" s="9"/>
      <c r="H41" s="9">
        <v>0</v>
      </c>
      <c r="I41" s="9">
        <v>0</v>
      </c>
      <c r="J41" s="9">
        <v>0</v>
      </c>
      <c r="K41" s="9">
        <v>40284737</v>
      </c>
      <c r="M41" s="3" t="s">
        <v>266</v>
      </c>
      <c r="N41" s="50">
        <v>13037026</v>
      </c>
      <c r="O41" s="50">
        <v>6415365</v>
      </c>
      <c r="P41" s="50">
        <v>638076</v>
      </c>
      <c r="Q41" s="50">
        <v>875723</v>
      </c>
      <c r="R41" s="50">
        <v>4247951</v>
      </c>
      <c r="S41" s="50">
        <v>1929480</v>
      </c>
      <c r="T41" s="9"/>
      <c r="U41" s="50">
        <v>220587</v>
      </c>
      <c r="V41" s="50">
        <v>53146</v>
      </c>
      <c r="X41" s="3" t="s">
        <v>266</v>
      </c>
      <c r="Y41" s="50">
        <v>128545</v>
      </c>
      <c r="Z41" s="50">
        <v>42882</v>
      </c>
      <c r="AA41" s="50">
        <v>1795965</v>
      </c>
      <c r="AB41" s="9">
        <v>29384747</v>
      </c>
      <c r="AD41" s="3" t="s">
        <v>266</v>
      </c>
      <c r="AE41" s="59">
        <v>2199025</v>
      </c>
      <c r="AF41" s="59">
        <v>25647</v>
      </c>
      <c r="AG41" s="59">
        <v>774085</v>
      </c>
      <c r="AH41" s="59">
        <v>42710</v>
      </c>
      <c r="AI41" s="59">
        <v>0</v>
      </c>
      <c r="AJ41" s="59">
        <v>0</v>
      </c>
      <c r="AK41" s="59">
        <v>495843</v>
      </c>
      <c r="AM41" s="3" t="s">
        <v>266</v>
      </c>
      <c r="AN41" s="59">
        <v>96594</v>
      </c>
      <c r="AO41" s="9">
        <v>0</v>
      </c>
      <c r="AP41" s="59">
        <v>64026</v>
      </c>
      <c r="AQ41" s="59">
        <v>1076712</v>
      </c>
      <c r="AR41" s="9">
        <v>4774642</v>
      </c>
      <c r="AT41" s="3" t="s">
        <v>266</v>
      </c>
      <c r="AU41" s="65">
        <v>3689125</v>
      </c>
      <c r="AV41" s="71">
        <v>758557</v>
      </c>
      <c r="AW41" s="77">
        <v>224899</v>
      </c>
      <c r="AX41" s="77">
        <v>12598</v>
      </c>
      <c r="AY41" s="77">
        <v>34931</v>
      </c>
      <c r="AZ41" s="77">
        <v>397312</v>
      </c>
      <c r="BA41" s="9">
        <v>5117422</v>
      </c>
      <c r="BC41" s="3" t="s">
        <v>266</v>
      </c>
      <c r="BD41" s="65">
        <v>903979</v>
      </c>
      <c r="BE41" s="65">
        <v>1038525</v>
      </c>
      <c r="BF41" s="77">
        <v>65227</v>
      </c>
      <c r="BG41" s="65">
        <v>187273</v>
      </c>
      <c r="BH41" s="9">
        <v>2195004</v>
      </c>
      <c r="BI41" s="9">
        <v>6125347</v>
      </c>
      <c r="BJ41" s="9"/>
      <c r="BL41" s="3" t="s">
        <v>266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</row>
    <row r="42" spans="1:72">
      <c r="A42" s="3" t="s">
        <v>267</v>
      </c>
      <c r="B42" s="3">
        <v>1227</v>
      </c>
      <c r="C42" s="9">
        <v>13313919</v>
      </c>
      <c r="D42" s="9">
        <v>926149</v>
      </c>
      <c r="E42" s="9">
        <v>7170522</v>
      </c>
      <c r="F42" s="9">
        <v>21410590</v>
      </c>
      <c r="G42" s="9"/>
      <c r="H42" s="9">
        <v>2763840</v>
      </c>
      <c r="I42" s="9">
        <v>1842560</v>
      </c>
      <c r="J42" s="9">
        <v>4606400</v>
      </c>
      <c r="K42" s="9">
        <v>26016990</v>
      </c>
      <c r="M42" s="3" t="s">
        <v>267</v>
      </c>
      <c r="N42" s="50">
        <v>5489864</v>
      </c>
      <c r="O42" s="50">
        <v>2717079</v>
      </c>
      <c r="P42" s="50">
        <v>382749</v>
      </c>
      <c r="Q42" s="50">
        <v>637713</v>
      </c>
      <c r="R42" s="50">
        <v>247154</v>
      </c>
      <c r="S42" s="50">
        <v>1700040</v>
      </c>
      <c r="T42" s="9"/>
      <c r="U42" s="50">
        <v>337676</v>
      </c>
      <c r="V42" s="50">
        <v>52923</v>
      </c>
      <c r="X42" s="3" t="s">
        <v>267</v>
      </c>
      <c r="Y42" s="50">
        <v>54588</v>
      </c>
      <c r="Z42" s="50">
        <v>2087</v>
      </c>
      <c r="AA42" s="50">
        <v>1692045</v>
      </c>
      <c r="AB42" s="9">
        <v>13313919</v>
      </c>
      <c r="AD42" s="3" t="s">
        <v>267</v>
      </c>
      <c r="AE42" s="59">
        <v>177882</v>
      </c>
      <c r="AF42" s="59">
        <v>3272</v>
      </c>
      <c r="AG42" s="59">
        <v>246164</v>
      </c>
      <c r="AH42" s="59">
        <v>0</v>
      </c>
      <c r="AI42" s="59">
        <v>0</v>
      </c>
      <c r="AJ42" s="59">
        <v>0</v>
      </c>
      <c r="AK42" s="59">
        <v>83293</v>
      </c>
      <c r="AM42" s="3" t="s">
        <v>267</v>
      </c>
      <c r="AN42" s="59">
        <v>248716</v>
      </c>
      <c r="AO42" s="9">
        <v>81944</v>
      </c>
      <c r="AP42" s="59">
        <v>6009</v>
      </c>
      <c r="AQ42" s="59">
        <v>78868</v>
      </c>
      <c r="AR42" s="9">
        <v>926149</v>
      </c>
      <c r="AT42" s="3" t="s">
        <v>267</v>
      </c>
      <c r="AU42" s="65">
        <v>5074556</v>
      </c>
      <c r="AV42" s="71">
        <v>0</v>
      </c>
      <c r="AW42" s="77">
        <v>174986</v>
      </c>
      <c r="AX42" s="77">
        <v>700</v>
      </c>
      <c r="AY42" s="77">
        <v>32671</v>
      </c>
      <c r="AZ42" s="77">
        <v>1279572</v>
      </c>
      <c r="BA42" s="9">
        <v>6562485</v>
      </c>
      <c r="BC42" s="3" t="s">
        <v>267</v>
      </c>
      <c r="BD42" s="65">
        <v>0</v>
      </c>
      <c r="BE42" s="65">
        <v>604795</v>
      </c>
      <c r="BF42" s="77">
        <v>105975</v>
      </c>
      <c r="BG42" s="65">
        <v>0</v>
      </c>
      <c r="BH42" s="9">
        <v>710770</v>
      </c>
      <c r="BI42" s="9">
        <v>7170522</v>
      </c>
      <c r="BJ42" s="9"/>
      <c r="BL42" s="3" t="s">
        <v>267</v>
      </c>
      <c r="BM42" s="9">
        <v>2763840</v>
      </c>
      <c r="BN42" s="9">
        <v>1842560</v>
      </c>
      <c r="BO42" s="9">
        <v>4606400</v>
      </c>
      <c r="BP42" s="9">
        <v>0</v>
      </c>
      <c r="BQ42" s="9">
        <v>0</v>
      </c>
      <c r="BR42" s="9">
        <v>0</v>
      </c>
      <c r="BS42" s="9">
        <v>0</v>
      </c>
      <c r="BT42" s="9">
        <v>4606400</v>
      </c>
    </row>
    <row r="43" spans="1:72">
      <c r="A43" s="3" t="s">
        <v>268</v>
      </c>
      <c r="B43" s="3">
        <v>1920</v>
      </c>
      <c r="C43" s="9">
        <v>18295600</v>
      </c>
      <c r="D43" s="9">
        <v>2524657</v>
      </c>
      <c r="E43" s="9">
        <v>3950137</v>
      </c>
      <c r="F43" s="9">
        <v>24770394</v>
      </c>
      <c r="G43" s="9"/>
      <c r="H43" s="9">
        <v>0</v>
      </c>
      <c r="I43" s="9">
        <v>0</v>
      </c>
      <c r="J43" s="9">
        <v>0</v>
      </c>
      <c r="K43" s="9">
        <v>24770394</v>
      </c>
      <c r="M43" s="3" t="s">
        <v>268</v>
      </c>
      <c r="N43" s="50">
        <v>6999454</v>
      </c>
      <c r="O43" s="50">
        <v>3540720</v>
      </c>
      <c r="P43" s="50">
        <v>344281</v>
      </c>
      <c r="Q43" s="50">
        <v>457289</v>
      </c>
      <c r="R43" s="50">
        <v>2315898</v>
      </c>
      <c r="S43" s="50">
        <v>1351324</v>
      </c>
      <c r="T43" s="9"/>
      <c r="U43" s="50">
        <v>614954</v>
      </c>
      <c r="V43" s="50">
        <v>376630</v>
      </c>
      <c r="X43" s="3" t="s">
        <v>268</v>
      </c>
      <c r="Y43" s="50">
        <v>72784</v>
      </c>
      <c r="Z43" s="50">
        <v>23319</v>
      </c>
      <c r="AA43" s="50">
        <v>2198949</v>
      </c>
      <c r="AB43" s="9">
        <v>18295600</v>
      </c>
      <c r="AD43" s="3" t="s">
        <v>268</v>
      </c>
      <c r="AE43" s="59">
        <v>1138831</v>
      </c>
      <c r="AF43" s="59">
        <v>8188</v>
      </c>
      <c r="AG43" s="59">
        <v>385650</v>
      </c>
      <c r="AH43" s="59">
        <v>27085</v>
      </c>
      <c r="AI43" s="59">
        <v>0</v>
      </c>
      <c r="AJ43" s="59">
        <v>0</v>
      </c>
      <c r="AK43" s="59">
        <v>402636</v>
      </c>
      <c r="AM43" s="3" t="s">
        <v>268</v>
      </c>
      <c r="AN43" s="59">
        <v>69238</v>
      </c>
      <c r="AO43" s="9">
        <v>0</v>
      </c>
      <c r="AP43" s="59">
        <v>39245</v>
      </c>
      <c r="AQ43" s="59">
        <v>453784</v>
      </c>
      <c r="AR43" s="9">
        <v>2524657</v>
      </c>
      <c r="AT43" s="3" t="s">
        <v>268</v>
      </c>
      <c r="AU43" s="65">
        <v>1821716</v>
      </c>
      <c r="AV43" s="71">
        <v>647555</v>
      </c>
      <c r="AW43" s="77">
        <v>119531</v>
      </c>
      <c r="AX43" s="77">
        <v>6614</v>
      </c>
      <c r="AY43" s="77">
        <v>117289</v>
      </c>
      <c r="AZ43" s="77">
        <v>685655</v>
      </c>
      <c r="BA43" s="9">
        <v>3398359</v>
      </c>
      <c r="BC43" s="3" t="s">
        <v>268</v>
      </c>
      <c r="BD43" s="65">
        <v>926019</v>
      </c>
      <c r="BE43" s="65">
        <v>543979</v>
      </c>
      <c r="BF43" s="77">
        <v>28422</v>
      </c>
      <c r="BG43" s="65">
        <v>71719</v>
      </c>
      <c r="BH43" s="9">
        <v>1570139</v>
      </c>
      <c r="BI43" s="9">
        <v>3950137</v>
      </c>
      <c r="BJ43" s="9"/>
      <c r="BL43" s="3" t="s">
        <v>268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</row>
    <row r="44" spans="1:72">
      <c r="A44" s="10" t="s">
        <v>250</v>
      </c>
      <c r="B44" s="10"/>
      <c r="C44" s="11">
        <v>193064162</v>
      </c>
      <c r="D44" s="11">
        <v>19262479</v>
      </c>
      <c r="E44" s="11">
        <v>82535677</v>
      </c>
      <c r="F44" s="11">
        <v>294862319</v>
      </c>
      <c r="G44" s="11"/>
      <c r="H44" s="11">
        <v>47203733</v>
      </c>
      <c r="I44" s="11">
        <v>18053325</v>
      </c>
      <c r="J44" s="11">
        <v>65257058</v>
      </c>
      <c r="K44" s="11">
        <v>360119377</v>
      </c>
      <c r="M44" s="10" t="s">
        <v>250</v>
      </c>
      <c r="N44" s="52">
        <v>87435119</v>
      </c>
      <c r="O44" s="52">
        <v>42585900</v>
      </c>
      <c r="P44" s="52">
        <v>4049657</v>
      </c>
      <c r="Q44" s="52">
        <v>5439221</v>
      </c>
      <c r="R44" s="52">
        <v>12156500</v>
      </c>
      <c r="S44" s="52">
        <v>16131998</v>
      </c>
      <c r="T44" s="11"/>
      <c r="U44" s="52">
        <v>6027103</v>
      </c>
      <c r="V44" s="52">
        <v>2524419</v>
      </c>
      <c r="X44" s="10" t="s">
        <v>250</v>
      </c>
      <c r="Y44" s="52">
        <v>862251</v>
      </c>
      <c r="Z44" s="52">
        <v>105986</v>
      </c>
      <c r="AA44" s="52">
        <v>15746007</v>
      </c>
      <c r="AB44" s="11">
        <v>193064162</v>
      </c>
      <c r="AD44" s="10" t="s">
        <v>250</v>
      </c>
      <c r="AE44" s="60">
        <v>7675745</v>
      </c>
      <c r="AF44" s="60">
        <v>108975</v>
      </c>
      <c r="AG44" s="60">
        <v>5011037</v>
      </c>
      <c r="AH44" s="60">
        <v>318414</v>
      </c>
      <c r="AI44" s="60">
        <v>0</v>
      </c>
      <c r="AJ44" s="60">
        <v>0</v>
      </c>
      <c r="AK44" s="60">
        <v>2678192</v>
      </c>
      <c r="AM44" s="10" t="s">
        <v>250</v>
      </c>
      <c r="AN44" s="60">
        <v>791366</v>
      </c>
      <c r="AO44" s="11">
        <v>121949</v>
      </c>
      <c r="AP44" s="60">
        <v>328705</v>
      </c>
      <c r="AQ44" s="60">
        <v>2228096</v>
      </c>
      <c r="AR44" s="11">
        <v>19262479</v>
      </c>
      <c r="AT44" s="10" t="s">
        <v>250</v>
      </c>
      <c r="AU44" s="66">
        <v>44676730</v>
      </c>
      <c r="AV44" s="72">
        <v>8298508</v>
      </c>
      <c r="AW44" s="78">
        <v>1845420</v>
      </c>
      <c r="AX44" s="78">
        <v>83781</v>
      </c>
      <c r="AY44" s="78">
        <v>441261</v>
      </c>
      <c r="AZ44" s="78">
        <v>7504246</v>
      </c>
      <c r="BA44" s="11">
        <v>62849945</v>
      </c>
      <c r="BC44" s="10" t="s">
        <v>250</v>
      </c>
      <c r="BD44" s="66">
        <v>14290084</v>
      </c>
      <c r="BE44" s="66">
        <v>11188027</v>
      </c>
      <c r="BF44" s="78">
        <v>1427661</v>
      </c>
      <c r="BG44" s="66">
        <v>1682364</v>
      </c>
      <c r="BH44" s="11">
        <v>28588136</v>
      </c>
      <c r="BI44" s="11">
        <v>82535677</v>
      </c>
      <c r="BJ44" s="9"/>
      <c r="BL44" s="10" t="s">
        <v>250</v>
      </c>
      <c r="BM44" s="11">
        <v>34961300</v>
      </c>
      <c r="BN44" s="11">
        <v>18053325</v>
      </c>
      <c r="BO44" s="11">
        <v>53014625</v>
      </c>
      <c r="BP44" s="11">
        <v>0</v>
      </c>
      <c r="BQ44" s="11">
        <v>0</v>
      </c>
      <c r="BR44" s="11">
        <v>0</v>
      </c>
      <c r="BS44" s="11">
        <v>0</v>
      </c>
      <c r="BT44" s="11">
        <v>53014625</v>
      </c>
    </row>
    <row r="45" spans="1:72">
      <c r="N45" s="51"/>
      <c r="O45" s="51"/>
      <c r="P45" s="51"/>
      <c r="Q45" s="51"/>
      <c r="R45" s="51"/>
      <c r="S45" s="51"/>
      <c r="U45" s="51"/>
      <c r="V45" s="51"/>
      <c r="Y45" s="51"/>
      <c r="Z45" s="51"/>
      <c r="AA45" s="51"/>
      <c r="AD45" s="3"/>
      <c r="AE45" s="58"/>
      <c r="AF45" s="58"/>
      <c r="AG45" s="58"/>
      <c r="AH45" s="58"/>
      <c r="AI45" s="58"/>
      <c r="AJ45" s="58"/>
      <c r="AK45" s="58"/>
      <c r="AM45" s="3"/>
      <c r="AN45" s="58"/>
      <c r="AO45" s="3"/>
      <c r="AP45" s="58"/>
      <c r="AQ45" s="58"/>
      <c r="AR45" s="3"/>
      <c r="AU45" s="64"/>
      <c r="AV45" s="70"/>
      <c r="AW45" s="76"/>
      <c r="AX45" s="76"/>
      <c r="AY45" s="76"/>
      <c r="AZ45" s="76"/>
      <c r="BC45" s="3"/>
      <c r="BD45" s="64"/>
      <c r="BE45" s="64"/>
      <c r="BF45" s="76"/>
      <c r="BG45" s="64"/>
      <c r="BH45" s="3"/>
      <c r="BI45" s="3"/>
      <c r="BJ45" s="11"/>
      <c r="BL45" s="10"/>
      <c r="BM45" s="9"/>
      <c r="BN45" s="9"/>
      <c r="BO45" s="9"/>
      <c r="BP45" s="9"/>
      <c r="BQ45" s="9"/>
      <c r="BR45" s="9"/>
      <c r="BS45" s="9"/>
      <c r="BT45" s="9"/>
    </row>
    <row r="46" spans="1:72">
      <c r="A46" s="10" t="s">
        <v>269</v>
      </c>
      <c r="B46" s="10"/>
      <c r="C46" s="11">
        <v>48546674.750599995</v>
      </c>
      <c r="D46" s="11">
        <v>4698402.5725999996</v>
      </c>
      <c r="E46" s="11">
        <v>22448650.1492</v>
      </c>
      <c r="F46" s="11">
        <v>75693727.47240001</v>
      </c>
      <c r="G46" s="11"/>
      <c r="H46" s="11">
        <v>0</v>
      </c>
      <c r="I46" s="11">
        <v>0</v>
      </c>
      <c r="J46" s="11">
        <v>0</v>
      </c>
      <c r="K46" s="11">
        <v>75693727.47240001</v>
      </c>
      <c r="M46" s="10" t="s">
        <v>269</v>
      </c>
      <c r="N46" s="52">
        <v>0</v>
      </c>
      <c r="O46" s="52">
        <v>0</v>
      </c>
      <c r="P46" s="52">
        <v>0</v>
      </c>
      <c r="Q46" s="52">
        <v>7824</v>
      </c>
      <c r="R46" s="52">
        <v>0</v>
      </c>
      <c r="S46" s="52">
        <v>0</v>
      </c>
      <c r="T46" s="11"/>
      <c r="U46" s="52">
        <v>0</v>
      </c>
      <c r="V46" s="52">
        <v>0</v>
      </c>
      <c r="X46" s="10" t="s">
        <v>269</v>
      </c>
      <c r="Y46" s="52">
        <v>0</v>
      </c>
      <c r="Z46" s="52">
        <v>0</v>
      </c>
      <c r="AA46" s="52">
        <v>48538850</v>
      </c>
      <c r="AB46" s="11">
        <v>48546674</v>
      </c>
      <c r="AD46" s="10" t="s">
        <v>269</v>
      </c>
      <c r="AE46" s="60">
        <v>1698503</v>
      </c>
      <c r="AF46" s="60">
        <v>27944</v>
      </c>
      <c r="AG46" s="60">
        <v>1249501</v>
      </c>
      <c r="AH46" s="60">
        <v>10920</v>
      </c>
      <c r="AI46" s="60">
        <v>0</v>
      </c>
      <c r="AJ46" s="60">
        <v>0</v>
      </c>
      <c r="AK46" s="60">
        <v>509288</v>
      </c>
      <c r="AM46" s="10" t="s">
        <v>269</v>
      </c>
      <c r="AN46" s="60">
        <v>52423</v>
      </c>
      <c r="AO46" s="11">
        <v>0</v>
      </c>
      <c r="AP46" s="60">
        <v>63275</v>
      </c>
      <c r="AQ46" s="60">
        <v>1086549</v>
      </c>
      <c r="AR46" s="11">
        <v>4698404</v>
      </c>
      <c r="AT46" s="10" t="s">
        <v>269</v>
      </c>
      <c r="AU46" s="66">
        <v>0</v>
      </c>
      <c r="AV46" s="72">
        <v>12695058</v>
      </c>
      <c r="AW46" s="78">
        <v>700653</v>
      </c>
      <c r="AX46" s="78">
        <v>40858</v>
      </c>
      <c r="AY46" s="78">
        <v>20917</v>
      </c>
      <c r="AZ46" s="78">
        <v>8968359</v>
      </c>
      <c r="BA46" s="11">
        <v>22468407</v>
      </c>
      <c r="BC46" s="10" t="s">
        <v>269</v>
      </c>
      <c r="BD46" s="66">
        <v>0</v>
      </c>
      <c r="BE46" s="66">
        <v>0</v>
      </c>
      <c r="BF46" s="78">
        <v>0</v>
      </c>
      <c r="BG46" s="66">
        <v>0</v>
      </c>
      <c r="BH46" s="11">
        <v>0</v>
      </c>
      <c r="BI46" s="11">
        <v>22448649</v>
      </c>
      <c r="BJ46" s="11"/>
      <c r="BL46" s="10" t="s">
        <v>269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</row>
    <row r="47" spans="1:72">
      <c r="N47" s="51"/>
      <c r="O47" s="51"/>
      <c r="P47" s="51"/>
      <c r="Q47" s="51"/>
      <c r="R47" s="51"/>
      <c r="S47" s="51"/>
      <c r="U47" s="51"/>
      <c r="V47" s="51"/>
      <c r="Y47" s="51"/>
      <c r="Z47" s="51"/>
      <c r="AA47" s="51"/>
      <c r="AD47" s="3"/>
      <c r="AE47" s="58"/>
      <c r="AF47" s="58"/>
      <c r="AG47" s="58"/>
      <c r="AH47" s="58"/>
      <c r="AI47" s="58"/>
      <c r="AJ47" s="58"/>
      <c r="AK47" s="58"/>
      <c r="AM47" s="3"/>
      <c r="AN47" s="58"/>
      <c r="AO47" s="3"/>
      <c r="AP47" s="58"/>
      <c r="AQ47" s="58"/>
      <c r="AR47" s="3"/>
      <c r="AU47" s="64"/>
      <c r="AV47" s="70"/>
      <c r="AW47" s="76"/>
      <c r="AX47" s="76"/>
      <c r="AY47" s="76"/>
      <c r="AZ47" s="76"/>
      <c r="BC47" s="3"/>
      <c r="BD47" s="64"/>
      <c r="BE47" s="64"/>
      <c r="BF47" s="76"/>
      <c r="BG47" s="64"/>
      <c r="BH47" s="3"/>
      <c r="BI47" s="3"/>
      <c r="BJ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1:72">
      <c r="A48" s="10" t="s">
        <v>270</v>
      </c>
      <c r="B48" s="10"/>
      <c r="C48" s="11">
        <v>1029607288.7506</v>
      </c>
      <c r="D48" s="11">
        <v>85581655.572600007</v>
      </c>
      <c r="E48" s="11">
        <v>462027566.14920002</v>
      </c>
      <c r="F48" s="11">
        <v>1577216511.4724</v>
      </c>
      <c r="G48" s="11"/>
      <c r="H48" s="11">
        <v>167069712</v>
      </c>
      <c r="I48" s="11">
        <v>67540317</v>
      </c>
      <c r="J48" s="11">
        <v>234606764</v>
      </c>
      <c r="K48" s="11">
        <v>1811823275.4724</v>
      </c>
      <c r="M48" s="10" t="s">
        <v>270</v>
      </c>
      <c r="N48" s="52">
        <v>418870382</v>
      </c>
      <c r="O48" s="52">
        <v>205898527</v>
      </c>
      <c r="P48" s="52">
        <v>21158934</v>
      </c>
      <c r="Q48" s="52">
        <v>27927153</v>
      </c>
      <c r="R48" s="52">
        <v>77829637</v>
      </c>
      <c r="S48" s="52">
        <v>68751667</v>
      </c>
      <c r="T48" s="11"/>
      <c r="U48" s="52">
        <v>34188948</v>
      </c>
      <c r="V48" s="52">
        <v>11571732</v>
      </c>
      <c r="X48" s="10" t="s">
        <v>270</v>
      </c>
      <c r="Y48" s="52">
        <v>4200336</v>
      </c>
      <c r="Z48" s="52">
        <v>401328</v>
      </c>
      <c r="AA48" s="52">
        <v>158808640</v>
      </c>
      <c r="AB48" s="11">
        <v>1029607288</v>
      </c>
      <c r="AD48" s="10" t="s">
        <v>270</v>
      </c>
      <c r="AE48" s="60">
        <v>30607018</v>
      </c>
      <c r="AF48" s="60">
        <v>568900</v>
      </c>
      <c r="AG48" s="60">
        <v>25188076</v>
      </c>
      <c r="AH48" s="60">
        <v>1064054</v>
      </c>
      <c r="AI48" s="60">
        <v>0</v>
      </c>
      <c r="AJ48" s="60">
        <v>0</v>
      </c>
      <c r="AK48" s="60">
        <v>12564597</v>
      </c>
      <c r="AM48" s="10" t="s">
        <v>270</v>
      </c>
      <c r="AN48" s="60">
        <v>3755562</v>
      </c>
      <c r="AO48" s="11">
        <v>586855</v>
      </c>
      <c r="AP48" s="60">
        <v>1438428</v>
      </c>
      <c r="AQ48" s="60">
        <v>10073144</v>
      </c>
      <c r="AR48" s="11">
        <v>85581657</v>
      </c>
      <c r="AT48" s="10" t="s">
        <v>270</v>
      </c>
      <c r="AU48" s="66">
        <v>259712096</v>
      </c>
      <c r="AV48" s="72">
        <v>64123238</v>
      </c>
      <c r="AW48" s="78">
        <v>10065704</v>
      </c>
      <c r="AX48" s="78">
        <v>662460</v>
      </c>
      <c r="AY48" s="78">
        <v>888460</v>
      </c>
      <c r="AZ48" s="78">
        <v>55572692</v>
      </c>
      <c r="BA48" s="11">
        <v>391157213</v>
      </c>
      <c r="BC48" s="10" t="s">
        <v>270</v>
      </c>
      <c r="BD48" s="66">
        <v>73138879</v>
      </c>
      <c r="BE48" s="66">
        <v>47290007</v>
      </c>
      <c r="BF48" s="78">
        <v>6546813</v>
      </c>
      <c r="BG48" s="66">
        <v>8539337</v>
      </c>
      <c r="BH48" s="11">
        <v>135515037</v>
      </c>
      <c r="BI48" s="11">
        <v>462027565</v>
      </c>
      <c r="BJ48" s="11"/>
      <c r="BL48" s="10" t="s">
        <v>270</v>
      </c>
      <c r="BM48" s="11">
        <v>154827279</v>
      </c>
      <c r="BN48" s="11">
        <v>67540317</v>
      </c>
      <c r="BO48" s="11">
        <v>222367595</v>
      </c>
      <c r="BP48" s="11">
        <v>0</v>
      </c>
      <c r="BQ48" s="11">
        <v>0</v>
      </c>
      <c r="BR48" s="11">
        <v>0</v>
      </c>
      <c r="BS48" s="11">
        <v>0</v>
      </c>
      <c r="BT48" s="11">
        <v>222367595</v>
      </c>
    </row>
    <row r="49" spans="1:72">
      <c r="N49" s="51"/>
      <c r="O49" s="51"/>
      <c r="P49" s="51"/>
      <c r="Q49" s="51"/>
      <c r="R49" s="51"/>
      <c r="S49" s="51"/>
      <c r="U49" s="51"/>
      <c r="V49" s="51"/>
      <c r="Y49" s="51"/>
      <c r="Z49" s="51"/>
      <c r="AA49" s="51"/>
      <c r="AD49" s="3"/>
      <c r="AE49" s="58"/>
      <c r="AF49" s="58"/>
      <c r="AG49" s="58"/>
      <c r="AH49" s="58"/>
      <c r="AI49" s="58"/>
      <c r="AJ49" s="58"/>
      <c r="AK49" s="58"/>
      <c r="AM49" s="3"/>
      <c r="AN49" s="58"/>
      <c r="AO49" s="3"/>
      <c r="AP49" s="58"/>
      <c r="AQ49" s="58"/>
      <c r="AR49" s="3"/>
      <c r="AU49" s="64"/>
      <c r="AV49" s="70"/>
      <c r="AW49" s="76"/>
      <c r="AX49" s="76"/>
      <c r="AY49" s="76"/>
      <c r="AZ49" s="76"/>
      <c r="BC49" s="3"/>
      <c r="BD49" s="64"/>
      <c r="BE49" s="64"/>
      <c r="BF49" s="76"/>
      <c r="BG49" s="64"/>
      <c r="BH49" s="3"/>
      <c r="BI49" s="3"/>
      <c r="BJ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>
      <c r="A50" s="10" t="s">
        <v>271</v>
      </c>
      <c r="B50" s="10"/>
      <c r="C50" s="11">
        <v>37370745</v>
      </c>
      <c r="D50" s="11">
        <v>41393560</v>
      </c>
      <c r="E50" s="11">
        <v>3979878</v>
      </c>
      <c r="F50" s="11">
        <v>82744183</v>
      </c>
      <c r="G50" s="11"/>
      <c r="H50" s="11">
        <v>1337921</v>
      </c>
      <c r="I50" s="11">
        <v>0</v>
      </c>
      <c r="J50" s="11">
        <v>1337921</v>
      </c>
      <c r="K50" s="11">
        <v>84082104</v>
      </c>
      <c r="M50" s="10" t="s">
        <v>271</v>
      </c>
      <c r="N50" s="52">
        <v>10039653</v>
      </c>
      <c r="O50" s="52">
        <v>3548073</v>
      </c>
      <c r="P50" s="52">
        <v>0</v>
      </c>
      <c r="Q50" s="52">
        <v>0</v>
      </c>
      <c r="R50" s="52">
        <v>0</v>
      </c>
      <c r="S50" s="52">
        <v>3887447</v>
      </c>
      <c r="T50" s="11"/>
      <c r="U50" s="52">
        <v>55227</v>
      </c>
      <c r="V50" s="52">
        <v>9321</v>
      </c>
      <c r="X50" s="10" t="s">
        <v>271</v>
      </c>
      <c r="Y50" s="52">
        <v>0</v>
      </c>
      <c r="Z50" s="52">
        <v>0</v>
      </c>
      <c r="AA50" s="52">
        <v>19831024</v>
      </c>
      <c r="AB50" s="11">
        <v>37370745</v>
      </c>
      <c r="AD50" s="10" t="s">
        <v>271</v>
      </c>
      <c r="AE50" s="60">
        <v>658300</v>
      </c>
      <c r="AF50" s="60">
        <v>0</v>
      </c>
      <c r="AG50" s="60">
        <v>596956</v>
      </c>
      <c r="AH50" s="60">
        <v>201709</v>
      </c>
      <c r="AI50" s="60">
        <v>184287</v>
      </c>
      <c r="AJ50" s="60">
        <v>0</v>
      </c>
      <c r="AK50" s="60">
        <v>103119</v>
      </c>
      <c r="AM50" s="10" t="s">
        <v>271</v>
      </c>
      <c r="AN50" s="60">
        <v>5855</v>
      </c>
      <c r="AO50" s="11">
        <v>228184</v>
      </c>
      <c r="AP50" s="60">
        <v>77526</v>
      </c>
      <c r="AQ50" s="60">
        <v>40769040</v>
      </c>
      <c r="AR50" s="11">
        <v>41393560</v>
      </c>
      <c r="AT50" s="10" t="s">
        <v>271</v>
      </c>
      <c r="AU50" s="66">
        <v>0</v>
      </c>
      <c r="AV50" s="72">
        <v>0</v>
      </c>
      <c r="AW50" s="78">
        <v>0</v>
      </c>
      <c r="AX50" s="78">
        <v>0</v>
      </c>
      <c r="AY50" s="78">
        <v>0</v>
      </c>
      <c r="AZ50" s="78">
        <v>3979878</v>
      </c>
      <c r="BA50" s="11">
        <v>3979878</v>
      </c>
      <c r="BC50" s="10" t="s">
        <v>271</v>
      </c>
      <c r="BD50" s="66">
        <v>0</v>
      </c>
      <c r="BE50" s="66">
        <v>0</v>
      </c>
      <c r="BF50" s="78">
        <v>0</v>
      </c>
      <c r="BG50" s="66">
        <v>0</v>
      </c>
      <c r="BH50" s="11">
        <v>0</v>
      </c>
      <c r="BI50" s="11">
        <v>3979878</v>
      </c>
      <c r="BJ50" s="11"/>
      <c r="BL50" s="10" t="s">
        <v>271</v>
      </c>
      <c r="BM50" s="11">
        <v>1337921</v>
      </c>
      <c r="BN50" s="11">
        <v>0</v>
      </c>
      <c r="BO50" s="11">
        <v>1337921</v>
      </c>
      <c r="BP50" s="11">
        <v>0</v>
      </c>
      <c r="BQ50" s="11">
        <v>0</v>
      </c>
      <c r="BR50" s="11">
        <v>0</v>
      </c>
      <c r="BS50" s="11">
        <v>0</v>
      </c>
      <c r="BT50" s="11">
        <v>1337921</v>
      </c>
    </row>
    <row r="51" spans="1:72">
      <c r="N51" s="51"/>
      <c r="O51" s="51"/>
      <c r="P51" s="51"/>
      <c r="Q51" s="51"/>
      <c r="R51" s="51"/>
      <c r="S51" s="51"/>
      <c r="U51" s="51"/>
      <c r="V51" s="51"/>
      <c r="Y51" s="51"/>
      <c r="Z51" s="51"/>
      <c r="AA51" s="51"/>
      <c r="AD51" s="3"/>
      <c r="AE51" s="58"/>
      <c r="AF51" s="58"/>
      <c r="AG51" s="58"/>
      <c r="AH51" s="58"/>
      <c r="AI51" s="58"/>
      <c r="AJ51" s="58"/>
      <c r="AK51" s="58"/>
      <c r="AM51" s="3"/>
      <c r="AN51" s="58"/>
      <c r="AO51" s="3"/>
      <c r="AP51" s="58"/>
      <c r="AQ51" s="58"/>
      <c r="AR51" s="3"/>
      <c r="AU51" s="64"/>
      <c r="AV51" s="70"/>
      <c r="AW51" s="76"/>
      <c r="AX51" s="76"/>
      <c r="AY51" s="76"/>
      <c r="AZ51" s="76"/>
      <c r="BC51" s="3"/>
      <c r="BD51" s="64"/>
      <c r="BE51" s="64"/>
      <c r="BF51" s="76"/>
      <c r="BG51" s="64"/>
      <c r="BH51" s="3"/>
      <c r="BI51" s="3"/>
      <c r="BJ51" s="3"/>
      <c r="BL51" s="3"/>
      <c r="BM51" s="3"/>
      <c r="BN51" s="3"/>
      <c r="BO51" s="3"/>
      <c r="BP51" s="3"/>
      <c r="BQ51" s="3"/>
      <c r="BR51" s="3"/>
      <c r="BS51" s="3"/>
      <c r="BT51" s="3"/>
    </row>
    <row r="52" spans="1:72" ht="15" thickBot="1">
      <c r="A52" s="12" t="s">
        <v>272</v>
      </c>
      <c r="B52" s="12"/>
      <c r="C52" s="13">
        <v>1066978033.7506</v>
      </c>
      <c r="D52" s="13">
        <v>126975215.57260001</v>
      </c>
      <c r="E52" s="13">
        <v>466007444.14920002</v>
      </c>
      <c r="F52" s="13">
        <v>1659960694.4724</v>
      </c>
      <c r="G52" s="13"/>
      <c r="H52" s="13">
        <v>168407633</v>
      </c>
      <c r="I52" s="13">
        <v>67540317</v>
      </c>
      <c r="J52" s="13">
        <v>235944685</v>
      </c>
      <c r="K52" s="13">
        <v>1895905379.4724</v>
      </c>
      <c r="M52" s="12" t="s">
        <v>272</v>
      </c>
      <c r="N52" s="53">
        <v>428910035</v>
      </c>
      <c r="O52" s="53">
        <v>209446600</v>
      </c>
      <c r="P52" s="53">
        <v>21158934</v>
      </c>
      <c r="Q52" s="53">
        <v>27927153</v>
      </c>
      <c r="R52" s="53">
        <v>77829637</v>
      </c>
      <c r="S52" s="53">
        <v>72639114</v>
      </c>
      <c r="T52" s="13"/>
      <c r="U52" s="53">
        <v>34244175</v>
      </c>
      <c r="V52" s="53">
        <v>11581053</v>
      </c>
      <c r="X52" s="12" t="s">
        <v>272</v>
      </c>
      <c r="Y52" s="53">
        <v>4200336</v>
      </c>
      <c r="Z52" s="53">
        <v>401328</v>
      </c>
      <c r="AA52" s="53">
        <v>178639664</v>
      </c>
      <c r="AB52" s="13">
        <v>1066978033</v>
      </c>
      <c r="AD52" s="12" t="s">
        <v>272</v>
      </c>
      <c r="AE52" s="61">
        <v>31265318</v>
      </c>
      <c r="AF52" s="61">
        <v>568900</v>
      </c>
      <c r="AG52" s="61">
        <v>25785032</v>
      </c>
      <c r="AH52" s="61">
        <v>1265763</v>
      </c>
      <c r="AI52" s="61">
        <v>184287</v>
      </c>
      <c r="AJ52" s="61">
        <v>0</v>
      </c>
      <c r="AK52" s="61">
        <v>12667716</v>
      </c>
      <c r="AM52" s="12" t="s">
        <v>272</v>
      </c>
      <c r="AN52" s="61">
        <v>3761417</v>
      </c>
      <c r="AO52" s="13">
        <v>815039</v>
      </c>
      <c r="AP52" s="61">
        <v>1515954</v>
      </c>
      <c r="AQ52" s="61">
        <v>50842184</v>
      </c>
      <c r="AR52" s="13">
        <v>126975217</v>
      </c>
      <c r="AT52" s="12" t="s">
        <v>272</v>
      </c>
      <c r="AU52" s="67">
        <v>259712096</v>
      </c>
      <c r="AV52" s="73">
        <v>64123238</v>
      </c>
      <c r="AW52" s="79">
        <v>10065704</v>
      </c>
      <c r="AX52" s="79">
        <v>662460</v>
      </c>
      <c r="AY52" s="79">
        <v>888460</v>
      </c>
      <c r="AZ52" s="79">
        <v>59552570</v>
      </c>
      <c r="BA52" s="13">
        <v>395137091</v>
      </c>
      <c r="BC52" s="12" t="s">
        <v>272</v>
      </c>
      <c r="BD52" s="67">
        <v>73138879</v>
      </c>
      <c r="BE52" s="67">
        <v>47290007</v>
      </c>
      <c r="BF52" s="79">
        <v>6546813</v>
      </c>
      <c r="BG52" s="67">
        <v>8539337</v>
      </c>
      <c r="BH52" s="13">
        <v>135515037</v>
      </c>
      <c r="BI52" s="13">
        <v>466007443</v>
      </c>
      <c r="BJ52" s="13"/>
      <c r="BL52" s="12" t="s">
        <v>272</v>
      </c>
      <c r="BM52" s="13">
        <v>156165200</v>
      </c>
      <c r="BN52" s="13">
        <v>67540317</v>
      </c>
      <c r="BO52" s="13">
        <v>223705516</v>
      </c>
      <c r="BP52" s="13">
        <v>0</v>
      </c>
      <c r="BQ52" s="13">
        <v>0</v>
      </c>
      <c r="BR52" s="13">
        <v>0</v>
      </c>
      <c r="BS52" s="13">
        <v>0</v>
      </c>
      <c r="BT52" s="13">
        <v>223705516</v>
      </c>
    </row>
    <row r="53" spans="1:72" ht="15" thickTop="1">
      <c r="A53" s="9" t="s">
        <v>273</v>
      </c>
      <c r="B53" s="9"/>
      <c r="M53" s="3" t="s">
        <v>297</v>
      </c>
      <c r="X53" s="3" t="s">
        <v>134</v>
      </c>
      <c r="AD53" s="3" t="s">
        <v>297</v>
      </c>
      <c r="AE53" s="3"/>
      <c r="AF53" s="3"/>
      <c r="AG53" s="3"/>
      <c r="AH53" s="3"/>
      <c r="AI53" s="3"/>
      <c r="AJ53" s="3"/>
      <c r="AK53" s="3"/>
      <c r="AM53" s="3" t="s">
        <v>273</v>
      </c>
      <c r="AN53" s="3"/>
      <c r="AO53" s="3"/>
      <c r="AP53" s="3"/>
      <c r="AQ53" s="3"/>
      <c r="AR53" s="3"/>
      <c r="AT53" s="29" t="s">
        <v>297</v>
      </c>
      <c r="AX53" s="29" t="s">
        <v>274</v>
      </c>
      <c r="BC53" s="29" t="s">
        <v>186</v>
      </c>
      <c r="BD53" s="3"/>
      <c r="BE53" s="3"/>
      <c r="BF53" s="3"/>
      <c r="BG53" s="29" t="s">
        <v>274</v>
      </c>
      <c r="BH53" s="3"/>
      <c r="BI53" s="3"/>
      <c r="BJ53" s="3"/>
      <c r="BL53" s="3" t="s">
        <v>297</v>
      </c>
    </row>
    <row r="54" spans="1:72">
      <c r="A54" s="9" t="s">
        <v>274</v>
      </c>
      <c r="B54" s="9"/>
      <c r="M54" s="3" t="s">
        <v>298</v>
      </c>
      <c r="X54" s="3" t="s">
        <v>274</v>
      </c>
      <c r="AD54" s="3" t="s">
        <v>274</v>
      </c>
      <c r="AE54" s="3"/>
      <c r="AF54" s="3"/>
      <c r="AG54" s="3"/>
      <c r="AH54" s="3"/>
      <c r="AI54" s="3"/>
      <c r="AJ54" s="3"/>
      <c r="AK54" s="3"/>
      <c r="AM54" s="3" t="s">
        <v>274</v>
      </c>
      <c r="AN54" s="3"/>
      <c r="AO54" s="3"/>
      <c r="AP54" s="3"/>
      <c r="AQ54" s="3"/>
      <c r="AR54" s="3"/>
      <c r="BC54" s="3"/>
      <c r="BD54" s="3"/>
      <c r="BE54" s="24">
        <v>162</v>
      </c>
      <c r="BF54" s="3"/>
      <c r="BG54" s="3"/>
      <c r="BH54" s="3"/>
      <c r="BI54" s="3"/>
      <c r="BJ54" s="3"/>
      <c r="BL54" s="3" t="s">
        <v>274</v>
      </c>
    </row>
    <row r="55" spans="1:72">
      <c r="Q55" s="20">
        <v>156</v>
      </c>
      <c r="Z55" s="14">
        <v>157</v>
      </c>
      <c r="AB55" s="1"/>
      <c r="AD55" s="3"/>
      <c r="AE55" s="3"/>
      <c r="AF55" s="3"/>
      <c r="AG55" s="24" t="s">
        <v>150</v>
      </c>
      <c r="AI55" s="3"/>
      <c r="AJ55" s="3"/>
      <c r="AK55" s="3"/>
      <c r="AM55" s="3"/>
      <c r="AN55" s="3"/>
      <c r="AO55" s="20">
        <v>160</v>
      </c>
      <c r="AP55" s="3"/>
      <c r="AR55" s="3"/>
      <c r="AW55" s="24" t="s">
        <v>170</v>
      </c>
    </row>
    <row r="56" spans="1:72">
      <c r="F56" s="14">
        <v>155</v>
      </c>
      <c r="Y56" s="1"/>
      <c r="Z56" s="1"/>
      <c r="AA56" s="1"/>
      <c r="AB56" s="1"/>
      <c r="AD56" s="3"/>
      <c r="AM56" s="3"/>
      <c r="BO56" s="33" t="s">
        <v>191</v>
      </c>
    </row>
    <row r="57" spans="1:72">
      <c r="X57" s="1"/>
      <c r="Y57" s="1"/>
      <c r="Z57" s="1"/>
      <c r="AA57" s="1"/>
      <c r="AB57" s="1"/>
    </row>
    <row r="58" spans="1:72">
      <c r="X58" s="21"/>
      <c r="Y58" s="21"/>
      <c r="Z58" s="21"/>
      <c r="AA58" s="21"/>
      <c r="AB58" s="21"/>
    </row>
    <row r="59" spans="1:72">
      <c r="X59" s="21"/>
      <c r="Y59" s="21"/>
      <c r="Z59" s="21"/>
      <c r="AA59" s="21"/>
      <c r="AB59" s="21" t="s">
        <v>135</v>
      </c>
    </row>
    <row r="60" spans="1:72">
      <c r="Y60" s="9"/>
      <c r="Z60" s="9"/>
      <c r="AA60" s="9"/>
      <c r="AB60" s="9"/>
    </row>
    <row r="61" spans="1:72">
      <c r="Y61" s="9"/>
      <c r="Z61" s="9"/>
      <c r="AA61" s="9"/>
      <c r="AB61" s="9"/>
    </row>
    <row r="62" spans="1:72">
      <c r="Y62" s="9"/>
      <c r="Z62" s="9"/>
      <c r="AA62" s="9"/>
      <c r="AB62" s="9"/>
    </row>
    <row r="63" spans="1:72">
      <c r="Y63" s="9"/>
      <c r="Z63" s="9"/>
      <c r="AA63" s="9"/>
      <c r="AB63" s="9"/>
    </row>
    <row r="66" spans="24:28">
      <c r="X66" s="10"/>
      <c r="Y66" s="11"/>
      <c r="Z66" s="11"/>
      <c r="AA66" s="11"/>
      <c r="AB66" s="11"/>
    </row>
    <row r="69" spans="24:28">
      <c r="Y69" s="9"/>
      <c r="Z69" s="9"/>
      <c r="AA69" s="9"/>
      <c r="AB69" s="9"/>
    </row>
    <row r="72" spans="24:28">
      <c r="Y72" s="9"/>
      <c r="Z72" s="9"/>
      <c r="AA72" s="9"/>
      <c r="AB72" s="9"/>
    </row>
    <row r="73" spans="24:28">
      <c r="Y73" s="9"/>
      <c r="Z73" s="9"/>
      <c r="AA73" s="9"/>
      <c r="AB73" s="9"/>
    </row>
    <row r="74" spans="24:28">
      <c r="Y74" s="9"/>
      <c r="Z74" s="9"/>
      <c r="AA74" s="9"/>
      <c r="AB74" s="9"/>
    </row>
    <row r="75" spans="24:28">
      <c r="Y75" s="9"/>
      <c r="Z75" s="9"/>
      <c r="AA75" s="9"/>
      <c r="AB75" s="9"/>
    </row>
    <row r="76" spans="24:28">
      <c r="Y76" s="9"/>
      <c r="Z76" s="9"/>
      <c r="AA76" s="9"/>
      <c r="AB76" s="9"/>
    </row>
    <row r="77" spans="24:28">
      <c r="X77" s="10"/>
      <c r="Y77" s="11"/>
      <c r="Z77" s="11"/>
      <c r="AA77" s="11"/>
      <c r="AB77" s="11"/>
    </row>
    <row r="80" spans="24:28">
      <c r="Y80" s="9"/>
      <c r="Z80" s="9"/>
      <c r="AA80" s="9"/>
      <c r="AB80" s="9"/>
    </row>
    <row r="81" spans="24:28">
      <c r="Y81" s="9"/>
      <c r="Z81" s="9"/>
      <c r="AA81" s="9"/>
      <c r="AB81" s="9"/>
    </row>
    <row r="82" spans="24:28">
      <c r="Y82" s="9"/>
      <c r="Z82" s="9"/>
      <c r="AA82" s="9"/>
      <c r="AB82" s="9"/>
    </row>
    <row r="84" spans="24:28">
      <c r="Y84" s="9"/>
      <c r="Z84" s="9"/>
      <c r="AA84" s="9"/>
      <c r="AB84" s="9"/>
    </row>
    <row r="85" spans="24:28">
      <c r="Y85" s="9"/>
      <c r="Z85" s="9"/>
      <c r="AA85" s="9"/>
      <c r="AB85" s="9"/>
    </row>
    <row r="86" spans="24:28">
      <c r="Y86" s="9"/>
      <c r="Z86" s="9"/>
      <c r="AA86" s="9"/>
      <c r="AB86" s="9"/>
    </row>
    <row r="87" spans="24:28">
      <c r="Y87" s="9"/>
      <c r="Z87" s="9"/>
      <c r="AA87" s="9"/>
      <c r="AB87" s="9"/>
    </row>
    <row r="88" spans="24:28">
      <c r="X88" s="10"/>
      <c r="Y88" s="11"/>
      <c r="Z88" s="11"/>
      <c r="AA88" s="11"/>
      <c r="AB88" s="11"/>
    </row>
    <row r="89" spans="24:28">
      <c r="X89" s="10"/>
    </row>
    <row r="90" spans="24:28">
      <c r="X90" s="10"/>
      <c r="Y90" s="11"/>
      <c r="Z90" s="11"/>
      <c r="AA90" s="11"/>
      <c r="AB90" s="11"/>
    </row>
    <row r="92" spans="24:28">
      <c r="X92" s="10"/>
      <c r="Y92" s="11"/>
      <c r="Z92" s="11"/>
      <c r="AA92" s="11"/>
      <c r="AB92" s="11"/>
    </row>
    <row r="94" spans="24:28">
      <c r="X94" s="10"/>
    </row>
    <row r="96" spans="24:28" ht="15" thickBot="1">
      <c r="X96" s="12"/>
      <c r="Y96" s="13"/>
      <c r="Z96" s="13"/>
      <c r="AA96" s="13"/>
      <c r="AB96" s="13"/>
    </row>
    <row r="97" ht="15" thickTop="1"/>
  </sheetData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J93"/>
  <sheetViews>
    <sheetView topLeftCell="AH1" workbookViewId="0">
      <selection activeCell="BB30" sqref="BB30"/>
    </sheetView>
  </sheetViews>
  <sheetFormatPr baseColWidth="10" defaultColWidth="8.83203125" defaultRowHeight="14"/>
  <cols>
    <col min="1" max="1" width="8.83203125" style="34"/>
    <col min="2" max="2" width="16.83203125" style="34" customWidth="1"/>
    <col min="3" max="11" width="8.83203125" style="34"/>
    <col min="13" max="22" width="8.83203125" style="34"/>
    <col min="24" max="28" width="8.83203125" style="34"/>
    <col min="46" max="53" width="8.83203125" style="34"/>
    <col min="55" max="62" width="8.83203125" style="46"/>
  </cols>
  <sheetData>
    <row r="1" spans="1:62">
      <c r="A1" s="1" t="s">
        <v>221</v>
      </c>
      <c r="B1" s="1"/>
      <c r="C1" s="1"/>
      <c r="D1" s="1"/>
      <c r="E1" s="1"/>
      <c r="F1" s="1"/>
      <c r="G1" s="1"/>
      <c r="H1" s="1"/>
      <c r="I1" s="1"/>
      <c r="J1" s="1"/>
      <c r="K1" s="1"/>
      <c r="M1" s="1" t="s">
        <v>280</v>
      </c>
      <c r="N1" s="1"/>
      <c r="O1" s="1"/>
      <c r="P1" s="1"/>
      <c r="Q1" s="1"/>
      <c r="R1" s="1"/>
      <c r="S1" s="1"/>
      <c r="T1" s="1"/>
      <c r="U1" s="1"/>
      <c r="V1" s="1"/>
      <c r="X1" s="1" t="s">
        <v>300</v>
      </c>
      <c r="Y1" s="1"/>
      <c r="Z1" s="1"/>
      <c r="AA1" s="1"/>
      <c r="AB1" s="1"/>
      <c r="AD1" s="1" t="s">
        <v>136</v>
      </c>
      <c r="AE1" s="1"/>
      <c r="AF1" s="1"/>
      <c r="AG1" s="1"/>
      <c r="AH1" s="1"/>
      <c r="AI1" s="1"/>
      <c r="AJ1" s="1"/>
      <c r="AK1" s="1"/>
      <c r="AM1" s="1" t="s">
        <v>151</v>
      </c>
      <c r="AN1" s="1"/>
      <c r="AO1" s="1"/>
      <c r="AP1" s="1"/>
      <c r="AQ1" s="1"/>
      <c r="AR1" s="1"/>
      <c r="AT1" s="5" t="s">
        <v>158</v>
      </c>
      <c r="AU1" s="5"/>
      <c r="AV1" s="5"/>
      <c r="AW1" s="5"/>
      <c r="AX1" s="5"/>
      <c r="AY1" s="5"/>
      <c r="AZ1" s="5"/>
      <c r="BA1" s="5"/>
      <c r="BC1" s="5" t="s">
        <v>171</v>
      </c>
      <c r="BD1" s="5"/>
      <c r="BE1" s="5"/>
      <c r="BF1" s="5"/>
      <c r="BG1" s="5"/>
      <c r="BH1" s="5"/>
      <c r="BI1" s="5"/>
      <c r="BJ1" s="5"/>
    </row>
    <row r="2" spans="1:62">
      <c r="A2" s="1" t="s">
        <v>207</v>
      </c>
      <c r="B2" s="1"/>
      <c r="C2" s="1"/>
      <c r="D2" s="1"/>
      <c r="E2" s="1"/>
      <c r="F2" s="1"/>
      <c r="G2" s="1"/>
      <c r="H2" s="1"/>
      <c r="I2" s="1"/>
      <c r="J2" s="1"/>
      <c r="K2" s="1"/>
      <c r="M2" s="1" t="s">
        <v>281</v>
      </c>
      <c r="N2" s="1"/>
      <c r="O2" s="1"/>
      <c r="P2" s="1"/>
      <c r="Q2" s="1"/>
      <c r="R2" s="1"/>
      <c r="S2" s="1"/>
      <c r="T2" s="1"/>
      <c r="U2" s="1"/>
      <c r="V2" s="1"/>
      <c r="X2" s="1" t="s">
        <v>76</v>
      </c>
      <c r="Y2" s="1"/>
      <c r="Z2" s="1"/>
      <c r="AA2" s="1"/>
      <c r="AB2" s="1"/>
      <c r="AD2" s="1" t="s">
        <v>76</v>
      </c>
      <c r="AE2" s="1"/>
      <c r="AF2" s="1"/>
      <c r="AG2" s="1"/>
      <c r="AH2" s="1"/>
      <c r="AI2" s="1"/>
      <c r="AJ2" s="1"/>
      <c r="AK2" s="1"/>
      <c r="AM2" s="1" t="s">
        <v>76</v>
      </c>
      <c r="AN2" s="1"/>
      <c r="AO2" s="1"/>
      <c r="AP2" s="1"/>
      <c r="AQ2" s="1"/>
      <c r="AR2" s="1"/>
      <c r="AT2" s="5" t="s">
        <v>76</v>
      </c>
      <c r="AU2" s="5"/>
      <c r="AV2" s="5"/>
      <c r="AW2" s="5"/>
      <c r="AX2" s="5"/>
      <c r="AY2" s="5"/>
      <c r="AZ2" s="5"/>
      <c r="BA2" s="5"/>
      <c r="BC2" s="5" t="s">
        <v>76</v>
      </c>
      <c r="BD2" s="5"/>
      <c r="BE2" s="5"/>
      <c r="BF2" s="5"/>
      <c r="BG2" s="5"/>
      <c r="BH2" s="5"/>
      <c r="BI2" s="5"/>
      <c r="BJ2" s="5"/>
    </row>
    <row r="3" spans="1:62" ht="15" thickBot="1">
      <c r="A3" s="2" t="s">
        <v>223</v>
      </c>
      <c r="B3" s="2"/>
      <c r="C3" s="2"/>
      <c r="D3" s="2"/>
      <c r="E3" s="2"/>
      <c r="F3" s="2"/>
      <c r="G3" s="2"/>
      <c r="H3" s="2"/>
      <c r="I3" s="2"/>
      <c r="J3" s="2"/>
      <c r="K3" s="2"/>
      <c r="M3" s="1" t="s">
        <v>75</v>
      </c>
      <c r="N3" s="1"/>
      <c r="O3" s="1"/>
      <c r="P3" s="1"/>
      <c r="Q3" s="1"/>
      <c r="R3" s="1"/>
      <c r="S3" s="1"/>
      <c r="T3" s="1"/>
      <c r="U3" s="1"/>
      <c r="V3" s="1"/>
      <c r="X3" s="1" t="s">
        <v>282</v>
      </c>
      <c r="Y3" s="1"/>
      <c r="Z3" s="1"/>
      <c r="AA3" s="1"/>
      <c r="AB3" s="1"/>
      <c r="AD3" s="1" t="s">
        <v>137</v>
      </c>
      <c r="AE3" s="1"/>
      <c r="AF3" s="1"/>
      <c r="AG3" s="1"/>
      <c r="AH3" s="1"/>
      <c r="AI3" s="1"/>
      <c r="AJ3" s="1"/>
      <c r="AK3" s="1"/>
      <c r="AM3" s="1" t="s">
        <v>137</v>
      </c>
      <c r="AN3" s="1"/>
      <c r="AO3" s="1"/>
      <c r="AP3" s="1"/>
      <c r="AQ3" s="1"/>
      <c r="AR3" s="1"/>
      <c r="AT3" s="5" t="s">
        <v>159</v>
      </c>
      <c r="AU3" s="5"/>
      <c r="AV3" s="5"/>
      <c r="AW3" s="5"/>
      <c r="AX3" s="5"/>
      <c r="AY3" s="5"/>
      <c r="AZ3" s="5"/>
      <c r="BA3" s="5"/>
      <c r="BC3" s="5" t="s">
        <v>159</v>
      </c>
      <c r="BD3" s="5"/>
      <c r="BE3" s="5"/>
      <c r="BF3" s="5"/>
      <c r="BG3" s="5"/>
      <c r="BH3" s="5"/>
      <c r="BI3" s="5"/>
      <c r="BJ3" s="5"/>
    </row>
    <row r="4" spans="1:62" ht="16" thickTop="1" thickBo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M4" s="2" t="s">
        <v>223</v>
      </c>
      <c r="N4" s="2"/>
      <c r="O4" s="2"/>
      <c r="P4" s="2"/>
      <c r="Q4" s="2"/>
      <c r="R4" s="2"/>
      <c r="S4" s="2"/>
      <c r="T4" s="2"/>
      <c r="U4" s="2"/>
      <c r="V4" s="2"/>
      <c r="X4" s="2" t="s">
        <v>223</v>
      </c>
      <c r="Y4" s="2"/>
      <c r="Z4" s="2"/>
      <c r="AA4" s="2"/>
      <c r="AB4" s="2"/>
      <c r="AD4" s="2" t="s">
        <v>223</v>
      </c>
      <c r="AE4" s="2"/>
      <c r="AF4" s="2"/>
      <c r="AG4" s="2"/>
      <c r="AH4" s="2"/>
      <c r="AI4" s="2"/>
      <c r="AJ4" s="2"/>
      <c r="AK4" s="2"/>
      <c r="AM4" s="2" t="s">
        <v>223</v>
      </c>
      <c r="AN4" s="2"/>
      <c r="AO4" s="2"/>
      <c r="AP4" s="2"/>
      <c r="AQ4" s="2"/>
      <c r="AR4" s="2"/>
      <c r="AT4" s="2" t="s">
        <v>223</v>
      </c>
      <c r="AU4" s="2"/>
      <c r="AV4" s="2"/>
      <c r="AW4" s="2"/>
      <c r="AX4" s="2"/>
      <c r="AY4" s="2"/>
      <c r="AZ4" s="2"/>
      <c r="BA4" s="2"/>
      <c r="BC4" s="2" t="s">
        <v>223</v>
      </c>
      <c r="BD4" s="2"/>
      <c r="BE4" s="2"/>
      <c r="BF4" s="2"/>
      <c r="BG4" s="2"/>
      <c r="BH4" s="2"/>
      <c r="BI4" s="2"/>
      <c r="BJ4" s="2"/>
    </row>
    <row r="5" spans="1:62" ht="15" thickTop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M5" s="5"/>
      <c r="N5" s="5"/>
      <c r="O5" s="5"/>
      <c r="P5" s="5"/>
      <c r="Q5" s="5"/>
      <c r="R5" s="5"/>
      <c r="S5" s="5"/>
      <c r="T5" s="5"/>
      <c r="U5" s="5"/>
      <c r="V5" s="5"/>
      <c r="X5" s="5"/>
      <c r="Y5" s="5"/>
      <c r="Z5" s="5"/>
      <c r="AA5" s="5"/>
      <c r="AB5" s="5"/>
      <c r="AD5" s="5"/>
      <c r="AE5" s="5"/>
      <c r="AF5" s="5"/>
      <c r="AG5" s="5"/>
      <c r="AH5" s="5"/>
      <c r="AI5" s="5"/>
      <c r="AJ5" s="5"/>
      <c r="AK5" s="5"/>
      <c r="AM5" s="5"/>
      <c r="AN5" s="5"/>
      <c r="AO5" s="5"/>
      <c r="AP5" s="5"/>
      <c r="AQ5" s="5"/>
      <c r="AR5" s="5"/>
      <c r="AU5" s="25" t="s">
        <v>160</v>
      </c>
      <c r="AV5" s="25"/>
      <c r="AW5" s="25"/>
      <c r="AX5" s="25"/>
      <c r="AY5" s="25"/>
      <c r="AZ5" s="25"/>
      <c r="BA5" s="25"/>
      <c r="BC5" s="34"/>
      <c r="BD5" s="25" t="s">
        <v>172</v>
      </c>
      <c r="BE5" s="25"/>
      <c r="BF5" s="25"/>
      <c r="BG5" s="25"/>
      <c r="BH5" s="25"/>
      <c r="BI5" s="25"/>
      <c r="BJ5" s="25"/>
    </row>
    <row r="6" spans="1:62" ht="15" thickBot="1">
      <c r="A6" s="5"/>
      <c r="B6" s="5"/>
      <c r="C6" s="8" t="s">
        <v>279</v>
      </c>
      <c r="D6" s="8" t="s">
        <v>279</v>
      </c>
      <c r="E6" s="8" t="s">
        <v>279</v>
      </c>
      <c r="F6" s="8" t="s">
        <v>279</v>
      </c>
      <c r="G6" s="8"/>
      <c r="H6" s="8" t="s">
        <v>279</v>
      </c>
      <c r="I6" s="8" t="s">
        <v>279</v>
      </c>
      <c r="J6" s="8" t="s">
        <v>279</v>
      </c>
      <c r="K6" s="8" t="s">
        <v>279</v>
      </c>
      <c r="M6" s="5"/>
      <c r="N6" s="54" t="s">
        <v>133</v>
      </c>
      <c r="O6" s="54" t="s">
        <v>133</v>
      </c>
      <c r="P6" s="54" t="s">
        <v>133</v>
      </c>
      <c r="Q6" s="54" t="s">
        <v>133</v>
      </c>
      <c r="R6" s="54" t="s">
        <v>133</v>
      </c>
      <c r="S6" s="54" t="s">
        <v>133</v>
      </c>
      <c r="T6" s="8"/>
      <c r="U6" s="54" t="s">
        <v>133</v>
      </c>
      <c r="V6" s="54" t="s">
        <v>133</v>
      </c>
      <c r="X6" s="5"/>
      <c r="Y6" s="54" t="s">
        <v>133</v>
      </c>
      <c r="Z6" s="54" t="s">
        <v>133</v>
      </c>
      <c r="AA6" s="54" t="s">
        <v>133</v>
      </c>
      <c r="AB6" s="8" t="s">
        <v>130</v>
      </c>
      <c r="AD6" s="5"/>
      <c r="AE6" s="56" t="s">
        <v>157</v>
      </c>
      <c r="AF6" s="56" t="s">
        <v>157</v>
      </c>
      <c r="AG6" s="56" t="s">
        <v>157</v>
      </c>
      <c r="AH6" s="56" t="s">
        <v>157</v>
      </c>
      <c r="AI6" s="56" t="s">
        <v>157</v>
      </c>
      <c r="AJ6" s="56" t="s">
        <v>157</v>
      </c>
      <c r="AK6" s="56" t="s">
        <v>157</v>
      </c>
      <c r="AL6" s="8"/>
      <c r="AM6" s="8"/>
      <c r="AN6" s="56" t="s">
        <v>157</v>
      </c>
      <c r="AO6" s="8" t="s">
        <v>80</v>
      </c>
      <c r="AP6" s="56" t="s">
        <v>157</v>
      </c>
      <c r="AQ6" s="56" t="s">
        <v>157</v>
      </c>
      <c r="AR6" s="8" t="s">
        <v>231</v>
      </c>
      <c r="AS6" s="8"/>
      <c r="AT6" s="8"/>
      <c r="AU6" s="63" t="s">
        <v>190</v>
      </c>
      <c r="AV6" s="63" t="s">
        <v>81</v>
      </c>
      <c r="AW6" s="75" t="s">
        <v>129</v>
      </c>
      <c r="AX6" s="75" t="s">
        <v>129</v>
      </c>
      <c r="AY6" s="75" t="s">
        <v>129</v>
      </c>
      <c r="AZ6" s="75" t="s">
        <v>129</v>
      </c>
      <c r="BA6" s="26" t="s">
        <v>279</v>
      </c>
      <c r="BC6" s="34"/>
      <c r="BD6" s="26" t="s">
        <v>173</v>
      </c>
      <c r="BE6" s="26" t="s">
        <v>173</v>
      </c>
      <c r="BF6" s="26" t="s">
        <v>174</v>
      </c>
      <c r="BG6" s="26" t="s">
        <v>173</v>
      </c>
      <c r="BH6" s="26"/>
      <c r="BI6" s="26" t="s">
        <v>175</v>
      </c>
      <c r="BJ6" s="26"/>
    </row>
    <row r="7" spans="1:62" ht="15" thickTop="1">
      <c r="C7" s="4" t="s">
        <v>224</v>
      </c>
      <c r="D7" s="4"/>
      <c r="E7" s="4"/>
      <c r="F7" s="4"/>
      <c r="G7" s="5"/>
      <c r="H7" s="4" t="s">
        <v>225</v>
      </c>
      <c r="I7" s="4"/>
      <c r="J7" s="4"/>
      <c r="K7" s="6" t="s">
        <v>226</v>
      </c>
      <c r="N7" s="55" t="s">
        <v>283</v>
      </c>
      <c r="O7" s="55" t="s">
        <v>284</v>
      </c>
      <c r="P7" s="55" t="s">
        <v>285</v>
      </c>
      <c r="Q7" s="80" t="s">
        <v>286</v>
      </c>
      <c r="R7" s="55" t="s">
        <v>287</v>
      </c>
      <c r="S7" s="55" t="s">
        <v>288</v>
      </c>
      <c r="T7" s="19"/>
      <c r="U7" s="84" t="s">
        <v>289</v>
      </c>
      <c r="V7" s="84"/>
      <c r="Y7" s="55" t="s">
        <v>301</v>
      </c>
      <c r="Z7" s="55" t="s">
        <v>128</v>
      </c>
      <c r="AA7" s="55" t="s">
        <v>129</v>
      </c>
      <c r="AB7" s="19" t="s">
        <v>130</v>
      </c>
      <c r="AD7" s="34"/>
      <c r="AE7" s="57" t="s">
        <v>138</v>
      </c>
      <c r="AF7" s="57" t="s">
        <v>138</v>
      </c>
      <c r="AG7" s="57" t="s">
        <v>139</v>
      </c>
      <c r="AH7" s="57" t="s">
        <v>140</v>
      </c>
      <c r="AI7" s="57" t="s">
        <v>141</v>
      </c>
      <c r="AJ7" s="57" t="s">
        <v>142</v>
      </c>
      <c r="AK7" s="57" t="s">
        <v>138</v>
      </c>
      <c r="AM7" s="34"/>
      <c r="AN7" s="57" t="s">
        <v>152</v>
      </c>
      <c r="AO7" s="19" t="s">
        <v>153</v>
      </c>
      <c r="AP7" s="57" t="s">
        <v>154</v>
      </c>
      <c r="AQ7" s="57"/>
      <c r="AR7" s="19" t="s">
        <v>231</v>
      </c>
      <c r="AU7" s="63" t="s">
        <v>79</v>
      </c>
      <c r="AV7" s="63" t="s">
        <v>161</v>
      </c>
      <c r="AW7" s="75" t="s">
        <v>162</v>
      </c>
      <c r="AX7" s="75" t="s">
        <v>163</v>
      </c>
      <c r="AY7" s="75" t="s">
        <v>164</v>
      </c>
      <c r="AZ7" s="75"/>
      <c r="BA7" s="26"/>
      <c r="BC7" s="34"/>
      <c r="BD7" s="26" t="s">
        <v>176</v>
      </c>
      <c r="BE7" s="26" t="s">
        <v>177</v>
      </c>
      <c r="BF7" s="26" t="s">
        <v>178</v>
      </c>
      <c r="BG7" s="26" t="s">
        <v>179</v>
      </c>
      <c r="BH7" s="26" t="s">
        <v>130</v>
      </c>
      <c r="BI7" s="26" t="s">
        <v>180</v>
      </c>
      <c r="BJ7" s="26"/>
    </row>
    <row r="8" spans="1:62">
      <c r="A8" s="35" t="s">
        <v>227</v>
      </c>
      <c r="B8" s="35" t="s">
        <v>206</v>
      </c>
      <c r="C8" s="8" t="s">
        <v>228</v>
      </c>
      <c r="D8" s="8" t="s">
        <v>229</v>
      </c>
      <c r="E8" s="8" t="s">
        <v>230</v>
      </c>
      <c r="F8" s="8" t="s">
        <v>231</v>
      </c>
      <c r="G8" s="8"/>
      <c r="H8" s="8" t="s">
        <v>228</v>
      </c>
      <c r="I8" s="8" t="s">
        <v>232</v>
      </c>
      <c r="J8" s="8" t="s">
        <v>233</v>
      </c>
      <c r="K8" s="8" t="s">
        <v>234</v>
      </c>
      <c r="M8" s="35" t="s">
        <v>227</v>
      </c>
      <c r="N8" s="54" t="s">
        <v>290</v>
      </c>
      <c r="O8" s="54" t="s">
        <v>291</v>
      </c>
      <c r="P8" s="54" t="s">
        <v>292</v>
      </c>
      <c r="Q8" s="54" t="s">
        <v>291</v>
      </c>
      <c r="R8" s="54" t="s">
        <v>293</v>
      </c>
      <c r="S8" s="54" t="s">
        <v>294</v>
      </c>
      <c r="T8" s="8"/>
      <c r="U8" s="85" t="s">
        <v>295</v>
      </c>
      <c r="V8" s="85" t="s">
        <v>296</v>
      </c>
      <c r="X8" s="35" t="s">
        <v>227</v>
      </c>
      <c r="Y8" s="54" t="s">
        <v>131</v>
      </c>
      <c r="Z8" s="54" t="s">
        <v>132</v>
      </c>
      <c r="AA8" s="54" t="s">
        <v>133</v>
      </c>
      <c r="AB8" s="8" t="s">
        <v>133</v>
      </c>
      <c r="AD8" s="35" t="s">
        <v>227</v>
      </c>
      <c r="AE8" s="56" t="s">
        <v>143</v>
      </c>
      <c r="AF8" s="56" t="s">
        <v>144</v>
      </c>
      <c r="AG8" s="56" t="s">
        <v>145</v>
      </c>
      <c r="AH8" s="56" t="s">
        <v>146</v>
      </c>
      <c r="AI8" s="56" t="s">
        <v>147</v>
      </c>
      <c r="AJ8" s="56" t="s">
        <v>148</v>
      </c>
      <c r="AK8" s="56" t="s">
        <v>149</v>
      </c>
      <c r="AM8" s="35" t="s">
        <v>227</v>
      </c>
      <c r="AN8" s="56" t="s">
        <v>155</v>
      </c>
      <c r="AO8" s="8" t="s">
        <v>155</v>
      </c>
      <c r="AP8" s="56" t="s">
        <v>156</v>
      </c>
      <c r="AQ8" s="56" t="s">
        <v>129</v>
      </c>
      <c r="AR8" s="8" t="s">
        <v>157</v>
      </c>
      <c r="AT8" s="44" t="s">
        <v>227</v>
      </c>
      <c r="AU8" s="62" t="s">
        <v>165</v>
      </c>
      <c r="AV8" s="62" t="s">
        <v>166</v>
      </c>
      <c r="AW8" s="74" t="s">
        <v>167</v>
      </c>
      <c r="AX8" s="74" t="s">
        <v>168</v>
      </c>
      <c r="AY8" s="74" t="s">
        <v>169</v>
      </c>
      <c r="AZ8" s="74" t="s">
        <v>129</v>
      </c>
      <c r="BA8" s="28" t="s">
        <v>279</v>
      </c>
      <c r="BC8" s="44" t="s">
        <v>227</v>
      </c>
      <c r="BD8" s="28" t="s">
        <v>181</v>
      </c>
      <c r="BE8" s="28" t="s">
        <v>182</v>
      </c>
      <c r="BF8" s="28" t="s">
        <v>183</v>
      </c>
      <c r="BG8" s="28" t="s">
        <v>184</v>
      </c>
      <c r="BH8" s="28" t="s">
        <v>129</v>
      </c>
      <c r="BI8" s="28" t="s">
        <v>185</v>
      </c>
      <c r="BJ8" s="28"/>
    </row>
    <row r="9" spans="1:62">
      <c r="A9" s="34" t="s">
        <v>208</v>
      </c>
      <c r="M9" s="34" t="s">
        <v>208</v>
      </c>
      <c r="N9" s="81"/>
      <c r="O9" s="81"/>
      <c r="P9" s="81"/>
      <c r="Q9" s="81"/>
      <c r="R9" s="81"/>
      <c r="S9" s="81"/>
      <c r="U9" s="81"/>
      <c r="V9" s="81"/>
      <c r="X9" s="34" t="s">
        <v>208</v>
      </c>
      <c r="Y9" s="81"/>
      <c r="Z9" s="81"/>
      <c r="AA9" s="81"/>
      <c r="AD9" s="34" t="s">
        <v>208</v>
      </c>
      <c r="AE9" s="89"/>
      <c r="AF9" s="89"/>
      <c r="AG9" s="89"/>
      <c r="AH9" s="89"/>
      <c r="AI9" s="89"/>
      <c r="AJ9" s="89"/>
      <c r="AK9" s="89"/>
      <c r="AM9" s="34" t="s">
        <v>208</v>
      </c>
      <c r="AN9" s="89"/>
      <c r="AO9" s="34"/>
      <c r="AP9" s="89"/>
      <c r="AQ9" s="89"/>
      <c r="AR9" s="34"/>
      <c r="AT9" s="34" t="s">
        <v>208</v>
      </c>
      <c r="AU9" s="92"/>
      <c r="AV9" s="92"/>
      <c r="AW9" s="86"/>
      <c r="AX9" s="86"/>
      <c r="AY9" s="86"/>
      <c r="AZ9" s="86"/>
      <c r="BC9" s="34" t="s">
        <v>208</v>
      </c>
      <c r="BD9" s="34"/>
      <c r="BE9" s="34"/>
      <c r="BF9" s="34"/>
      <c r="BG9" s="34"/>
      <c r="BH9" s="34"/>
      <c r="BI9" s="34"/>
      <c r="BJ9" s="34"/>
    </row>
    <row r="10" spans="1:62">
      <c r="C10" s="36"/>
      <c r="D10" s="36"/>
      <c r="E10" s="36"/>
      <c r="F10" s="36"/>
      <c r="G10" s="36"/>
      <c r="H10" s="36"/>
      <c r="I10" s="36"/>
      <c r="J10" s="36"/>
      <c r="K10" s="36"/>
      <c r="N10" s="82"/>
      <c r="O10" s="82"/>
      <c r="P10" s="82"/>
      <c r="Q10" s="82"/>
      <c r="R10" s="82"/>
      <c r="S10" s="82"/>
      <c r="T10" s="36"/>
      <c r="U10" s="82"/>
      <c r="V10" s="82"/>
      <c r="Y10" s="82"/>
      <c r="Z10" s="82"/>
      <c r="AA10" s="82"/>
      <c r="AB10" s="36"/>
      <c r="AD10" s="34"/>
      <c r="AE10" s="90"/>
      <c r="AF10" s="90"/>
      <c r="AG10" s="90"/>
      <c r="AH10" s="90"/>
      <c r="AI10" s="90"/>
      <c r="AJ10" s="90"/>
      <c r="AK10" s="90"/>
      <c r="AM10" s="34"/>
      <c r="AN10" s="90"/>
      <c r="AO10" s="36"/>
      <c r="AP10" s="90"/>
      <c r="AQ10" s="90"/>
      <c r="AR10" s="36"/>
      <c r="AU10" s="93"/>
      <c r="AV10" s="93"/>
      <c r="AW10" s="87"/>
      <c r="AX10" s="87"/>
      <c r="AY10" s="87"/>
      <c r="AZ10" s="87"/>
      <c r="BA10" s="36"/>
      <c r="BC10" s="34"/>
      <c r="BD10" s="36"/>
      <c r="BE10" s="36"/>
      <c r="BF10" s="36"/>
      <c r="BG10" s="36"/>
      <c r="BH10" s="36"/>
      <c r="BI10" s="36"/>
      <c r="BJ10" s="36"/>
    </row>
    <row r="11" spans="1:62">
      <c r="A11" s="34" t="s">
        <v>209</v>
      </c>
      <c r="C11" s="36">
        <v>5319093</v>
      </c>
      <c r="D11" s="36">
        <v>25168</v>
      </c>
      <c r="E11" s="36">
        <v>2852399</v>
      </c>
      <c r="F11" s="36">
        <v>8196660</v>
      </c>
      <c r="G11" s="36"/>
      <c r="H11" s="36">
        <v>0</v>
      </c>
      <c r="I11" s="36">
        <v>0</v>
      </c>
      <c r="J11" s="36">
        <v>0</v>
      </c>
      <c r="K11" s="36">
        <v>8196660</v>
      </c>
      <c r="M11" s="34" t="s">
        <v>209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36">
        <v>0</v>
      </c>
      <c r="U11" s="82">
        <v>0</v>
      </c>
      <c r="V11" s="82">
        <v>0</v>
      </c>
      <c r="X11" s="34" t="s">
        <v>209</v>
      </c>
      <c r="Y11" s="82">
        <v>0</v>
      </c>
      <c r="Z11" s="82">
        <v>0</v>
      </c>
      <c r="AA11" s="82">
        <v>5319093</v>
      </c>
      <c r="AB11" s="36">
        <v>5319093</v>
      </c>
      <c r="AD11" s="34" t="s">
        <v>209</v>
      </c>
      <c r="AE11" s="90">
        <v>0</v>
      </c>
      <c r="AF11" s="90">
        <v>2562</v>
      </c>
      <c r="AG11" s="90">
        <v>2335</v>
      </c>
      <c r="AH11" s="90">
        <v>0</v>
      </c>
      <c r="AI11" s="90">
        <v>0</v>
      </c>
      <c r="AJ11" s="90">
        <v>0</v>
      </c>
      <c r="AK11" s="90">
        <v>17417</v>
      </c>
      <c r="AM11" s="34" t="s">
        <v>209</v>
      </c>
      <c r="AN11" s="90">
        <v>0</v>
      </c>
      <c r="AO11" s="36">
        <v>0</v>
      </c>
      <c r="AP11" s="90">
        <v>2854</v>
      </c>
      <c r="AQ11" s="90">
        <v>0</v>
      </c>
      <c r="AR11" s="36">
        <v>25168</v>
      </c>
      <c r="AT11" s="34" t="s">
        <v>209</v>
      </c>
      <c r="AU11" s="93">
        <v>0</v>
      </c>
      <c r="AV11" s="93">
        <v>2534741</v>
      </c>
      <c r="AW11" s="87">
        <v>255587</v>
      </c>
      <c r="AX11" s="87">
        <v>0</v>
      </c>
      <c r="AY11" s="87">
        <v>11227</v>
      </c>
      <c r="AZ11" s="87">
        <v>50844</v>
      </c>
      <c r="BA11" s="36">
        <v>2852399</v>
      </c>
      <c r="BC11" s="34" t="s">
        <v>209</v>
      </c>
      <c r="BD11" s="36">
        <v>0</v>
      </c>
      <c r="BE11" s="36">
        <v>0</v>
      </c>
      <c r="BF11" s="36">
        <v>0</v>
      </c>
      <c r="BG11" s="36">
        <v>0</v>
      </c>
      <c r="BH11" s="36">
        <v>0</v>
      </c>
      <c r="BI11" s="36">
        <v>2852399</v>
      </c>
      <c r="BJ11" s="36"/>
    </row>
    <row r="12" spans="1:62">
      <c r="A12" s="34" t="s">
        <v>210</v>
      </c>
      <c r="C12" s="36">
        <v>1541017</v>
      </c>
      <c r="D12" s="36">
        <v>78640</v>
      </c>
      <c r="E12" s="36">
        <v>264289</v>
      </c>
      <c r="F12" s="36">
        <v>1883946</v>
      </c>
      <c r="G12" s="36"/>
      <c r="H12" s="36">
        <v>0</v>
      </c>
      <c r="I12" s="36">
        <v>0</v>
      </c>
      <c r="J12" s="36">
        <v>0</v>
      </c>
      <c r="K12" s="36">
        <v>1883946</v>
      </c>
      <c r="M12" s="34" t="s">
        <v>210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36">
        <v>0</v>
      </c>
      <c r="U12" s="82">
        <v>0</v>
      </c>
      <c r="V12" s="82">
        <v>0</v>
      </c>
      <c r="X12" s="34" t="s">
        <v>210</v>
      </c>
      <c r="Y12" s="82">
        <v>0</v>
      </c>
      <c r="Z12" s="82">
        <v>0</v>
      </c>
      <c r="AA12" s="82">
        <v>1541017</v>
      </c>
      <c r="AB12" s="36">
        <v>1541017</v>
      </c>
      <c r="AD12" s="34" t="s">
        <v>210</v>
      </c>
      <c r="AE12" s="90">
        <v>33440</v>
      </c>
      <c r="AF12" s="90">
        <v>788</v>
      </c>
      <c r="AG12" s="90">
        <v>20831</v>
      </c>
      <c r="AH12" s="90">
        <v>0</v>
      </c>
      <c r="AI12" s="90">
        <v>0</v>
      </c>
      <c r="AJ12" s="90">
        <v>0</v>
      </c>
      <c r="AK12" s="90">
        <v>8434</v>
      </c>
      <c r="AM12" s="34" t="s">
        <v>210</v>
      </c>
      <c r="AN12" s="90">
        <v>13492</v>
      </c>
      <c r="AO12" s="36">
        <v>0</v>
      </c>
      <c r="AP12" s="90">
        <v>725</v>
      </c>
      <c r="AQ12" s="90">
        <v>930</v>
      </c>
      <c r="AR12" s="36">
        <v>78640</v>
      </c>
      <c r="AT12" s="34" t="s">
        <v>210</v>
      </c>
      <c r="AU12" s="93">
        <v>0</v>
      </c>
      <c r="AV12" s="93">
        <v>0</v>
      </c>
      <c r="AW12" s="87">
        <v>0</v>
      </c>
      <c r="AX12" s="87">
        <v>0</v>
      </c>
      <c r="AY12" s="87">
        <v>0</v>
      </c>
      <c r="AZ12" s="87">
        <v>265427</v>
      </c>
      <c r="BA12" s="36">
        <v>265427</v>
      </c>
      <c r="BC12" s="34" t="s">
        <v>210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264289</v>
      </c>
      <c r="BJ12" s="36"/>
    </row>
    <row r="13" spans="1:62">
      <c r="A13" s="34" t="s">
        <v>211</v>
      </c>
      <c r="C13" s="36">
        <v>1505392</v>
      </c>
      <c r="D13" s="36">
        <v>115578</v>
      </c>
      <c r="E13" s="36">
        <v>1392883</v>
      </c>
      <c r="F13" s="36">
        <v>3013853</v>
      </c>
      <c r="G13" s="36"/>
      <c r="H13" s="36">
        <v>0</v>
      </c>
      <c r="I13" s="36">
        <v>0</v>
      </c>
      <c r="J13" s="36">
        <v>0</v>
      </c>
      <c r="K13" s="36">
        <v>3013853</v>
      </c>
      <c r="M13" s="34" t="s">
        <v>211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34">
        <v>0</v>
      </c>
      <c r="U13" s="81">
        <v>0</v>
      </c>
      <c r="V13" s="81">
        <v>0</v>
      </c>
      <c r="X13" s="34" t="s">
        <v>211</v>
      </c>
      <c r="Y13" s="82">
        <v>0</v>
      </c>
      <c r="Z13" s="82">
        <v>0</v>
      </c>
      <c r="AA13" s="82">
        <v>1505392</v>
      </c>
      <c r="AB13" s="36">
        <v>1505392</v>
      </c>
      <c r="AD13" s="34" t="s">
        <v>211</v>
      </c>
      <c r="AE13" s="90">
        <v>63138</v>
      </c>
      <c r="AF13" s="90">
        <v>1728</v>
      </c>
      <c r="AG13" s="90">
        <v>23483</v>
      </c>
      <c r="AH13" s="90">
        <v>580</v>
      </c>
      <c r="AI13" s="90">
        <v>0</v>
      </c>
      <c r="AJ13" s="90">
        <v>0</v>
      </c>
      <c r="AK13" s="90">
        <v>18588</v>
      </c>
      <c r="AM13" s="34" t="s">
        <v>211</v>
      </c>
      <c r="AN13" s="90">
        <v>0</v>
      </c>
      <c r="AO13" s="36">
        <v>0</v>
      </c>
      <c r="AP13" s="90">
        <v>6502</v>
      </c>
      <c r="AQ13" s="90">
        <v>1559</v>
      </c>
      <c r="AR13" s="36">
        <v>115578</v>
      </c>
      <c r="AT13" s="34" t="s">
        <v>211</v>
      </c>
      <c r="AU13" s="93">
        <v>0</v>
      </c>
      <c r="AV13" s="93">
        <v>0</v>
      </c>
      <c r="AW13" s="87">
        <v>0</v>
      </c>
      <c r="AX13" s="87">
        <v>0</v>
      </c>
      <c r="AY13" s="87">
        <v>0</v>
      </c>
      <c r="AZ13" s="87">
        <v>1392883</v>
      </c>
      <c r="BA13" s="36">
        <v>1392883</v>
      </c>
      <c r="BC13" s="34" t="s">
        <v>211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1392883</v>
      </c>
      <c r="BJ13" s="34"/>
    </row>
    <row r="14" spans="1:62">
      <c r="A14" s="34" t="s">
        <v>212</v>
      </c>
      <c r="C14" s="36">
        <v>4084029</v>
      </c>
      <c r="D14" s="36">
        <v>214724</v>
      </c>
      <c r="E14" s="36">
        <v>736396</v>
      </c>
      <c r="F14" s="36">
        <v>5035149</v>
      </c>
      <c r="G14" s="36"/>
      <c r="H14" s="36">
        <v>0</v>
      </c>
      <c r="I14" s="36">
        <v>0</v>
      </c>
      <c r="J14" s="36">
        <v>0</v>
      </c>
      <c r="K14" s="36">
        <v>5035149</v>
      </c>
      <c r="M14" s="34" t="s">
        <v>212</v>
      </c>
      <c r="N14" s="82">
        <v>0</v>
      </c>
      <c r="O14" s="82">
        <v>0</v>
      </c>
      <c r="P14" s="82">
        <v>0</v>
      </c>
      <c r="Q14" s="82">
        <v>0</v>
      </c>
      <c r="R14" s="82">
        <v>0</v>
      </c>
      <c r="S14" s="82">
        <v>0</v>
      </c>
      <c r="T14" s="36">
        <v>0</v>
      </c>
      <c r="U14" s="82">
        <v>0</v>
      </c>
      <c r="V14" s="82">
        <v>0</v>
      </c>
      <c r="X14" s="34" t="s">
        <v>212</v>
      </c>
      <c r="Y14" s="82">
        <v>0</v>
      </c>
      <c r="Z14" s="82">
        <v>0</v>
      </c>
      <c r="AA14" s="82">
        <v>4084029</v>
      </c>
      <c r="AB14" s="36">
        <v>4084029</v>
      </c>
      <c r="AD14" s="34" t="s">
        <v>212</v>
      </c>
      <c r="AE14" s="90">
        <v>79476</v>
      </c>
      <c r="AF14" s="90">
        <v>1584</v>
      </c>
      <c r="AG14" s="90">
        <v>89236</v>
      </c>
      <c r="AH14" s="90">
        <v>0</v>
      </c>
      <c r="AI14" s="90">
        <v>0</v>
      </c>
      <c r="AJ14" s="90">
        <v>0</v>
      </c>
      <c r="AK14" s="90">
        <v>22355</v>
      </c>
      <c r="AM14" s="34" t="s">
        <v>212</v>
      </c>
      <c r="AN14" s="90">
        <v>14476</v>
      </c>
      <c r="AO14" s="36">
        <v>0</v>
      </c>
      <c r="AP14" s="90">
        <v>4769</v>
      </c>
      <c r="AQ14" s="90">
        <v>2827</v>
      </c>
      <c r="AR14" s="36">
        <v>214724</v>
      </c>
      <c r="AT14" s="34" t="s">
        <v>212</v>
      </c>
      <c r="AU14" s="93">
        <v>0</v>
      </c>
      <c r="AV14" s="93">
        <v>653041</v>
      </c>
      <c r="AW14" s="87">
        <v>14004</v>
      </c>
      <c r="AX14" s="87">
        <v>0</v>
      </c>
      <c r="AY14" s="87">
        <v>0</v>
      </c>
      <c r="AZ14" s="87">
        <v>69351</v>
      </c>
      <c r="BA14" s="36">
        <v>736396</v>
      </c>
      <c r="BC14" s="34" t="s">
        <v>212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736396</v>
      </c>
      <c r="BJ14" s="36"/>
    </row>
    <row r="15" spans="1:62">
      <c r="A15" s="34" t="s">
        <v>213</v>
      </c>
      <c r="C15" s="36">
        <v>4933143</v>
      </c>
      <c r="D15" s="34">
        <v>1122976</v>
      </c>
      <c r="E15" s="36">
        <v>2913695</v>
      </c>
      <c r="F15" s="36">
        <v>8969814</v>
      </c>
      <c r="G15" s="36"/>
      <c r="H15" s="34">
        <v>0</v>
      </c>
      <c r="I15" s="36">
        <v>0</v>
      </c>
      <c r="J15" s="36">
        <v>0</v>
      </c>
      <c r="K15" s="36">
        <v>8969814</v>
      </c>
      <c r="M15" s="34" t="s">
        <v>213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36">
        <v>0</v>
      </c>
      <c r="U15" s="82">
        <v>0</v>
      </c>
      <c r="V15" s="82">
        <v>0</v>
      </c>
      <c r="X15" s="34" t="s">
        <v>213</v>
      </c>
      <c r="Y15" s="82">
        <v>0</v>
      </c>
      <c r="Z15" s="82">
        <v>0</v>
      </c>
      <c r="AA15" s="82">
        <v>4933143</v>
      </c>
      <c r="AB15" s="36">
        <v>4933143</v>
      </c>
      <c r="AD15" s="34" t="s">
        <v>213</v>
      </c>
      <c r="AE15" s="90">
        <v>490783</v>
      </c>
      <c r="AF15" s="90">
        <v>5077</v>
      </c>
      <c r="AG15" s="90">
        <v>342304</v>
      </c>
      <c r="AH15" s="90">
        <v>1512</v>
      </c>
      <c r="AI15" s="90">
        <v>0</v>
      </c>
      <c r="AJ15" s="90">
        <v>0</v>
      </c>
      <c r="AK15" s="90">
        <v>254753</v>
      </c>
      <c r="AM15" s="34" t="s">
        <v>213</v>
      </c>
      <c r="AN15" s="90">
        <v>0</v>
      </c>
      <c r="AO15" s="36">
        <v>0</v>
      </c>
      <c r="AP15" s="90">
        <v>17100</v>
      </c>
      <c r="AQ15" s="90">
        <v>11447</v>
      </c>
      <c r="AR15" s="36">
        <v>1122976</v>
      </c>
      <c r="AT15" s="34" t="s">
        <v>213</v>
      </c>
      <c r="AU15" s="93">
        <v>0</v>
      </c>
      <c r="AV15" s="93">
        <v>2803872</v>
      </c>
      <c r="AW15" s="87">
        <v>67163</v>
      </c>
      <c r="AX15" s="87">
        <v>0</v>
      </c>
      <c r="AY15" s="87">
        <v>0</v>
      </c>
      <c r="AZ15" s="87">
        <v>0</v>
      </c>
      <c r="BA15" s="36">
        <v>2913695</v>
      </c>
      <c r="BC15" s="34" t="s">
        <v>213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2913695</v>
      </c>
      <c r="BJ15" s="36"/>
    </row>
    <row r="16" spans="1:62">
      <c r="A16" s="34" t="s">
        <v>214</v>
      </c>
      <c r="C16" s="36">
        <v>2173127</v>
      </c>
      <c r="D16" s="36">
        <v>99320</v>
      </c>
      <c r="E16" s="36">
        <v>551462</v>
      </c>
      <c r="F16" s="36">
        <v>2823909</v>
      </c>
      <c r="G16" s="36"/>
      <c r="H16" s="36">
        <v>0</v>
      </c>
      <c r="I16" s="36">
        <v>0</v>
      </c>
      <c r="J16" s="36">
        <v>0</v>
      </c>
      <c r="K16" s="36">
        <v>2823909</v>
      </c>
      <c r="M16" s="34" t="s">
        <v>214</v>
      </c>
      <c r="N16" s="82">
        <v>0</v>
      </c>
      <c r="O16" s="82">
        <v>0</v>
      </c>
      <c r="P16" s="82">
        <v>0</v>
      </c>
      <c r="Q16" s="82">
        <v>0</v>
      </c>
      <c r="R16" s="82">
        <v>0</v>
      </c>
      <c r="S16" s="82">
        <v>0</v>
      </c>
      <c r="T16" s="36">
        <v>0</v>
      </c>
      <c r="U16" s="82">
        <v>0</v>
      </c>
      <c r="V16" s="82">
        <v>0</v>
      </c>
      <c r="X16" s="34" t="s">
        <v>214</v>
      </c>
      <c r="Y16" s="82">
        <v>0</v>
      </c>
      <c r="Z16" s="82">
        <v>0</v>
      </c>
      <c r="AA16" s="82">
        <v>2173127</v>
      </c>
      <c r="AB16" s="36">
        <v>2173127</v>
      </c>
      <c r="AD16" s="34" t="s">
        <v>214</v>
      </c>
      <c r="AE16" s="90">
        <v>25932</v>
      </c>
      <c r="AF16" s="90">
        <v>4328</v>
      </c>
      <c r="AG16" s="90">
        <v>47424</v>
      </c>
      <c r="AH16" s="90">
        <v>0</v>
      </c>
      <c r="AI16" s="90">
        <v>0</v>
      </c>
      <c r="AJ16" s="90">
        <v>0</v>
      </c>
      <c r="AK16" s="90">
        <v>19385</v>
      </c>
      <c r="AM16" s="34" t="s">
        <v>214</v>
      </c>
      <c r="AN16" s="90">
        <v>0</v>
      </c>
      <c r="AO16" s="36">
        <v>0</v>
      </c>
      <c r="AP16" s="90">
        <v>2250</v>
      </c>
      <c r="AQ16" s="90">
        <v>0</v>
      </c>
      <c r="AR16" s="36">
        <v>99320</v>
      </c>
      <c r="AT16" s="34" t="s">
        <v>214</v>
      </c>
      <c r="AU16" s="93">
        <v>0</v>
      </c>
      <c r="AV16" s="93">
        <v>0</v>
      </c>
      <c r="AW16" s="87">
        <v>0</v>
      </c>
      <c r="AX16" s="87">
        <v>0</v>
      </c>
      <c r="AY16" s="87">
        <v>0</v>
      </c>
      <c r="AZ16" s="87">
        <v>551462</v>
      </c>
      <c r="BA16" s="36">
        <v>551462</v>
      </c>
      <c r="BC16" s="34" t="s">
        <v>214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551462</v>
      </c>
      <c r="BJ16" s="36"/>
    </row>
    <row r="17" spans="1:62">
      <c r="A17" s="34" t="s">
        <v>215</v>
      </c>
      <c r="C17" s="36">
        <v>3142234</v>
      </c>
      <c r="D17" s="34">
        <v>141517</v>
      </c>
      <c r="E17" s="36">
        <v>2106049</v>
      </c>
      <c r="F17" s="36">
        <v>5389800</v>
      </c>
      <c r="G17" s="36"/>
      <c r="H17" s="34">
        <v>0</v>
      </c>
      <c r="I17" s="36">
        <v>0</v>
      </c>
      <c r="J17" s="36">
        <v>0</v>
      </c>
      <c r="K17" s="36">
        <v>5389800</v>
      </c>
      <c r="M17" s="34" t="s">
        <v>215</v>
      </c>
      <c r="N17" s="82">
        <v>0</v>
      </c>
      <c r="O17" s="82">
        <v>0</v>
      </c>
      <c r="P17" s="82">
        <v>0</v>
      </c>
      <c r="Q17" s="82">
        <v>0</v>
      </c>
      <c r="R17" s="82">
        <v>0</v>
      </c>
      <c r="S17" s="82">
        <v>0</v>
      </c>
      <c r="T17" s="36">
        <v>0</v>
      </c>
      <c r="U17" s="82">
        <v>0</v>
      </c>
      <c r="V17" s="82">
        <v>0</v>
      </c>
      <c r="X17" s="34" t="s">
        <v>215</v>
      </c>
      <c r="Y17" s="82">
        <v>0</v>
      </c>
      <c r="Z17" s="82">
        <v>0</v>
      </c>
      <c r="AA17" s="82">
        <v>3142234</v>
      </c>
      <c r="AB17" s="36">
        <v>3142234</v>
      </c>
      <c r="AD17" s="34" t="s">
        <v>215</v>
      </c>
      <c r="AE17" s="90">
        <v>61261</v>
      </c>
      <c r="AF17" s="90">
        <v>893</v>
      </c>
      <c r="AG17" s="90">
        <v>52777</v>
      </c>
      <c r="AH17" s="90">
        <v>0</v>
      </c>
      <c r="AI17" s="90">
        <v>0</v>
      </c>
      <c r="AJ17" s="90">
        <v>0</v>
      </c>
      <c r="AK17" s="90">
        <v>13582</v>
      </c>
      <c r="AM17" s="34" t="s">
        <v>215</v>
      </c>
      <c r="AN17" s="90">
        <v>7846</v>
      </c>
      <c r="AO17" s="36">
        <v>0</v>
      </c>
      <c r="AP17" s="90">
        <v>2728</v>
      </c>
      <c r="AQ17" s="90">
        <v>2431</v>
      </c>
      <c r="AR17" s="36">
        <v>141517</v>
      </c>
      <c r="AT17" s="34" t="s">
        <v>215</v>
      </c>
      <c r="AU17" s="93">
        <v>0</v>
      </c>
      <c r="AV17" s="93">
        <v>0</v>
      </c>
      <c r="AW17" s="87">
        <v>0</v>
      </c>
      <c r="AX17" s="87">
        <v>0</v>
      </c>
      <c r="AY17" s="87">
        <v>0</v>
      </c>
      <c r="AZ17" s="87">
        <v>2106049</v>
      </c>
      <c r="BA17" s="36">
        <v>2106049</v>
      </c>
      <c r="BC17" s="34" t="s">
        <v>215</v>
      </c>
      <c r="BD17" s="36">
        <v>0</v>
      </c>
      <c r="BE17" s="36">
        <v>0</v>
      </c>
      <c r="BF17" s="36">
        <v>0</v>
      </c>
      <c r="BG17" s="36">
        <v>0</v>
      </c>
      <c r="BH17" s="36">
        <v>0</v>
      </c>
      <c r="BI17" s="36">
        <v>2106049</v>
      </c>
      <c r="BJ17" s="36"/>
    </row>
    <row r="18" spans="1:62">
      <c r="A18" s="34" t="s">
        <v>216</v>
      </c>
      <c r="C18" s="36">
        <v>1624415</v>
      </c>
      <c r="D18" s="34">
        <v>278332</v>
      </c>
      <c r="E18" s="36">
        <v>971736</v>
      </c>
      <c r="F18" s="36">
        <v>2874484</v>
      </c>
      <c r="G18" s="36"/>
      <c r="H18" s="34">
        <v>0</v>
      </c>
      <c r="I18" s="36">
        <v>0</v>
      </c>
      <c r="J18" s="36">
        <v>0</v>
      </c>
      <c r="K18" s="36">
        <v>2874484</v>
      </c>
      <c r="M18" s="34" t="s">
        <v>216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36">
        <v>0</v>
      </c>
      <c r="U18" s="82">
        <v>0</v>
      </c>
      <c r="V18" s="82">
        <v>0</v>
      </c>
      <c r="X18" s="34" t="s">
        <v>216</v>
      </c>
      <c r="Y18" s="82">
        <v>0</v>
      </c>
      <c r="Z18" s="82">
        <v>0</v>
      </c>
      <c r="AA18" s="82">
        <v>1624415</v>
      </c>
      <c r="AB18" s="36">
        <v>1624415</v>
      </c>
      <c r="AD18" s="34" t="s">
        <v>216</v>
      </c>
      <c r="AE18" s="90">
        <v>107823</v>
      </c>
      <c r="AF18" s="90">
        <v>454</v>
      </c>
      <c r="AG18" s="90">
        <v>27975</v>
      </c>
      <c r="AH18" s="90">
        <v>646</v>
      </c>
      <c r="AI18" s="90">
        <v>0</v>
      </c>
      <c r="AJ18" s="90">
        <v>0</v>
      </c>
      <c r="AK18" s="90">
        <v>20065</v>
      </c>
      <c r="AM18" s="34" t="s">
        <v>216</v>
      </c>
      <c r="AN18" s="90">
        <v>0</v>
      </c>
      <c r="AO18" s="36">
        <v>0</v>
      </c>
      <c r="AP18" s="90">
        <v>2570</v>
      </c>
      <c r="AQ18" s="90">
        <v>118800</v>
      </c>
      <c r="AR18" s="36">
        <v>278332</v>
      </c>
      <c r="AT18" s="34" t="s">
        <v>216</v>
      </c>
      <c r="AU18" s="93">
        <v>0</v>
      </c>
      <c r="AV18" s="93">
        <v>0</v>
      </c>
      <c r="AW18" s="87">
        <v>0</v>
      </c>
      <c r="AX18" s="87">
        <v>0</v>
      </c>
      <c r="AY18" s="87">
        <v>0</v>
      </c>
      <c r="AZ18" s="87">
        <v>971736</v>
      </c>
      <c r="BA18" s="36">
        <v>971736</v>
      </c>
      <c r="BC18" s="34" t="s">
        <v>216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971736</v>
      </c>
      <c r="BJ18" s="36"/>
    </row>
    <row r="19" spans="1:62">
      <c r="A19" s="34" t="s">
        <v>217</v>
      </c>
      <c r="C19" s="36">
        <v>3162374</v>
      </c>
      <c r="D19" s="36">
        <v>626164</v>
      </c>
      <c r="E19" s="36">
        <v>1630455</v>
      </c>
      <c r="F19" s="36">
        <v>5418993</v>
      </c>
      <c r="G19" s="36"/>
      <c r="H19" s="36">
        <v>0</v>
      </c>
      <c r="I19" s="36">
        <v>0</v>
      </c>
      <c r="J19" s="36">
        <v>0</v>
      </c>
      <c r="K19" s="36">
        <v>5418993</v>
      </c>
      <c r="M19" s="34" t="s">
        <v>217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36">
        <v>0</v>
      </c>
      <c r="U19" s="82">
        <v>0</v>
      </c>
      <c r="V19" s="82">
        <v>0</v>
      </c>
      <c r="X19" s="34" t="s">
        <v>217</v>
      </c>
      <c r="Y19" s="82">
        <v>0</v>
      </c>
      <c r="Z19" s="82">
        <v>0</v>
      </c>
      <c r="AA19" s="82">
        <v>3162374</v>
      </c>
      <c r="AB19" s="36">
        <v>3162374</v>
      </c>
      <c r="AD19" s="34" t="s">
        <v>217</v>
      </c>
      <c r="AE19" s="90">
        <v>426944</v>
      </c>
      <c r="AF19" s="90">
        <v>0</v>
      </c>
      <c r="AG19" s="90">
        <v>147731</v>
      </c>
      <c r="AH19" s="90">
        <v>3757</v>
      </c>
      <c r="AI19" s="90">
        <v>0</v>
      </c>
      <c r="AJ19" s="90">
        <v>0</v>
      </c>
      <c r="AK19" s="90">
        <v>29342</v>
      </c>
      <c r="AM19" s="34" t="s">
        <v>217</v>
      </c>
      <c r="AN19" s="90">
        <v>0</v>
      </c>
      <c r="AO19" s="36">
        <v>0</v>
      </c>
      <c r="AP19" s="90">
        <v>7987</v>
      </c>
      <c r="AQ19" s="90">
        <v>10402</v>
      </c>
      <c r="AR19" s="36">
        <v>626164</v>
      </c>
      <c r="AT19" s="34" t="s">
        <v>217</v>
      </c>
      <c r="AU19" s="93">
        <v>0</v>
      </c>
      <c r="AV19" s="93">
        <v>0</v>
      </c>
      <c r="AW19" s="87">
        <v>0</v>
      </c>
      <c r="AX19" s="87">
        <v>0</v>
      </c>
      <c r="AY19" s="87">
        <v>0</v>
      </c>
      <c r="AZ19" s="87">
        <v>1633644</v>
      </c>
      <c r="BA19" s="36">
        <v>1633644</v>
      </c>
      <c r="BC19" s="34" t="s">
        <v>217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1630455</v>
      </c>
      <c r="BJ19" s="36"/>
    </row>
    <row r="20" spans="1:62">
      <c r="A20" s="34" t="s">
        <v>218</v>
      </c>
      <c r="C20" s="36">
        <v>4202965</v>
      </c>
      <c r="D20" s="36">
        <v>223951</v>
      </c>
      <c r="E20" s="36">
        <v>895220</v>
      </c>
      <c r="F20" s="36">
        <v>5322136</v>
      </c>
      <c r="G20" s="36"/>
      <c r="H20" s="36">
        <v>0</v>
      </c>
      <c r="I20" s="36">
        <v>0</v>
      </c>
      <c r="J20" s="36">
        <v>0</v>
      </c>
      <c r="K20" s="36">
        <v>5322136</v>
      </c>
      <c r="M20" s="34" t="s">
        <v>218</v>
      </c>
      <c r="N20" s="82">
        <v>0</v>
      </c>
      <c r="O20" s="82">
        <v>0</v>
      </c>
      <c r="P20" s="82">
        <v>0</v>
      </c>
      <c r="Q20" s="82">
        <v>5216</v>
      </c>
      <c r="R20" s="82">
        <v>0</v>
      </c>
      <c r="S20" s="82">
        <v>0</v>
      </c>
      <c r="T20" s="36">
        <v>0</v>
      </c>
      <c r="U20" s="82">
        <v>0</v>
      </c>
      <c r="V20" s="82">
        <v>0</v>
      </c>
      <c r="X20" s="34" t="s">
        <v>218</v>
      </c>
      <c r="Y20" s="82">
        <v>0</v>
      </c>
      <c r="Z20" s="82">
        <v>0</v>
      </c>
      <c r="AA20" s="82">
        <v>4197749</v>
      </c>
      <c r="AB20" s="36">
        <v>4202965</v>
      </c>
      <c r="AD20" s="34" t="s">
        <v>218</v>
      </c>
      <c r="AE20" s="90">
        <v>91306</v>
      </c>
      <c r="AF20" s="90">
        <v>37</v>
      </c>
      <c r="AG20" s="90">
        <v>101570</v>
      </c>
      <c r="AH20" s="90">
        <v>1437</v>
      </c>
      <c r="AI20" s="90">
        <v>0</v>
      </c>
      <c r="AJ20" s="90">
        <v>0</v>
      </c>
      <c r="AK20" s="90">
        <v>19228</v>
      </c>
      <c r="AM20" s="34" t="s">
        <v>218</v>
      </c>
      <c r="AN20" s="90">
        <v>0</v>
      </c>
      <c r="AO20" s="36">
        <v>0</v>
      </c>
      <c r="AP20" s="90">
        <v>4890</v>
      </c>
      <c r="AQ20" s="90">
        <v>5483</v>
      </c>
      <c r="AR20" s="36">
        <v>223951</v>
      </c>
      <c r="AT20" s="34" t="s">
        <v>218</v>
      </c>
      <c r="AU20" s="93">
        <v>0</v>
      </c>
      <c r="AV20" s="93">
        <v>734830</v>
      </c>
      <c r="AW20" s="87">
        <v>19948</v>
      </c>
      <c r="AX20" s="87">
        <v>0</v>
      </c>
      <c r="AY20" s="87">
        <v>5915</v>
      </c>
      <c r="AZ20" s="87">
        <v>141228</v>
      </c>
      <c r="BA20" s="36">
        <v>901922</v>
      </c>
      <c r="BC20" s="34" t="s">
        <v>218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895220</v>
      </c>
      <c r="BJ20" s="36"/>
    </row>
    <row r="21" spans="1:62">
      <c r="A21" s="34" t="s">
        <v>219</v>
      </c>
      <c r="C21" s="36">
        <v>4715827</v>
      </c>
      <c r="D21" s="36">
        <v>177526</v>
      </c>
      <c r="E21" s="36">
        <v>1542892</v>
      </c>
      <c r="F21" s="36">
        <v>6436245</v>
      </c>
      <c r="G21" s="36"/>
      <c r="H21" s="36">
        <v>0</v>
      </c>
      <c r="I21" s="36">
        <v>0</v>
      </c>
      <c r="J21" s="36">
        <v>0</v>
      </c>
      <c r="K21" s="36">
        <v>6436245</v>
      </c>
      <c r="M21" s="34" t="s">
        <v>219</v>
      </c>
      <c r="N21" s="82">
        <v>0</v>
      </c>
      <c r="O21" s="82">
        <v>0</v>
      </c>
      <c r="P21" s="82">
        <v>0</v>
      </c>
      <c r="Q21" s="82">
        <v>2608</v>
      </c>
      <c r="R21" s="82">
        <v>0</v>
      </c>
      <c r="S21" s="82">
        <v>0</v>
      </c>
      <c r="T21" s="36">
        <v>0</v>
      </c>
      <c r="U21" s="82">
        <v>0</v>
      </c>
      <c r="V21" s="82">
        <v>0</v>
      </c>
      <c r="X21" s="34" t="s">
        <v>219</v>
      </c>
      <c r="Y21" s="82">
        <v>0</v>
      </c>
      <c r="Z21" s="82">
        <v>0</v>
      </c>
      <c r="AA21" s="82">
        <v>4713219</v>
      </c>
      <c r="AB21" s="36">
        <v>4715827</v>
      </c>
      <c r="AD21" s="34" t="s">
        <v>219</v>
      </c>
      <c r="AE21" s="90">
        <v>17984</v>
      </c>
      <c r="AF21" s="90">
        <v>3861</v>
      </c>
      <c r="AG21" s="90">
        <v>107388</v>
      </c>
      <c r="AH21" s="90">
        <v>772</v>
      </c>
      <c r="AI21" s="90">
        <v>0</v>
      </c>
      <c r="AJ21" s="90">
        <v>0</v>
      </c>
      <c r="AK21" s="90">
        <v>26783</v>
      </c>
      <c r="AM21" s="34" t="s">
        <v>219</v>
      </c>
      <c r="AN21" s="90">
        <v>16609</v>
      </c>
      <c r="AO21" s="36">
        <v>0</v>
      </c>
      <c r="AP21" s="90">
        <v>3629</v>
      </c>
      <c r="AQ21" s="90">
        <v>500</v>
      </c>
      <c r="AR21" s="36">
        <v>177526</v>
      </c>
      <c r="AT21" s="34" t="s">
        <v>219</v>
      </c>
      <c r="AU21" s="93">
        <v>0</v>
      </c>
      <c r="AV21" s="93">
        <v>1247976</v>
      </c>
      <c r="AW21" s="87">
        <v>121770</v>
      </c>
      <c r="AX21" s="87">
        <v>21200</v>
      </c>
      <c r="AY21" s="87">
        <v>0</v>
      </c>
      <c r="AZ21" s="87">
        <v>151946</v>
      </c>
      <c r="BA21" s="36">
        <v>1542892</v>
      </c>
      <c r="BC21" s="34" t="s">
        <v>219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1542892</v>
      </c>
      <c r="BJ21" s="36"/>
    </row>
    <row r="22" spans="1:62">
      <c r="A22" s="34" t="s">
        <v>220</v>
      </c>
      <c r="C22" s="36">
        <v>4045576</v>
      </c>
      <c r="D22" s="36">
        <v>137916</v>
      </c>
      <c r="E22" s="36">
        <v>3313125</v>
      </c>
      <c r="F22" s="36">
        <v>7496618</v>
      </c>
      <c r="G22" s="36"/>
      <c r="H22" s="36">
        <v>0</v>
      </c>
      <c r="I22" s="36">
        <v>0</v>
      </c>
      <c r="J22" s="36">
        <v>0</v>
      </c>
      <c r="K22" s="36">
        <v>7496618</v>
      </c>
      <c r="M22" s="34" t="s">
        <v>220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36">
        <v>0</v>
      </c>
      <c r="U22" s="82">
        <v>0</v>
      </c>
      <c r="V22" s="82">
        <v>0</v>
      </c>
      <c r="X22" s="34" t="s">
        <v>220</v>
      </c>
      <c r="Y22" s="82">
        <v>0</v>
      </c>
      <c r="Z22" s="82">
        <v>0</v>
      </c>
      <c r="AA22" s="82">
        <v>4045576</v>
      </c>
      <c r="AB22" s="36">
        <v>4045576</v>
      </c>
      <c r="AD22" s="34" t="s">
        <v>220</v>
      </c>
      <c r="AE22" s="90">
        <v>10970</v>
      </c>
      <c r="AF22" s="90">
        <v>3664</v>
      </c>
      <c r="AG22" s="90">
        <v>120726</v>
      </c>
      <c r="AH22" s="90">
        <v>0</v>
      </c>
      <c r="AI22" s="90">
        <v>0</v>
      </c>
      <c r="AJ22" s="90">
        <v>0</v>
      </c>
      <c r="AK22" s="90">
        <v>1326</v>
      </c>
      <c r="AM22" s="34" t="s">
        <v>220</v>
      </c>
      <c r="AN22" s="90">
        <v>0</v>
      </c>
      <c r="AO22" s="36">
        <v>0</v>
      </c>
      <c r="AP22" s="90">
        <v>606</v>
      </c>
      <c r="AQ22" s="90">
        <v>625</v>
      </c>
      <c r="AR22" s="36">
        <v>137916</v>
      </c>
      <c r="AT22" s="34" t="s">
        <v>220</v>
      </c>
      <c r="AU22" s="93">
        <v>0</v>
      </c>
      <c r="AV22" s="93">
        <v>2688395</v>
      </c>
      <c r="AW22" s="87">
        <v>175230</v>
      </c>
      <c r="AX22" s="87">
        <v>19658</v>
      </c>
      <c r="AY22" s="87">
        <v>3775</v>
      </c>
      <c r="AZ22" s="87">
        <v>426167</v>
      </c>
      <c r="BA22" s="36">
        <v>3313125</v>
      </c>
      <c r="BC22" s="34" t="s">
        <v>220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3313125</v>
      </c>
      <c r="BJ22" s="36"/>
    </row>
    <row r="23" spans="1:62">
      <c r="A23" s="34" t="s">
        <v>63</v>
      </c>
      <c r="C23" s="36">
        <v>2101340</v>
      </c>
      <c r="D23" s="36">
        <v>369488</v>
      </c>
      <c r="E23" s="36">
        <v>349953</v>
      </c>
      <c r="F23" s="36">
        <v>2820781</v>
      </c>
      <c r="G23" s="36"/>
      <c r="H23" s="36">
        <v>0</v>
      </c>
      <c r="I23" s="36">
        <v>0</v>
      </c>
      <c r="J23" s="36">
        <v>0</v>
      </c>
      <c r="K23" s="36">
        <v>2820781</v>
      </c>
      <c r="M23" s="34" t="s">
        <v>63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36">
        <v>0</v>
      </c>
      <c r="U23" s="82">
        <v>0</v>
      </c>
      <c r="V23" s="82">
        <v>0</v>
      </c>
      <c r="X23" s="34" t="s">
        <v>63</v>
      </c>
      <c r="Y23" s="82">
        <v>0</v>
      </c>
      <c r="Z23" s="82">
        <v>0</v>
      </c>
      <c r="AA23" s="82">
        <v>2101340</v>
      </c>
      <c r="AB23" s="36">
        <v>2101340</v>
      </c>
      <c r="AD23" s="34" t="s">
        <v>63</v>
      </c>
      <c r="AE23" s="90">
        <v>188029</v>
      </c>
      <c r="AF23" s="90">
        <v>2968</v>
      </c>
      <c r="AG23" s="90">
        <v>125206</v>
      </c>
      <c r="AH23" s="90">
        <v>2216</v>
      </c>
      <c r="AI23" s="90">
        <v>0</v>
      </c>
      <c r="AJ23" s="90">
        <v>0</v>
      </c>
      <c r="AK23" s="90">
        <v>37881</v>
      </c>
      <c r="AM23" s="34" t="s">
        <v>63</v>
      </c>
      <c r="AN23" s="90">
        <v>0</v>
      </c>
      <c r="AO23" s="36">
        <v>0</v>
      </c>
      <c r="AP23" s="90">
        <v>6665</v>
      </c>
      <c r="AQ23" s="90">
        <v>6523</v>
      </c>
      <c r="AR23" s="36">
        <v>369488</v>
      </c>
      <c r="AT23" s="34" t="s">
        <v>63</v>
      </c>
      <c r="AU23" s="93">
        <v>0</v>
      </c>
      <c r="AV23" s="93">
        <v>311270</v>
      </c>
      <c r="AW23" s="87">
        <v>12078</v>
      </c>
      <c r="AX23" s="87">
        <v>0</v>
      </c>
      <c r="AY23" s="87">
        <v>0</v>
      </c>
      <c r="AZ23" s="87">
        <v>26604</v>
      </c>
      <c r="BA23" s="36">
        <v>349953</v>
      </c>
      <c r="BC23" s="34" t="s">
        <v>63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349953</v>
      </c>
      <c r="BJ23" s="36"/>
    </row>
    <row r="24" spans="1:62">
      <c r="A24" s="34" t="s">
        <v>64</v>
      </c>
      <c r="C24" s="36">
        <v>0</v>
      </c>
      <c r="D24" s="36">
        <v>0</v>
      </c>
      <c r="E24" s="36">
        <v>0</v>
      </c>
      <c r="F24" s="36">
        <v>0</v>
      </c>
      <c r="G24" s="36"/>
      <c r="H24" s="36">
        <v>0</v>
      </c>
      <c r="I24" s="36">
        <v>0</v>
      </c>
      <c r="J24" s="36">
        <v>0</v>
      </c>
      <c r="K24" s="36">
        <v>0</v>
      </c>
      <c r="M24" s="34" t="s">
        <v>64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36">
        <v>0</v>
      </c>
      <c r="U24" s="82">
        <v>0</v>
      </c>
      <c r="V24" s="82">
        <v>0</v>
      </c>
      <c r="X24" s="34" t="s">
        <v>64</v>
      </c>
      <c r="Y24" s="82">
        <v>0</v>
      </c>
      <c r="Z24" s="82">
        <v>0</v>
      </c>
      <c r="AA24" s="82">
        <v>0</v>
      </c>
      <c r="AB24" s="36">
        <v>0</v>
      </c>
      <c r="AD24" s="34" t="s">
        <v>64</v>
      </c>
      <c r="AE24" s="90">
        <v>0</v>
      </c>
      <c r="AF24" s="90">
        <v>0</v>
      </c>
      <c r="AG24" s="90">
        <v>0</v>
      </c>
      <c r="AH24" s="90">
        <v>0</v>
      </c>
      <c r="AI24" s="90">
        <v>0</v>
      </c>
      <c r="AJ24" s="90">
        <v>0</v>
      </c>
      <c r="AK24" s="90">
        <v>0</v>
      </c>
      <c r="AM24" s="34" t="s">
        <v>64</v>
      </c>
      <c r="AN24" s="90">
        <v>0</v>
      </c>
      <c r="AO24" s="36">
        <v>0</v>
      </c>
      <c r="AP24" s="90">
        <v>0</v>
      </c>
      <c r="AQ24" s="90">
        <v>0</v>
      </c>
      <c r="AR24" s="36">
        <v>0</v>
      </c>
      <c r="AT24" s="34" t="s">
        <v>64</v>
      </c>
      <c r="AU24" s="93">
        <v>0</v>
      </c>
      <c r="AV24" s="93">
        <v>0</v>
      </c>
      <c r="AW24" s="87">
        <v>0</v>
      </c>
      <c r="AX24" s="87">
        <v>0</v>
      </c>
      <c r="AY24" s="87">
        <v>0</v>
      </c>
      <c r="AZ24" s="87">
        <v>0</v>
      </c>
      <c r="BA24" s="36">
        <v>0</v>
      </c>
      <c r="BC24" s="34" t="s">
        <v>64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/>
    </row>
    <row r="25" spans="1:62">
      <c r="A25" s="34" t="s">
        <v>65</v>
      </c>
      <c r="C25" s="36">
        <v>832618</v>
      </c>
      <c r="D25" s="36">
        <v>203285</v>
      </c>
      <c r="E25" s="36">
        <v>197746</v>
      </c>
      <c r="F25" s="36">
        <v>1233649</v>
      </c>
      <c r="G25" s="36"/>
      <c r="H25" s="36">
        <v>0</v>
      </c>
      <c r="I25" s="36">
        <v>0</v>
      </c>
      <c r="J25" s="36">
        <v>0</v>
      </c>
      <c r="K25" s="36">
        <v>1233649</v>
      </c>
      <c r="M25" s="34" t="s">
        <v>65</v>
      </c>
      <c r="N25" s="82">
        <v>0</v>
      </c>
      <c r="O25" s="82">
        <v>0</v>
      </c>
      <c r="P25" s="82">
        <v>0</v>
      </c>
      <c r="Q25" s="82">
        <v>0</v>
      </c>
      <c r="R25" s="82">
        <v>0</v>
      </c>
      <c r="S25" s="82">
        <v>0</v>
      </c>
      <c r="T25" s="36">
        <v>0</v>
      </c>
      <c r="U25" s="82">
        <v>0</v>
      </c>
      <c r="V25" s="82">
        <v>0</v>
      </c>
      <c r="X25" s="34" t="s">
        <v>65</v>
      </c>
      <c r="Y25" s="82">
        <v>0</v>
      </c>
      <c r="Z25" s="82">
        <v>0</v>
      </c>
      <c r="AA25" s="82">
        <v>832618</v>
      </c>
      <c r="AB25" s="36">
        <v>832618</v>
      </c>
      <c r="AD25" s="34" t="s">
        <v>65</v>
      </c>
      <c r="AE25" s="90">
        <v>0</v>
      </c>
      <c r="AF25" s="90">
        <v>0</v>
      </c>
      <c r="AG25" s="90">
        <v>0</v>
      </c>
      <c r="AH25" s="90">
        <v>0</v>
      </c>
      <c r="AI25" s="90">
        <v>0</v>
      </c>
      <c r="AJ25" s="90">
        <v>0</v>
      </c>
      <c r="AK25" s="90">
        <v>0</v>
      </c>
      <c r="AM25" s="34" t="s">
        <v>65</v>
      </c>
      <c r="AN25" s="90">
        <v>0</v>
      </c>
      <c r="AO25" s="36">
        <v>0</v>
      </c>
      <c r="AP25" s="90">
        <v>0</v>
      </c>
      <c r="AQ25" s="90">
        <v>203285</v>
      </c>
      <c r="AR25" s="36">
        <v>203285</v>
      </c>
      <c r="AT25" s="34" t="s">
        <v>65</v>
      </c>
      <c r="AU25" s="93">
        <v>0</v>
      </c>
      <c r="AV25" s="93">
        <v>197746</v>
      </c>
      <c r="AW25" s="87">
        <v>0</v>
      </c>
      <c r="AX25" s="87">
        <v>0</v>
      </c>
      <c r="AY25" s="87">
        <v>0</v>
      </c>
      <c r="AZ25" s="87">
        <v>0</v>
      </c>
      <c r="BA25" s="36">
        <v>197746</v>
      </c>
      <c r="BC25" s="34" t="s">
        <v>65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197746</v>
      </c>
      <c r="BJ25" s="36"/>
    </row>
    <row r="26" spans="1:62">
      <c r="A26" s="34" t="s">
        <v>66</v>
      </c>
      <c r="C26" s="36">
        <v>1456006</v>
      </c>
      <c r="D26" s="36">
        <v>321225</v>
      </c>
      <c r="E26" s="36">
        <v>814037</v>
      </c>
      <c r="F26" s="36">
        <v>2591268</v>
      </c>
      <c r="G26" s="36"/>
      <c r="H26" s="36">
        <v>0</v>
      </c>
      <c r="I26" s="36">
        <v>0</v>
      </c>
      <c r="J26" s="36">
        <v>0</v>
      </c>
      <c r="K26" s="36">
        <v>2591268</v>
      </c>
      <c r="M26" s="34" t="s">
        <v>66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36">
        <v>0</v>
      </c>
      <c r="U26" s="82">
        <v>0</v>
      </c>
      <c r="V26" s="82">
        <v>0</v>
      </c>
      <c r="X26" s="34" t="s">
        <v>66</v>
      </c>
      <c r="Y26" s="82">
        <v>0</v>
      </c>
      <c r="Z26" s="82">
        <v>0</v>
      </c>
      <c r="AA26" s="82">
        <v>1456006</v>
      </c>
      <c r="AB26" s="36">
        <v>1456006</v>
      </c>
      <c r="AD26" s="34" t="s">
        <v>66</v>
      </c>
      <c r="AE26" s="90">
        <v>10518</v>
      </c>
      <c r="AF26" s="90">
        <v>0</v>
      </c>
      <c r="AG26" s="90">
        <v>19195</v>
      </c>
      <c r="AH26" s="90">
        <v>0</v>
      </c>
      <c r="AI26" s="90">
        <v>0</v>
      </c>
      <c r="AJ26" s="90">
        <v>0</v>
      </c>
      <c r="AK26" s="90">
        <v>4016</v>
      </c>
      <c r="AM26" s="34" t="s">
        <v>66</v>
      </c>
      <c r="AN26" s="90">
        <v>0</v>
      </c>
      <c r="AO26" s="36">
        <v>0</v>
      </c>
      <c r="AP26" s="90">
        <v>0</v>
      </c>
      <c r="AQ26" s="90">
        <v>287495</v>
      </c>
      <c r="AR26" s="36">
        <v>321225</v>
      </c>
      <c r="AT26" s="34" t="s">
        <v>66</v>
      </c>
      <c r="AU26" s="93">
        <v>0</v>
      </c>
      <c r="AV26" s="93">
        <v>680357</v>
      </c>
      <c r="AW26" s="87">
        <v>11663</v>
      </c>
      <c r="AX26" s="87">
        <v>0</v>
      </c>
      <c r="AY26" s="87">
        <v>0</v>
      </c>
      <c r="AZ26" s="87">
        <v>122017</v>
      </c>
      <c r="BA26" s="36">
        <v>814037</v>
      </c>
      <c r="BC26" s="34" t="s">
        <v>66</v>
      </c>
      <c r="BD26" s="36">
        <v>0</v>
      </c>
      <c r="BE26" s="36">
        <v>0</v>
      </c>
      <c r="BF26" s="36">
        <v>0</v>
      </c>
      <c r="BG26" s="36">
        <v>0</v>
      </c>
      <c r="BH26" s="36">
        <v>0</v>
      </c>
      <c r="BI26" s="36">
        <v>814037</v>
      </c>
      <c r="BJ26" s="36"/>
    </row>
    <row r="27" spans="1:62">
      <c r="A27" s="34" t="s">
        <v>67</v>
      </c>
      <c r="C27" s="36">
        <v>2084192</v>
      </c>
      <c r="D27" s="36">
        <v>205793</v>
      </c>
      <c r="E27" s="36">
        <v>951182</v>
      </c>
      <c r="F27" s="36">
        <v>3241166</v>
      </c>
      <c r="G27" s="36"/>
      <c r="H27" s="36">
        <v>0</v>
      </c>
      <c r="I27" s="36">
        <v>0</v>
      </c>
      <c r="J27" s="36">
        <v>0</v>
      </c>
      <c r="K27" s="36">
        <v>3241166</v>
      </c>
      <c r="M27" s="34" t="s">
        <v>67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36">
        <v>0</v>
      </c>
      <c r="U27" s="82">
        <v>0</v>
      </c>
      <c r="V27" s="82">
        <v>0</v>
      </c>
      <c r="X27" s="34" t="s">
        <v>67</v>
      </c>
      <c r="Y27" s="82">
        <v>0</v>
      </c>
      <c r="Z27" s="82">
        <v>0</v>
      </c>
      <c r="AA27" s="82">
        <v>2084192</v>
      </c>
      <c r="AB27" s="36">
        <v>2084192</v>
      </c>
      <c r="AD27" s="34" t="s">
        <v>67</v>
      </c>
      <c r="AE27" s="90">
        <v>0</v>
      </c>
      <c r="AF27" s="90">
        <v>0</v>
      </c>
      <c r="AG27" s="90">
        <v>0</v>
      </c>
      <c r="AH27" s="90">
        <v>0</v>
      </c>
      <c r="AI27" s="90">
        <v>0</v>
      </c>
      <c r="AJ27" s="90">
        <v>0</v>
      </c>
      <c r="AK27" s="90">
        <v>0</v>
      </c>
      <c r="AM27" s="34" t="s">
        <v>67</v>
      </c>
      <c r="AN27" s="90">
        <v>0</v>
      </c>
      <c r="AO27" s="36">
        <v>0</v>
      </c>
      <c r="AP27" s="90">
        <v>0</v>
      </c>
      <c r="AQ27" s="90">
        <v>205793</v>
      </c>
      <c r="AR27" s="36">
        <v>205793</v>
      </c>
      <c r="AT27" s="34" t="s">
        <v>67</v>
      </c>
      <c r="AU27" s="93">
        <v>0</v>
      </c>
      <c r="AV27" s="93">
        <v>0</v>
      </c>
      <c r="AW27" s="87">
        <v>0</v>
      </c>
      <c r="AX27" s="87">
        <v>0</v>
      </c>
      <c r="AY27" s="87">
        <v>0</v>
      </c>
      <c r="AZ27" s="87">
        <v>951182</v>
      </c>
      <c r="BA27" s="36">
        <v>951182</v>
      </c>
      <c r="BC27" s="34" t="s">
        <v>67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951182</v>
      </c>
      <c r="BJ27" s="36"/>
    </row>
    <row r="28" spans="1:62">
      <c r="A28" s="34" t="s">
        <v>68</v>
      </c>
      <c r="C28" s="36">
        <v>1623326</v>
      </c>
      <c r="D28" s="36">
        <v>356801</v>
      </c>
      <c r="E28" s="36">
        <v>965130</v>
      </c>
      <c r="F28" s="36">
        <v>2945256</v>
      </c>
      <c r="G28" s="36"/>
      <c r="H28" s="36">
        <v>0</v>
      </c>
      <c r="I28" s="36">
        <v>0</v>
      </c>
      <c r="J28" s="36">
        <v>0</v>
      </c>
      <c r="K28" s="36">
        <v>2945256</v>
      </c>
      <c r="M28" s="34" t="s">
        <v>68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36">
        <v>0</v>
      </c>
      <c r="U28" s="82">
        <v>0</v>
      </c>
      <c r="V28" s="82">
        <v>0</v>
      </c>
      <c r="X28" s="34" t="s">
        <v>68</v>
      </c>
      <c r="Y28" s="82">
        <v>0</v>
      </c>
      <c r="Z28" s="82">
        <v>0</v>
      </c>
      <c r="AA28" s="82">
        <v>1623326</v>
      </c>
      <c r="AB28" s="36">
        <v>1623326</v>
      </c>
      <c r="AD28" s="34" t="s">
        <v>68</v>
      </c>
      <c r="AE28" s="90">
        <v>90899</v>
      </c>
      <c r="AF28" s="90">
        <v>0</v>
      </c>
      <c r="AG28" s="90">
        <v>21320</v>
      </c>
      <c r="AH28" s="90">
        <v>0</v>
      </c>
      <c r="AI28" s="90">
        <v>0</v>
      </c>
      <c r="AJ28" s="90">
        <v>0</v>
      </c>
      <c r="AK28" s="90">
        <v>16133</v>
      </c>
      <c r="AM28" s="34" t="s">
        <v>68</v>
      </c>
      <c r="AN28" s="90">
        <v>0</v>
      </c>
      <c r="AO28" s="36">
        <v>0</v>
      </c>
      <c r="AP28" s="90">
        <v>0</v>
      </c>
      <c r="AQ28" s="90">
        <v>228449</v>
      </c>
      <c r="AR28" s="36">
        <v>356801</v>
      </c>
      <c r="AT28" s="34" t="s">
        <v>68</v>
      </c>
      <c r="AU28" s="93">
        <v>0</v>
      </c>
      <c r="AV28" s="93">
        <v>842830</v>
      </c>
      <c r="AW28" s="87">
        <v>23210</v>
      </c>
      <c r="AX28" s="87">
        <v>0</v>
      </c>
      <c r="AY28" s="87">
        <v>0</v>
      </c>
      <c r="AZ28" s="87">
        <v>107819</v>
      </c>
      <c r="BA28" s="36">
        <v>973859</v>
      </c>
      <c r="BC28" s="34" t="s">
        <v>68</v>
      </c>
      <c r="BD28" s="36">
        <v>0</v>
      </c>
      <c r="BE28" s="36">
        <v>0</v>
      </c>
      <c r="BF28" s="36">
        <v>0</v>
      </c>
      <c r="BG28" s="36">
        <v>0</v>
      </c>
      <c r="BH28" s="36">
        <v>0</v>
      </c>
      <c r="BI28" s="36">
        <v>965130</v>
      </c>
      <c r="BJ28" s="42"/>
    </row>
    <row r="29" spans="1:62">
      <c r="A29" s="34" t="s">
        <v>69</v>
      </c>
      <c r="C29" s="36" t="s">
        <v>69</v>
      </c>
      <c r="D29" s="36" t="s">
        <v>69</v>
      </c>
      <c r="E29" s="36" t="s">
        <v>69</v>
      </c>
      <c r="F29" s="36" t="s">
        <v>69</v>
      </c>
      <c r="G29" s="36" t="s">
        <v>69</v>
      </c>
      <c r="H29" s="36" t="s">
        <v>69</v>
      </c>
      <c r="I29" s="36" t="s">
        <v>69</v>
      </c>
      <c r="J29" s="36" t="s">
        <v>69</v>
      </c>
      <c r="K29" s="36" t="s">
        <v>69</v>
      </c>
      <c r="M29" s="34" t="s">
        <v>69</v>
      </c>
      <c r="N29" s="82" t="s">
        <v>69</v>
      </c>
      <c r="O29" s="82" t="s">
        <v>69</v>
      </c>
      <c r="P29" s="82" t="s">
        <v>69</v>
      </c>
      <c r="Q29" s="82" t="s">
        <v>69</v>
      </c>
      <c r="R29" s="82" t="s">
        <v>69</v>
      </c>
      <c r="S29" s="82" t="s">
        <v>69</v>
      </c>
      <c r="T29" s="36" t="s">
        <v>69</v>
      </c>
      <c r="U29" s="82" t="s">
        <v>69</v>
      </c>
      <c r="V29" s="82" t="s">
        <v>69</v>
      </c>
      <c r="X29" s="34" t="s">
        <v>69</v>
      </c>
      <c r="Y29" s="82" t="s">
        <v>69</v>
      </c>
      <c r="Z29" s="82" t="s">
        <v>69</v>
      </c>
      <c r="AA29" s="82" t="s">
        <v>69</v>
      </c>
      <c r="AB29" s="36" t="s">
        <v>69</v>
      </c>
      <c r="AD29" s="34"/>
      <c r="AE29" s="90"/>
      <c r="AF29" s="90"/>
      <c r="AG29" s="90"/>
      <c r="AH29" s="90"/>
      <c r="AI29" s="90"/>
      <c r="AJ29" s="90"/>
      <c r="AK29" s="90"/>
      <c r="AM29" s="34"/>
      <c r="AN29" s="90"/>
      <c r="AO29" s="36"/>
      <c r="AP29" s="90"/>
      <c r="AQ29" s="90"/>
      <c r="AR29" s="36"/>
      <c r="AU29" s="93"/>
      <c r="AV29" s="93"/>
      <c r="AW29" s="87"/>
      <c r="AX29" s="87"/>
      <c r="AY29" s="87"/>
      <c r="AZ29" s="87"/>
      <c r="BA29" s="36"/>
      <c r="BC29" s="34"/>
      <c r="BD29" s="36"/>
      <c r="BE29" s="36"/>
      <c r="BF29" s="36"/>
      <c r="BG29" s="36"/>
      <c r="BH29" s="36"/>
      <c r="BI29" s="36"/>
      <c r="BJ29" s="34"/>
    </row>
    <row r="30" spans="1:62" ht="15" thickBot="1">
      <c r="A30" s="37" t="s">
        <v>70</v>
      </c>
      <c r="B30" s="37"/>
      <c r="C30" s="38">
        <v>48546674</v>
      </c>
      <c r="D30" s="38">
        <v>4698404</v>
      </c>
      <c r="E30" s="38">
        <v>19596250</v>
      </c>
      <c r="F30" s="38">
        <v>75693727</v>
      </c>
      <c r="G30" s="38"/>
      <c r="H30" s="38">
        <v>0</v>
      </c>
      <c r="I30" s="38">
        <v>0</v>
      </c>
      <c r="J30" s="38">
        <v>0</v>
      </c>
      <c r="K30" s="38">
        <v>75693727</v>
      </c>
      <c r="M30" s="37" t="s">
        <v>70</v>
      </c>
      <c r="N30" s="83">
        <v>0</v>
      </c>
      <c r="O30" s="83">
        <v>0</v>
      </c>
      <c r="P30" s="83">
        <v>0</v>
      </c>
      <c r="Q30" s="83">
        <v>7824</v>
      </c>
      <c r="R30" s="83">
        <v>0</v>
      </c>
      <c r="S30" s="83">
        <v>0</v>
      </c>
      <c r="T30" s="38">
        <v>0</v>
      </c>
      <c r="U30" s="83">
        <v>0</v>
      </c>
      <c r="V30" s="83">
        <v>0</v>
      </c>
      <c r="X30" s="37" t="s">
        <v>70</v>
      </c>
      <c r="Y30" s="83">
        <v>0</v>
      </c>
      <c r="Z30" s="83">
        <v>0</v>
      </c>
      <c r="AA30" s="83">
        <v>48538850</v>
      </c>
      <c r="AB30" s="38">
        <v>48546674</v>
      </c>
      <c r="AD30" s="37" t="s">
        <v>70</v>
      </c>
      <c r="AE30" s="91">
        <v>1698503</v>
      </c>
      <c r="AF30" s="91">
        <v>27944</v>
      </c>
      <c r="AG30" s="91">
        <v>1249501</v>
      </c>
      <c r="AH30" s="91">
        <v>10920</v>
      </c>
      <c r="AI30" s="91">
        <v>0</v>
      </c>
      <c r="AJ30" s="91">
        <v>0</v>
      </c>
      <c r="AK30" s="91">
        <v>509288</v>
      </c>
      <c r="AM30" s="37" t="s">
        <v>70</v>
      </c>
      <c r="AN30" s="91">
        <v>52423</v>
      </c>
      <c r="AO30" s="38">
        <v>0</v>
      </c>
      <c r="AP30" s="91">
        <v>63275</v>
      </c>
      <c r="AQ30" s="91">
        <v>1086549</v>
      </c>
      <c r="AR30" s="38">
        <v>4698404</v>
      </c>
      <c r="AT30" s="37" t="s">
        <v>70</v>
      </c>
      <c r="AU30" s="94">
        <v>0</v>
      </c>
      <c r="AV30" s="94">
        <v>12695058</v>
      </c>
      <c r="AW30" s="88">
        <v>700653</v>
      </c>
      <c r="AX30" s="88">
        <v>40858</v>
      </c>
      <c r="AY30" s="88">
        <v>20917</v>
      </c>
      <c r="AZ30" s="88">
        <v>8968359</v>
      </c>
      <c r="BA30" s="38">
        <v>22468407</v>
      </c>
      <c r="BC30" s="37" t="s">
        <v>70</v>
      </c>
      <c r="BD30" s="38">
        <v>0</v>
      </c>
      <c r="BE30" s="38">
        <v>0</v>
      </c>
      <c r="BF30" s="38">
        <v>0</v>
      </c>
      <c r="BG30" s="38">
        <v>0</v>
      </c>
      <c r="BH30" s="38">
        <v>0</v>
      </c>
      <c r="BI30" s="38">
        <v>22448649</v>
      </c>
      <c r="BJ30" s="38"/>
    </row>
    <row r="31" spans="1:62" ht="15" thickTop="1">
      <c r="A31" s="36"/>
      <c r="B31" s="36"/>
      <c r="M31" s="34" t="s">
        <v>297</v>
      </c>
      <c r="X31" s="34" t="s">
        <v>77</v>
      </c>
      <c r="AD31" s="34" t="s">
        <v>297</v>
      </c>
      <c r="AE31" s="34"/>
      <c r="AF31" s="34"/>
      <c r="AG31" s="34"/>
      <c r="AH31" s="34"/>
      <c r="AI31" s="34"/>
      <c r="AJ31" s="34"/>
      <c r="AK31" s="34"/>
      <c r="AM31" s="34" t="s">
        <v>297</v>
      </c>
      <c r="AN31" s="34"/>
      <c r="AO31" s="34"/>
      <c r="AP31" s="34"/>
      <c r="AQ31" s="34"/>
      <c r="AR31" s="34"/>
      <c r="AT31" s="45" t="s">
        <v>297</v>
      </c>
      <c r="AX31" s="45" t="s">
        <v>274</v>
      </c>
      <c r="BC31" s="45" t="s">
        <v>274</v>
      </c>
      <c r="BD31" s="34"/>
      <c r="BE31" s="34"/>
      <c r="BF31" s="34"/>
      <c r="BG31" s="34"/>
      <c r="BH31" s="34"/>
      <c r="BI31" s="34"/>
      <c r="BJ31" s="34"/>
    </row>
    <row r="32" spans="1:62">
      <c r="A32" s="36" t="s">
        <v>274</v>
      </c>
      <c r="B32" s="36"/>
      <c r="M32" s="34" t="s">
        <v>298</v>
      </c>
      <c r="X32" s="34" t="s">
        <v>274</v>
      </c>
      <c r="AD32" s="34" t="s">
        <v>274</v>
      </c>
      <c r="AE32" s="34"/>
      <c r="AF32" s="34"/>
      <c r="AG32" s="34"/>
      <c r="AH32" s="34"/>
      <c r="AI32" s="34"/>
      <c r="AJ32" s="34"/>
      <c r="AK32" s="34"/>
      <c r="AM32" s="34" t="s">
        <v>274</v>
      </c>
      <c r="AN32" s="34"/>
      <c r="AO32" s="34"/>
      <c r="AP32" s="34"/>
      <c r="AQ32" s="34"/>
      <c r="AR32" s="34"/>
      <c r="BC32" s="34"/>
      <c r="BD32" s="34"/>
      <c r="BE32" s="34"/>
      <c r="BF32" s="24"/>
      <c r="BG32" s="34"/>
      <c r="BH32" s="34"/>
      <c r="BI32" s="34"/>
      <c r="BJ32" s="34"/>
    </row>
    <row r="33" spans="6:62">
      <c r="AB33" s="1"/>
      <c r="AD33" s="34"/>
      <c r="AE33" s="34"/>
      <c r="AF33" s="34"/>
      <c r="AG33" s="34"/>
      <c r="AI33" s="34"/>
      <c r="AJ33" s="34"/>
      <c r="AK33" s="34"/>
      <c r="AM33" s="34"/>
      <c r="AN33" s="34"/>
      <c r="AO33" s="34"/>
      <c r="AP33" s="34"/>
      <c r="AR33" s="34"/>
    </row>
    <row r="34" spans="6:62">
      <c r="F34" s="14"/>
      <c r="Z34" s="20"/>
      <c r="AB34" s="1"/>
      <c r="AD34" s="34"/>
      <c r="AM34" s="34"/>
    </row>
    <row r="35" spans="6:62">
      <c r="F35" s="14"/>
      <c r="Z35" s="20"/>
      <c r="AB35" s="1"/>
    </row>
    <row r="36" spans="6:62">
      <c r="F36" s="14"/>
      <c r="Z36" s="20"/>
      <c r="AB36" s="1"/>
    </row>
    <row r="37" spans="6:62">
      <c r="F37" s="14"/>
      <c r="Z37" s="20"/>
      <c r="AB37" s="1"/>
    </row>
    <row r="38" spans="6:62">
      <c r="F38" s="14"/>
      <c r="Z38" s="20"/>
      <c r="AB38" s="1"/>
    </row>
    <row r="39" spans="6:62">
      <c r="F39" s="14"/>
      <c r="Z39" s="20"/>
      <c r="AB39" s="1"/>
      <c r="AW39" s="24" t="s">
        <v>170</v>
      </c>
      <c r="BC39" s="47">
        <v>162</v>
      </c>
      <c r="BD39" s="48"/>
      <c r="BE39" s="48"/>
      <c r="BF39" s="48"/>
      <c r="BG39" s="48"/>
      <c r="BH39" s="48"/>
      <c r="BI39" s="48"/>
      <c r="BJ39" s="48"/>
    </row>
    <row r="40" spans="6:62">
      <c r="F40" s="14"/>
      <c r="Y40" s="1"/>
      <c r="Z40" s="1"/>
      <c r="AA40" s="1"/>
      <c r="AB40" s="1"/>
      <c r="BC40" s="49"/>
    </row>
    <row r="41" spans="6:62">
      <c r="F41" s="14">
        <v>155</v>
      </c>
      <c r="X41" s="1"/>
      <c r="Y41" s="1"/>
      <c r="Z41" s="20">
        <v>157</v>
      </c>
      <c r="AA41" s="1"/>
      <c r="AB41" s="1"/>
      <c r="AG41" s="14" t="s">
        <v>150</v>
      </c>
      <c r="AO41" s="20">
        <v>160</v>
      </c>
    </row>
    <row r="42" spans="6:62">
      <c r="Q42" s="20">
        <v>156</v>
      </c>
      <c r="X42"/>
      <c r="Y42"/>
      <c r="Z42"/>
      <c r="AA42"/>
      <c r="AB42"/>
    </row>
    <row r="43" spans="6:62">
      <c r="X43"/>
      <c r="Y43"/>
      <c r="Z43"/>
      <c r="AA43"/>
      <c r="AB43" t="s">
        <v>135</v>
      </c>
    </row>
    <row r="44" spans="6:62">
      <c r="X44"/>
      <c r="Y44"/>
      <c r="Z44"/>
      <c r="AA44"/>
      <c r="AB44"/>
    </row>
    <row r="45" spans="6:62">
      <c r="H45" s="15" t="s">
        <v>275</v>
      </c>
      <c r="I45" s="16"/>
      <c r="J45" s="16"/>
      <c r="K45" s="16"/>
      <c r="X45"/>
      <c r="Y45"/>
      <c r="Z45"/>
      <c r="AA45"/>
    </row>
    <row r="46" spans="6:62">
      <c r="X46"/>
      <c r="Y46"/>
      <c r="Z46"/>
      <c r="AA46"/>
      <c r="AB46" s="17" t="s">
        <v>285</v>
      </c>
    </row>
    <row r="47" spans="6:62">
      <c r="H47" s="17" t="s">
        <v>276</v>
      </c>
      <c r="I47" s="34" t="s">
        <v>277</v>
      </c>
      <c r="J47" s="34" t="s">
        <v>278</v>
      </c>
      <c r="K47" s="34" t="s">
        <v>279</v>
      </c>
      <c r="Y47" s="36"/>
      <c r="Z47" s="36"/>
      <c r="AA47" s="36"/>
      <c r="AB47" s="36">
        <v>7824</v>
      </c>
    </row>
    <row r="48" spans="6:62" ht="28">
      <c r="H48" s="36">
        <v>48546674</v>
      </c>
      <c r="I48" s="36">
        <v>4698404</v>
      </c>
      <c r="J48" s="36">
        <v>19596250</v>
      </c>
      <c r="K48" s="36">
        <v>75693727</v>
      </c>
      <c r="Y48" s="36"/>
      <c r="Z48" s="36"/>
      <c r="AA48" s="36"/>
      <c r="AB48" s="22" t="s">
        <v>78</v>
      </c>
    </row>
    <row r="49" spans="8:28" ht="37">
      <c r="H49" s="17" t="s">
        <v>71</v>
      </c>
      <c r="I49" s="17" t="s">
        <v>72</v>
      </c>
      <c r="J49" s="17" t="s">
        <v>73</v>
      </c>
      <c r="K49" s="17" t="s">
        <v>74</v>
      </c>
      <c r="AB49" s="23">
        <v>1.6116449089797582E-4</v>
      </c>
    </row>
    <row r="50" spans="8:28">
      <c r="H50" s="39">
        <v>0.64135663448042401</v>
      </c>
      <c r="I50" s="39">
        <v>6.2071246670150092E-2</v>
      </c>
      <c r="J50" s="39">
        <v>0.25888869232188816</v>
      </c>
      <c r="K50" s="40">
        <v>0.96231657347246224</v>
      </c>
    </row>
    <row r="51" spans="8:28">
      <c r="Y51" s="36"/>
      <c r="Z51" s="36"/>
      <c r="AA51" s="36"/>
      <c r="AB51" s="36"/>
    </row>
    <row r="56" spans="8:28">
      <c r="Y56" s="36"/>
      <c r="Z56" s="36"/>
      <c r="AA56" s="36"/>
      <c r="AB56" s="36"/>
    </row>
    <row r="57" spans="8:28">
      <c r="Y57" s="36"/>
      <c r="Z57" s="36"/>
      <c r="AA57" s="36"/>
      <c r="AB57" s="36"/>
    </row>
    <row r="58" spans="8:28">
      <c r="Y58" s="36"/>
      <c r="Z58" s="36"/>
      <c r="AA58" s="36"/>
      <c r="AB58" s="36"/>
    </row>
    <row r="59" spans="8:28">
      <c r="Y59" s="36"/>
      <c r="Z59" s="36"/>
      <c r="AA59" s="36"/>
      <c r="AB59" s="36"/>
    </row>
    <row r="62" spans="8:28">
      <c r="X62" s="41"/>
      <c r="Y62" s="42"/>
      <c r="Z62" s="42"/>
      <c r="AA62" s="42"/>
      <c r="AB62" s="42"/>
    </row>
    <row r="65" spans="24:28">
      <c r="Y65" s="36"/>
      <c r="Z65" s="36"/>
      <c r="AA65" s="36"/>
      <c r="AB65" s="36"/>
    </row>
    <row r="68" spans="24:28">
      <c r="Y68" s="36"/>
      <c r="Z68" s="36"/>
      <c r="AA68" s="36"/>
      <c r="AB68" s="36"/>
    </row>
    <row r="69" spans="24:28">
      <c r="Y69" s="36"/>
      <c r="Z69" s="36"/>
      <c r="AA69" s="36"/>
      <c r="AB69" s="36"/>
    </row>
    <row r="70" spans="24:28">
      <c r="Y70" s="36"/>
      <c r="Z70" s="36"/>
      <c r="AA70" s="36"/>
      <c r="AB70" s="36"/>
    </row>
    <row r="71" spans="24:28">
      <c r="Y71" s="36"/>
      <c r="Z71" s="36"/>
      <c r="AA71" s="36"/>
      <c r="AB71" s="36"/>
    </row>
    <row r="72" spans="24:28">
      <c r="Y72" s="36"/>
      <c r="Z72" s="36"/>
      <c r="AA72" s="36"/>
      <c r="AB72" s="36"/>
    </row>
    <row r="73" spans="24:28">
      <c r="X73" s="41"/>
      <c r="Y73" s="42"/>
      <c r="Z73" s="42"/>
      <c r="AA73" s="42"/>
      <c r="AB73" s="42"/>
    </row>
    <row r="76" spans="24:28">
      <c r="Y76" s="36"/>
      <c r="Z76" s="36"/>
      <c r="AA76" s="36"/>
      <c r="AB76" s="36"/>
    </row>
    <row r="77" spans="24:28">
      <c r="Y77" s="36"/>
      <c r="Z77" s="36"/>
      <c r="AA77" s="36"/>
      <c r="AB77" s="36"/>
    </row>
    <row r="78" spans="24:28">
      <c r="Y78" s="36"/>
      <c r="Z78" s="36"/>
      <c r="AA78" s="36"/>
      <c r="AB78" s="36"/>
    </row>
    <row r="80" spans="24:28">
      <c r="Y80" s="36"/>
      <c r="Z80" s="36"/>
      <c r="AA80" s="36"/>
      <c r="AB80" s="36"/>
    </row>
    <row r="81" spans="24:28">
      <c r="Y81" s="36"/>
      <c r="Z81" s="36"/>
      <c r="AA81" s="36"/>
      <c r="AB81" s="36"/>
    </row>
    <row r="82" spans="24:28">
      <c r="Y82" s="36"/>
      <c r="Z82" s="36"/>
      <c r="AA82" s="36"/>
      <c r="AB82" s="36"/>
    </row>
    <row r="83" spans="24:28">
      <c r="Y83" s="36"/>
      <c r="Z83" s="36"/>
      <c r="AA83" s="36"/>
      <c r="AB83" s="36"/>
    </row>
    <row r="84" spans="24:28">
      <c r="X84" s="41"/>
      <c r="Y84" s="42"/>
      <c r="Z84" s="42"/>
      <c r="AA84" s="42"/>
      <c r="AB84" s="42"/>
    </row>
    <row r="85" spans="24:28">
      <c r="X85" s="41"/>
    </row>
    <row r="86" spans="24:28">
      <c r="X86" s="41"/>
      <c r="Y86" s="42"/>
      <c r="Z86" s="42"/>
      <c r="AA86" s="42"/>
      <c r="AB86" s="42"/>
    </row>
    <row r="88" spans="24:28">
      <c r="X88" s="41"/>
      <c r="Y88" s="42"/>
      <c r="Z88" s="42"/>
      <c r="AA88" s="42"/>
      <c r="AB88" s="42"/>
    </row>
    <row r="90" spans="24:28">
      <c r="X90" s="41"/>
    </row>
    <row r="92" spans="24:28" ht="15" thickBot="1">
      <c r="X92" s="43"/>
      <c r="Y92" s="38"/>
      <c r="Z92" s="38"/>
      <c r="AA92" s="38"/>
      <c r="AB92" s="38"/>
    </row>
    <row r="93" spans="24:28" ht="15" thickTop="1"/>
  </sheetData>
  <sheetCalcPr fullCalcOnLoad="1"/>
  <phoneticPr fontId="1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N37"/>
  <sheetViews>
    <sheetView topLeftCell="A26" workbookViewId="0">
      <selection activeCell="E39" sqref="E39"/>
    </sheetView>
  </sheetViews>
  <sheetFormatPr baseColWidth="10" defaultColWidth="8.83203125" defaultRowHeight="14"/>
  <cols>
    <col min="1" max="1" width="18.5" customWidth="1"/>
  </cols>
  <sheetData>
    <row r="1" spans="1:12">
      <c r="A1" t="s">
        <v>92</v>
      </c>
      <c r="I1" t="s">
        <v>93</v>
      </c>
    </row>
    <row r="2" spans="1:12" ht="43.5" customHeight="1">
      <c r="A2" s="107" t="s">
        <v>109</v>
      </c>
      <c r="B2" s="164" t="s">
        <v>94</v>
      </c>
      <c r="C2" s="164"/>
      <c r="D2" s="169" t="s">
        <v>15</v>
      </c>
      <c r="E2" s="170"/>
      <c r="F2" s="164" t="s">
        <v>85</v>
      </c>
      <c r="G2" s="164"/>
      <c r="J2" t="s">
        <v>95</v>
      </c>
      <c r="K2" t="s">
        <v>96</v>
      </c>
      <c r="L2" t="s">
        <v>97</v>
      </c>
    </row>
    <row r="3" spans="1:12">
      <c r="A3" s="108" t="s">
        <v>98</v>
      </c>
      <c r="B3" s="109"/>
      <c r="C3" s="109"/>
      <c r="D3" s="147"/>
      <c r="E3" s="147"/>
      <c r="F3" s="109"/>
      <c r="G3" s="109"/>
      <c r="I3" s="110" t="s">
        <v>133</v>
      </c>
      <c r="J3" s="111">
        <f>B4</f>
        <v>13654.704831509845</v>
      </c>
      <c r="K3" s="111">
        <f>B5</f>
        <v>9989.5606600660067</v>
      </c>
      <c r="L3" s="111">
        <f>B6</f>
        <v>3665.1441714438388</v>
      </c>
    </row>
    <row r="4" spans="1:12">
      <c r="A4" s="112" t="s">
        <v>95</v>
      </c>
      <c r="B4" s="165">
        <f>B14</f>
        <v>13654.704831509845</v>
      </c>
      <c r="C4" s="166"/>
      <c r="D4" s="171">
        <v>13852</v>
      </c>
      <c r="E4" s="172"/>
      <c r="F4" s="165">
        <f>F14</f>
        <v>14754.344449654203</v>
      </c>
      <c r="G4" s="166"/>
      <c r="I4" s="110" t="s">
        <v>17</v>
      </c>
      <c r="J4" s="111">
        <f>D4</f>
        <v>13852</v>
      </c>
      <c r="K4" s="111">
        <f>D5</f>
        <v>9990</v>
      </c>
      <c r="L4" s="111">
        <f>D6</f>
        <v>3862</v>
      </c>
    </row>
    <row r="5" spans="1:12">
      <c r="A5" s="112" t="s">
        <v>96</v>
      </c>
      <c r="B5" s="167">
        <f>C14</f>
        <v>9989.5606600660067</v>
      </c>
      <c r="C5" s="168"/>
      <c r="D5" s="171">
        <v>9990</v>
      </c>
      <c r="E5" s="172"/>
      <c r="F5" s="167">
        <f>G14</f>
        <v>10149.958618543871</v>
      </c>
      <c r="G5" s="168"/>
      <c r="I5" s="110" t="str">
        <f>F2</f>
        <v>Wilmington</v>
      </c>
      <c r="J5" s="111">
        <f>F4</f>
        <v>14754.344449654203</v>
      </c>
      <c r="K5" s="111">
        <f>F5</f>
        <v>10149.958618543871</v>
      </c>
      <c r="L5" s="111">
        <f>F6</f>
        <v>4604.3858311103322</v>
      </c>
    </row>
    <row r="6" spans="1:12">
      <c r="A6" s="173" t="s">
        <v>97</v>
      </c>
      <c r="B6" s="175">
        <f>B4-B5</f>
        <v>3665.1441714438388</v>
      </c>
      <c r="C6" s="176"/>
      <c r="D6" s="179">
        <v>3862</v>
      </c>
      <c r="E6" s="180"/>
      <c r="F6" s="175">
        <f>F4-F5</f>
        <v>4604.3858311103322</v>
      </c>
      <c r="G6" s="176"/>
      <c r="I6" s="110"/>
      <c r="J6" s="111"/>
      <c r="K6" s="111"/>
      <c r="L6" s="111"/>
    </row>
    <row r="7" spans="1:12">
      <c r="A7" s="174"/>
      <c r="B7" s="177">
        <f>B6/B4</f>
        <v>0.2684162138009813</v>
      </c>
      <c r="C7" s="178"/>
      <c r="D7" s="181">
        <v>0.27900000000000003</v>
      </c>
      <c r="E7" s="182"/>
      <c r="F7" s="177">
        <f>F6/F4</f>
        <v>0.31206983453732806</v>
      </c>
      <c r="G7" s="178"/>
      <c r="I7" s="110"/>
      <c r="J7" s="111"/>
      <c r="K7" s="111"/>
      <c r="L7" s="111"/>
    </row>
    <row r="8" spans="1:12" ht="28">
      <c r="A8" s="113" t="s">
        <v>99</v>
      </c>
      <c r="B8" s="125" t="s">
        <v>100</v>
      </c>
      <c r="C8" s="125" t="s">
        <v>96</v>
      </c>
      <c r="D8" s="148" t="s">
        <v>100</v>
      </c>
      <c r="E8" s="148" t="s">
        <v>96</v>
      </c>
      <c r="F8" s="125" t="s">
        <v>100</v>
      </c>
      <c r="G8" s="125" t="s">
        <v>96</v>
      </c>
    </row>
    <row r="9" spans="1:12">
      <c r="A9" s="112" t="s">
        <v>157</v>
      </c>
      <c r="B9" s="126">
        <f>'DE District Wrk'!AA48</f>
        <v>655.36609190371996</v>
      </c>
      <c r="C9" s="126">
        <f>'DE Charter Wrk'!Z34</f>
        <v>620.25122112211216</v>
      </c>
      <c r="D9" s="149">
        <v>639</v>
      </c>
      <c r="E9" s="149">
        <f>C9</f>
        <v>620.25122112211216</v>
      </c>
      <c r="F9" s="126">
        <f>'DE District Wrk'!AA65</f>
        <v>565.62102918766846</v>
      </c>
      <c r="G9" s="126">
        <f>'Wilmington Charters'!Z24</f>
        <v>848.8811449906658</v>
      </c>
    </row>
    <row r="10" spans="1:12">
      <c r="A10" s="112" t="s">
        <v>133</v>
      </c>
      <c r="B10" s="126">
        <f>'DE District Wrk'!Q48</f>
        <v>8586.963763676149</v>
      </c>
      <c r="C10" s="126">
        <f>'DE Charter Wrk'!P34</f>
        <v>6408.8018481848185</v>
      </c>
      <c r="D10" s="149">
        <v>8543</v>
      </c>
      <c r="E10" s="149">
        <f t="shared" ref="E10:E14" si="0">C10</f>
        <v>6408.8018481848185</v>
      </c>
      <c r="F10" s="126">
        <f>'DE District Wrk'!Q65</f>
        <v>8341.5429902707765</v>
      </c>
      <c r="G10" s="126">
        <f>'Wilmington Charters'!P24</f>
        <v>5911.7489110143124</v>
      </c>
    </row>
    <row r="11" spans="1:12">
      <c r="A11" s="112" t="s">
        <v>190</v>
      </c>
      <c r="B11" s="126">
        <f>'DE District Wrk'!F48</f>
        <v>3402.015921225383</v>
      </c>
      <c r="C11" s="126">
        <f>'DE Charter Wrk'!E34</f>
        <v>1675.9152475247524</v>
      </c>
      <c r="D11" s="149">
        <v>3578</v>
      </c>
      <c r="E11" s="149">
        <f t="shared" si="0"/>
        <v>1675.9152475247524</v>
      </c>
      <c r="F11" s="126">
        <f>'DE District Wrk'!F65</f>
        <v>4382.985640604853</v>
      </c>
      <c r="G11" s="126">
        <f>'Wilmington Charters'!E24</f>
        <v>1984.8130056004977</v>
      </c>
    </row>
    <row r="12" spans="1:12">
      <c r="A12" s="112" t="s">
        <v>129</v>
      </c>
      <c r="B12" s="126">
        <f>'DE District Wrk'!AF48</f>
        <v>560.2218118161926</v>
      </c>
      <c r="C12" s="126">
        <f>'DE Charter Wrk'!AD34</f>
        <v>1284.5923432343234</v>
      </c>
      <c r="D12" s="149">
        <v>559</v>
      </c>
      <c r="E12" s="149">
        <f t="shared" si="0"/>
        <v>1284.5923432343234</v>
      </c>
      <c r="F12" s="126">
        <f>'DE District Wrk'!AF65</f>
        <v>552.52578830148866</v>
      </c>
      <c r="G12" s="126">
        <f>'Wilmington Charters'!AD24</f>
        <v>1404.5155569383944</v>
      </c>
    </row>
    <row r="13" spans="1:12">
      <c r="A13" s="112" t="s">
        <v>81</v>
      </c>
      <c r="B13" s="126">
        <f>'DE District Wrk'!AG48</f>
        <v>450.13724288840262</v>
      </c>
      <c r="C13" s="126"/>
      <c r="D13" s="149">
        <v>533</v>
      </c>
      <c r="E13" s="149">
        <f t="shared" si="0"/>
        <v>0</v>
      </c>
      <c r="F13" s="126">
        <f>'DE District Wrk'!AG65</f>
        <v>911.66900128941506</v>
      </c>
      <c r="G13" s="126"/>
    </row>
    <row r="14" spans="1:12">
      <c r="A14" s="112" t="s">
        <v>279</v>
      </c>
      <c r="B14" s="127">
        <f t="shared" ref="B14:G14" si="1">SUM(B9:B13)</f>
        <v>13654.704831509845</v>
      </c>
      <c r="C14" s="127">
        <f t="shared" si="1"/>
        <v>9989.5606600660067</v>
      </c>
      <c r="D14" s="149">
        <f>D4</f>
        <v>13852</v>
      </c>
      <c r="E14" s="149">
        <f t="shared" si="0"/>
        <v>9989.5606600660067</v>
      </c>
      <c r="F14" s="127">
        <f t="shared" si="1"/>
        <v>14754.344449654203</v>
      </c>
      <c r="G14" s="127">
        <f t="shared" si="1"/>
        <v>10149.958618543871</v>
      </c>
    </row>
    <row r="15" spans="1:12">
      <c r="A15" s="108" t="s">
        <v>206</v>
      </c>
      <c r="B15" s="128"/>
      <c r="C15" s="128"/>
      <c r="D15" s="147"/>
      <c r="E15" s="147"/>
      <c r="F15" s="128"/>
      <c r="G15" s="128"/>
    </row>
    <row r="16" spans="1:12">
      <c r="A16" s="173" t="s">
        <v>95</v>
      </c>
      <c r="B16" s="183">
        <f>'DE District Wrk'!B44</f>
        <v>114250</v>
      </c>
      <c r="C16" s="184"/>
      <c r="D16" s="185" t="s">
        <v>16</v>
      </c>
      <c r="E16" s="186"/>
      <c r="F16" s="183">
        <f>'DE District Wrk'!B61</f>
        <v>34124</v>
      </c>
      <c r="G16" s="184"/>
    </row>
    <row r="17" spans="1:14">
      <c r="A17" s="174"/>
      <c r="B17" s="177">
        <f>B16/(B16+B18)</f>
        <v>0.93782064436691981</v>
      </c>
      <c r="C17" s="178"/>
      <c r="D17" s="185" t="s">
        <v>16</v>
      </c>
      <c r="E17" s="186"/>
      <c r="F17" s="177">
        <f>F16/(F16+F18)</f>
        <v>0.91392147410145164</v>
      </c>
      <c r="G17" s="178"/>
    </row>
    <row r="18" spans="1:14">
      <c r="A18" s="173" t="s">
        <v>96</v>
      </c>
      <c r="B18" s="183">
        <f>'DE Charter Wrk'!C30</f>
        <v>7575</v>
      </c>
      <c r="C18" s="184"/>
      <c r="D18" s="185" t="s">
        <v>16</v>
      </c>
      <c r="E18" s="186"/>
      <c r="F18" s="183">
        <f>'Wilmington Charters'!C19</f>
        <v>3214</v>
      </c>
      <c r="G18" s="184"/>
    </row>
    <row r="19" spans="1:14">
      <c r="A19" s="174"/>
      <c r="B19" s="177">
        <f>B18/(B16+B18)</f>
        <v>6.217935563308024E-2</v>
      </c>
      <c r="C19" s="178"/>
      <c r="D19" s="185" t="s">
        <v>16</v>
      </c>
      <c r="E19" s="186"/>
      <c r="F19" s="177">
        <f>F18/(F16+F18)</f>
        <v>8.6078525898548391E-2</v>
      </c>
      <c r="G19" s="178"/>
    </row>
    <row r="20" spans="1:14">
      <c r="A20" s="112" t="s">
        <v>101</v>
      </c>
      <c r="B20" s="187">
        <v>17</v>
      </c>
      <c r="C20" s="188"/>
      <c r="D20" s="185" t="s">
        <v>16</v>
      </c>
      <c r="E20" s="186"/>
      <c r="F20" s="187">
        <v>7</v>
      </c>
      <c r="G20" s="188"/>
    </row>
    <row r="21" spans="1:14">
      <c r="A21" s="108" t="s">
        <v>102</v>
      </c>
      <c r="B21" s="128"/>
      <c r="C21" s="128"/>
      <c r="D21" s="147"/>
      <c r="E21" s="147"/>
      <c r="F21" s="128"/>
      <c r="G21" s="128"/>
    </row>
    <row r="22" spans="1:14">
      <c r="A22" s="173" t="s">
        <v>95</v>
      </c>
      <c r="B22" s="167">
        <f>'DE District Wrk'!AH47</f>
        <v>1560050027</v>
      </c>
      <c r="C22" s="168"/>
      <c r="D22" s="171" t="s">
        <v>16</v>
      </c>
      <c r="E22" s="172"/>
      <c r="F22" s="167">
        <f>'DE District Wrk'!AH64</f>
        <v>503477250</v>
      </c>
      <c r="G22" s="168"/>
    </row>
    <row r="23" spans="1:14">
      <c r="A23" s="174"/>
      <c r="B23" s="177">
        <f>B22/B26</f>
        <v>0.95373848941271955</v>
      </c>
      <c r="C23" s="178"/>
      <c r="D23" s="171" t="s">
        <v>16</v>
      </c>
      <c r="E23" s="172"/>
      <c r="F23" s="177">
        <f>F22/F26</f>
        <v>0.93914938510346679</v>
      </c>
      <c r="G23" s="178"/>
    </row>
    <row r="24" spans="1:14">
      <c r="A24" s="173" t="s">
        <v>96</v>
      </c>
      <c r="B24" s="167">
        <f>'DE Charter Wrk'!AF33</f>
        <v>75670922</v>
      </c>
      <c r="C24" s="168"/>
      <c r="D24" s="171" t="s">
        <v>16</v>
      </c>
      <c r="E24" s="172"/>
      <c r="F24" s="167">
        <f>'Wilmington Charters'!AF23</f>
        <v>32621967</v>
      </c>
      <c r="G24" s="168"/>
    </row>
    <row r="25" spans="1:14" ht="18">
      <c r="A25" s="174"/>
      <c r="B25" s="177">
        <f>B24/B26</f>
        <v>4.6261510587280494E-2</v>
      </c>
      <c r="C25" s="178"/>
      <c r="D25" s="171" t="s">
        <v>16</v>
      </c>
      <c r="E25" s="172"/>
      <c r="F25" s="177">
        <f>F24/F26</f>
        <v>6.0850614896533227E-2</v>
      </c>
      <c r="G25" s="178"/>
      <c r="I25" s="121"/>
    </row>
    <row r="26" spans="1:14">
      <c r="A26" s="112" t="s">
        <v>279</v>
      </c>
      <c r="B26" s="167">
        <f>B22+B24</f>
        <v>1635720949</v>
      </c>
      <c r="C26" s="168"/>
      <c r="D26" s="171" t="s">
        <v>16</v>
      </c>
      <c r="E26" s="172"/>
      <c r="F26" s="167">
        <f>F22+F24</f>
        <v>536099217</v>
      </c>
      <c r="G26" s="168"/>
    </row>
    <row r="27" spans="1:14" ht="28">
      <c r="A27" s="115" t="s">
        <v>104</v>
      </c>
      <c r="B27" s="125" t="s">
        <v>100</v>
      </c>
      <c r="C27" s="125" t="s">
        <v>96</v>
      </c>
      <c r="D27" s="148" t="s">
        <v>100</v>
      </c>
      <c r="E27" s="148" t="s">
        <v>96</v>
      </c>
      <c r="F27" s="125" t="s">
        <v>100</v>
      </c>
      <c r="G27" s="125" t="s">
        <v>96</v>
      </c>
      <c r="I27" t="s">
        <v>103</v>
      </c>
    </row>
    <row r="28" spans="1:14">
      <c r="A28" s="112" t="s">
        <v>157</v>
      </c>
      <c r="B28" s="129">
        <f>'DE District Wrk'!AA49</f>
        <v>4.7995624950558077E-2</v>
      </c>
      <c r="C28" s="129">
        <f>'DE Charter Wrk'!Z35</f>
        <v>6.2089939911132576E-2</v>
      </c>
      <c r="D28" s="150">
        <f>D9/D$14</f>
        <v>4.6130522668206754E-2</v>
      </c>
      <c r="E28" s="150">
        <f>C28</f>
        <v>6.2089939911132576E-2</v>
      </c>
      <c r="F28" s="129">
        <f>'DE District Wrk'!AA66</f>
        <v>3.8335897004283706E-2</v>
      </c>
      <c r="G28" s="129">
        <f>'Wilmington Charters'!Z25</f>
        <v>8.3633951318754021E-2</v>
      </c>
      <c r="J28" s="116" t="s">
        <v>229</v>
      </c>
      <c r="K28" s="116" t="s">
        <v>133</v>
      </c>
      <c r="L28" s="116" t="s">
        <v>190</v>
      </c>
      <c r="M28" s="116" t="s">
        <v>105</v>
      </c>
      <c r="N28" s="116" t="s">
        <v>81</v>
      </c>
    </row>
    <row r="29" spans="1:14">
      <c r="A29" s="112" t="s">
        <v>133</v>
      </c>
      <c r="B29" s="129">
        <f>'DE District Wrk'!Q49</f>
        <v>0.62886483960171102</v>
      </c>
      <c r="C29" s="129">
        <f>'DE Charter Wrk'!P35</f>
        <v>0.64154992058904736</v>
      </c>
      <c r="D29" s="150">
        <f t="shared" ref="D29:D32" si="2">D10/D$14</f>
        <v>0.61673404562518053</v>
      </c>
      <c r="E29" s="150">
        <f t="shared" ref="E29:E32" si="3">C29</f>
        <v>0.64154992058904736</v>
      </c>
      <c r="F29" s="129">
        <f>'DE District Wrk'!Q66</f>
        <v>0.56536181724199053</v>
      </c>
      <c r="G29" s="129">
        <f>'Wilmington Charters'!P25</f>
        <v>0.58244069096140039</v>
      </c>
      <c r="I29" t="s">
        <v>106</v>
      </c>
      <c r="J29" s="111">
        <f>B9</f>
        <v>655.36609190371996</v>
      </c>
      <c r="K29" s="111">
        <f>B10</f>
        <v>8586.963763676149</v>
      </c>
      <c r="L29" s="111">
        <f>B11</f>
        <v>3402.015921225383</v>
      </c>
      <c r="M29" s="111">
        <f>B12</f>
        <v>560.2218118161926</v>
      </c>
      <c r="N29" s="111">
        <f>B13</f>
        <v>450.13724288840262</v>
      </c>
    </row>
    <row r="30" spans="1:14">
      <c r="A30" s="112" t="s">
        <v>190</v>
      </c>
      <c r="B30" s="129">
        <f>'DE District Wrk'!F49</f>
        <v>0.24914606087821312</v>
      </c>
      <c r="C30" s="129">
        <f>'DE Charter Wrk'!E35</f>
        <v>0.16776666207397342</v>
      </c>
      <c r="D30" s="150">
        <f t="shared" si="2"/>
        <v>0.25830205024545194</v>
      </c>
      <c r="E30" s="150">
        <f t="shared" si="3"/>
        <v>0.16776666207397342</v>
      </c>
      <c r="F30" s="129">
        <f>'DE District Wrk'!F66</f>
        <v>0.29706407191188877</v>
      </c>
      <c r="G30" s="129">
        <f>'Wilmington Charters'!E25</f>
        <v>0.19554887662046866</v>
      </c>
      <c r="I30" t="s">
        <v>107</v>
      </c>
      <c r="J30" s="111">
        <f>C9</f>
        <v>620.25122112211216</v>
      </c>
      <c r="K30" s="111">
        <f>C10</f>
        <v>6408.8018481848185</v>
      </c>
      <c r="L30" s="111">
        <f>C11</f>
        <v>1675.9152475247524</v>
      </c>
      <c r="M30" s="111">
        <f>C12</f>
        <v>1284.5923432343234</v>
      </c>
      <c r="N30" s="111">
        <f>C13</f>
        <v>0</v>
      </c>
    </row>
    <row r="31" spans="1:14">
      <c r="A31" s="112" t="s">
        <v>129</v>
      </c>
      <c r="B31" s="129">
        <f>'DE District Wrk'!AF49</f>
        <v>4.1027749682542712E-2</v>
      </c>
      <c r="C31" s="129">
        <f>'DE Charter Wrk'!AD35</f>
        <v>0.12859347742584662</v>
      </c>
      <c r="D31" s="150">
        <f t="shared" si="2"/>
        <v>4.0355183367022811E-2</v>
      </c>
      <c r="E31" s="150">
        <f t="shared" si="3"/>
        <v>0.12859347742584662</v>
      </c>
      <c r="F31" s="129">
        <f>'DE District Wrk'!AF66</f>
        <v>3.7448345481349954E-2</v>
      </c>
      <c r="G31" s="129">
        <f>'Wilmington Charters'!AD25</f>
        <v>0.138376481099377</v>
      </c>
      <c r="I31" t="s">
        <v>17</v>
      </c>
      <c r="J31" s="111">
        <f>D9</f>
        <v>639</v>
      </c>
      <c r="K31" s="111">
        <f>D10</f>
        <v>8543</v>
      </c>
      <c r="L31" s="111">
        <f>D11</f>
        <v>3578</v>
      </c>
      <c r="M31" s="111">
        <f>D12</f>
        <v>559</v>
      </c>
      <c r="N31" s="111">
        <f>D13</f>
        <v>533</v>
      </c>
    </row>
    <row r="32" spans="1:14">
      <c r="A32" s="112" t="s">
        <v>81</v>
      </c>
      <c r="B32" s="129">
        <f>'DE District Wrk'!AG49</f>
        <v>3.2965724886975051E-2</v>
      </c>
      <c r="C32" s="129"/>
      <c r="D32" s="150">
        <f t="shared" si="2"/>
        <v>3.8478198094138029E-2</v>
      </c>
      <c r="E32" s="150">
        <f t="shared" si="3"/>
        <v>0</v>
      </c>
      <c r="F32" s="129">
        <f>'DE District Wrk'!AG66</f>
        <v>6.1789868360486992E-2</v>
      </c>
      <c r="G32" s="129"/>
      <c r="I32" t="s">
        <v>110</v>
      </c>
      <c r="J32" s="111">
        <f>F9</f>
        <v>565.62102918766846</v>
      </c>
      <c r="K32" s="111">
        <f>F10</f>
        <v>8341.5429902707765</v>
      </c>
      <c r="L32" s="111">
        <f>F11</f>
        <v>4382.985640604853</v>
      </c>
      <c r="M32" s="111">
        <f>F12</f>
        <v>552.52578830148866</v>
      </c>
      <c r="N32" s="111">
        <f>F13</f>
        <v>911.66900128941506</v>
      </c>
    </row>
    <row r="33" spans="1:14">
      <c r="A33" s="108" t="s">
        <v>108</v>
      </c>
      <c r="B33" s="109"/>
      <c r="C33" s="109"/>
      <c r="D33" s="146"/>
      <c r="E33" s="146"/>
      <c r="F33" s="109"/>
      <c r="G33" s="109"/>
      <c r="I33" t="s">
        <v>90</v>
      </c>
      <c r="J33" s="111">
        <f>G9</f>
        <v>848.8811449906658</v>
      </c>
      <c r="K33" s="111">
        <f>G10</f>
        <v>5911.7489110143124</v>
      </c>
      <c r="L33" s="111">
        <f>G11</f>
        <v>1984.8130056004977</v>
      </c>
      <c r="M33" s="111">
        <f>G12</f>
        <v>1404.5155569383944</v>
      </c>
      <c r="N33" s="111">
        <f>G13</f>
        <v>0</v>
      </c>
    </row>
    <row r="34" spans="1:14">
      <c r="A34" s="117"/>
      <c r="B34" s="191" t="s">
        <v>119</v>
      </c>
      <c r="C34" s="192"/>
      <c r="D34" s="193"/>
      <c r="E34" s="194"/>
      <c r="F34" s="191" t="s">
        <v>120</v>
      </c>
      <c r="G34" s="192"/>
      <c r="J34" s="111"/>
      <c r="K34" s="111"/>
      <c r="L34" s="111"/>
      <c r="M34" s="111"/>
      <c r="N34" s="111"/>
    </row>
    <row r="35" spans="1:14">
      <c r="B35" s="189">
        <f>B6*B16</f>
        <v>418742721.58745861</v>
      </c>
      <c r="C35" s="190"/>
      <c r="D35" s="140"/>
      <c r="E35" s="140"/>
      <c r="F35" s="189">
        <f>F6*F16</f>
        <v>157120062.10080898</v>
      </c>
      <c r="G35" s="190"/>
      <c r="J35" s="111"/>
      <c r="K35" s="111"/>
      <c r="L35" s="111"/>
      <c r="M35" s="111"/>
      <c r="N35" s="111"/>
    </row>
    <row r="36" spans="1:14">
      <c r="J36" s="111"/>
      <c r="K36" s="111"/>
      <c r="L36" s="111"/>
      <c r="M36" s="111"/>
      <c r="N36" s="111"/>
    </row>
    <row r="37" spans="1:14">
      <c r="J37" s="111"/>
      <c r="K37" s="111"/>
      <c r="L37" s="111"/>
      <c r="M37" s="111"/>
      <c r="N37" s="111"/>
    </row>
  </sheetData>
  <sheetCalcPr fullCalcOnLoad="1"/>
  <mergeCells count="55">
    <mergeCell ref="B35:C35"/>
    <mergeCell ref="F35:G35"/>
    <mergeCell ref="A24:A25"/>
    <mergeCell ref="B24:C24"/>
    <mergeCell ref="F24:G24"/>
    <mergeCell ref="B25:C25"/>
    <mergeCell ref="B34:C34"/>
    <mergeCell ref="F34:G34"/>
    <mergeCell ref="F25:G25"/>
    <mergeCell ref="B26:C26"/>
    <mergeCell ref="F26:G26"/>
    <mergeCell ref="D24:E24"/>
    <mergeCell ref="D25:E25"/>
    <mergeCell ref="D26:E26"/>
    <mergeCell ref="D34:E34"/>
    <mergeCell ref="B20:C20"/>
    <mergeCell ref="F20:G20"/>
    <mergeCell ref="A22:A23"/>
    <mergeCell ref="B22:C22"/>
    <mergeCell ref="F22:G22"/>
    <mergeCell ref="B23:C23"/>
    <mergeCell ref="F23:G23"/>
    <mergeCell ref="D20:E20"/>
    <mergeCell ref="D22:E22"/>
    <mergeCell ref="D23:E23"/>
    <mergeCell ref="A18:A19"/>
    <mergeCell ref="B18:C18"/>
    <mergeCell ref="F18:G18"/>
    <mergeCell ref="B19:C19"/>
    <mergeCell ref="F19:G19"/>
    <mergeCell ref="D18:E18"/>
    <mergeCell ref="D19:E19"/>
    <mergeCell ref="A16:A17"/>
    <mergeCell ref="B16:C16"/>
    <mergeCell ref="F16:G16"/>
    <mergeCell ref="B17:C17"/>
    <mergeCell ref="F17:G17"/>
    <mergeCell ref="D16:E16"/>
    <mergeCell ref="D17:E17"/>
    <mergeCell ref="A6:A7"/>
    <mergeCell ref="B6:C6"/>
    <mergeCell ref="F6:G6"/>
    <mergeCell ref="B7:C7"/>
    <mergeCell ref="F7:G7"/>
    <mergeCell ref="D6:E6"/>
    <mergeCell ref="D7:E7"/>
    <mergeCell ref="B2:C2"/>
    <mergeCell ref="F2:G2"/>
    <mergeCell ref="B4:C4"/>
    <mergeCell ref="F4:G4"/>
    <mergeCell ref="B5:C5"/>
    <mergeCell ref="F5:G5"/>
    <mergeCell ref="D2:E2"/>
    <mergeCell ref="D4:E4"/>
    <mergeCell ref="D5:E5"/>
  </mergeCells>
  <phoneticPr fontId="19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19"/>
  <sheetViews>
    <sheetView workbookViewId="0"/>
  </sheetViews>
  <sheetFormatPr baseColWidth="10" defaultColWidth="21.1640625" defaultRowHeight="14"/>
  <cols>
    <col min="1" max="1" width="39.6640625" customWidth="1"/>
    <col min="2" max="4" width="11.5" customWidth="1"/>
  </cols>
  <sheetData>
    <row r="1" spans="1:4">
      <c r="A1" t="s">
        <v>121</v>
      </c>
    </row>
    <row r="2" spans="1:4">
      <c r="A2" t="s">
        <v>122</v>
      </c>
    </row>
    <row r="3" spans="1:4">
      <c r="A3" s="112" t="s">
        <v>123</v>
      </c>
      <c r="B3" s="112" t="s">
        <v>124</v>
      </c>
      <c r="C3" s="112" t="s">
        <v>125</v>
      </c>
      <c r="D3" s="112" t="s">
        <v>126</v>
      </c>
    </row>
    <row r="4" spans="1:4" ht="26.25" customHeight="1">
      <c r="A4" s="130" t="s">
        <v>127</v>
      </c>
      <c r="B4" s="112" t="s">
        <v>4</v>
      </c>
      <c r="C4" s="112"/>
      <c r="D4" s="112"/>
    </row>
    <row r="5" spans="1:4" ht="26.25" customHeight="1">
      <c r="A5" s="130" t="s">
        <v>24</v>
      </c>
      <c r="B5" s="112" t="s">
        <v>4</v>
      </c>
      <c r="C5" s="112"/>
      <c r="D5" s="112"/>
    </row>
    <row r="6" spans="1:4" ht="26.25" customHeight="1">
      <c r="A6" s="130" t="s">
        <v>25</v>
      </c>
      <c r="B6" s="112"/>
      <c r="C6" s="112" t="s">
        <v>4</v>
      </c>
      <c r="D6" s="112"/>
    </row>
    <row r="7" spans="1:4" ht="26.25" customHeight="1">
      <c r="A7" s="130" t="s">
        <v>26</v>
      </c>
      <c r="B7" s="112" t="s">
        <v>4</v>
      </c>
      <c r="C7" s="112"/>
      <c r="D7" s="112"/>
    </row>
    <row r="8" spans="1:4" ht="26.25" customHeight="1">
      <c r="A8" s="130" t="s">
        <v>27</v>
      </c>
      <c r="B8" s="112" t="s">
        <v>4</v>
      </c>
      <c r="C8" s="112"/>
      <c r="D8" s="112"/>
    </row>
    <row r="9" spans="1:4" ht="26.25" customHeight="1">
      <c r="A9" s="130" t="s">
        <v>28</v>
      </c>
      <c r="B9" s="112"/>
      <c r="C9" s="112" t="s">
        <v>4</v>
      </c>
      <c r="D9" s="112"/>
    </row>
    <row r="10" spans="1:4" ht="26.25" customHeight="1">
      <c r="A10" s="130" t="s">
        <v>29</v>
      </c>
      <c r="B10" s="112"/>
      <c r="C10" s="112" t="s">
        <v>4</v>
      </c>
      <c r="D10" s="112"/>
    </row>
    <row r="11" spans="1:4" ht="26.25" customHeight="1">
      <c r="A11" s="130" t="s">
        <v>30</v>
      </c>
      <c r="B11" s="112" t="s">
        <v>4</v>
      </c>
      <c r="C11" s="112"/>
      <c r="D11" s="112"/>
    </row>
    <row r="12" spans="1:4" ht="26.25" customHeight="1">
      <c r="A12" s="130" t="s">
        <v>31</v>
      </c>
      <c r="B12" s="112" t="s">
        <v>4</v>
      </c>
      <c r="C12" s="112"/>
      <c r="D12" s="112"/>
    </row>
    <row r="13" spans="1:4" ht="26.25" customHeight="1">
      <c r="A13" s="130" t="s">
        <v>32</v>
      </c>
      <c r="B13" s="112"/>
      <c r="C13" s="112" t="s">
        <v>4</v>
      </c>
      <c r="D13" s="112"/>
    </row>
    <row r="14" spans="1:4" ht="26.25" customHeight="1">
      <c r="A14" s="130" t="s">
        <v>33</v>
      </c>
      <c r="B14" s="112"/>
      <c r="C14" s="112" t="s">
        <v>4</v>
      </c>
      <c r="D14" s="112"/>
    </row>
    <row r="15" spans="1:4" ht="26.25" customHeight="1">
      <c r="A15" s="130" t="s">
        <v>34</v>
      </c>
      <c r="B15" s="112"/>
      <c r="C15" s="112" t="s">
        <v>4</v>
      </c>
      <c r="D15" s="112"/>
    </row>
    <row r="16" spans="1:4" ht="26.25" customHeight="1">
      <c r="A16" s="130" t="s">
        <v>35</v>
      </c>
      <c r="B16" s="112" t="s">
        <v>4</v>
      </c>
      <c r="C16" s="112"/>
      <c r="D16" s="112"/>
    </row>
    <row r="19" spans="1:1" ht="154">
      <c r="A19" s="134" t="s">
        <v>5</v>
      </c>
    </row>
  </sheetData>
  <sheetCalcPr fullCalcOnLoad="1"/>
  <phoneticPr fontId="1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9"/>
  <sheetViews>
    <sheetView workbookViewId="0">
      <selection sqref="A1:D9"/>
    </sheetView>
  </sheetViews>
  <sheetFormatPr baseColWidth="10" defaultColWidth="8.83203125" defaultRowHeight="14"/>
  <cols>
    <col min="2" max="2" width="47" customWidth="1"/>
    <col min="3" max="4" width="10.1640625" customWidth="1"/>
  </cols>
  <sheetData>
    <row r="1" spans="1:4">
      <c r="A1" t="s">
        <v>8</v>
      </c>
    </row>
    <row r="2" spans="1:4" ht="28">
      <c r="A2" s="137"/>
      <c r="B2" s="138"/>
      <c r="C2" s="130" t="s">
        <v>106</v>
      </c>
      <c r="D2" s="130" t="s">
        <v>107</v>
      </c>
    </row>
    <row r="3" spans="1:4">
      <c r="A3" s="195" t="s">
        <v>7</v>
      </c>
      <c r="B3" s="195"/>
      <c r="C3" s="135">
        <v>0.372</v>
      </c>
      <c r="D3" s="135">
        <v>0.32300000000000001</v>
      </c>
    </row>
    <row r="4" spans="1:4">
      <c r="A4" s="195" t="s">
        <v>36</v>
      </c>
      <c r="B4" s="195"/>
      <c r="C4" s="136">
        <v>0.83099999999999996</v>
      </c>
      <c r="D4" s="136">
        <v>1</v>
      </c>
    </row>
    <row r="5" spans="1:4">
      <c r="A5" s="195" t="s">
        <v>37</v>
      </c>
      <c r="B5" s="195"/>
      <c r="C5" s="136"/>
      <c r="D5" s="136"/>
    </row>
    <row r="6" spans="1:4">
      <c r="A6" s="112"/>
      <c r="B6" s="112" t="s">
        <v>38</v>
      </c>
      <c r="C6" s="136">
        <v>0.434</v>
      </c>
      <c r="D6" s="136">
        <v>0.59399999999999997</v>
      </c>
    </row>
    <row r="7" spans="1:4">
      <c r="A7" s="112"/>
      <c r="B7" s="112" t="s">
        <v>39</v>
      </c>
      <c r="C7" s="136">
        <v>0.23899999999999999</v>
      </c>
      <c r="D7" s="136">
        <v>7.6999999999999999E-2</v>
      </c>
    </row>
    <row r="8" spans="1:4">
      <c r="A8" s="112"/>
      <c r="B8" s="112" t="s">
        <v>40</v>
      </c>
      <c r="C8" s="136">
        <v>0.30399999999999999</v>
      </c>
      <c r="D8" s="136">
        <v>0.21</v>
      </c>
    </row>
    <row r="9" spans="1:4">
      <c r="A9" s="112"/>
      <c r="B9" s="112" t="s">
        <v>41</v>
      </c>
      <c r="C9" s="136">
        <v>2.3E-2</v>
      </c>
      <c r="D9" s="136">
        <v>0.11899999999999999</v>
      </c>
    </row>
  </sheetData>
  <sheetCalcPr fullCalcOnLoad="1"/>
  <mergeCells count="3">
    <mergeCell ref="A3:B3"/>
    <mergeCell ref="A4:B4"/>
    <mergeCell ref="A5:B5"/>
  </mergeCells>
  <phoneticPr fontId="1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7"/>
  <sheetViews>
    <sheetView workbookViewId="0">
      <selection activeCell="B18" sqref="B18"/>
    </sheetView>
  </sheetViews>
  <sheetFormatPr baseColWidth="10" defaultColWidth="8.83203125" defaultRowHeight="14"/>
  <cols>
    <col min="2" max="2" width="46.1640625" customWidth="1"/>
  </cols>
  <sheetData>
    <row r="1" spans="1:8">
      <c r="A1" t="s">
        <v>9</v>
      </c>
      <c r="C1" s="142"/>
    </row>
    <row r="2" spans="1:8">
      <c r="A2" s="108"/>
      <c r="B2" s="131" t="s">
        <v>42</v>
      </c>
      <c r="C2" s="132" t="s">
        <v>10</v>
      </c>
      <c r="E2" t="s">
        <v>43</v>
      </c>
    </row>
    <row r="3" spans="1:8" ht="28.5" customHeight="1">
      <c r="A3" s="199" t="s">
        <v>44</v>
      </c>
      <c r="B3" s="141" t="s">
        <v>45</v>
      </c>
      <c r="C3" s="133" t="s">
        <v>46</v>
      </c>
      <c r="E3" s="133" t="s">
        <v>46</v>
      </c>
    </row>
    <row r="4" spans="1:8" ht="43.5" customHeight="1">
      <c r="A4" s="200"/>
      <c r="B4" s="143" t="s">
        <v>11</v>
      </c>
      <c r="C4" s="145" t="s">
        <v>6</v>
      </c>
      <c r="E4" s="114" t="s">
        <v>47</v>
      </c>
    </row>
    <row r="5" spans="1:8" ht="28.5" customHeight="1">
      <c r="A5" s="201" t="s">
        <v>49</v>
      </c>
      <c r="B5" s="115" t="s">
        <v>50</v>
      </c>
      <c r="C5" s="133" t="s">
        <v>46</v>
      </c>
      <c r="E5" s="139" t="s">
        <v>48</v>
      </c>
    </row>
    <row r="6" spans="1:8" ht="28.5" customHeight="1">
      <c r="A6" s="202"/>
      <c r="B6" s="144" t="s">
        <v>12</v>
      </c>
      <c r="C6" s="145" t="s">
        <v>6</v>
      </c>
    </row>
    <row r="7" spans="1:8" ht="28.5" customHeight="1">
      <c r="A7" s="199" t="s">
        <v>51</v>
      </c>
      <c r="B7" s="141" t="s">
        <v>52</v>
      </c>
      <c r="C7" s="133" t="s">
        <v>46</v>
      </c>
    </row>
    <row r="8" spans="1:8" ht="28.5" customHeight="1">
      <c r="A8" s="200"/>
      <c r="B8" s="143" t="s">
        <v>13</v>
      </c>
      <c r="C8" s="145" t="s">
        <v>6</v>
      </c>
    </row>
    <row r="9" spans="1:8" ht="28.5" customHeight="1">
      <c r="A9" s="201" t="s">
        <v>53</v>
      </c>
      <c r="B9" s="115" t="s">
        <v>54</v>
      </c>
      <c r="C9" s="120" t="s">
        <v>48</v>
      </c>
      <c r="E9" t="s">
        <v>3</v>
      </c>
    </row>
    <row r="10" spans="1:8" ht="28.5" customHeight="1">
      <c r="A10" s="202"/>
      <c r="B10" s="144" t="s">
        <v>14</v>
      </c>
      <c r="C10" s="120" t="s">
        <v>48</v>
      </c>
    </row>
    <row r="11" spans="1:8" ht="28.5" customHeight="1">
      <c r="A11" s="199" t="s">
        <v>55</v>
      </c>
      <c r="B11" s="141" t="s">
        <v>56</v>
      </c>
      <c r="C11" s="133" t="s">
        <v>46</v>
      </c>
    </row>
    <row r="12" spans="1:8" ht="28.5" customHeight="1">
      <c r="A12" s="200"/>
      <c r="B12" s="141" t="s">
        <v>57</v>
      </c>
      <c r="C12" s="133" t="s">
        <v>46</v>
      </c>
    </row>
    <row r="13" spans="1:8" ht="28.5" customHeight="1">
      <c r="A13" s="196" t="s">
        <v>58</v>
      </c>
      <c r="B13" s="115" t="s">
        <v>59</v>
      </c>
      <c r="C13" s="133" t="s">
        <v>46</v>
      </c>
    </row>
    <row r="14" spans="1:8" ht="28.5" customHeight="1">
      <c r="A14" s="197"/>
      <c r="B14" s="115" t="s">
        <v>60</v>
      </c>
      <c r="C14" s="133" t="s">
        <v>61</v>
      </c>
      <c r="E14" s="133" t="s">
        <v>61</v>
      </c>
      <c r="F14" s="114" t="s">
        <v>62</v>
      </c>
      <c r="H14" t="s">
        <v>0</v>
      </c>
    </row>
    <row r="15" spans="1:8" ht="28.5" customHeight="1">
      <c r="A15" s="198"/>
      <c r="B15" s="115" t="s">
        <v>1</v>
      </c>
      <c r="C15" s="120" t="s">
        <v>48</v>
      </c>
    </row>
    <row r="17" spans="1:1">
      <c r="A17" t="s">
        <v>2</v>
      </c>
    </row>
  </sheetData>
  <sheetCalcPr fullCalcOnLoad="1"/>
  <mergeCells count="6">
    <mergeCell ref="A13:A15"/>
    <mergeCell ref="A3:A4"/>
    <mergeCell ref="A5:A6"/>
    <mergeCell ref="A7:A8"/>
    <mergeCell ref="A9:A10"/>
    <mergeCell ref="A11:A12"/>
  </mergeCells>
  <phoneticPr fontId="1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H89"/>
  <sheetViews>
    <sheetView workbookViewId="0">
      <selection activeCell="B1" sqref="B1"/>
    </sheetView>
  </sheetViews>
  <sheetFormatPr baseColWidth="10" defaultColWidth="8.83203125" defaultRowHeight="14"/>
  <cols>
    <col min="1" max="1" width="27.83203125" style="3" customWidth="1"/>
    <col min="2" max="2" width="10.6640625" style="3" customWidth="1"/>
    <col min="3" max="3" width="8.83203125" style="3"/>
    <col min="4" max="5" width="8.83203125" style="30"/>
    <col min="6" max="6" width="9.5" style="30" bestFit="1" customWidth="1"/>
    <col min="7" max="16" width="8.83203125" style="3"/>
    <col min="17" max="17" width="9.5" style="3" bestFit="1" customWidth="1"/>
    <col min="18" max="27" width="8.83203125" style="21"/>
    <col min="28" max="31" width="8.83203125" style="3"/>
    <col min="32" max="32" width="8.83203125" style="30"/>
    <col min="33" max="33" width="8.83203125" style="3"/>
    <col min="34" max="34" width="12.6640625" bestFit="1" customWidth="1"/>
  </cols>
  <sheetData>
    <row r="1" spans="1:34">
      <c r="A1" s="1" t="s">
        <v>221</v>
      </c>
      <c r="B1" s="1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5"/>
      <c r="AD1" s="5"/>
      <c r="AE1" s="5"/>
      <c r="AF1" s="5"/>
      <c r="AG1" s="5"/>
    </row>
    <row r="2" spans="1:34">
      <c r="A2" s="1" t="s">
        <v>222</v>
      </c>
      <c r="B2" s="1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5"/>
      <c r="AC2" s="5"/>
      <c r="AD2" s="5"/>
      <c r="AE2" s="5"/>
      <c r="AF2" s="5"/>
      <c r="AG2" s="5"/>
    </row>
    <row r="3" spans="1:34" ht="15" thickBot="1">
      <c r="A3" s="2" t="s">
        <v>223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4" ht="15" thickTop="1">
      <c r="A4" s="5"/>
      <c r="B4" s="5"/>
      <c r="C4" s="62" t="s">
        <v>190</v>
      </c>
      <c r="D4" s="62" t="s">
        <v>190</v>
      </c>
      <c r="E4" s="62" t="s">
        <v>190</v>
      </c>
      <c r="F4" s="62" t="s">
        <v>190</v>
      </c>
      <c r="G4" s="54" t="s">
        <v>133</v>
      </c>
      <c r="H4" s="54" t="s">
        <v>133</v>
      </c>
      <c r="I4" s="54" t="s">
        <v>133</v>
      </c>
      <c r="J4" s="54" t="s">
        <v>133</v>
      </c>
      <c r="K4" s="54" t="s">
        <v>133</v>
      </c>
      <c r="L4" s="54" t="s">
        <v>133</v>
      </c>
      <c r="M4" s="54" t="s">
        <v>133</v>
      </c>
      <c r="N4" s="54" t="s">
        <v>133</v>
      </c>
      <c r="O4" s="54" t="s">
        <v>133</v>
      </c>
      <c r="P4" s="54" t="s">
        <v>133</v>
      </c>
      <c r="Q4" s="54" t="s">
        <v>133</v>
      </c>
      <c r="R4" s="56" t="s">
        <v>157</v>
      </c>
      <c r="S4" s="56" t="s">
        <v>157</v>
      </c>
      <c r="T4" s="56" t="s">
        <v>157</v>
      </c>
      <c r="U4" s="56" t="s">
        <v>157</v>
      </c>
      <c r="V4" s="56" t="s">
        <v>157</v>
      </c>
      <c r="W4" s="56" t="s">
        <v>157</v>
      </c>
      <c r="X4" s="56" t="s">
        <v>157</v>
      </c>
      <c r="Y4" s="56" t="s">
        <v>157</v>
      </c>
      <c r="Z4" s="56" t="s">
        <v>157</v>
      </c>
      <c r="AA4" s="56" t="s">
        <v>157</v>
      </c>
      <c r="AB4" s="74" t="s">
        <v>129</v>
      </c>
      <c r="AC4" s="74" t="s">
        <v>129</v>
      </c>
      <c r="AD4" s="74" t="s">
        <v>129</v>
      </c>
      <c r="AE4" s="74" t="s">
        <v>129</v>
      </c>
      <c r="AF4" s="74" t="s">
        <v>129</v>
      </c>
      <c r="AG4" s="68" t="s">
        <v>81</v>
      </c>
    </row>
    <row r="5" spans="1:34">
      <c r="C5" s="63" t="s">
        <v>195</v>
      </c>
      <c r="D5" s="63" t="s">
        <v>196</v>
      </c>
      <c r="E5" s="63" t="s">
        <v>197</v>
      </c>
      <c r="F5" s="63" t="s">
        <v>199</v>
      </c>
      <c r="G5" s="55" t="s">
        <v>283</v>
      </c>
      <c r="H5" s="55" t="s">
        <v>284</v>
      </c>
      <c r="I5" s="55" t="s">
        <v>285</v>
      </c>
      <c r="J5" s="55" t="s">
        <v>286</v>
      </c>
      <c r="K5" s="55" t="s">
        <v>287</v>
      </c>
      <c r="L5" s="55" t="s">
        <v>288</v>
      </c>
      <c r="M5" s="55" t="s">
        <v>289</v>
      </c>
      <c r="N5" s="55"/>
      <c r="O5" s="55" t="s">
        <v>301</v>
      </c>
      <c r="P5" s="55" t="s">
        <v>128</v>
      </c>
      <c r="Q5" s="55" t="s">
        <v>129</v>
      </c>
      <c r="R5" s="57" t="s">
        <v>138</v>
      </c>
      <c r="S5" s="57" t="s">
        <v>138</v>
      </c>
      <c r="T5" s="57" t="s">
        <v>139</v>
      </c>
      <c r="U5" s="57" t="s">
        <v>140</v>
      </c>
      <c r="V5" s="57" t="s">
        <v>141</v>
      </c>
      <c r="W5" s="57" t="s">
        <v>142</v>
      </c>
      <c r="X5" s="57" t="s">
        <v>138</v>
      </c>
      <c r="Y5" s="57" t="s">
        <v>152</v>
      </c>
      <c r="Z5" s="57" t="s">
        <v>154</v>
      </c>
      <c r="AA5" s="57"/>
      <c r="AB5" s="75" t="s">
        <v>162</v>
      </c>
      <c r="AC5" s="75" t="s">
        <v>163</v>
      </c>
      <c r="AD5" s="75" t="s">
        <v>164</v>
      </c>
      <c r="AE5" s="75"/>
      <c r="AF5" s="75" t="s">
        <v>198</v>
      </c>
      <c r="AG5" s="69" t="s">
        <v>161</v>
      </c>
      <c r="AH5" s="75" t="s">
        <v>89</v>
      </c>
    </row>
    <row r="6" spans="1:34">
      <c r="A6" s="7" t="s">
        <v>227</v>
      </c>
      <c r="B6" s="7" t="s">
        <v>206</v>
      </c>
      <c r="C6" s="62" t="s">
        <v>165</v>
      </c>
      <c r="D6" s="62" t="s">
        <v>181</v>
      </c>
      <c r="E6" s="62" t="s">
        <v>182</v>
      </c>
      <c r="F6" s="62" t="s">
        <v>184</v>
      </c>
      <c r="G6" s="54" t="s">
        <v>290</v>
      </c>
      <c r="H6" s="54" t="s">
        <v>291</v>
      </c>
      <c r="I6" s="54" t="s">
        <v>292</v>
      </c>
      <c r="J6" s="54" t="s">
        <v>291</v>
      </c>
      <c r="K6" s="54" t="s">
        <v>293</v>
      </c>
      <c r="L6" s="54" t="s">
        <v>294</v>
      </c>
      <c r="M6" s="54" t="s">
        <v>295</v>
      </c>
      <c r="N6" s="54" t="s">
        <v>296</v>
      </c>
      <c r="O6" s="54" t="s">
        <v>131</v>
      </c>
      <c r="P6" s="54" t="s">
        <v>132</v>
      </c>
      <c r="Q6" s="54" t="s">
        <v>133</v>
      </c>
      <c r="R6" s="56" t="s">
        <v>143</v>
      </c>
      <c r="S6" s="56" t="s">
        <v>144</v>
      </c>
      <c r="T6" s="56" t="s">
        <v>145</v>
      </c>
      <c r="U6" s="56" t="s">
        <v>146</v>
      </c>
      <c r="V6" s="56" t="s">
        <v>147</v>
      </c>
      <c r="W6" s="56" t="s">
        <v>148</v>
      </c>
      <c r="X6" s="56" t="s">
        <v>149</v>
      </c>
      <c r="Y6" s="56" t="s">
        <v>155</v>
      </c>
      <c r="Z6" s="56" t="s">
        <v>156</v>
      </c>
      <c r="AA6" s="56" t="s">
        <v>129</v>
      </c>
      <c r="AB6" s="74" t="s">
        <v>167</v>
      </c>
      <c r="AC6" s="74" t="s">
        <v>168</v>
      </c>
      <c r="AD6" s="74" t="s">
        <v>169</v>
      </c>
      <c r="AE6" s="74" t="s">
        <v>129</v>
      </c>
      <c r="AF6" s="74" t="s">
        <v>183</v>
      </c>
      <c r="AG6" s="68" t="s">
        <v>166</v>
      </c>
    </row>
    <row r="7" spans="1:34">
      <c r="A7" s="3" t="s">
        <v>235</v>
      </c>
      <c r="C7" s="64"/>
      <c r="D7" s="64"/>
      <c r="E7" s="64"/>
      <c r="F7" s="64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8"/>
      <c r="S7" s="58"/>
      <c r="T7" s="58"/>
      <c r="U7" s="58"/>
      <c r="V7" s="58"/>
      <c r="W7" s="58"/>
      <c r="X7" s="58"/>
      <c r="Y7" s="58"/>
      <c r="Z7" s="58"/>
      <c r="AA7" s="58"/>
      <c r="AB7" s="76"/>
      <c r="AC7" s="76"/>
      <c r="AD7" s="76"/>
      <c r="AE7" s="76"/>
      <c r="AF7" s="76"/>
      <c r="AG7" s="70"/>
    </row>
    <row r="8" spans="1:34">
      <c r="A8" s="3" t="s">
        <v>236</v>
      </c>
      <c r="B8" s="3">
        <v>7563</v>
      </c>
      <c r="C8" s="65">
        <v>9971564</v>
      </c>
      <c r="D8" s="65">
        <v>4558320</v>
      </c>
      <c r="E8" s="65">
        <v>3127855</v>
      </c>
      <c r="F8" s="65">
        <v>707609</v>
      </c>
      <c r="G8" s="50">
        <v>23974228</v>
      </c>
      <c r="H8" s="50">
        <v>11628610</v>
      </c>
      <c r="I8" s="50">
        <v>1334956</v>
      </c>
      <c r="J8" s="50">
        <v>1668672</v>
      </c>
      <c r="K8" s="50">
        <v>7621457</v>
      </c>
      <c r="L8" s="50">
        <v>3975480</v>
      </c>
      <c r="M8" s="50">
        <v>2632373</v>
      </c>
      <c r="N8" s="50">
        <v>705926</v>
      </c>
      <c r="O8" s="50">
        <v>278221</v>
      </c>
      <c r="P8" s="50">
        <v>84335</v>
      </c>
      <c r="Q8" s="50">
        <v>10359577</v>
      </c>
      <c r="R8" s="59">
        <v>275551</v>
      </c>
      <c r="S8" s="59">
        <v>32853</v>
      </c>
      <c r="T8" s="59">
        <v>981819</v>
      </c>
      <c r="U8" s="59">
        <v>41568</v>
      </c>
      <c r="V8" s="59">
        <v>0</v>
      </c>
      <c r="W8" s="59">
        <v>0</v>
      </c>
      <c r="X8" s="59">
        <v>266718</v>
      </c>
      <c r="Y8" s="59">
        <v>63667</v>
      </c>
      <c r="Z8" s="59">
        <v>37529</v>
      </c>
      <c r="AA8" s="59">
        <v>200815</v>
      </c>
      <c r="AB8" s="77">
        <v>417820</v>
      </c>
      <c r="AC8" s="77">
        <v>76663</v>
      </c>
      <c r="AD8" s="77">
        <v>101667</v>
      </c>
      <c r="AE8" s="77">
        <v>0</v>
      </c>
      <c r="AF8" s="77">
        <v>715380</v>
      </c>
      <c r="AG8" s="71">
        <v>0</v>
      </c>
    </row>
    <row r="9" spans="1:34">
      <c r="A9" s="3" t="s">
        <v>237</v>
      </c>
      <c r="B9" s="3">
        <v>10267</v>
      </c>
      <c r="C9" s="65">
        <v>33986504</v>
      </c>
      <c r="D9" s="65">
        <v>5200997</v>
      </c>
      <c r="E9" s="65">
        <v>5654241</v>
      </c>
      <c r="F9" s="65">
        <v>883404</v>
      </c>
      <c r="G9" s="50">
        <v>37262351</v>
      </c>
      <c r="H9" s="50">
        <v>18248511</v>
      </c>
      <c r="I9" s="50">
        <v>1798102</v>
      </c>
      <c r="J9" s="50">
        <v>2395125</v>
      </c>
      <c r="K9" s="50">
        <v>4176986</v>
      </c>
      <c r="L9" s="50">
        <v>2943732</v>
      </c>
      <c r="M9" s="50">
        <v>2843974</v>
      </c>
      <c r="N9" s="50">
        <v>950216</v>
      </c>
      <c r="O9" s="50">
        <v>359222</v>
      </c>
      <c r="P9" s="50">
        <v>777</v>
      </c>
      <c r="Q9" s="50">
        <v>10316681</v>
      </c>
      <c r="R9" s="59">
        <v>2723247</v>
      </c>
      <c r="S9" s="59">
        <v>21143</v>
      </c>
      <c r="T9" s="59">
        <v>2826704</v>
      </c>
      <c r="U9" s="59">
        <v>114376</v>
      </c>
      <c r="V9" s="59">
        <v>0</v>
      </c>
      <c r="W9" s="59">
        <v>0</v>
      </c>
      <c r="X9" s="59">
        <v>1266236</v>
      </c>
      <c r="Y9" s="59">
        <v>271827</v>
      </c>
      <c r="Z9" s="59">
        <v>128466</v>
      </c>
      <c r="AA9" s="59">
        <v>321827</v>
      </c>
      <c r="AB9" s="77">
        <v>758943</v>
      </c>
      <c r="AC9" s="77">
        <v>42508</v>
      </c>
      <c r="AD9" s="77">
        <v>31894</v>
      </c>
      <c r="AE9" s="77">
        <v>5573542</v>
      </c>
      <c r="AF9" s="77">
        <v>788398</v>
      </c>
      <c r="AG9" s="71">
        <v>776842</v>
      </c>
    </row>
    <row r="10" spans="1:34">
      <c r="A10" s="3" t="s">
        <v>238</v>
      </c>
      <c r="C10" s="64">
        <v>0</v>
      </c>
      <c r="D10" s="64">
        <v>0</v>
      </c>
      <c r="E10" s="64">
        <v>0</v>
      </c>
      <c r="F10" s="64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76">
        <v>0</v>
      </c>
      <c r="AC10" s="76">
        <v>0</v>
      </c>
      <c r="AD10" s="76">
        <v>0</v>
      </c>
      <c r="AE10" s="76">
        <v>2263611</v>
      </c>
      <c r="AF10" s="76">
        <v>0</v>
      </c>
      <c r="AG10" s="70">
        <v>0</v>
      </c>
    </row>
    <row r="11" spans="1:34">
      <c r="A11" s="95" t="s">
        <v>239</v>
      </c>
      <c r="B11" s="95">
        <v>17864</v>
      </c>
      <c r="C11" s="65">
        <v>56821062</v>
      </c>
      <c r="D11" s="65">
        <v>20022068</v>
      </c>
      <c r="E11" s="65">
        <v>9565869</v>
      </c>
      <c r="F11" s="65">
        <v>1758848</v>
      </c>
      <c r="G11" s="50">
        <v>56263088</v>
      </c>
      <c r="H11" s="50">
        <v>27251038</v>
      </c>
      <c r="I11" s="50">
        <v>2947749</v>
      </c>
      <c r="J11" s="50">
        <v>3914307</v>
      </c>
      <c r="K11" s="50">
        <v>6670313</v>
      </c>
      <c r="L11" s="50">
        <v>14797604</v>
      </c>
      <c r="M11" s="50">
        <v>4651560</v>
      </c>
      <c r="N11" s="50">
        <v>1576043</v>
      </c>
      <c r="O11" s="50">
        <v>477816</v>
      </c>
      <c r="P11" s="50">
        <v>94440</v>
      </c>
      <c r="Q11" s="50">
        <v>16764226</v>
      </c>
      <c r="R11" s="59">
        <v>3460419</v>
      </c>
      <c r="S11" s="59">
        <v>156594</v>
      </c>
      <c r="T11" s="59">
        <v>2490600</v>
      </c>
      <c r="U11" s="59">
        <v>134451</v>
      </c>
      <c r="V11" s="59">
        <v>0</v>
      </c>
      <c r="W11" s="59">
        <v>0</v>
      </c>
      <c r="X11" s="59">
        <v>1615639</v>
      </c>
      <c r="Y11" s="59">
        <v>407740</v>
      </c>
      <c r="Z11" s="59">
        <v>157284</v>
      </c>
      <c r="AA11" s="59">
        <v>1070308</v>
      </c>
      <c r="AB11" s="77">
        <v>1172681</v>
      </c>
      <c r="AC11" s="77">
        <v>91003</v>
      </c>
      <c r="AD11" s="77">
        <v>53974</v>
      </c>
      <c r="AE11" s="77">
        <v>1949773</v>
      </c>
      <c r="AF11" s="77">
        <v>1220894</v>
      </c>
      <c r="AG11" s="71">
        <v>0</v>
      </c>
    </row>
    <row r="12" spans="1:34">
      <c r="A12" s="95" t="s">
        <v>240</v>
      </c>
      <c r="B12" s="95">
        <v>280</v>
      </c>
      <c r="C12" s="65">
        <v>0</v>
      </c>
      <c r="D12" s="65">
        <v>0</v>
      </c>
      <c r="E12" s="65">
        <v>0</v>
      </c>
      <c r="F12" s="65">
        <v>0</v>
      </c>
      <c r="G12" s="50">
        <v>7207212</v>
      </c>
      <c r="H12" s="50">
        <v>3647988</v>
      </c>
      <c r="I12" s="50">
        <v>208579</v>
      </c>
      <c r="J12" s="50">
        <v>272157</v>
      </c>
      <c r="K12" s="50">
        <v>541520</v>
      </c>
      <c r="L12" s="50">
        <v>0</v>
      </c>
      <c r="M12" s="50">
        <v>341656</v>
      </c>
      <c r="N12" s="50">
        <v>202156</v>
      </c>
      <c r="O12" s="50">
        <v>46957</v>
      </c>
      <c r="P12" s="50">
        <v>0</v>
      </c>
      <c r="Q12" s="50">
        <v>244560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77">
        <v>25641</v>
      </c>
      <c r="AC12" s="77">
        <v>0</v>
      </c>
      <c r="AD12" s="77">
        <v>0</v>
      </c>
      <c r="AE12" s="77">
        <v>127660</v>
      </c>
      <c r="AF12" s="77">
        <v>0</v>
      </c>
      <c r="AG12" s="71">
        <v>8186947</v>
      </c>
    </row>
    <row r="13" spans="1:34">
      <c r="A13" s="95" t="s">
        <v>241</v>
      </c>
      <c r="B13" s="95">
        <v>94</v>
      </c>
      <c r="C13" s="65">
        <v>0</v>
      </c>
      <c r="D13" s="65">
        <v>0</v>
      </c>
      <c r="E13" s="65">
        <v>0</v>
      </c>
      <c r="F13" s="65">
        <v>0</v>
      </c>
      <c r="G13" s="50">
        <v>3375267</v>
      </c>
      <c r="H13" s="50">
        <v>1629453</v>
      </c>
      <c r="I13" s="50">
        <v>57799</v>
      </c>
      <c r="J13" s="50">
        <v>75417</v>
      </c>
      <c r="K13" s="50">
        <v>155687</v>
      </c>
      <c r="L13" s="50">
        <v>0</v>
      </c>
      <c r="M13" s="50">
        <v>190</v>
      </c>
      <c r="N13" s="50">
        <v>41</v>
      </c>
      <c r="O13" s="50">
        <v>13495</v>
      </c>
      <c r="P13" s="50">
        <v>0</v>
      </c>
      <c r="Q13" s="50">
        <v>415895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113563</v>
      </c>
      <c r="AB13" s="77">
        <v>9355</v>
      </c>
      <c r="AC13" s="77">
        <v>0</v>
      </c>
      <c r="AD13" s="77">
        <v>0</v>
      </c>
      <c r="AE13" s="77">
        <v>56091</v>
      </c>
      <c r="AF13" s="77">
        <v>0</v>
      </c>
      <c r="AG13" s="71">
        <v>4652439</v>
      </c>
    </row>
    <row r="14" spans="1:34">
      <c r="A14" s="95" t="s">
        <v>242</v>
      </c>
      <c r="B14" s="95">
        <v>0</v>
      </c>
      <c r="C14" s="65">
        <v>0</v>
      </c>
      <c r="D14" s="65">
        <v>0</v>
      </c>
      <c r="E14" s="65">
        <v>0</v>
      </c>
      <c r="F14" s="65">
        <v>0</v>
      </c>
      <c r="G14" s="50">
        <v>1217514</v>
      </c>
      <c r="H14" s="50">
        <v>556026</v>
      </c>
      <c r="I14" s="50">
        <v>42721</v>
      </c>
      <c r="J14" s="50">
        <v>55743</v>
      </c>
      <c r="K14" s="50">
        <v>115073</v>
      </c>
      <c r="L14" s="50">
        <v>0</v>
      </c>
      <c r="M14" s="50">
        <v>1231</v>
      </c>
      <c r="N14" s="50">
        <v>268</v>
      </c>
      <c r="O14" s="50">
        <v>9978</v>
      </c>
      <c r="P14" s="50">
        <v>0</v>
      </c>
      <c r="Q14" s="50">
        <v>58288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77">
        <v>13395</v>
      </c>
      <c r="AC14" s="77">
        <v>0</v>
      </c>
      <c r="AD14" s="77">
        <v>0</v>
      </c>
      <c r="AE14" s="77">
        <v>56433</v>
      </c>
      <c r="AF14" s="77">
        <v>0</v>
      </c>
      <c r="AG14" s="71">
        <v>3245371</v>
      </c>
    </row>
    <row r="15" spans="1:34">
      <c r="A15" s="95" t="s">
        <v>243</v>
      </c>
      <c r="B15" s="95">
        <v>106</v>
      </c>
      <c r="C15" s="65">
        <v>0</v>
      </c>
      <c r="D15" s="65">
        <v>0</v>
      </c>
      <c r="E15" s="65">
        <v>0</v>
      </c>
      <c r="F15" s="65">
        <v>0</v>
      </c>
      <c r="G15" s="50">
        <v>3918718</v>
      </c>
      <c r="H15" s="50">
        <v>1914586</v>
      </c>
      <c r="I15" s="50">
        <v>221144</v>
      </c>
      <c r="J15" s="50">
        <v>288552</v>
      </c>
      <c r="K15" s="50">
        <v>498440</v>
      </c>
      <c r="L15" s="50">
        <v>0</v>
      </c>
      <c r="M15" s="50">
        <v>0</v>
      </c>
      <c r="N15" s="50">
        <v>0</v>
      </c>
      <c r="O15" s="50">
        <v>49892</v>
      </c>
      <c r="P15" s="50">
        <v>0</v>
      </c>
      <c r="Q15" s="50">
        <v>185485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77">
        <v>10966</v>
      </c>
      <c r="AC15" s="77">
        <v>0</v>
      </c>
      <c r="AD15" s="77">
        <v>0</v>
      </c>
      <c r="AE15" s="77">
        <v>66903</v>
      </c>
      <c r="AF15" s="77">
        <v>0</v>
      </c>
      <c r="AG15" s="71">
        <v>6042690</v>
      </c>
    </row>
    <row r="16" spans="1:34">
      <c r="A16" s="3" t="s">
        <v>244</v>
      </c>
      <c r="B16" s="3">
        <v>10216</v>
      </c>
      <c r="C16" s="65">
        <v>22066660</v>
      </c>
      <c r="D16" s="65">
        <v>7511588</v>
      </c>
      <c r="E16" s="65">
        <v>4226123</v>
      </c>
      <c r="F16" s="65">
        <v>1305478</v>
      </c>
      <c r="G16" s="50">
        <v>31995020</v>
      </c>
      <c r="H16" s="50">
        <v>15934553</v>
      </c>
      <c r="I16" s="50">
        <v>1679689</v>
      </c>
      <c r="J16" s="50">
        <v>2041742</v>
      </c>
      <c r="K16" s="50">
        <v>3917739</v>
      </c>
      <c r="L16" s="50">
        <v>5004872</v>
      </c>
      <c r="M16" s="50">
        <v>5009397</v>
      </c>
      <c r="N16" s="50">
        <v>1762023</v>
      </c>
      <c r="O16" s="50">
        <v>365092</v>
      </c>
      <c r="P16" s="50">
        <v>0</v>
      </c>
      <c r="Q16" s="50">
        <v>6623097</v>
      </c>
      <c r="R16" s="59">
        <v>2651082</v>
      </c>
      <c r="S16" s="59">
        <v>54769</v>
      </c>
      <c r="T16" s="59">
        <v>2460378</v>
      </c>
      <c r="U16" s="59">
        <v>115038</v>
      </c>
      <c r="V16" s="59">
        <v>0</v>
      </c>
      <c r="W16" s="59">
        <v>0</v>
      </c>
      <c r="X16" s="59">
        <v>1259978</v>
      </c>
      <c r="Y16" s="59">
        <v>117920</v>
      </c>
      <c r="Z16" s="59">
        <v>127598</v>
      </c>
      <c r="AA16" s="59">
        <v>733122</v>
      </c>
      <c r="AB16" s="77">
        <v>1666233</v>
      </c>
      <c r="AC16" s="77">
        <v>42874</v>
      </c>
      <c r="AD16" s="77">
        <v>21693</v>
      </c>
      <c r="AE16" s="77">
        <v>21453</v>
      </c>
      <c r="AF16" s="77">
        <v>436959</v>
      </c>
      <c r="AG16" s="71">
        <v>598999</v>
      </c>
    </row>
    <row r="17" spans="1:33">
      <c r="A17" s="3" t="s">
        <v>245</v>
      </c>
      <c r="B17" s="3">
        <v>67</v>
      </c>
      <c r="C17" s="65">
        <v>0</v>
      </c>
      <c r="D17" s="65">
        <v>0</v>
      </c>
      <c r="E17" s="65">
        <v>0</v>
      </c>
      <c r="F17" s="65">
        <v>0</v>
      </c>
      <c r="G17" s="50">
        <v>3199539</v>
      </c>
      <c r="H17" s="50">
        <v>1596941</v>
      </c>
      <c r="I17" s="50">
        <v>110572</v>
      </c>
      <c r="J17" s="50">
        <v>119683</v>
      </c>
      <c r="K17" s="50">
        <v>162456</v>
      </c>
      <c r="L17" s="50">
        <v>0</v>
      </c>
      <c r="M17" s="50">
        <v>266111</v>
      </c>
      <c r="N17" s="50">
        <v>92420</v>
      </c>
      <c r="O17" s="50">
        <v>14087</v>
      </c>
      <c r="P17" s="50">
        <v>0</v>
      </c>
      <c r="Q17" s="50">
        <v>147570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77">
        <v>53904</v>
      </c>
      <c r="AC17" s="77">
        <v>0</v>
      </c>
      <c r="AD17" s="77">
        <v>0</v>
      </c>
      <c r="AE17" s="77">
        <v>135385</v>
      </c>
      <c r="AF17" s="77">
        <v>0</v>
      </c>
      <c r="AG17" s="71">
        <v>3200000</v>
      </c>
    </row>
    <row r="18" spans="1:33">
      <c r="A18" s="3" t="s">
        <v>246</v>
      </c>
      <c r="B18" s="3">
        <v>3794</v>
      </c>
      <c r="C18" s="65">
        <v>23814669</v>
      </c>
      <c r="D18" s="65">
        <v>0</v>
      </c>
      <c r="E18" s="65">
        <v>897428</v>
      </c>
      <c r="F18" s="65">
        <v>0</v>
      </c>
      <c r="G18" s="50">
        <v>16265912</v>
      </c>
      <c r="H18" s="50">
        <v>8407392</v>
      </c>
      <c r="I18" s="50">
        <v>1365665</v>
      </c>
      <c r="J18" s="50">
        <v>1831125</v>
      </c>
      <c r="K18" s="50">
        <v>1713144</v>
      </c>
      <c r="L18" s="50">
        <v>4327018</v>
      </c>
      <c r="M18" s="50">
        <v>591819</v>
      </c>
      <c r="N18" s="50">
        <v>133425</v>
      </c>
      <c r="O18" s="50">
        <v>169633</v>
      </c>
      <c r="P18" s="50">
        <v>15546</v>
      </c>
      <c r="Q18" s="50">
        <v>7788053</v>
      </c>
      <c r="R18" s="59">
        <v>474563</v>
      </c>
      <c r="S18" s="59">
        <v>9973</v>
      </c>
      <c r="T18" s="59">
        <v>735552</v>
      </c>
      <c r="U18" s="59">
        <v>0</v>
      </c>
      <c r="V18" s="59">
        <v>0</v>
      </c>
      <c r="W18" s="59">
        <v>0</v>
      </c>
      <c r="X18" s="59">
        <v>201499</v>
      </c>
      <c r="Y18" s="59">
        <v>626402</v>
      </c>
      <c r="Z18" s="59">
        <v>24558</v>
      </c>
      <c r="AA18" s="59">
        <v>143143</v>
      </c>
      <c r="AB18" s="77">
        <v>666356</v>
      </c>
      <c r="AC18" s="77">
        <v>0</v>
      </c>
      <c r="AD18" s="77">
        <v>35460</v>
      </c>
      <c r="AE18" s="77">
        <v>1734414</v>
      </c>
      <c r="AF18" s="77">
        <v>102629</v>
      </c>
      <c r="AG18" s="71">
        <v>0</v>
      </c>
    </row>
    <row r="19" spans="1:33">
      <c r="A19" s="95" t="s">
        <v>247</v>
      </c>
      <c r="B19" s="95">
        <v>15545</v>
      </c>
      <c r="C19" s="65">
        <v>41647573</v>
      </c>
      <c r="D19" s="65">
        <v>12097079</v>
      </c>
      <c r="E19" s="65">
        <v>7623173</v>
      </c>
      <c r="F19" s="65">
        <v>29330</v>
      </c>
      <c r="G19" s="50">
        <v>49525480</v>
      </c>
      <c r="H19" s="50">
        <v>25077066</v>
      </c>
      <c r="I19" s="50">
        <v>2421276</v>
      </c>
      <c r="J19" s="50">
        <v>3243036</v>
      </c>
      <c r="K19" s="50">
        <v>5639350</v>
      </c>
      <c r="L19" s="50">
        <v>6083470</v>
      </c>
      <c r="M19" s="50">
        <v>1113134</v>
      </c>
      <c r="N19" s="50">
        <v>512890</v>
      </c>
      <c r="O19" s="50">
        <v>515354</v>
      </c>
      <c r="P19" s="50">
        <v>26039</v>
      </c>
      <c r="Q19" s="50">
        <v>19486038</v>
      </c>
      <c r="R19" s="59">
        <v>3564230</v>
      </c>
      <c r="S19" s="59">
        <v>40011</v>
      </c>
      <c r="T19" s="59">
        <v>4048047</v>
      </c>
      <c r="U19" s="59">
        <v>117609</v>
      </c>
      <c r="V19" s="59">
        <v>0</v>
      </c>
      <c r="W19" s="59">
        <v>0</v>
      </c>
      <c r="X19" s="59">
        <v>1948380</v>
      </c>
      <c r="Y19" s="59">
        <v>193483</v>
      </c>
      <c r="Z19" s="59">
        <v>181263</v>
      </c>
      <c r="AA19" s="59">
        <v>1732784</v>
      </c>
      <c r="AB19" s="77">
        <v>730635</v>
      </c>
      <c r="AC19" s="77">
        <v>212067</v>
      </c>
      <c r="AD19" s="77">
        <v>0</v>
      </c>
      <c r="AE19" s="77">
        <v>11564314</v>
      </c>
      <c r="AF19" s="77">
        <v>1380054</v>
      </c>
      <c r="AG19" s="71">
        <v>569450</v>
      </c>
    </row>
    <row r="20" spans="1:33">
      <c r="A20" s="95" t="s">
        <v>248</v>
      </c>
      <c r="B20" s="95">
        <v>128</v>
      </c>
      <c r="C20" s="65">
        <v>0</v>
      </c>
      <c r="D20" s="65">
        <v>0</v>
      </c>
      <c r="E20" s="65">
        <v>0</v>
      </c>
      <c r="F20" s="65">
        <v>0</v>
      </c>
      <c r="G20" s="50">
        <v>1405242</v>
      </c>
      <c r="H20" s="50">
        <v>766854</v>
      </c>
      <c r="I20" s="50">
        <v>25903</v>
      </c>
      <c r="J20" s="50">
        <v>153649</v>
      </c>
      <c r="K20" s="50">
        <v>175994</v>
      </c>
      <c r="L20" s="50">
        <v>985153</v>
      </c>
      <c r="M20" s="50">
        <v>0</v>
      </c>
      <c r="N20" s="50">
        <v>0</v>
      </c>
      <c r="O20" s="50">
        <v>15261</v>
      </c>
      <c r="P20" s="50">
        <v>0</v>
      </c>
      <c r="Q20" s="50">
        <v>97796</v>
      </c>
      <c r="R20" s="59">
        <v>0</v>
      </c>
      <c r="S20" s="59">
        <v>0</v>
      </c>
      <c r="T20" s="59">
        <v>7888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72574</v>
      </c>
      <c r="AB20" s="77">
        <v>22591</v>
      </c>
      <c r="AC20" s="77">
        <v>0</v>
      </c>
      <c r="AD20" s="77">
        <v>0</v>
      </c>
      <c r="AE20" s="77">
        <v>62898</v>
      </c>
      <c r="AF20" s="77">
        <v>0</v>
      </c>
      <c r="AG20" s="71">
        <v>3895574</v>
      </c>
    </row>
    <row r="21" spans="1:33">
      <c r="A21" s="95" t="s">
        <v>249</v>
      </c>
      <c r="B21" s="95">
        <v>107</v>
      </c>
      <c r="C21" s="65">
        <v>0</v>
      </c>
      <c r="D21" s="65">
        <v>0</v>
      </c>
      <c r="E21" s="65">
        <v>0</v>
      </c>
      <c r="F21" s="65">
        <v>0</v>
      </c>
      <c r="G21" s="50">
        <v>2144503</v>
      </c>
      <c r="H21" s="50">
        <v>1259429</v>
      </c>
      <c r="I21" s="50">
        <v>48455</v>
      </c>
      <c r="J21" s="50">
        <v>154265</v>
      </c>
      <c r="K21" s="50">
        <v>236915</v>
      </c>
      <c r="L21" s="50">
        <v>403245</v>
      </c>
      <c r="M21" s="50">
        <v>0</v>
      </c>
      <c r="N21" s="50">
        <v>0</v>
      </c>
      <c r="O21" s="50">
        <v>20544</v>
      </c>
      <c r="P21" s="50">
        <v>0</v>
      </c>
      <c r="Q21" s="50">
        <v>132600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77">
        <v>20046</v>
      </c>
      <c r="AC21" s="77">
        <v>0</v>
      </c>
      <c r="AD21" s="77">
        <v>0</v>
      </c>
      <c r="AE21" s="77">
        <v>7016</v>
      </c>
      <c r="AF21" s="77">
        <v>0</v>
      </c>
      <c r="AG21" s="71">
        <v>4517322</v>
      </c>
    </row>
    <row r="22" spans="1:33">
      <c r="A22" s="10"/>
      <c r="B22" s="10"/>
      <c r="C22" s="66"/>
      <c r="D22" s="66"/>
      <c r="E22" s="66"/>
      <c r="F22" s="66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78"/>
      <c r="AC22" s="78"/>
      <c r="AD22" s="78"/>
      <c r="AE22" s="78"/>
      <c r="AF22" s="78"/>
      <c r="AG22" s="72"/>
    </row>
    <row r="23" spans="1:33">
      <c r="C23" s="64"/>
      <c r="D23" s="64"/>
      <c r="E23" s="64"/>
      <c r="F23" s="64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76"/>
      <c r="AC23" s="76"/>
      <c r="AD23" s="76"/>
      <c r="AE23" s="76"/>
      <c r="AF23" s="76"/>
      <c r="AG23" s="70"/>
    </row>
    <row r="24" spans="1:33">
      <c r="A24" s="3" t="s">
        <v>251</v>
      </c>
      <c r="C24" s="64"/>
      <c r="D24" s="64"/>
      <c r="E24" s="64"/>
      <c r="F24" s="64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76"/>
      <c r="AC24" s="76"/>
      <c r="AD24" s="76"/>
      <c r="AE24" s="76"/>
      <c r="AF24" s="76"/>
      <c r="AG24" s="70"/>
    </row>
    <row r="25" spans="1:33">
      <c r="A25" s="3" t="s">
        <v>252</v>
      </c>
      <c r="B25" s="3">
        <v>6596</v>
      </c>
      <c r="C25" s="65">
        <v>3809302</v>
      </c>
      <c r="D25" s="65">
        <v>2010420</v>
      </c>
      <c r="E25" s="65">
        <v>1002592</v>
      </c>
      <c r="F25" s="65">
        <v>561482</v>
      </c>
      <c r="G25" s="50">
        <v>21179996</v>
      </c>
      <c r="H25" s="50">
        <v>10651162</v>
      </c>
      <c r="I25" s="50">
        <v>988056</v>
      </c>
      <c r="J25" s="50">
        <v>1448534</v>
      </c>
      <c r="K25" s="50">
        <v>8769828</v>
      </c>
      <c r="L25" s="50">
        <v>2707819</v>
      </c>
      <c r="M25" s="50">
        <v>4228620</v>
      </c>
      <c r="N25" s="50">
        <v>1037364</v>
      </c>
      <c r="O25" s="50">
        <v>229503</v>
      </c>
      <c r="P25" s="50">
        <v>0</v>
      </c>
      <c r="Q25" s="50">
        <v>4387537</v>
      </c>
      <c r="R25" s="59">
        <v>1805825</v>
      </c>
      <c r="S25" s="59">
        <v>20927</v>
      </c>
      <c r="T25" s="59">
        <v>1459532</v>
      </c>
      <c r="U25" s="59">
        <v>7</v>
      </c>
      <c r="V25" s="59">
        <v>0</v>
      </c>
      <c r="W25" s="59">
        <v>0</v>
      </c>
      <c r="X25" s="59">
        <v>605432</v>
      </c>
      <c r="Y25" s="59">
        <v>198367</v>
      </c>
      <c r="Z25" s="59">
        <v>85123</v>
      </c>
      <c r="AA25" s="59">
        <v>130066</v>
      </c>
      <c r="AB25" s="77">
        <v>175638</v>
      </c>
      <c r="AC25" s="77">
        <v>19831</v>
      </c>
      <c r="AD25" s="77">
        <v>50142</v>
      </c>
      <c r="AE25" s="77">
        <v>3110725</v>
      </c>
      <c r="AF25" s="77">
        <v>66909</v>
      </c>
      <c r="AG25" s="71">
        <v>1758352</v>
      </c>
    </row>
    <row r="26" spans="1:33">
      <c r="A26" s="3" t="s">
        <v>253</v>
      </c>
      <c r="B26" s="3">
        <v>182</v>
      </c>
      <c r="C26" s="65">
        <v>0</v>
      </c>
      <c r="D26" s="65">
        <v>0</v>
      </c>
      <c r="E26" s="65">
        <v>0</v>
      </c>
      <c r="F26" s="65">
        <v>0</v>
      </c>
      <c r="G26" s="50">
        <v>2630224</v>
      </c>
      <c r="H26" s="50">
        <v>1266921</v>
      </c>
      <c r="I26" s="50">
        <v>123137</v>
      </c>
      <c r="J26" s="50">
        <v>160671</v>
      </c>
      <c r="K26" s="50">
        <v>824783</v>
      </c>
      <c r="L26" s="50">
        <v>1013191</v>
      </c>
      <c r="M26" s="50">
        <v>702613</v>
      </c>
      <c r="N26" s="50">
        <v>244768</v>
      </c>
      <c r="O26" s="50">
        <v>25239</v>
      </c>
      <c r="P26" s="50">
        <v>0</v>
      </c>
      <c r="Q26" s="50">
        <v>79635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77">
        <v>29255</v>
      </c>
      <c r="AC26" s="77">
        <v>0</v>
      </c>
      <c r="AD26" s="77">
        <v>0</v>
      </c>
      <c r="AE26" s="77">
        <v>688864</v>
      </c>
      <c r="AF26" s="77">
        <v>0</v>
      </c>
      <c r="AG26" s="71">
        <v>2924995</v>
      </c>
    </row>
    <row r="27" spans="1:33">
      <c r="A27" s="3" t="s">
        <v>254</v>
      </c>
      <c r="B27" s="3">
        <v>173</v>
      </c>
      <c r="C27" s="64">
        <v>0</v>
      </c>
      <c r="D27" s="64">
        <v>0</v>
      </c>
      <c r="E27" s="64">
        <v>0</v>
      </c>
      <c r="F27" s="64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58">
        <v>0</v>
      </c>
      <c r="Z27" s="58">
        <v>0</v>
      </c>
      <c r="AA27" s="58">
        <v>0</v>
      </c>
      <c r="AB27" s="76">
        <v>0</v>
      </c>
      <c r="AC27" s="76">
        <v>0</v>
      </c>
      <c r="AD27" s="76">
        <v>0</v>
      </c>
      <c r="AE27" s="76">
        <v>6215907</v>
      </c>
      <c r="AF27" s="76">
        <v>0</v>
      </c>
      <c r="AG27" s="70">
        <v>0</v>
      </c>
    </row>
    <row r="28" spans="1:33">
      <c r="A28" s="3" t="s">
        <v>255</v>
      </c>
      <c r="B28" s="3">
        <v>6069</v>
      </c>
      <c r="C28" s="65">
        <v>9488740</v>
      </c>
      <c r="D28" s="65">
        <v>3642333</v>
      </c>
      <c r="E28" s="65">
        <v>2064691</v>
      </c>
      <c r="F28" s="65">
        <v>782703</v>
      </c>
      <c r="G28" s="50">
        <v>23193720</v>
      </c>
      <c r="H28" s="50">
        <v>11163354</v>
      </c>
      <c r="I28" s="50">
        <v>1123311</v>
      </c>
      <c r="J28" s="50">
        <v>1458383</v>
      </c>
      <c r="K28" s="50">
        <v>6413909</v>
      </c>
      <c r="L28" s="50">
        <v>2965507</v>
      </c>
      <c r="M28" s="50">
        <v>1903739</v>
      </c>
      <c r="N28" s="50">
        <v>644646</v>
      </c>
      <c r="O28" s="50">
        <v>244764</v>
      </c>
      <c r="P28" s="50">
        <v>2720</v>
      </c>
      <c r="Q28" s="50">
        <v>5017676</v>
      </c>
      <c r="R28" s="59">
        <v>3287894</v>
      </c>
      <c r="S28" s="59">
        <v>41751</v>
      </c>
      <c r="T28" s="59">
        <v>1406423</v>
      </c>
      <c r="U28" s="59">
        <v>46390</v>
      </c>
      <c r="V28" s="59">
        <v>0</v>
      </c>
      <c r="W28" s="59">
        <v>0</v>
      </c>
      <c r="X28" s="59">
        <v>1013028</v>
      </c>
      <c r="Y28" s="59">
        <v>163350</v>
      </c>
      <c r="Z28" s="59">
        <v>129938</v>
      </c>
      <c r="AA28" s="59">
        <v>1095112</v>
      </c>
      <c r="AB28" s="77">
        <v>453421</v>
      </c>
      <c r="AC28" s="77">
        <v>33160</v>
      </c>
      <c r="AD28" s="77">
        <v>31312</v>
      </c>
      <c r="AE28" s="77">
        <v>1307648</v>
      </c>
      <c r="AF28" s="77">
        <v>55941</v>
      </c>
      <c r="AG28" s="71">
        <v>958979</v>
      </c>
    </row>
    <row r="29" spans="1:33">
      <c r="A29" s="3" t="s">
        <v>256</v>
      </c>
      <c r="B29" s="3">
        <v>1162</v>
      </c>
      <c r="C29" s="65">
        <v>3239673</v>
      </c>
      <c r="D29" s="65">
        <v>0</v>
      </c>
      <c r="E29" s="65">
        <v>203552</v>
      </c>
      <c r="F29" s="65">
        <v>0</v>
      </c>
      <c r="G29" s="50">
        <v>5061855</v>
      </c>
      <c r="H29" s="50">
        <v>2361293</v>
      </c>
      <c r="I29" s="50">
        <v>412132</v>
      </c>
      <c r="J29" s="50">
        <v>536564</v>
      </c>
      <c r="K29" s="50">
        <v>1801863</v>
      </c>
      <c r="L29" s="50">
        <v>1122890</v>
      </c>
      <c r="M29" s="50">
        <v>298260</v>
      </c>
      <c r="N29" s="50">
        <v>32241</v>
      </c>
      <c r="O29" s="50">
        <v>51652</v>
      </c>
      <c r="P29" s="50">
        <v>4250</v>
      </c>
      <c r="Q29" s="50">
        <v>2927912</v>
      </c>
      <c r="R29" s="59">
        <v>126936</v>
      </c>
      <c r="S29" s="59">
        <v>7698</v>
      </c>
      <c r="T29" s="59">
        <v>173596</v>
      </c>
      <c r="U29" s="59">
        <v>7000</v>
      </c>
      <c r="V29" s="59">
        <v>0</v>
      </c>
      <c r="W29" s="59">
        <v>0</v>
      </c>
      <c r="X29" s="59">
        <v>123008</v>
      </c>
      <c r="Y29" s="59">
        <v>623948</v>
      </c>
      <c r="Z29" s="59">
        <v>8740</v>
      </c>
      <c r="AA29" s="59">
        <v>315916</v>
      </c>
      <c r="AB29" s="77">
        <v>123480</v>
      </c>
      <c r="AC29" s="77">
        <v>0</v>
      </c>
      <c r="AD29" s="77">
        <v>14114</v>
      </c>
      <c r="AE29" s="77">
        <v>1561524</v>
      </c>
      <c r="AF29" s="77">
        <v>29899</v>
      </c>
      <c r="AG29" s="71">
        <v>0</v>
      </c>
    </row>
    <row r="30" spans="1:33">
      <c r="A30" s="3" t="s">
        <v>257</v>
      </c>
      <c r="B30" s="3">
        <v>3890</v>
      </c>
      <c r="C30" s="65">
        <v>2696000</v>
      </c>
      <c r="D30" s="65">
        <v>1018343</v>
      </c>
      <c r="E30" s="65">
        <v>484085</v>
      </c>
      <c r="F30" s="65">
        <v>295100</v>
      </c>
      <c r="G30" s="50">
        <v>12624237</v>
      </c>
      <c r="H30" s="50">
        <v>6142843</v>
      </c>
      <c r="I30" s="50">
        <v>693588</v>
      </c>
      <c r="J30" s="50">
        <v>754341</v>
      </c>
      <c r="K30" s="50">
        <v>5509537</v>
      </c>
      <c r="L30" s="50">
        <v>2019609</v>
      </c>
      <c r="M30" s="50">
        <v>2861</v>
      </c>
      <c r="N30" s="50">
        <v>622</v>
      </c>
      <c r="O30" s="50">
        <v>143806</v>
      </c>
      <c r="P30" s="50">
        <v>67235</v>
      </c>
      <c r="Q30" s="50">
        <v>4720193</v>
      </c>
      <c r="R30" s="59">
        <v>1038644</v>
      </c>
      <c r="S30" s="59">
        <v>15713</v>
      </c>
      <c r="T30" s="59">
        <v>694988</v>
      </c>
      <c r="U30" s="59">
        <v>61228</v>
      </c>
      <c r="V30" s="59">
        <v>0</v>
      </c>
      <c r="W30" s="59">
        <v>0</v>
      </c>
      <c r="X30" s="59">
        <v>430387</v>
      </c>
      <c r="Y30" s="59">
        <v>82197</v>
      </c>
      <c r="Z30" s="59">
        <v>79390</v>
      </c>
      <c r="AA30" s="59">
        <v>622537</v>
      </c>
      <c r="AB30" s="77">
        <v>408651</v>
      </c>
      <c r="AC30" s="77">
        <v>8848</v>
      </c>
      <c r="AD30" s="77">
        <v>27375</v>
      </c>
      <c r="AE30" s="77">
        <v>1756487</v>
      </c>
      <c r="AF30" s="77">
        <v>28089</v>
      </c>
      <c r="AG30" s="71">
        <v>1801712</v>
      </c>
    </row>
    <row r="31" spans="1:33">
      <c r="A31" s="3" t="s">
        <v>258</v>
      </c>
      <c r="B31" s="3">
        <v>3943</v>
      </c>
      <c r="C31" s="65">
        <v>3835393</v>
      </c>
      <c r="D31" s="65">
        <v>1841294</v>
      </c>
      <c r="E31" s="65">
        <v>469989</v>
      </c>
      <c r="F31" s="65">
        <v>394172</v>
      </c>
      <c r="G31" s="50">
        <v>14516176</v>
      </c>
      <c r="H31" s="50">
        <v>6793859</v>
      </c>
      <c r="I31" s="50">
        <v>719874</v>
      </c>
      <c r="J31" s="50">
        <v>935469</v>
      </c>
      <c r="K31" s="50">
        <v>4939356</v>
      </c>
      <c r="L31" s="50">
        <v>2492388</v>
      </c>
      <c r="M31" s="50">
        <v>1084106</v>
      </c>
      <c r="N31" s="50">
        <v>251689</v>
      </c>
      <c r="O31" s="50">
        <v>145567</v>
      </c>
      <c r="P31" s="50">
        <v>0</v>
      </c>
      <c r="Q31" s="50">
        <v>2067900</v>
      </c>
      <c r="R31" s="59">
        <v>1025784</v>
      </c>
      <c r="S31" s="59">
        <v>21213</v>
      </c>
      <c r="T31" s="59">
        <v>909114</v>
      </c>
      <c r="U31" s="59">
        <v>51246</v>
      </c>
      <c r="V31" s="59">
        <v>0</v>
      </c>
      <c r="W31" s="59">
        <v>0</v>
      </c>
      <c r="X31" s="59">
        <v>380851</v>
      </c>
      <c r="Y31" s="59">
        <v>71322</v>
      </c>
      <c r="Z31" s="59">
        <v>42497</v>
      </c>
      <c r="AA31" s="59">
        <v>171686</v>
      </c>
      <c r="AB31" s="77">
        <v>399644</v>
      </c>
      <c r="AC31" s="77">
        <v>10867</v>
      </c>
      <c r="AD31" s="77">
        <v>29788</v>
      </c>
      <c r="AE31" s="77">
        <v>452805</v>
      </c>
      <c r="AF31" s="77">
        <v>46104</v>
      </c>
      <c r="AG31" s="71">
        <v>0</v>
      </c>
    </row>
    <row r="32" spans="1:33">
      <c r="A32" s="3" t="s">
        <v>259</v>
      </c>
      <c r="B32" s="3">
        <v>4206</v>
      </c>
      <c r="C32" s="65">
        <v>3658226</v>
      </c>
      <c r="D32" s="65">
        <v>946353</v>
      </c>
      <c r="E32" s="65">
        <v>782382</v>
      </c>
      <c r="F32" s="65">
        <v>138847</v>
      </c>
      <c r="G32" s="50">
        <v>14474981</v>
      </c>
      <c r="H32" s="50">
        <v>7014748</v>
      </c>
      <c r="I32" s="50">
        <v>786569</v>
      </c>
      <c r="J32" s="50">
        <v>972673</v>
      </c>
      <c r="K32" s="50">
        <v>5788787</v>
      </c>
      <c r="L32" s="50">
        <v>1777691</v>
      </c>
      <c r="M32" s="50">
        <v>2490201</v>
      </c>
      <c r="N32" s="50">
        <v>900575</v>
      </c>
      <c r="O32" s="50">
        <v>162002</v>
      </c>
      <c r="P32" s="50">
        <v>0</v>
      </c>
      <c r="Q32" s="50">
        <v>2703064</v>
      </c>
      <c r="R32" s="59">
        <v>798595</v>
      </c>
      <c r="S32" s="59">
        <v>9336</v>
      </c>
      <c r="T32" s="59">
        <v>732897</v>
      </c>
      <c r="U32" s="59">
        <v>45807</v>
      </c>
      <c r="V32" s="59">
        <v>0</v>
      </c>
      <c r="W32" s="59">
        <v>0</v>
      </c>
      <c r="X32" s="59">
        <v>265961</v>
      </c>
      <c r="Y32" s="59">
        <v>91550</v>
      </c>
      <c r="Z32" s="59">
        <v>44062</v>
      </c>
      <c r="AA32" s="59">
        <v>35046</v>
      </c>
      <c r="AB32" s="77">
        <v>360976</v>
      </c>
      <c r="AC32" s="77">
        <v>0</v>
      </c>
      <c r="AD32" s="77">
        <v>28863</v>
      </c>
      <c r="AE32" s="77">
        <v>386634</v>
      </c>
      <c r="AF32" s="77">
        <v>247896</v>
      </c>
      <c r="AG32" s="71">
        <v>0</v>
      </c>
    </row>
    <row r="33" spans="1:34">
      <c r="A33" s="10"/>
      <c r="B33" s="10"/>
      <c r="C33" s="66"/>
      <c r="D33" s="66"/>
      <c r="E33" s="66"/>
      <c r="F33" s="66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78"/>
      <c r="AC33" s="78"/>
      <c r="AD33" s="78"/>
      <c r="AE33" s="78"/>
      <c r="AF33" s="78"/>
      <c r="AG33" s="72"/>
    </row>
    <row r="34" spans="1:34">
      <c r="C34" s="64"/>
      <c r="D34" s="64"/>
      <c r="E34" s="64"/>
      <c r="F34" s="64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76"/>
      <c r="AC34" s="76"/>
      <c r="AD34" s="76"/>
      <c r="AE34" s="76"/>
      <c r="AF34" s="76"/>
      <c r="AG34" s="70"/>
    </row>
    <row r="35" spans="1:34">
      <c r="A35" s="3" t="s">
        <v>260</v>
      </c>
      <c r="C35" s="64"/>
      <c r="D35" s="64"/>
      <c r="E35" s="64"/>
      <c r="F35" s="64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76"/>
      <c r="AC35" s="76"/>
      <c r="AD35" s="76"/>
      <c r="AE35" s="76"/>
      <c r="AF35" s="76"/>
      <c r="AG35" s="70"/>
    </row>
    <row r="36" spans="1:34">
      <c r="A36" s="3" t="s">
        <v>261</v>
      </c>
      <c r="B36" s="3">
        <v>4368</v>
      </c>
      <c r="C36" s="65">
        <v>13417874</v>
      </c>
      <c r="D36" s="65">
        <v>6996139</v>
      </c>
      <c r="E36" s="65">
        <v>3936995</v>
      </c>
      <c r="F36" s="65">
        <v>896790</v>
      </c>
      <c r="G36" s="50">
        <v>19922398</v>
      </c>
      <c r="H36" s="50">
        <v>9930655</v>
      </c>
      <c r="I36" s="50">
        <v>839342</v>
      </c>
      <c r="J36" s="50">
        <v>992200</v>
      </c>
      <c r="K36" s="50">
        <v>552826</v>
      </c>
      <c r="L36" s="50">
        <v>3409704</v>
      </c>
      <c r="M36" s="50">
        <v>1506801</v>
      </c>
      <c r="N36" s="50">
        <v>537677</v>
      </c>
      <c r="O36" s="50">
        <v>179024</v>
      </c>
      <c r="P36" s="50">
        <v>0</v>
      </c>
      <c r="Q36" s="50">
        <v>2156331</v>
      </c>
      <c r="R36" s="59">
        <v>992178</v>
      </c>
      <c r="S36" s="59">
        <v>16788</v>
      </c>
      <c r="T36" s="59">
        <v>877302</v>
      </c>
      <c r="U36" s="59">
        <v>89371</v>
      </c>
      <c r="V36" s="59">
        <v>0</v>
      </c>
      <c r="W36" s="59">
        <v>0</v>
      </c>
      <c r="X36" s="59">
        <v>394505</v>
      </c>
      <c r="Y36" s="59">
        <v>91151</v>
      </c>
      <c r="Z36" s="59">
        <v>64094</v>
      </c>
      <c r="AA36" s="59">
        <v>56431</v>
      </c>
      <c r="AB36" s="77">
        <v>399504</v>
      </c>
      <c r="AC36" s="77">
        <v>44987</v>
      </c>
      <c r="AD36" s="77">
        <v>38536</v>
      </c>
      <c r="AE36" s="77">
        <v>1132982</v>
      </c>
      <c r="AF36" s="77">
        <v>551299</v>
      </c>
      <c r="AG36" s="71">
        <v>2084983</v>
      </c>
    </row>
    <row r="37" spans="1:34">
      <c r="A37" s="3" t="s">
        <v>262</v>
      </c>
      <c r="B37" s="3">
        <v>1070</v>
      </c>
      <c r="C37" s="65">
        <v>580403</v>
      </c>
      <c r="D37" s="65">
        <v>324444</v>
      </c>
      <c r="E37" s="65">
        <v>343101</v>
      </c>
      <c r="F37" s="65">
        <v>47470</v>
      </c>
      <c r="G37" s="50">
        <v>3740105</v>
      </c>
      <c r="H37" s="50">
        <v>1861217</v>
      </c>
      <c r="I37" s="50">
        <v>203466</v>
      </c>
      <c r="J37" s="50">
        <v>289658</v>
      </c>
      <c r="K37" s="50">
        <v>1560478</v>
      </c>
      <c r="L37" s="50">
        <v>481231</v>
      </c>
      <c r="M37" s="50">
        <v>718529</v>
      </c>
      <c r="N37" s="50">
        <v>130918</v>
      </c>
      <c r="O37" s="50">
        <v>39914</v>
      </c>
      <c r="P37" s="50">
        <v>18266</v>
      </c>
      <c r="Q37" s="50">
        <v>768212</v>
      </c>
      <c r="R37" s="59">
        <v>178371</v>
      </c>
      <c r="S37" s="59">
        <v>3455</v>
      </c>
      <c r="T37" s="59">
        <v>189328</v>
      </c>
      <c r="U37" s="59">
        <v>4948</v>
      </c>
      <c r="V37" s="59">
        <v>0</v>
      </c>
      <c r="W37" s="59">
        <v>0</v>
      </c>
      <c r="X37" s="59">
        <v>72918</v>
      </c>
      <c r="Y37" s="59">
        <v>36557</v>
      </c>
      <c r="Z37" s="59">
        <v>6162</v>
      </c>
      <c r="AA37" s="59">
        <v>4979</v>
      </c>
      <c r="AB37" s="77">
        <v>105803</v>
      </c>
      <c r="AC37" s="77">
        <v>0</v>
      </c>
      <c r="AD37" s="77">
        <v>34496</v>
      </c>
      <c r="AE37" s="77">
        <v>226128</v>
      </c>
      <c r="AF37" s="77">
        <v>60820</v>
      </c>
      <c r="AG37" s="71">
        <v>520545</v>
      </c>
    </row>
    <row r="38" spans="1:34">
      <c r="A38" s="3" t="s">
        <v>263</v>
      </c>
      <c r="B38" s="3">
        <v>7933</v>
      </c>
      <c r="C38" s="65">
        <v>18420821</v>
      </c>
      <c r="D38" s="65">
        <v>4322654</v>
      </c>
      <c r="E38" s="65">
        <v>4352617</v>
      </c>
      <c r="F38" s="65">
        <v>479112</v>
      </c>
      <c r="G38" s="50">
        <v>28309183</v>
      </c>
      <c r="H38" s="50">
        <v>13252713</v>
      </c>
      <c r="I38" s="50">
        <v>1243935</v>
      </c>
      <c r="J38" s="50">
        <v>1712348</v>
      </c>
      <c r="K38" s="50">
        <v>782243</v>
      </c>
      <c r="L38" s="50">
        <v>4915191</v>
      </c>
      <c r="M38" s="50">
        <v>2551290</v>
      </c>
      <c r="N38" s="50">
        <v>1356321</v>
      </c>
      <c r="O38" s="50">
        <v>297004</v>
      </c>
      <c r="P38" s="50">
        <v>19432</v>
      </c>
      <c r="Q38" s="50">
        <v>5296737</v>
      </c>
      <c r="R38" s="59">
        <v>2193197</v>
      </c>
      <c r="S38" s="59">
        <v>51602</v>
      </c>
      <c r="T38" s="59">
        <v>2059149</v>
      </c>
      <c r="U38" s="59">
        <v>112006</v>
      </c>
      <c r="V38" s="59">
        <v>0</v>
      </c>
      <c r="W38" s="59">
        <v>0</v>
      </c>
      <c r="X38" s="59">
        <v>925447</v>
      </c>
      <c r="Y38" s="59">
        <v>198102</v>
      </c>
      <c r="Z38" s="59">
        <v>108889</v>
      </c>
      <c r="AA38" s="59">
        <v>501160</v>
      </c>
      <c r="AB38" s="77">
        <v>646714</v>
      </c>
      <c r="AC38" s="77">
        <v>17082</v>
      </c>
      <c r="AD38" s="77">
        <v>78909</v>
      </c>
      <c r="AE38" s="77">
        <v>3116266</v>
      </c>
      <c r="AF38" s="77">
        <v>615918</v>
      </c>
      <c r="AG38" s="71">
        <v>2277450</v>
      </c>
    </row>
    <row r="39" spans="1:34">
      <c r="A39" s="3" t="s">
        <v>264</v>
      </c>
      <c r="B39" s="3">
        <v>113</v>
      </c>
      <c r="C39" s="65">
        <v>0</v>
      </c>
      <c r="D39" s="65">
        <v>2131</v>
      </c>
      <c r="E39" s="65">
        <v>119246</v>
      </c>
      <c r="F39" s="65">
        <v>0</v>
      </c>
      <c r="G39" s="50">
        <v>2190131</v>
      </c>
      <c r="H39" s="50">
        <v>1107494</v>
      </c>
      <c r="I39" s="50">
        <v>47496</v>
      </c>
      <c r="J39" s="50">
        <v>62956</v>
      </c>
      <c r="K39" s="50">
        <v>39864</v>
      </c>
      <c r="L39" s="50">
        <v>1002239</v>
      </c>
      <c r="M39" s="50">
        <v>6877</v>
      </c>
      <c r="N39" s="50">
        <v>1496</v>
      </c>
      <c r="O39" s="50">
        <v>13500</v>
      </c>
      <c r="P39" s="50">
        <v>0</v>
      </c>
      <c r="Q39" s="50">
        <v>447093</v>
      </c>
      <c r="R39" s="59">
        <v>0</v>
      </c>
      <c r="S39" s="59">
        <v>0</v>
      </c>
      <c r="T39" s="59">
        <v>0</v>
      </c>
      <c r="U39" s="59">
        <v>0</v>
      </c>
      <c r="V39" s="59">
        <v>0</v>
      </c>
      <c r="W39" s="59">
        <v>0</v>
      </c>
      <c r="X39" s="59">
        <v>0</v>
      </c>
      <c r="Y39" s="59">
        <v>0</v>
      </c>
      <c r="Z39" s="59">
        <v>0</v>
      </c>
      <c r="AA39" s="59">
        <v>0</v>
      </c>
      <c r="AB39" s="77">
        <v>50162</v>
      </c>
      <c r="AC39" s="77">
        <v>0</v>
      </c>
      <c r="AD39" s="77">
        <v>78313</v>
      </c>
      <c r="AE39" s="77">
        <v>57735</v>
      </c>
      <c r="AF39" s="77">
        <v>0</v>
      </c>
      <c r="AG39" s="71">
        <v>2009418</v>
      </c>
    </row>
    <row r="40" spans="1:34">
      <c r="A40" s="3" t="s">
        <v>265</v>
      </c>
      <c r="B40" s="3">
        <v>2069</v>
      </c>
      <c r="C40" s="65">
        <v>1672235</v>
      </c>
      <c r="D40" s="65">
        <v>814718</v>
      </c>
      <c r="E40" s="65">
        <v>248769</v>
      </c>
      <c r="F40" s="65">
        <v>0</v>
      </c>
      <c r="G40" s="50">
        <v>7746958</v>
      </c>
      <c r="H40" s="50">
        <v>3760657</v>
      </c>
      <c r="I40" s="50">
        <v>350312</v>
      </c>
      <c r="J40" s="50">
        <v>411334</v>
      </c>
      <c r="K40" s="50">
        <v>2410086</v>
      </c>
      <c r="L40" s="50">
        <v>1342789</v>
      </c>
      <c r="M40" s="50">
        <v>70389</v>
      </c>
      <c r="N40" s="50">
        <v>15308</v>
      </c>
      <c r="O40" s="50">
        <v>76892</v>
      </c>
      <c r="P40" s="50">
        <v>0</v>
      </c>
      <c r="Q40" s="50">
        <v>1390675</v>
      </c>
      <c r="R40" s="59">
        <v>796261</v>
      </c>
      <c r="S40" s="59">
        <v>23</v>
      </c>
      <c r="T40" s="59">
        <v>479359</v>
      </c>
      <c r="U40" s="59">
        <v>42294</v>
      </c>
      <c r="V40" s="59">
        <v>0</v>
      </c>
      <c r="W40" s="59">
        <v>0</v>
      </c>
      <c r="X40" s="59">
        <v>303550</v>
      </c>
      <c r="Y40" s="59">
        <v>51008</v>
      </c>
      <c r="Z40" s="59">
        <v>40280</v>
      </c>
      <c r="AA40" s="59">
        <v>56162</v>
      </c>
      <c r="AB40" s="77">
        <v>123821</v>
      </c>
      <c r="AC40" s="77">
        <v>1800</v>
      </c>
      <c r="AD40" s="77">
        <v>26116</v>
      </c>
      <c r="AE40" s="77">
        <v>608596</v>
      </c>
      <c r="AF40" s="77">
        <v>0</v>
      </c>
      <c r="AG40" s="71">
        <v>0</v>
      </c>
    </row>
    <row r="41" spans="1:34">
      <c r="A41" s="3" t="s">
        <v>266</v>
      </c>
      <c r="B41" s="3">
        <v>3298</v>
      </c>
      <c r="C41" s="65">
        <v>3689125</v>
      </c>
      <c r="D41" s="65">
        <v>903979</v>
      </c>
      <c r="E41" s="65">
        <v>1038525</v>
      </c>
      <c r="F41" s="65">
        <v>187273</v>
      </c>
      <c r="G41" s="50">
        <v>13037026</v>
      </c>
      <c r="H41" s="50">
        <v>6415365</v>
      </c>
      <c r="I41" s="50">
        <v>638076</v>
      </c>
      <c r="J41" s="50">
        <v>875723</v>
      </c>
      <c r="K41" s="50">
        <v>4247951</v>
      </c>
      <c r="L41" s="50">
        <v>1929480</v>
      </c>
      <c r="M41" s="50">
        <v>220587</v>
      </c>
      <c r="N41" s="50">
        <v>53146</v>
      </c>
      <c r="O41" s="50">
        <v>128545</v>
      </c>
      <c r="P41" s="50">
        <v>42882</v>
      </c>
      <c r="Q41" s="50">
        <v>1795965</v>
      </c>
      <c r="R41" s="59">
        <v>2199025</v>
      </c>
      <c r="S41" s="59">
        <v>25647</v>
      </c>
      <c r="T41" s="59">
        <v>774085</v>
      </c>
      <c r="U41" s="59">
        <v>42710</v>
      </c>
      <c r="V41" s="59">
        <v>0</v>
      </c>
      <c r="W41" s="59">
        <v>0</v>
      </c>
      <c r="X41" s="59">
        <v>495843</v>
      </c>
      <c r="Y41" s="59">
        <v>96594</v>
      </c>
      <c r="Z41" s="59">
        <v>64026</v>
      </c>
      <c r="AA41" s="59">
        <v>1076712</v>
      </c>
      <c r="AB41" s="77">
        <v>224899</v>
      </c>
      <c r="AC41" s="77">
        <v>12598</v>
      </c>
      <c r="AD41" s="77">
        <v>34931</v>
      </c>
      <c r="AE41" s="77">
        <v>397312</v>
      </c>
      <c r="AF41" s="77">
        <v>65227</v>
      </c>
      <c r="AG41" s="71">
        <v>758557</v>
      </c>
    </row>
    <row r="42" spans="1:34">
      <c r="A42" s="3" t="s">
        <v>267</v>
      </c>
      <c r="B42" s="3">
        <v>1227</v>
      </c>
      <c r="C42" s="65">
        <v>5074556</v>
      </c>
      <c r="D42" s="65">
        <v>0</v>
      </c>
      <c r="E42" s="65">
        <v>604795</v>
      </c>
      <c r="F42" s="65">
        <v>0</v>
      </c>
      <c r="G42" s="50">
        <v>5489864</v>
      </c>
      <c r="H42" s="50">
        <v>2717079</v>
      </c>
      <c r="I42" s="50">
        <v>382749</v>
      </c>
      <c r="J42" s="50">
        <v>637713</v>
      </c>
      <c r="K42" s="50">
        <v>247154</v>
      </c>
      <c r="L42" s="50">
        <v>1700040</v>
      </c>
      <c r="M42" s="50">
        <v>337676</v>
      </c>
      <c r="N42" s="50">
        <v>52923</v>
      </c>
      <c r="O42" s="50">
        <v>54588</v>
      </c>
      <c r="P42" s="50">
        <v>2087</v>
      </c>
      <c r="Q42" s="50">
        <v>1692045</v>
      </c>
      <c r="R42" s="59">
        <v>177882</v>
      </c>
      <c r="S42" s="59">
        <v>3272</v>
      </c>
      <c r="T42" s="59">
        <v>246164</v>
      </c>
      <c r="U42" s="59">
        <v>0</v>
      </c>
      <c r="V42" s="59">
        <v>0</v>
      </c>
      <c r="W42" s="59">
        <v>0</v>
      </c>
      <c r="X42" s="59">
        <v>83293</v>
      </c>
      <c r="Y42" s="59">
        <v>248716</v>
      </c>
      <c r="Z42" s="59">
        <v>6009</v>
      </c>
      <c r="AA42" s="59">
        <v>78868</v>
      </c>
      <c r="AB42" s="77">
        <v>174986</v>
      </c>
      <c r="AC42" s="77">
        <v>700</v>
      </c>
      <c r="AD42" s="77">
        <v>32671</v>
      </c>
      <c r="AE42" s="77">
        <v>1279572</v>
      </c>
      <c r="AF42" s="77">
        <v>105975</v>
      </c>
      <c r="AG42" s="71">
        <v>0</v>
      </c>
    </row>
    <row r="43" spans="1:34">
      <c r="A43" s="3" t="s">
        <v>268</v>
      </c>
      <c r="B43" s="3">
        <v>1920</v>
      </c>
      <c r="C43" s="65">
        <v>1821716</v>
      </c>
      <c r="D43" s="65">
        <v>926019</v>
      </c>
      <c r="E43" s="65">
        <v>543979</v>
      </c>
      <c r="F43" s="65">
        <v>71719</v>
      </c>
      <c r="G43" s="50">
        <v>6999454</v>
      </c>
      <c r="H43" s="50">
        <v>3540720</v>
      </c>
      <c r="I43" s="50">
        <v>344281</v>
      </c>
      <c r="J43" s="50">
        <v>457289</v>
      </c>
      <c r="K43" s="50">
        <v>2315898</v>
      </c>
      <c r="L43" s="50">
        <v>1351324</v>
      </c>
      <c r="M43" s="50">
        <v>614954</v>
      </c>
      <c r="N43" s="50">
        <v>376630</v>
      </c>
      <c r="O43" s="50">
        <v>72784</v>
      </c>
      <c r="P43" s="50">
        <v>23319</v>
      </c>
      <c r="Q43" s="50">
        <v>2198949</v>
      </c>
      <c r="R43" s="59">
        <v>1138831</v>
      </c>
      <c r="S43" s="59">
        <v>8188</v>
      </c>
      <c r="T43" s="59">
        <v>385650</v>
      </c>
      <c r="U43" s="59">
        <v>27085</v>
      </c>
      <c r="V43" s="59">
        <v>0</v>
      </c>
      <c r="W43" s="59">
        <v>0</v>
      </c>
      <c r="X43" s="59">
        <v>402636</v>
      </c>
      <c r="Y43" s="59">
        <v>69238</v>
      </c>
      <c r="Z43" s="59">
        <v>39245</v>
      </c>
      <c r="AA43" s="59">
        <v>453784</v>
      </c>
      <c r="AB43" s="77">
        <v>119531</v>
      </c>
      <c r="AC43" s="77">
        <v>6614</v>
      </c>
      <c r="AD43" s="77">
        <v>117289</v>
      </c>
      <c r="AE43" s="77">
        <v>685655</v>
      </c>
      <c r="AF43" s="77">
        <v>28422</v>
      </c>
      <c r="AG43" s="71">
        <v>647555</v>
      </c>
      <c r="AH43" t="s">
        <v>279</v>
      </c>
    </row>
    <row r="44" spans="1:34">
      <c r="A44" s="10" t="s">
        <v>87</v>
      </c>
      <c r="B44" s="10">
        <f>SUM(B8:B43)</f>
        <v>114250</v>
      </c>
      <c r="C44" s="66"/>
      <c r="D44" s="66"/>
      <c r="E44" s="66"/>
      <c r="F44" s="66">
        <f>SUM(C8:F43)</f>
        <v>388680319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>
        <f>SUM(G8:Q43)</f>
        <v>981060610</v>
      </c>
      <c r="R44" s="60"/>
      <c r="S44" s="60"/>
      <c r="T44" s="60"/>
      <c r="U44" s="60"/>
      <c r="V44" s="60"/>
      <c r="W44" s="60"/>
      <c r="X44" s="60"/>
      <c r="Y44" s="60"/>
      <c r="Z44" s="60"/>
      <c r="AA44" s="60">
        <f>SUM(R8:AA43)</f>
        <v>80561376</v>
      </c>
      <c r="AB44" s="78"/>
      <c r="AC44" s="78"/>
      <c r="AD44" s="78"/>
      <c r="AE44" s="78"/>
      <c r="AF44" s="78">
        <f>SUM(AB8:AF43)</f>
        <v>64005342</v>
      </c>
      <c r="AG44" s="72">
        <f>SUM(AG8:AG43)</f>
        <v>51428180</v>
      </c>
      <c r="AH44" s="103">
        <f>SUM(F44:AG44)</f>
        <v>1565735827</v>
      </c>
    </row>
    <row r="45" spans="1:34" s="105" customFormat="1">
      <c r="A45" s="118"/>
      <c r="B45" s="118" t="s">
        <v>117</v>
      </c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06"/>
    </row>
    <row r="46" spans="1:34" s="105" customFormat="1">
      <c r="A46" s="118"/>
      <c r="B46" s="118" t="s">
        <v>118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>
        <v>5685800</v>
      </c>
      <c r="AB46" s="119"/>
      <c r="AC46" s="119"/>
      <c r="AD46" s="119"/>
      <c r="AE46" s="119"/>
      <c r="AF46" s="119"/>
      <c r="AG46" s="119"/>
      <c r="AH46" s="106"/>
    </row>
    <row r="47" spans="1:34" s="105" customFormat="1">
      <c r="A47" s="118"/>
      <c r="B47" s="118" t="s">
        <v>279</v>
      </c>
      <c r="C47" s="119"/>
      <c r="D47" s="119"/>
      <c r="E47" s="119"/>
      <c r="F47" s="119">
        <f>F44-(F45+F46)</f>
        <v>388680319</v>
      </c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>
        <f>Q44-(Q45+Q46)</f>
        <v>981060610</v>
      </c>
      <c r="R47" s="119"/>
      <c r="S47" s="119"/>
      <c r="T47" s="119"/>
      <c r="U47" s="119"/>
      <c r="V47" s="119"/>
      <c r="W47" s="119"/>
      <c r="X47" s="119"/>
      <c r="Y47" s="119"/>
      <c r="Z47" s="119"/>
      <c r="AA47" s="119">
        <f>AA44-(AA45+AA46)</f>
        <v>74875576</v>
      </c>
      <c r="AB47" s="119"/>
      <c r="AC47" s="119"/>
      <c r="AD47" s="119"/>
      <c r="AE47" s="119"/>
      <c r="AF47" s="119">
        <f>AF44-(AF45+AF46)</f>
        <v>64005342</v>
      </c>
      <c r="AG47" s="119">
        <f>AG44-(AG45+AG46)</f>
        <v>51428180</v>
      </c>
      <c r="AH47" s="103">
        <f>SUM(F47:AG47)</f>
        <v>1560050027</v>
      </c>
    </row>
    <row r="48" spans="1:34">
      <c r="A48" s="9"/>
      <c r="B48" s="9"/>
      <c r="D48" s="3"/>
      <c r="E48" s="3"/>
      <c r="F48" s="104">
        <f>F47/B44</f>
        <v>3402.015921225383</v>
      </c>
      <c r="Q48" s="104">
        <f>Q47/B44</f>
        <v>8586.963763676149</v>
      </c>
      <c r="R48" s="3"/>
      <c r="S48" s="3"/>
      <c r="T48" s="3"/>
      <c r="U48" s="3"/>
      <c r="V48" s="3"/>
      <c r="W48" s="3"/>
      <c r="X48" s="3"/>
      <c r="Y48" s="3"/>
      <c r="Z48" s="3"/>
      <c r="AA48" s="104">
        <f>AA47/B44</f>
        <v>655.36609190371996</v>
      </c>
      <c r="AC48" s="29"/>
      <c r="AF48" s="104">
        <f>AF47/B44</f>
        <v>560.2218118161926</v>
      </c>
      <c r="AG48" s="104">
        <f>AG47/B44</f>
        <v>450.13724288840262</v>
      </c>
      <c r="AH48" s="104">
        <f>AH44/B44</f>
        <v>13704.471133479212</v>
      </c>
    </row>
    <row r="49" spans="1:34">
      <c r="A49" s="9"/>
      <c r="B49" s="9"/>
      <c r="D49" s="3"/>
      <c r="E49" s="24"/>
      <c r="F49" s="18">
        <f>F47/AH47</f>
        <v>0.24914606087821312</v>
      </c>
      <c r="Q49" s="18">
        <f>Q47/AH47</f>
        <v>0.62886483960171102</v>
      </c>
      <c r="R49" s="3"/>
      <c r="S49" s="3"/>
      <c r="T49" s="3"/>
      <c r="U49" s="3"/>
      <c r="V49" s="3"/>
      <c r="W49" s="3"/>
      <c r="X49" s="3"/>
      <c r="Y49" s="3"/>
      <c r="Z49" s="3"/>
      <c r="AA49" s="18">
        <f>AA47/AH47</f>
        <v>4.7995624950558077E-2</v>
      </c>
      <c r="AF49" s="18">
        <f>AF47/AH47</f>
        <v>4.1027749682542712E-2</v>
      </c>
      <c r="AG49" s="18">
        <f>AG47/AH47</f>
        <v>3.2965724886975051E-2</v>
      </c>
    </row>
    <row r="50" spans="1:34">
      <c r="J50" s="20"/>
      <c r="P50" s="14"/>
      <c r="R50" s="3"/>
      <c r="S50" s="3"/>
      <c r="T50" s="24"/>
      <c r="V50" s="3"/>
      <c r="W50" s="3"/>
      <c r="X50" s="3"/>
      <c r="Y50" s="3"/>
      <c r="Z50" s="3"/>
      <c r="AB50" s="24"/>
    </row>
    <row r="51" spans="1:34">
      <c r="O51" s="1"/>
      <c r="P51" s="1"/>
      <c r="Q51" s="1"/>
    </row>
    <row r="52" spans="1:34">
      <c r="A52" s="3" t="s">
        <v>114</v>
      </c>
      <c r="O52" s="1"/>
      <c r="P52" s="1"/>
      <c r="Q52" s="1"/>
    </row>
    <row r="53" spans="1:34">
      <c r="A53" s="95" t="s">
        <v>239</v>
      </c>
      <c r="B53" s="95">
        <v>17864</v>
      </c>
      <c r="C53" s="65">
        <v>56821062</v>
      </c>
      <c r="D53" s="65">
        <v>20022068</v>
      </c>
      <c r="E53" s="65">
        <v>9565869</v>
      </c>
      <c r="F53" s="65">
        <v>1758848</v>
      </c>
      <c r="G53" s="50">
        <v>56263088</v>
      </c>
      <c r="H53" s="50">
        <v>27251038</v>
      </c>
      <c r="I53" s="50">
        <v>2947749</v>
      </c>
      <c r="J53" s="50">
        <v>3914307</v>
      </c>
      <c r="K53" s="50">
        <v>6670313</v>
      </c>
      <c r="L53" s="50">
        <v>14797604</v>
      </c>
      <c r="M53" s="50">
        <v>4651560</v>
      </c>
      <c r="N53" s="50">
        <v>1576043</v>
      </c>
      <c r="O53" s="50">
        <v>477816</v>
      </c>
      <c r="P53" s="50">
        <v>94440</v>
      </c>
      <c r="Q53" s="50">
        <v>16764226</v>
      </c>
      <c r="R53" s="59">
        <v>3460419</v>
      </c>
      <c r="S53" s="59">
        <v>156594</v>
      </c>
      <c r="T53" s="59">
        <v>2490600</v>
      </c>
      <c r="U53" s="59">
        <v>134451</v>
      </c>
      <c r="V53" s="59">
        <v>0</v>
      </c>
      <c r="W53" s="59">
        <v>0</v>
      </c>
      <c r="X53" s="59">
        <v>1615639</v>
      </c>
      <c r="Y53" s="59">
        <v>407740</v>
      </c>
      <c r="Z53" s="59">
        <v>157284</v>
      </c>
      <c r="AA53" s="59">
        <v>1070308</v>
      </c>
      <c r="AB53" s="77">
        <v>1172681</v>
      </c>
      <c r="AC53" s="77">
        <v>91003</v>
      </c>
      <c r="AD53" s="77">
        <v>53974</v>
      </c>
      <c r="AE53" s="77">
        <v>1949773</v>
      </c>
      <c r="AF53" s="77">
        <v>1220894</v>
      </c>
      <c r="AG53" s="71">
        <v>0</v>
      </c>
    </row>
    <row r="54" spans="1:34">
      <c r="A54" s="95" t="s">
        <v>240</v>
      </c>
      <c r="B54" s="95">
        <v>280</v>
      </c>
      <c r="C54" s="65">
        <v>0</v>
      </c>
      <c r="D54" s="65">
        <v>0</v>
      </c>
      <c r="E54" s="65">
        <v>0</v>
      </c>
      <c r="F54" s="65">
        <v>0</v>
      </c>
      <c r="G54" s="50">
        <v>7207212</v>
      </c>
      <c r="H54" s="50">
        <v>3647988</v>
      </c>
      <c r="I54" s="50">
        <v>208579</v>
      </c>
      <c r="J54" s="50">
        <v>272157</v>
      </c>
      <c r="K54" s="50">
        <v>541520</v>
      </c>
      <c r="L54" s="50">
        <v>0</v>
      </c>
      <c r="M54" s="50">
        <v>341656</v>
      </c>
      <c r="N54" s="50">
        <v>202156</v>
      </c>
      <c r="O54" s="50">
        <v>46957</v>
      </c>
      <c r="P54" s="50">
        <v>0</v>
      </c>
      <c r="Q54" s="50">
        <v>244560</v>
      </c>
      <c r="R54" s="59">
        <v>0</v>
      </c>
      <c r="S54" s="59">
        <v>0</v>
      </c>
      <c r="T54" s="59">
        <v>0</v>
      </c>
      <c r="U54" s="59">
        <v>0</v>
      </c>
      <c r="V54" s="59">
        <v>0</v>
      </c>
      <c r="W54" s="59">
        <v>0</v>
      </c>
      <c r="X54" s="59">
        <v>0</v>
      </c>
      <c r="Y54" s="59">
        <v>0</v>
      </c>
      <c r="Z54" s="59">
        <v>0</v>
      </c>
      <c r="AA54" s="59">
        <v>0</v>
      </c>
      <c r="AB54" s="77">
        <v>25641</v>
      </c>
      <c r="AC54" s="77">
        <v>0</v>
      </c>
      <c r="AD54" s="77">
        <v>0</v>
      </c>
      <c r="AE54" s="77">
        <v>127660</v>
      </c>
      <c r="AF54" s="77">
        <v>0</v>
      </c>
      <c r="AG54" s="71">
        <v>8186947</v>
      </c>
    </row>
    <row r="55" spans="1:34">
      <c r="A55" s="95" t="s">
        <v>241</v>
      </c>
      <c r="B55" s="95">
        <v>94</v>
      </c>
      <c r="C55" s="65">
        <v>0</v>
      </c>
      <c r="D55" s="65">
        <v>0</v>
      </c>
      <c r="E55" s="65">
        <v>0</v>
      </c>
      <c r="F55" s="65">
        <v>0</v>
      </c>
      <c r="G55" s="50">
        <v>3375267</v>
      </c>
      <c r="H55" s="50">
        <v>1629453</v>
      </c>
      <c r="I55" s="50">
        <v>57799</v>
      </c>
      <c r="J55" s="50">
        <v>75417</v>
      </c>
      <c r="K55" s="50">
        <v>155687</v>
      </c>
      <c r="L55" s="50">
        <v>0</v>
      </c>
      <c r="M55" s="50">
        <v>190</v>
      </c>
      <c r="N55" s="50">
        <v>41</v>
      </c>
      <c r="O55" s="50">
        <v>13495</v>
      </c>
      <c r="P55" s="50">
        <v>0</v>
      </c>
      <c r="Q55" s="50">
        <v>415895</v>
      </c>
      <c r="R55" s="59">
        <v>0</v>
      </c>
      <c r="S55" s="59">
        <v>0</v>
      </c>
      <c r="T55" s="59">
        <v>0</v>
      </c>
      <c r="U55" s="59">
        <v>0</v>
      </c>
      <c r="V55" s="59">
        <v>0</v>
      </c>
      <c r="W55" s="59">
        <v>0</v>
      </c>
      <c r="X55" s="59">
        <v>0</v>
      </c>
      <c r="Y55" s="59">
        <v>0</v>
      </c>
      <c r="Z55" s="59">
        <v>0</v>
      </c>
      <c r="AA55" s="59">
        <v>113563</v>
      </c>
      <c r="AB55" s="77">
        <v>9355</v>
      </c>
      <c r="AC55" s="77">
        <v>0</v>
      </c>
      <c r="AD55" s="77">
        <v>0</v>
      </c>
      <c r="AE55" s="77">
        <v>56091</v>
      </c>
      <c r="AF55" s="77">
        <v>0</v>
      </c>
      <c r="AG55" s="71">
        <v>4652439</v>
      </c>
    </row>
    <row r="56" spans="1:34">
      <c r="A56" s="95" t="s">
        <v>242</v>
      </c>
      <c r="B56" s="95">
        <v>0</v>
      </c>
      <c r="C56" s="65">
        <v>0</v>
      </c>
      <c r="D56" s="65">
        <v>0</v>
      </c>
      <c r="E56" s="65">
        <v>0</v>
      </c>
      <c r="F56" s="65">
        <v>0</v>
      </c>
      <c r="G56" s="50">
        <v>1217514</v>
      </c>
      <c r="H56" s="50">
        <v>556026</v>
      </c>
      <c r="I56" s="50">
        <v>42721</v>
      </c>
      <c r="J56" s="50">
        <v>55743</v>
      </c>
      <c r="K56" s="50">
        <v>115073</v>
      </c>
      <c r="L56" s="50">
        <v>0</v>
      </c>
      <c r="M56" s="50">
        <v>1231</v>
      </c>
      <c r="N56" s="50">
        <v>268</v>
      </c>
      <c r="O56" s="50">
        <v>9978</v>
      </c>
      <c r="P56" s="50">
        <v>0</v>
      </c>
      <c r="Q56" s="50">
        <v>58288</v>
      </c>
      <c r="R56" s="59">
        <v>0</v>
      </c>
      <c r="S56" s="59">
        <v>0</v>
      </c>
      <c r="T56" s="59">
        <v>0</v>
      </c>
      <c r="U56" s="59">
        <v>0</v>
      </c>
      <c r="V56" s="59">
        <v>0</v>
      </c>
      <c r="W56" s="59">
        <v>0</v>
      </c>
      <c r="X56" s="59">
        <v>0</v>
      </c>
      <c r="Y56" s="59">
        <v>0</v>
      </c>
      <c r="Z56" s="59">
        <v>0</v>
      </c>
      <c r="AA56" s="59">
        <v>0</v>
      </c>
      <c r="AB56" s="77">
        <v>13395</v>
      </c>
      <c r="AC56" s="77">
        <v>0</v>
      </c>
      <c r="AD56" s="77">
        <v>0</v>
      </c>
      <c r="AE56" s="77">
        <v>56433</v>
      </c>
      <c r="AF56" s="77">
        <v>0</v>
      </c>
      <c r="AG56" s="71">
        <v>3245371</v>
      </c>
    </row>
    <row r="57" spans="1:34">
      <c r="A57" s="95" t="s">
        <v>243</v>
      </c>
      <c r="B57" s="95">
        <v>106</v>
      </c>
      <c r="C57" s="65">
        <v>0</v>
      </c>
      <c r="D57" s="65">
        <v>0</v>
      </c>
      <c r="E57" s="65">
        <v>0</v>
      </c>
      <c r="F57" s="65">
        <v>0</v>
      </c>
      <c r="G57" s="50">
        <v>3918718</v>
      </c>
      <c r="H57" s="50">
        <v>1914586</v>
      </c>
      <c r="I57" s="50">
        <v>221144</v>
      </c>
      <c r="J57" s="50">
        <v>288552</v>
      </c>
      <c r="K57" s="50">
        <v>498440</v>
      </c>
      <c r="L57" s="50">
        <v>0</v>
      </c>
      <c r="M57" s="50">
        <v>0</v>
      </c>
      <c r="N57" s="50">
        <v>0</v>
      </c>
      <c r="O57" s="50">
        <v>49892</v>
      </c>
      <c r="P57" s="50">
        <v>0</v>
      </c>
      <c r="Q57" s="50">
        <v>185485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0</v>
      </c>
      <c r="Y57" s="59">
        <v>0</v>
      </c>
      <c r="Z57" s="59">
        <v>0</v>
      </c>
      <c r="AA57" s="59">
        <v>0</v>
      </c>
      <c r="AB57" s="77">
        <v>10966</v>
      </c>
      <c r="AC57" s="77">
        <v>0</v>
      </c>
      <c r="AD57" s="77">
        <v>0</v>
      </c>
      <c r="AE57" s="77">
        <v>66903</v>
      </c>
      <c r="AF57" s="77">
        <v>0</v>
      </c>
      <c r="AG57" s="71">
        <v>6042690</v>
      </c>
    </row>
    <row r="58" spans="1:34">
      <c r="A58" s="95" t="s">
        <v>247</v>
      </c>
      <c r="B58" s="95">
        <v>15545</v>
      </c>
      <c r="C58" s="65">
        <v>41647573</v>
      </c>
      <c r="D58" s="65">
        <v>12097079</v>
      </c>
      <c r="E58" s="65">
        <v>7623173</v>
      </c>
      <c r="F58" s="65">
        <v>29330</v>
      </c>
      <c r="G58" s="50">
        <v>49525480</v>
      </c>
      <c r="H58" s="50">
        <v>25077066</v>
      </c>
      <c r="I58" s="50">
        <v>2421276</v>
      </c>
      <c r="J58" s="50">
        <v>3243036</v>
      </c>
      <c r="K58" s="50">
        <v>5639350</v>
      </c>
      <c r="L58" s="50">
        <v>6083470</v>
      </c>
      <c r="M58" s="50">
        <v>1113134</v>
      </c>
      <c r="N58" s="50">
        <v>512890</v>
      </c>
      <c r="O58" s="50">
        <v>515354</v>
      </c>
      <c r="P58" s="50">
        <v>26039</v>
      </c>
      <c r="Q58" s="50">
        <v>19486038</v>
      </c>
      <c r="R58" s="59">
        <v>3564230</v>
      </c>
      <c r="S58" s="59">
        <v>40011</v>
      </c>
      <c r="T58" s="59">
        <v>4048047</v>
      </c>
      <c r="U58" s="59">
        <v>117609</v>
      </c>
      <c r="V58" s="59">
        <v>0</v>
      </c>
      <c r="W58" s="59">
        <v>0</v>
      </c>
      <c r="X58" s="59">
        <v>1948380</v>
      </c>
      <c r="Y58" s="59">
        <v>193483</v>
      </c>
      <c r="Z58" s="59">
        <v>181263</v>
      </c>
      <c r="AA58" s="59">
        <v>1732784</v>
      </c>
      <c r="AB58" s="77">
        <v>730635</v>
      </c>
      <c r="AC58" s="77">
        <v>212067</v>
      </c>
      <c r="AD58" s="77">
        <v>0</v>
      </c>
      <c r="AE58" s="77">
        <v>11564314</v>
      </c>
      <c r="AF58" s="77">
        <v>1380054</v>
      </c>
      <c r="AG58" s="71">
        <v>569450</v>
      </c>
    </row>
    <row r="59" spans="1:34">
      <c r="A59" s="95" t="s">
        <v>248</v>
      </c>
      <c r="B59" s="95">
        <v>128</v>
      </c>
      <c r="C59" s="65">
        <v>0</v>
      </c>
      <c r="D59" s="65">
        <v>0</v>
      </c>
      <c r="E59" s="65">
        <v>0</v>
      </c>
      <c r="F59" s="65">
        <v>0</v>
      </c>
      <c r="G59" s="50">
        <v>1405242</v>
      </c>
      <c r="H59" s="50">
        <v>766854</v>
      </c>
      <c r="I59" s="50">
        <v>25903</v>
      </c>
      <c r="J59" s="50">
        <v>153649</v>
      </c>
      <c r="K59" s="50">
        <v>175994</v>
      </c>
      <c r="L59" s="50">
        <v>985153</v>
      </c>
      <c r="M59" s="50">
        <v>0</v>
      </c>
      <c r="N59" s="50">
        <v>0</v>
      </c>
      <c r="O59" s="50">
        <v>15261</v>
      </c>
      <c r="P59" s="50">
        <v>0</v>
      </c>
      <c r="Q59" s="50">
        <v>97796</v>
      </c>
      <c r="R59" s="59">
        <v>0</v>
      </c>
      <c r="S59" s="59">
        <v>0</v>
      </c>
      <c r="T59" s="59">
        <v>7888</v>
      </c>
      <c r="U59" s="59">
        <v>0</v>
      </c>
      <c r="V59" s="59">
        <v>0</v>
      </c>
      <c r="W59" s="59">
        <v>0</v>
      </c>
      <c r="X59" s="59">
        <v>0</v>
      </c>
      <c r="Y59" s="59">
        <v>0</v>
      </c>
      <c r="Z59" s="59">
        <v>0</v>
      </c>
      <c r="AA59" s="59">
        <v>72574</v>
      </c>
      <c r="AB59" s="77">
        <v>22591</v>
      </c>
      <c r="AC59" s="77">
        <v>0</v>
      </c>
      <c r="AD59" s="77">
        <v>0</v>
      </c>
      <c r="AE59" s="77">
        <v>62898</v>
      </c>
      <c r="AF59" s="77">
        <v>0</v>
      </c>
      <c r="AG59" s="71">
        <v>3895574</v>
      </c>
    </row>
    <row r="60" spans="1:34">
      <c r="A60" s="95" t="s">
        <v>249</v>
      </c>
      <c r="B60" s="95">
        <v>107</v>
      </c>
      <c r="C60" s="65">
        <v>0</v>
      </c>
      <c r="D60" s="65">
        <v>0</v>
      </c>
      <c r="E60" s="65">
        <v>0</v>
      </c>
      <c r="F60" s="65">
        <v>0</v>
      </c>
      <c r="G60" s="50">
        <v>2144503</v>
      </c>
      <c r="H60" s="50">
        <v>1259429</v>
      </c>
      <c r="I60" s="50">
        <v>48455</v>
      </c>
      <c r="J60" s="50">
        <v>154265</v>
      </c>
      <c r="K60" s="50">
        <v>236915</v>
      </c>
      <c r="L60" s="50">
        <v>403245</v>
      </c>
      <c r="M60" s="50">
        <v>0</v>
      </c>
      <c r="N60" s="50">
        <v>0</v>
      </c>
      <c r="O60" s="50">
        <v>20544</v>
      </c>
      <c r="P60" s="50">
        <v>0</v>
      </c>
      <c r="Q60" s="50">
        <v>132600</v>
      </c>
      <c r="R60" s="59">
        <v>0</v>
      </c>
      <c r="S60" s="59">
        <v>0</v>
      </c>
      <c r="T60" s="59">
        <v>0</v>
      </c>
      <c r="U60" s="59">
        <v>0</v>
      </c>
      <c r="V60" s="59">
        <v>0</v>
      </c>
      <c r="W60" s="59">
        <v>0</v>
      </c>
      <c r="X60" s="59">
        <v>0</v>
      </c>
      <c r="Y60" s="59">
        <v>0</v>
      </c>
      <c r="Z60" s="59">
        <v>0</v>
      </c>
      <c r="AA60" s="59">
        <v>0</v>
      </c>
      <c r="AB60" s="77">
        <v>20046</v>
      </c>
      <c r="AC60" s="77">
        <v>0</v>
      </c>
      <c r="AD60" s="77">
        <v>0</v>
      </c>
      <c r="AE60" s="77">
        <v>7016</v>
      </c>
      <c r="AF60" s="77">
        <v>0</v>
      </c>
      <c r="AG60" s="71">
        <v>4517322</v>
      </c>
    </row>
    <row r="61" spans="1:34">
      <c r="A61" s="10" t="s">
        <v>115</v>
      </c>
      <c r="B61" s="10">
        <f>SUM(B53:B60)</f>
        <v>34124</v>
      </c>
      <c r="C61" s="66"/>
      <c r="D61" s="66"/>
      <c r="E61" s="66"/>
      <c r="F61" s="66">
        <f>SUM(C53:F60)</f>
        <v>149565002</v>
      </c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>
        <f>SUM(G53:Q60)</f>
        <v>284646813</v>
      </c>
      <c r="R61" s="60"/>
      <c r="S61" s="60"/>
      <c r="T61" s="60"/>
      <c r="U61" s="60"/>
      <c r="V61" s="60"/>
      <c r="W61" s="60"/>
      <c r="X61" s="60"/>
      <c r="Y61" s="60"/>
      <c r="Z61" s="60"/>
      <c r="AA61" s="60">
        <f>SUM(R53:AA60)</f>
        <v>21512867</v>
      </c>
      <c r="AB61" s="78"/>
      <c r="AC61" s="78"/>
      <c r="AD61" s="78"/>
      <c r="AE61" s="78"/>
      <c r="AF61" s="78">
        <f>SUM(AB53:AF60)</f>
        <v>18854390</v>
      </c>
      <c r="AG61" s="72">
        <f>SUM(AG53:AG60)</f>
        <v>31109793</v>
      </c>
      <c r="AH61" s="103">
        <f>SUM(F61:AG61)</f>
        <v>505688865</v>
      </c>
    </row>
    <row r="62" spans="1:34" s="105" customFormat="1">
      <c r="A62" s="118"/>
      <c r="B62" s="118" t="s">
        <v>117</v>
      </c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06"/>
    </row>
    <row r="63" spans="1:34" s="105" customFormat="1">
      <c r="A63" s="118"/>
      <c r="B63" s="118" t="s">
        <v>118</v>
      </c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>
        <v>2211615</v>
      </c>
      <c r="AB63" s="119"/>
      <c r="AC63" s="119"/>
      <c r="AD63" s="119"/>
      <c r="AE63" s="119"/>
      <c r="AF63" s="119"/>
      <c r="AG63" s="119"/>
      <c r="AH63" s="106"/>
    </row>
    <row r="64" spans="1:34" s="105" customFormat="1">
      <c r="A64" s="118"/>
      <c r="B64" s="118" t="s">
        <v>279</v>
      </c>
      <c r="C64" s="119"/>
      <c r="D64" s="119"/>
      <c r="E64" s="119"/>
      <c r="F64" s="119">
        <f>F61-(F62+F63)</f>
        <v>149565002</v>
      </c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>
        <f>Q61-(Q62+Q63)</f>
        <v>284646813</v>
      </c>
      <c r="R64" s="119"/>
      <c r="S64" s="119"/>
      <c r="T64" s="119"/>
      <c r="U64" s="119"/>
      <c r="V64" s="119"/>
      <c r="W64" s="119"/>
      <c r="X64" s="119"/>
      <c r="Y64" s="119"/>
      <c r="Z64" s="119"/>
      <c r="AA64" s="119">
        <f>AA61-(AA62+AA63)</f>
        <v>19301252</v>
      </c>
      <c r="AB64" s="119"/>
      <c r="AC64" s="119"/>
      <c r="AD64" s="119"/>
      <c r="AE64" s="119"/>
      <c r="AF64" s="119">
        <f>AF61-(AF62+AF63)</f>
        <v>18854390</v>
      </c>
      <c r="AG64" s="119">
        <f>AG61-(AG62+AG63)</f>
        <v>31109793</v>
      </c>
      <c r="AH64" s="103">
        <f>SUM(F64:AG64)</f>
        <v>503477250</v>
      </c>
    </row>
    <row r="65" spans="1:34">
      <c r="A65" s="9"/>
      <c r="B65" s="9"/>
      <c r="D65" s="3"/>
      <c r="E65" s="3"/>
      <c r="F65" s="104">
        <f>F64/B61</f>
        <v>4382.985640604853</v>
      </c>
      <c r="Q65" s="104">
        <f>Q64/B61</f>
        <v>8341.5429902707765</v>
      </c>
      <c r="R65" s="3"/>
      <c r="S65" s="3"/>
      <c r="T65" s="3"/>
      <c r="U65" s="3"/>
      <c r="V65" s="3"/>
      <c r="W65" s="3"/>
      <c r="X65" s="3"/>
      <c r="Y65" s="3"/>
      <c r="Z65" s="3"/>
      <c r="AA65" s="104">
        <f>AA64/B61</f>
        <v>565.62102918766846</v>
      </c>
      <c r="AC65" s="29"/>
      <c r="AF65" s="104">
        <f>AF64/B61</f>
        <v>552.52578830148866</v>
      </c>
      <c r="AG65" s="104">
        <f>AG64/B61</f>
        <v>911.66900128941506</v>
      </c>
      <c r="AH65" s="104">
        <f>AH61/B61</f>
        <v>14819.155579650685</v>
      </c>
    </row>
    <row r="66" spans="1:34">
      <c r="A66" s="9"/>
      <c r="B66" s="9"/>
      <c r="D66" s="3"/>
      <c r="E66" s="24"/>
      <c r="F66" s="18">
        <f>F64/AH64</f>
        <v>0.29706407191188877</v>
      </c>
      <c r="Q66" s="18">
        <f>Q64/AH64</f>
        <v>0.56536181724199053</v>
      </c>
      <c r="R66" s="3"/>
      <c r="S66" s="3"/>
      <c r="T66" s="3"/>
      <c r="U66" s="3"/>
      <c r="V66" s="3"/>
      <c r="W66" s="3"/>
      <c r="X66" s="3"/>
      <c r="Y66" s="3"/>
      <c r="Z66" s="3"/>
      <c r="AA66" s="18">
        <f>AA64/AH64</f>
        <v>3.8335897004283706E-2</v>
      </c>
      <c r="AF66" s="18">
        <f>AF64/AH64</f>
        <v>3.7448345481349954E-2</v>
      </c>
      <c r="AG66" s="18">
        <f>AG64/AH64</f>
        <v>6.1789868360486992E-2</v>
      </c>
    </row>
    <row r="67" spans="1:34">
      <c r="O67" s="9"/>
      <c r="P67" s="9"/>
      <c r="Q67" s="9"/>
    </row>
    <row r="68" spans="1:34">
      <c r="O68" s="9"/>
      <c r="P68" s="9"/>
      <c r="Q68" s="9"/>
    </row>
    <row r="69" spans="1:34">
      <c r="O69" s="11"/>
      <c r="P69" s="11"/>
      <c r="Q69" s="11"/>
    </row>
    <row r="72" spans="1:34">
      <c r="O72" s="9"/>
      <c r="P72" s="9"/>
      <c r="Q72" s="9"/>
    </row>
    <row r="73" spans="1:34">
      <c r="O73" s="9"/>
      <c r="P73" s="9"/>
      <c r="Q73" s="9"/>
    </row>
    <row r="74" spans="1:34">
      <c r="O74" s="9"/>
      <c r="P74" s="9"/>
      <c r="Q74" s="9"/>
    </row>
    <row r="76" spans="1:34">
      <c r="O76" s="9"/>
      <c r="P76" s="9"/>
      <c r="Q76" s="9"/>
    </row>
    <row r="77" spans="1:34">
      <c r="O77" s="9"/>
      <c r="P77" s="9"/>
      <c r="Q77" s="9"/>
    </row>
    <row r="78" spans="1:34">
      <c r="O78" s="9"/>
      <c r="P78" s="9"/>
      <c r="Q78" s="9"/>
    </row>
    <row r="79" spans="1:34">
      <c r="O79" s="9"/>
      <c r="P79" s="9"/>
      <c r="Q79" s="9"/>
    </row>
    <row r="80" spans="1:34">
      <c r="O80" s="11"/>
      <c r="P80" s="11"/>
      <c r="Q80" s="11"/>
    </row>
    <row r="82" spans="15:17">
      <c r="O82" s="11"/>
      <c r="P82" s="11"/>
      <c r="Q82" s="11"/>
    </row>
    <row r="84" spans="15:17">
      <c r="O84" s="11"/>
      <c r="P84" s="11"/>
      <c r="Q84" s="11"/>
    </row>
    <row r="88" spans="15:17" ht="15" thickBot="1">
      <c r="O88" s="13"/>
      <c r="P88" s="13"/>
      <c r="Q88" s="13"/>
    </row>
    <row r="89" spans="15:17" ht="15" thickTop="1"/>
  </sheetData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F95"/>
  <sheetViews>
    <sheetView topLeftCell="A8" workbookViewId="0">
      <selection activeCell="A33" sqref="A33"/>
    </sheetView>
  </sheetViews>
  <sheetFormatPr baseColWidth="10" defaultColWidth="8.83203125" defaultRowHeight="14"/>
  <cols>
    <col min="1" max="1" width="20.83203125" style="34" customWidth="1"/>
    <col min="2" max="2" width="8.83203125" style="34"/>
    <col min="3" max="3" width="8.33203125" style="34" customWidth="1"/>
    <col min="4" max="4" width="10.1640625" style="34" customWidth="1"/>
    <col min="5" max="5" width="14" style="34" customWidth="1"/>
    <col min="6" max="15" width="13.5" style="34" customWidth="1"/>
    <col min="16" max="16" width="15.33203125" style="34" customWidth="1"/>
    <col min="17" max="26" width="14" customWidth="1"/>
    <col min="27" max="30" width="14" style="34" customWidth="1"/>
    <col min="32" max="32" width="10.1640625" bestFit="1" customWidth="1"/>
  </cols>
  <sheetData>
    <row r="1" spans="1:32">
      <c r="A1" s="1" t="s">
        <v>221</v>
      </c>
      <c r="B1" s="1"/>
      <c r="C1" s="1"/>
      <c r="D1" s="5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5"/>
      <c r="AB1" s="5"/>
      <c r="AC1" s="5"/>
      <c r="AD1" s="5"/>
    </row>
    <row r="2" spans="1:32">
      <c r="A2" s="1" t="s">
        <v>207</v>
      </c>
      <c r="B2" s="1"/>
      <c r="C2" s="1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"/>
      <c r="AB2" s="5"/>
      <c r="AC2" s="5"/>
      <c r="AD2" s="5"/>
    </row>
    <row r="3" spans="1:32" ht="15" thickBot="1">
      <c r="A3" s="2" t="s">
        <v>223</v>
      </c>
      <c r="B3" s="2"/>
      <c r="C3" s="2"/>
      <c r="D3" s="5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5"/>
      <c r="AB3" s="5"/>
      <c r="AC3" s="5"/>
      <c r="AD3" s="5"/>
    </row>
    <row r="4" spans="1:32" ht="16" thickTop="1" thickBot="1">
      <c r="A4" s="5"/>
      <c r="B4" s="5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2" ht="15" thickTop="1">
      <c r="A5" s="98" t="s">
        <v>82</v>
      </c>
      <c r="B5" s="98"/>
      <c r="C5" s="98"/>
      <c r="D5" s="101" t="s">
        <v>160</v>
      </c>
      <c r="E5" s="63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6"/>
      <c r="R5" s="56"/>
      <c r="S5" s="56"/>
      <c r="T5" s="56"/>
      <c r="U5" s="56"/>
      <c r="V5" s="56"/>
      <c r="W5" s="56"/>
      <c r="X5" s="56"/>
      <c r="Y5" s="56"/>
      <c r="Z5" s="56"/>
      <c r="AA5" s="75"/>
      <c r="AB5" s="75"/>
      <c r="AC5" s="75"/>
      <c r="AD5" s="75"/>
    </row>
    <row r="6" spans="1:32" ht="15" thickBot="1">
      <c r="A6" s="5"/>
      <c r="B6" s="5"/>
      <c r="C6" s="5"/>
      <c r="D6" s="63" t="s">
        <v>190</v>
      </c>
      <c r="E6" s="63" t="s">
        <v>190</v>
      </c>
      <c r="F6" s="54" t="s">
        <v>133</v>
      </c>
      <c r="G6" s="54" t="s">
        <v>133</v>
      </c>
      <c r="H6" s="54" t="s">
        <v>133</v>
      </c>
      <c r="I6" s="54" t="s">
        <v>133</v>
      </c>
      <c r="J6" s="54" t="s">
        <v>133</v>
      </c>
      <c r="K6" s="54" t="s">
        <v>133</v>
      </c>
      <c r="L6" s="54" t="s">
        <v>133</v>
      </c>
      <c r="M6" s="54" t="s">
        <v>133</v>
      </c>
      <c r="N6" s="54" t="s">
        <v>133</v>
      </c>
      <c r="O6" s="54" t="s">
        <v>133</v>
      </c>
      <c r="P6" s="54" t="s">
        <v>133</v>
      </c>
      <c r="Q6" s="56" t="s">
        <v>157</v>
      </c>
      <c r="R6" s="56" t="s">
        <v>157</v>
      </c>
      <c r="S6" s="56" t="s">
        <v>157</v>
      </c>
      <c r="T6" s="56" t="s">
        <v>157</v>
      </c>
      <c r="U6" s="56" t="s">
        <v>157</v>
      </c>
      <c r="V6" s="56" t="s">
        <v>157</v>
      </c>
      <c r="W6" s="56" t="s">
        <v>157</v>
      </c>
      <c r="X6" s="56" t="s">
        <v>157</v>
      </c>
      <c r="Y6" s="56" t="s">
        <v>157</v>
      </c>
      <c r="Z6" s="56" t="s">
        <v>157</v>
      </c>
      <c r="AA6" s="75" t="s">
        <v>129</v>
      </c>
      <c r="AB6" s="75" t="s">
        <v>129</v>
      </c>
      <c r="AC6" s="75" t="s">
        <v>129</v>
      </c>
      <c r="AD6" s="75" t="s">
        <v>129</v>
      </c>
      <c r="AF6" s="75" t="s">
        <v>88</v>
      </c>
    </row>
    <row r="7" spans="1:32" ht="15" thickTop="1">
      <c r="D7" s="101" t="s">
        <v>79</v>
      </c>
      <c r="E7" s="63" t="s">
        <v>161</v>
      </c>
      <c r="F7" s="55" t="s">
        <v>283</v>
      </c>
      <c r="G7" s="55" t="s">
        <v>284</v>
      </c>
      <c r="H7" s="55" t="s">
        <v>285</v>
      </c>
      <c r="I7" s="80" t="s">
        <v>286</v>
      </c>
      <c r="J7" s="55" t="s">
        <v>287</v>
      </c>
      <c r="K7" s="55" t="s">
        <v>288</v>
      </c>
      <c r="L7" s="84" t="s">
        <v>289</v>
      </c>
      <c r="M7" s="84"/>
      <c r="N7" s="55" t="s">
        <v>301</v>
      </c>
      <c r="O7" s="55" t="s">
        <v>128</v>
      </c>
      <c r="P7" s="55" t="s">
        <v>129</v>
      </c>
      <c r="Q7" s="57" t="s">
        <v>138</v>
      </c>
      <c r="R7" s="57" t="s">
        <v>138</v>
      </c>
      <c r="S7" s="57" t="s">
        <v>139</v>
      </c>
      <c r="T7" s="57" t="s">
        <v>140</v>
      </c>
      <c r="U7" s="57" t="s">
        <v>141</v>
      </c>
      <c r="V7" s="57" t="s">
        <v>142</v>
      </c>
      <c r="W7" s="57" t="s">
        <v>138</v>
      </c>
      <c r="X7" s="57" t="s">
        <v>152</v>
      </c>
      <c r="Y7" s="57" t="s">
        <v>154</v>
      </c>
      <c r="Z7" s="57"/>
      <c r="AA7" s="75" t="s">
        <v>162</v>
      </c>
      <c r="AB7" s="75" t="s">
        <v>163</v>
      </c>
      <c r="AC7" s="75" t="s">
        <v>164</v>
      </c>
      <c r="AD7" s="75"/>
    </row>
    <row r="8" spans="1:32">
      <c r="A8" s="35" t="s">
        <v>227</v>
      </c>
      <c r="B8" s="35" t="s">
        <v>84</v>
      </c>
      <c r="C8" s="35" t="s">
        <v>206</v>
      </c>
      <c r="D8" s="62" t="s">
        <v>165</v>
      </c>
      <c r="E8" s="62" t="s">
        <v>166</v>
      </c>
      <c r="F8" s="54" t="s">
        <v>290</v>
      </c>
      <c r="G8" s="54" t="s">
        <v>291</v>
      </c>
      <c r="H8" s="54" t="s">
        <v>292</v>
      </c>
      <c r="I8" s="54" t="s">
        <v>291</v>
      </c>
      <c r="J8" s="54" t="s">
        <v>293</v>
      </c>
      <c r="K8" s="54" t="s">
        <v>294</v>
      </c>
      <c r="L8" s="85" t="s">
        <v>295</v>
      </c>
      <c r="M8" s="85" t="s">
        <v>296</v>
      </c>
      <c r="N8" s="54" t="s">
        <v>131</v>
      </c>
      <c r="O8" s="54" t="s">
        <v>132</v>
      </c>
      <c r="P8" s="54" t="s">
        <v>133</v>
      </c>
      <c r="Q8" s="56" t="s">
        <v>143</v>
      </c>
      <c r="R8" s="56" t="s">
        <v>144</v>
      </c>
      <c r="S8" s="56" t="s">
        <v>145</v>
      </c>
      <c r="T8" s="56" t="s">
        <v>146</v>
      </c>
      <c r="U8" s="56" t="s">
        <v>147</v>
      </c>
      <c r="V8" s="56" t="s">
        <v>148</v>
      </c>
      <c r="W8" s="56" t="s">
        <v>149</v>
      </c>
      <c r="X8" s="56" t="s">
        <v>155</v>
      </c>
      <c r="Y8" s="56" t="s">
        <v>156</v>
      </c>
      <c r="Z8" s="56" t="s">
        <v>129</v>
      </c>
      <c r="AA8" s="74" t="s">
        <v>167</v>
      </c>
      <c r="AB8" s="74" t="s">
        <v>168</v>
      </c>
      <c r="AC8" s="74" t="s">
        <v>169</v>
      </c>
      <c r="AD8" s="74" t="s">
        <v>129</v>
      </c>
    </row>
    <row r="9" spans="1:32">
      <c r="A9" s="34" t="s">
        <v>208</v>
      </c>
      <c r="D9" s="92"/>
      <c r="E9" s="92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9"/>
      <c r="R9" s="89"/>
      <c r="S9" s="89"/>
      <c r="T9" s="89"/>
      <c r="U9" s="89"/>
      <c r="V9" s="89"/>
      <c r="W9" s="89"/>
      <c r="X9" s="89"/>
      <c r="Y9" s="89"/>
      <c r="Z9" s="89"/>
      <c r="AA9" s="86"/>
      <c r="AB9" s="86"/>
      <c r="AC9" s="86"/>
      <c r="AD9" s="86"/>
    </row>
    <row r="10" spans="1:32">
      <c r="D10" s="93"/>
      <c r="E10" s="93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87"/>
      <c r="AB10" s="87"/>
      <c r="AC10" s="87"/>
      <c r="AD10" s="87"/>
    </row>
    <row r="11" spans="1:32">
      <c r="A11" s="96" t="s">
        <v>209</v>
      </c>
      <c r="B11" s="96" t="s">
        <v>85</v>
      </c>
      <c r="C11" s="96">
        <v>949</v>
      </c>
      <c r="D11" s="93">
        <v>0</v>
      </c>
      <c r="E11" s="93">
        <v>2534741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5319093</v>
      </c>
      <c r="Q11" s="90">
        <v>0</v>
      </c>
      <c r="R11" s="90">
        <v>2562</v>
      </c>
      <c r="S11" s="90">
        <v>2335</v>
      </c>
      <c r="T11" s="90">
        <v>0</v>
      </c>
      <c r="U11" s="90">
        <v>0</v>
      </c>
      <c r="V11" s="90">
        <v>0</v>
      </c>
      <c r="W11" s="90">
        <v>17417</v>
      </c>
      <c r="X11" s="90">
        <v>0</v>
      </c>
      <c r="Y11" s="90">
        <v>2854</v>
      </c>
      <c r="Z11" s="90">
        <v>0</v>
      </c>
      <c r="AA11" s="87">
        <v>255587</v>
      </c>
      <c r="AB11" s="87">
        <v>0</v>
      </c>
      <c r="AC11" s="87">
        <v>11227</v>
      </c>
      <c r="AD11" s="87">
        <v>50844</v>
      </c>
    </row>
    <row r="12" spans="1:32">
      <c r="A12" s="99" t="s">
        <v>210</v>
      </c>
      <c r="B12" s="99"/>
      <c r="C12" s="99">
        <v>122</v>
      </c>
      <c r="D12" s="93">
        <v>0</v>
      </c>
      <c r="E12" s="93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1541017</v>
      </c>
      <c r="Q12" s="90">
        <v>33440</v>
      </c>
      <c r="R12" s="90">
        <v>788</v>
      </c>
      <c r="S12" s="90">
        <v>20831</v>
      </c>
      <c r="T12" s="90">
        <v>0</v>
      </c>
      <c r="U12" s="90">
        <v>0</v>
      </c>
      <c r="V12" s="90">
        <v>0</v>
      </c>
      <c r="W12" s="90">
        <v>8434</v>
      </c>
      <c r="X12" s="90">
        <v>13492</v>
      </c>
      <c r="Y12" s="90">
        <v>725</v>
      </c>
      <c r="Z12" s="90">
        <v>930</v>
      </c>
      <c r="AA12" s="87">
        <v>0</v>
      </c>
      <c r="AB12" s="87">
        <v>0</v>
      </c>
      <c r="AC12" s="87">
        <v>0</v>
      </c>
      <c r="AD12" s="87">
        <v>265427</v>
      </c>
    </row>
    <row r="13" spans="1:32">
      <c r="A13" s="96" t="s">
        <v>211</v>
      </c>
      <c r="B13" s="96" t="s">
        <v>85</v>
      </c>
      <c r="C13" s="96">
        <v>247</v>
      </c>
      <c r="D13" s="93">
        <v>0</v>
      </c>
      <c r="E13" s="93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2">
        <v>0</v>
      </c>
      <c r="O13" s="82">
        <v>0</v>
      </c>
      <c r="P13" s="82">
        <v>1505392</v>
      </c>
      <c r="Q13" s="90">
        <v>63138</v>
      </c>
      <c r="R13" s="90">
        <v>1728</v>
      </c>
      <c r="S13" s="90">
        <v>23483</v>
      </c>
      <c r="T13" s="90">
        <v>580</v>
      </c>
      <c r="U13" s="90">
        <v>0</v>
      </c>
      <c r="V13" s="90">
        <v>0</v>
      </c>
      <c r="W13" s="90">
        <v>18588</v>
      </c>
      <c r="X13" s="90">
        <v>0</v>
      </c>
      <c r="Y13" s="90">
        <v>6502</v>
      </c>
      <c r="Z13" s="90">
        <v>1559</v>
      </c>
      <c r="AA13" s="87">
        <v>0</v>
      </c>
      <c r="AB13" s="87">
        <v>0</v>
      </c>
      <c r="AC13" s="87">
        <v>0</v>
      </c>
      <c r="AD13" s="87">
        <v>1392883</v>
      </c>
    </row>
    <row r="14" spans="1:32">
      <c r="A14" s="99" t="s">
        <v>212</v>
      </c>
      <c r="B14" s="99"/>
      <c r="C14" s="99">
        <v>571</v>
      </c>
      <c r="D14" s="93">
        <v>0</v>
      </c>
      <c r="E14" s="93">
        <v>653041</v>
      </c>
      <c r="F14" s="82">
        <v>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82">
        <v>0</v>
      </c>
      <c r="M14" s="82">
        <v>0</v>
      </c>
      <c r="N14" s="82">
        <v>0</v>
      </c>
      <c r="O14" s="82">
        <v>0</v>
      </c>
      <c r="P14" s="82">
        <v>4084029</v>
      </c>
      <c r="Q14" s="90">
        <v>79476</v>
      </c>
      <c r="R14" s="90">
        <v>1584</v>
      </c>
      <c r="S14" s="90">
        <v>89236</v>
      </c>
      <c r="T14" s="90">
        <v>0</v>
      </c>
      <c r="U14" s="90">
        <v>0</v>
      </c>
      <c r="V14" s="90">
        <v>0</v>
      </c>
      <c r="W14" s="90">
        <v>22355</v>
      </c>
      <c r="X14" s="90">
        <v>14476</v>
      </c>
      <c r="Y14" s="90">
        <v>4769</v>
      </c>
      <c r="Z14" s="90">
        <v>2827</v>
      </c>
      <c r="AA14" s="87">
        <v>14004</v>
      </c>
      <c r="AB14" s="87">
        <v>0</v>
      </c>
      <c r="AC14" s="87">
        <v>0</v>
      </c>
      <c r="AD14" s="87">
        <v>69351</v>
      </c>
    </row>
    <row r="15" spans="1:32">
      <c r="A15" s="96" t="s">
        <v>213</v>
      </c>
      <c r="B15" s="96" t="s">
        <v>85</v>
      </c>
      <c r="C15" s="96">
        <v>842</v>
      </c>
      <c r="D15" s="93">
        <v>0</v>
      </c>
      <c r="E15" s="93">
        <v>2803872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4933143</v>
      </c>
      <c r="Q15" s="90">
        <v>490783</v>
      </c>
      <c r="R15" s="90">
        <v>5077</v>
      </c>
      <c r="S15" s="90">
        <v>342304</v>
      </c>
      <c r="T15" s="90">
        <v>1512</v>
      </c>
      <c r="U15" s="90">
        <v>0</v>
      </c>
      <c r="V15" s="90">
        <v>0</v>
      </c>
      <c r="W15" s="90">
        <v>254753</v>
      </c>
      <c r="X15" s="90">
        <v>0</v>
      </c>
      <c r="Y15" s="90">
        <v>17100</v>
      </c>
      <c r="Z15" s="90">
        <v>11447</v>
      </c>
      <c r="AA15" s="87">
        <v>67163</v>
      </c>
      <c r="AB15" s="87">
        <v>0</v>
      </c>
      <c r="AC15" s="87">
        <v>0</v>
      </c>
      <c r="AD15" s="87">
        <v>0</v>
      </c>
    </row>
    <row r="16" spans="1:32">
      <c r="A16" s="99" t="s">
        <v>214</v>
      </c>
      <c r="B16" s="99"/>
      <c r="C16" s="99">
        <v>323</v>
      </c>
      <c r="D16" s="93">
        <v>0</v>
      </c>
      <c r="E16" s="93">
        <v>0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0</v>
      </c>
      <c r="M16" s="82">
        <v>0</v>
      </c>
      <c r="N16" s="82">
        <v>0</v>
      </c>
      <c r="O16" s="82">
        <v>0</v>
      </c>
      <c r="P16" s="82">
        <v>2173127</v>
      </c>
      <c r="Q16" s="90">
        <v>25932</v>
      </c>
      <c r="R16" s="90">
        <v>4328</v>
      </c>
      <c r="S16" s="90">
        <v>47424</v>
      </c>
      <c r="T16" s="90">
        <v>0</v>
      </c>
      <c r="U16" s="90">
        <v>0</v>
      </c>
      <c r="V16" s="90">
        <v>0</v>
      </c>
      <c r="W16" s="90">
        <v>19385</v>
      </c>
      <c r="X16" s="90">
        <v>0</v>
      </c>
      <c r="Y16" s="90">
        <v>2250</v>
      </c>
      <c r="Z16" s="90">
        <v>0</v>
      </c>
      <c r="AA16" s="87">
        <v>0</v>
      </c>
      <c r="AB16" s="87">
        <v>0</v>
      </c>
      <c r="AC16" s="87">
        <v>0</v>
      </c>
      <c r="AD16" s="87">
        <v>551462</v>
      </c>
    </row>
    <row r="17" spans="1:32">
      <c r="A17" s="99" t="s">
        <v>215</v>
      </c>
      <c r="B17" s="99"/>
      <c r="C17" s="99">
        <v>518</v>
      </c>
      <c r="D17" s="93">
        <v>0</v>
      </c>
      <c r="E17" s="93">
        <v>0</v>
      </c>
      <c r="F17" s="82">
        <v>0</v>
      </c>
      <c r="G17" s="82">
        <v>0</v>
      </c>
      <c r="H17" s="82">
        <v>0</v>
      </c>
      <c r="I17" s="82">
        <v>0</v>
      </c>
      <c r="J17" s="82">
        <v>0</v>
      </c>
      <c r="K17" s="82">
        <v>0</v>
      </c>
      <c r="L17" s="82">
        <v>0</v>
      </c>
      <c r="M17" s="82">
        <v>0</v>
      </c>
      <c r="N17" s="82">
        <v>0</v>
      </c>
      <c r="O17" s="82">
        <v>0</v>
      </c>
      <c r="P17" s="82">
        <v>3142234</v>
      </c>
      <c r="Q17" s="90">
        <v>61261</v>
      </c>
      <c r="R17" s="90">
        <v>893</v>
      </c>
      <c r="S17" s="90">
        <v>52777</v>
      </c>
      <c r="T17" s="90">
        <v>0</v>
      </c>
      <c r="U17" s="90">
        <v>0</v>
      </c>
      <c r="V17" s="90">
        <v>0</v>
      </c>
      <c r="W17" s="90">
        <v>13582</v>
      </c>
      <c r="X17" s="90">
        <v>7846</v>
      </c>
      <c r="Y17" s="90">
        <v>2728</v>
      </c>
      <c r="Z17" s="90">
        <v>2431</v>
      </c>
      <c r="AA17" s="87">
        <v>0</v>
      </c>
      <c r="AB17" s="87">
        <v>0</v>
      </c>
      <c r="AC17" s="87">
        <v>0</v>
      </c>
      <c r="AD17" s="87">
        <v>2106049</v>
      </c>
    </row>
    <row r="18" spans="1:32">
      <c r="A18" s="97" t="s">
        <v>216</v>
      </c>
      <c r="B18" s="96" t="s">
        <v>85</v>
      </c>
      <c r="C18" s="96">
        <v>254</v>
      </c>
      <c r="D18" s="93">
        <v>0</v>
      </c>
      <c r="E18" s="93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1624415</v>
      </c>
      <c r="Q18" s="90">
        <v>107823</v>
      </c>
      <c r="R18" s="90">
        <v>454</v>
      </c>
      <c r="S18" s="90">
        <v>27975</v>
      </c>
      <c r="T18" s="90">
        <v>646</v>
      </c>
      <c r="U18" s="90">
        <v>0</v>
      </c>
      <c r="V18" s="90">
        <v>0</v>
      </c>
      <c r="W18" s="90">
        <v>20065</v>
      </c>
      <c r="X18" s="90">
        <v>0</v>
      </c>
      <c r="Y18" s="90">
        <v>2570</v>
      </c>
      <c r="Z18" s="90">
        <v>118800</v>
      </c>
      <c r="AA18" s="87">
        <v>0</v>
      </c>
      <c r="AB18" s="87">
        <v>0</v>
      </c>
      <c r="AC18" s="87">
        <v>0</v>
      </c>
      <c r="AD18" s="87">
        <v>971736</v>
      </c>
    </row>
    <row r="19" spans="1:32">
      <c r="A19" s="97" t="s">
        <v>217</v>
      </c>
      <c r="B19" s="96" t="s">
        <v>85</v>
      </c>
      <c r="C19" s="96">
        <v>535</v>
      </c>
      <c r="D19" s="93">
        <v>0</v>
      </c>
      <c r="E19" s="93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3162374</v>
      </c>
      <c r="Q19" s="90">
        <v>426944</v>
      </c>
      <c r="R19" s="90">
        <v>0</v>
      </c>
      <c r="S19" s="90">
        <v>147731</v>
      </c>
      <c r="T19" s="90">
        <v>3757</v>
      </c>
      <c r="U19" s="90">
        <v>0</v>
      </c>
      <c r="V19" s="90">
        <v>0</v>
      </c>
      <c r="W19" s="90">
        <v>29342</v>
      </c>
      <c r="X19" s="90">
        <v>0</v>
      </c>
      <c r="Y19" s="90">
        <v>7987</v>
      </c>
      <c r="Z19" s="90">
        <v>10402</v>
      </c>
      <c r="AA19" s="87">
        <v>0</v>
      </c>
      <c r="AB19" s="87">
        <v>0</v>
      </c>
      <c r="AC19" s="87">
        <v>0</v>
      </c>
      <c r="AD19" s="87">
        <v>1633644</v>
      </c>
    </row>
    <row r="20" spans="1:32">
      <c r="A20" s="99" t="s">
        <v>218</v>
      </c>
      <c r="B20" s="99"/>
      <c r="C20" s="99">
        <v>667</v>
      </c>
      <c r="D20" s="93">
        <v>0</v>
      </c>
      <c r="E20" s="93">
        <v>734830</v>
      </c>
      <c r="F20" s="82">
        <v>0</v>
      </c>
      <c r="G20" s="82">
        <v>0</v>
      </c>
      <c r="H20" s="82">
        <v>0</v>
      </c>
      <c r="I20" s="82">
        <v>5216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4197749</v>
      </c>
      <c r="Q20" s="90">
        <v>91306</v>
      </c>
      <c r="R20" s="90">
        <v>37</v>
      </c>
      <c r="S20" s="90">
        <v>101570</v>
      </c>
      <c r="T20" s="90">
        <v>1437</v>
      </c>
      <c r="U20" s="90">
        <v>0</v>
      </c>
      <c r="V20" s="90">
        <v>0</v>
      </c>
      <c r="W20" s="90">
        <v>19228</v>
      </c>
      <c r="X20" s="90">
        <v>0</v>
      </c>
      <c r="Y20" s="90">
        <v>4890</v>
      </c>
      <c r="Z20" s="90">
        <v>5483</v>
      </c>
      <c r="AA20" s="87">
        <v>19948</v>
      </c>
      <c r="AB20" s="87">
        <v>0</v>
      </c>
      <c r="AC20" s="87">
        <v>5915</v>
      </c>
      <c r="AD20" s="87">
        <v>141228</v>
      </c>
    </row>
    <row r="21" spans="1:32">
      <c r="A21" s="99" t="s">
        <v>219</v>
      </c>
      <c r="B21" s="99"/>
      <c r="C21" s="99">
        <v>675</v>
      </c>
      <c r="D21" s="93">
        <v>0</v>
      </c>
      <c r="E21" s="93">
        <v>1247976</v>
      </c>
      <c r="F21" s="82">
        <v>0</v>
      </c>
      <c r="G21" s="82">
        <v>0</v>
      </c>
      <c r="H21" s="82">
        <v>0</v>
      </c>
      <c r="I21" s="82">
        <v>2608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4713219</v>
      </c>
      <c r="Q21" s="90">
        <v>17984</v>
      </c>
      <c r="R21" s="90">
        <v>3861</v>
      </c>
      <c r="S21" s="90">
        <v>107388</v>
      </c>
      <c r="T21" s="90">
        <v>772</v>
      </c>
      <c r="U21" s="90">
        <v>0</v>
      </c>
      <c r="V21" s="90">
        <v>0</v>
      </c>
      <c r="W21" s="90">
        <v>26783</v>
      </c>
      <c r="X21" s="90">
        <v>16609</v>
      </c>
      <c r="Y21" s="90">
        <v>3629</v>
      </c>
      <c r="Z21" s="90">
        <v>500</v>
      </c>
      <c r="AA21" s="87">
        <v>121770</v>
      </c>
      <c r="AB21" s="87">
        <v>21200</v>
      </c>
      <c r="AC21" s="87">
        <v>0</v>
      </c>
      <c r="AD21" s="87">
        <v>151946</v>
      </c>
    </row>
    <row r="22" spans="1:32">
      <c r="A22" s="99" t="s">
        <v>220</v>
      </c>
      <c r="B22" s="99"/>
      <c r="C22" s="99">
        <v>648</v>
      </c>
      <c r="D22" s="93">
        <v>0</v>
      </c>
      <c r="E22" s="93">
        <v>2688395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4045576</v>
      </c>
      <c r="Q22" s="90">
        <v>10970</v>
      </c>
      <c r="R22" s="90">
        <v>3664</v>
      </c>
      <c r="S22" s="90">
        <v>120726</v>
      </c>
      <c r="T22" s="90">
        <v>0</v>
      </c>
      <c r="U22" s="90">
        <v>0</v>
      </c>
      <c r="V22" s="90">
        <v>0</v>
      </c>
      <c r="W22" s="90">
        <v>1326</v>
      </c>
      <c r="X22" s="90">
        <v>0</v>
      </c>
      <c r="Y22" s="90">
        <v>606</v>
      </c>
      <c r="Z22" s="90">
        <v>625</v>
      </c>
      <c r="AA22" s="87">
        <v>175230</v>
      </c>
      <c r="AB22" s="87">
        <v>19658</v>
      </c>
      <c r="AC22" s="87">
        <v>3775</v>
      </c>
      <c r="AD22" s="87">
        <v>426167</v>
      </c>
    </row>
    <row r="23" spans="1:32">
      <c r="A23" s="99" t="s">
        <v>63</v>
      </c>
      <c r="B23" s="99"/>
      <c r="C23" s="99">
        <v>282</v>
      </c>
      <c r="D23" s="93">
        <v>0</v>
      </c>
      <c r="E23" s="93">
        <v>311270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2101340</v>
      </c>
      <c r="Q23" s="90">
        <v>188029</v>
      </c>
      <c r="R23" s="90">
        <v>2968</v>
      </c>
      <c r="S23" s="90">
        <v>125206</v>
      </c>
      <c r="T23" s="90">
        <v>2216</v>
      </c>
      <c r="U23" s="90">
        <v>0</v>
      </c>
      <c r="V23" s="90">
        <v>0</v>
      </c>
      <c r="W23" s="90">
        <v>37881</v>
      </c>
      <c r="X23" s="90">
        <v>0</v>
      </c>
      <c r="Y23" s="90">
        <v>6665</v>
      </c>
      <c r="Z23" s="90">
        <v>6523</v>
      </c>
      <c r="AA23" s="87">
        <v>12078</v>
      </c>
      <c r="AB23" s="87">
        <v>0</v>
      </c>
      <c r="AC23" s="87">
        <v>0</v>
      </c>
      <c r="AD23" s="87">
        <v>26604</v>
      </c>
    </row>
    <row r="24" spans="1:32">
      <c r="A24" s="97" t="s">
        <v>65</v>
      </c>
      <c r="B24" s="96" t="s">
        <v>85</v>
      </c>
      <c r="C24" s="96">
        <v>123</v>
      </c>
      <c r="D24" s="93">
        <v>0</v>
      </c>
      <c r="E24" s="93">
        <v>197746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832618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203285</v>
      </c>
      <c r="AA24" s="87">
        <v>0</v>
      </c>
      <c r="AB24" s="87">
        <v>0</v>
      </c>
      <c r="AC24" s="87">
        <v>0</v>
      </c>
      <c r="AD24" s="87">
        <v>0</v>
      </c>
    </row>
    <row r="25" spans="1:32">
      <c r="A25" s="34" t="s">
        <v>66</v>
      </c>
      <c r="C25" s="34">
        <v>229</v>
      </c>
      <c r="D25" s="93">
        <v>0</v>
      </c>
      <c r="E25" s="93">
        <v>680357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>
        <v>0</v>
      </c>
      <c r="L25" s="82">
        <v>0</v>
      </c>
      <c r="M25" s="82">
        <v>0</v>
      </c>
      <c r="N25" s="82">
        <v>0</v>
      </c>
      <c r="O25" s="82">
        <v>0</v>
      </c>
      <c r="P25" s="82">
        <v>1456006</v>
      </c>
      <c r="Q25" s="90">
        <v>10518</v>
      </c>
      <c r="R25" s="90">
        <v>0</v>
      </c>
      <c r="S25" s="90">
        <v>19195</v>
      </c>
      <c r="T25" s="90">
        <v>0</v>
      </c>
      <c r="U25" s="90">
        <v>0</v>
      </c>
      <c r="V25" s="90">
        <v>0</v>
      </c>
      <c r="W25" s="90">
        <v>4016</v>
      </c>
      <c r="X25" s="90">
        <v>0</v>
      </c>
      <c r="Y25" s="90">
        <v>0</v>
      </c>
      <c r="Z25" s="90">
        <v>287495</v>
      </c>
      <c r="AA25" s="87">
        <v>11663</v>
      </c>
      <c r="AB25" s="87">
        <v>0</v>
      </c>
      <c r="AC25" s="87">
        <v>0</v>
      </c>
      <c r="AD25" s="87">
        <v>122017</v>
      </c>
    </row>
    <row r="26" spans="1:32">
      <c r="A26" s="34" t="s">
        <v>67</v>
      </c>
      <c r="C26" s="34">
        <v>326</v>
      </c>
      <c r="D26" s="93">
        <v>0</v>
      </c>
      <c r="E26" s="93">
        <v>0</v>
      </c>
      <c r="F26" s="82">
        <v>0</v>
      </c>
      <c r="G26" s="82">
        <v>0</v>
      </c>
      <c r="H26" s="82">
        <v>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2084192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205793</v>
      </c>
      <c r="AA26" s="87">
        <v>0</v>
      </c>
      <c r="AB26" s="87">
        <v>0</v>
      </c>
      <c r="AC26" s="87">
        <v>0</v>
      </c>
      <c r="AD26" s="87">
        <v>951182</v>
      </c>
    </row>
    <row r="27" spans="1:32">
      <c r="A27" s="97" t="s">
        <v>68</v>
      </c>
      <c r="B27" s="96" t="s">
        <v>85</v>
      </c>
      <c r="C27" s="96">
        <v>264</v>
      </c>
      <c r="D27" s="93">
        <v>0</v>
      </c>
      <c r="E27" s="93">
        <v>842830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1623326</v>
      </c>
      <c r="Q27" s="90">
        <v>90899</v>
      </c>
      <c r="R27" s="90">
        <v>0</v>
      </c>
      <c r="S27" s="90">
        <v>21320</v>
      </c>
      <c r="T27" s="90">
        <v>0</v>
      </c>
      <c r="U27" s="90">
        <v>0</v>
      </c>
      <c r="V27" s="90">
        <v>0</v>
      </c>
      <c r="W27" s="90">
        <v>16133</v>
      </c>
      <c r="X27" s="90">
        <v>0</v>
      </c>
      <c r="Y27" s="90">
        <v>0</v>
      </c>
      <c r="Z27" s="90">
        <v>228449</v>
      </c>
      <c r="AA27" s="87">
        <v>23210</v>
      </c>
      <c r="AB27" s="87">
        <v>0</v>
      </c>
      <c r="AC27" s="87">
        <v>0</v>
      </c>
      <c r="AD27" s="87">
        <v>107819</v>
      </c>
    </row>
    <row r="28" spans="1:32">
      <c r="A28" s="34" t="s">
        <v>69</v>
      </c>
      <c r="D28" s="93"/>
      <c r="E28" s="93"/>
      <c r="F28" s="82" t="s">
        <v>69</v>
      </c>
      <c r="G28" s="82" t="s">
        <v>69</v>
      </c>
      <c r="H28" s="82" t="s">
        <v>69</v>
      </c>
      <c r="I28" s="82" t="s">
        <v>69</v>
      </c>
      <c r="J28" s="82" t="s">
        <v>69</v>
      </c>
      <c r="K28" s="82" t="s">
        <v>69</v>
      </c>
      <c r="L28" s="82" t="s">
        <v>69</v>
      </c>
      <c r="M28" s="82" t="s">
        <v>69</v>
      </c>
      <c r="N28" s="82" t="s">
        <v>69</v>
      </c>
      <c r="O28" s="82" t="s">
        <v>69</v>
      </c>
      <c r="P28" s="82" t="s">
        <v>69</v>
      </c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87"/>
      <c r="AB28" s="87"/>
      <c r="AC28" s="87"/>
      <c r="AD28" s="87"/>
    </row>
    <row r="29" spans="1:32" ht="15" thickBot="1">
      <c r="A29" s="100" t="s">
        <v>83</v>
      </c>
      <c r="B29" s="100"/>
      <c r="C29" s="37"/>
      <c r="D29" s="94">
        <f t="shared" ref="D29:AD29" si="0">SUM(D11:D28)</f>
        <v>0</v>
      </c>
      <c r="E29" s="94">
        <f t="shared" si="0"/>
        <v>12695058</v>
      </c>
      <c r="F29" s="83">
        <f t="shared" si="0"/>
        <v>0</v>
      </c>
      <c r="G29" s="83">
        <f t="shared" si="0"/>
        <v>0</v>
      </c>
      <c r="H29" s="83">
        <f t="shared" si="0"/>
        <v>0</v>
      </c>
      <c r="I29" s="83">
        <f t="shared" si="0"/>
        <v>7824</v>
      </c>
      <c r="J29" s="83">
        <f t="shared" si="0"/>
        <v>0</v>
      </c>
      <c r="K29" s="83">
        <f t="shared" si="0"/>
        <v>0</v>
      </c>
      <c r="L29" s="83">
        <f t="shared" si="0"/>
        <v>0</v>
      </c>
      <c r="M29" s="83">
        <f t="shared" si="0"/>
        <v>0</v>
      </c>
      <c r="N29" s="83">
        <f t="shared" si="0"/>
        <v>0</v>
      </c>
      <c r="O29" s="83">
        <f t="shared" si="0"/>
        <v>0</v>
      </c>
      <c r="P29" s="83">
        <f t="shared" si="0"/>
        <v>48538850</v>
      </c>
      <c r="Q29" s="91">
        <f t="shared" si="0"/>
        <v>1698503</v>
      </c>
      <c r="R29" s="91">
        <f t="shared" si="0"/>
        <v>27944</v>
      </c>
      <c r="S29" s="91">
        <f t="shared" si="0"/>
        <v>1249501</v>
      </c>
      <c r="T29" s="91">
        <f t="shared" si="0"/>
        <v>10920</v>
      </c>
      <c r="U29" s="91">
        <f t="shared" si="0"/>
        <v>0</v>
      </c>
      <c r="V29" s="91">
        <f t="shared" si="0"/>
        <v>0</v>
      </c>
      <c r="W29" s="91">
        <f t="shared" si="0"/>
        <v>509288</v>
      </c>
      <c r="X29" s="91">
        <f t="shared" si="0"/>
        <v>52423</v>
      </c>
      <c r="Y29" s="91">
        <f t="shared" si="0"/>
        <v>63275</v>
      </c>
      <c r="Z29" s="91">
        <f t="shared" si="0"/>
        <v>1086549</v>
      </c>
      <c r="AA29" s="88">
        <f t="shared" si="0"/>
        <v>700653</v>
      </c>
      <c r="AB29" s="88">
        <f t="shared" si="0"/>
        <v>40858</v>
      </c>
      <c r="AC29" s="88">
        <f t="shared" si="0"/>
        <v>20917</v>
      </c>
      <c r="AD29" s="88">
        <f t="shared" si="0"/>
        <v>8968359</v>
      </c>
      <c r="AF29" t="s">
        <v>279</v>
      </c>
    </row>
    <row r="30" spans="1:32" ht="15" thickTop="1">
      <c r="A30" s="36"/>
      <c r="B30" s="36"/>
      <c r="C30" s="36">
        <f>SUM(C11:C27)</f>
        <v>7575</v>
      </c>
      <c r="E30" s="36">
        <f>E29</f>
        <v>12695058</v>
      </c>
      <c r="P30" s="36">
        <f>SUM(F29:P29)</f>
        <v>48546674</v>
      </c>
      <c r="Q30" s="34"/>
      <c r="R30" s="34"/>
      <c r="S30" s="34"/>
      <c r="T30" s="34"/>
      <c r="U30" s="34"/>
      <c r="V30" s="34"/>
      <c r="W30" s="34"/>
      <c r="X30" s="34"/>
      <c r="Y30" s="34"/>
      <c r="Z30" s="36">
        <f>SUM(Q29:Z29)</f>
        <v>4698403</v>
      </c>
      <c r="AB30" s="45"/>
      <c r="AD30" s="36">
        <f>SUM(AA29:AD29)</f>
        <v>9730787</v>
      </c>
      <c r="AF30" s="103">
        <f>SUM(P30:AE30)</f>
        <v>62975864</v>
      </c>
    </row>
    <row r="31" spans="1:32">
      <c r="A31" s="36"/>
      <c r="B31" s="36"/>
      <c r="C31" s="36"/>
      <c r="D31" s="34" t="s">
        <v>112</v>
      </c>
      <c r="E31" s="36"/>
      <c r="P31" s="36"/>
      <c r="Q31" s="34"/>
      <c r="R31" s="34"/>
      <c r="S31" s="34"/>
      <c r="T31" s="34"/>
      <c r="U31" s="34"/>
      <c r="V31" s="34"/>
      <c r="W31" s="34"/>
      <c r="X31" s="34"/>
      <c r="Y31" s="34"/>
      <c r="Z31" s="36"/>
      <c r="AB31" s="45"/>
      <c r="AD31" s="36"/>
      <c r="AF31" s="103"/>
    </row>
    <row r="32" spans="1:32">
      <c r="A32" s="36"/>
      <c r="B32" s="36"/>
      <c r="C32" s="36"/>
      <c r="D32" s="34" t="s">
        <v>113</v>
      </c>
      <c r="E32" s="36"/>
      <c r="P32" s="36"/>
      <c r="Q32" s="34"/>
      <c r="R32" s="34"/>
      <c r="S32" s="34"/>
      <c r="T32" s="34"/>
      <c r="U32" s="34"/>
      <c r="V32" s="34"/>
      <c r="W32" s="34"/>
      <c r="X32" s="34"/>
      <c r="Y32" s="34"/>
      <c r="Z32" s="36"/>
      <c r="AB32" s="45"/>
      <c r="AD32" s="36"/>
      <c r="AF32" s="103"/>
    </row>
    <row r="33" spans="1:32">
      <c r="A33" s="36"/>
      <c r="B33" s="36"/>
      <c r="C33" s="36"/>
      <c r="D33" s="34" t="s">
        <v>279</v>
      </c>
      <c r="E33" s="36">
        <f>E30-(E31+E32)</f>
        <v>12695058</v>
      </c>
      <c r="P33" s="36">
        <f>P30-(P31+P32)</f>
        <v>48546674</v>
      </c>
      <c r="Q33" s="34"/>
      <c r="R33" s="34"/>
      <c r="S33" s="34"/>
      <c r="T33" s="34"/>
      <c r="U33" s="34"/>
      <c r="V33" s="34"/>
      <c r="W33" s="34"/>
      <c r="X33" s="34"/>
      <c r="Y33" s="34"/>
      <c r="Z33" s="36">
        <f>Z30-(Z31+Z32)</f>
        <v>4698403</v>
      </c>
      <c r="AB33" s="45"/>
      <c r="AD33" s="36">
        <f>AD30-(AD31+AD32)</f>
        <v>9730787</v>
      </c>
      <c r="AF33" s="103">
        <f>SUM(E33:AE33)</f>
        <v>75670922</v>
      </c>
    </row>
    <row r="34" spans="1:32">
      <c r="A34" s="36"/>
      <c r="B34" s="36"/>
      <c r="C34" s="36"/>
      <c r="E34" s="102">
        <f>E33/C30</f>
        <v>1675.9152475247524</v>
      </c>
      <c r="O34" s="34" t="s">
        <v>86</v>
      </c>
      <c r="P34" s="102">
        <f>P33/C30</f>
        <v>6408.8018481848185</v>
      </c>
      <c r="Q34" s="34"/>
      <c r="R34" s="34"/>
      <c r="S34" s="34"/>
      <c r="T34" s="34"/>
      <c r="U34" s="34"/>
      <c r="V34" s="34"/>
      <c r="W34" s="34"/>
      <c r="X34" s="34"/>
      <c r="Y34" s="34"/>
      <c r="Z34" s="102">
        <f>Z33/C30</f>
        <v>620.25122112211216</v>
      </c>
      <c r="AD34" s="102">
        <f>AD33/C30</f>
        <v>1284.5923432343234</v>
      </c>
      <c r="AF34" s="103">
        <f>SUM(E34:AE34)</f>
        <v>9989.5606600660067</v>
      </c>
    </row>
    <row r="35" spans="1:32">
      <c r="A35" s="34" t="s">
        <v>91</v>
      </c>
      <c r="E35" s="39">
        <f>E30/AF33</f>
        <v>0.16776666207397342</v>
      </c>
      <c r="P35" s="39">
        <f>P30/AF33</f>
        <v>0.64154992058904736</v>
      </c>
      <c r="Q35" s="34"/>
      <c r="R35" s="34"/>
      <c r="S35" s="34"/>
      <c r="U35" s="34"/>
      <c r="V35" s="34"/>
      <c r="W35" s="34"/>
      <c r="X35" s="34"/>
      <c r="Y35" s="34"/>
      <c r="Z35" s="39">
        <f>Z30/AF33</f>
        <v>6.2089939911132576E-2</v>
      </c>
      <c r="AD35" s="39">
        <f>AD30/AF33</f>
        <v>0.12859347742584662</v>
      </c>
    </row>
    <row r="36" spans="1:32">
      <c r="A36" s="34" t="s">
        <v>111</v>
      </c>
      <c r="O36" s="20"/>
    </row>
    <row r="37" spans="1:32">
      <c r="O37" s="20"/>
    </row>
    <row r="38" spans="1:32">
      <c r="O38" s="20"/>
    </row>
    <row r="39" spans="1:32">
      <c r="O39" s="20"/>
    </row>
    <row r="40" spans="1:32">
      <c r="O40" s="20"/>
    </row>
    <row r="41" spans="1:32">
      <c r="O41" s="20"/>
      <c r="AA41" s="24"/>
    </row>
    <row r="42" spans="1:32">
      <c r="N42" s="1"/>
      <c r="O42" s="1"/>
      <c r="P42" s="1"/>
    </row>
    <row r="43" spans="1:32">
      <c r="N43" s="1"/>
      <c r="O43" s="20"/>
      <c r="P43" s="1"/>
      <c r="S43" s="14"/>
    </row>
    <row r="44" spans="1:32">
      <c r="I44" s="20"/>
      <c r="N44"/>
      <c r="O44"/>
      <c r="P44"/>
    </row>
    <row r="45" spans="1:32">
      <c r="N45"/>
      <c r="O45"/>
      <c r="P45"/>
    </row>
    <row r="46" spans="1:32">
      <c r="N46"/>
      <c r="O46"/>
      <c r="P46"/>
    </row>
    <row r="47" spans="1:32">
      <c r="N47"/>
      <c r="O47"/>
      <c r="P47"/>
    </row>
    <row r="48" spans="1:32">
      <c r="N48"/>
      <c r="O48"/>
      <c r="P48"/>
    </row>
    <row r="49" spans="14:16">
      <c r="N49" s="36"/>
      <c r="O49" s="36"/>
      <c r="P49" s="36"/>
    </row>
    <row r="50" spans="14:16">
      <c r="N50" s="36"/>
      <c r="O50" s="36"/>
      <c r="P50" s="36"/>
    </row>
    <row r="53" spans="14:16">
      <c r="N53" s="36"/>
      <c r="O53" s="36"/>
      <c r="P53" s="36"/>
    </row>
    <row r="58" spans="14:16">
      <c r="N58" s="36"/>
      <c r="O58" s="36"/>
      <c r="P58" s="36"/>
    </row>
    <row r="59" spans="14:16">
      <c r="N59" s="36"/>
      <c r="O59" s="36"/>
      <c r="P59" s="36"/>
    </row>
    <row r="60" spans="14:16">
      <c r="N60" s="36"/>
      <c r="O60" s="36"/>
      <c r="P60" s="36"/>
    </row>
    <row r="61" spans="14:16">
      <c r="N61" s="36"/>
      <c r="O61" s="36"/>
      <c r="P61" s="36"/>
    </row>
    <row r="64" spans="14:16">
      <c r="N64" s="42"/>
      <c r="O64" s="42"/>
      <c r="P64" s="42"/>
    </row>
    <row r="67" spans="14:16">
      <c r="N67" s="36"/>
      <c r="O67" s="36"/>
      <c r="P67" s="36"/>
    </row>
    <row r="70" spans="14:16">
      <c r="N70" s="36"/>
      <c r="O70" s="36"/>
      <c r="P70" s="36"/>
    </row>
    <row r="71" spans="14:16">
      <c r="N71" s="36"/>
      <c r="O71" s="36"/>
      <c r="P71" s="36"/>
    </row>
    <row r="72" spans="14:16">
      <c r="N72" s="36"/>
      <c r="O72" s="36"/>
      <c r="P72" s="36"/>
    </row>
    <row r="73" spans="14:16">
      <c r="N73" s="36"/>
      <c r="O73" s="36"/>
      <c r="P73" s="36"/>
    </row>
    <row r="74" spans="14:16">
      <c r="N74" s="36"/>
      <c r="O74" s="36"/>
      <c r="P74" s="36"/>
    </row>
    <row r="75" spans="14:16">
      <c r="N75" s="42"/>
      <c r="O75" s="42"/>
      <c r="P75" s="42"/>
    </row>
    <row r="78" spans="14:16">
      <c r="N78" s="36"/>
      <c r="O78" s="36"/>
      <c r="P78" s="36"/>
    </row>
    <row r="79" spans="14:16">
      <c r="N79" s="36"/>
      <c r="O79" s="36"/>
      <c r="P79" s="36"/>
    </row>
    <row r="80" spans="14:16">
      <c r="N80" s="36"/>
      <c r="O80" s="36"/>
      <c r="P80" s="36"/>
    </row>
    <row r="82" spans="14:16">
      <c r="N82" s="36"/>
      <c r="O82" s="36"/>
      <c r="P82" s="36"/>
    </row>
    <row r="83" spans="14:16">
      <c r="N83" s="36"/>
      <c r="O83" s="36"/>
      <c r="P83" s="36"/>
    </row>
    <row r="84" spans="14:16">
      <c r="N84" s="36"/>
      <c r="O84" s="36"/>
      <c r="P84" s="36"/>
    </row>
    <row r="85" spans="14:16">
      <c r="N85" s="36"/>
      <c r="O85" s="36"/>
      <c r="P85" s="36"/>
    </row>
    <row r="86" spans="14:16">
      <c r="N86" s="42"/>
      <c r="O86" s="42"/>
      <c r="P86" s="42"/>
    </row>
    <row r="88" spans="14:16">
      <c r="N88" s="42"/>
      <c r="O88" s="42"/>
      <c r="P88" s="42"/>
    </row>
    <row r="90" spans="14:16">
      <c r="N90" s="42"/>
      <c r="O90" s="42"/>
      <c r="P90" s="42"/>
    </row>
    <row r="94" spans="14:16" ht="15" thickBot="1">
      <c r="N94" s="38"/>
      <c r="O94" s="38"/>
      <c r="P94" s="38"/>
    </row>
    <row r="95" spans="14:16" ht="15" thickTop="1"/>
  </sheetData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F85"/>
  <sheetViews>
    <sheetView workbookViewId="0">
      <selection activeCell="A24" sqref="A24"/>
    </sheetView>
  </sheetViews>
  <sheetFormatPr baseColWidth="10" defaultColWidth="8.83203125" defaultRowHeight="14"/>
  <cols>
    <col min="1" max="1" width="20.83203125" style="34" customWidth="1"/>
    <col min="2" max="2" width="8.83203125" style="34"/>
    <col min="3" max="3" width="8.33203125" style="34" customWidth="1"/>
    <col min="4" max="4" width="10.1640625" style="34" customWidth="1"/>
    <col min="5" max="5" width="14" style="34" customWidth="1"/>
    <col min="6" max="15" width="13.5" style="34" customWidth="1"/>
    <col min="16" max="16" width="15.33203125" style="34" customWidth="1"/>
    <col min="17" max="26" width="14" customWidth="1"/>
    <col min="27" max="30" width="14" style="34" customWidth="1"/>
    <col min="32" max="32" width="10.1640625" bestFit="1" customWidth="1"/>
  </cols>
  <sheetData>
    <row r="1" spans="1:32">
      <c r="A1" s="1" t="s">
        <v>221</v>
      </c>
      <c r="B1" s="1"/>
      <c r="C1" s="1"/>
      <c r="D1" s="5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5"/>
      <c r="AB1" s="5"/>
      <c r="AC1" s="5"/>
      <c r="AD1" s="5"/>
    </row>
    <row r="2" spans="1:32">
      <c r="A2" s="1" t="s">
        <v>207</v>
      </c>
      <c r="B2" s="1"/>
      <c r="C2" s="1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"/>
      <c r="AB2" s="5"/>
      <c r="AC2" s="5"/>
      <c r="AD2" s="5"/>
    </row>
    <row r="3" spans="1:32" ht="15" thickBot="1">
      <c r="A3" s="2" t="s">
        <v>223</v>
      </c>
      <c r="B3" s="2"/>
      <c r="C3" s="2"/>
      <c r="D3" s="5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5"/>
      <c r="AB3" s="5"/>
      <c r="AC3" s="5"/>
      <c r="AD3" s="5"/>
    </row>
    <row r="4" spans="1:32" ht="16" thickTop="1" thickBot="1">
      <c r="A4" s="5"/>
      <c r="B4" s="5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2" ht="15" thickTop="1">
      <c r="A5" s="98" t="s">
        <v>82</v>
      </c>
      <c r="B5" s="98"/>
      <c r="C5" s="98"/>
      <c r="D5" s="101" t="s">
        <v>160</v>
      </c>
      <c r="E5" s="63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6"/>
      <c r="R5" s="56"/>
      <c r="S5" s="56"/>
      <c r="T5" s="56"/>
      <c r="U5" s="56"/>
      <c r="V5" s="56"/>
      <c r="W5" s="56"/>
      <c r="X5" s="56"/>
      <c r="Y5" s="56"/>
      <c r="Z5" s="56"/>
      <c r="AA5" s="75"/>
      <c r="AB5" s="75"/>
      <c r="AC5" s="75"/>
      <c r="AD5" s="75"/>
    </row>
    <row r="6" spans="1:32" ht="15" thickBot="1">
      <c r="A6" s="5"/>
      <c r="B6" s="5"/>
      <c r="C6" s="5"/>
      <c r="D6" s="63" t="s">
        <v>190</v>
      </c>
      <c r="E6" s="63" t="s">
        <v>190</v>
      </c>
      <c r="F6" s="54" t="s">
        <v>133</v>
      </c>
      <c r="G6" s="54" t="s">
        <v>133</v>
      </c>
      <c r="H6" s="54" t="s">
        <v>133</v>
      </c>
      <c r="I6" s="54" t="s">
        <v>133</v>
      </c>
      <c r="J6" s="54" t="s">
        <v>133</v>
      </c>
      <c r="K6" s="54" t="s">
        <v>133</v>
      </c>
      <c r="L6" s="54" t="s">
        <v>133</v>
      </c>
      <c r="M6" s="54" t="s">
        <v>133</v>
      </c>
      <c r="N6" s="54" t="s">
        <v>133</v>
      </c>
      <c r="O6" s="54" t="s">
        <v>133</v>
      </c>
      <c r="P6" s="54" t="s">
        <v>133</v>
      </c>
      <c r="Q6" s="56" t="s">
        <v>157</v>
      </c>
      <c r="R6" s="56" t="s">
        <v>157</v>
      </c>
      <c r="S6" s="56" t="s">
        <v>157</v>
      </c>
      <c r="T6" s="56" t="s">
        <v>157</v>
      </c>
      <c r="U6" s="56" t="s">
        <v>157</v>
      </c>
      <c r="V6" s="56" t="s">
        <v>157</v>
      </c>
      <c r="W6" s="56" t="s">
        <v>157</v>
      </c>
      <c r="X6" s="56" t="s">
        <v>157</v>
      </c>
      <c r="Y6" s="56" t="s">
        <v>157</v>
      </c>
      <c r="Z6" s="56" t="s">
        <v>157</v>
      </c>
      <c r="AA6" s="75" t="s">
        <v>129</v>
      </c>
      <c r="AB6" s="75" t="s">
        <v>129</v>
      </c>
      <c r="AC6" s="75" t="s">
        <v>129</v>
      </c>
      <c r="AD6" s="75" t="s">
        <v>129</v>
      </c>
      <c r="AF6" s="75" t="s">
        <v>88</v>
      </c>
    </row>
    <row r="7" spans="1:32" ht="15" thickTop="1">
      <c r="D7" s="101" t="s">
        <v>79</v>
      </c>
      <c r="E7" s="63" t="s">
        <v>161</v>
      </c>
      <c r="F7" s="55" t="s">
        <v>283</v>
      </c>
      <c r="G7" s="55" t="s">
        <v>284</v>
      </c>
      <c r="H7" s="55" t="s">
        <v>285</v>
      </c>
      <c r="I7" s="80" t="s">
        <v>286</v>
      </c>
      <c r="J7" s="55" t="s">
        <v>287</v>
      </c>
      <c r="K7" s="55" t="s">
        <v>288</v>
      </c>
      <c r="L7" s="84" t="s">
        <v>289</v>
      </c>
      <c r="M7" s="84"/>
      <c r="N7" s="55" t="s">
        <v>301</v>
      </c>
      <c r="O7" s="55" t="s">
        <v>128</v>
      </c>
      <c r="P7" s="55" t="s">
        <v>129</v>
      </c>
      <c r="Q7" s="57" t="s">
        <v>138</v>
      </c>
      <c r="R7" s="57" t="s">
        <v>138</v>
      </c>
      <c r="S7" s="57" t="s">
        <v>139</v>
      </c>
      <c r="T7" s="57" t="s">
        <v>140</v>
      </c>
      <c r="U7" s="57" t="s">
        <v>141</v>
      </c>
      <c r="V7" s="57" t="s">
        <v>142</v>
      </c>
      <c r="W7" s="57" t="s">
        <v>138</v>
      </c>
      <c r="X7" s="57" t="s">
        <v>152</v>
      </c>
      <c r="Y7" s="57" t="s">
        <v>154</v>
      </c>
      <c r="Z7" s="57"/>
      <c r="AA7" s="75" t="s">
        <v>162</v>
      </c>
      <c r="AB7" s="75" t="s">
        <v>163</v>
      </c>
      <c r="AC7" s="75" t="s">
        <v>164</v>
      </c>
      <c r="AD7" s="75"/>
    </row>
    <row r="8" spans="1:32">
      <c r="A8" s="35" t="s">
        <v>227</v>
      </c>
      <c r="B8" s="35" t="s">
        <v>84</v>
      </c>
      <c r="C8" s="35" t="s">
        <v>206</v>
      </c>
      <c r="D8" s="62" t="s">
        <v>165</v>
      </c>
      <c r="E8" s="62" t="s">
        <v>166</v>
      </c>
      <c r="F8" s="54" t="s">
        <v>290</v>
      </c>
      <c r="G8" s="54" t="s">
        <v>291</v>
      </c>
      <c r="H8" s="54" t="s">
        <v>292</v>
      </c>
      <c r="I8" s="54" t="s">
        <v>291</v>
      </c>
      <c r="J8" s="54" t="s">
        <v>293</v>
      </c>
      <c r="K8" s="54" t="s">
        <v>294</v>
      </c>
      <c r="L8" s="85" t="s">
        <v>295</v>
      </c>
      <c r="M8" s="85" t="s">
        <v>296</v>
      </c>
      <c r="N8" s="54" t="s">
        <v>131</v>
      </c>
      <c r="O8" s="54" t="s">
        <v>132</v>
      </c>
      <c r="P8" s="54" t="s">
        <v>133</v>
      </c>
      <c r="Q8" s="56" t="s">
        <v>143</v>
      </c>
      <c r="R8" s="56" t="s">
        <v>144</v>
      </c>
      <c r="S8" s="56" t="s">
        <v>145</v>
      </c>
      <c r="T8" s="56" t="s">
        <v>146</v>
      </c>
      <c r="U8" s="56" t="s">
        <v>147</v>
      </c>
      <c r="V8" s="56" t="s">
        <v>148</v>
      </c>
      <c r="W8" s="56" t="s">
        <v>149</v>
      </c>
      <c r="X8" s="56" t="s">
        <v>155</v>
      </c>
      <c r="Y8" s="56" t="s">
        <v>156</v>
      </c>
      <c r="Z8" s="56" t="s">
        <v>129</v>
      </c>
      <c r="AA8" s="74" t="s">
        <v>167</v>
      </c>
      <c r="AB8" s="74" t="s">
        <v>168</v>
      </c>
      <c r="AC8" s="74" t="s">
        <v>169</v>
      </c>
      <c r="AD8" s="74" t="s">
        <v>129</v>
      </c>
    </row>
    <row r="9" spans="1:32">
      <c r="A9" s="34" t="s">
        <v>208</v>
      </c>
      <c r="D9" s="92"/>
      <c r="E9" s="92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9"/>
      <c r="R9" s="89"/>
      <c r="S9" s="89"/>
      <c r="T9" s="89"/>
      <c r="U9" s="89"/>
      <c r="V9" s="89"/>
      <c r="W9" s="89"/>
      <c r="X9" s="89"/>
      <c r="Y9" s="89"/>
      <c r="Z9" s="89"/>
      <c r="AA9" s="86"/>
      <c r="AB9" s="86"/>
      <c r="AC9" s="86"/>
      <c r="AD9" s="86"/>
    </row>
    <row r="10" spans="1:32">
      <c r="D10" s="93"/>
      <c r="E10" s="93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87"/>
      <c r="AB10" s="87"/>
      <c r="AC10" s="87"/>
      <c r="AD10" s="87"/>
    </row>
    <row r="11" spans="1:32">
      <c r="A11" s="96" t="s">
        <v>209</v>
      </c>
      <c r="B11" s="96" t="s">
        <v>85</v>
      </c>
      <c r="C11" s="96">
        <v>949</v>
      </c>
      <c r="D11" s="93">
        <v>0</v>
      </c>
      <c r="E11" s="93">
        <v>2534741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5319093</v>
      </c>
      <c r="Q11" s="90">
        <v>0</v>
      </c>
      <c r="R11" s="90">
        <v>2562</v>
      </c>
      <c r="S11" s="90">
        <v>2335</v>
      </c>
      <c r="T11" s="90">
        <v>0</v>
      </c>
      <c r="U11" s="90">
        <v>0</v>
      </c>
      <c r="V11" s="90">
        <v>0</v>
      </c>
      <c r="W11" s="90">
        <v>17417</v>
      </c>
      <c r="X11" s="90">
        <v>0</v>
      </c>
      <c r="Y11" s="90">
        <v>2854</v>
      </c>
      <c r="Z11" s="90">
        <v>0</v>
      </c>
      <c r="AA11" s="87">
        <v>255587</v>
      </c>
      <c r="AB11" s="87">
        <v>0</v>
      </c>
      <c r="AC11" s="87">
        <v>11227</v>
      </c>
      <c r="AD11" s="87">
        <v>50844</v>
      </c>
    </row>
    <row r="12" spans="1:32">
      <c r="A12" s="96" t="s">
        <v>211</v>
      </c>
      <c r="B12" s="96" t="s">
        <v>85</v>
      </c>
      <c r="C12" s="96">
        <v>247</v>
      </c>
      <c r="D12" s="93">
        <v>0</v>
      </c>
      <c r="E12" s="93">
        <v>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2">
        <v>0</v>
      </c>
      <c r="O12" s="82">
        <v>0</v>
      </c>
      <c r="P12" s="82">
        <v>1505392</v>
      </c>
      <c r="Q12" s="90">
        <v>63138</v>
      </c>
      <c r="R12" s="90">
        <v>1728</v>
      </c>
      <c r="S12" s="90">
        <v>23483</v>
      </c>
      <c r="T12" s="90">
        <v>580</v>
      </c>
      <c r="U12" s="90">
        <v>0</v>
      </c>
      <c r="V12" s="90">
        <v>0</v>
      </c>
      <c r="W12" s="90">
        <v>18588</v>
      </c>
      <c r="X12" s="90">
        <v>0</v>
      </c>
      <c r="Y12" s="90">
        <v>6502</v>
      </c>
      <c r="Z12" s="90">
        <v>1559</v>
      </c>
      <c r="AA12" s="87">
        <v>0</v>
      </c>
      <c r="AB12" s="87">
        <v>0</v>
      </c>
      <c r="AC12" s="87">
        <v>0</v>
      </c>
      <c r="AD12" s="87">
        <v>1392883</v>
      </c>
    </row>
    <row r="13" spans="1:32">
      <c r="A13" s="96" t="s">
        <v>213</v>
      </c>
      <c r="B13" s="96" t="s">
        <v>85</v>
      </c>
      <c r="C13" s="96">
        <v>842</v>
      </c>
      <c r="D13" s="93">
        <v>0</v>
      </c>
      <c r="E13" s="93">
        <v>2803872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4933143</v>
      </c>
      <c r="Q13" s="90">
        <v>490783</v>
      </c>
      <c r="R13" s="90">
        <v>5077</v>
      </c>
      <c r="S13" s="90">
        <v>342304</v>
      </c>
      <c r="T13" s="90">
        <v>1512</v>
      </c>
      <c r="U13" s="90">
        <v>0</v>
      </c>
      <c r="V13" s="90">
        <v>0</v>
      </c>
      <c r="W13" s="90">
        <v>254753</v>
      </c>
      <c r="X13" s="90">
        <v>0</v>
      </c>
      <c r="Y13" s="90">
        <v>17100</v>
      </c>
      <c r="Z13" s="90">
        <v>11447</v>
      </c>
      <c r="AA13" s="87">
        <v>67163</v>
      </c>
      <c r="AB13" s="87">
        <v>0</v>
      </c>
      <c r="AC13" s="87">
        <v>0</v>
      </c>
      <c r="AD13" s="87">
        <v>0</v>
      </c>
    </row>
    <row r="14" spans="1:32">
      <c r="A14" s="97" t="s">
        <v>216</v>
      </c>
      <c r="B14" s="96" t="s">
        <v>85</v>
      </c>
      <c r="C14" s="96">
        <v>254</v>
      </c>
      <c r="D14" s="93">
        <v>0</v>
      </c>
      <c r="E14" s="93">
        <v>0</v>
      </c>
      <c r="F14" s="82">
        <v>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82">
        <v>0</v>
      </c>
      <c r="M14" s="82">
        <v>0</v>
      </c>
      <c r="N14" s="82">
        <v>0</v>
      </c>
      <c r="O14" s="82">
        <v>0</v>
      </c>
      <c r="P14" s="82">
        <v>1624415</v>
      </c>
      <c r="Q14" s="90">
        <v>107823</v>
      </c>
      <c r="R14" s="90">
        <v>454</v>
      </c>
      <c r="S14" s="90">
        <v>27975</v>
      </c>
      <c r="T14" s="90">
        <v>646</v>
      </c>
      <c r="U14" s="90">
        <v>0</v>
      </c>
      <c r="V14" s="90">
        <v>0</v>
      </c>
      <c r="W14" s="90">
        <v>20065</v>
      </c>
      <c r="X14" s="90">
        <v>0</v>
      </c>
      <c r="Y14" s="90">
        <v>2570</v>
      </c>
      <c r="Z14" s="90">
        <v>118800</v>
      </c>
      <c r="AA14" s="87">
        <v>0</v>
      </c>
      <c r="AB14" s="87">
        <v>0</v>
      </c>
      <c r="AC14" s="87">
        <v>0</v>
      </c>
      <c r="AD14" s="87">
        <v>971736</v>
      </c>
    </row>
    <row r="15" spans="1:32">
      <c r="A15" s="97" t="s">
        <v>217</v>
      </c>
      <c r="B15" s="96" t="s">
        <v>85</v>
      </c>
      <c r="C15" s="96">
        <v>535</v>
      </c>
      <c r="D15" s="93">
        <v>0</v>
      </c>
      <c r="E15" s="93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3162374</v>
      </c>
      <c r="Q15" s="90">
        <v>426944</v>
      </c>
      <c r="R15" s="90">
        <v>0</v>
      </c>
      <c r="S15" s="90">
        <v>147731</v>
      </c>
      <c r="T15" s="90">
        <v>3757</v>
      </c>
      <c r="U15" s="90">
        <v>0</v>
      </c>
      <c r="V15" s="90">
        <v>0</v>
      </c>
      <c r="W15" s="90">
        <v>29342</v>
      </c>
      <c r="X15" s="90">
        <v>0</v>
      </c>
      <c r="Y15" s="90">
        <v>7987</v>
      </c>
      <c r="Z15" s="90">
        <v>10402</v>
      </c>
      <c r="AA15" s="87">
        <v>0</v>
      </c>
      <c r="AB15" s="87">
        <v>0</v>
      </c>
      <c r="AC15" s="87">
        <v>0</v>
      </c>
      <c r="AD15" s="87">
        <v>1633644</v>
      </c>
    </row>
    <row r="16" spans="1:32">
      <c r="A16" s="97" t="s">
        <v>65</v>
      </c>
      <c r="B16" s="96" t="s">
        <v>85</v>
      </c>
      <c r="C16" s="96">
        <v>123</v>
      </c>
      <c r="D16" s="93">
        <v>0</v>
      </c>
      <c r="E16" s="93">
        <v>197746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0</v>
      </c>
      <c r="M16" s="82">
        <v>0</v>
      </c>
      <c r="N16" s="82">
        <v>0</v>
      </c>
      <c r="O16" s="82">
        <v>0</v>
      </c>
      <c r="P16" s="82">
        <v>832618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203285</v>
      </c>
      <c r="AA16" s="87">
        <v>0</v>
      </c>
      <c r="AB16" s="87">
        <v>0</v>
      </c>
      <c r="AC16" s="87">
        <v>0</v>
      </c>
      <c r="AD16" s="87">
        <v>0</v>
      </c>
    </row>
    <row r="17" spans="1:32">
      <c r="A17" s="97" t="s">
        <v>68</v>
      </c>
      <c r="B17" s="96" t="s">
        <v>85</v>
      </c>
      <c r="C17" s="96">
        <v>264</v>
      </c>
      <c r="D17" s="93">
        <v>0</v>
      </c>
      <c r="E17" s="93">
        <v>842830</v>
      </c>
      <c r="F17" s="82">
        <v>0</v>
      </c>
      <c r="G17" s="82">
        <v>0</v>
      </c>
      <c r="H17" s="82">
        <v>0</v>
      </c>
      <c r="I17" s="82">
        <v>0</v>
      </c>
      <c r="J17" s="82">
        <v>0</v>
      </c>
      <c r="K17" s="82">
        <v>0</v>
      </c>
      <c r="L17" s="82">
        <v>0</v>
      </c>
      <c r="M17" s="82">
        <v>0</v>
      </c>
      <c r="N17" s="82">
        <v>0</v>
      </c>
      <c r="O17" s="82">
        <v>0</v>
      </c>
      <c r="P17" s="82">
        <v>1623326</v>
      </c>
      <c r="Q17" s="90">
        <v>90899</v>
      </c>
      <c r="R17" s="90">
        <v>0</v>
      </c>
      <c r="S17" s="90">
        <v>21320</v>
      </c>
      <c r="T17" s="90">
        <v>0</v>
      </c>
      <c r="U17" s="90">
        <v>0</v>
      </c>
      <c r="V17" s="90">
        <v>0</v>
      </c>
      <c r="W17" s="90">
        <v>16133</v>
      </c>
      <c r="X17" s="90">
        <v>0</v>
      </c>
      <c r="Y17" s="90">
        <v>0</v>
      </c>
      <c r="Z17" s="90">
        <v>228449</v>
      </c>
      <c r="AA17" s="87">
        <v>23210</v>
      </c>
      <c r="AB17" s="87">
        <v>0</v>
      </c>
      <c r="AC17" s="87">
        <v>0</v>
      </c>
      <c r="AD17" s="87">
        <v>107819</v>
      </c>
    </row>
    <row r="18" spans="1:32">
      <c r="A18" s="34" t="s">
        <v>69</v>
      </c>
      <c r="D18" s="93"/>
      <c r="E18" s="93"/>
      <c r="F18" s="82" t="s">
        <v>69</v>
      </c>
      <c r="G18" s="82" t="s">
        <v>69</v>
      </c>
      <c r="H18" s="82" t="s">
        <v>69</v>
      </c>
      <c r="I18" s="82" t="s">
        <v>69</v>
      </c>
      <c r="J18" s="82" t="s">
        <v>69</v>
      </c>
      <c r="K18" s="82" t="s">
        <v>69</v>
      </c>
      <c r="L18" s="82" t="s">
        <v>69</v>
      </c>
      <c r="M18" s="82" t="s">
        <v>69</v>
      </c>
      <c r="N18" s="82" t="s">
        <v>69</v>
      </c>
      <c r="O18" s="82" t="s">
        <v>69</v>
      </c>
      <c r="P18" s="82" t="s">
        <v>69</v>
      </c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87"/>
      <c r="AB18" s="87"/>
      <c r="AC18" s="87"/>
      <c r="AD18" s="87"/>
    </row>
    <row r="19" spans="1:32" ht="15" thickBot="1">
      <c r="A19" s="100" t="s">
        <v>83</v>
      </c>
      <c r="B19" s="100"/>
      <c r="C19" s="37">
        <f>SUM(C11:C18)</f>
        <v>3214</v>
      </c>
      <c r="D19" s="94">
        <f t="shared" ref="D19:AD19" si="0">SUM(D11:D18)</f>
        <v>0</v>
      </c>
      <c r="E19" s="94">
        <f t="shared" si="0"/>
        <v>6379189</v>
      </c>
      <c r="F19" s="83">
        <f t="shared" si="0"/>
        <v>0</v>
      </c>
      <c r="G19" s="83">
        <f t="shared" si="0"/>
        <v>0</v>
      </c>
      <c r="H19" s="83">
        <f t="shared" si="0"/>
        <v>0</v>
      </c>
      <c r="I19" s="83">
        <f t="shared" si="0"/>
        <v>0</v>
      </c>
      <c r="J19" s="83">
        <f t="shared" si="0"/>
        <v>0</v>
      </c>
      <c r="K19" s="83">
        <f t="shared" si="0"/>
        <v>0</v>
      </c>
      <c r="L19" s="83">
        <f t="shared" si="0"/>
        <v>0</v>
      </c>
      <c r="M19" s="83">
        <f t="shared" si="0"/>
        <v>0</v>
      </c>
      <c r="N19" s="83">
        <f t="shared" si="0"/>
        <v>0</v>
      </c>
      <c r="O19" s="83">
        <f t="shared" si="0"/>
        <v>0</v>
      </c>
      <c r="P19" s="83">
        <f t="shared" si="0"/>
        <v>19000361</v>
      </c>
      <c r="Q19" s="91">
        <f t="shared" si="0"/>
        <v>1179587</v>
      </c>
      <c r="R19" s="91">
        <f t="shared" si="0"/>
        <v>9821</v>
      </c>
      <c r="S19" s="91">
        <f t="shared" si="0"/>
        <v>565148</v>
      </c>
      <c r="T19" s="91">
        <f t="shared" si="0"/>
        <v>6495</v>
      </c>
      <c r="U19" s="91">
        <f t="shared" si="0"/>
        <v>0</v>
      </c>
      <c r="V19" s="91">
        <f t="shared" si="0"/>
        <v>0</v>
      </c>
      <c r="W19" s="91">
        <f t="shared" si="0"/>
        <v>356298</v>
      </c>
      <c r="X19" s="91">
        <f t="shared" si="0"/>
        <v>0</v>
      </c>
      <c r="Y19" s="91">
        <f t="shared" si="0"/>
        <v>37013</v>
      </c>
      <c r="Z19" s="91">
        <f t="shared" si="0"/>
        <v>573942</v>
      </c>
      <c r="AA19" s="88">
        <f t="shared" si="0"/>
        <v>345960</v>
      </c>
      <c r="AB19" s="88">
        <f t="shared" si="0"/>
        <v>0</v>
      </c>
      <c r="AC19" s="88">
        <f t="shared" si="0"/>
        <v>11227</v>
      </c>
      <c r="AD19" s="88">
        <f t="shared" si="0"/>
        <v>4156926</v>
      </c>
      <c r="AF19" t="s">
        <v>279</v>
      </c>
    </row>
    <row r="20" spans="1:32" s="105" customFormat="1" ht="15" thickTop="1">
      <c r="A20" s="122"/>
      <c r="B20" s="122"/>
      <c r="C20" s="123" t="s">
        <v>116</v>
      </c>
      <c r="D20" s="124"/>
      <c r="E20" s="124">
        <f>SUM(D11:E17)</f>
        <v>6379189</v>
      </c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>
        <f>SUM(F11:P17)</f>
        <v>19000361</v>
      </c>
      <c r="Q20" s="124"/>
      <c r="R20" s="124"/>
      <c r="S20" s="124"/>
      <c r="T20" s="124"/>
      <c r="U20" s="124"/>
      <c r="V20" s="124"/>
      <c r="W20" s="124"/>
      <c r="X20" s="124"/>
      <c r="Y20" s="124"/>
      <c r="Z20" s="124">
        <f>SUM(Q11:Z17)</f>
        <v>2728304</v>
      </c>
      <c r="AA20" s="124"/>
      <c r="AB20" s="124"/>
      <c r="AC20" s="124"/>
      <c r="AD20" s="124">
        <f>SUM(AA11:AD17)</f>
        <v>4514113</v>
      </c>
    </row>
    <row r="21" spans="1:32" s="105" customFormat="1">
      <c r="A21" s="122"/>
      <c r="B21" s="122"/>
      <c r="C21" s="123" t="s">
        <v>112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</row>
    <row r="22" spans="1:32" s="105" customFormat="1">
      <c r="A22" s="122"/>
      <c r="B22" s="122"/>
      <c r="C22" s="123" t="s">
        <v>113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</row>
    <row r="23" spans="1:32">
      <c r="A23" s="36"/>
      <c r="B23" s="36"/>
      <c r="C23" s="36" t="s">
        <v>279</v>
      </c>
      <c r="E23" s="36">
        <f>E20-(E21+E22)</f>
        <v>6379189</v>
      </c>
      <c r="P23" s="36">
        <f>P20-(P21+P22)</f>
        <v>19000361</v>
      </c>
      <c r="Q23" s="34"/>
      <c r="R23" s="34"/>
      <c r="S23" s="34"/>
      <c r="T23" s="34"/>
      <c r="U23" s="34"/>
      <c r="V23" s="34"/>
      <c r="W23" s="34"/>
      <c r="X23" s="34"/>
      <c r="Y23" s="34"/>
      <c r="Z23" s="36">
        <f>Z20-(Z21+Z22)</f>
        <v>2728304</v>
      </c>
      <c r="AB23" s="45"/>
      <c r="AD23" s="36">
        <f>AD20-(AD21+AD22)</f>
        <v>4514113</v>
      </c>
      <c r="AF23" s="103">
        <f>SUM(E23:AE23)</f>
        <v>32621967</v>
      </c>
    </row>
    <row r="24" spans="1:32">
      <c r="A24" s="36"/>
      <c r="B24" s="36"/>
      <c r="C24" s="36"/>
      <c r="E24" s="102">
        <f>E23/C19</f>
        <v>1984.8130056004977</v>
      </c>
      <c r="O24" s="34" t="s">
        <v>86</v>
      </c>
      <c r="P24" s="102">
        <f>P23/C19</f>
        <v>5911.7489110143124</v>
      </c>
      <c r="Q24" s="34"/>
      <c r="R24" s="34"/>
      <c r="S24" s="34"/>
      <c r="T24" s="34"/>
      <c r="U24" s="34"/>
      <c r="V24" s="34"/>
      <c r="W24" s="34"/>
      <c r="X24" s="34"/>
      <c r="Y24" s="34"/>
      <c r="Z24" s="102">
        <f>Z23/C19</f>
        <v>848.8811449906658</v>
      </c>
      <c r="AD24" s="102">
        <f>AD23/C19</f>
        <v>1404.5155569383944</v>
      </c>
      <c r="AF24" s="103">
        <f>SUM(E24:AE24)</f>
        <v>10149.958618543871</v>
      </c>
    </row>
    <row r="25" spans="1:32">
      <c r="A25" s="34" t="s">
        <v>91</v>
      </c>
      <c r="E25" s="39">
        <f>E23/AF23</f>
        <v>0.19554887662046866</v>
      </c>
      <c r="P25" s="39">
        <f>P23/AF23</f>
        <v>0.58244069096140039</v>
      </c>
      <c r="Q25" s="34"/>
      <c r="R25" s="34"/>
      <c r="S25" s="34"/>
      <c r="U25" s="34"/>
      <c r="V25" s="34"/>
      <c r="W25" s="34"/>
      <c r="X25" s="34"/>
      <c r="Y25" s="34"/>
      <c r="Z25" s="39">
        <f>Z23/AF23</f>
        <v>8.3633951318754021E-2</v>
      </c>
      <c r="AD25" s="39">
        <f>AD23/AF23</f>
        <v>0.138376481099377</v>
      </c>
    </row>
    <row r="26" spans="1:32">
      <c r="A26" s="34" t="s">
        <v>111</v>
      </c>
      <c r="O26" s="20"/>
    </row>
    <row r="27" spans="1:32">
      <c r="O27" s="20"/>
    </row>
    <row r="28" spans="1:32">
      <c r="O28" s="20"/>
    </row>
    <row r="29" spans="1:32">
      <c r="O29" s="20"/>
    </row>
    <row r="30" spans="1:32">
      <c r="O30" s="20"/>
    </row>
    <row r="31" spans="1:32">
      <c r="O31" s="20"/>
      <c r="AA31" s="24"/>
    </row>
    <row r="32" spans="1:32">
      <c r="N32" s="1"/>
      <c r="O32" s="1"/>
      <c r="P32" s="1"/>
    </row>
    <row r="33" spans="9:19">
      <c r="N33" s="1"/>
      <c r="O33" s="20"/>
      <c r="P33" s="1"/>
      <c r="S33" s="14"/>
    </row>
    <row r="34" spans="9:19">
      <c r="I34" s="20"/>
      <c r="N34"/>
      <c r="O34"/>
      <c r="P34"/>
    </row>
    <row r="35" spans="9:19">
      <c r="N35"/>
      <c r="O35"/>
      <c r="P35"/>
    </row>
    <row r="36" spans="9:19">
      <c r="N36"/>
      <c r="O36"/>
      <c r="P36"/>
    </row>
    <row r="37" spans="9:19">
      <c r="N37"/>
      <c r="O37"/>
      <c r="P37"/>
    </row>
    <row r="38" spans="9:19">
      <c r="N38"/>
      <c r="O38"/>
      <c r="P38"/>
    </row>
    <row r="39" spans="9:19">
      <c r="N39" s="36"/>
      <c r="O39" s="36"/>
      <c r="P39" s="36"/>
    </row>
    <row r="40" spans="9:19">
      <c r="N40" s="36"/>
      <c r="O40" s="36"/>
      <c r="P40" s="36"/>
    </row>
    <row r="43" spans="9:19">
      <c r="N43" s="36"/>
      <c r="O43" s="36"/>
      <c r="P43" s="36"/>
    </row>
    <row r="48" spans="9:19">
      <c r="N48" s="36"/>
      <c r="O48" s="36"/>
      <c r="P48" s="36"/>
    </row>
    <row r="49" spans="14:16">
      <c r="N49" s="36"/>
      <c r="O49" s="36"/>
      <c r="P49" s="36"/>
    </row>
    <row r="50" spans="14:16">
      <c r="N50" s="36"/>
      <c r="O50" s="36"/>
      <c r="P50" s="36"/>
    </row>
    <row r="51" spans="14:16">
      <c r="N51" s="36"/>
      <c r="O51" s="36"/>
      <c r="P51" s="36"/>
    </row>
    <row r="54" spans="14:16">
      <c r="N54" s="42"/>
      <c r="O54" s="42"/>
      <c r="P54" s="42"/>
    </row>
    <row r="57" spans="14:16">
      <c r="N57" s="36"/>
      <c r="O57" s="36"/>
      <c r="P57" s="36"/>
    </row>
    <row r="60" spans="14:16">
      <c r="N60" s="36"/>
      <c r="O60" s="36"/>
      <c r="P60" s="36"/>
    </row>
    <row r="61" spans="14:16">
      <c r="N61" s="36"/>
      <c r="O61" s="36"/>
      <c r="P61" s="36"/>
    </row>
    <row r="62" spans="14:16">
      <c r="N62" s="36"/>
      <c r="O62" s="36"/>
      <c r="P62" s="36"/>
    </row>
    <row r="63" spans="14:16">
      <c r="N63" s="36"/>
      <c r="O63" s="36"/>
      <c r="P63" s="36"/>
    </row>
    <row r="64" spans="14:16">
      <c r="N64" s="36"/>
      <c r="O64" s="36"/>
      <c r="P64" s="36"/>
    </row>
    <row r="65" spans="14:16">
      <c r="N65" s="42"/>
      <c r="O65" s="42"/>
      <c r="P65" s="42"/>
    </row>
    <row r="68" spans="14:16">
      <c r="N68" s="36"/>
      <c r="O68" s="36"/>
      <c r="P68" s="36"/>
    </row>
    <row r="69" spans="14:16">
      <c r="N69" s="36"/>
      <c r="O69" s="36"/>
      <c r="P69" s="36"/>
    </row>
    <row r="70" spans="14:16">
      <c r="N70" s="36"/>
      <c r="O70" s="36"/>
      <c r="P70" s="36"/>
    </row>
    <row r="72" spans="14:16">
      <c r="N72" s="36"/>
      <c r="O72" s="36"/>
      <c r="P72" s="36"/>
    </row>
    <row r="73" spans="14:16">
      <c r="N73" s="36"/>
      <c r="O73" s="36"/>
      <c r="P73" s="36"/>
    </row>
    <row r="74" spans="14:16">
      <c r="N74" s="36"/>
      <c r="O74" s="36"/>
      <c r="P74" s="36"/>
    </row>
    <row r="75" spans="14:16">
      <c r="N75" s="36"/>
      <c r="O75" s="36"/>
      <c r="P75" s="36"/>
    </row>
    <row r="76" spans="14:16">
      <c r="N76" s="42"/>
      <c r="O76" s="42"/>
      <c r="P76" s="42"/>
    </row>
    <row r="78" spans="14:16">
      <c r="N78" s="42"/>
      <c r="O78" s="42"/>
      <c r="P78" s="42"/>
    </row>
    <row r="80" spans="14:16">
      <c r="N80" s="42"/>
      <c r="O80" s="42"/>
      <c r="P80" s="42"/>
    </row>
    <row r="84" spans="14:16" ht="15" thickBot="1">
      <c r="N84" s="38"/>
      <c r="O84" s="38"/>
      <c r="P84" s="38"/>
    </row>
    <row r="85" spans="14:16" ht="15" thickTop="1"/>
  </sheetData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</vt:lpstr>
      <vt:lpstr>DE District Master</vt:lpstr>
      <vt:lpstr>DE Charter Master</vt:lpstr>
      <vt:lpstr>Figures 1,2,4</vt:lpstr>
      <vt:lpstr>Figure 3</vt:lpstr>
      <vt:lpstr>Figure 5</vt:lpstr>
      <vt:lpstr>Figure 6</vt:lpstr>
      <vt:lpstr>DE District Wrk</vt:lpstr>
      <vt:lpstr>DE Charter Wrk</vt:lpstr>
      <vt:lpstr>Wilmington Charters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Holmes Finch</cp:lastModifiedBy>
  <cp:lastPrinted>2010-03-30T14:05:54Z</cp:lastPrinted>
  <dcterms:created xsi:type="dcterms:W3CDTF">2009-06-16T17:19:32Z</dcterms:created>
  <dcterms:modified xsi:type="dcterms:W3CDTF">2010-05-20T16:42:16Z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