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date1904="1" showInkAnnotation="0" autoCompressPictures="0"/>
  <bookViews>
    <workbookView xWindow="2660" yWindow="1140" windowWidth="22000" windowHeight="11600" tabRatio="500" firstSheet="2" activeTab="6"/>
  </bookViews>
  <sheets>
    <sheet name="A Lvls" sheetId="2" r:id="rId1"/>
    <sheet name="Entries &amp; Passes" sheetId="3" r:id="rId2"/>
    <sheet name="Pass Rates" sheetId="4" r:id="rId3"/>
    <sheet name="A Level Data" sheetId="1" r:id="rId4"/>
    <sheet name="Population Data" sheetId="5" r:id="rId5"/>
    <sheet name="Graduate Data" sheetId="6" r:id="rId6"/>
    <sheet name="Sheet3" sheetId="7" r:id="rId7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Z10" i="1" l="1"/>
  <c r="AZ11" i="1"/>
  <c r="AZ12" i="1"/>
  <c r="AZ8" i="1"/>
  <c r="AZ4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W8" i="1"/>
  <c r="X8" i="1"/>
  <c r="Y8" i="1"/>
  <c r="Z8" i="1"/>
  <c r="AA8" i="1"/>
  <c r="AB8" i="1"/>
  <c r="AC8" i="1"/>
  <c r="AD8" i="1"/>
  <c r="AE8" i="1"/>
  <c r="AF8" i="1"/>
  <c r="AG8" i="1"/>
  <c r="AH8" i="1"/>
  <c r="V8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10" i="1"/>
  <c r="AJ10" i="1"/>
  <c r="AK10" i="1"/>
  <c r="AL10" i="1"/>
  <c r="AK7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Y3" i="1"/>
  <c r="AY7" i="1"/>
  <c r="AY11" i="1"/>
  <c r="AY12" i="1"/>
  <c r="AJ7" i="1"/>
  <c r="AL3" i="1"/>
  <c r="AL7" i="1"/>
  <c r="AL11" i="1"/>
  <c r="AM3" i="1"/>
  <c r="AM7" i="1"/>
  <c r="AM11" i="1"/>
  <c r="AN3" i="1"/>
  <c r="AN7" i="1"/>
  <c r="AN11" i="1"/>
  <c r="AO3" i="1"/>
  <c r="AO7" i="1"/>
  <c r="AO11" i="1"/>
  <c r="AP3" i="1"/>
  <c r="AP7" i="1"/>
  <c r="AP11" i="1"/>
  <c r="AQ3" i="1"/>
  <c r="AQ7" i="1"/>
  <c r="AQ11" i="1"/>
  <c r="AR3" i="1"/>
  <c r="AR7" i="1"/>
  <c r="AR11" i="1"/>
  <c r="AS3" i="1"/>
  <c r="AS7" i="1"/>
  <c r="AS11" i="1"/>
  <c r="AT3" i="1"/>
  <c r="AT7" i="1"/>
  <c r="AT11" i="1"/>
  <c r="AU3" i="1"/>
  <c r="AU7" i="1"/>
  <c r="AU11" i="1"/>
  <c r="AV3" i="1"/>
  <c r="AV7" i="1"/>
  <c r="AV11" i="1"/>
  <c r="AW3" i="1"/>
  <c r="AW7" i="1"/>
  <c r="AW11" i="1"/>
  <c r="AX3" i="1"/>
  <c r="AX7" i="1"/>
  <c r="AX11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K3" i="1"/>
  <c r="AK11" i="1"/>
  <c r="AK12" i="1"/>
  <c r="AJ3" i="1"/>
  <c r="AJ11" i="1"/>
  <c r="AJ12" i="1"/>
  <c r="AI3" i="1"/>
  <c r="AI11" i="1"/>
  <c r="AI12" i="1"/>
  <c r="E52" i="6"/>
  <c r="D52" i="6"/>
  <c r="C52" i="6"/>
  <c r="E37" i="6"/>
  <c r="D37" i="6"/>
  <c r="C34" i="6"/>
  <c r="C33" i="6"/>
  <c r="C32" i="6"/>
</calcChain>
</file>

<file path=xl/sharedStrings.xml><?xml version="1.0" encoding="utf-8"?>
<sst xmlns="http://schemas.openxmlformats.org/spreadsheetml/2006/main" count="38" uniqueCount="31">
  <si>
    <t>http://www.ugc.edu.hk/eng/ugc/stat/graduate.htm</t>
    <phoneticPr fontId="5" type="noConversion"/>
  </si>
  <si>
    <t>HK Annual Digest of Statistics</t>
    <phoneticPr fontId="5" type="noConversion"/>
  </si>
  <si>
    <t>http://www.censtatd.gov.hk/products_and_services/products/publications/statistical_report/general_statistical_digest/index_cd_B1010003_dt_latest.jsp</t>
  </si>
  <si>
    <t>Graduate data not recorded prior to 1993.</t>
    <phoneticPr fontId="5" type="noConversion"/>
  </si>
  <si>
    <t>University Grants Committee</t>
    <phoneticPr fontId="5" type="noConversion"/>
  </si>
  <si>
    <t>Hong Kong</t>
    <phoneticPr fontId="5" type="noConversion"/>
  </si>
  <si>
    <t>Graduate data not recorded prior to 1993.</t>
    <phoneticPr fontId="5" type="noConversion"/>
  </si>
  <si>
    <t>Checked back through HK Annual Digest of Statistics to 1978!</t>
    <phoneticPr fontId="5" type="noConversion"/>
  </si>
  <si>
    <t>Pass Rate (%)  for all A level subjects entered by all candidates</t>
    <phoneticPr fontId="5" type="noConversion"/>
  </si>
  <si>
    <t>Hong Kong Examinations and  Assessment Authority 1980 - 2009</t>
    <phoneticPr fontId="5" type="noConversion"/>
  </si>
  <si>
    <t>Hong Kong  - Mathematical Science</t>
    <phoneticPr fontId="5" type="noConversion"/>
  </si>
  <si>
    <t>Applied sat</t>
    <phoneticPr fontId="5" type="noConversion"/>
  </si>
  <si>
    <t>Pure Passes %</t>
    <phoneticPr fontId="5" type="noConversion"/>
  </si>
  <si>
    <t>Pure Sat</t>
    <phoneticPr fontId="5" type="noConversion"/>
  </si>
  <si>
    <t>Applied Passes %</t>
    <phoneticPr fontId="5" type="noConversion"/>
  </si>
  <si>
    <t>Applied Passes</t>
    <phoneticPr fontId="5" type="noConversion"/>
  </si>
  <si>
    <t>Pure Passes</t>
    <phoneticPr fontId="5" type="noConversion"/>
  </si>
  <si>
    <t xml:space="preserve">Appiled &amp; Pure Mathematics - Passes </t>
    <phoneticPr fontId="5" type="noConversion"/>
  </si>
  <si>
    <t xml:space="preserve">Appiled &amp; Pure Mathematics - Percentage of Passes </t>
    <phoneticPr fontId="5" type="noConversion"/>
  </si>
  <si>
    <t>Total A Level Entries</t>
    <phoneticPr fontId="5" type="noConversion"/>
  </si>
  <si>
    <t>Appiled &amp; Pure Mathematics - Sat</t>
    <phoneticPr fontId="5" type="noConversion"/>
  </si>
  <si>
    <t xml:space="preserve"> HK Annual Digest of Statistics to 1993-2011</t>
    <phoneticPr fontId="5" type="noConversion"/>
  </si>
  <si>
    <t>Hong Kong Population</t>
    <phoneticPr fontId="5" type="noConversion"/>
  </si>
  <si>
    <t>20-24</t>
    <phoneticPr fontId="5" type="noConversion"/>
  </si>
  <si>
    <t>Total</t>
    <phoneticPr fontId="5" type="noConversion"/>
  </si>
  <si>
    <t>000s</t>
    <phoneticPr fontId="5" type="noConversion"/>
  </si>
  <si>
    <t>http://www.censtatd.gov.hk/hong_kong_statistics/statistics_by_subject/index.jsp?subjectID=1&amp;charsetID=1&amp;displayMode=T</t>
    <phoneticPr fontId="5" type="noConversion"/>
  </si>
  <si>
    <t>HK Mathemtical Science Bachelor Graduates</t>
    <phoneticPr fontId="5" type="noConversion"/>
  </si>
  <si>
    <t>Taught Postgraduate</t>
    <phoneticPr fontId="5" type="noConversion"/>
  </si>
  <si>
    <t>Research Postgraduate</t>
    <phoneticPr fontId="5" type="noConversion"/>
  </si>
  <si>
    <t>HK Population 20-24 years (000s)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</si>
</sst>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Hong Kong: A Level Mathematics Passes </a:t>
            </a:r>
          </a:p>
        </c:rich>
      </c:tx>
      <c:layout>
        <c:manualLayout>
          <c:xMode val="edge"/>
          <c:yMode val="edge"/>
          <c:x val="0.289629823243049"/>
          <c:y val="0.029478458049886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38558070866142"/>
          <c:y val="0.106666666666667"/>
          <c:w val="0.843140053265401"/>
          <c:h val="0.810574803149606"/>
        </c:manualLayout>
      </c:layout>
      <c:lineChart>
        <c:grouping val="standard"/>
        <c:varyColors val="0"/>
        <c:ser>
          <c:idx val="4"/>
          <c:order val="2"/>
          <c:tx>
            <c:strRef>
              <c:f>'A Level Data'!$A$3</c:f>
              <c:strCache>
                <c:ptCount val="1"/>
                <c:pt idx="0">
                  <c:v>Applied Passes</c:v>
                </c:pt>
              </c:strCache>
            </c:strRef>
          </c:tx>
          <c:spPr>
            <a:ln w="25400" cap="rnd" cmpd="sng" algn="ctr">
              <a:solidFill>
                <a:srgbClr val="8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</a:ln>
            </c:spPr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Data'!$B$3:$AZ$3</c:f>
              <c:numCache>
                <c:formatCode>General</c:formatCode>
                <c:ptCount val="51"/>
                <c:pt idx="20">
                  <c:v>1705.0</c:v>
                </c:pt>
                <c:pt idx="21">
                  <c:v>1884.0</c:v>
                </c:pt>
                <c:pt idx="22">
                  <c:v>2092.0</c:v>
                </c:pt>
                <c:pt idx="23">
                  <c:v>2106.0</c:v>
                </c:pt>
                <c:pt idx="24">
                  <c:v>2417.0</c:v>
                </c:pt>
                <c:pt idx="25">
                  <c:v>2814.0</c:v>
                </c:pt>
                <c:pt idx="26">
                  <c:v>3171.0</c:v>
                </c:pt>
                <c:pt idx="27">
                  <c:v>3376.0</c:v>
                </c:pt>
                <c:pt idx="28">
                  <c:v>3229.0</c:v>
                </c:pt>
                <c:pt idx="29">
                  <c:v>2787.0</c:v>
                </c:pt>
                <c:pt idx="30">
                  <c:v>2596.0</c:v>
                </c:pt>
                <c:pt idx="31">
                  <c:v>2321.0</c:v>
                </c:pt>
                <c:pt idx="32">
                  <c:v>2380.0</c:v>
                </c:pt>
                <c:pt idx="33" formatCode="0">
                  <c:v>2935.968</c:v>
                </c:pt>
                <c:pt idx="34" formatCode="0">
                  <c:v>1265.401</c:v>
                </c:pt>
                <c:pt idx="35" formatCode="0">
                  <c:v>1087.366</c:v>
                </c:pt>
                <c:pt idx="36" formatCode="0">
                  <c:v>1030.294</c:v>
                </c:pt>
                <c:pt idx="37" formatCode="0">
                  <c:v>1100.115</c:v>
                </c:pt>
                <c:pt idx="38" formatCode="0">
                  <c:v>943.4879999999998</c:v>
                </c:pt>
                <c:pt idx="39" formatCode="0">
                  <c:v>1085.175</c:v>
                </c:pt>
                <c:pt idx="40" formatCode="0">
                  <c:v>1133.64</c:v>
                </c:pt>
                <c:pt idx="41" formatCode="0">
                  <c:v>1058.743</c:v>
                </c:pt>
                <c:pt idx="42" formatCode="0">
                  <c:v>1048.248</c:v>
                </c:pt>
                <c:pt idx="43" formatCode="0">
                  <c:v>935.3370000000001</c:v>
                </c:pt>
                <c:pt idx="44" formatCode="0">
                  <c:v>902.3929999999999</c:v>
                </c:pt>
                <c:pt idx="45" formatCode="0">
                  <c:v>799.13</c:v>
                </c:pt>
                <c:pt idx="46" formatCode="0">
                  <c:v>903.04</c:v>
                </c:pt>
                <c:pt idx="47" formatCode="0">
                  <c:v>915.7679999999999</c:v>
                </c:pt>
                <c:pt idx="48" formatCode="0">
                  <c:v>903.644</c:v>
                </c:pt>
                <c:pt idx="49" formatCode="0">
                  <c:v>896.28</c:v>
                </c:pt>
                <c:pt idx="50">
                  <c:v>787.0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'A Level Data'!$A$7</c:f>
              <c:strCache>
                <c:ptCount val="1"/>
                <c:pt idx="0">
                  <c:v>Pure Passes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Data'!$B$7:$AZ$7</c:f>
              <c:numCache>
                <c:formatCode>General</c:formatCode>
                <c:ptCount val="51"/>
                <c:pt idx="20">
                  <c:v>2325.0</c:v>
                </c:pt>
                <c:pt idx="21">
                  <c:v>2626.0</c:v>
                </c:pt>
                <c:pt idx="22">
                  <c:v>3128.0</c:v>
                </c:pt>
                <c:pt idx="23">
                  <c:v>3071.0</c:v>
                </c:pt>
                <c:pt idx="24">
                  <c:v>3439.0</c:v>
                </c:pt>
                <c:pt idx="25">
                  <c:v>3945.0</c:v>
                </c:pt>
                <c:pt idx="26">
                  <c:v>4251.0</c:v>
                </c:pt>
                <c:pt idx="27">
                  <c:v>4292.0</c:v>
                </c:pt>
                <c:pt idx="28">
                  <c:v>3964.0</c:v>
                </c:pt>
                <c:pt idx="29">
                  <c:v>3524.0</c:v>
                </c:pt>
                <c:pt idx="30">
                  <c:v>3197.0</c:v>
                </c:pt>
                <c:pt idx="31">
                  <c:v>3010.0</c:v>
                </c:pt>
                <c:pt idx="32">
                  <c:v>3215.0</c:v>
                </c:pt>
                <c:pt idx="33" formatCode="0">
                  <c:v>4284.0</c:v>
                </c:pt>
                <c:pt idx="34" formatCode="0">
                  <c:v>4943.75</c:v>
                </c:pt>
                <c:pt idx="35" formatCode="0">
                  <c:v>5371.188</c:v>
                </c:pt>
                <c:pt idx="36" formatCode="0">
                  <c:v>5708.781</c:v>
                </c:pt>
                <c:pt idx="37" formatCode="0">
                  <c:v>5764.261</c:v>
                </c:pt>
                <c:pt idx="38" formatCode="0">
                  <c:v>5989.168</c:v>
                </c:pt>
                <c:pt idx="39" formatCode="0">
                  <c:v>6528.123</c:v>
                </c:pt>
                <c:pt idx="40" formatCode="0">
                  <c:v>6859.216</c:v>
                </c:pt>
                <c:pt idx="41" formatCode="0">
                  <c:v>7062.844</c:v>
                </c:pt>
                <c:pt idx="42" formatCode="0">
                  <c:v>7056.708</c:v>
                </c:pt>
                <c:pt idx="43" formatCode="0">
                  <c:v>6669.678</c:v>
                </c:pt>
                <c:pt idx="44" formatCode="0">
                  <c:v>6212.717999999999</c:v>
                </c:pt>
                <c:pt idx="45" formatCode="0">
                  <c:v>5870.5</c:v>
                </c:pt>
                <c:pt idx="46" formatCode="0">
                  <c:v>6029.296</c:v>
                </c:pt>
                <c:pt idx="47" formatCode="0">
                  <c:v>6107.094</c:v>
                </c:pt>
                <c:pt idx="48" formatCode="0">
                  <c:v>5925.24</c:v>
                </c:pt>
                <c:pt idx="49" formatCode="0">
                  <c:v>5741.268</c:v>
                </c:pt>
                <c:pt idx="50">
                  <c:v>6252.0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48"/>
        <c:axId val="1735656"/>
      </c:lineChart>
      <c:lineChart>
        <c:grouping val="standard"/>
        <c:varyColors val="0"/>
        <c:ser>
          <c:idx val="1"/>
          <c:order val="0"/>
          <c:tx>
            <c:strRef>
              <c:f>'A Level Data'!$A$4</c:f>
              <c:strCache>
                <c:ptCount val="1"/>
                <c:pt idx="0">
                  <c:v>Applied Passes %</c:v>
                </c:pt>
              </c:strCache>
            </c:strRef>
          </c:tx>
          <c:spPr>
            <a:ln w="25400" cap="rnd" cmpd="sng" algn="ctr">
              <a:solidFill>
                <a:srgbClr val="800000"/>
              </a:solidFill>
              <a:prstDash val="sysDash"/>
              <a:round/>
              <a:headEnd type="none" w="med" len="med"/>
              <a:tailEnd type="none" w="med" len="med"/>
            </a:ln>
          </c:spPr>
          <c:marker>
            <c:symbol val="x"/>
            <c:size val="5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Data'!$B$4:$AZ$4</c:f>
              <c:numCache>
                <c:formatCode>General</c:formatCode>
                <c:ptCount val="51"/>
                <c:pt idx="20" formatCode="0.0">
                  <c:v>63.97748592870543</c:v>
                </c:pt>
                <c:pt idx="21" formatCode="0.0">
                  <c:v>68.31036983321247</c:v>
                </c:pt>
                <c:pt idx="22" formatCode="0.0">
                  <c:v>71.61930845600821</c:v>
                </c:pt>
                <c:pt idx="23" formatCode="0.0">
                  <c:v>67.11281070745699</c:v>
                </c:pt>
                <c:pt idx="24" formatCode="0.0">
                  <c:v>72.97705314009661</c:v>
                </c:pt>
                <c:pt idx="25" formatCode="0.0">
                  <c:v>74.4838538909476</c:v>
                </c:pt>
                <c:pt idx="26" formatCode="0.0">
                  <c:v>75.77060931899642</c:v>
                </c:pt>
                <c:pt idx="27" formatCode="0.0">
                  <c:v>78.0578034682081</c:v>
                </c:pt>
                <c:pt idx="28" formatCode="0.0">
                  <c:v>77.97633421878774</c:v>
                </c:pt>
                <c:pt idx="29" formatCode="0.0">
                  <c:v>77.61069340016707</c:v>
                </c:pt>
                <c:pt idx="30" formatCode="0.0">
                  <c:v>79.36410883521858</c:v>
                </c:pt>
                <c:pt idx="31" formatCode="0.0">
                  <c:v>80.28363887928053</c:v>
                </c:pt>
                <c:pt idx="32" formatCode="0.0">
                  <c:v>83.10055865921788</c:v>
                </c:pt>
                <c:pt idx="33">
                  <c:v>81.6</c:v>
                </c:pt>
                <c:pt idx="34">
                  <c:v>77.3</c:v>
                </c:pt>
                <c:pt idx="35">
                  <c:v>76.9</c:v>
                </c:pt>
                <c:pt idx="36">
                  <c:v>72.2</c:v>
                </c:pt>
                <c:pt idx="37">
                  <c:v>78.3</c:v>
                </c:pt>
                <c:pt idx="38">
                  <c:v>75.6</c:v>
                </c:pt>
                <c:pt idx="39">
                  <c:v>81.9</c:v>
                </c:pt>
                <c:pt idx="40">
                  <c:v>84.6</c:v>
                </c:pt>
                <c:pt idx="41">
                  <c:v>83.3</c:v>
                </c:pt>
                <c:pt idx="42">
                  <c:v>82.8</c:v>
                </c:pt>
                <c:pt idx="43">
                  <c:v>82.7</c:v>
                </c:pt>
                <c:pt idx="44">
                  <c:v>84.1</c:v>
                </c:pt>
                <c:pt idx="45">
                  <c:v>78.5</c:v>
                </c:pt>
                <c:pt idx="46">
                  <c:v>83.0</c:v>
                </c:pt>
                <c:pt idx="47">
                  <c:v>82.8</c:v>
                </c:pt>
                <c:pt idx="48">
                  <c:v>82.6</c:v>
                </c:pt>
                <c:pt idx="49">
                  <c:v>84.0</c:v>
                </c:pt>
                <c:pt idx="50" formatCode="0.0">
                  <c:v>77.46062992125983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'A Level Data'!$A$8</c:f>
              <c:strCache>
                <c:ptCount val="1"/>
                <c:pt idx="0">
                  <c:v>Pure Passes %</c:v>
                </c:pt>
              </c:strCache>
            </c:strRef>
          </c:tx>
          <c:spPr>
            <a:ln w="25400" cap="rnd" cmpd="sng" algn="ctr">
              <a:solidFill>
                <a:srgbClr val="008000"/>
              </a:solidFill>
              <a:prstDash val="sysDash"/>
              <a:round/>
              <a:headEnd type="none" w="med" len="med"/>
              <a:tailEnd type="none" w="med" len="med"/>
            </a:ln>
          </c:spPr>
          <c:marker>
            <c:symbol val="plus"/>
            <c:size val="5"/>
            <c:spPr>
              <a:ln>
                <a:solidFill>
                  <a:srgbClr val="008000"/>
                </a:solidFill>
              </a:ln>
            </c:spPr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Data'!$B$8:$AZ$8</c:f>
              <c:numCache>
                <c:formatCode>General</c:formatCode>
                <c:ptCount val="51"/>
                <c:pt idx="20" formatCode="0.0">
                  <c:v>64.52955870108244</c:v>
                </c:pt>
                <c:pt idx="21" formatCode="0.0">
                  <c:v>66.98979591836734</c:v>
                </c:pt>
                <c:pt idx="22" formatCode="0.0">
                  <c:v>74.65393794749403</c:v>
                </c:pt>
                <c:pt idx="23" formatCode="0.0">
                  <c:v>69.63718820861679</c:v>
                </c:pt>
                <c:pt idx="24" formatCode="0.0">
                  <c:v>75.86587249062431</c:v>
                </c:pt>
                <c:pt idx="25" formatCode="0.0">
                  <c:v>76.43867467545048</c:v>
                </c:pt>
                <c:pt idx="26" formatCode="0.0">
                  <c:v>76.87160940325496</c:v>
                </c:pt>
                <c:pt idx="27" formatCode="0.0">
                  <c:v>79.23204725863023</c:v>
                </c:pt>
                <c:pt idx="28" formatCode="0.0">
                  <c:v>77.55820778712581</c:v>
                </c:pt>
                <c:pt idx="29" formatCode="0.0">
                  <c:v>79.20881096875702</c:v>
                </c:pt>
                <c:pt idx="30" formatCode="0.0">
                  <c:v>79.34971456937205</c:v>
                </c:pt>
                <c:pt idx="31" formatCode="0.0">
                  <c:v>81.86021212945336</c:v>
                </c:pt>
                <c:pt idx="32" formatCode="0.0">
                  <c:v>81.5989847715736</c:v>
                </c:pt>
                <c:pt idx="33">
                  <c:v>81.5</c:v>
                </c:pt>
                <c:pt idx="34">
                  <c:v>79.1</c:v>
                </c:pt>
                <c:pt idx="35">
                  <c:v>75.8</c:v>
                </c:pt>
                <c:pt idx="36">
                  <c:v>76.7</c:v>
                </c:pt>
                <c:pt idx="37">
                  <c:v>77.3</c:v>
                </c:pt>
                <c:pt idx="38">
                  <c:v>77.6</c:v>
                </c:pt>
                <c:pt idx="39">
                  <c:v>79.1</c:v>
                </c:pt>
                <c:pt idx="40">
                  <c:v>78.4</c:v>
                </c:pt>
                <c:pt idx="41">
                  <c:v>78.8</c:v>
                </c:pt>
                <c:pt idx="42">
                  <c:v>78.6</c:v>
                </c:pt>
                <c:pt idx="43">
                  <c:v>78.2</c:v>
                </c:pt>
                <c:pt idx="44">
                  <c:v>77.1</c:v>
                </c:pt>
                <c:pt idx="45">
                  <c:v>79.6</c:v>
                </c:pt>
                <c:pt idx="46">
                  <c:v>80.8</c:v>
                </c:pt>
                <c:pt idx="47">
                  <c:v>79.8</c:v>
                </c:pt>
                <c:pt idx="48">
                  <c:v>75.5</c:v>
                </c:pt>
                <c:pt idx="49">
                  <c:v>74.1</c:v>
                </c:pt>
                <c:pt idx="50" formatCode="0.0">
                  <c:v>79.85694213820412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824"/>
        <c:axId val="1745800"/>
      </c:lineChart>
      <c:catAx>
        <c:axId val="1729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735656"/>
        <c:crosses val="autoZero"/>
        <c:auto val="1"/>
        <c:lblAlgn val="ctr"/>
        <c:lblOffset val="100"/>
        <c:noMultiLvlLbl val="0"/>
      </c:catAx>
      <c:valAx>
        <c:axId val="1735656"/>
        <c:scaling>
          <c:orientation val="minMax"/>
          <c:max val="10000.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729448"/>
        <c:crosses val="autoZero"/>
        <c:crossBetween val="between"/>
      </c:valAx>
      <c:catAx>
        <c:axId val="1742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5800"/>
        <c:crosses val="autoZero"/>
        <c:auto val="1"/>
        <c:lblAlgn val="ctr"/>
        <c:lblOffset val="100"/>
        <c:noMultiLvlLbl val="0"/>
      </c:catAx>
      <c:valAx>
        <c:axId val="1745800"/>
        <c:scaling>
          <c:orientation val="minMax"/>
          <c:max val="100.0"/>
          <c:min val="0.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742824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105733546792128"/>
          <c:y val="0.725740710982556"/>
          <c:w val="0.182414262532536"/>
          <c:h val="0.149184566214937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Hong Kong: Advanced Level Entries &amp; Passes 1992-2009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740544789855813"/>
          <c:y val="0.0950152375764196"/>
          <c:w val="0.876463595459658"/>
          <c:h val="0.824299228352588"/>
        </c:manualLayout>
      </c:layout>
      <c:lineChart>
        <c:grouping val="standard"/>
        <c:varyColors val="0"/>
        <c:ser>
          <c:idx val="0"/>
          <c:order val="0"/>
          <c:tx>
            <c:strRef>
              <c:f>'A Level Data'!$A$10</c:f>
              <c:strCache>
                <c:ptCount val="1"/>
                <c:pt idx="0">
                  <c:v>Appiled &amp; Pure Mathematics - Sat</c:v>
                </c:pt>
              </c:strCache>
            </c:strRef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Data'!$B$10:$AZ$10</c:f>
              <c:numCache>
                <c:formatCode>General</c:formatCode>
                <c:ptCount val="51"/>
                <c:pt idx="20" formatCode="0.0">
                  <c:v>6268.0</c:v>
                </c:pt>
                <c:pt idx="21" formatCode="0.0">
                  <c:v>6678.0</c:v>
                </c:pt>
                <c:pt idx="22" formatCode="0.0">
                  <c:v>7111.0</c:v>
                </c:pt>
                <c:pt idx="23" formatCode="0.0">
                  <c:v>7548.0</c:v>
                </c:pt>
                <c:pt idx="24" formatCode="0.0">
                  <c:v>7845.0</c:v>
                </c:pt>
                <c:pt idx="25" formatCode="0.0">
                  <c:v>8939.0</c:v>
                </c:pt>
                <c:pt idx="26" formatCode="0.0">
                  <c:v>9715.0</c:v>
                </c:pt>
                <c:pt idx="27" formatCode="0.0">
                  <c:v>9742.0</c:v>
                </c:pt>
                <c:pt idx="28" formatCode="0.0">
                  <c:v>9252.0</c:v>
                </c:pt>
                <c:pt idx="29" formatCode="0.0">
                  <c:v>8040.0</c:v>
                </c:pt>
                <c:pt idx="30" formatCode="0.0">
                  <c:v>7300.0</c:v>
                </c:pt>
                <c:pt idx="31" formatCode="0.0">
                  <c:v>6568.0</c:v>
                </c:pt>
                <c:pt idx="32" formatCode="0.0">
                  <c:v>6804.0</c:v>
                </c:pt>
                <c:pt idx="33" formatCode="0.0">
                  <c:v>8848.0</c:v>
                </c:pt>
                <c:pt idx="34">
                  <c:v>7887.0</c:v>
                </c:pt>
                <c:pt idx="35">
                  <c:v>8500.0</c:v>
                </c:pt>
                <c:pt idx="36">
                  <c:v>8870.0</c:v>
                </c:pt>
                <c:pt idx="37">
                  <c:v>8862.0</c:v>
                </c:pt>
                <c:pt idx="38">
                  <c:v>8966.0</c:v>
                </c:pt>
                <c:pt idx="39">
                  <c:v>9578.0</c:v>
                </c:pt>
                <c:pt idx="40">
                  <c:v>10089.0</c:v>
                </c:pt>
                <c:pt idx="41">
                  <c:v>10234.0</c:v>
                </c:pt>
                <c:pt idx="42">
                  <c:v>10244.0</c:v>
                </c:pt>
                <c:pt idx="43">
                  <c:v>9660.0</c:v>
                </c:pt>
                <c:pt idx="44">
                  <c:v>9131.0</c:v>
                </c:pt>
                <c:pt idx="45">
                  <c:v>8393.0</c:v>
                </c:pt>
                <c:pt idx="46">
                  <c:v>8550.0</c:v>
                </c:pt>
                <c:pt idx="47">
                  <c:v>8759.0</c:v>
                </c:pt>
                <c:pt idx="48">
                  <c:v>8942.0</c:v>
                </c:pt>
                <c:pt idx="49">
                  <c:v>8815.0</c:v>
                </c:pt>
                <c:pt idx="50">
                  <c:v>8845.0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 Level Data'!$A$11</c:f>
              <c:strCache>
                <c:ptCount val="1"/>
                <c:pt idx="0">
                  <c:v>Appiled &amp; Pure Mathematics - Passes </c:v>
                </c:pt>
              </c:strCache>
            </c:strRef>
          </c:tx>
          <c:spPr>
            <a:ln w="25400"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Data'!$B$11:$AZ$11</c:f>
              <c:numCache>
                <c:formatCode>General</c:formatCode>
                <c:ptCount val="51"/>
                <c:pt idx="20" formatCode="0.0">
                  <c:v>4030.0</c:v>
                </c:pt>
                <c:pt idx="21" formatCode="0.0">
                  <c:v>4510.0</c:v>
                </c:pt>
                <c:pt idx="22" formatCode="0.0">
                  <c:v>5220.0</c:v>
                </c:pt>
                <c:pt idx="23" formatCode="0.0">
                  <c:v>5177.0</c:v>
                </c:pt>
                <c:pt idx="24" formatCode="0.0">
                  <c:v>5856.0</c:v>
                </c:pt>
                <c:pt idx="25" formatCode="0.0">
                  <c:v>6759.0</c:v>
                </c:pt>
                <c:pt idx="26" formatCode="0.0">
                  <c:v>7422.0</c:v>
                </c:pt>
                <c:pt idx="27" formatCode="0.0">
                  <c:v>7668.0</c:v>
                </c:pt>
                <c:pt idx="28" formatCode="0.0">
                  <c:v>7193.0</c:v>
                </c:pt>
                <c:pt idx="29" formatCode="0.0">
                  <c:v>6311.0</c:v>
                </c:pt>
                <c:pt idx="30" formatCode="0.0">
                  <c:v>5793.0</c:v>
                </c:pt>
                <c:pt idx="31" formatCode="0.0">
                  <c:v>5331.0</c:v>
                </c:pt>
                <c:pt idx="32" formatCode="0.0">
                  <c:v>5595.0</c:v>
                </c:pt>
                <c:pt idx="33" formatCode="0.0">
                  <c:v>7219.968</c:v>
                </c:pt>
                <c:pt idx="34" formatCode="0">
                  <c:v>6209.150999999998</c:v>
                </c:pt>
                <c:pt idx="35" formatCode="0">
                  <c:v>6458.554</c:v>
                </c:pt>
                <c:pt idx="36" formatCode="0">
                  <c:v>6739.075</c:v>
                </c:pt>
                <c:pt idx="37" formatCode="0">
                  <c:v>6864.376</c:v>
                </c:pt>
                <c:pt idx="38" formatCode="0">
                  <c:v>6932.656</c:v>
                </c:pt>
                <c:pt idx="39" formatCode="0">
                  <c:v>7613.298</c:v>
                </c:pt>
                <c:pt idx="40" formatCode="0">
                  <c:v>7992.856</c:v>
                </c:pt>
                <c:pt idx="41" formatCode="0">
                  <c:v>8121.587</c:v>
                </c:pt>
                <c:pt idx="42" formatCode="0">
                  <c:v>8104.956</c:v>
                </c:pt>
                <c:pt idx="43" formatCode="0">
                  <c:v>7605.015</c:v>
                </c:pt>
                <c:pt idx="44" formatCode="0">
                  <c:v>7115.110999999998</c:v>
                </c:pt>
                <c:pt idx="45" formatCode="0">
                  <c:v>6669.63</c:v>
                </c:pt>
                <c:pt idx="46" formatCode="0">
                  <c:v>6932.336</c:v>
                </c:pt>
                <c:pt idx="47" formatCode="0">
                  <c:v>7022.862</c:v>
                </c:pt>
                <c:pt idx="48" formatCode="0">
                  <c:v>6828.884</c:v>
                </c:pt>
                <c:pt idx="49" formatCode="0">
                  <c:v>6637.548</c:v>
                </c:pt>
                <c:pt idx="50" formatCode="0">
                  <c:v>7039.0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36"/>
        <c:axId val="1856408"/>
      </c:lineChart>
      <c:lineChart>
        <c:grouping val="standard"/>
        <c:varyColors val="0"/>
        <c:ser>
          <c:idx val="2"/>
          <c:order val="2"/>
          <c:tx>
            <c:strRef>
              <c:f>'A Level Data'!$A$12</c:f>
              <c:strCache>
                <c:ptCount val="1"/>
                <c:pt idx="0">
                  <c:v>Appiled &amp; Pure Mathematics - Percentage of Passes </c:v>
                </c:pt>
              </c:strCache>
            </c:strRef>
          </c:tx>
          <c:spPr>
            <a:ln w="25400">
              <a:solidFill>
                <a:schemeClr val="accent3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'A Level Data'!$AH$1:$AZ$1</c:f>
              <c:numCache>
                <c:formatCode>General</c:formatCode>
                <c:ptCount val="19"/>
                <c:pt idx="0">
                  <c:v>1992.0</c:v>
                </c:pt>
                <c:pt idx="1">
                  <c:v>1993.0</c:v>
                </c:pt>
                <c:pt idx="2">
                  <c:v>1994.0</c:v>
                </c:pt>
                <c:pt idx="3">
                  <c:v>1995.0</c:v>
                </c:pt>
                <c:pt idx="4">
                  <c:v>1996.0</c:v>
                </c:pt>
                <c:pt idx="5">
                  <c:v>1997.0</c:v>
                </c:pt>
                <c:pt idx="6">
                  <c:v>1998.0</c:v>
                </c:pt>
                <c:pt idx="7">
                  <c:v>1999.0</c:v>
                </c:pt>
                <c:pt idx="8">
                  <c:v>2000.0</c:v>
                </c:pt>
                <c:pt idx="9">
                  <c:v>2001.0</c:v>
                </c:pt>
                <c:pt idx="10">
                  <c:v>2002.0</c:v>
                </c:pt>
                <c:pt idx="11">
                  <c:v>2003.0</c:v>
                </c:pt>
                <c:pt idx="12">
                  <c:v>2004.0</c:v>
                </c:pt>
                <c:pt idx="13">
                  <c:v>2005.0</c:v>
                </c:pt>
                <c:pt idx="14">
                  <c:v>2006.0</c:v>
                </c:pt>
                <c:pt idx="15">
                  <c:v>2007.0</c:v>
                </c:pt>
                <c:pt idx="16">
                  <c:v>2008.0</c:v>
                </c:pt>
                <c:pt idx="17">
                  <c:v>2009.0</c:v>
                </c:pt>
                <c:pt idx="18">
                  <c:v>2010.0</c:v>
                </c:pt>
              </c:numCache>
            </c:numRef>
          </c:cat>
          <c:val>
            <c:numRef>
              <c:f>'A Level Data'!$B$12:$AZ$12</c:f>
              <c:numCache>
                <c:formatCode>General</c:formatCode>
                <c:ptCount val="51"/>
                <c:pt idx="20" formatCode="0.0">
                  <c:v>64.2948308870453</c:v>
                </c:pt>
                <c:pt idx="21" formatCode="0.0">
                  <c:v>67.53519017669961</c:v>
                </c:pt>
                <c:pt idx="22" formatCode="0.0">
                  <c:v>73.40739699057797</c:v>
                </c:pt>
                <c:pt idx="23" formatCode="0.0">
                  <c:v>68.58770535241123</c:v>
                </c:pt>
                <c:pt idx="24" formatCode="0.0">
                  <c:v>74.64627151051624</c:v>
                </c:pt>
                <c:pt idx="25" formatCode="0.0">
                  <c:v>75.61248461796622</c:v>
                </c:pt>
                <c:pt idx="26" formatCode="0.0">
                  <c:v>76.3973237261966</c:v>
                </c:pt>
                <c:pt idx="27" formatCode="0.0">
                  <c:v>78.71073701498665</c:v>
                </c:pt>
                <c:pt idx="28" formatCode="0.0">
                  <c:v>77.7453523562473</c:v>
                </c:pt>
                <c:pt idx="29" formatCode="0.0">
                  <c:v>78.49502487562189</c:v>
                </c:pt>
                <c:pt idx="30" formatCode="0.0">
                  <c:v>79.35616438356165</c:v>
                </c:pt>
                <c:pt idx="31" formatCode="0.0">
                  <c:v>81.16626065773447</c:v>
                </c:pt>
                <c:pt idx="32" formatCode="0.0">
                  <c:v>82.2310405643739</c:v>
                </c:pt>
                <c:pt idx="33" formatCode="0.0">
                  <c:v>81.6</c:v>
                </c:pt>
                <c:pt idx="34">
                  <c:v>78.7263978699125</c:v>
                </c:pt>
                <c:pt idx="35">
                  <c:v>75.98298823529412</c:v>
                </c:pt>
                <c:pt idx="36">
                  <c:v>75.97604284103721</c:v>
                </c:pt>
                <c:pt idx="37">
                  <c:v>77.45854208982172</c:v>
                </c:pt>
                <c:pt idx="38">
                  <c:v>77.32161498996207</c:v>
                </c:pt>
                <c:pt idx="39">
                  <c:v>79.48734600125287</c:v>
                </c:pt>
                <c:pt idx="40">
                  <c:v>79.22347110714639</c:v>
                </c:pt>
                <c:pt idx="41">
                  <c:v>79.35887238616375</c:v>
                </c:pt>
                <c:pt idx="42">
                  <c:v>79.11905505661852</c:v>
                </c:pt>
                <c:pt idx="43">
                  <c:v>78.72686335403726</c:v>
                </c:pt>
                <c:pt idx="44">
                  <c:v>77.92258241156499</c:v>
                </c:pt>
                <c:pt idx="45">
                  <c:v>79.46657929226735</c:v>
                </c:pt>
                <c:pt idx="46">
                  <c:v>81.07995321637425</c:v>
                </c:pt>
                <c:pt idx="47">
                  <c:v>80.17881036648018</c:v>
                </c:pt>
                <c:pt idx="48">
                  <c:v>76.36864236188772</c:v>
                </c:pt>
                <c:pt idx="49" formatCode="0.00">
                  <c:v>75.29833238797504</c:v>
                </c:pt>
                <c:pt idx="50" formatCode="0.00">
                  <c:v>79.58168456755228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496"/>
        <c:axId val="1862056"/>
      </c:lineChart>
      <c:catAx>
        <c:axId val="1853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6408"/>
        <c:crosses val="autoZero"/>
        <c:auto val="1"/>
        <c:lblAlgn val="ctr"/>
        <c:lblOffset val="100"/>
        <c:noMultiLvlLbl val="0"/>
      </c:catAx>
      <c:valAx>
        <c:axId val="1856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Entries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853336"/>
        <c:crosses val="autoZero"/>
        <c:crossBetween val="between"/>
      </c:valAx>
      <c:valAx>
        <c:axId val="1862056"/>
        <c:scaling>
          <c:orientation val="minMax"/>
          <c:max val="100.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Passes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867496"/>
        <c:crosses val="max"/>
        <c:crossBetween val="between"/>
      </c:valAx>
      <c:catAx>
        <c:axId val="1867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205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103319989358437"/>
          <c:y val="0.723747623807982"/>
          <c:w val="0.343253866477947"/>
          <c:h val="0.110106641643861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Hong Kong A Level Pass Rates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693023172945031"/>
          <c:y val="0.0758195114649636"/>
          <c:w val="0.877611329833771"/>
          <c:h val="0.803819753807993"/>
        </c:manualLayout>
      </c:layout>
      <c:lineChart>
        <c:grouping val="standard"/>
        <c:varyColors val="0"/>
        <c:ser>
          <c:idx val="0"/>
          <c:order val="0"/>
          <c:tx>
            <c:strRef>
              <c:f>'A Level Data'!$A$4</c:f>
              <c:strCache>
                <c:ptCount val="1"/>
                <c:pt idx="0">
                  <c:v>Applied Passes %</c:v>
                </c:pt>
              </c:strCache>
            </c:strRef>
          </c:tx>
          <c:marker>
            <c:symbol val="none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Data'!$B$4:$AZ$4</c:f>
              <c:numCache>
                <c:formatCode>General</c:formatCode>
                <c:ptCount val="51"/>
                <c:pt idx="20" formatCode="0.0">
                  <c:v>63.97748592870543</c:v>
                </c:pt>
                <c:pt idx="21" formatCode="0.0">
                  <c:v>68.31036983321247</c:v>
                </c:pt>
                <c:pt idx="22" formatCode="0.0">
                  <c:v>71.61930845600821</c:v>
                </c:pt>
                <c:pt idx="23" formatCode="0.0">
                  <c:v>67.11281070745699</c:v>
                </c:pt>
                <c:pt idx="24" formatCode="0.0">
                  <c:v>72.97705314009661</c:v>
                </c:pt>
                <c:pt idx="25" formatCode="0.0">
                  <c:v>74.4838538909476</c:v>
                </c:pt>
                <c:pt idx="26" formatCode="0.0">
                  <c:v>75.77060931899642</c:v>
                </c:pt>
                <c:pt idx="27" formatCode="0.0">
                  <c:v>78.0578034682081</c:v>
                </c:pt>
                <c:pt idx="28" formatCode="0.0">
                  <c:v>77.97633421878774</c:v>
                </c:pt>
                <c:pt idx="29" formatCode="0.0">
                  <c:v>77.61069340016707</c:v>
                </c:pt>
                <c:pt idx="30" formatCode="0.0">
                  <c:v>79.36410883521858</c:v>
                </c:pt>
                <c:pt idx="31" formatCode="0.0">
                  <c:v>80.28363887928053</c:v>
                </c:pt>
                <c:pt idx="32" formatCode="0.0">
                  <c:v>83.10055865921788</c:v>
                </c:pt>
                <c:pt idx="33">
                  <c:v>81.6</c:v>
                </c:pt>
                <c:pt idx="34">
                  <c:v>77.3</c:v>
                </c:pt>
                <c:pt idx="35">
                  <c:v>76.9</c:v>
                </c:pt>
                <c:pt idx="36">
                  <c:v>72.2</c:v>
                </c:pt>
                <c:pt idx="37">
                  <c:v>78.3</c:v>
                </c:pt>
                <c:pt idx="38">
                  <c:v>75.6</c:v>
                </c:pt>
                <c:pt idx="39">
                  <c:v>81.9</c:v>
                </c:pt>
                <c:pt idx="40">
                  <c:v>84.6</c:v>
                </c:pt>
                <c:pt idx="41">
                  <c:v>83.3</c:v>
                </c:pt>
                <c:pt idx="42">
                  <c:v>82.8</c:v>
                </c:pt>
                <c:pt idx="43">
                  <c:v>82.7</c:v>
                </c:pt>
                <c:pt idx="44">
                  <c:v>84.1</c:v>
                </c:pt>
                <c:pt idx="45">
                  <c:v>78.5</c:v>
                </c:pt>
                <c:pt idx="46">
                  <c:v>83.0</c:v>
                </c:pt>
                <c:pt idx="47">
                  <c:v>82.8</c:v>
                </c:pt>
                <c:pt idx="48">
                  <c:v>82.6</c:v>
                </c:pt>
                <c:pt idx="49">
                  <c:v>84.0</c:v>
                </c:pt>
                <c:pt idx="50" formatCode="0.0">
                  <c:v>77.46062992125983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'A Level Data'!$A$8</c:f>
              <c:strCache>
                <c:ptCount val="1"/>
                <c:pt idx="0">
                  <c:v>Pure Passes %</c:v>
                </c:pt>
              </c:strCache>
            </c:strRef>
          </c:tx>
          <c:marker>
            <c:symbol val="none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Data'!$B$8:$AZ$8</c:f>
              <c:numCache>
                <c:formatCode>General</c:formatCode>
                <c:ptCount val="51"/>
                <c:pt idx="20" formatCode="0.0">
                  <c:v>64.52955870108244</c:v>
                </c:pt>
                <c:pt idx="21" formatCode="0.0">
                  <c:v>66.98979591836734</c:v>
                </c:pt>
                <c:pt idx="22" formatCode="0.0">
                  <c:v>74.65393794749403</c:v>
                </c:pt>
                <c:pt idx="23" formatCode="0.0">
                  <c:v>69.63718820861679</c:v>
                </c:pt>
                <c:pt idx="24" formatCode="0.0">
                  <c:v>75.86587249062431</c:v>
                </c:pt>
                <c:pt idx="25" formatCode="0.0">
                  <c:v>76.43867467545048</c:v>
                </c:pt>
                <c:pt idx="26" formatCode="0.0">
                  <c:v>76.87160940325496</c:v>
                </c:pt>
                <c:pt idx="27" formatCode="0.0">
                  <c:v>79.23204725863023</c:v>
                </c:pt>
                <c:pt idx="28" formatCode="0.0">
                  <c:v>77.55820778712581</c:v>
                </c:pt>
                <c:pt idx="29" formatCode="0.0">
                  <c:v>79.20881096875702</c:v>
                </c:pt>
                <c:pt idx="30" formatCode="0.0">
                  <c:v>79.34971456937205</c:v>
                </c:pt>
                <c:pt idx="31" formatCode="0.0">
                  <c:v>81.86021212945336</c:v>
                </c:pt>
                <c:pt idx="32" formatCode="0.0">
                  <c:v>81.5989847715736</c:v>
                </c:pt>
                <c:pt idx="33">
                  <c:v>81.5</c:v>
                </c:pt>
                <c:pt idx="34">
                  <c:v>79.1</c:v>
                </c:pt>
                <c:pt idx="35">
                  <c:v>75.8</c:v>
                </c:pt>
                <c:pt idx="36">
                  <c:v>76.7</c:v>
                </c:pt>
                <c:pt idx="37">
                  <c:v>77.3</c:v>
                </c:pt>
                <c:pt idx="38">
                  <c:v>77.6</c:v>
                </c:pt>
                <c:pt idx="39">
                  <c:v>79.1</c:v>
                </c:pt>
                <c:pt idx="40">
                  <c:v>78.4</c:v>
                </c:pt>
                <c:pt idx="41">
                  <c:v>78.8</c:v>
                </c:pt>
                <c:pt idx="42">
                  <c:v>78.6</c:v>
                </c:pt>
                <c:pt idx="43">
                  <c:v>78.2</c:v>
                </c:pt>
                <c:pt idx="44">
                  <c:v>77.1</c:v>
                </c:pt>
                <c:pt idx="45">
                  <c:v>79.6</c:v>
                </c:pt>
                <c:pt idx="46">
                  <c:v>80.8</c:v>
                </c:pt>
                <c:pt idx="47">
                  <c:v>79.8</c:v>
                </c:pt>
                <c:pt idx="48">
                  <c:v>75.5</c:v>
                </c:pt>
                <c:pt idx="49">
                  <c:v>74.1</c:v>
                </c:pt>
                <c:pt idx="50" formatCode="0.0">
                  <c:v>79.85694213820412</c:v>
                </c:pt>
              </c:numCache>
            </c:numRef>
          </c:val>
          <c:smooth val="0"/>
        </c:ser>
        <c:ser>
          <c:idx val="11"/>
          <c:order val="2"/>
          <c:tx>
            <c:strRef>
              <c:f>'A Level Data'!$A$15</c:f>
              <c:strCache>
                <c:ptCount val="1"/>
                <c:pt idx="0">
                  <c:v>Pass Rate (%)  for all A level subjects entered by all candidates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'A Level Data'!$B$1:$AZ$1</c:f>
              <c:numCache>
                <c:formatCode>General</c:formatCode>
                <c:ptCount val="51"/>
                <c:pt idx="0">
                  <c:v>1960.0</c:v>
                </c:pt>
                <c:pt idx="1">
                  <c:v>1961.0</c:v>
                </c:pt>
                <c:pt idx="2">
                  <c:v>1962.0</c:v>
                </c:pt>
                <c:pt idx="3">
                  <c:v>1963.0</c:v>
                </c:pt>
                <c:pt idx="4">
                  <c:v>1964.0</c:v>
                </c:pt>
                <c:pt idx="5">
                  <c:v>1965.0</c:v>
                </c:pt>
                <c:pt idx="6">
                  <c:v>1966.0</c:v>
                </c:pt>
                <c:pt idx="7">
                  <c:v>1967.0</c:v>
                </c:pt>
                <c:pt idx="8">
                  <c:v>1968.0</c:v>
                </c:pt>
                <c:pt idx="9">
                  <c:v>1969.0</c:v>
                </c:pt>
                <c:pt idx="10">
                  <c:v>1970.0</c:v>
                </c:pt>
                <c:pt idx="11">
                  <c:v>1971.0</c:v>
                </c:pt>
                <c:pt idx="12">
                  <c:v>1972.0</c:v>
                </c:pt>
                <c:pt idx="13">
                  <c:v>1973.0</c:v>
                </c:pt>
                <c:pt idx="14">
                  <c:v>1974.0</c:v>
                </c:pt>
                <c:pt idx="15">
                  <c:v>1975.0</c:v>
                </c:pt>
                <c:pt idx="16">
                  <c:v>1976.0</c:v>
                </c:pt>
                <c:pt idx="17">
                  <c:v>1977.0</c:v>
                </c:pt>
                <c:pt idx="18">
                  <c:v>1978.0</c:v>
                </c:pt>
                <c:pt idx="19">
                  <c:v>1979.0</c:v>
                </c:pt>
                <c:pt idx="20">
                  <c:v>1980.0</c:v>
                </c:pt>
                <c:pt idx="21">
                  <c:v>1981.0</c:v>
                </c:pt>
                <c:pt idx="22">
                  <c:v>1982.0</c:v>
                </c:pt>
                <c:pt idx="23">
                  <c:v>1983.0</c:v>
                </c:pt>
                <c:pt idx="24">
                  <c:v>1984.0</c:v>
                </c:pt>
                <c:pt idx="25">
                  <c:v>1985.0</c:v>
                </c:pt>
                <c:pt idx="26">
                  <c:v>1986.0</c:v>
                </c:pt>
                <c:pt idx="27">
                  <c:v>1987.0</c:v>
                </c:pt>
                <c:pt idx="28">
                  <c:v>1988.0</c:v>
                </c:pt>
                <c:pt idx="29">
                  <c:v>1989.0</c:v>
                </c:pt>
                <c:pt idx="30">
                  <c:v>1990.0</c:v>
                </c:pt>
                <c:pt idx="31">
                  <c:v>1991.0</c:v>
                </c:pt>
                <c:pt idx="32">
                  <c:v>1992.0</c:v>
                </c:pt>
                <c:pt idx="33">
                  <c:v>1993.0</c:v>
                </c:pt>
                <c:pt idx="34">
                  <c:v>1994.0</c:v>
                </c:pt>
                <c:pt idx="35">
                  <c:v>1995.0</c:v>
                </c:pt>
                <c:pt idx="36">
                  <c:v>1996.0</c:v>
                </c:pt>
                <c:pt idx="37">
                  <c:v>1997.0</c:v>
                </c:pt>
                <c:pt idx="38">
                  <c:v>1998.0</c:v>
                </c:pt>
                <c:pt idx="39">
                  <c:v>1999.0</c:v>
                </c:pt>
                <c:pt idx="40">
                  <c:v>2000.0</c:v>
                </c:pt>
                <c:pt idx="41">
                  <c:v>2001.0</c:v>
                </c:pt>
                <c:pt idx="42">
                  <c:v>2002.0</c:v>
                </c:pt>
                <c:pt idx="43">
                  <c:v>2003.0</c:v>
                </c:pt>
                <c:pt idx="44">
                  <c:v>2004.0</c:v>
                </c:pt>
                <c:pt idx="45">
                  <c:v>2005.0</c:v>
                </c:pt>
                <c:pt idx="46">
                  <c:v>2006.0</c:v>
                </c:pt>
                <c:pt idx="47">
                  <c:v>2007.0</c:v>
                </c:pt>
                <c:pt idx="48">
                  <c:v>2008.0</c:v>
                </c:pt>
                <c:pt idx="49">
                  <c:v>2009.0</c:v>
                </c:pt>
                <c:pt idx="50">
                  <c:v>2010.0</c:v>
                </c:pt>
              </c:numCache>
            </c:numRef>
          </c:cat>
          <c:val>
            <c:numRef>
              <c:f>'A Level Data'!$B$15:$AZ$15</c:f>
              <c:numCache>
                <c:formatCode>General</c:formatCode>
                <c:ptCount val="51"/>
                <c:pt idx="20">
                  <c:v>67.5</c:v>
                </c:pt>
                <c:pt idx="21">
                  <c:v>70.6</c:v>
                </c:pt>
                <c:pt idx="22">
                  <c:v>72.0</c:v>
                </c:pt>
                <c:pt idx="23">
                  <c:v>70.9</c:v>
                </c:pt>
                <c:pt idx="24">
                  <c:v>72.3</c:v>
                </c:pt>
                <c:pt idx="25">
                  <c:v>72.1</c:v>
                </c:pt>
                <c:pt idx="26">
                  <c:v>72.5</c:v>
                </c:pt>
                <c:pt idx="27">
                  <c:v>73.9</c:v>
                </c:pt>
                <c:pt idx="28">
                  <c:v>73.3</c:v>
                </c:pt>
                <c:pt idx="29">
                  <c:v>73.6</c:v>
                </c:pt>
                <c:pt idx="30">
                  <c:v>75.4</c:v>
                </c:pt>
                <c:pt idx="31">
                  <c:v>76.3</c:v>
                </c:pt>
                <c:pt idx="32">
                  <c:v>75.9</c:v>
                </c:pt>
                <c:pt idx="33">
                  <c:v>75.1</c:v>
                </c:pt>
                <c:pt idx="34">
                  <c:v>70.19999999999998</c:v>
                </c:pt>
                <c:pt idx="35">
                  <c:v>70.3</c:v>
                </c:pt>
                <c:pt idx="36">
                  <c:v>70.1</c:v>
                </c:pt>
                <c:pt idx="37">
                  <c:v>71.6</c:v>
                </c:pt>
                <c:pt idx="38">
                  <c:v>72.0</c:v>
                </c:pt>
                <c:pt idx="39">
                  <c:v>71.8</c:v>
                </c:pt>
                <c:pt idx="40">
                  <c:v>71.6</c:v>
                </c:pt>
                <c:pt idx="41">
                  <c:v>72.9</c:v>
                </c:pt>
                <c:pt idx="42">
                  <c:v>72.2</c:v>
                </c:pt>
                <c:pt idx="43">
                  <c:v>74.1</c:v>
                </c:pt>
                <c:pt idx="44">
                  <c:v>72.8</c:v>
                </c:pt>
                <c:pt idx="45">
                  <c:v>73.8</c:v>
                </c:pt>
                <c:pt idx="46">
                  <c:v>74.6</c:v>
                </c:pt>
                <c:pt idx="47">
                  <c:v>74.4</c:v>
                </c:pt>
                <c:pt idx="48">
                  <c:v>73.8</c:v>
                </c:pt>
                <c:pt idx="49">
                  <c:v>75.0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864"/>
        <c:axId val="1910840"/>
      </c:lineChart>
      <c:catAx>
        <c:axId val="1907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10840"/>
        <c:crosses val="autoZero"/>
        <c:auto val="1"/>
        <c:lblAlgn val="ctr"/>
        <c:lblOffset val="100"/>
        <c:noMultiLvlLbl val="0"/>
      </c:catAx>
      <c:valAx>
        <c:axId val="1910840"/>
        <c:scaling>
          <c:orientation val="minMax"/>
          <c:max val="1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7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913030460458288"/>
          <c:y val="0.635432689223576"/>
          <c:w val="0.531520558978775"/>
          <c:h val="0.126129746181315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3" workbookViewId="0"/>
  </sheetViews>
  <pageMargins left="0.75" right="0.75" top="1" bottom="1" header="0.5" footer="0.5"/>
  <pageSetup paperSize="10" orientation="landscape" horizontalDpi="4294967292" verticalDpi="429496729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10" orientation="landscape" horizontalDpi="4294967292" verticalDpi="429496729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82100" cy="56007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1656" cy="56098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4786" cy="561188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0"/>
  <sheetViews>
    <sheetView workbookViewId="0">
      <pane xSplit="1" ySplit="1" topLeftCell="R14" activePane="bottomRight" state="frozen"/>
      <selection pane="topRight" activeCell="B1" sqref="B1"/>
      <selection pane="bottomLeft" activeCell="A2" sqref="A2"/>
      <selection pane="bottomRight" activeCell="BA15" sqref="BA15"/>
    </sheetView>
  </sheetViews>
  <sheetFormatPr baseColWidth="10" defaultRowHeight="13" x14ac:dyDescent="0"/>
  <cols>
    <col min="1" max="1" width="42.5703125" style="1" customWidth="1"/>
    <col min="2" max="33" width="8.140625" style="1" customWidth="1"/>
    <col min="34" max="38" width="8.140625" style="2" customWidth="1"/>
    <col min="39" max="51" width="8.140625" style="4" customWidth="1"/>
  </cols>
  <sheetData>
    <row r="1" spans="1:53" s="1" customFormat="1"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</row>
    <row r="2" spans="1:53">
      <c r="A2" s="1" t="s">
        <v>11</v>
      </c>
      <c r="V2" s="6">
        <v>2665</v>
      </c>
      <c r="W2" s="6">
        <v>2758</v>
      </c>
      <c r="X2" s="6">
        <v>2921</v>
      </c>
      <c r="Y2" s="6">
        <v>3138</v>
      </c>
      <c r="Z2" s="6">
        <v>3312</v>
      </c>
      <c r="AA2" s="6">
        <v>3778</v>
      </c>
      <c r="AB2" s="6">
        <v>4185</v>
      </c>
      <c r="AC2" s="6">
        <v>4325</v>
      </c>
      <c r="AD2" s="6">
        <v>4141</v>
      </c>
      <c r="AE2" s="6">
        <v>3591</v>
      </c>
      <c r="AF2" s="6">
        <v>3271</v>
      </c>
      <c r="AG2" s="6">
        <v>2891</v>
      </c>
      <c r="AH2" s="6">
        <v>2864</v>
      </c>
      <c r="AI2" s="6">
        <v>3598</v>
      </c>
      <c r="AJ2" s="6">
        <v>1637</v>
      </c>
      <c r="AK2" s="6">
        <v>1414</v>
      </c>
      <c r="AL2" s="6">
        <v>1427</v>
      </c>
      <c r="AM2" s="6">
        <v>1405</v>
      </c>
      <c r="AN2" s="6">
        <v>1248</v>
      </c>
      <c r="AO2" s="6">
        <v>1325</v>
      </c>
      <c r="AP2" s="6">
        <v>1340</v>
      </c>
      <c r="AQ2" s="6">
        <v>1271</v>
      </c>
      <c r="AR2" s="6">
        <v>1266</v>
      </c>
      <c r="AS2" s="6">
        <v>1131</v>
      </c>
      <c r="AT2" s="6">
        <v>1073</v>
      </c>
      <c r="AU2" s="6">
        <v>1018</v>
      </c>
      <c r="AV2" s="6">
        <v>1088</v>
      </c>
      <c r="AW2" s="6">
        <v>1106</v>
      </c>
      <c r="AX2" s="6">
        <v>1094</v>
      </c>
      <c r="AY2" s="6">
        <v>1067</v>
      </c>
      <c r="AZ2" s="6">
        <v>1016</v>
      </c>
    </row>
    <row r="3" spans="1:53">
      <c r="A3" s="1" t="s">
        <v>15</v>
      </c>
      <c r="V3" s="6">
        <v>1705</v>
      </c>
      <c r="W3" s="6">
        <v>1884</v>
      </c>
      <c r="X3" s="6">
        <v>2092</v>
      </c>
      <c r="Y3" s="6">
        <v>2106</v>
      </c>
      <c r="Z3" s="6">
        <v>2417</v>
      </c>
      <c r="AA3" s="6">
        <v>2814</v>
      </c>
      <c r="AB3" s="6">
        <v>3171</v>
      </c>
      <c r="AC3" s="6">
        <v>3376</v>
      </c>
      <c r="AD3" s="6">
        <v>3229</v>
      </c>
      <c r="AE3" s="6">
        <v>2787</v>
      </c>
      <c r="AF3" s="6">
        <v>2596</v>
      </c>
      <c r="AG3" s="6">
        <v>2321</v>
      </c>
      <c r="AH3" s="6">
        <v>2380</v>
      </c>
      <c r="AI3" s="12">
        <f t="shared" ref="AI3:AY3" si="0">AI4/100*AI2</f>
        <v>2935.9679999999998</v>
      </c>
      <c r="AJ3" s="12">
        <f t="shared" si="0"/>
        <v>1265.4010000000001</v>
      </c>
      <c r="AK3" s="12">
        <f t="shared" si="0"/>
        <v>1087.366</v>
      </c>
      <c r="AL3" s="12">
        <f t="shared" si="0"/>
        <v>1030.2939999999999</v>
      </c>
      <c r="AM3" s="12">
        <f t="shared" si="0"/>
        <v>1100.1149999999998</v>
      </c>
      <c r="AN3" s="12">
        <f t="shared" si="0"/>
        <v>943.48799999999983</v>
      </c>
      <c r="AO3" s="12">
        <f t="shared" si="0"/>
        <v>1085.1750000000002</v>
      </c>
      <c r="AP3" s="12">
        <f t="shared" si="0"/>
        <v>1133.6399999999999</v>
      </c>
      <c r="AQ3" s="12">
        <f t="shared" si="0"/>
        <v>1058.7429999999999</v>
      </c>
      <c r="AR3" s="12">
        <f t="shared" si="0"/>
        <v>1048.248</v>
      </c>
      <c r="AS3" s="12">
        <f t="shared" si="0"/>
        <v>935.3370000000001</v>
      </c>
      <c r="AT3" s="12">
        <f t="shared" si="0"/>
        <v>902.39299999999992</v>
      </c>
      <c r="AU3" s="12">
        <f t="shared" si="0"/>
        <v>799.13</v>
      </c>
      <c r="AV3" s="12">
        <f t="shared" si="0"/>
        <v>903.04</v>
      </c>
      <c r="AW3" s="12">
        <f t="shared" si="0"/>
        <v>915.76799999999992</v>
      </c>
      <c r="AX3" s="12">
        <f t="shared" si="0"/>
        <v>903.64400000000001</v>
      </c>
      <c r="AY3" s="12">
        <f t="shared" si="0"/>
        <v>896.28</v>
      </c>
      <c r="AZ3" s="6">
        <v>787</v>
      </c>
    </row>
    <row r="4" spans="1:53">
      <c r="A4" s="1" t="s">
        <v>14</v>
      </c>
      <c r="V4" s="7">
        <f t="shared" ref="V4:AH4" si="1">V3/V2*100</f>
        <v>63.977485928705434</v>
      </c>
      <c r="W4" s="7">
        <f t="shared" si="1"/>
        <v>68.310369833212476</v>
      </c>
      <c r="X4" s="7">
        <f t="shared" si="1"/>
        <v>71.619308456008213</v>
      </c>
      <c r="Y4" s="7">
        <f t="shared" si="1"/>
        <v>67.112810707456987</v>
      </c>
      <c r="Z4" s="7">
        <f t="shared" si="1"/>
        <v>72.977053140096615</v>
      </c>
      <c r="AA4" s="7">
        <f t="shared" si="1"/>
        <v>74.4838538909476</v>
      </c>
      <c r="AB4" s="7">
        <f t="shared" si="1"/>
        <v>75.770609318996421</v>
      </c>
      <c r="AC4" s="7">
        <f t="shared" si="1"/>
        <v>78.057803468208093</v>
      </c>
      <c r="AD4" s="7">
        <f t="shared" si="1"/>
        <v>77.976334218787741</v>
      </c>
      <c r="AE4" s="7">
        <f t="shared" si="1"/>
        <v>77.610693400167079</v>
      </c>
      <c r="AF4" s="7">
        <f t="shared" si="1"/>
        <v>79.364108835218588</v>
      </c>
      <c r="AG4" s="7">
        <f t="shared" si="1"/>
        <v>80.283638879280531</v>
      </c>
      <c r="AH4" s="7">
        <f t="shared" si="1"/>
        <v>83.100558659217882</v>
      </c>
      <c r="AI4" s="6">
        <v>81.599999999999994</v>
      </c>
      <c r="AJ4" s="6">
        <v>77.3</v>
      </c>
      <c r="AK4" s="6">
        <v>76.900000000000006</v>
      </c>
      <c r="AL4" s="6">
        <v>72.2</v>
      </c>
      <c r="AM4" s="6">
        <v>78.3</v>
      </c>
      <c r="AN4" s="6">
        <v>75.599999999999994</v>
      </c>
      <c r="AO4" s="6">
        <v>81.900000000000006</v>
      </c>
      <c r="AP4" s="6">
        <v>84.6</v>
      </c>
      <c r="AQ4" s="6">
        <v>83.3</v>
      </c>
      <c r="AR4" s="6">
        <v>82.8</v>
      </c>
      <c r="AS4" s="6">
        <v>82.7</v>
      </c>
      <c r="AT4" s="6">
        <v>84.1</v>
      </c>
      <c r="AU4" s="6">
        <v>78.5</v>
      </c>
      <c r="AV4" s="6">
        <v>83</v>
      </c>
      <c r="AW4" s="6">
        <v>82.8</v>
      </c>
      <c r="AX4" s="6">
        <v>82.6</v>
      </c>
      <c r="AY4" s="6">
        <v>84</v>
      </c>
      <c r="AZ4" s="19">
        <f>AZ3/AZ2*100</f>
        <v>77.460629921259837</v>
      </c>
    </row>
    <row r="6" spans="1:53">
      <c r="A6" s="1" t="s">
        <v>13</v>
      </c>
      <c r="V6" s="6">
        <v>3603</v>
      </c>
      <c r="W6" s="6">
        <v>3920</v>
      </c>
      <c r="X6" s="6">
        <v>4190</v>
      </c>
      <c r="Y6" s="6">
        <v>4410</v>
      </c>
      <c r="Z6" s="6">
        <v>4533</v>
      </c>
      <c r="AA6" s="6">
        <v>5161</v>
      </c>
      <c r="AB6" s="6">
        <v>5530</v>
      </c>
      <c r="AC6" s="6">
        <v>5417</v>
      </c>
      <c r="AD6" s="6">
        <v>5111</v>
      </c>
      <c r="AE6" s="6">
        <v>4449</v>
      </c>
      <c r="AF6" s="6">
        <v>4029</v>
      </c>
      <c r="AG6" s="6">
        <v>3677</v>
      </c>
      <c r="AH6" s="6">
        <v>3940</v>
      </c>
      <c r="AI6" s="6">
        <v>5250</v>
      </c>
      <c r="AJ6" s="6">
        <v>6250</v>
      </c>
      <c r="AK6" s="6">
        <v>7086</v>
      </c>
      <c r="AL6" s="6">
        <v>7443</v>
      </c>
      <c r="AM6" s="6">
        <v>7457</v>
      </c>
      <c r="AN6" s="6">
        <v>7718</v>
      </c>
      <c r="AO6" s="6">
        <v>8253</v>
      </c>
      <c r="AP6" s="6">
        <v>8749</v>
      </c>
      <c r="AQ6" s="6">
        <v>8963</v>
      </c>
      <c r="AR6" s="6">
        <v>8978</v>
      </c>
      <c r="AS6" s="6">
        <v>8529</v>
      </c>
      <c r="AT6" s="6">
        <v>8058</v>
      </c>
      <c r="AU6" s="6">
        <v>7375</v>
      </c>
      <c r="AV6" s="6">
        <v>7462</v>
      </c>
      <c r="AW6" s="6">
        <v>7653</v>
      </c>
      <c r="AX6" s="6">
        <v>7848</v>
      </c>
      <c r="AY6" s="6">
        <v>7748</v>
      </c>
      <c r="AZ6" s="6">
        <v>7829</v>
      </c>
      <c r="BA6" s="6"/>
    </row>
    <row r="7" spans="1:53">
      <c r="A7" s="1" t="s">
        <v>16</v>
      </c>
      <c r="V7" s="6">
        <v>2325</v>
      </c>
      <c r="W7" s="6">
        <v>2626</v>
      </c>
      <c r="X7" s="6">
        <v>3128</v>
      </c>
      <c r="Y7" s="6">
        <v>3071</v>
      </c>
      <c r="Z7" s="6">
        <v>3439</v>
      </c>
      <c r="AA7" s="6">
        <v>3945</v>
      </c>
      <c r="AB7" s="6">
        <v>4251</v>
      </c>
      <c r="AC7" s="6">
        <v>4292</v>
      </c>
      <c r="AD7" s="6">
        <v>3964</v>
      </c>
      <c r="AE7" s="6">
        <v>3524</v>
      </c>
      <c r="AF7" s="6">
        <v>3197</v>
      </c>
      <c r="AG7" s="6">
        <v>3010</v>
      </c>
      <c r="AH7" s="6">
        <v>3215</v>
      </c>
      <c r="AI7" s="12">
        <v>4284</v>
      </c>
      <c r="AJ7" s="12">
        <f t="shared" ref="AJ7:AY7" si="2">AJ8/100*AJ6</f>
        <v>4943.7499999999991</v>
      </c>
      <c r="AK7" s="12">
        <f t="shared" si="2"/>
        <v>5371.1880000000001</v>
      </c>
      <c r="AL7" s="12">
        <f t="shared" si="2"/>
        <v>5708.7809999999999</v>
      </c>
      <c r="AM7" s="12">
        <f t="shared" si="2"/>
        <v>5764.2610000000004</v>
      </c>
      <c r="AN7" s="12">
        <f t="shared" si="2"/>
        <v>5989.1679999999997</v>
      </c>
      <c r="AO7" s="12">
        <f t="shared" si="2"/>
        <v>6528.1229999999996</v>
      </c>
      <c r="AP7" s="12">
        <f t="shared" si="2"/>
        <v>6859.2160000000003</v>
      </c>
      <c r="AQ7" s="12">
        <f t="shared" si="2"/>
        <v>7062.8439999999991</v>
      </c>
      <c r="AR7" s="12">
        <f t="shared" si="2"/>
        <v>7056.7079999999996</v>
      </c>
      <c r="AS7" s="12">
        <f t="shared" si="2"/>
        <v>6669.6779999999999</v>
      </c>
      <c r="AT7" s="12">
        <f t="shared" si="2"/>
        <v>6212.7179999999989</v>
      </c>
      <c r="AU7" s="12">
        <f t="shared" si="2"/>
        <v>5870.4999999999991</v>
      </c>
      <c r="AV7" s="12">
        <f t="shared" si="2"/>
        <v>6029.2959999999994</v>
      </c>
      <c r="AW7" s="12">
        <f t="shared" si="2"/>
        <v>6107.0939999999991</v>
      </c>
      <c r="AX7" s="12">
        <f t="shared" si="2"/>
        <v>5925.24</v>
      </c>
      <c r="AY7" s="12">
        <f t="shared" si="2"/>
        <v>5741.268</v>
      </c>
      <c r="AZ7" s="4">
        <v>6252</v>
      </c>
    </row>
    <row r="8" spans="1:53">
      <c r="A8" s="1" t="s">
        <v>12</v>
      </c>
      <c r="V8" s="8">
        <f t="shared" ref="V8:AH8" si="3">V7/V6*100</f>
        <v>64.529558701082436</v>
      </c>
      <c r="W8" s="8">
        <f t="shared" si="3"/>
        <v>66.989795918367349</v>
      </c>
      <c r="X8" s="8">
        <f t="shared" si="3"/>
        <v>74.653937947494029</v>
      </c>
      <c r="Y8" s="8">
        <f t="shared" si="3"/>
        <v>69.637188208616791</v>
      </c>
      <c r="Z8" s="8">
        <f t="shared" si="3"/>
        <v>75.865872490624312</v>
      </c>
      <c r="AA8" s="8">
        <f t="shared" si="3"/>
        <v>76.438674675450486</v>
      </c>
      <c r="AB8" s="8">
        <f t="shared" si="3"/>
        <v>76.871609403254965</v>
      </c>
      <c r="AC8" s="8">
        <f t="shared" si="3"/>
        <v>79.232047258630232</v>
      </c>
      <c r="AD8" s="8">
        <f t="shared" si="3"/>
        <v>77.558207787125809</v>
      </c>
      <c r="AE8" s="8">
        <f t="shared" si="3"/>
        <v>79.208810968757021</v>
      </c>
      <c r="AF8" s="8">
        <f t="shared" si="3"/>
        <v>79.349714569372054</v>
      </c>
      <c r="AG8" s="8">
        <f t="shared" si="3"/>
        <v>81.860212129453359</v>
      </c>
      <c r="AH8" s="8">
        <f t="shared" si="3"/>
        <v>81.598984771573598</v>
      </c>
      <c r="AI8" s="6">
        <v>81.5</v>
      </c>
      <c r="AJ8" s="6">
        <v>79.099999999999994</v>
      </c>
      <c r="AK8" s="6">
        <v>75.8</v>
      </c>
      <c r="AL8" s="6">
        <v>76.7</v>
      </c>
      <c r="AM8" s="6">
        <v>77.3</v>
      </c>
      <c r="AN8" s="6">
        <v>77.599999999999994</v>
      </c>
      <c r="AO8" s="6">
        <v>79.099999999999994</v>
      </c>
      <c r="AP8" s="6">
        <v>78.400000000000006</v>
      </c>
      <c r="AQ8" s="6">
        <v>78.8</v>
      </c>
      <c r="AR8" s="6">
        <v>78.599999999999994</v>
      </c>
      <c r="AS8" s="6">
        <v>78.2</v>
      </c>
      <c r="AT8" s="6">
        <v>77.099999999999994</v>
      </c>
      <c r="AU8" s="6">
        <v>79.599999999999994</v>
      </c>
      <c r="AV8" s="6">
        <v>80.8</v>
      </c>
      <c r="AW8" s="6">
        <v>79.8</v>
      </c>
      <c r="AX8" s="6">
        <v>75.5</v>
      </c>
      <c r="AY8" s="6">
        <v>74.099999999999994</v>
      </c>
      <c r="AZ8" s="18">
        <f>AZ7/AZ6*100</f>
        <v>79.856942138204118</v>
      </c>
    </row>
    <row r="9" spans="1:53"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18"/>
    </row>
    <row r="10" spans="1:53">
      <c r="A10" s="1" t="s">
        <v>20</v>
      </c>
      <c r="V10" s="8">
        <f t="shared" ref="V10:AZ10" si="4">V2+V6</f>
        <v>6268</v>
      </c>
      <c r="W10" s="8">
        <f t="shared" si="4"/>
        <v>6678</v>
      </c>
      <c r="X10" s="8">
        <f t="shared" si="4"/>
        <v>7111</v>
      </c>
      <c r="Y10" s="8">
        <f t="shared" si="4"/>
        <v>7548</v>
      </c>
      <c r="Z10" s="8">
        <f t="shared" si="4"/>
        <v>7845</v>
      </c>
      <c r="AA10" s="8">
        <f t="shared" si="4"/>
        <v>8939</v>
      </c>
      <c r="AB10" s="8">
        <f t="shared" si="4"/>
        <v>9715</v>
      </c>
      <c r="AC10" s="8">
        <f t="shared" si="4"/>
        <v>9742</v>
      </c>
      <c r="AD10" s="8">
        <f t="shared" si="4"/>
        <v>9252</v>
      </c>
      <c r="AE10" s="8">
        <f t="shared" si="4"/>
        <v>8040</v>
      </c>
      <c r="AF10" s="8">
        <f t="shared" si="4"/>
        <v>7300</v>
      </c>
      <c r="AG10" s="8">
        <f t="shared" si="4"/>
        <v>6568</v>
      </c>
      <c r="AH10" s="8">
        <f t="shared" si="4"/>
        <v>6804</v>
      </c>
      <c r="AI10" s="8">
        <f t="shared" si="4"/>
        <v>8848</v>
      </c>
      <c r="AJ10" s="6">
        <f t="shared" si="4"/>
        <v>7887</v>
      </c>
      <c r="AK10" s="6">
        <f t="shared" si="4"/>
        <v>8500</v>
      </c>
      <c r="AL10" s="6">
        <f t="shared" si="4"/>
        <v>8870</v>
      </c>
      <c r="AM10" s="6">
        <f t="shared" si="4"/>
        <v>8862</v>
      </c>
      <c r="AN10" s="6">
        <f t="shared" si="4"/>
        <v>8966</v>
      </c>
      <c r="AO10" s="6">
        <f t="shared" si="4"/>
        <v>9578</v>
      </c>
      <c r="AP10" s="6">
        <f t="shared" si="4"/>
        <v>10089</v>
      </c>
      <c r="AQ10" s="6">
        <f t="shared" si="4"/>
        <v>10234</v>
      </c>
      <c r="AR10" s="6">
        <f t="shared" si="4"/>
        <v>10244</v>
      </c>
      <c r="AS10" s="6">
        <f t="shared" si="4"/>
        <v>9660</v>
      </c>
      <c r="AT10" s="6">
        <f t="shared" si="4"/>
        <v>9131</v>
      </c>
      <c r="AU10" s="6">
        <f t="shared" si="4"/>
        <v>8393</v>
      </c>
      <c r="AV10" s="6">
        <f t="shared" si="4"/>
        <v>8550</v>
      </c>
      <c r="AW10" s="6">
        <f t="shared" si="4"/>
        <v>8759</v>
      </c>
      <c r="AX10" s="6">
        <f t="shared" si="4"/>
        <v>8942</v>
      </c>
      <c r="AY10" s="6">
        <f t="shared" si="4"/>
        <v>8815</v>
      </c>
      <c r="AZ10" s="6">
        <f t="shared" si="4"/>
        <v>8845</v>
      </c>
    </row>
    <row r="11" spans="1:53">
      <c r="A11" s="1" t="s">
        <v>17</v>
      </c>
      <c r="V11" s="8">
        <f t="shared" ref="V11:AZ11" si="5">V3+V7</f>
        <v>4030</v>
      </c>
      <c r="W11" s="8">
        <f t="shared" si="5"/>
        <v>4510</v>
      </c>
      <c r="X11" s="8">
        <f t="shared" si="5"/>
        <v>5220</v>
      </c>
      <c r="Y11" s="8">
        <f t="shared" si="5"/>
        <v>5177</v>
      </c>
      <c r="Z11" s="8">
        <f t="shared" si="5"/>
        <v>5856</v>
      </c>
      <c r="AA11" s="8">
        <f t="shared" si="5"/>
        <v>6759</v>
      </c>
      <c r="AB11" s="8">
        <f t="shared" si="5"/>
        <v>7422</v>
      </c>
      <c r="AC11" s="8">
        <f t="shared" si="5"/>
        <v>7668</v>
      </c>
      <c r="AD11" s="8">
        <f t="shared" si="5"/>
        <v>7193</v>
      </c>
      <c r="AE11" s="8">
        <f t="shared" si="5"/>
        <v>6311</v>
      </c>
      <c r="AF11" s="8">
        <f t="shared" si="5"/>
        <v>5793</v>
      </c>
      <c r="AG11" s="8">
        <f t="shared" si="5"/>
        <v>5331</v>
      </c>
      <c r="AH11" s="8">
        <f t="shared" si="5"/>
        <v>5595</v>
      </c>
      <c r="AI11" s="8">
        <f t="shared" si="5"/>
        <v>7219.9679999999998</v>
      </c>
      <c r="AJ11" s="12">
        <f t="shared" si="5"/>
        <v>6209.1509999999989</v>
      </c>
      <c r="AK11" s="12">
        <f t="shared" si="5"/>
        <v>6458.5540000000001</v>
      </c>
      <c r="AL11" s="12">
        <f t="shared" si="5"/>
        <v>6739.0749999999998</v>
      </c>
      <c r="AM11" s="12">
        <f t="shared" si="5"/>
        <v>6864.3760000000002</v>
      </c>
      <c r="AN11" s="12">
        <f t="shared" si="5"/>
        <v>6932.655999999999</v>
      </c>
      <c r="AO11" s="12">
        <f t="shared" si="5"/>
        <v>7613.2979999999998</v>
      </c>
      <c r="AP11" s="12">
        <f t="shared" si="5"/>
        <v>7992.8559999999998</v>
      </c>
      <c r="AQ11" s="12">
        <f t="shared" si="5"/>
        <v>8121.5869999999995</v>
      </c>
      <c r="AR11" s="12">
        <f t="shared" si="5"/>
        <v>8104.9560000000001</v>
      </c>
      <c r="AS11" s="12">
        <f t="shared" si="5"/>
        <v>7605.0150000000003</v>
      </c>
      <c r="AT11" s="12">
        <f t="shared" si="5"/>
        <v>7115.110999999999</v>
      </c>
      <c r="AU11" s="12">
        <f t="shared" si="5"/>
        <v>6669.6299999999992</v>
      </c>
      <c r="AV11" s="12">
        <f t="shared" si="5"/>
        <v>6932.3359999999993</v>
      </c>
      <c r="AW11" s="12">
        <f t="shared" si="5"/>
        <v>7022.8619999999992</v>
      </c>
      <c r="AX11" s="12">
        <f t="shared" si="5"/>
        <v>6828.884</v>
      </c>
      <c r="AY11" s="12">
        <f t="shared" si="5"/>
        <v>6637.5479999999998</v>
      </c>
      <c r="AZ11" s="12">
        <f t="shared" si="5"/>
        <v>7039</v>
      </c>
    </row>
    <row r="12" spans="1:53">
      <c r="A12" s="1" t="s">
        <v>18</v>
      </c>
      <c r="V12" s="8">
        <f t="shared" ref="V12:AH12" si="6">V11/V10*100</f>
        <v>64.294830887045308</v>
      </c>
      <c r="W12" s="8">
        <f t="shared" si="6"/>
        <v>67.535190176699615</v>
      </c>
      <c r="X12" s="8">
        <f t="shared" si="6"/>
        <v>73.407396990577979</v>
      </c>
      <c r="Y12" s="8">
        <f t="shared" si="6"/>
        <v>68.587705352411234</v>
      </c>
      <c r="Z12" s="8">
        <f t="shared" si="6"/>
        <v>74.646271510516243</v>
      </c>
      <c r="AA12" s="8">
        <f t="shared" si="6"/>
        <v>75.612484617966217</v>
      </c>
      <c r="AB12" s="8">
        <f t="shared" si="6"/>
        <v>76.397323726196603</v>
      </c>
      <c r="AC12" s="8">
        <f t="shared" si="6"/>
        <v>78.710737014986648</v>
      </c>
      <c r="AD12" s="8">
        <f t="shared" si="6"/>
        <v>77.745352356247295</v>
      </c>
      <c r="AE12" s="8">
        <f t="shared" si="6"/>
        <v>78.495024875621894</v>
      </c>
      <c r="AF12" s="8">
        <f t="shared" si="6"/>
        <v>79.356164383561648</v>
      </c>
      <c r="AG12" s="8">
        <f t="shared" si="6"/>
        <v>81.166260657734469</v>
      </c>
      <c r="AH12" s="8">
        <f t="shared" si="6"/>
        <v>82.231040564373899</v>
      </c>
      <c r="AI12" s="8">
        <f>AI11/AI10*100</f>
        <v>81.599999999999994</v>
      </c>
      <c r="AJ12" s="6">
        <f t="shared" ref="AJ12:AZ12" si="7">AJ11/AJ10*100</f>
        <v>78.726397869912503</v>
      </c>
      <c r="AK12" s="6">
        <f t="shared" si="7"/>
        <v>75.982988235294115</v>
      </c>
      <c r="AL12" s="6">
        <f t="shared" si="7"/>
        <v>75.976042841037213</v>
      </c>
      <c r="AM12" s="6">
        <f t="shared" si="7"/>
        <v>77.458542089821719</v>
      </c>
      <c r="AN12" s="6">
        <f t="shared" si="7"/>
        <v>77.321614989962072</v>
      </c>
      <c r="AO12" s="6">
        <f t="shared" si="7"/>
        <v>79.487346001252874</v>
      </c>
      <c r="AP12" s="6">
        <f t="shared" si="7"/>
        <v>79.223471107146395</v>
      </c>
      <c r="AQ12" s="6">
        <f t="shared" si="7"/>
        <v>79.358872386163753</v>
      </c>
      <c r="AR12" s="6">
        <f t="shared" si="7"/>
        <v>79.119055056618521</v>
      </c>
      <c r="AS12" s="6">
        <f t="shared" si="7"/>
        <v>78.726863354037263</v>
      </c>
      <c r="AT12" s="6">
        <f t="shared" si="7"/>
        <v>77.922582411564989</v>
      </c>
      <c r="AU12" s="6">
        <f t="shared" si="7"/>
        <v>79.466579292267355</v>
      </c>
      <c r="AV12" s="6">
        <f t="shared" si="7"/>
        <v>81.07995321637425</v>
      </c>
      <c r="AW12" s="6">
        <f t="shared" si="7"/>
        <v>80.178810366480178</v>
      </c>
      <c r="AX12" s="6">
        <f t="shared" si="7"/>
        <v>76.368642361887723</v>
      </c>
      <c r="AY12" s="13">
        <f t="shared" si="7"/>
        <v>75.298332387975037</v>
      </c>
      <c r="AZ12" s="13">
        <f t="shared" si="7"/>
        <v>79.581684567552287</v>
      </c>
    </row>
    <row r="13" spans="1:53"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3">
      <c r="A14" s="1" t="s">
        <v>19</v>
      </c>
      <c r="V14" s="11">
        <v>12164</v>
      </c>
      <c r="W14" s="11">
        <v>13435</v>
      </c>
      <c r="X14" s="11">
        <v>14660</v>
      </c>
      <c r="Y14" s="11">
        <v>15588</v>
      </c>
      <c r="Z14" s="11">
        <v>16488</v>
      </c>
      <c r="AA14" s="11">
        <v>18844</v>
      </c>
      <c r="AB14" s="11">
        <v>21200</v>
      </c>
      <c r="AC14" s="11">
        <v>21432</v>
      </c>
      <c r="AD14" s="11">
        <v>21315</v>
      </c>
      <c r="AE14" s="11">
        <v>19502</v>
      </c>
      <c r="AF14" s="11">
        <v>17851</v>
      </c>
      <c r="AG14" s="6">
        <v>16545</v>
      </c>
      <c r="AH14" s="6">
        <v>16879</v>
      </c>
      <c r="AI14" s="6">
        <v>22075</v>
      </c>
      <c r="AJ14" s="6">
        <v>26088</v>
      </c>
      <c r="AK14" s="6">
        <v>28787</v>
      </c>
      <c r="AL14" s="6">
        <v>30094</v>
      </c>
      <c r="AM14" s="6">
        <v>30863</v>
      </c>
      <c r="AN14" s="6">
        <v>32167</v>
      </c>
      <c r="AO14" s="6">
        <v>34085</v>
      </c>
      <c r="AP14" s="6">
        <v>35549</v>
      </c>
      <c r="AQ14" s="6">
        <v>35099</v>
      </c>
      <c r="AR14" s="6">
        <v>36999</v>
      </c>
      <c r="AS14" s="6">
        <v>3660</v>
      </c>
      <c r="AT14" s="6">
        <v>36004</v>
      </c>
      <c r="AU14" s="6">
        <v>33829</v>
      </c>
      <c r="AV14" s="6">
        <v>34977</v>
      </c>
      <c r="AW14" s="6">
        <v>36608</v>
      </c>
      <c r="AX14" s="6">
        <v>38263</v>
      </c>
      <c r="AY14" s="6">
        <v>38647</v>
      </c>
    </row>
    <row r="15" spans="1:53">
      <c r="A15" s="1" t="s">
        <v>8</v>
      </c>
      <c r="V15" s="11">
        <v>67.5</v>
      </c>
      <c r="W15" s="11">
        <v>70.599999999999994</v>
      </c>
      <c r="X15" s="11">
        <v>72</v>
      </c>
      <c r="Y15" s="11">
        <v>70.899999999999991</v>
      </c>
      <c r="Z15" s="11">
        <v>72.3</v>
      </c>
      <c r="AA15" s="11">
        <v>72.099999999999994</v>
      </c>
      <c r="AB15" s="11">
        <v>72.5</v>
      </c>
      <c r="AC15" s="11">
        <v>73.900000000000006</v>
      </c>
      <c r="AD15" s="11">
        <v>73.3</v>
      </c>
      <c r="AE15" s="11">
        <v>73.599999999999994</v>
      </c>
      <c r="AF15" s="11">
        <v>75.400000000000006</v>
      </c>
      <c r="AG15" s="11">
        <v>76.3</v>
      </c>
      <c r="AH15" s="6">
        <v>75.900000000000006</v>
      </c>
      <c r="AI15" s="6">
        <v>75.099999999999994</v>
      </c>
      <c r="AJ15" s="6">
        <v>70.199999999999989</v>
      </c>
      <c r="AK15" s="6">
        <v>70.3</v>
      </c>
      <c r="AL15" s="6">
        <v>70.099999999999994</v>
      </c>
      <c r="AM15" s="6">
        <v>71.599999999999994</v>
      </c>
      <c r="AN15" s="6">
        <v>72</v>
      </c>
      <c r="AO15" s="6">
        <v>71.8</v>
      </c>
      <c r="AP15" s="6">
        <v>71.599999999999994</v>
      </c>
      <c r="AQ15" s="6">
        <v>72.899999999999991</v>
      </c>
      <c r="AR15" s="6">
        <v>72.2</v>
      </c>
      <c r="AS15" s="6">
        <v>74.099999999999994</v>
      </c>
      <c r="AT15" s="6">
        <v>72.8</v>
      </c>
      <c r="AU15" s="6">
        <v>73.8</v>
      </c>
      <c r="AV15" s="6">
        <v>74.599999999999994</v>
      </c>
      <c r="AW15" s="6">
        <v>74.400000000000006</v>
      </c>
      <c r="AX15" s="6">
        <v>73.8</v>
      </c>
      <c r="AY15" s="6">
        <v>75</v>
      </c>
    </row>
    <row r="16" spans="1:53"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>
      <c r="A19" s="5" t="s">
        <v>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AL19" s="3"/>
      <c r="AO19" s="3"/>
    </row>
    <row r="20" spans="1:51" ht="26">
      <c r="A20" s="5" t="s">
        <v>9</v>
      </c>
      <c r="AL20" s="3"/>
      <c r="AO20" s="3"/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E29" sqref="E29"/>
    </sheetView>
  </sheetViews>
  <sheetFormatPr baseColWidth="10" defaultRowHeight="13" x14ac:dyDescent="0"/>
  <cols>
    <col min="1" max="1" width="10.7109375" style="9"/>
    <col min="2" max="16384" width="10.7109375" style="4"/>
  </cols>
  <sheetData>
    <row r="1" spans="1:4" s="9" customFormat="1">
      <c r="A1" s="14" t="s">
        <v>22</v>
      </c>
    </row>
    <row r="2" spans="1:4" s="9" customFormat="1">
      <c r="B2" s="9" t="s">
        <v>23</v>
      </c>
      <c r="C2" s="9" t="s">
        <v>24</v>
      </c>
    </row>
    <row r="3" spans="1:4" s="9" customFormat="1">
      <c r="B3" s="15" t="s">
        <v>25</v>
      </c>
      <c r="C3" s="15" t="s">
        <v>25</v>
      </c>
      <c r="D3" s="15"/>
    </row>
    <row r="4" spans="1:4" s="9" customFormat="1">
      <c r="A4" s="9">
        <v>1960</v>
      </c>
      <c r="D4" s="15"/>
    </row>
    <row r="5" spans="1:4">
      <c r="A5" s="9">
        <v>1961</v>
      </c>
      <c r="B5" s="4">
        <v>193.7</v>
      </c>
      <c r="C5" s="4">
        <v>3168.1</v>
      </c>
    </row>
    <row r="6" spans="1:4">
      <c r="A6" s="9">
        <v>1962</v>
      </c>
      <c r="B6" s="4">
        <v>197.7</v>
      </c>
      <c r="C6" s="4">
        <v>3305.2</v>
      </c>
    </row>
    <row r="7" spans="1:4">
      <c r="A7" s="9">
        <v>1963</v>
      </c>
      <c r="B7" s="4">
        <v>198.1</v>
      </c>
      <c r="C7" s="4">
        <v>3420.9</v>
      </c>
    </row>
    <row r="8" spans="1:4">
      <c r="A8" s="9">
        <v>1964</v>
      </c>
      <c r="B8" s="4">
        <v>193.6</v>
      </c>
      <c r="C8" s="4">
        <v>3504.6</v>
      </c>
    </row>
    <row r="9" spans="1:4">
      <c r="A9" s="9">
        <v>1965</v>
      </c>
      <c r="B9" s="4">
        <v>196.9</v>
      </c>
      <c r="C9" s="4">
        <v>3597.9</v>
      </c>
    </row>
    <row r="10" spans="1:4">
      <c r="A10" s="9">
        <v>1966</v>
      </c>
      <c r="B10" s="4">
        <v>193.2</v>
      </c>
      <c r="C10" s="4">
        <v>3629.9</v>
      </c>
    </row>
    <row r="11" spans="1:4">
      <c r="A11" s="9">
        <v>1967</v>
      </c>
      <c r="B11" s="4">
        <v>214.1</v>
      </c>
      <c r="C11" s="4">
        <v>3722.8</v>
      </c>
    </row>
    <row r="12" spans="1:4">
      <c r="A12" s="9">
        <v>1968</v>
      </c>
      <c r="B12" s="4">
        <v>239.4</v>
      </c>
      <c r="C12" s="4">
        <v>3802.7</v>
      </c>
    </row>
    <row r="13" spans="1:4">
      <c r="A13" s="9">
        <v>1969</v>
      </c>
      <c r="B13" s="4">
        <v>266.5</v>
      </c>
      <c r="C13" s="4">
        <v>3863.9</v>
      </c>
    </row>
    <row r="14" spans="1:4">
      <c r="A14" s="9">
        <v>1970</v>
      </c>
      <c r="B14" s="4">
        <v>305.8</v>
      </c>
      <c r="C14" s="4">
        <v>3959</v>
      </c>
    </row>
    <row r="15" spans="1:4">
      <c r="A15" s="9">
        <v>1971</v>
      </c>
      <c r="B15" s="4">
        <v>341.8</v>
      </c>
      <c r="C15" s="4">
        <v>4045.3</v>
      </c>
    </row>
    <row r="16" spans="1:4">
      <c r="A16" s="9">
        <v>1972</v>
      </c>
      <c r="B16" s="4">
        <v>368.4</v>
      </c>
      <c r="C16" s="4">
        <v>4123.6000000000004</v>
      </c>
    </row>
    <row r="17" spans="1:3">
      <c r="A17" s="9">
        <v>1973</v>
      </c>
      <c r="B17" s="4">
        <v>394.2</v>
      </c>
      <c r="C17" s="4">
        <v>4241.6000000000004</v>
      </c>
    </row>
    <row r="18" spans="1:3">
      <c r="A18" s="9">
        <v>1974</v>
      </c>
      <c r="B18" s="4">
        <v>414.8</v>
      </c>
      <c r="C18" s="4">
        <v>4377.8</v>
      </c>
    </row>
    <row r="19" spans="1:3">
      <c r="A19" s="9">
        <v>1975</v>
      </c>
      <c r="B19" s="4">
        <v>433.7</v>
      </c>
      <c r="C19" s="4">
        <v>4461.6000000000004</v>
      </c>
    </row>
    <row r="20" spans="1:3">
      <c r="A20" s="9">
        <v>1976</v>
      </c>
      <c r="B20" s="4">
        <v>451.8</v>
      </c>
      <c r="C20" s="4">
        <v>4518</v>
      </c>
    </row>
    <row r="21" spans="1:3">
      <c r="A21" s="9">
        <v>1977</v>
      </c>
      <c r="B21" s="4">
        <v>472.9</v>
      </c>
      <c r="C21" s="4">
        <v>4583.7</v>
      </c>
    </row>
    <row r="22" spans="1:3">
      <c r="A22" s="9">
        <v>1978</v>
      </c>
      <c r="B22" s="4">
        <v>494.4</v>
      </c>
      <c r="C22" s="4">
        <v>4667.5</v>
      </c>
    </row>
    <row r="23" spans="1:3">
      <c r="A23" s="9">
        <v>1979</v>
      </c>
      <c r="B23" s="4">
        <v>546.6</v>
      </c>
      <c r="C23" s="4">
        <v>4929.7</v>
      </c>
    </row>
    <row r="24" spans="1:3">
      <c r="A24" s="9">
        <v>1980</v>
      </c>
      <c r="B24" s="4">
        <v>581</v>
      </c>
      <c r="C24" s="4">
        <v>5063.1000000000004</v>
      </c>
    </row>
    <row r="25" spans="1:3">
      <c r="A25" s="9">
        <v>1981</v>
      </c>
      <c r="B25" s="4">
        <v>605.6</v>
      </c>
      <c r="C25" s="4">
        <v>5183.3999999999996</v>
      </c>
    </row>
    <row r="26" spans="1:3">
      <c r="A26" s="9">
        <v>1982</v>
      </c>
      <c r="B26" s="4">
        <v>609.20000000000005</v>
      </c>
      <c r="C26" s="4">
        <v>5264.5</v>
      </c>
    </row>
    <row r="27" spans="1:3">
      <c r="A27" s="9">
        <v>1983</v>
      </c>
      <c r="B27" s="4">
        <v>606.4</v>
      </c>
      <c r="C27" s="4">
        <v>5345.1</v>
      </c>
    </row>
    <row r="28" spans="1:3">
      <c r="A28" s="9">
        <v>1984</v>
      </c>
      <c r="B28" s="4">
        <v>595</v>
      </c>
      <c r="C28" s="4">
        <v>5397.9</v>
      </c>
    </row>
    <row r="29" spans="1:3">
      <c r="A29" s="9">
        <v>1985</v>
      </c>
      <c r="B29" s="4">
        <v>581</v>
      </c>
      <c r="C29" s="4">
        <v>5456.2</v>
      </c>
    </row>
    <row r="30" spans="1:3">
      <c r="A30" s="9">
        <v>1986</v>
      </c>
      <c r="B30" s="4">
        <v>568.5</v>
      </c>
      <c r="C30" s="4">
        <v>5524.6</v>
      </c>
    </row>
    <row r="31" spans="1:3">
      <c r="A31" s="9">
        <v>1987</v>
      </c>
      <c r="B31" s="4">
        <v>546.6</v>
      </c>
      <c r="C31" s="4">
        <v>5580.5</v>
      </c>
    </row>
    <row r="32" spans="1:3">
      <c r="A32" s="9">
        <v>1988</v>
      </c>
      <c r="B32" s="4">
        <v>517.6</v>
      </c>
      <c r="C32" s="4">
        <v>5627.6</v>
      </c>
    </row>
    <row r="33" spans="1:3">
      <c r="A33" s="9">
        <v>1989</v>
      </c>
      <c r="B33" s="4">
        <v>489.4</v>
      </c>
      <c r="C33" s="4">
        <v>5686.2</v>
      </c>
    </row>
    <row r="34" spans="1:3">
      <c r="A34" s="9">
        <v>1990</v>
      </c>
      <c r="B34" s="4">
        <v>461.9</v>
      </c>
      <c r="C34" s="4">
        <v>5704.5</v>
      </c>
    </row>
    <row r="35" spans="1:3">
      <c r="A35" s="9">
        <v>1991</v>
      </c>
      <c r="B35" s="4">
        <v>455</v>
      </c>
      <c r="C35" s="4">
        <v>5752</v>
      </c>
    </row>
    <row r="36" spans="1:3">
      <c r="A36" s="9">
        <v>1992</v>
      </c>
      <c r="B36" s="4">
        <v>441</v>
      </c>
      <c r="C36" s="4">
        <v>5800.5</v>
      </c>
    </row>
    <row r="37" spans="1:3">
      <c r="A37" s="9">
        <v>1993</v>
      </c>
      <c r="B37" s="4">
        <v>440.6</v>
      </c>
      <c r="C37" s="4">
        <v>5901</v>
      </c>
    </row>
    <row r="38" spans="1:3">
      <c r="A38" s="9">
        <v>1994</v>
      </c>
      <c r="B38" s="4">
        <v>446.1</v>
      </c>
      <c r="C38" s="4">
        <v>6035.4</v>
      </c>
    </row>
    <row r="39" spans="1:3">
      <c r="A39" s="9">
        <v>1995</v>
      </c>
      <c r="B39" s="4">
        <v>450.6</v>
      </c>
      <c r="C39" s="4">
        <v>6156.1</v>
      </c>
    </row>
    <row r="40" spans="1:3">
      <c r="A40" s="9">
        <v>1996</v>
      </c>
      <c r="B40" s="4">
        <v>475.7</v>
      </c>
      <c r="C40" s="4">
        <v>6435.5</v>
      </c>
    </row>
    <row r="41" spans="1:3">
      <c r="A41" s="9">
        <v>1997</v>
      </c>
      <c r="B41" s="4">
        <v>475.8</v>
      </c>
      <c r="C41" s="4">
        <v>6489.3</v>
      </c>
    </row>
    <row r="42" spans="1:3">
      <c r="A42" s="9">
        <v>1998</v>
      </c>
      <c r="B42" s="4">
        <v>471.3</v>
      </c>
      <c r="C42" s="4">
        <v>6543.7</v>
      </c>
    </row>
    <row r="43" spans="1:3">
      <c r="A43" s="9">
        <v>1999</v>
      </c>
      <c r="B43" s="4">
        <v>469.6</v>
      </c>
      <c r="C43" s="4">
        <v>6606.5</v>
      </c>
    </row>
    <row r="44" spans="1:3">
      <c r="A44" s="9">
        <v>2000</v>
      </c>
      <c r="B44" s="4">
        <v>466.8</v>
      </c>
      <c r="C44" s="4">
        <v>6665</v>
      </c>
    </row>
    <row r="45" spans="1:3">
      <c r="A45" s="9">
        <v>2001</v>
      </c>
      <c r="B45" s="4">
        <v>467.9</v>
      </c>
      <c r="C45" s="4">
        <v>6714.3</v>
      </c>
    </row>
    <row r="46" spans="1:3">
      <c r="A46" s="9">
        <v>2002</v>
      </c>
      <c r="B46" s="4">
        <v>455</v>
      </c>
      <c r="C46" s="4">
        <v>6744.1</v>
      </c>
    </row>
    <row r="47" spans="1:3">
      <c r="A47" s="9">
        <v>2003</v>
      </c>
      <c r="B47" s="4">
        <v>451.9</v>
      </c>
      <c r="C47" s="4">
        <v>6730.8</v>
      </c>
    </row>
    <row r="48" spans="1:3">
      <c r="A48" s="9">
        <v>2004</v>
      </c>
      <c r="B48" s="4">
        <v>465.7</v>
      </c>
      <c r="C48" s="4">
        <v>6783.5</v>
      </c>
    </row>
    <row r="49" spans="1:3">
      <c r="A49" s="9">
        <v>2005</v>
      </c>
      <c r="B49" s="4">
        <v>470.9</v>
      </c>
      <c r="C49" s="4">
        <v>6813.2</v>
      </c>
    </row>
    <row r="50" spans="1:3">
      <c r="A50" s="9">
        <v>2006</v>
      </c>
      <c r="B50" s="4">
        <v>472.4</v>
      </c>
      <c r="C50" s="4">
        <v>6857.1</v>
      </c>
    </row>
    <row r="51" spans="1:3">
      <c r="A51" s="9">
        <v>2007</v>
      </c>
      <c r="B51" s="4">
        <v>466.7</v>
      </c>
      <c r="C51" s="4">
        <v>6925.9</v>
      </c>
    </row>
    <row r="52" spans="1:3">
      <c r="A52" s="9">
        <v>2008</v>
      </c>
      <c r="B52" s="4">
        <v>459.8</v>
      </c>
      <c r="C52" s="4">
        <v>6977.7</v>
      </c>
    </row>
    <row r="53" spans="1:3">
      <c r="A53" s="9">
        <v>2009</v>
      </c>
      <c r="B53" s="4">
        <v>458.5</v>
      </c>
      <c r="C53" s="4">
        <v>7003.7</v>
      </c>
    </row>
    <row r="54" spans="1:3">
      <c r="A54" s="9">
        <v>2010</v>
      </c>
      <c r="B54" s="4">
        <v>457.8</v>
      </c>
      <c r="C54" s="4">
        <v>7067.8</v>
      </c>
    </row>
    <row r="62" spans="1:3">
      <c r="A62" s="14" t="s">
        <v>26</v>
      </c>
    </row>
    <row r="84" spans="3:3">
      <c r="C84" s="4">
        <v>0</v>
      </c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opLeftCell="A44" workbookViewId="0">
      <selection activeCell="A58" sqref="A58:A69"/>
    </sheetView>
  </sheetViews>
  <sheetFormatPr baseColWidth="10" defaultRowHeight="13" x14ac:dyDescent="0"/>
  <cols>
    <col min="1" max="1" width="13.28515625" customWidth="1"/>
  </cols>
  <sheetData>
    <row r="1" spans="1:7" s="16" customFormat="1" ht="65">
      <c r="A1" s="16" t="s">
        <v>10</v>
      </c>
      <c r="C1" s="16" t="s">
        <v>27</v>
      </c>
      <c r="D1" s="16" t="s">
        <v>28</v>
      </c>
      <c r="E1" s="16" t="s">
        <v>29</v>
      </c>
      <c r="F1" s="16" t="s">
        <v>30</v>
      </c>
      <c r="G1" s="16" t="s">
        <v>25</v>
      </c>
    </row>
    <row r="2" spans="1:7">
      <c r="B2" s="4">
        <v>1960</v>
      </c>
    </row>
    <row r="3" spans="1:7">
      <c r="B3" s="4">
        <v>1961</v>
      </c>
      <c r="F3" s="4">
        <v>193.7</v>
      </c>
    </row>
    <row r="4" spans="1:7">
      <c r="B4" s="4">
        <v>1962</v>
      </c>
      <c r="F4" s="4">
        <v>197.7</v>
      </c>
    </row>
    <row r="5" spans="1:7">
      <c r="B5" s="4">
        <v>1963</v>
      </c>
      <c r="F5" s="4">
        <v>198.1</v>
      </c>
    </row>
    <row r="6" spans="1:7">
      <c r="B6" s="4">
        <v>1964</v>
      </c>
      <c r="F6" s="4">
        <v>193.6</v>
      </c>
    </row>
    <row r="7" spans="1:7">
      <c r="B7" s="4">
        <v>1965</v>
      </c>
      <c r="F7" s="4">
        <v>196.9</v>
      </c>
    </row>
    <row r="8" spans="1:7">
      <c r="B8" s="4">
        <v>1966</v>
      </c>
      <c r="F8" s="4">
        <v>193.2</v>
      </c>
    </row>
    <row r="9" spans="1:7">
      <c r="B9" s="4">
        <v>1967</v>
      </c>
      <c r="F9" s="4">
        <v>214.1</v>
      </c>
    </row>
    <row r="10" spans="1:7">
      <c r="B10" s="4">
        <v>1968</v>
      </c>
      <c r="F10" s="4">
        <v>239.4</v>
      </c>
    </row>
    <row r="11" spans="1:7">
      <c r="B11" s="4">
        <v>1969</v>
      </c>
      <c r="F11" s="4">
        <v>266.5</v>
      </c>
    </row>
    <row r="12" spans="1:7">
      <c r="B12" s="4">
        <v>1970</v>
      </c>
      <c r="F12" s="4">
        <v>305.8</v>
      </c>
    </row>
    <row r="13" spans="1:7">
      <c r="B13" s="4">
        <v>1971</v>
      </c>
      <c r="F13" s="4">
        <v>341.8</v>
      </c>
    </row>
    <row r="14" spans="1:7">
      <c r="B14" s="4">
        <v>1972</v>
      </c>
      <c r="F14" s="4">
        <v>368.4</v>
      </c>
    </row>
    <row r="15" spans="1:7">
      <c r="B15" s="4">
        <v>1973</v>
      </c>
      <c r="F15" s="4">
        <v>394.2</v>
      </c>
    </row>
    <row r="16" spans="1:7">
      <c r="B16" s="4">
        <v>1974</v>
      </c>
      <c r="F16" s="4">
        <v>414.8</v>
      </c>
    </row>
    <row r="17" spans="2:6">
      <c r="B17" s="4">
        <v>1975</v>
      </c>
      <c r="F17" s="4">
        <v>433.7</v>
      </c>
    </row>
    <row r="18" spans="2:6">
      <c r="B18" s="4">
        <v>1976</v>
      </c>
      <c r="F18" s="4">
        <v>451.8</v>
      </c>
    </row>
    <row r="19" spans="2:6">
      <c r="B19" s="4">
        <v>1977</v>
      </c>
      <c r="F19" s="4">
        <v>472.9</v>
      </c>
    </row>
    <row r="20" spans="2:6">
      <c r="B20" s="4">
        <v>1978</v>
      </c>
      <c r="F20" s="4">
        <v>494.4</v>
      </c>
    </row>
    <row r="21" spans="2:6">
      <c r="B21" s="4">
        <v>1979</v>
      </c>
      <c r="F21" s="4">
        <v>546.6</v>
      </c>
    </row>
    <row r="22" spans="2:6">
      <c r="B22" s="4">
        <v>1980</v>
      </c>
      <c r="F22" s="4">
        <v>581</v>
      </c>
    </row>
    <row r="23" spans="2:6">
      <c r="B23" s="4">
        <v>1981</v>
      </c>
      <c r="F23" s="4">
        <v>605.6</v>
      </c>
    </row>
    <row r="24" spans="2:6">
      <c r="B24" s="4">
        <v>1982</v>
      </c>
      <c r="F24" s="4">
        <v>609.20000000000005</v>
      </c>
    </row>
    <row r="25" spans="2:6">
      <c r="B25" s="4">
        <v>1983</v>
      </c>
      <c r="F25" s="4">
        <v>606.4</v>
      </c>
    </row>
    <row r="26" spans="2:6">
      <c r="B26" s="4">
        <v>1984</v>
      </c>
      <c r="F26" s="4">
        <v>595</v>
      </c>
    </row>
    <row r="27" spans="2:6">
      <c r="B27" s="4">
        <v>1985</v>
      </c>
      <c r="F27" s="4">
        <v>581</v>
      </c>
    </row>
    <row r="28" spans="2:6">
      <c r="B28" s="4">
        <v>1986</v>
      </c>
      <c r="F28" s="4">
        <v>568.5</v>
      </c>
    </row>
    <row r="29" spans="2:6">
      <c r="B29" s="4">
        <v>1987</v>
      </c>
      <c r="F29" s="4">
        <v>546.6</v>
      </c>
    </row>
    <row r="30" spans="2:6">
      <c r="B30" s="4">
        <v>1988</v>
      </c>
      <c r="F30" s="4">
        <v>517.6</v>
      </c>
    </row>
    <row r="31" spans="2:6">
      <c r="B31" s="4">
        <v>1989</v>
      </c>
      <c r="C31">
        <v>44</v>
      </c>
      <c r="F31" s="4">
        <v>489.4</v>
      </c>
    </row>
    <row r="32" spans="2:6">
      <c r="B32" s="4">
        <v>1990</v>
      </c>
      <c r="C32">
        <f>39+40</f>
        <v>79</v>
      </c>
      <c r="F32" s="4">
        <v>461.9</v>
      </c>
    </row>
    <row r="33" spans="2:6">
      <c r="B33" s="4">
        <v>1991</v>
      </c>
      <c r="C33">
        <f>34</f>
        <v>34</v>
      </c>
      <c r="F33" s="4">
        <v>455</v>
      </c>
    </row>
    <row r="34" spans="2:6">
      <c r="B34" s="4">
        <v>1992</v>
      </c>
      <c r="C34">
        <f>57</f>
        <v>57</v>
      </c>
      <c r="F34" s="4">
        <v>441</v>
      </c>
    </row>
    <row r="35" spans="2:6">
      <c r="B35" s="4">
        <v>1993</v>
      </c>
      <c r="C35">
        <v>297</v>
      </c>
      <c r="D35">
        <v>27</v>
      </c>
      <c r="E35">
        <v>27</v>
      </c>
      <c r="F35" s="4">
        <v>440.6</v>
      </c>
    </row>
    <row r="36" spans="2:6">
      <c r="B36" s="4">
        <v>1994</v>
      </c>
      <c r="C36">
        <v>363</v>
      </c>
      <c r="D36">
        <v>38</v>
      </c>
      <c r="E36">
        <v>40</v>
      </c>
      <c r="F36" s="4">
        <v>446.1</v>
      </c>
    </row>
    <row r="37" spans="2:6">
      <c r="B37" s="4">
        <v>1995</v>
      </c>
      <c r="C37">
        <v>327</v>
      </c>
      <c r="D37">
        <f>5+17</f>
        <v>22</v>
      </c>
      <c r="E37">
        <f>32+4</f>
        <v>36</v>
      </c>
      <c r="F37" s="4">
        <v>450.6</v>
      </c>
    </row>
    <row r="38" spans="2:6">
      <c r="B38" s="4">
        <v>1996</v>
      </c>
      <c r="C38">
        <v>489</v>
      </c>
      <c r="D38">
        <v>13</v>
      </c>
      <c r="E38">
        <v>42</v>
      </c>
      <c r="F38" s="4">
        <v>475.7</v>
      </c>
    </row>
    <row r="39" spans="2:6">
      <c r="B39" s="4">
        <v>1997</v>
      </c>
      <c r="C39">
        <v>540</v>
      </c>
      <c r="D39">
        <v>23</v>
      </c>
      <c r="E39">
        <v>46</v>
      </c>
      <c r="F39" s="4">
        <v>475.8</v>
      </c>
    </row>
    <row r="40" spans="2:6">
      <c r="B40" s="4">
        <v>1998</v>
      </c>
      <c r="C40">
        <v>498</v>
      </c>
      <c r="D40">
        <v>35</v>
      </c>
      <c r="E40">
        <v>68</v>
      </c>
      <c r="F40" s="4">
        <v>471.3</v>
      </c>
    </row>
    <row r="41" spans="2:6">
      <c r="B41" s="4">
        <v>1999</v>
      </c>
      <c r="C41">
        <v>485</v>
      </c>
      <c r="D41">
        <v>31</v>
      </c>
      <c r="E41">
        <v>70</v>
      </c>
      <c r="F41" s="4">
        <v>469.6</v>
      </c>
    </row>
    <row r="42" spans="2:6">
      <c r="B42" s="4">
        <v>2000</v>
      </c>
      <c r="C42">
        <v>464</v>
      </c>
      <c r="D42">
        <v>66</v>
      </c>
      <c r="E42">
        <v>70</v>
      </c>
      <c r="F42" s="4">
        <v>466.8</v>
      </c>
    </row>
    <row r="43" spans="2:6">
      <c r="B43" s="4">
        <v>2001</v>
      </c>
      <c r="C43">
        <v>471</v>
      </c>
      <c r="D43">
        <v>53</v>
      </c>
      <c r="E43">
        <v>80</v>
      </c>
      <c r="F43" s="4">
        <v>467.9</v>
      </c>
    </row>
    <row r="44" spans="2:6">
      <c r="B44" s="4">
        <v>2002</v>
      </c>
      <c r="C44">
        <v>451</v>
      </c>
      <c r="D44">
        <v>92</v>
      </c>
      <c r="E44">
        <v>78</v>
      </c>
      <c r="F44" s="4">
        <v>455</v>
      </c>
    </row>
    <row r="45" spans="2:6">
      <c r="B45" s="4">
        <v>2003</v>
      </c>
      <c r="C45">
        <v>480</v>
      </c>
      <c r="D45">
        <v>80</v>
      </c>
      <c r="E45">
        <v>80</v>
      </c>
      <c r="F45" s="4">
        <v>451.9</v>
      </c>
    </row>
    <row r="46" spans="2:6">
      <c r="B46" s="4">
        <v>2004</v>
      </c>
      <c r="C46">
        <v>481</v>
      </c>
      <c r="D46">
        <v>156</v>
      </c>
      <c r="E46">
        <v>82</v>
      </c>
      <c r="F46" s="4">
        <v>465.7</v>
      </c>
    </row>
    <row r="47" spans="2:6">
      <c r="B47" s="4">
        <v>2005</v>
      </c>
      <c r="C47">
        <v>510</v>
      </c>
      <c r="D47">
        <v>70</v>
      </c>
      <c r="E47">
        <v>85</v>
      </c>
      <c r="F47" s="4">
        <v>470.9</v>
      </c>
    </row>
    <row r="48" spans="2:6">
      <c r="B48" s="4">
        <v>2006</v>
      </c>
      <c r="C48">
        <v>509</v>
      </c>
      <c r="D48">
        <v>62</v>
      </c>
      <c r="E48">
        <v>84</v>
      </c>
      <c r="F48" s="4">
        <v>472.4</v>
      </c>
    </row>
    <row r="49" spans="1:6">
      <c r="B49" s="4">
        <v>2007</v>
      </c>
      <c r="C49">
        <v>557</v>
      </c>
      <c r="D49">
        <v>62</v>
      </c>
      <c r="E49">
        <v>97</v>
      </c>
      <c r="F49" s="4">
        <v>466.7</v>
      </c>
    </row>
    <row r="50" spans="1:6">
      <c r="B50" s="4">
        <v>2008</v>
      </c>
      <c r="C50">
        <v>581</v>
      </c>
      <c r="D50">
        <v>92</v>
      </c>
      <c r="E50">
        <v>96</v>
      </c>
      <c r="F50" s="4">
        <v>459.8</v>
      </c>
    </row>
    <row r="51" spans="1:6">
      <c r="B51" s="4">
        <v>2009</v>
      </c>
      <c r="C51">
        <v>613</v>
      </c>
      <c r="D51">
        <v>104</v>
      </c>
      <c r="E51">
        <v>121</v>
      </c>
      <c r="F51" s="4">
        <v>458.5</v>
      </c>
    </row>
    <row r="52" spans="1:6">
      <c r="B52" s="4">
        <v>2010</v>
      </c>
      <c r="C52">
        <f>626+13</f>
        <v>639</v>
      </c>
      <c r="D52">
        <f>20+40</f>
        <v>60</v>
      </c>
      <c r="E52">
        <f>88+15</f>
        <v>103</v>
      </c>
      <c r="F52" s="4">
        <v>457.8</v>
      </c>
    </row>
    <row r="53" spans="1:6">
      <c r="B53" s="4">
        <v>2011</v>
      </c>
    </row>
    <row r="54" spans="1:6">
      <c r="B54" s="4"/>
    </row>
    <row r="55" spans="1:6">
      <c r="B55" s="4"/>
    </row>
    <row r="56" spans="1:6">
      <c r="B56" s="4"/>
    </row>
    <row r="57" spans="1:6">
      <c r="B57" s="4"/>
    </row>
    <row r="58" spans="1:6">
      <c r="B58" s="4"/>
    </row>
    <row r="60" spans="1:6">
      <c r="A60" s="10" t="s">
        <v>4</v>
      </c>
    </row>
    <row r="61" spans="1:6">
      <c r="A61" t="s">
        <v>0</v>
      </c>
    </row>
    <row r="63" spans="1:6" s="10" customFormat="1">
      <c r="A63" s="10" t="s">
        <v>1</v>
      </c>
    </row>
    <row r="64" spans="1:6">
      <c r="A64" t="s">
        <v>2</v>
      </c>
    </row>
    <row r="67" spans="1:2">
      <c r="A67" s="10" t="s">
        <v>3</v>
      </c>
    </row>
    <row r="68" spans="1:2">
      <c r="A68" s="20" t="s">
        <v>7</v>
      </c>
    </row>
    <row r="70" spans="1:2">
      <c r="B70" s="17"/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13" sqref="A13"/>
    </sheetView>
  </sheetViews>
  <sheetFormatPr baseColWidth="10" defaultRowHeight="13" x14ac:dyDescent="0"/>
  <sheetData>
    <row r="1" spans="1:1">
      <c r="A1" s="10" t="s">
        <v>5</v>
      </c>
    </row>
    <row r="3" spans="1:1">
      <c r="A3" s="10" t="s">
        <v>4</v>
      </c>
    </row>
    <row r="4" spans="1:1">
      <c r="A4" t="s">
        <v>0</v>
      </c>
    </row>
    <row r="6" spans="1:1">
      <c r="A6" s="10" t="s">
        <v>1</v>
      </c>
    </row>
    <row r="7" spans="1:1">
      <c r="A7" t="s">
        <v>2</v>
      </c>
    </row>
    <row r="10" spans="1:1" s="11" customFormat="1">
      <c r="A10" s="11" t="s">
        <v>6</v>
      </c>
    </row>
    <row r="11" spans="1:1" s="11" customFormat="1">
      <c r="A11" s="21" t="s">
        <v>7</v>
      </c>
    </row>
  </sheetData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A Level Data</vt:lpstr>
      <vt:lpstr>Population Data</vt:lpstr>
      <vt:lpstr>Graduate Data</vt:lpstr>
      <vt:lpstr>Sheet3</vt:lpstr>
      <vt:lpstr>A Lvls</vt:lpstr>
      <vt:lpstr>Entries &amp; Passes</vt:lpstr>
      <vt:lpstr>Pass Rates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Sheryn</dc:creator>
  <cp:lastModifiedBy>Louise Sheryn</cp:lastModifiedBy>
  <cp:lastPrinted>2009-12-06T22:31:58Z</cp:lastPrinted>
  <dcterms:created xsi:type="dcterms:W3CDTF">2009-11-05T02:49:52Z</dcterms:created>
  <dcterms:modified xsi:type="dcterms:W3CDTF">2011-11-23T23:27:19Z</dcterms:modified>
</cp:coreProperties>
</file>