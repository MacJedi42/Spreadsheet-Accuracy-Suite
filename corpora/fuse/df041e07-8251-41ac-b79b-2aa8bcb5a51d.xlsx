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855" windowWidth="15480" windowHeight="8070"/>
  </bookViews>
  <sheets>
    <sheet name="Nanowire-D20-L20-O1" sheetId="1" r:id="rId1"/>
  </sheets>
  <calcPr calcId="125725"/>
</workbook>
</file>

<file path=xl/calcChain.xml><?xml version="1.0" encoding="utf-8"?>
<calcChain xmlns="http://schemas.openxmlformats.org/spreadsheetml/2006/main">
  <c r="C34" i="1"/>
  <c r="D34"/>
  <c r="E34"/>
  <c r="F34"/>
  <c r="G34"/>
  <c r="B34"/>
  <c r="B2"/>
  <c r="D2"/>
  <c r="E2"/>
  <c r="F2"/>
  <c r="G2"/>
  <c r="B3"/>
  <c r="D3"/>
  <c r="E3"/>
  <c r="F3"/>
  <c r="G3"/>
  <c r="B4"/>
  <c r="D4"/>
  <c r="E4"/>
  <c r="F4"/>
  <c r="G4"/>
  <c r="B5"/>
  <c r="D5"/>
  <c r="E5"/>
  <c r="F5"/>
  <c r="G5"/>
  <c r="B6"/>
  <c r="D6"/>
  <c r="E6"/>
  <c r="F6"/>
  <c r="G6"/>
  <c r="B7"/>
  <c r="D7"/>
  <c r="E7"/>
  <c r="F7"/>
  <c r="G7"/>
  <c r="B8"/>
  <c r="D8"/>
  <c r="E8"/>
  <c r="F8"/>
  <c r="G8"/>
  <c r="B9"/>
  <c r="D9"/>
  <c r="E9"/>
  <c r="F9"/>
  <c r="G9"/>
  <c r="B10"/>
  <c r="D10"/>
  <c r="E10"/>
  <c r="F10"/>
  <c r="G10"/>
  <c r="B11"/>
  <c r="D11"/>
  <c r="E11"/>
  <c r="F11"/>
  <c r="G11"/>
  <c r="B12"/>
  <c r="D12"/>
  <c r="E12"/>
  <c r="F12"/>
  <c r="G12"/>
  <c r="C3"/>
  <c r="C4"/>
  <c r="C5"/>
  <c r="C6"/>
  <c r="C7"/>
  <c r="C8"/>
  <c r="C9"/>
  <c r="C10"/>
  <c r="C11"/>
  <c r="C12"/>
  <c r="C2"/>
</calcChain>
</file>

<file path=xl/sharedStrings.xml><?xml version="1.0" encoding="utf-8"?>
<sst xmlns="http://schemas.openxmlformats.org/spreadsheetml/2006/main" count="36" uniqueCount="25">
  <si>
    <t>Vth(V)</t>
    <phoneticPr fontId="18" type="noConversion"/>
  </si>
  <si>
    <t>Ion/Ioff</t>
    <phoneticPr fontId="18" type="noConversion"/>
  </si>
  <si>
    <t>Diameter</t>
  </si>
  <si>
    <t>10nm</t>
  </si>
  <si>
    <t>Oxide</t>
  </si>
  <si>
    <t>2nm</t>
  </si>
  <si>
    <t>ns</t>
  </si>
  <si>
    <t>nd</t>
  </si>
  <si>
    <t>nch</t>
  </si>
  <si>
    <t>S/D extension</t>
  </si>
  <si>
    <t>Gate-workfunction</t>
  </si>
  <si>
    <t>Lg=30nm</t>
  </si>
  <si>
    <t>Lg=20nm</t>
  </si>
  <si>
    <t>Lg=40nm</t>
  </si>
  <si>
    <t>Lg=60nm</t>
  </si>
  <si>
    <t>Lg=80nm</t>
  </si>
  <si>
    <t>Lg=100nm</t>
  </si>
  <si>
    <t>Icritical=1nA</t>
  </si>
  <si>
    <t>Lg (nm)</t>
  </si>
  <si>
    <t>nFET</t>
  </si>
  <si>
    <t>Subthreshold Swing (mV/dec)</t>
  </si>
  <si>
    <t>Id(A)</t>
  </si>
  <si>
    <t>Id(A/um)</t>
  </si>
  <si>
    <t>Vg(V)                            Lg(nm)</t>
  </si>
  <si>
    <t>DIBL</t>
  </si>
</sst>
</file>

<file path=xl/styles.xml><?xml version="1.0" encoding="utf-8"?>
<styleSheet xmlns="http://schemas.openxmlformats.org/spreadsheetml/2006/main">
  <numFmts count="2">
    <numFmt numFmtId="164" formatCode="0.00000E+00"/>
    <numFmt numFmtId="165" formatCode="0.0000E+00"/>
  </numFmts>
  <fonts count="2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/>
      <right/>
      <top/>
      <bottom/>
      <diagonal style="thin">
        <color auto="1"/>
      </diagonal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0" fillId="0" borderId="0" xfId="0" applyNumberFormat="1">
      <alignment vertical="center"/>
    </xf>
    <xf numFmtId="164" fontId="0" fillId="0" borderId="0" xfId="0" applyNumberFormat="1" applyAlignment="1"/>
    <xf numFmtId="165" fontId="0" fillId="0" borderId="0" xfId="0" applyNumberFormat="1" applyAlignment="1"/>
    <xf numFmtId="0" fontId="0" fillId="0" borderId="0" xfId="0" applyAlignment="1"/>
    <xf numFmtId="0" fontId="19" fillId="0" borderId="0" xfId="0" applyFont="1" applyAlignment="1">
      <alignment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lineMarker"/>
        <c:ser>
          <c:idx val="2"/>
          <c:order val="0"/>
          <c:tx>
            <c:strRef>
              <c:f>'Nanowire-D20-L20-O1'!$B$1</c:f>
              <c:strCache>
                <c:ptCount val="1"/>
                <c:pt idx="0">
                  <c:v>Lg=20nm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'Nanowire-D20-L20-O1'!$C$2:$C$12</c:f>
              <c:numCache>
                <c:formatCode>0.00000E+00</c:formatCode>
                <c:ptCount val="11"/>
                <c:pt idx="0">
                  <c:v>6.0966997700000001E-10</c:v>
                </c:pt>
                <c:pt idx="1">
                  <c:v>4.0264635599999995E-9</c:v>
                </c:pt>
                <c:pt idx="2">
                  <c:v>2.6457064600000001E-8</c:v>
                </c:pt>
                <c:pt idx="3">
                  <c:v>1.7218285600000001E-7</c:v>
                </c:pt>
                <c:pt idx="4">
                  <c:v>1.09487482E-6</c:v>
                </c:pt>
                <c:pt idx="5">
                  <c:v>6.4293028799999999E-6</c:v>
                </c:pt>
                <c:pt idx="6">
                  <c:v>2.9389902800000003E-5</c:v>
                </c:pt>
                <c:pt idx="7">
                  <c:v>8.5276267800000005E-5</c:v>
                </c:pt>
                <c:pt idx="8">
                  <c:v>1.5137961899999998E-4</c:v>
                </c:pt>
                <c:pt idx="9">
                  <c:v>1.96085992E-4</c:v>
                </c:pt>
                <c:pt idx="10">
                  <c:v>2.25319448E-4</c:v>
                </c:pt>
              </c:numCache>
            </c:numRef>
          </c:yVal>
        </c:ser>
        <c:ser>
          <c:idx val="1"/>
          <c:order val="1"/>
          <c:tx>
            <c:strRef>
              <c:f>'Nanowire-D20-L20-O1'!$C$1</c:f>
              <c:strCache>
                <c:ptCount val="1"/>
                <c:pt idx="0">
                  <c:v>Lg=30nm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'Nanowire-D20-L20-O1'!$B$2:$B$12</c:f>
              <c:numCache>
                <c:formatCode>0.00000E+00</c:formatCode>
                <c:ptCount val="11"/>
                <c:pt idx="0">
                  <c:v>1.1103184600000001E-9</c:v>
                </c:pt>
                <c:pt idx="1">
                  <c:v>6.92569698E-9</c:v>
                </c:pt>
                <c:pt idx="2">
                  <c:v>4.2915575799999999E-8</c:v>
                </c:pt>
                <c:pt idx="3">
                  <c:v>2.6276095099999996E-7</c:v>
                </c:pt>
                <c:pt idx="4">
                  <c:v>1.5616098200000001E-6</c:v>
                </c:pt>
                <c:pt idx="5">
                  <c:v>8.4589775900000001E-6</c:v>
                </c:pt>
                <c:pt idx="6">
                  <c:v>3.5314216500000003E-5</c:v>
                </c:pt>
                <c:pt idx="7">
                  <c:v>9.5196533300000001E-5</c:v>
                </c:pt>
                <c:pt idx="8">
                  <c:v>1.5939330999999998E-4</c:v>
                </c:pt>
                <c:pt idx="9">
                  <c:v>2.0096636499999999E-4</c:v>
                </c:pt>
                <c:pt idx="10">
                  <c:v>2.2827418399999999E-4</c:v>
                </c:pt>
              </c:numCache>
            </c:numRef>
          </c:yVal>
        </c:ser>
        <c:ser>
          <c:idx val="3"/>
          <c:order val="2"/>
          <c:tx>
            <c:strRef>
              <c:f>'Nanowire-D20-L20-O1'!$D$1</c:f>
              <c:strCache>
                <c:ptCount val="1"/>
                <c:pt idx="0">
                  <c:v>Lg=40nm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'Nanowire-D20-L20-O1'!$D$2:$D$12</c:f>
              <c:numCache>
                <c:formatCode>0.00000E+00</c:formatCode>
                <c:ptCount val="11"/>
                <c:pt idx="0">
                  <c:v>4.5055916100000002E-10</c:v>
                </c:pt>
                <c:pt idx="1">
                  <c:v>3.0293954499999997E-9</c:v>
                </c:pt>
                <c:pt idx="2">
                  <c:v>2.0282696299999998E-8</c:v>
                </c:pt>
                <c:pt idx="3">
                  <c:v>1.34734746E-7</c:v>
                </c:pt>
                <c:pt idx="4">
                  <c:v>8.7705935499999998E-7</c:v>
                </c:pt>
                <c:pt idx="5">
                  <c:v>5.3218425699999996E-6</c:v>
                </c:pt>
                <c:pt idx="6">
                  <c:v>2.5432190299999998E-5</c:v>
                </c:pt>
                <c:pt idx="7">
                  <c:v>7.6927562299999996E-5</c:v>
                </c:pt>
                <c:pt idx="8">
                  <c:v>1.41831985E-4</c:v>
                </c:pt>
                <c:pt idx="9">
                  <c:v>1.9020910599999998E-4</c:v>
                </c:pt>
                <c:pt idx="10">
                  <c:v>2.2204182400000001E-4</c:v>
                </c:pt>
              </c:numCache>
            </c:numRef>
          </c:yVal>
        </c:ser>
        <c:ser>
          <c:idx val="0"/>
          <c:order val="3"/>
          <c:tx>
            <c:strRef>
              <c:f>'Nanowire-D20-L20-O1'!$F$1</c:f>
              <c:strCache>
                <c:ptCount val="1"/>
                <c:pt idx="0">
                  <c:v>Lg=80nm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'Nanowire-D20-L20-O1'!$D$2:$D$12</c:f>
              <c:numCache>
                <c:formatCode>0.00000E+00</c:formatCode>
                <c:ptCount val="11"/>
                <c:pt idx="0">
                  <c:v>4.5055916100000002E-10</c:v>
                </c:pt>
                <c:pt idx="1">
                  <c:v>3.0293954499999997E-9</c:v>
                </c:pt>
                <c:pt idx="2">
                  <c:v>2.0282696299999998E-8</c:v>
                </c:pt>
                <c:pt idx="3">
                  <c:v>1.34734746E-7</c:v>
                </c:pt>
                <c:pt idx="4">
                  <c:v>8.7705935499999998E-7</c:v>
                </c:pt>
                <c:pt idx="5">
                  <c:v>5.3218425699999996E-6</c:v>
                </c:pt>
                <c:pt idx="6">
                  <c:v>2.5432190299999998E-5</c:v>
                </c:pt>
                <c:pt idx="7">
                  <c:v>7.6927562299999996E-5</c:v>
                </c:pt>
                <c:pt idx="8">
                  <c:v>1.41831985E-4</c:v>
                </c:pt>
                <c:pt idx="9">
                  <c:v>1.9020910599999998E-4</c:v>
                </c:pt>
                <c:pt idx="10">
                  <c:v>2.2204182400000001E-4</c:v>
                </c:pt>
              </c:numCache>
            </c:numRef>
          </c:yVal>
        </c:ser>
        <c:ser>
          <c:idx val="4"/>
          <c:order val="4"/>
          <c:tx>
            <c:strRef>
              <c:f>'Nanowire-D20-L20-O1'!$E$1</c:f>
              <c:strCache>
                <c:ptCount val="1"/>
                <c:pt idx="0">
                  <c:v>Lg=60nm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'Nanowire-D20-L20-O1'!$E$2:$E$12</c:f>
              <c:numCache>
                <c:formatCode>0.00000E+00</c:formatCode>
                <c:ptCount val="11"/>
                <c:pt idx="0">
                  <c:v>3.1420057000000002E-10</c:v>
                </c:pt>
                <c:pt idx="1">
                  <c:v>2.1372475299999998E-9</c:v>
                </c:pt>
                <c:pt idx="2">
                  <c:v>1.4473272300000001E-8</c:v>
                </c:pt>
                <c:pt idx="3">
                  <c:v>9.7389804599999988E-8</c:v>
                </c:pt>
                <c:pt idx="4">
                  <c:v>6.4622678399999991E-7</c:v>
                </c:pt>
                <c:pt idx="5">
                  <c:v>4.0378441700000005E-6</c:v>
                </c:pt>
                <c:pt idx="6">
                  <c:v>2.0220346199999999E-5</c:v>
                </c:pt>
                <c:pt idx="7">
                  <c:v>6.3795555300000001E-5</c:v>
                </c:pt>
                <c:pt idx="8">
                  <c:v>1.2317476499999999E-4</c:v>
                </c:pt>
                <c:pt idx="9">
                  <c:v>1.74618862E-4</c:v>
                </c:pt>
                <c:pt idx="10">
                  <c:v>2.1194550599999999E-4</c:v>
                </c:pt>
              </c:numCache>
            </c:numRef>
          </c:yVal>
        </c:ser>
        <c:ser>
          <c:idx val="5"/>
          <c:order val="5"/>
          <c:tx>
            <c:strRef>
              <c:f>'Nanowire-D20-L20-O1'!$F$1</c:f>
              <c:strCache>
                <c:ptCount val="1"/>
                <c:pt idx="0">
                  <c:v>Lg=80nm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'Nanowire-D20-L20-O1'!$F$2:$F$12</c:f>
              <c:numCache>
                <c:formatCode>0.00000E+00</c:formatCode>
                <c:ptCount val="11"/>
                <c:pt idx="0">
                  <c:v>2.4601762200000003E-10</c:v>
                </c:pt>
                <c:pt idx="1">
                  <c:v>1.6786053E-9</c:v>
                </c:pt>
                <c:pt idx="2">
                  <c:v>1.14268625E-8</c:v>
                </c:pt>
                <c:pt idx="3">
                  <c:v>7.7462441699999999E-8</c:v>
                </c:pt>
                <c:pt idx="4">
                  <c:v>5.1823908199999997E-7</c:v>
                </c:pt>
                <c:pt idx="5">
                  <c:v>3.2788708700000001E-6</c:v>
                </c:pt>
                <c:pt idx="6">
                  <c:v>1.6783133199999999E-5</c:v>
                </c:pt>
                <c:pt idx="7">
                  <c:v>5.4095009300000002E-5</c:v>
                </c:pt>
                <c:pt idx="8">
                  <c:v>1.07524219E-4</c:v>
                </c:pt>
                <c:pt idx="9">
                  <c:v>1.5799351800000001E-4</c:v>
                </c:pt>
                <c:pt idx="10">
                  <c:v>1.9805665199999997E-4</c:v>
                </c:pt>
              </c:numCache>
            </c:numRef>
          </c:yVal>
        </c:ser>
        <c:ser>
          <c:idx val="6"/>
          <c:order val="6"/>
          <c:tx>
            <c:strRef>
              <c:f>'Nanowire-D20-L20-O1'!$G$1</c:f>
              <c:strCache>
                <c:ptCount val="1"/>
                <c:pt idx="0">
                  <c:v>Lg=100nm</c:v>
                </c:pt>
              </c:strCache>
            </c:strRef>
          </c:tx>
          <c:xVal>
            <c:numRef>
              <c:f>'Nanowire-D20-L20-O1'!$A$2:$A$12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'Nanowire-D20-L20-O1'!$G$2:$G$12</c:f>
              <c:numCache>
                <c:formatCode>0.00000E+00</c:formatCode>
                <c:ptCount val="11"/>
                <c:pt idx="0">
                  <c:v>2.0304862100000001E-10</c:v>
                </c:pt>
                <c:pt idx="1">
                  <c:v>1.38943575E-9</c:v>
                </c:pt>
                <c:pt idx="2">
                  <c:v>9.4880159399999998E-9</c:v>
                </c:pt>
                <c:pt idx="3">
                  <c:v>6.4516191599999995E-8</c:v>
                </c:pt>
                <c:pt idx="4">
                  <c:v>4.33185788E-7</c:v>
                </c:pt>
                <c:pt idx="5">
                  <c:v>2.7600373799999999E-6</c:v>
                </c:pt>
                <c:pt idx="6">
                  <c:v>1.4292627599999998E-5</c:v>
                </c:pt>
                <c:pt idx="7">
                  <c:v>4.6753253900000001E-5</c:v>
                </c:pt>
                <c:pt idx="8">
                  <c:v>9.49050985E-5</c:v>
                </c:pt>
                <c:pt idx="9">
                  <c:v>1.42947736E-4</c:v>
                </c:pt>
                <c:pt idx="10">
                  <c:v>1.8348122399999999E-4</c:v>
                </c:pt>
              </c:numCache>
            </c:numRef>
          </c:yVal>
        </c:ser>
        <c:axId val="37595776"/>
        <c:axId val="37618816"/>
      </c:scatterChart>
      <c:valAx>
        <c:axId val="37595776"/>
        <c:scaling>
          <c:orientation val="minMax"/>
          <c:max val="0.5"/>
        </c:scaling>
        <c:axPos val="b"/>
        <c:numFmt formatCode="General" sourceLinked="1"/>
        <c:tickLblPos val="nextTo"/>
        <c:txPr>
          <a:bodyPr/>
          <a:lstStyle/>
          <a:p>
            <a:pPr>
              <a:defRPr lang="ko-KR" sz="1600" b="1"/>
            </a:pPr>
            <a:endParaRPr lang="en-US"/>
          </a:p>
        </c:txPr>
        <c:crossAx val="37618816"/>
        <c:crosses val="autoZero"/>
        <c:crossBetween val="midCat"/>
      </c:valAx>
      <c:valAx>
        <c:axId val="37618816"/>
        <c:scaling>
          <c:logBase val="10"/>
          <c:orientation val="minMax"/>
          <c:max val="1.0000000000000002E-3"/>
        </c:scaling>
        <c:axPos val="l"/>
        <c:majorGridlines/>
        <c:numFmt formatCode="0.0E+00" sourceLinked="0"/>
        <c:tickLblPos val="nextTo"/>
        <c:txPr>
          <a:bodyPr/>
          <a:lstStyle/>
          <a:p>
            <a:pPr>
              <a:defRPr lang="ko-KR" sz="1600" b="1"/>
            </a:pPr>
            <a:endParaRPr lang="en-US"/>
          </a:p>
        </c:txPr>
        <c:crossAx val="3759577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lang="ko-KR" sz="1800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'Nanowire-D20-L20-O1'!$B$32:$G$32</c:f>
              <c:numCache>
                <c:formatCode>General</c:formatCode>
                <c:ptCount val="6"/>
                <c:pt idx="0">
                  <c:v>0.123342460069</c:v>
                </c:pt>
                <c:pt idx="1">
                  <c:v>0.13549447322899999</c:v>
                </c:pt>
                <c:pt idx="2">
                  <c:v>0.14212750101800001</c:v>
                </c:pt>
                <c:pt idx="3">
                  <c:v>0.15069880182500001</c:v>
                </c:pt>
                <c:pt idx="4">
                  <c:v>0.15671817181600001</c:v>
                </c:pt>
                <c:pt idx="5">
                  <c:v>0.16150725613899999</c:v>
                </c:pt>
              </c:numCache>
            </c:numRef>
          </c:yVal>
        </c:ser>
        <c:axId val="77293440"/>
        <c:axId val="77291904"/>
      </c:scatterChart>
      <c:valAx>
        <c:axId val="77293440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 (nm)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77291904"/>
        <c:crosses val="autoZero"/>
        <c:crossBetween val="midCat"/>
        <c:majorUnit val="20"/>
      </c:valAx>
      <c:valAx>
        <c:axId val="772919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Vth (V)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77293440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'Nanowire-D20-L20-O1'!$B$12:$G$12</c:f>
              <c:numCache>
                <c:formatCode>0.00000E+00</c:formatCode>
                <c:ptCount val="6"/>
                <c:pt idx="0">
                  <c:v>2.2827418399999999E-4</c:v>
                </c:pt>
                <c:pt idx="1">
                  <c:v>2.25319448E-4</c:v>
                </c:pt>
                <c:pt idx="2">
                  <c:v>2.2204182400000001E-4</c:v>
                </c:pt>
                <c:pt idx="3">
                  <c:v>2.1194550599999999E-4</c:v>
                </c:pt>
                <c:pt idx="4">
                  <c:v>1.9805665199999997E-4</c:v>
                </c:pt>
                <c:pt idx="5">
                  <c:v>1.8348122399999999E-4</c:v>
                </c:pt>
              </c:numCache>
            </c:numRef>
          </c:yVal>
        </c:ser>
        <c:axId val="111741952"/>
        <c:axId val="111792896"/>
      </c:scatterChart>
      <c:valAx>
        <c:axId val="111741952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1792896"/>
        <c:crosses val="autoZero"/>
        <c:crossBetween val="midCat"/>
        <c:majorUnit val="20"/>
      </c:valAx>
      <c:valAx>
        <c:axId val="1117928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 b="1" i="0" baseline="0"/>
                  <a:t>on-current(A/um)</a:t>
                </a:r>
              </a:p>
            </c:rich>
          </c:tx>
          <c:layout/>
        </c:title>
        <c:numFmt formatCode="0.0E+00" sourceLinked="0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1741952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'Nanowire-D20-L20-O1'!$B$33:$G$33</c:f>
              <c:numCache>
                <c:formatCode>General</c:formatCode>
                <c:ptCount val="6"/>
                <c:pt idx="0">
                  <c:v>63.005532221800003</c:v>
                </c:pt>
                <c:pt idx="1">
                  <c:v>61.070795919600002</c:v>
                </c:pt>
                <c:pt idx="2">
                  <c:v>60.482462745399999</c:v>
                </c:pt>
                <c:pt idx="3">
                  <c:v>60.209696529200002</c:v>
                </c:pt>
                <c:pt idx="4">
                  <c:v>60.0451524323</c:v>
                </c:pt>
                <c:pt idx="5">
                  <c:v>59.950505315000001</c:v>
                </c:pt>
              </c:numCache>
            </c:numRef>
          </c:yVal>
        </c:ser>
        <c:axId val="117062656"/>
        <c:axId val="117109888"/>
      </c:scatterChart>
      <c:valAx>
        <c:axId val="117062656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109888"/>
        <c:crosses val="autoZero"/>
        <c:crossBetween val="midCat"/>
        <c:majorUnit val="20"/>
      </c:valAx>
      <c:valAx>
        <c:axId val="1171098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 b="1" i="0" baseline="0"/>
                  <a:t>Subthreshold Swing(mV/dec)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9.3533464566929125E-2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062656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'Nanowire-D20-L20-O1'!$B$2:$G$2</c:f>
              <c:numCache>
                <c:formatCode>0.00000E+00</c:formatCode>
                <c:ptCount val="6"/>
                <c:pt idx="0">
                  <c:v>1.1103184600000001E-9</c:v>
                </c:pt>
                <c:pt idx="1">
                  <c:v>6.0966997700000001E-10</c:v>
                </c:pt>
                <c:pt idx="2">
                  <c:v>4.5055916100000002E-10</c:v>
                </c:pt>
                <c:pt idx="3">
                  <c:v>3.1420057000000002E-10</c:v>
                </c:pt>
                <c:pt idx="4">
                  <c:v>2.4601762200000003E-10</c:v>
                </c:pt>
                <c:pt idx="5">
                  <c:v>2.0304862100000001E-10</c:v>
                </c:pt>
              </c:numCache>
            </c:numRef>
          </c:yVal>
        </c:ser>
        <c:axId val="117343744"/>
        <c:axId val="117345664"/>
      </c:scatterChart>
      <c:valAx>
        <c:axId val="117343744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345664"/>
        <c:crosses val="autoZero"/>
        <c:crossBetween val="midCat"/>
        <c:majorUnit val="20"/>
      </c:valAx>
      <c:valAx>
        <c:axId val="1173456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 b="1" i="0" baseline="0"/>
                  <a:t>off-current(A/um)</a:t>
                </a:r>
              </a:p>
            </c:rich>
          </c:tx>
          <c:layout/>
        </c:title>
        <c:numFmt formatCode="0.0E+00" sourceLinked="0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343744"/>
        <c:crosses val="autoZero"/>
        <c:crossBetween val="midCat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'Nanowire-D20-L20-O1'!$B$34:$G$34</c:f>
              <c:numCache>
                <c:formatCode>0.00000E+00</c:formatCode>
                <c:ptCount val="6"/>
                <c:pt idx="0">
                  <c:v>205593.43307684892</c:v>
                </c:pt>
                <c:pt idx="1">
                  <c:v>369576.09280471422</c:v>
                </c:pt>
                <c:pt idx="2">
                  <c:v>492813.91484125209</c:v>
                </c:pt>
                <c:pt idx="3">
                  <c:v>674554.81064213207</c:v>
                </c:pt>
                <c:pt idx="4">
                  <c:v>805050.67234573932</c:v>
                </c:pt>
                <c:pt idx="5">
                  <c:v>903631.96310503373</c:v>
                </c:pt>
              </c:numCache>
            </c:numRef>
          </c:yVal>
        </c:ser>
        <c:axId val="117430144"/>
        <c:axId val="117601792"/>
      </c:scatterChart>
      <c:valAx>
        <c:axId val="117430144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601792"/>
        <c:crosses val="autoZero"/>
        <c:crossBetween val="midCat"/>
        <c:majorUnit val="20"/>
      </c:valAx>
      <c:valAx>
        <c:axId val="1176017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 b="1" i="0" baseline="0"/>
                  <a:t>on-off current ratio</a:t>
                </a:r>
              </a:p>
            </c:rich>
          </c:tx>
          <c:layout/>
        </c:title>
        <c:numFmt formatCode="0.0E+00" sourceLinked="0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7430144"/>
        <c:crosses val="autoZero"/>
        <c:crossBetween val="midCat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'Nanowire-D20-L20-O1'!$B$15:$G$15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'Nanowire-D20-L20-O1'!$B$35:$G$35</c:f>
              <c:numCache>
                <c:formatCode>General</c:formatCode>
                <c:ptCount val="6"/>
                <c:pt idx="0">
                  <c:v>22.834920071900001</c:v>
                </c:pt>
                <c:pt idx="1">
                  <c:v>10.584491032900001</c:v>
                </c:pt>
                <c:pt idx="2">
                  <c:v>6.91724104547</c:v>
                </c:pt>
                <c:pt idx="3">
                  <c:v>4.5687083230500001</c:v>
                </c:pt>
                <c:pt idx="4">
                  <c:v>3.6193589099799999</c:v>
                </c:pt>
                <c:pt idx="5">
                  <c:v>3.08066311903</c:v>
                </c:pt>
              </c:numCache>
            </c:numRef>
          </c:yVal>
        </c:ser>
        <c:axId val="126055936"/>
        <c:axId val="126060800"/>
      </c:scatterChart>
      <c:valAx>
        <c:axId val="126055936"/>
        <c:scaling>
          <c:orientation val="minMax"/>
          <c:max val="100"/>
          <c:min val="0"/>
        </c:scaling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Lg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26060800"/>
        <c:crosses val="autoZero"/>
        <c:crossBetween val="midCat"/>
        <c:majorUnit val="20"/>
      </c:valAx>
      <c:valAx>
        <c:axId val="1260608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 b="1" i="0" baseline="0"/>
                  <a:t>DIBL(mV/V)</a:t>
                </a:r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26055936"/>
        <c:crosses val="autoZero"/>
        <c:crossBetween val="midCat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3</xdr:row>
      <xdr:rowOff>86640</xdr:rowOff>
    </xdr:from>
    <xdr:to>
      <xdr:col>19</xdr:col>
      <xdr:colOff>9525</xdr:colOff>
      <xdr:row>27</xdr:row>
      <xdr:rowOff>9525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27</xdr:row>
      <xdr:rowOff>76200</xdr:rowOff>
    </xdr:from>
    <xdr:to>
      <xdr:col>13</xdr:col>
      <xdr:colOff>161925</xdr:colOff>
      <xdr:row>41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58</xdr:row>
      <xdr:rowOff>0</xdr:rowOff>
    </xdr:from>
    <xdr:to>
      <xdr:col>13</xdr:col>
      <xdr:colOff>76200</xdr:colOff>
      <xdr:row>72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266700</xdr:colOff>
      <xdr:row>27</xdr:row>
      <xdr:rowOff>95250</xdr:rowOff>
    </xdr:from>
    <xdr:to>
      <xdr:col>20</xdr:col>
      <xdr:colOff>571500</xdr:colOff>
      <xdr:row>41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257175</xdr:colOff>
      <xdr:row>57</xdr:row>
      <xdr:rowOff>161925</xdr:rowOff>
    </xdr:from>
    <xdr:to>
      <xdr:col>20</xdr:col>
      <xdr:colOff>561975</xdr:colOff>
      <xdr:row>72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73</xdr:row>
      <xdr:rowOff>9525</xdr:rowOff>
    </xdr:from>
    <xdr:to>
      <xdr:col>13</xdr:col>
      <xdr:colOff>76200</xdr:colOff>
      <xdr:row>87</xdr:row>
      <xdr:rowOff>85725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123825</xdr:colOff>
      <xdr:row>42</xdr:row>
      <xdr:rowOff>123825</xdr:rowOff>
    </xdr:from>
    <xdr:to>
      <xdr:col>13</xdr:col>
      <xdr:colOff>180975</xdr:colOff>
      <xdr:row>57</xdr:row>
      <xdr:rowOff>9525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0.23787</cdr:x>
      <cdr:y>0.61645</cdr:y>
    </cdr:from>
    <cdr:to>
      <cdr:x>0.29112</cdr:x>
      <cdr:y>0.69485</cdr:y>
    </cdr:to>
    <cdr:sp macro="" textlink="">
      <cdr:nvSpPr>
        <cdr:cNvPr id="3" name="Straight Arrow Connector 2"/>
        <cdr:cNvSpPr/>
      </cdr:nvSpPr>
      <cdr:spPr>
        <a:xfrm xmlns:a="http://schemas.openxmlformats.org/drawingml/2006/main">
          <a:off x="1914525" y="2770859"/>
          <a:ext cx="428625" cy="352425"/>
        </a:xfrm>
        <a:prstGeom xmlns:a="http://schemas.openxmlformats.org/drawingml/2006/main" prst="straightConnector1">
          <a:avLst/>
        </a:prstGeom>
        <a:ln xmlns:a="http://schemas.openxmlformats.org/drawingml/2006/main" w="2540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0.27692</cdr:x>
      <cdr:y>0.69909</cdr:y>
    </cdr:from>
    <cdr:to>
      <cdr:x>0.46391</cdr:x>
      <cdr:y>0.77962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228850" y="3142335"/>
          <a:ext cx="1504950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2000"/>
            <a:t>Increasing Lg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topLeftCell="H1" zoomScaleNormal="100" workbookViewId="0">
      <selection activeCell="O79" sqref="O79"/>
    </sheetView>
  </sheetViews>
  <sheetFormatPr defaultRowHeight="15"/>
  <cols>
    <col min="1" max="1" width="26.28515625" customWidth="1"/>
    <col min="2" max="2" width="15.42578125" style="2" customWidth="1"/>
    <col min="3" max="3" width="13.85546875" customWidth="1"/>
    <col min="4" max="5" width="13.7109375" customWidth="1"/>
    <col min="6" max="6" width="12.28515625" customWidth="1"/>
    <col min="7" max="8" width="14.140625" customWidth="1"/>
    <col min="9" max="9" width="17" customWidth="1"/>
    <col min="10" max="10" width="23.28515625" customWidth="1"/>
  </cols>
  <sheetData>
    <row r="1" spans="1:7" ht="49.5" customHeight="1">
      <c r="A1" s="9" t="s">
        <v>23</v>
      </c>
      <c r="B1" t="s">
        <v>12</v>
      </c>
      <c r="C1" t="s">
        <v>11</v>
      </c>
      <c r="D1" s="2" t="s">
        <v>13</v>
      </c>
      <c r="E1" t="s">
        <v>14</v>
      </c>
      <c r="F1" s="2" t="s">
        <v>15</v>
      </c>
      <c r="G1" t="s">
        <v>16</v>
      </c>
    </row>
    <row r="2" spans="1:7">
      <c r="A2" s="6">
        <v>0</v>
      </c>
      <c r="B2" s="4">
        <f>C16/0.01</f>
        <v>1.1103184600000001E-9</v>
      </c>
      <c r="C2" s="4">
        <f>B16/0.01</f>
        <v>6.0966997700000001E-10</v>
      </c>
      <c r="D2" s="4">
        <f t="shared" ref="C2:G2" si="0">D16/0.01</f>
        <v>4.5055916100000002E-10</v>
      </c>
      <c r="E2" s="4">
        <f t="shared" si="0"/>
        <v>3.1420057000000002E-10</v>
      </c>
      <c r="F2" s="4">
        <f t="shared" si="0"/>
        <v>2.4601762200000003E-10</v>
      </c>
      <c r="G2" s="4">
        <f t="shared" si="0"/>
        <v>2.0304862100000001E-10</v>
      </c>
    </row>
    <row r="3" spans="1:7">
      <c r="A3" s="6">
        <v>0.05</v>
      </c>
      <c r="B3" s="4">
        <f>C17/0.01</f>
        <v>6.92569698E-9</v>
      </c>
      <c r="C3" s="4">
        <f>B17/0.01</f>
        <v>4.0264635599999995E-9</v>
      </c>
      <c r="D3" s="4">
        <f t="shared" ref="B3:G12" si="1">D17/0.01</f>
        <v>3.0293954499999997E-9</v>
      </c>
      <c r="E3" s="4">
        <f t="shared" si="1"/>
        <v>2.1372475299999998E-9</v>
      </c>
      <c r="F3" s="4">
        <f t="shared" si="1"/>
        <v>1.6786053E-9</v>
      </c>
      <c r="G3" s="4">
        <f t="shared" si="1"/>
        <v>1.38943575E-9</v>
      </c>
    </row>
    <row r="4" spans="1:7">
      <c r="A4" s="6">
        <v>0.1</v>
      </c>
      <c r="B4" s="4">
        <f>C18/0.01</f>
        <v>4.2915575799999999E-8</v>
      </c>
      <c r="C4" s="4">
        <f>B18/0.01</f>
        <v>2.6457064600000001E-8</v>
      </c>
      <c r="D4" s="4">
        <f t="shared" si="1"/>
        <v>2.0282696299999998E-8</v>
      </c>
      <c r="E4" s="4">
        <f t="shared" si="1"/>
        <v>1.4473272300000001E-8</v>
      </c>
      <c r="F4" s="4">
        <f t="shared" si="1"/>
        <v>1.14268625E-8</v>
      </c>
      <c r="G4" s="4">
        <f t="shared" si="1"/>
        <v>9.4880159399999998E-9</v>
      </c>
    </row>
    <row r="5" spans="1:7">
      <c r="A5" s="6">
        <v>0.15</v>
      </c>
      <c r="B5" s="4">
        <f>C19/0.01</f>
        <v>2.6276095099999996E-7</v>
      </c>
      <c r="C5" s="4">
        <f>B19/0.01</f>
        <v>1.7218285600000001E-7</v>
      </c>
      <c r="D5" s="4">
        <f t="shared" si="1"/>
        <v>1.34734746E-7</v>
      </c>
      <c r="E5" s="4">
        <f t="shared" si="1"/>
        <v>9.7389804599999988E-8</v>
      </c>
      <c r="F5" s="4">
        <f t="shared" si="1"/>
        <v>7.7462441699999999E-8</v>
      </c>
      <c r="G5" s="4">
        <f t="shared" si="1"/>
        <v>6.4516191599999995E-8</v>
      </c>
    </row>
    <row r="6" spans="1:7">
      <c r="A6" s="6">
        <v>0.2</v>
      </c>
      <c r="B6" s="4">
        <f>C20/0.01</f>
        <v>1.5616098200000001E-6</v>
      </c>
      <c r="C6" s="4">
        <f>B20/0.01</f>
        <v>1.09487482E-6</v>
      </c>
      <c r="D6" s="4">
        <f t="shared" si="1"/>
        <v>8.7705935499999998E-7</v>
      </c>
      <c r="E6" s="4">
        <f t="shared" si="1"/>
        <v>6.4622678399999991E-7</v>
      </c>
      <c r="F6" s="4">
        <f t="shared" si="1"/>
        <v>5.1823908199999997E-7</v>
      </c>
      <c r="G6" s="4">
        <f t="shared" si="1"/>
        <v>4.33185788E-7</v>
      </c>
    </row>
    <row r="7" spans="1:7">
      <c r="A7" s="6">
        <v>0.25</v>
      </c>
      <c r="B7" s="4">
        <f>C21/0.01</f>
        <v>8.4589775900000001E-6</v>
      </c>
      <c r="C7" s="4">
        <f>B21/0.01</f>
        <v>6.4293028799999999E-6</v>
      </c>
      <c r="D7" s="4">
        <f t="shared" si="1"/>
        <v>5.3218425699999996E-6</v>
      </c>
      <c r="E7" s="4">
        <f t="shared" si="1"/>
        <v>4.0378441700000005E-6</v>
      </c>
      <c r="F7" s="4">
        <f t="shared" si="1"/>
        <v>3.2788708700000001E-6</v>
      </c>
      <c r="G7" s="4">
        <f t="shared" si="1"/>
        <v>2.7600373799999999E-6</v>
      </c>
    </row>
    <row r="8" spans="1:7">
      <c r="A8" s="6">
        <v>0.3</v>
      </c>
      <c r="B8" s="4">
        <f>C22/0.01</f>
        <v>3.5314216500000003E-5</v>
      </c>
      <c r="C8" s="4">
        <f>B22/0.01</f>
        <v>2.9389902800000003E-5</v>
      </c>
      <c r="D8" s="4">
        <f t="shared" si="1"/>
        <v>2.5432190299999998E-5</v>
      </c>
      <c r="E8" s="4">
        <f t="shared" si="1"/>
        <v>2.0220346199999999E-5</v>
      </c>
      <c r="F8" s="4">
        <f t="shared" si="1"/>
        <v>1.6783133199999999E-5</v>
      </c>
      <c r="G8" s="4">
        <f t="shared" si="1"/>
        <v>1.4292627599999998E-5</v>
      </c>
    </row>
    <row r="9" spans="1:7">
      <c r="A9" s="6">
        <v>0.35</v>
      </c>
      <c r="B9" s="4">
        <f>C23/0.01</f>
        <v>9.5196533300000001E-5</v>
      </c>
      <c r="C9" s="4">
        <f>B23/0.01</f>
        <v>8.5276267800000005E-5</v>
      </c>
      <c r="D9" s="4">
        <f t="shared" si="1"/>
        <v>7.6927562299999996E-5</v>
      </c>
      <c r="E9" s="4">
        <f t="shared" si="1"/>
        <v>6.3795555300000001E-5</v>
      </c>
      <c r="F9" s="4">
        <f t="shared" si="1"/>
        <v>5.4095009300000002E-5</v>
      </c>
      <c r="G9" s="4">
        <f t="shared" si="1"/>
        <v>4.6753253900000001E-5</v>
      </c>
    </row>
    <row r="10" spans="1:7">
      <c r="A10" s="6">
        <v>0.4</v>
      </c>
      <c r="B10" s="4">
        <f>C24/0.01</f>
        <v>1.5939330999999998E-4</v>
      </c>
      <c r="C10" s="4">
        <f>B24/0.01</f>
        <v>1.5137961899999998E-4</v>
      </c>
      <c r="D10" s="4">
        <f t="shared" si="1"/>
        <v>1.41831985E-4</v>
      </c>
      <c r="E10" s="4">
        <f t="shared" si="1"/>
        <v>1.2317476499999999E-4</v>
      </c>
      <c r="F10" s="4">
        <f t="shared" si="1"/>
        <v>1.07524219E-4</v>
      </c>
      <c r="G10" s="4">
        <f t="shared" si="1"/>
        <v>9.49050985E-5</v>
      </c>
    </row>
    <row r="11" spans="1:7">
      <c r="A11" s="6">
        <v>0.45</v>
      </c>
      <c r="B11" s="4">
        <f>C25/0.01</f>
        <v>2.0096636499999999E-4</v>
      </c>
      <c r="C11" s="4">
        <f>B25/0.01</f>
        <v>1.96085992E-4</v>
      </c>
      <c r="D11" s="4">
        <f t="shared" si="1"/>
        <v>1.9020910599999998E-4</v>
      </c>
      <c r="E11" s="4">
        <f t="shared" si="1"/>
        <v>1.74618862E-4</v>
      </c>
      <c r="F11" s="4">
        <f t="shared" si="1"/>
        <v>1.5799351800000001E-4</v>
      </c>
      <c r="G11" s="4">
        <f t="shared" si="1"/>
        <v>1.42947736E-4</v>
      </c>
    </row>
    <row r="12" spans="1:7">
      <c r="A12" s="6">
        <v>0.5</v>
      </c>
      <c r="B12" s="4">
        <f>C26/0.01</f>
        <v>2.2827418399999999E-4</v>
      </c>
      <c r="C12" s="4">
        <f>B26/0.01</f>
        <v>2.25319448E-4</v>
      </c>
      <c r="D12" s="4">
        <f t="shared" si="1"/>
        <v>2.2204182400000001E-4</v>
      </c>
      <c r="E12" s="4">
        <f t="shared" si="1"/>
        <v>2.1194550599999999E-4</v>
      </c>
      <c r="F12" s="4">
        <f t="shared" si="1"/>
        <v>1.9805665199999997E-4</v>
      </c>
      <c r="G12" s="4">
        <f t="shared" si="1"/>
        <v>1.8348122399999999E-4</v>
      </c>
    </row>
    <row r="13" spans="1:7"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</row>
    <row r="14" spans="1:7">
      <c r="E14" s="3"/>
    </row>
    <row r="15" spans="1:7">
      <c r="A15" t="s">
        <v>18</v>
      </c>
      <c r="B15">
        <v>20</v>
      </c>
      <c r="C15">
        <v>30</v>
      </c>
      <c r="D15" s="3">
        <v>40</v>
      </c>
      <c r="E15">
        <v>60</v>
      </c>
      <c r="F15" s="3">
        <v>80</v>
      </c>
      <c r="G15">
        <v>100</v>
      </c>
    </row>
    <row r="16" spans="1:7">
      <c r="A16" s="6">
        <v>0</v>
      </c>
      <c r="B16" s="4">
        <v>6.0966997700000001E-12</v>
      </c>
      <c r="C16" s="4">
        <v>1.1103184600000001E-11</v>
      </c>
      <c r="D16" s="4">
        <v>4.5055916100000002E-12</v>
      </c>
      <c r="E16" s="4">
        <v>3.1420057000000002E-12</v>
      </c>
      <c r="F16" s="4">
        <v>2.4601762200000001E-12</v>
      </c>
      <c r="G16" s="4">
        <v>2.0304862100000001E-12</v>
      </c>
    </row>
    <row r="17" spans="1:7">
      <c r="A17" s="6">
        <v>0.05</v>
      </c>
      <c r="B17" s="4">
        <v>4.0264635599999999E-11</v>
      </c>
      <c r="C17" s="4">
        <v>6.9256969800000004E-11</v>
      </c>
      <c r="D17" s="4">
        <v>3.0293954499999998E-11</v>
      </c>
      <c r="E17" s="4">
        <v>2.13724753E-11</v>
      </c>
      <c r="F17" s="4">
        <v>1.6786053E-11</v>
      </c>
      <c r="G17" s="4">
        <v>1.38943575E-11</v>
      </c>
    </row>
    <row r="18" spans="1:7">
      <c r="A18" s="6">
        <v>0.1</v>
      </c>
      <c r="B18" s="4">
        <v>2.6457064600000002E-10</v>
      </c>
      <c r="C18" s="4">
        <v>4.2915575799999999E-10</v>
      </c>
      <c r="D18" s="4">
        <v>2.02826963E-10</v>
      </c>
      <c r="E18" s="4">
        <v>1.44732723E-10</v>
      </c>
      <c r="F18" s="4">
        <v>1.14268625E-10</v>
      </c>
      <c r="G18" s="4">
        <v>9.4880159399999995E-11</v>
      </c>
    </row>
    <row r="19" spans="1:7">
      <c r="A19" s="6">
        <v>0.15</v>
      </c>
      <c r="B19" s="4">
        <v>1.72182856E-9</v>
      </c>
      <c r="C19" s="4">
        <v>2.6276095099999999E-9</v>
      </c>
      <c r="D19" s="4">
        <v>1.34734746E-9</v>
      </c>
      <c r="E19" s="4">
        <v>9.7389804599999994E-10</v>
      </c>
      <c r="F19" s="4">
        <v>7.7462441699999997E-10</v>
      </c>
      <c r="G19" s="4">
        <v>6.4516191599999997E-10</v>
      </c>
    </row>
    <row r="20" spans="1:7">
      <c r="A20" s="6">
        <v>0.2</v>
      </c>
      <c r="B20" s="4">
        <v>1.09487482E-8</v>
      </c>
      <c r="C20" s="4">
        <v>1.5616098200000001E-8</v>
      </c>
      <c r="D20" s="4">
        <v>8.7705935499999999E-9</v>
      </c>
      <c r="E20" s="4">
        <v>6.4622678399999997E-9</v>
      </c>
      <c r="F20" s="4">
        <v>5.1823908199999999E-9</v>
      </c>
      <c r="G20" s="4">
        <v>4.33185788E-9</v>
      </c>
    </row>
    <row r="21" spans="1:7">
      <c r="A21" s="6">
        <v>0.25</v>
      </c>
      <c r="B21" s="4">
        <v>6.4293028800000001E-8</v>
      </c>
      <c r="C21" s="4">
        <v>8.4589775900000005E-8</v>
      </c>
      <c r="D21" s="4">
        <v>5.3218425699999999E-8</v>
      </c>
      <c r="E21" s="4">
        <v>4.0378441700000003E-8</v>
      </c>
      <c r="F21" s="4">
        <v>3.2788708700000001E-8</v>
      </c>
      <c r="G21" s="4">
        <v>2.7600373799999999E-8</v>
      </c>
    </row>
    <row r="22" spans="1:7">
      <c r="A22" s="6">
        <v>0.3</v>
      </c>
      <c r="B22" s="4">
        <v>2.9389902800000003E-7</v>
      </c>
      <c r="C22" s="4">
        <v>3.5314216500000002E-7</v>
      </c>
      <c r="D22" s="4">
        <v>2.5432190299999998E-7</v>
      </c>
      <c r="E22" s="4">
        <v>2.0220346200000001E-7</v>
      </c>
      <c r="F22" s="4">
        <v>1.67831332E-7</v>
      </c>
      <c r="G22" s="4">
        <v>1.4292627599999999E-7</v>
      </c>
    </row>
    <row r="23" spans="1:7">
      <c r="A23" s="6">
        <v>0.35</v>
      </c>
      <c r="B23" s="4">
        <v>8.5276267800000005E-7</v>
      </c>
      <c r="C23" s="4">
        <v>9.5196533299999998E-7</v>
      </c>
      <c r="D23" s="4">
        <v>7.6927562299999997E-7</v>
      </c>
      <c r="E23" s="4">
        <v>6.3795555299999999E-7</v>
      </c>
      <c r="F23" s="4">
        <v>5.40950093E-7</v>
      </c>
      <c r="G23" s="4">
        <v>4.67532539E-7</v>
      </c>
    </row>
    <row r="24" spans="1:7">
      <c r="A24" s="6">
        <v>0.4</v>
      </c>
      <c r="B24" s="4">
        <v>1.51379619E-6</v>
      </c>
      <c r="C24" s="4">
        <v>1.5939330999999999E-6</v>
      </c>
      <c r="D24" s="4">
        <v>1.41831985E-6</v>
      </c>
      <c r="E24" s="4">
        <v>1.2317476500000001E-6</v>
      </c>
      <c r="F24" s="4">
        <v>1.07524219E-6</v>
      </c>
      <c r="G24" s="4">
        <v>9.4905098500000002E-7</v>
      </c>
    </row>
    <row r="25" spans="1:7">
      <c r="A25" s="6">
        <v>0.45</v>
      </c>
      <c r="B25" s="4">
        <v>1.96085992E-6</v>
      </c>
      <c r="C25" s="4">
        <v>2.0096636500000001E-6</v>
      </c>
      <c r="D25" s="4">
        <v>1.9020910599999999E-6</v>
      </c>
      <c r="E25" s="4">
        <v>1.7461886199999999E-6</v>
      </c>
      <c r="F25" s="4">
        <v>1.57993518E-6</v>
      </c>
      <c r="G25" s="4">
        <v>1.4294773600000001E-6</v>
      </c>
    </row>
    <row r="26" spans="1:7">
      <c r="A26" s="6">
        <v>0.5</v>
      </c>
      <c r="B26" s="4">
        <v>2.2531944800000002E-6</v>
      </c>
      <c r="C26" s="4">
        <v>2.2827418399999999E-6</v>
      </c>
      <c r="D26" s="4">
        <v>2.22041824E-6</v>
      </c>
      <c r="E26" s="4">
        <v>2.1194550599999998E-6</v>
      </c>
      <c r="F26" s="4">
        <v>1.9805665199999998E-6</v>
      </c>
      <c r="G26" s="4">
        <v>1.8348122399999999E-6</v>
      </c>
    </row>
    <row r="27" spans="1:7"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</row>
    <row r="28" spans="1:7">
      <c r="B28" s="5"/>
      <c r="C28" s="4"/>
      <c r="E28" s="5"/>
      <c r="F28" s="5"/>
    </row>
    <row r="29" spans="1:7">
      <c r="B29" s="5"/>
      <c r="C29" s="4"/>
      <c r="E29" s="5"/>
      <c r="F29" s="5"/>
    </row>
    <row r="30" spans="1:7">
      <c r="B30" s="5"/>
      <c r="C30" s="4"/>
      <c r="E30" s="5"/>
      <c r="F30" s="5"/>
    </row>
    <row r="31" spans="1:7">
      <c r="A31" t="s">
        <v>17</v>
      </c>
      <c r="B31" s="5"/>
      <c r="C31" s="4"/>
      <c r="E31" s="5"/>
      <c r="F31" s="5"/>
    </row>
    <row r="32" spans="1:7">
      <c r="A32" t="s">
        <v>0</v>
      </c>
      <c r="B32" s="8">
        <v>0.123342460069</v>
      </c>
      <c r="C32" s="8">
        <v>0.13549447322899999</v>
      </c>
      <c r="D32" s="8">
        <v>0.14212750101800001</v>
      </c>
      <c r="E32" s="8">
        <v>0.15069880182500001</v>
      </c>
      <c r="F32" s="8">
        <v>0.15671817181600001</v>
      </c>
      <c r="G32" s="8">
        <v>0.16150725613899999</v>
      </c>
    </row>
    <row r="33" spans="1:7">
      <c r="A33" t="s">
        <v>20</v>
      </c>
      <c r="B33" s="7">
        <v>63.005532221800003</v>
      </c>
      <c r="C33" s="8">
        <v>61.070795919600002</v>
      </c>
      <c r="D33" s="7">
        <v>60.482462745399999</v>
      </c>
      <c r="E33" s="7">
        <v>60.209696529200002</v>
      </c>
      <c r="F33" s="7">
        <v>60.0451524323</v>
      </c>
      <c r="G33" s="7">
        <v>59.950505315000001</v>
      </c>
    </row>
    <row r="34" spans="1:7">
      <c r="A34" t="s">
        <v>1</v>
      </c>
      <c r="B34" s="2">
        <f>B12/B2</f>
        <v>205593.43307684892</v>
      </c>
      <c r="C34" s="2">
        <f t="shared" ref="C34:G34" si="2">C12/C2</f>
        <v>369576.09280471422</v>
      </c>
      <c r="D34" s="2">
        <f t="shared" si="2"/>
        <v>492813.91484125209</v>
      </c>
      <c r="E34" s="2">
        <f t="shared" si="2"/>
        <v>674554.81064213207</v>
      </c>
      <c r="F34" s="2">
        <f t="shared" si="2"/>
        <v>805050.67234573932</v>
      </c>
      <c r="G34" s="2">
        <f t="shared" si="2"/>
        <v>903631.96310503373</v>
      </c>
    </row>
    <row r="35" spans="1:7">
      <c r="A35" t="s">
        <v>24</v>
      </c>
      <c r="B35" s="8">
        <v>22.834920071900001</v>
      </c>
      <c r="C35" s="8">
        <v>10.584491032900001</v>
      </c>
      <c r="D35" s="8">
        <v>6.91724104547</v>
      </c>
      <c r="E35" s="8">
        <v>4.5687083230500001</v>
      </c>
      <c r="F35" s="8">
        <v>3.6193589099799999</v>
      </c>
      <c r="G35" s="8">
        <v>3.08066311903</v>
      </c>
    </row>
    <row r="36" spans="1:7">
      <c r="B36" s="5"/>
      <c r="C36" s="4"/>
    </row>
    <row r="37" spans="1:7">
      <c r="A37" t="s">
        <v>19</v>
      </c>
      <c r="B37" s="5"/>
      <c r="C37" s="4"/>
    </row>
    <row r="38" spans="1:7">
      <c r="A38" t="s">
        <v>2</v>
      </c>
      <c r="B38" t="s">
        <v>3</v>
      </c>
      <c r="C38" s="4"/>
    </row>
    <row r="39" spans="1:7">
      <c r="A39" t="s">
        <v>4</v>
      </c>
      <c r="B39" t="s">
        <v>5</v>
      </c>
      <c r="C39" s="4"/>
    </row>
    <row r="40" spans="1:7">
      <c r="A40" t="s">
        <v>6</v>
      </c>
      <c r="B40" s="1">
        <v>2.0000000000000001E+26</v>
      </c>
      <c r="C40" s="4"/>
    </row>
    <row r="41" spans="1:7">
      <c r="A41" t="s">
        <v>7</v>
      </c>
      <c r="B41" s="1">
        <v>2.0000000000000001E+26</v>
      </c>
      <c r="C41" s="4"/>
    </row>
    <row r="42" spans="1:7">
      <c r="A42" t="s">
        <v>8</v>
      </c>
      <c r="B42" s="1">
        <v>1E+22</v>
      </c>
      <c r="C42" s="4"/>
    </row>
    <row r="43" spans="1:7">
      <c r="A43" t="s">
        <v>9</v>
      </c>
      <c r="B43" t="s">
        <v>3</v>
      </c>
    </row>
    <row r="44" spans="1:7">
      <c r="A44" t="s">
        <v>10</v>
      </c>
      <c r="B44" s="1">
        <v>4.45</v>
      </c>
    </row>
  </sheetData>
  <phoneticPr fontId="18" type="noConversion"/>
  <pageMargins left="0.7" right="0.7" top="0.75" bottom="0.75" header="0.3" footer="0.3"/>
  <pageSetup orientation="portrait" r:id="rId1"/>
  <headerFooter differentOddEven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Nanowire-D20-L20-O1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kim568</dc:creator>
  <cp:lastModifiedBy>kim568</cp:lastModifiedBy>
  <cp:lastPrinted>2008-04-24T18:34:34Z</cp:lastPrinted>
  <dcterms:created xsi:type="dcterms:W3CDTF">2008-03-20T21:38:25Z</dcterms:created>
  <dcterms:modified xsi:type="dcterms:W3CDTF">2008-04-24T20:39:01Z</dcterms:modified>
</cp:coreProperties>
</file>