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dmin\LesLee\AnnualReport\2012-2013\files\filesfinal\"/>
    </mc:Choice>
  </mc:AlternateContent>
  <bookViews>
    <workbookView xWindow="-315" yWindow="360" windowWidth="12120" windowHeight="9060"/>
  </bookViews>
  <sheets>
    <sheet name="Districts" sheetId="1" r:id="rId1"/>
    <sheet name="Charters" sheetId="3" r:id="rId2"/>
  </sheets>
  <definedNames>
    <definedName name="_xlnm.Print_Area" localSheetId="1">Charters!$A$1:$P$99</definedName>
    <definedName name="_xlnm.Print_Area" localSheetId="0">Districts!$A$2:$X$50</definedName>
  </definedNames>
  <calcPr calcId="152511"/>
</workbook>
</file>

<file path=xl/calcChain.xml><?xml version="1.0" encoding="utf-8"?>
<calcChain xmlns="http://schemas.openxmlformats.org/spreadsheetml/2006/main">
  <c r="B99" i="3" l="1"/>
  <c r="C99" i="3"/>
  <c r="D99" i="3"/>
  <c r="B46" i="1" l="1"/>
  <c r="C46" i="1"/>
  <c r="D46" i="1"/>
  <c r="E46" i="1"/>
  <c r="F46" i="1"/>
  <c r="G46" i="1"/>
  <c r="H46" i="1"/>
  <c r="I46" i="1"/>
  <c r="I48" i="1" s="1"/>
  <c r="J46" i="1"/>
  <c r="J48" i="1" s="1"/>
  <c r="K46" i="1"/>
  <c r="N46" i="1"/>
  <c r="N48" i="1" s="1"/>
  <c r="O46" i="1"/>
  <c r="O48" i="1" s="1"/>
  <c r="P46" i="1"/>
  <c r="P48" i="1" s="1"/>
  <c r="Q46" i="1"/>
  <c r="Q48" i="1" s="1"/>
  <c r="R46" i="1"/>
  <c r="R48" i="1" s="1"/>
  <c r="S46" i="1"/>
  <c r="S48" i="1" s="1"/>
  <c r="T46" i="1"/>
  <c r="T48" i="1" s="1"/>
  <c r="K48" i="1"/>
  <c r="O99" i="3" l="1"/>
  <c r="P99" i="3" l="1"/>
  <c r="V46" i="1" l="1"/>
  <c r="V48" i="1" s="1"/>
  <c r="W48" i="1" l="1"/>
  <c r="X48" i="1" s="1"/>
  <c r="W47" i="1"/>
  <c r="X47" i="1" s="1"/>
  <c r="W46" i="1"/>
  <c r="X46" i="1" s="1"/>
  <c r="W9" i="1"/>
  <c r="X9" i="1" s="1"/>
  <c r="W25" i="1"/>
  <c r="X25" i="1" s="1"/>
  <c r="W22" i="1"/>
  <c r="X22" i="1" s="1"/>
  <c r="W32" i="1"/>
  <c r="X32" i="1" s="1"/>
  <c r="W29" i="1"/>
  <c r="X29" i="1" s="1"/>
  <c r="W34" i="1"/>
  <c r="X34" i="1" s="1"/>
  <c r="W45" i="1"/>
  <c r="X45" i="1" s="1"/>
  <c r="W44" i="1"/>
  <c r="X44" i="1" s="1"/>
  <c r="W43" i="1"/>
  <c r="X43" i="1" s="1"/>
  <c r="W42" i="1"/>
  <c r="X42" i="1" s="1"/>
  <c r="W41" i="1"/>
  <c r="X41" i="1" s="1"/>
  <c r="W40" i="1"/>
  <c r="X40" i="1" s="1"/>
  <c r="W39" i="1"/>
  <c r="X39" i="1" s="1"/>
  <c r="W38" i="1"/>
  <c r="X38" i="1" s="1"/>
  <c r="W37" i="1"/>
  <c r="X37" i="1" s="1"/>
  <c r="W36" i="1"/>
  <c r="X36" i="1" s="1"/>
  <c r="W35" i="1"/>
  <c r="X35" i="1" s="1"/>
  <c r="W33" i="1"/>
  <c r="X33" i="1" s="1"/>
  <c r="W31" i="1"/>
  <c r="X31" i="1" s="1"/>
  <c r="W30" i="1"/>
  <c r="X30" i="1" s="1"/>
  <c r="W28" i="1"/>
  <c r="X28" i="1" s="1"/>
  <c r="W27" i="1"/>
  <c r="X27" i="1" s="1"/>
  <c r="W26" i="1"/>
  <c r="X26" i="1" s="1"/>
  <c r="W24" i="1"/>
  <c r="X24" i="1" s="1"/>
  <c r="W23" i="1"/>
  <c r="X23" i="1" s="1"/>
  <c r="W21" i="1"/>
  <c r="X21" i="1" s="1"/>
  <c r="W20" i="1"/>
  <c r="X20" i="1" s="1"/>
  <c r="W19" i="1"/>
  <c r="X19" i="1" s="1"/>
  <c r="W18" i="1"/>
  <c r="X18" i="1" s="1"/>
  <c r="W17" i="1"/>
  <c r="X17" i="1" s="1"/>
  <c r="W16" i="1"/>
  <c r="X16" i="1" s="1"/>
  <c r="W15" i="1"/>
  <c r="X15" i="1" s="1"/>
  <c r="W14" i="1"/>
  <c r="X14" i="1" s="1"/>
  <c r="W13" i="1"/>
  <c r="X13" i="1" s="1"/>
  <c r="W12" i="1"/>
  <c r="X12" i="1" s="1"/>
  <c r="W11" i="1"/>
  <c r="X11" i="1" s="1"/>
  <c r="W10" i="1"/>
  <c r="X10" i="1" s="1"/>
  <c r="W8" i="1"/>
  <c r="X8" i="1" s="1"/>
  <c r="W7" i="1"/>
  <c r="X7" i="1" s="1"/>
  <c r="W6" i="1"/>
  <c r="X6" i="1" s="1"/>
  <c r="W5" i="1"/>
  <c r="X5" i="1" s="1"/>
  <c r="U47" i="1"/>
  <c r="U9" i="1"/>
  <c r="U25" i="1"/>
  <c r="U22" i="1"/>
  <c r="U32" i="1"/>
  <c r="U29" i="1"/>
  <c r="U34" i="1"/>
  <c r="U45" i="1"/>
  <c r="U44" i="1"/>
  <c r="U43" i="1"/>
  <c r="U42" i="1"/>
  <c r="U41" i="1"/>
  <c r="U40" i="1"/>
  <c r="U39" i="1"/>
  <c r="U38" i="1"/>
  <c r="U37" i="1"/>
  <c r="U36" i="1"/>
  <c r="U35" i="1"/>
  <c r="U33" i="1"/>
  <c r="U31" i="1"/>
  <c r="U30" i="1"/>
  <c r="U28" i="1"/>
  <c r="U27" i="1"/>
  <c r="U26" i="1"/>
  <c r="U24" i="1"/>
  <c r="U23" i="1"/>
  <c r="U21" i="1"/>
  <c r="U20" i="1"/>
  <c r="U19" i="1"/>
  <c r="U18" i="1"/>
  <c r="U17" i="1"/>
  <c r="U16" i="1"/>
  <c r="U15" i="1"/>
  <c r="U14" i="1"/>
  <c r="U13" i="1"/>
  <c r="U12" i="1"/>
  <c r="U11" i="1"/>
  <c r="U10" i="1"/>
  <c r="U8" i="1"/>
  <c r="U7" i="1"/>
  <c r="U6" i="1"/>
  <c r="U5" i="1"/>
  <c r="U48" i="1" l="1"/>
  <c r="U46" i="1"/>
  <c r="N99" i="3" l="1"/>
  <c r="E99" i="3" l="1"/>
  <c r="F99" i="3"/>
  <c r="G99" i="3"/>
  <c r="H99" i="3"/>
  <c r="I99" i="3"/>
  <c r="J99" i="3"/>
  <c r="K99" i="3"/>
  <c r="L99" i="3"/>
  <c r="M99" i="3"/>
  <c r="L5" i="1"/>
  <c r="L7" i="1"/>
  <c r="M7" i="1"/>
  <c r="L8" i="1"/>
  <c r="M8" i="1"/>
  <c r="L12" i="1"/>
  <c r="L17" i="1"/>
  <c r="L18" i="1"/>
  <c r="L19" i="1"/>
  <c r="L26" i="1"/>
  <c r="L27" i="1"/>
  <c r="L31" i="1"/>
  <c r="L35" i="1"/>
  <c r="L36" i="1"/>
  <c r="L37" i="1"/>
  <c r="L41" i="1"/>
  <c r="L43" i="1"/>
  <c r="L45" i="1"/>
  <c r="L34" i="1"/>
  <c r="L29" i="1"/>
  <c r="L32" i="1"/>
  <c r="L22" i="1"/>
  <c r="M22" i="1"/>
  <c r="L46" i="1" l="1"/>
  <c r="L48" i="1" s="1"/>
  <c r="M46" i="1"/>
  <c r="M48" i="1" s="1"/>
</calcChain>
</file>

<file path=xl/sharedStrings.xml><?xml version="1.0" encoding="utf-8"?>
<sst xmlns="http://schemas.openxmlformats.org/spreadsheetml/2006/main" count="159" uniqueCount="155">
  <si>
    <t>Growth</t>
  </si>
  <si>
    <t>District</t>
  </si>
  <si>
    <t>Count</t>
  </si>
  <si>
    <t>Percent</t>
  </si>
  <si>
    <t>Alpine</t>
  </si>
  <si>
    <t>Beaver</t>
  </si>
  <si>
    <t>Box Elder</t>
  </si>
  <si>
    <t>Cache</t>
  </si>
  <si>
    <t>Carbon</t>
  </si>
  <si>
    <t>Daggett</t>
  </si>
  <si>
    <t>Davis</t>
  </si>
  <si>
    <t>Duchesne</t>
  </si>
  <si>
    <t>Emery</t>
  </si>
  <si>
    <t>Garfield</t>
  </si>
  <si>
    <t>Grand</t>
  </si>
  <si>
    <t>Granite</t>
  </si>
  <si>
    <t>Iron</t>
  </si>
  <si>
    <t>Jordan</t>
  </si>
  <si>
    <t>Juab</t>
  </si>
  <si>
    <t>Kane</t>
  </si>
  <si>
    <t>Millard</t>
  </si>
  <si>
    <t>Morgan</t>
  </si>
  <si>
    <t>Nebo</t>
  </si>
  <si>
    <t>North Sanpete</t>
  </si>
  <si>
    <t>North Summit</t>
  </si>
  <si>
    <t>Park City</t>
  </si>
  <si>
    <t>Piute</t>
  </si>
  <si>
    <t>Rich</t>
  </si>
  <si>
    <t>San Juan</t>
  </si>
  <si>
    <t>Sevier</t>
  </si>
  <si>
    <t>South Sanpete</t>
  </si>
  <si>
    <t>South Summit</t>
  </si>
  <si>
    <t>Tintic</t>
  </si>
  <si>
    <t>Tooele</t>
  </si>
  <si>
    <t>Uintah</t>
  </si>
  <si>
    <t>Wasatch</t>
  </si>
  <si>
    <t>Washington</t>
  </si>
  <si>
    <t>Wayne</t>
  </si>
  <si>
    <t>Weber</t>
  </si>
  <si>
    <t>Salt Lake</t>
  </si>
  <si>
    <t>Ogden</t>
  </si>
  <si>
    <t>Provo</t>
  </si>
  <si>
    <t>Logan</t>
  </si>
  <si>
    <t>Murray</t>
  </si>
  <si>
    <t>Canyons</t>
  </si>
  <si>
    <t>Projected Growth</t>
  </si>
  <si>
    <t>2012-13</t>
  </si>
  <si>
    <t>2013 to 2014</t>
  </si>
  <si>
    <t>―</t>
  </si>
  <si>
    <t>District Subtotal</t>
  </si>
  <si>
    <t>State Total</t>
  </si>
  <si>
    <t>2014</t>
  </si>
  <si>
    <r>
      <t>Projected</t>
    </r>
    <r>
      <rPr>
        <b/>
        <vertAlign val="superscript"/>
        <sz val="10"/>
        <rFont val="Calibri"/>
        <family val="2"/>
        <scheme val="minor"/>
      </rPr>
      <t>1</t>
    </r>
  </si>
  <si>
    <r>
      <t>Charter Subtotal</t>
    </r>
    <r>
      <rPr>
        <b/>
        <vertAlign val="superscript"/>
        <sz val="10"/>
        <rFont val="Calibri"/>
        <family val="2"/>
        <scheme val="minor"/>
      </rPr>
      <t>2</t>
    </r>
  </si>
  <si>
    <r>
      <rPr>
        <vertAlign val="superscript"/>
        <sz val="10"/>
        <rFont val="Calibri"/>
        <family val="2"/>
        <scheme val="minor"/>
      </rPr>
      <t>1</t>
    </r>
    <r>
      <rPr>
        <sz val="10"/>
        <rFont val="Calibri"/>
        <family val="2"/>
        <scheme val="minor"/>
      </rPr>
      <t>Includes the so-called "fast track" charter schools, which had not been formally approved by the State Board as of publication but are scheduled to open.</t>
    </r>
  </si>
  <si>
    <r>
      <rPr>
        <vertAlign val="super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Enrollment revised for 2006 and 2012 based on figures used by CDC.</t>
    </r>
  </si>
  <si>
    <t xml:space="preserve"> </t>
  </si>
  <si>
    <t xml:space="preserve">Academy For Math Engineering &amp; Science </t>
  </si>
  <si>
    <t>Alianza Academy</t>
  </si>
  <si>
    <t>American Leadership Academy</t>
  </si>
  <si>
    <t>American Preparatory Academy</t>
  </si>
  <si>
    <t>Aristotle Academy</t>
  </si>
  <si>
    <t>Bear River Charter School</t>
  </si>
  <si>
    <t xml:space="preserve">Beehive Science &amp; Technology Academy </t>
  </si>
  <si>
    <t>Canyon Grove Academy</t>
  </si>
  <si>
    <t>Canyon Rim Academy</t>
  </si>
  <si>
    <t>Cba Center</t>
  </si>
  <si>
    <t>Channing Hall</t>
  </si>
  <si>
    <t>City Academy</t>
  </si>
  <si>
    <t>Cs Lewis Academy</t>
  </si>
  <si>
    <t>Davinci Academy</t>
  </si>
  <si>
    <t>Dream Charter</t>
  </si>
  <si>
    <t>Dual Immersion Academy</t>
  </si>
  <si>
    <t>Early Light Academy At Daybreak</t>
  </si>
  <si>
    <t>East Hollywood High</t>
  </si>
  <si>
    <t>Edith Bowen Laboratory School</t>
  </si>
  <si>
    <t>Endeavor Hall</t>
  </si>
  <si>
    <t>Entheos Academy</t>
  </si>
  <si>
    <t>Excelsior Academy</t>
  </si>
  <si>
    <t>Fast Forward High</t>
  </si>
  <si>
    <t>Freedom Academy</t>
  </si>
  <si>
    <t>Gateway Preparatory Academy</t>
  </si>
  <si>
    <t>George Washington Academy</t>
  </si>
  <si>
    <t>Good Foundations Academy</t>
  </si>
  <si>
    <t>Guadalupe School</t>
  </si>
  <si>
    <t>Hawthorn Academy</t>
  </si>
  <si>
    <t>Highmark Charter School</t>
  </si>
  <si>
    <t>Intech Collegiate High School</t>
  </si>
  <si>
    <t>Itineris Early College High</t>
  </si>
  <si>
    <t>Jean Massieu</t>
  </si>
  <si>
    <t>Jefferson Academy</t>
  </si>
  <si>
    <t>John Hancock Charter School</t>
  </si>
  <si>
    <t>Karl G Maeser Preparatory Academy</t>
  </si>
  <si>
    <t>Lakeview Academy</t>
  </si>
  <si>
    <t>Leadership Learning Academy</t>
  </si>
  <si>
    <t>Legacy Preparatory Academy</t>
  </si>
  <si>
    <t>Liberty Academy</t>
  </si>
  <si>
    <t>Lincoln Academy</t>
  </si>
  <si>
    <t>Mana Academy Charter School</t>
  </si>
  <si>
    <t>Maria Montessori Academy</t>
  </si>
  <si>
    <t>Merit College Preparatory Academy</t>
  </si>
  <si>
    <t>Moab Charter School</t>
  </si>
  <si>
    <t>Monticello Academy</t>
  </si>
  <si>
    <t>Mountain Heights Academy</t>
  </si>
  <si>
    <t>Mountainville Academy</t>
  </si>
  <si>
    <t>Navigator Pointe Academy</t>
  </si>
  <si>
    <t xml:space="preserve">No Ut Acad For Math Engineering &amp; Science </t>
  </si>
  <si>
    <t>Noah Webster Academy</t>
  </si>
  <si>
    <t>North Davis Preparatory Academy</t>
  </si>
  <si>
    <t>North Star Academy</t>
  </si>
  <si>
    <t>Odyssey Charter School</t>
  </si>
  <si>
    <t>Ogden Preparatory Academy</t>
  </si>
  <si>
    <t>Open Classroom</t>
  </si>
  <si>
    <t>Open High School Of Utah</t>
  </si>
  <si>
    <t>Pacific Heritage Academy</t>
  </si>
  <si>
    <t>Paradigm High School</t>
  </si>
  <si>
    <t>Park City Learning Center</t>
  </si>
  <si>
    <t>Pinnacle Canyon Academy</t>
  </si>
  <si>
    <t>Pioneer Hs For The Performing Arts</t>
  </si>
  <si>
    <t>Promontory School Of El</t>
  </si>
  <si>
    <t>Providence Hall</t>
  </si>
  <si>
    <t>Quail Run Primary School</t>
  </si>
  <si>
    <t>Quest Academy</t>
  </si>
  <si>
    <t>Ranches Academy</t>
  </si>
  <si>
    <t>Reagan Academy</t>
  </si>
  <si>
    <t>Renaissance Academy</t>
  </si>
  <si>
    <t>Rockwell Charter High School</t>
  </si>
  <si>
    <t>Salt Lake Arts Academy</t>
  </si>
  <si>
    <t>Salt Lake Center For Science Education</t>
  </si>
  <si>
    <t>Salt Lake School For The Performing Arts</t>
  </si>
  <si>
    <t>Soldier Hollow Charter School</t>
  </si>
  <si>
    <t>Spectrum Academy</t>
  </si>
  <si>
    <t>Success Academy</t>
  </si>
  <si>
    <t>Success School</t>
  </si>
  <si>
    <t>Summit Academy</t>
  </si>
  <si>
    <t>Summit Academy High School</t>
  </si>
  <si>
    <t>Syracuse Arts Academy</t>
  </si>
  <si>
    <t>Thomas Edison</t>
  </si>
  <si>
    <t>Timpanogos Academy</t>
  </si>
  <si>
    <t>Tuacahn Hs For The Performing Arts</t>
  </si>
  <si>
    <t>Uintah River High</t>
  </si>
  <si>
    <t>Utah Career Path High School</t>
  </si>
  <si>
    <t>Utah Connections Academy</t>
  </si>
  <si>
    <t>Utah County Academy Of Science (Ucas)</t>
  </si>
  <si>
    <t>Utah International Charter School</t>
  </si>
  <si>
    <t>Utah Virtual Academy</t>
  </si>
  <si>
    <t>Valley Academy</t>
  </si>
  <si>
    <t>Venture Academy</t>
  </si>
  <si>
    <t xml:space="preserve">Vista School </t>
  </si>
  <si>
    <t>Voyage Academy</t>
  </si>
  <si>
    <t>Walden School Of Liberal Arts</t>
  </si>
  <si>
    <t>Wasatch Peak Academy</t>
  </si>
  <si>
    <t>Weber State University Charter Academy</t>
  </si>
  <si>
    <t>Weilenmann School Of Discovery</t>
  </si>
  <si>
    <t>Charter Schools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</si>
</sst>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%"/>
  </numFmts>
  <fonts count="4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12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name val="Calibri"/>
      <family val="2"/>
      <scheme val="minor"/>
    </font>
  </fonts>
  <fills count="5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4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2" fillId="23" borderId="7" applyNumberFormat="0" applyFont="0" applyAlignment="0" applyProtection="0"/>
    <xf numFmtId="0" fontId="17" fillId="20" borderId="8" applyNumberFormat="0" applyAlignment="0" applyProtection="0"/>
    <xf numFmtId="9" fontId="2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" fillId="0" borderId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2" applyNumberFormat="0" applyFill="0" applyAlignment="0" applyProtection="0"/>
    <xf numFmtId="0" fontId="24" fillId="0" borderId="13" applyNumberFormat="0" applyFill="0" applyAlignment="0" applyProtection="0"/>
    <xf numFmtId="0" fontId="25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26" fillId="24" borderId="0" applyNumberFormat="0" applyBorder="0" applyAlignment="0" applyProtection="0"/>
    <xf numFmtId="0" fontId="27" fillId="25" borderId="0" applyNumberFormat="0" applyBorder="0" applyAlignment="0" applyProtection="0"/>
    <xf numFmtId="0" fontId="28" fillId="26" borderId="0" applyNumberFormat="0" applyBorder="0" applyAlignment="0" applyProtection="0"/>
    <xf numFmtId="0" fontId="29" fillId="27" borderId="15" applyNumberFormat="0" applyAlignment="0" applyProtection="0"/>
    <xf numFmtId="0" fontId="30" fillId="28" borderId="16" applyNumberFormat="0" applyAlignment="0" applyProtection="0"/>
    <xf numFmtId="0" fontId="31" fillId="28" borderId="15" applyNumberFormat="0" applyAlignment="0" applyProtection="0"/>
    <xf numFmtId="0" fontId="32" fillId="0" borderId="17" applyNumberFormat="0" applyFill="0" applyAlignment="0" applyProtection="0"/>
    <xf numFmtId="0" fontId="33" fillId="29" borderId="18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20" applyNumberFormat="0" applyFill="0" applyAlignment="0" applyProtection="0"/>
    <xf numFmtId="0" fontId="37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37" fillId="50" borderId="0" applyNumberFormat="0" applyBorder="0" applyAlignment="0" applyProtection="0"/>
    <xf numFmtId="0" fontId="37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37" fillId="54" borderId="0" applyNumberFormat="0" applyBorder="0" applyAlignment="0" applyProtection="0"/>
    <xf numFmtId="0" fontId="1" fillId="0" borderId="0"/>
    <xf numFmtId="0" fontId="1" fillId="30" borderId="19" applyNumberFormat="0" applyFont="0" applyAlignment="0" applyProtection="0"/>
    <xf numFmtId="0" fontId="1" fillId="0" borderId="0"/>
    <xf numFmtId="0" fontId="1" fillId="30" borderId="19" applyNumberFormat="0" applyFont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</cellStyleXfs>
  <cellXfs count="91">
    <xf numFmtId="0" fontId="0" fillId="0" borderId="0" xfId="0"/>
    <xf numFmtId="0" fontId="39" fillId="0" borderId="0" xfId="0" applyFont="1" applyFill="1" applyBorder="1"/>
    <xf numFmtId="0" fontId="40" fillId="0" borderId="0" xfId="0" applyFont="1" applyBorder="1" applyAlignment="1">
      <alignment horizontal="center"/>
    </xf>
    <xf numFmtId="0" fontId="40" fillId="0" borderId="0" xfId="0" applyFont="1" applyFill="1" applyBorder="1" applyAlignment="1">
      <alignment horizontal="center"/>
    </xf>
    <xf numFmtId="0" fontId="40" fillId="0" borderId="0" xfId="0" applyFont="1" applyBorder="1"/>
    <xf numFmtId="0" fontId="40" fillId="0" borderId="0" xfId="0" applyFont="1" applyFill="1" applyBorder="1"/>
    <xf numFmtId="37" fontId="40" fillId="0" borderId="0" xfId="0" applyNumberFormat="1" applyFont="1" applyFill="1" applyBorder="1"/>
    <xf numFmtId="0" fontId="39" fillId="0" borderId="11" xfId="0" applyFont="1" applyFill="1" applyBorder="1" applyAlignment="1">
      <alignment horizontal="left"/>
    </xf>
    <xf numFmtId="49" fontId="39" fillId="0" borderId="11" xfId="0" applyNumberFormat="1" applyFont="1" applyBorder="1" applyAlignment="1">
      <alignment horizontal="center"/>
    </xf>
    <xf numFmtId="49" fontId="39" fillId="0" borderId="11" xfId="0" applyNumberFormat="1" applyFont="1" applyFill="1" applyBorder="1" applyAlignment="1">
      <alignment horizontal="center"/>
    </xf>
    <xf numFmtId="0" fontId="39" fillId="0" borderId="0" xfId="0" applyFont="1" applyBorder="1"/>
    <xf numFmtId="37" fontId="38" fillId="0" borderId="0" xfId="0" applyNumberFormat="1" applyFont="1" applyFill="1" applyBorder="1"/>
    <xf numFmtId="37" fontId="39" fillId="0" borderId="0" xfId="0" applyNumberFormat="1" applyFont="1" applyFill="1" applyBorder="1" applyAlignment="1">
      <alignment horizontal="center"/>
    </xf>
    <xf numFmtId="37" fontId="40" fillId="0" borderId="0" xfId="0" applyNumberFormat="1" applyFont="1" applyFill="1" applyBorder="1" applyAlignment="1">
      <alignment horizontal="center"/>
    </xf>
    <xf numFmtId="49" fontId="39" fillId="0" borderId="0" xfId="0" applyNumberFormat="1" applyFont="1" applyFill="1" applyBorder="1" applyAlignment="1">
      <alignment horizontal="centerContinuous"/>
    </xf>
    <xf numFmtId="49" fontId="39" fillId="0" borderId="0" xfId="0" applyNumberFormat="1" applyFont="1" applyFill="1" applyBorder="1" applyAlignment="1">
      <alignment horizontal="center"/>
    </xf>
    <xf numFmtId="37" fontId="39" fillId="0" borderId="0" xfId="0" applyNumberFormat="1" applyFont="1" applyFill="1" applyBorder="1" applyAlignment="1">
      <alignment horizontal="centerContinuous"/>
    </xf>
    <xf numFmtId="0" fontId="39" fillId="0" borderId="11" xfId="0" applyNumberFormat="1" applyFont="1" applyFill="1" applyBorder="1" applyAlignment="1">
      <alignment horizontal="center"/>
    </xf>
    <xf numFmtId="37" fontId="40" fillId="0" borderId="0" xfId="0" applyNumberFormat="1" applyFont="1" applyFill="1" applyBorder="1" applyProtection="1"/>
    <xf numFmtId="37" fontId="40" fillId="0" borderId="0" xfId="28" applyNumberFormat="1" applyFont="1" applyFill="1" applyBorder="1"/>
    <xf numFmtId="37" fontId="40" fillId="0" borderId="10" xfId="0" applyNumberFormat="1" applyFont="1" applyFill="1" applyBorder="1" applyProtection="1"/>
    <xf numFmtId="37" fontId="40" fillId="0" borderId="10" xfId="28" applyNumberFormat="1" applyFont="1" applyFill="1" applyBorder="1"/>
    <xf numFmtId="37" fontId="40" fillId="0" borderId="11" xfId="0" applyNumberFormat="1" applyFont="1" applyFill="1" applyBorder="1" applyProtection="1"/>
    <xf numFmtId="37" fontId="40" fillId="0" borderId="11" xfId="28" applyNumberFormat="1" applyFont="1" applyFill="1" applyBorder="1"/>
    <xf numFmtId="164" fontId="40" fillId="0" borderId="21" xfId="0" applyNumberFormat="1" applyFont="1" applyFill="1" applyBorder="1"/>
    <xf numFmtId="164" fontId="40" fillId="0" borderId="22" xfId="0" applyNumberFormat="1" applyFont="1" applyFill="1" applyBorder="1"/>
    <xf numFmtId="164" fontId="40" fillId="0" borderId="23" xfId="0" applyNumberFormat="1" applyFont="1" applyFill="1" applyBorder="1"/>
    <xf numFmtId="49" fontId="40" fillId="0" borderId="24" xfId="28" applyNumberFormat="1" applyFont="1" applyFill="1" applyBorder="1"/>
    <xf numFmtId="49" fontId="40" fillId="0" borderId="25" xfId="28" applyNumberFormat="1" applyFont="1" applyFill="1" applyBorder="1"/>
    <xf numFmtId="49" fontId="40" fillId="0" borderId="26" xfId="28" applyNumberFormat="1" applyFont="1" applyFill="1" applyBorder="1"/>
    <xf numFmtId="3" fontId="40" fillId="0" borderId="24" xfId="0" applyNumberFormat="1" applyFont="1" applyFill="1" applyBorder="1" applyAlignment="1">
      <alignment horizontal="right" vertical="top"/>
    </xf>
    <xf numFmtId="3" fontId="40" fillId="0" borderId="25" xfId="0" applyNumberFormat="1" applyFont="1" applyFill="1" applyBorder="1" applyAlignment="1">
      <alignment horizontal="right" vertical="top"/>
    </xf>
    <xf numFmtId="3" fontId="40" fillId="0" borderId="26" xfId="0" applyNumberFormat="1" applyFont="1" applyFill="1" applyBorder="1" applyAlignment="1">
      <alignment horizontal="right" vertical="top"/>
    </xf>
    <xf numFmtId="164" fontId="40" fillId="0" borderId="24" xfId="40" applyNumberFormat="1" applyFont="1" applyFill="1" applyBorder="1"/>
    <xf numFmtId="164" fontId="40" fillId="0" borderId="25" xfId="40" applyNumberFormat="1" applyFont="1" applyFill="1" applyBorder="1"/>
    <xf numFmtId="164" fontId="40" fillId="0" borderId="26" xfId="40" applyNumberFormat="1" applyFont="1" applyFill="1" applyBorder="1"/>
    <xf numFmtId="3" fontId="42" fillId="0" borderId="24" xfId="0" applyNumberFormat="1" applyFont="1" applyFill="1" applyBorder="1" applyAlignment="1">
      <alignment horizontal="right" vertical="top" wrapText="1"/>
    </xf>
    <xf numFmtId="3" fontId="42" fillId="0" borderId="25" xfId="0" applyNumberFormat="1" applyFont="1" applyFill="1" applyBorder="1" applyAlignment="1">
      <alignment horizontal="right" vertical="top" wrapText="1"/>
    </xf>
    <xf numFmtId="3" fontId="42" fillId="0" borderId="26" xfId="0" applyNumberFormat="1" applyFont="1" applyFill="1" applyBorder="1" applyAlignment="1">
      <alignment horizontal="right" vertical="top" wrapText="1"/>
    </xf>
    <xf numFmtId="3" fontId="40" fillId="0" borderId="24" xfId="0" applyNumberFormat="1" applyFont="1" applyFill="1" applyBorder="1"/>
    <xf numFmtId="3" fontId="40" fillId="0" borderId="25" xfId="0" applyNumberFormat="1" applyFont="1" applyFill="1" applyBorder="1"/>
    <xf numFmtId="3" fontId="40" fillId="0" borderId="26" xfId="0" applyNumberFormat="1" applyFont="1" applyFill="1" applyBorder="1"/>
    <xf numFmtId="3" fontId="40" fillId="0" borderId="24" xfId="0" applyNumberFormat="1" applyFont="1" applyFill="1" applyBorder="1" applyAlignment="1">
      <alignment vertical="center"/>
    </xf>
    <xf numFmtId="164" fontId="40" fillId="0" borderId="24" xfId="40" applyNumberFormat="1" applyFont="1" applyFill="1" applyBorder="1" applyAlignment="1">
      <alignment vertical="center"/>
    </xf>
    <xf numFmtId="3" fontId="42" fillId="0" borderId="24" xfId="0" applyNumberFormat="1" applyFont="1" applyFill="1" applyBorder="1" applyAlignment="1">
      <alignment vertical="center" wrapText="1"/>
    </xf>
    <xf numFmtId="164" fontId="40" fillId="0" borderId="21" xfId="0" applyNumberFormat="1" applyFont="1" applyFill="1" applyBorder="1" applyAlignment="1">
      <alignment vertical="center"/>
    </xf>
    <xf numFmtId="3" fontId="40" fillId="0" borderId="25" xfId="0" applyNumberFormat="1" applyFont="1" applyFill="1" applyBorder="1" applyAlignment="1">
      <alignment vertical="center"/>
    </xf>
    <xf numFmtId="164" fontId="40" fillId="0" borderId="25" xfId="40" applyNumberFormat="1" applyFont="1" applyFill="1" applyBorder="1" applyAlignment="1">
      <alignment vertical="center"/>
    </xf>
    <xf numFmtId="3" fontId="42" fillId="0" borderId="25" xfId="0" applyNumberFormat="1" applyFont="1" applyFill="1" applyBorder="1" applyAlignment="1">
      <alignment vertical="center" wrapText="1"/>
    </xf>
    <xf numFmtId="164" fontId="40" fillId="0" borderId="22" xfId="0" applyNumberFormat="1" applyFont="1" applyFill="1" applyBorder="1" applyAlignment="1">
      <alignment vertical="center"/>
    </xf>
    <xf numFmtId="3" fontId="40" fillId="0" borderId="26" xfId="0" applyNumberFormat="1" applyFont="1" applyFill="1" applyBorder="1" applyAlignment="1">
      <alignment vertical="center"/>
    </xf>
    <xf numFmtId="164" fontId="40" fillId="0" borderId="26" xfId="40" applyNumberFormat="1" applyFont="1" applyFill="1" applyBorder="1" applyAlignment="1">
      <alignment vertical="center"/>
    </xf>
    <xf numFmtId="3" fontId="42" fillId="0" borderId="26" xfId="0" applyNumberFormat="1" applyFont="1" applyFill="1" applyBorder="1" applyAlignment="1">
      <alignment vertical="center" wrapText="1"/>
    </xf>
    <xf numFmtId="164" fontId="40" fillId="0" borderId="23" xfId="0" applyNumberFormat="1" applyFont="1" applyFill="1" applyBorder="1" applyAlignment="1">
      <alignment vertical="center"/>
    </xf>
    <xf numFmtId="3" fontId="40" fillId="0" borderId="24" xfId="0" applyNumberFormat="1" applyFont="1" applyFill="1" applyBorder="1" applyProtection="1"/>
    <xf numFmtId="3" fontId="40" fillId="0" borderId="25" xfId="0" applyNumberFormat="1" applyFont="1" applyFill="1" applyBorder="1" applyProtection="1"/>
    <xf numFmtId="3" fontId="40" fillId="0" borderId="26" xfId="0" applyNumberFormat="1" applyFont="1" applyFill="1" applyBorder="1" applyAlignment="1" applyProtection="1">
      <alignment horizontal="right" indent="1"/>
    </xf>
    <xf numFmtId="3" fontId="40" fillId="0" borderId="24" xfId="0" applyNumberFormat="1" applyFont="1" applyFill="1" applyBorder="1" applyAlignment="1" applyProtection="1">
      <alignment vertical="center"/>
    </xf>
    <xf numFmtId="3" fontId="40" fillId="0" borderId="25" xfId="0" applyNumberFormat="1" applyFont="1" applyFill="1" applyBorder="1" applyAlignment="1" applyProtection="1">
      <alignment vertical="center"/>
    </xf>
    <xf numFmtId="3" fontId="40" fillId="0" borderId="26" xfId="0" applyNumberFormat="1" applyFont="1" applyFill="1" applyBorder="1" applyAlignment="1" applyProtection="1">
      <alignment vertical="center"/>
    </xf>
    <xf numFmtId="37" fontId="40" fillId="0" borderId="11" xfId="0" applyNumberFormat="1" applyFont="1" applyFill="1" applyBorder="1"/>
    <xf numFmtId="37" fontId="39" fillId="0" borderId="11" xfId="0" applyNumberFormat="1" applyFont="1" applyFill="1" applyBorder="1"/>
    <xf numFmtId="164" fontId="39" fillId="0" borderId="23" xfId="0" applyNumberFormat="1" applyFont="1" applyFill="1" applyBorder="1"/>
    <xf numFmtId="37" fontId="39" fillId="0" borderId="26" xfId="0" applyNumberFormat="1" applyFont="1" applyFill="1" applyBorder="1" applyAlignment="1"/>
    <xf numFmtId="3" fontId="39" fillId="0" borderId="23" xfId="0" applyNumberFormat="1" applyFont="1" applyFill="1" applyBorder="1"/>
    <xf numFmtId="3" fontId="39" fillId="0" borderId="26" xfId="0" applyNumberFormat="1" applyFont="1" applyFill="1" applyBorder="1"/>
    <xf numFmtId="164" fontId="39" fillId="0" borderId="26" xfId="40" applyNumberFormat="1" applyFont="1" applyFill="1" applyBorder="1"/>
    <xf numFmtId="3" fontId="40" fillId="0" borderId="24" xfId="0" applyNumberFormat="1" applyFont="1" applyBorder="1" applyAlignment="1"/>
    <xf numFmtId="3" fontId="40" fillId="0" borderId="24" xfId="0" applyNumberFormat="1" applyFont="1" applyFill="1" applyBorder="1" applyAlignment="1"/>
    <xf numFmtId="3" fontId="40" fillId="0" borderId="24" xfId="48" applyNumberFormat="1" applyFont="1" applyFill="1" applyBorder="1" applyAlignment="1">
      <alignment vertical="top"/>
    </xf>
    <xf numFmtId="3" fontId="40" fillId="0" borderId="25" xfId="0" applyNumberFormat="1" applyFont="1" applyBorder="1" applyAlignment="1"/>
    <xf numFmtId="3" fontId="40" fillId="0" borderId="25" xfId="0" applyNumberFormat="1" applyFont="1" applyFill="1" applyBorder="1" applyAlignment="1"/>
    <xf numFmtId="3" fontId="40" fillId="0" borderId="25" xfId="48" applyNumberFormat="1" applyFont="1" applyFill="1" applyBorder="1" applyAlignment="1">
      <alignment vertical="top"/>
    </xf>
    <xf numFmtId="3" fontId="40" fillId="0" borderId="26" xfId="0" applyNumberFormat="1" applyFont="1" applyBorder="1" applyAlignment="1"/>
    <xf numFmtId="3" fontId="40" fillId="0" borderId="26" xfId="0" applyNumberFormat="1" applyFont="1" applyFill="1" applyBorder="1" applyAlignment="1"/>
    <xf numFmtId="3" fontId="40" fillId="0" borderId="26" xfId="48" applyNumberFormat="1" applyFont="1" applyFill="1" applyBorder="1" applyAlignment="1">
      <alignment vertical="top"/>
    </xf>
    <xf numFmtId="3" fontId="39" fillId="0" borderId="27" xfId="0" applyNumberFormat="1" applyFont="1" applyBorder="1" applyAlignment="1"/>
    <xf numFmtId="3" fontId="39" fillId="0" borderId="28" xfId="0" applyNumberFormat="1" applyFont="1" applyBorder="1" applyAlignment="1"/>
    <xf numFmtId="3" fontId="39" fillId="0" borderId="28" xfId="0" applyNumberFormat="1" applyFont="1" applyFill="1" applyBorder="1" applyAlignment="1"/>
    <xf numFmtId="3" fontId="39" fillId="0" borderId="29" xfId="0" applyNumberFormat="1" applyFont="1" applyFill="1" applyBorder="1" applyAlignment="1"/>
    <xf numFmtId="37" fontId="39" fillId="0" borderId="30" xfId="0" applyNumberFormat="1" applyFont="1" applyFill="1" applyBorder="1" applyAlignment="1"/>
    <xf numFmtId="37" fontId="39" fillId="0" borderId="28" xfId="0" applyNumberFormat="1" applyFont="1" applyFill="1" applyBorder="1"/>
    <xf numFmtId="3" fontId="39" fillId="0" borderId="30" xfId="0" applyNumberFormat="1" applyFont="1" applyFill="1" applyBorder="1"/>
    <xf numFmtId="164" fontId="39" fillId="0" borderId="30" xfId="40" applyNumberFormat="1" applyFont="1" applyFill="1" applyBorder="1"/>
    <xf numFmtId="3" fontId="39" fillId="0" borderId="29" xfId="0" applyNumberFormat="1" applyFont="1" applyFill="1" applyBorder="1"/>
    <xf numFmtId="164" fontId="39" fillId="0" borderId="29" xfId="0" applyNumberFormat="1" applyFont="1" applyFill="1" applyBorder="1"/>
    <xf numFmtId="37" fontId="40" fillId="0" borderId="28" xfId="0" applyNumberFormat="1" applyFont="1" applyFill="1" applyBorder="1"/>
    <xf numFmtId="2" fontId="40" fillId="0" borderId="24" xfId="48" applyNumberFormat="1" applyFont="1" applyFill="1" applyBorder="1" applyAlignment="1">
      <alignment vertical="top"/>
    </xf>
    <xf numFmtId="2" fontId="40" fillId="0" borderId="25" xfId="48" applyNumberFormat="1" applyFont="1" applyFill="1" applyBorder="1" applyAlignment="1">
      <alignment vertical="top"/>
    </xf>
    <xf numFmtId="2" fontId="40" fillId="0" borderId="26" xfId="48" applyNumberFormat="1" applyFont="1" applyFill="1" applyBorder="1" applyAlignment="1">
      <alignment vertical="top"/>
    </xf>
    <xf numFmtId="0" fontId="39" fillId="0" borderId="30" xfId="0" applyFont="1" applyFill="1" applyBorder="1" applyAlignment="1">
      <alignment horizontal="left"/>
    </xf>
  </cellXfs>
  <cellStyles count="114">
    <cellStyle name="20% - Accent1" xfId="1" builtinId="30" customBuiltin="1"/>
    <cellStyle name="20% - Accent1 2" xfId="102"/>
    <cellStyle name="20% - Accent1 3" xfId="75"/>
    <cellStyle name="20% - Accent2" xfId="2" builtinId="34" customBuiltin="1"/>
    <cellStyle name="20% - Accent2 2" xfId="104"/>
    <cellStyle name="20% - Accent2 3" xfId="79"/>
    <cellStyle name="20% - Accent3" xfId="3" builtinId="38" customBuiltin="1"/>
    <cellStyle name="20% - Accent3 2" xfId="106"/>
    <cellStyle name="20% - Accent3 3" xfId="83"/>
    <cellStyle name="20% - Accent4" xfId="4" builtinId="42" customBuiltin="1"/>
    <cellStyle name="20% - Accent4 2" xfId="108"/>
    <cellStyle name="20% - Accent4 3" xfId="87"/>
    <cellStyle name="20% - Accent5" xfId="5" builtinId="46" customBuiltin="1"/>
    <cellStyle name="20% - Accent5 2" xfId="110"/>
    <cellStyle name="20% - Accent5 3" xfId="91"/>
    <cellStyle name="20% - Accent6" xfId="6" builtinId="50" customBuiltin="1"/>
    <cellStyle name="20% - Accent6 2" xfId="112"/>
    <cellStyle name="20% - Accent6 3" xfId="95"/>
    <cellStyle name="40% - Accent1" xfId="7" builtinId="31" customBuiltin="1"/>
    <cellStyle name="40% - Accent1 2" xfId="103"/>
    <cellStyle name="40% - Accent1 3" xfId="76"/>
    <cellStyle name="40% - Accent2" xfId="8" builtinId="35" customBuiltin="1"/>
    <cellStyle name="40% - Accent2 2" xfId="105"/>
    <cellStyle name="40% - Accent2 3" xfId="80"/>
    <cellStyle name="40% - Accent3" xfId="9" builtinId="39" customBuiltin="1"/>
    <cellStyle name="40% - Accent3 2" xfId="107"/>
    <cellStyle name="40% - Accent3 3" xfId="84"/>
    <cellStyle name="40% - Accent4" xfId="10" builtinId="43" customBuiltin="1"/>
    <cellStyle name="40% - Accent4 2" xfId="109"/>
    <cellStyle name="40% - Accent4 3" xfId="88"/>
    <cellStyle name="40% - Accent5" xfId="11" builtinId="47" customBuiltin="1"/>
    <cellStyle name="40% - Accent5 2" xfId="111"/>
    <cellStyle name="40% - Accent5 3" xfId="92"/>
    <cellStyle name="40% - Accent6" xfId="12" builtinId="51" customBuiltin="1"/>
    <cellStyle name="40% - Accent6 2" xfId="113"/>
    <cellStyle name="40% - Accent6 3" xfId="96"/>
    <cellStyle name="60% - Accent1" xfId="13" builtinId="32" customBuiltin="1"/>
    <cellStyle name="60% - Accent1 2" xfId="77"/>
    <cellStyle name="60% - Accent2" xfId="14" builtinId="36" customBuiltin="1"/>
    <cellStyle name="60% - Accent2 2" xfId="81"/>
    <cellStyle name="60% - Accent3" xfId="15" builtinId="40" customBuiltin="1"/>
    <cellStyle name="60% - Accent3 2" xfId="85"/>
    <cellStyle name="60% - Accent4" xfId="16" builtinId="44" customBuiltin="1"/>
    <cellStyle name="60% - Accent4 2" xfId="89"/>
    <cellStyle name="60% - Accent5" xfId="17" builtinId="48" customBuiltin="1"/>
    <cellStyle name="60% - Accent5 2" xfId="93"/>
    <cellStyle name="60% - Accent6" xfId="18" builtinId="52" customBuiltin="1"/>
    <cellStyle name="60% - Accent6 2" xfId="97"/>
    <cellStyle name="Accent1" xfId="19" builtinId="29" customBuiltin="1"/>
    <cellStyle name="Accent1 2" xfId="74"/>
    <cellStyle name="Accent2" xfId="20" builtinId="33" customBuiltin="1"/>
    <cellStyle name="Accent2 2" xfId="78"/>
    <cellStyle name="Accent3" xfId="21" builtinId="37" customBuiltin="1"/>
    <cellStyle name="Accent3 2" xfId="82"/>
    <cellStyle name="Accent4" xfId="22" builtinId="41" customBuiltin="1"/>
    <cellStyle name="Accent4 2" xfId="86"/>
    <cellStyle name="Accent5" xfId="23" builtinId="45" customBuiltin="1"/>
    <cellStyle name="Accent5 2" xfId="90"/>
    <cellStyle name="Accent6" xfId="24" builtinId="49" customBuiltin="1"/>
    <cellStyle name="Accent6 2" xfId="94"/>
    <cellStyle name="Bad" xfId="25" builtinId="27" customBuiltin="1"/>
    <cellStyle name="Bad 2" xfId="64"/>
    <cellStyle name="Calculation" xfId="26" builtinId="22" customBuiltin="1"/>
    <cellStyle name="Calculation 2" xfId="68"/>
    <cellStyle name="Check Cell" xfId="27" builtinId="23" customBuiltin="1"/>
    <cellStyle name="Check Cell 2" xfId="70"/>
    <cellStyle name="Comma" xfId="28" builtinId="3"/>
    <cellStyle name="Comma 2" xfId="45"/>
    <cellStyle name="Comma 2 2" xfId="53"/>
    <cellStyle name="Comma 3" xfId="52"/>
    <cellStyle name="Explanatory Text" xfId="29" builtinId="53" customBuiltin="1"/>
    <cellStyle name="Explanatory Text 2" xfId="72"/>
    <cellStyle name="Good" xfId="30" builtinId="26" customBuiltin="1"/>
    <cellStyle name="Good 2" xfId="63"/>
    <cellStyle name="Heading 1" xfId="31" builtinId="16" customBuiltin="1"/>
    <cellStyle name="Heading 1 2" xfId="59"/>
    <cellStyle name="Heading 2" xfId="32" builtinId="17" customBuiltin="1"/>
    <cellStyle name="Heading 2 2" xfId="60"/>
    <cellStyle name="Heading 3" xfId="33" builtinId="18" customBuiltin="1"/>
    <cellStyle name="Heading 3 2" xfId="61"/>
    <cellStyle name="Heading 4" xfId="34" builtinId="19" customBuiltin="1"/>
    <cellStyle name="Heading 4 2" xfId="62"/>
    <cellStyle name="Hyperlink 2" xfId="46"/>
    <cellStyle name="Input" xfId="35" builtinId="20" customBuiltin="1"/>
    <cellStyle name="Input 2" xfId="66"/>
    <cellStyle name="Linked Cell" xfId="36" builtinId="24" customBuiltin="1"/>
    <cellStyle name="Linked Cell 2" xfId="69"/>
    <cellStyle name="Neutral" xfId="37" builtinId="28" customBuiltin="1"/>
    <cellStyle name="Neutral 2" xfId="65"/>
    <cellStyle name="Normal" xfId="0" builtinId="0"/>
    <cellStyle name="Normal 2" xfId="47"/>
    <cellStyle name="Normal 2 2" xfId="54"/>
    <cellStyle name="Normal 3" xfId="48"/>
    <cellStyle name="Normal 3 2" xfId="55"/>
    <cellStyle name="Normal 4" xfId="51"/>
    <cellStyle name="Normal 5" xfId="50"/>
    <cellStyle name="Normal 6" xfId="98"/>
    <cellStyle name="Normal 7" xfId="100"/>
    <cellStyle name="Normal 8" xfId="44"/>
    <cellStyle name="Note" xfId="38" builtinId="10" customBuiltin="1"/>
    <cellStyle name="Note 2" xfId="99"/>
    <cellStyle name="Note 3" xfId="101"/>
    <cellStyle name="Output" xfId="39" builtinId="21" customBuiltin="1"/>
    <cellStyle name="Output 2" xfId="67"/>
    <cellStyle name="Percent" xfId="40" builtinId="5"/>
    <cellStyle name="Percent 2" xfId="49"/>
    <cellStyle name="Percent 2 2" xfId="57"/>
    <cellStyle name="Percent 3" xfId="56"/>
    <cellStyle name="Title" xfId="41" builtinId="15" customBuiltin="1"/>
    <cellStyle name="Title 2" xfId="58"/>
    <cellStyle name="Total" xfId="42" builtinId="25" customBuiltin="1"/>
    <cellStyle name="Total 2" xfId="73"/>
    <cellStyle name="Warning Text" xfId="43" builtinId="11" customBuiltin="1"/>
    <cellStyle name="Warning Text 2" xfId="7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X50"/>
  <sheetViews>
    <sheetView tabSelected="1" view="pageLayout" zoomScaleNormal="106" workbookViewId="0">
      <selection activeCell="A48" sqref="A48"/>
    </sheetView>
  </sheetViews>
  <sheetFormatPr defaultColWidth="9.140625" defaultRowHeight="12.75" x14ac:dyDescent="0.2"/>
  <cols>
    <col min="1" max="1" width="16.85546875" style="6" customWidth="1"/>
    <col min="2" max="9" width="9.140625" style="6" hidden="1" customWidth="1"/>
    <col min="10" max="10" width="11.5703125" style="6" hidden="1" customWidth="1"/>
    <col min="11" max="11" width="11.85546875" style="6" hidden="1" customWidth="1"/>
    <col min="12" max="24" width="10.42578125" style="6" customWidth="1"/>
    <col min="25" max="16384" width="9.140625" style="6"/>
  </cols>
  <sheetData>
    <row r="2" spans="1:24" ht="12.6" customHeight="1" x14ac:dyDescent="0.2">
      <c r="O2" s="12"/>
      <c r="P2" s="12"/>
      <c r="Q2" s="12"/>
      <c r="R2" s="12"/>
      <c r="S2" s="12"/>
      <c r="T2" s="12"/>
      <c r="U2" s="12"/>
      <c r="V2" s="13"/>
      <c r="W2" s="14" t="s">
        <v>45</v>
      </c>
      <c r="X2" s="14"/>
    </row>
    <row r="3" spans="1:24" ht="12.6" customHeight="1" x14ac:dyDescent="0.2">
      <c r="N3" s="12"/>
      <c r="O3" s="13"/>
      <c r="P3" s="13"/>
      <c r="Q3" s="13"/>
      <c r="R3" s="13"/>
      <c r="S3" s="13"/>
      <c r="T3" s="13"/>
      <c r="U3" s="12" t="s">
        <v>0</v>
      </c>
      <c r="V3" s="15" t="s">
        <v>52</v>
      </c>
      <c r="W3" s="16" t="s">
        <v>47</v>
      </c>
      <c r="X3" s="16"/>
    </row>
    <row r="4" spans="1:24" s="15" customFormat="1" ht="12.6" customHeight="1" x14ac:dyDescent="0.2">
      <c r="A4" s="9" t="s">
        <v>1</v>
      </c>
      <c r="B4" s="9">
        <v>1992</v>
      </c>
      <c r="C4" s="9">
        <v>1993</v>
      </c>
      <c r="D4" s="9">
        <v>1994</v>
      </c>
      <c r="E4" s="9">
        <v>1995</v>
      </c>
      <c r="F4" s="9">
        <v>1996</v>
      </c>
      <c r="G4" s="9">
        <v>1997</v>
      </c>
      <c r="H4" s="9">
        <v>1998</v>
      </c>
      <c r="I4" s="9">
        <v>1999</v>
      </c>
      <c r="J4" s="9">
        <v>2000</v>
      </c>
      <c r="K4" s="9">
        <v>2001</v>
      </c>
      <c r="L4" s="9">
        <v>2005</v>
      </c>
      <c r="M4" s="17">
        <v>2006</v>
      </c>
      <c r="N4" s="17">
        <v>2007</v>
      </c>
      <c r="O4" s="17">
        <v>2008</v>
      </c>
      <c r="P4" s="17">
        <v>2009</v>
      </c>
      <c r="Q4" s="17">
        <v>2010</v>
      </c>
      <c r="R4" s="17">
        <v>2011</v>
      </c>
      <c r="S4" s="17">
        <v>2012</v>
      </c>
      <c r="T4" s="17">
        <v>2013</v>
      </c>
      <c r="U4" s="17" t="s">
        <v>46</v>
      </c>
      <c r="V4" s="9" t="s">
        <v>51</v>
      </c>
      <c r="W4" s="17" t="s">
        <v>2</v>
      </c>
      <c r="X4" s="17" t="s">
        <v>3</v>
      </c>
    </row>
    <row r="5" spans="1:24" ht="12.6" customHeight="1" x14ac:dyDescent="0.2">
      <c r="A5" s="27" t="s">
        <v>4</v>
      </c>
      <c r="B5" s="20">
        <v>40322</v>
      </c>
      <c r="C5" s="20">
        <v>41601</v>
      </c>
      <c r="D5" s="20">
        <v>42014</v>
      </c>
      <c r="E5" s="20">
        <v>42763</v>
      </c>
      <c r="F5" s="20">
        <v>43719</v>
      </c>
      <c r="G5" s="21">
        <v>44694</v>
      </c>
      <c r="H5" s="21">
        <v>45208</v>
      </c>
      <c r="I5" s="21">
        <v>45824</v>
      </c>
      <c r="J5" s="21">
        <v>47096</v>
      </c>
      <c r="K5" s="20">
        <v>48266</v>
      </c>
      <c r="L5" s="54">
        <f>54705+68</f>
        <v>54773</v>
      </c>
      <c r="M5" s="39">
        <v>56051</v>
      </c>
      <c r="N5" s="39">
        <v>58665</v>
      </c>
      <c r="O5" s="39">
        <v>61223</v>
      </c>
      <c r="P5" s="39">
        <v>64351</v>
      </c>
      <c r="Q5" s="39">
        <v>66044</v>
      </c>
      <c r="R5" s="39">
        <v>68233</v>
      </c>
      <c r="S5" s="39">
        <v>70811</v>
      </c>
      <c r="T5" s="30">
        <v>72419</v>
      </c>
      <c r="U5" s="33">
        <f t="shared" ref="U5:U45" si="0">(T5-S5)/S5</f>
        <v>2.2708336275437432E-2</v>
      </c>
      <c r="V5" s="36">
        <v>73239</v>
      </c>
      <c r="W5" s="39">
        <f t="shared" ref="W5:W45" si="1">V5-T5</f>
        <v>820</v>
      </c>
      <c r="X5" s="24">
        <f>W5/T5</f>
        <v>1.1322995346525084E-2</v>
      </c>
    </row>
    <row r="6" spans="1:24" ht="12.6" customHeight="1" x14ac:dyDescent="0.2">
      <c r="A6" s="28" t="s">
        <v>5</v>
      </c>
      <c r="B6" s="18">
        <v>1395</v>
      </c>
      <c r="C6" s="18">
        <v>1398</v>
      </c>
      <c r="D6" s="18">
        <v>1426</v>
      </c>
      <c r="E6" s="18">
        <v>1480</v>
      </c>
      <c r="F6" s="18">
        <v>1516</v>
      </c>
      <c r="G6" s="19">
        <v>1487</v>
      </c>
      <c r="H6" s="19">
        <v>1456</v>
      </c>
      <c r="I6" s="19">
        <v>1432</v>
      </c>
      <c r="J6" s="19">
        <v>1426</v>
      </c>
      <c r="K6" s="18">
        <v>1451</v>
      </c>
      <c r="L6" s="55">
        <v>1536</v>
      </c>
      <c r="M6" s="40">
        <v>1564</v>
      </c>
      <c r="N6" s="40">
        <v>1562</v>
      </c>
      <c r="O6" s="40">
        <v>1577</v>
      </c>
      <c r="P6" s="40">
        <v>1600</v>
      </c>
      <c r="Q6" s="40">
        <v>1566</v>
      </c>
      <c r="R6" s="40">
        <v>1540</v>
      </c>
      <c r="S6" s="40">
        <v>1544</v>
      </c>
      <c r="T6" s="31">
        <v>1579</v>
      </c>
      <c r="U6" s="34">
        <f t="shared" si="0"/>
        <v>2.266839378238342E-2</v>
      </c>
      <c r="V6" s="37">
        <v>1604</v>
      </c>
      <c r="W6" s="40">
        <f t="shared" si="1"/>
        <v>25</v>
      </c>
      <c r="X6" s="25">
        <f t="shared" ref="X6:X48" si="2">W6/T6</f>
        <v>1.5832805573147563E-2</v>
      </c>
    </row>
    <row r="7" spans="1:24" ht="12.6" customHeight="1" x14ac:dyDescent="0.2">
      <c r="A7" s="28" t="s">
        <v>6</v>
      </c>
      <c r="B7" s="18">
        <v>11190</v>
      </c>
      <c r="C7" s="18">
        <v>11326</v>
      </c>
      <c r="D7" s="18">
        <v>11304</v>
      </c>
      <c r="E7" s="18">
        <v>11247</v>
      </c>
      <c r="F7" s="18">
        <v>11305</v>
      </c>
      <c r="G7" s="19">
        <v>11252</v>
      </c>
      <c r="H7" s="19">
        <v>11215</v>
      </c>
      <c r="I7" s="19">
        <v>11052</v>
      </c>
      <c r="J7" s="19">
        <v>10927</v>
      </c>
      <c r="K7" s="18">
        <v>10850</v>
      </c>
      <c r="L7" s="55">
        <f>10586+7+32</f>
        <v>10625</v>
      </c>
      <c r="M7" s="40">
        <f>10651-10</f>
        <v>10641</v>
      </c>
      <c r="N7" s="40">
        <v>10931</v>
      </c>
      <c r="O7" s="40">
        <v>11132</v>
      </c>
      <c r="P7" s="40">
        <v>11052</v>
      </c>
      <c r="Q7" s="40">
        <v>11187</v>
      </c>
      <c r="R7" s="40">
        <v>11273</v>
      </c>
      <c r="S7" s="40">
        <v>11001</v>
      </c>
      <c r="T7" s="31">
        <v>11131</v>
      </c>
      <c r="U7" s="34">
        <f t="shared" si="0"/>
        <v>1.1817107535678575E-2</v>
      </c>
      <c r="V7" s="37">
        <v>11252</v>
      </c>
      <c r="W7" s="40">
        <f t="shared" si="1"/>
        <v>121</v>
      </c>
      <c r="X7" s="25">
        <f t="shared" si="2"/>
        <v>1.0870541730302758E-2</v>
      </c>
    </row>
    <row r="8" spans="1:24" ht="12.6" customHeight="1" x14ac:dyDescent="0.2">
      <c r="A8" s="28" t="s">
        <v>7</v>
      </c>
      <c r="B8" s="18">
        <v>12593</v>
      </c>
      <c r="C8" s="18">
        <v>12846</v>
      </c>
      <c r="D8" s="18">
        <v>13005</v>
      </c>
      <c r="E8" s="18">
        <v>13056</v>
      </c>
      <c r="F8" s="18">
        <v>13203</v>
      </c>
      <c r="G8" s="19">
        <v>13248</v>
      </c>
      <c r="H8" s="19">
        <v>13225</v>
      </c>
      <c r="I8" s="19">
        <v>13143</v>
      </c>
      <c r="J8" s="19">
        <v>13170</v>
      </c>
      <c r="K8" s="18">
        <v>13189</v>
      </c>
      <c r="L8" s="55">
        <f>13265+153+10</f>
        <v>13428</v>
      </c>
      <c r="M8" s="40">
        <f>13713-153</f>
        <v>13560</v>
      </c>
      <c r="N8" s="40">
        <v>14194</v>
      </c>
      <c r="O8" s="40">
        <v>14579</v>
      </c>
      <c r="P8" s="40">
        <v>14917</v>
      </c>
      <c r="Q8" s="40">
        <v>15409</v>
      </c>
      <c r="R8" s="40">
        <v>15605</v>
      </c>
      <c r="S8" s="40">
        <v>15890</v>
      </c>
      <c r="T8" s="31">
        <v>16038</v>
      </c>
      <c r="U8" s="34">
        <f t="shared" si="0"/>
        <v>9.3140339836375076E-3</v>
      </c>
      <c r="V8" s="37">
        <v>16234</v>
      </c>
      <c r="W8" s="40">
        <f t="shared" si="1"/>
        <v>196</v>
      </c>
      <c r="X8" s="25">
        <f t="shared" si="2"/>
        <v>1.2220975183938146E-2</v>
      </c>
    </row>
    <row r="9" spans="1:24" ht="12.6" customHeight="1" x14ac:dyDescent="0.2">
      <c r="A9" s="29" t="s">
        <v>44</v>
      </c>
      <c r="B9" s="22"/>
      <c r="C9" s="22"/>
      <c r="D9" s="22"/>
      <c r="E9" s="22"/>
      <c r="F9" s="22"/>
      <c r="G9" s="23"/>
      <c r="H9" s="23"/>
      <c r="I9" s="23"/>
      <c r="J9" s="23"/>
      <c r="K9" s="22"/>
      <c r="L9" s="56" t="s">
        <v>48</v>
      </c>
      <c r="M9" s="56" t="s">
        <v>48</v>
      </c>
      <c r="N9" s="56" t="s">
        <v>48</v>
      </c>
      <c r="O9" s="56" t="s">
        <v>48</v>
      </c>
      <c r="P9" s="41">
        <v>33184</v>
      </c>
      <c r="Q9" s="41">
        <v>33469</v>
      </c>
      <c r="R9" s="41">
        <v>33490</v>
      </c>
      <c r="S9" s="41">
        <v>33528</v>
      </c>
      <c r="T9" s="32">
        <v>33674</v>
      </c>
      <c r="U9" s="35">
        <f t="shared" si="0"/>
        <v>4.3545693151992365E-3</v>
      </c>
      <c r="V9" s="38">
        <v>32983</v>
      </c>
      <c r="W9" s="41">
        <f t="shared" si="1"/>
        <v>-691</v>
      </c>
      <c r="X9" s="26">
        <f t="shared" si="2"/>
        <v>-2.0520282710696679E-2</v>
      </c>
    </row>
    <row r="10" spans="1:24" ht="12.6" customHeight="1" x14ac:dyDescent="0.2">
      <c r="A10" s="27" t="s">
        <v>8</v>
      </c>
      <c r="B10" s="20">
        <v>5150</v>
      </c>
      <c r="C10" s="20">
        <v>5067</v>
      </c>
      <c r="D10" s="20">
        <v>5160</v>
      </c>
      <c r="E10" s="20">
        <v>5069</v>
      </c>
      <c r="F10" s="20">
        <v>4943</v>
      </c>
      <c r="G10" s="21">
        <v>4771</v>
      </c>
      <c r="H10" s="21">
        <v>4639</v>
      </c>
      <c r="I10" s="21">
        <v>4505</v>
      </c>
      <c r="J10" s="21">
        <v>4100</v>
      </c>
      <c r="K10" s="20">
        <v>3911</v>
      </c>
      <c r="L10" s="57">
        <v>3389</v>
      </c>
      <c r="M10" s="42">
        <v>3475</v>
      </c>
      <c r="N10" s="42">
        <v>3562</v>
      </c>
      <c r="O10" s="42">
        <v>3502</v>
      </c>
      <c r="P10" s="42">
        <v>3462</v>
      </c>
      <c r="Q10" s="42">
        <v>3458</v>
      </c>
      <c r="R10" s="42">
        <v>3423</v>
      </c>
      <c r="S10" s="42">
        <v>3435</v>
      </c>
      <c r="T10" s="42">
        <v>3369</v>
      </c>
      <c r="U10" s="43">
        <f t="shared" si="0"/>
        <v>-1.9213973799126639E-2</v>
      </c>
      <c r="V10" s="44">
        <v>3380</v>
      </c>
      <c r="W10" s="42">
        <f t="shared" si="1"/>
        <v>11</v>
      </c>
      <c r="X10" s="45">
        <f t="shared" si="2"/>
        <v>3.2650638171564262E-3</v>
      </c>
    </row>
    <row r="11" spans="1:24" ht="12.6" customHeight="1" x14ac:dyDescent="0.2">
      <c r="A11" s="28" t="s">
        <v>9</v>
      </c>
      <c r="B11" s="18">
        <v>191</v>
      </c>
      <c r="C11" s="18">
        <v>191</v>
      </c>
      <c r="D11" s="18">
        <v>212</v>
      </c>
      <c r="E11" s="18">
        <v>209</v>
      </c>
      <c r="F11" s="18">
        <v>215</v>
      </c>
      <c r="G11" s="19">
        <v>187</v>
      </c>
      <c r="H11" s="19">
        <v>183</v>
      </c>
      <c r="I11" s="19">
        <v>173</v>
      </c>
      <c r="J11" s="19">
        <v>164</v>
      </c>
      <c r="K11" s="18">
        <v>147</v>
      </c>
      <c r="L11" s="58">
        <v>156</v>
      </c>
      <c r="M11" s="46">
        <v>150</v>
      </c>
      <c r="N11" s="46">
        <v>134</v>
      </c>
      <c r="O11" s="46">
        <v>142</v>
      </c>
      <c r="P11" s="46">
        <v>147</v>
      </c>
      <c r="Q11" s="46">
        <v>168</v>
      </c>
      <c r="R11" s="46">
        <v>169</v>
      </c>
      <c r="S11" s="46">
        <v>181</v>
      </c>
      <c r="T11" s="46">
        <v>194</v>
      </c>
      <c r="U11" s="47">
        <f t="shared" si="0"/>
        <v>7.18232044198895E-2</v>
      </c>
      <c r="V11" s="48">
        <v>208</v>
      </c>
      <c r="W11" s="46">
        <f t="shared" si="1"/>
        <v>14</v>
      </c>
      <c r="X11" s="49">
        <f t="shared" si="2"/>
        <v>7.2164948453608241E-2</v>
      </c>
    </row>
    <row r="12" spans="1:24" ht="12.6" customHeight="1" x14ac:dyDescent="0.2">
      <c r="A12" s="28" t="s">
        <v>10</v>
      </c>
      <c r="B12" s="18">
        <v>57116</v>
      </c>
      <c r="C12" s="18">
        <v>57933</v>
      </c>
      <c r="D12" s="18">
        <v>58122</v>
      </c>
      <c r="E12" s="18">
        <v>58782</v>
      </c>
      <c r="F12" s="18">
        <v>58835</v>
      </c>
      <c r="G12" s="19">
        <v>58813</v>
      </c>
      <c r="H12" s="19">
        <v>58767</v>
      </c>
      <c r="I12" s="19">
        <v>58947</v>
      </c>
      <c r="J12" s="19">
        <v>58867</v>
      </c>
      <c r="K12" s="18">
        <v>58900</v>
      </c>
      <c r="L12" s="58">
        <f>62349+107</f>
        <v>62456</v>
      </c>
      <c r="M12" s="46">
        <v>62832</v>
      </c>
      <c r="N12" s="46">
        <v>64551</v>
      </c>
      <c r="O12" s="46">
        <v>65014</v>
      </c>
      <c r="P12" s="46">
        <v>65452</v>
      </c>
      <c r="Q12" s="46">
        <v>66019</v>
      </c>
      <c r="R12" s="46">
        <v>67736</v>
      </c>
      <c r="S12" s="46">
        <v>68342</v>
      </c>
      <c r="T12" s="46">
        <v>68573</v>
      </c>
      <c r="U12" s="47">
        <f t="shared" si="0"/>
        <v>3.3800591144537767E-3</v>
      </c>
      <c r="V12" s="48">
        <v>68383</v>
      </c>
      <c r="W12" s="46">
        <f t="shared" si="1"/>
        <v>-190</v>
      </c>
      <c r="X12" s="49">
        <f t="shared" si="2"/>
        <v>-2.7707698365245798E-3</v>
      </c>
    </row>
    <row r="13" spans="1:24" ht="12.6" customHeight="1" x14ac:dyDescent="0.2">
      <c r="A13" s="28" t="s">
        <v>11</v>
      </c>
      <c r="B13" s="18">
        <v>4411</v>
      </c>
      <c r="C13" s="18">
        <v>4527</v>
      </c>
      <c r="D13" s="18">
        <v>4648</v>
      </c>
      <c r="E13" s="18">
        <v>4557</v>
      </c>
      <c r="F13" s="18">
        <v>4543</v>
      </c>
      <c r="G13" s="19">
        <v>4467</v>
      </c>
      <c r="H13" s="19">
        <v>4324</v>
      </c>
      <c r="I13" s="19">
        <v>4167</v>
      </c>
      <c r="J13" s="19">
        <v>4140</v>
      </c>
      <c r="K13" s="18">
        <v>4054</v>
      </c>
      <c r="L13" s="58">
        <v>3993</v>
      </c>
      <c r="M13" s="46">
        <v>3982</v>
      </c>
      <c r="N13" s="46">
        <v>4224</v>
      </c>
      <c r="O13" s="46">
        <v>4355</v>
      </c>
      <c r="P13" s="46">
        <v>4436</v>
      </c>
      <c r="Q13" s="46">
        <v>4448</v>
      </c>
      <c r="R13" s="46">
        <v>4574</v>
      </c>
      <c r="S13" s="46">
        <v>4829</v>
      </c>
      <c r="T13" s="46">
        <v>5021</v>
      </c>
      <c r="U13" s="47">
        <f t="shared" si="0"/>
        <v>3.9759784634499896E-2</v>
      </c>
      <c r="V13" s="48">
        <v>5189</v>
      </c>
      <c r="W13" s="46">
        <f t="shared" si="1"/>
        <v>168</v>
      </c>
      <c r="X13" s="49">
        <f t="shared" si="2"/>
        <v>3.3459470225054772E-2</v>
      </c>
    </row>
    <row r="14" spans="1:24" ht="12.6" customHeight="1" x14ac:dyDescent="0.2">
      <c r="A14" s="29" t="s">
        <v>12</v>
      </c>
      <c r="B14" s="22">
        <v>3400</v>
      </c>
      <c r="C14" s="22">
        <v>3429</v>
      </c>
      <c r="D14" s="22">
        <v>3347</v>
      </c>
      <c r="E14" s="22">
        <v>3364</v>
      </c>
      <c r="F14" s="22">
        <v>3313</v>
      </c>
      <c r="G14" s="23">
        <v>3228</v>
      </c>
      <c r="H14" s="23">
        <v>3101</v>
      </c>
      <c r="I14" s="23">
        <v>2973</v>
      </c>
      <c r="J14" s="23">
        <v>2714</v>
      </c>
      <c r="K14" s="22">
        <v>2508</v>
      </c>
      <c r="L14" s="59">
        <v>2335</v>
      </c>
      <c r="M14" s="59">
        <v>2320</v>
      </c>
      <c r="N14" s="59">
        <v>2262</v>
      </c>
      <c r="O14" s="59">
        <v>2256</v>
      </c>
      <c r="P14" s="50">
        <v>2316</v>
      </c>
      <c r="Q14" s="50">
        <v>2359</v>
      </c>
      <c r="R14" s="50">
        <v>2313</v>
      </c>
      <c r="S14" s="50">
        <v>2311</v>
      </c>
      <c r="T14" s="50">
        <v>2310</v>
      </c>
      <c r="U14" s="51">
        <f t="shared" si="0"/>
        <v>-4.3271311120726956E-4</v>
      </c>
      <c r="V14" s="52">
        <v>2316</v>
      </c>
      <c r="W14" s="50">
        <f t="shared" si="1"/>
        <v>6</v>
      </c>
      <c r="X14" s="53">
        <f t="shared" si="2"/>
        <v>2.5974025974025974E-3</v>
      </c>
    </row>
    <row r="15" spans="1:24" ht="12.6" customHeight="1" x14ac:dyDescent="0.2">
      <c r="A15" s="27" t="s">
        <v>13</v>
      </c>
      <c r="B15" s="20">
        <v>1097</v>
      </c>
      <c r="C15" s="20">
        <v>1140</v>
      </c>
      <c r="D15" s="20">
        <v>1129</v>
      </c>
      <c r="E15" s="20">
        <v>1167</v>
      </c>
      <c r="F15" s="20">
        <v>1144</v>
      </c>
      <c r="G15" s="21">
        <v>1179</v>
      </c>
      <c r="H15" s="21">
        <v>1112</v>
      </c>
      <c r="I15" s="21">
        <v>1114</v>
      </c>
      <c r="J15" s="21">
        <v>1115</v>
      </c>
      <c r="K15" s="20">
        <v>1052</v>
      </c>
      <c r="L15" s="57">
        <v>940</v>
      </c>
      <c r="M15" s="42">
        <v>938</v>
      </c>
      <c r="N15" s="42">
        <v>933</v>
      </c>
      <c r="O15" s="42">
        <v>911</v>
      </c>
      <c r="P15" s="42">
        <v>931</v>
      </c>
      <c r="Q15" s="42">
        <v>925</v>
      </c>
      <c r="R15" s="42">
        <v>927</v>
      </c>
      <c r="S15" s="42">
        <v>948</v>
      </c>
      <c r="T15" s="42">
        <v>930</v>
      </c>
      <c r="U15" s="43">
        <f t="shared" si="0"/>
        <v>-1.8987341772151899E-2</v>
      </c>
      <c r="V15" s="44">
        <v>916</v>
      </c>
      <c r="W15" s="42">
        <f t="shared" si="1"/>
        <v>-14</v>
      </c>
      <c r="X15" s="45">
        <f t="shared" si="2"/>
        <v>-1.5053763440860216E-2</v>
      </c>
    </row>
    <row r="16" spans="1:24" ht="12.6" customHeight="1" x14ac:dyDescent="0.2">
      <c r="A16" s="28" t="s">
        <v>14</v>
      </c>
      <c r="B16" s="18">
        <v>1576</v>
      </c>
      <c r="C16" s="18">
        <v>1603</v>
      </c>
      <c r="D16" s="18">
        <v>1625</v>
      </c>
      <c r="E16" s="18">
        <v>1580</v>
      </c>
      <c r="F16" s="18">
        <v>1605</v>
      </c>
      <c r="G16" s="19">
        <v>1620</v>
      </c>
      <c r="H16" s="19">
        <v>1626</v>
      </c>
      <c r="I16" s="19">
        <v>1620</v>
      </c>
      <c r="J16" s="19">
        <v>1560</v>
      </c>
      <c r="K16" s="18">
        <v>1494</v>
      </c>
      <c r="L16" s="58">
        <v>1470</v>
      </c>
      <c r="M16" s="46">
        <v>1500</v>
      </c>
      <c r="N16" s="46">
        <v>1486</v>
      </c>
      <c r="O16" s="46">
        <v>1498</v>
      </c>
      <c r="P16" s="46">
        <v>1526</v>
      </c>
      <c r="Q16" s="46">
        <v>1510</v>
      </c>
      <c r="R16" s="46">
        <v>1467</v>
      </c>
      <c r="S16" s="46">
        <v>1441</v>
      </c>
      <c r="T16" s="46">
        <v>1455</v>
      </c>
      <c r="U16" s="47">
        <f t="shared" si="0"/>
        <v>9.7154753643303258E-3</v>
      </c>
      <c r="V16" s="48">
        <v>1430</v>
      </c>
      <c r="W16" s="46">
        <f t="shared" si="1"/>
        <v>-25</v>
      </c>
      <c r="X16" s="49">
        <f t="shared" si="2"/>
        <v>-1.7182130584192441E-2</v>
      </c>
    </row>
    <row r="17" spans="1:24" ht="12.6" customHeight="1" x14ac:dyDescent="0.2">
      <c r="A17" s="28" t="s">
        <v>15</v>
      </c>
      <c r="B17" s="18">
        <v>79575</v>
      </c>
      <c r="C17" s="18">
        <v>79209</v>
      </c>
      <c r="D17" s="18">
        <v>78077</v>
      </c>
      <c r="E17" s="18">
        <v>76559</v>
      </c>
      <c r="F17" s="18">
        <v>75887</v>
      </c>
      <c r="G17" s="19">
        <v>74393</v>
      </c>
      <c r="H17" s="19">
        <v>72848</v>
      </c>
      <c r="I17" s="19">
        <v>71546</v>
      </c>
      <c r="J17" s="19">
        <v>70608</v>
      </c>
      <c r="K17" s="18">
        <v>70596</v>
      </c>
      <c r="L17" s="58">
        <f>68558+490</f>
        <v>69048</v>
      </c>
      <c r="M17" s="46">
        <v>68483</v>
      </c>
      <c r="N17" s="46">
        <v>67948</v>
      </c>
      <c r="O17" s="46">
        <v>68403</v>
      </c>
      <c r="P17" s="46">
        <v>68131</v>
      </c>
      <c r="Q17" s="46">
        <v>68573</v>
      </c>
      <c r="R17" s="46">
        <v>67736</v>
      </c>
      <c r="S17" s="46">
        <v>67600</v>
      </c>
      <c r="T17" s="46">
        <v>68106</v>
      </c>
      <c r="U17" s="47">
        <f t="shared" si="0"/>
        <v>7.4852071005917162E-3</v>
      </c>
      <c r="V17" s="48">
        <v>66518</v>
      </c>
      <c r="W17" s="46">
        <f t="shared" si="1"/>
        <v>-1588</v>
      </c>
      <c r="X17" s="49">
        <f t="shared" si="2"/>
        <v>-2.3316594719995302E-2</v>
      </c>
    </row>
    <row r="18" spans="1:24" ht="12.6" customHeight="1" x14ac:dyDescent="0.2">
      <c r="A18" s="28" t="s">
        <v>16</v>
      </c>
      <c r="B18" s="18">
        <v>5475</v>
      </c>
      <c r="C18" s="18">
        <v>5858</v>
      </c>
      <c r="D18" s="18">
        <v>6148</v>
      </c>
      <c r="E18" s="18">
        <v>6238</v>
      </c>
      <c r="F18" s="18">
        <v>6543</v>
      </c>
      <c r="G18" s="19">
        <v>6870</v>
      </c>
      <c r="H18" s="19">
        <v>6948</v>
      </c>
      <c r="I18" s="19">
        <v>6978</v>
      </c>
      <c r="J18" s="19">
        <v>7176</v>
      </c>
      <c r="K18" s="18">
        <v>7276</v>
      </c>
      <c r="L18" s="58">
        <f>8189+41</f>
        <v>8230</v>
      </c>
      <c r="M18" s="46">
        <v>8486</v>
      </c>
      <c r="N18" s="46">
        <v>8643</v>
      </c>
      <c r="O18" s="46">
        <v>8344</v>
      </c>
      <c r="P18" s="46">
        <v>8365</v>
      </c>
      <c r="Q18" s="46">
        <v>8483</v>
      </c>
      <c r="R18" s="46">
        <v>8508</v>
      </c>
      <c r="S18" s="46">
        <v>8519</v>
      </c>
      <c r="T18" s="46">
        <v>8685</v>
      </c>
      <c r="U18" s="47">
        <f t="shared" si="0"/>
        <v>1.9485855147317762E-2</v>
      </c>
      <c r="V18" s="48">
        <v>8767</v>
      </c>
      <c r="W18" s="46">
        <f t="shared" si="1"/>
        <v>82</v>
      </c>
      <c r="X18" s="49">
        <f t="shared" si="2"/>
        <v>9.4415659182498553E-3</v>
      </c>
    </row>
    <row r="19" spans="1:24" ht="12.6" customHeight="1" x14ac:dyDescent="0.2">
      <c r="A19" s="29" t="s">
        <v>17</v>
      </c>
      <c r="B19" s="22">
        <v>68843</v>
      </c>
      <c r="C19" s="22">
        <v>70255</v>
      </c>
      <c r="D19" s="22">
        <v>70760</v>
      </c>
      <c r="E19" s="22">
        <v>71701</v>
      </c>
      <c r="F19" s="22">
        <v>72747</v>
      </c>
      <c r="G19" s="23">
        <v>73180</v>
      </c>
      <c r="H19" s="23">
        <v>73285</v>
      </c>
      <c r="I19" s="23">
        <v>73093</v>
      </c>
      <c r="J19" s="23">
        <v>73137</v>
      </c>
      <c r="K19" s="22">
        <v>73471</v>
      </c>
      <c r="L19" s="59">
        <f>77240+129</f>
        <v>77369</v>
      </c>
      <c r="M19" s="59">
        <v>78708</v>
      </c>
      <c r="N19" s="59">
        <v>80187</v>
      </c>
      <c r="O19" s="59">
        <v>81017</v>
      </c>
      <c r="P19" s="50">
        <v>48411</v>
      </c>
      <c r="Q19" s="50">
        <v>49729</v>
      </c>
      <c r="R19" s="50">
        <v>50581</v>
      </c>
      <c r="S19" s="50">
        <v>52043</v>
      </c>
      <c r="T19" s="50">
        <v>52855</v>
      </c>
      <c r="U19" s="51">
        <f t="shared" si="0"/>
        <v>1.5602482562496398E-2</v>
      </c>
      <c r="V19" s="52">
        <v>52246</v>
      </c>
      <c r="W19" s="50">
        <f t="shared" si="1"/>
        <v>-609</v>
      </c>
      <c r="X19" s="53">
        <f t="shared" si="2"/>
        <v>-1.1522088733327027E-2</v>
      </c>
    </row>
    <row r="20" spans="1:24" ht="12.6" customHeight="1" x14ac:dyDescent="0.2">
      <c r="A20" s="27" t="s">
        <v>18</v>
      </c>
      <c r="B20" s="20">
        <v>1644</v>
      </c>
      <c r="C20" s="20">
        <v>1608</v>
      </c>
      <c r="D20" s="20">
        <v>1735</v>
      </c>
      <c r="E20" s="20">
        <v>1764</v>
      </c>
      <c r="F20" s="20">
        <v>1781</v>
      </c>
      <c r="G20" s="21">
        <v>1807</v>
      </c>
      <c r="H20" s="21">
        <v>1796</v>
      </c>
      <c r="I20" s="21">
        <v>1822</v>
      </c>
      <c r="J20" s="21">
        <v>1830</v>
      </c>
      <c r="K20" s="20">
        <v>1844</v>
      </c>
      <c r="L20" s="57">
        <v>1992</v>
      </c>
      <c r="M20" s="42">
        <v>2071</v>
      </c>
      <c r="N20" s="42">
        <v>2147</v>
      </c>
      <c r="O20" s="42">
        <v>2203</v>
      </c>
      <c r="P20" s="42">
        <v>2244</v>
      </c>
      <c r="Q20" s="42">
        <v>2286</v>
      </c>
      <c r="R20" s="42">
        <v>2297</v>
      </c>
      <c r="S20" s="42">
        <v>2283</v>
      </c>
      <c r="T20" s="42">
        <v>2287</v>
      </c>
      <c r="U20" s="43">
        <f t="shared" si="0"/>
        <v>1.7520805957074025E-3</v>
      </c>
      <c r="V20" s="44">
        <v>2259</v>
      </c>
      <c r="W20" s="42">
        <f t="shared" si="1"/>
        <v>-28</v>
      </c>
      <c r="X20" s="45">
        <f t="shared" si="2"/>
        <v>-1.2243113248797552E-2</v>
      </c>
    </row>
    <row r="21" spans="1:24" ht="12.6" customHeight="1" x14ac:dyDescent="0.2">
      <c r="A21" s="28" t="s">
        <v>19</v>
      </c>
      <c r="B21" s="18">
        <v>1415</v>
      </c>
      <c r="C21" s="18">
        <v>1399</v>
      </c>
      <c r="D21" s="18">
        <v>1479</v>
      </c>
      <c r="E21" s="18">
        <v>1491</v>
      </c>
      <c r="F21" s="18">
        <v>1429</v>
      </c>
      <c r="G21" s="19">
        <v>1495</v>
      </c>
      <c r="H21" s="19">
        <v>1444</v>
      </c>
      <c r="I21" s="19">
        <v>1394</v>
      </c>
      <c r="J21" s="19">
        <v>1335</v>
      </c>
      <c r="K21" s="18">
        <v>1312</v>
      </c>
      <c r="L21" s="58">
        <v>1194</v>
      </c>
      <c r="M21" s="46">
        <v>1188</v>
      </c>
      <c r="N21" s="46">
        <v>1178</v>
      </c>
      <c r="O21" s="46">
        <v>1202</v>
      </c>
      <c r="P21" s="46">
        <v>1194</v>
      </c>
      <c r="Q21" s="46">
        <v>1176</v>
      </c>
      <c r="R21" s="46">
        <v>1175</v>
      </c>
      <c r="S21" s="46">
        <v>1209</v>
      </c>
      <c r="T21" s="46">
        <v>1212</v>
      </c>
      <c r="U21" s="47">
        <f t="shared" si="0"/>
        <v>2.4813895781637717E-3</v>
      </c>
      <c r="V21" s="48">
        <v>1214</v>
      </c>
      <c r="W21" s="46">
        <f t="shared" si="1"/>
        <v>2</v>
      </c>
      <c r="X21" s="49">
        <f t="shared" si="2"/>
        <v>1.6501650165016502E-3</v>
      </c>
    </row>
    <row r="22" spans="1:24" ht="12.6" customHeight="1" x14ac:dyDescent="0.2">
      <c r="A22" s="28" t="s">
        <v>42</v>
      </c>
      <c r="B22" s="18">
        <v>5894</v>
      </c>
      <c r="C22" s="18">
        <v>5838</v>
      </c>
      <c r="D22" s="18">
        <v>5846</v>
      </c>
      <c r="E22" s="18">
        <v>5823</v>
      </c>
      <c r="F22" s="18">
        <v>5830</v>
      </c>
      <c r="G22" s="19">
        <v>5933</v>
      </c>
      <c r="H22" s="19">
        <v>5840</v>
      </c>
      <c r="I22" s="19">
        <v>5840</v>
      </c>
      <c r="J22" s="19">
        <v>5778</v>
      </c>
      <c r="K22" s="18">
        <v>5791</v>
      </c>
      <c r="L22" s="58">
        <f>5568+144+25</f>
        <v>5737</v>
      </c>
      <c r="M22" s="46">
        <f>5780-139</f>
        <v>5641</v>
      </c>
      <c r="N22" s="46">
        <v>5755</v>
      </c>
      <c r="O22" s="46">
        <v>5960</v>
      </c>
      <c r="P22" s="46">
        <v>6123</v>
      </c>
      <c r="Q22" s="46">
        <v>6133</v>
      </c>
      <c r="R22" s="46">
        <v>6120</v>
      </c>
      <c r="S22" s="46">
        <v>6063</v>
      </c>
      <c r="T22" s="46">
        <v>5987</v>
      </c>
      <c r="U22" s="47">
        <f t="shared" si="0"/>
        <v>-1.2535048655780966E-2</v>
      </c>
      <c r="V22" s="48">
        <v>6066</v>
      </c>
      <c r="W22" s="46">
        <f t="shared" si="1"/>
        <v>79</v>
      </c>
      <c r="X22" s="49">
        <f t="shared" si="2"/>
        <v>1.3195256388842492E-2</v>
      </c>
    </row>
    <row r="23" spans="1:24" ht="12.6" customHeight="1" x14ac:dyDescent="0.2">
      <c r="A23" s="28" t="s">
        <v>20</v>
      </c>
      <c r="B23" s="18">
        <v>3861</v>
      </c>
      <c r="C23" s="18">
        <v>3891</v>
      </c>
      <c r="D23" s="18">
        <v>3861</v>
      </c>
      <c r="E23" s="18">
        <v>3816</v>
      </c>
      <c r="F23" s="18">
        <v>3803</v>
      </c>
      <c r="G23" s="19">
        <v>3742</v>
      </c>
      <c r="H23" s="19">
        <v>3606</v>
      </c>
      <c r="I23" s="19">
        <v>3439</v>
      </c>
      <c r="J23" s="19">
        <v>3321</v>
      </c>
      <c r="K23" s="18">
        <v>3191</v>
      </c>
      <c r="L23" s="58">
        <v>2952</v>
      </c>
      <c r="M23" s="46">
        <v>2897</v>
      </c>
      <c r="N23" s="46">
        <v>2852</v>
      </c>
      <c r="O23" s="46">
        <v>2829</v>
      </c>
      <c r="P23" s="46">
        <v>2820</v>
      </c>
      <c r="Q23" s="46">
        <v>2826</v>
      </c>
      <c r="R23" s="46">
        <v>2815</v>
      </c>
      <c r="S23" s="46">
        <v>2782</v>
      </c>
      <c r="T23" s="46">
        <v>2841</v>
      </c>
      <c r="U23" s="47">
        <f t="shared" si="0"/>
        <v>2.1207764198418404E-2</v>
      </c>
      <c r="V23" s="48">
        <v>2876</v>
      </c>
      <c r="W23" s="46">
        <f t="shared" si="1"/>
        <v>35</v>
      </c>
      <c r="X23" s="49">
        <f t="shared" si="2"/>
        <v>1.2319605772615276E-2</v>
      </c>
    </row>
    <row r="24" spans="1:24" ht="12.6" customHeight="1" x14ac:dyDescent="0.2">
      <c r="A24" s="29" t="s">
        <v>21</v>
      </c>
      <c r="B24" s="22">
        <v>1889</v>
      </c>
      <c r="C24" s="22">
        <v>2004</v>
      </c>
      <c r="D24" s="22">
        <v>2042</v>
      </c>
      <c r="E24" s="22">
        <v>2032</v>
      </c>
      <c r="F24" s="22">
        <v>2056</v>
      </c>
      <c r="G24" s="23">
        <v>2059</v>
      </c>
      <c r="H24" s="23">
        <v>2047</v>
      </c>
      <c r="I24" s="23">
        <v>2047</v>
      </c>
      <c r="J24" s="23">
        <v>2019</v>
      </c>
      <c r="K24" s="22">
        <v>2024</v>
      </c>
      <c r="L24" s="59">
        <v>2029</v>
      </c>
      <c r="M24" s="59">
        <v>2083</v>
      </c>
      <c r="N24" s="59">
        <v>2183</v>
      </c>
      <c r="O24" s="59">
        <v>2276</v>
      </c>
      <c r="P24" s="50">
        <v>2338</v>
      </c>
      <c r="Q24" s="50">
        <v>2437</v>
      </c>
      <c r="R24" s="50">
        <v>2421</v>
      </c>
      <c r="S24" s="50">
        <v>2531</v>
      </c>
      <c r="T24" s="50">
        <v>2632</v>
      </c>
      <c r="U24" s="51">
        <f t="shared" si="0"/>
        <v>3.9905175819834056E-2</v>
      </c>
      <c r="V24" s="52">
        <v>2717</v>
      </c>
      <c r="W24" s="50">
        <f t="shared" si="1"/>
        <v>85</v>
      </c>
      <c r="X24" s="53">
        <f t="shared" si="2"/>
        <v>3.2294832826747721E-2</v>
      </c>
    </row>
    <row r="25" spans="1:24" ht="12.6" customHeight="1" x14ac:dyDescent="0.2">
      <c r="A25" s="27" t="s">
        <v>43</v>
      </c>
      <c r="B25" s="20">
        <v>6799</v>
      </c>
      <c r="C25" s="20">
        <v>6821</v>
      </c>
      <c r="D25" s="20">
        <v>6829</v>
      </c>
      <c r="E25" s="20">
        <v>6841</v>
      </c>
      <c r="F25" s="20">
        <v>6881</v>
      </c>
      <c r="G25" s="21">
        <v>6940</v>
      </c>
      <c r="H25" s="21">
        <v>6788</v>
      </c>
      <c r="I25" s="21">
        <v>6584</v>
      </c>
      <c r="J25" s="21">
        <v>6481</v>
      </c>
      <c r="K25" s="20">
        <v>6364</v>
      </c>
      <c r="L25" s="57">
        <v>6469</v>
      </c>
      <c r="M25" s="42">
        <v>6352</v>
      </c>
      <c r="N25" s="42">
        <v>6426</v>
      </c>
      <c r="O25" s="42">
        <v>6458</v>
      </c>
      <c r="P25" s="42">
        <v>6515</v>
      </c>
      <c r="Q25" s="42">
        <v>6500</v>
      </c>
      <c r="R25" s="42">
        <v>6417</v>
      </c>
      <c r="S25" s="42">
        <v>6428</v>
      </c>
      <c r="T25" s="42">
        <v>6435</v>
      </c>
      <c r="U25" s="43">
        <f t="shared" si="0"/>
        <v>1.0889856876166771E-3</v>
      </c>
      <c r="V25" s="44">
        <v>6231</v>
      </c>
      <c r="W25" s="42">
        <f t="shared" si="1"/>
        <v>-204</v>
      </c>
      <c r="X25" s="45">
        <f t="shared" si="2"/>
        <v>-3.1701631701631705E-2</v>
      </c>
    </row>
    <row r="26" spans="1:24" ht="12.6" customHeight="1" x14ac:dyDescent="0.2">
      <c r="A26" s="28" t="s">
        <v>22</v>
      </c>
      <c r="B26" s="18">
        <v>17161</v>
      </c>
      <c r="C26" s="18">
        <v>17871</v>
      </c>
      <c r="D26" s="18">
        <v>18330</v>
      </c>
      <c r="E26" s="18">
        <v>18736</v>
      </c>
      <c r="F26" s="18">
        <v>19256</v>
      </c>
      <c r="G26" s="19">
        <v>19560</v>
      </c>
      <c r="H26" s="19">
        <v>19959</v>
      </c>
      <c r="I26" s="19">
        <v>20519</v>
      </c>
      <c r="J26" s="19">
        <v>21066</v>
      </c>
      <c r="K26" s="18">
        <v>22070</v>
      </c>
      <c r="L26" s="58">
        <f>24660+82</f>
        <v>24742</v>
      </c>
      <c r="M26" s="46">
        <v>25615</v>
      </c>
      <c r="N26" s="46">
        <v>26588</v>
      </c>
      <c r="O26" s="46">
        <v>27592</v>
      </c>
      <c r="P26" s="46">
        <v>28282</v>
      </c>
      <c r="Q26" s="46">
        <v>29136</v>
      </c>
      <c r="R26" s="46">
        <v>29724</v>
      </c>
      <c r="S26" s="46">
        <v>30494</v>
      </c>
      <c r="T26" s="46">
        <v>31230</v>
      </c>
      <c r="U26" s="47">
        <f t="shared" si="0"/>
        <v>2.413589558601692E-2</v>
      </c>
      <c r="V26" s="48">
        <v>31821</v>
      </c>
      <c r="W26" s="46">
        <f t="shared" si="1"/>
        <v>591</v>
      </c>
      <c r="X26" s="49">
        <f t="shared" si="2"/>
        <v>1.8924111431316042E-2</v>
      </c>
    </row>
    <row r="27" spans="1:24" ht="12.6" customHeight="1" x14ac:dyDescent="0.2">
      <c r="A27" s="28" t="s">
        <v>23</v>
      </c>
      <c r="B27" s="18">
        <v>2352</v>
      </c>
      <c r="C27" s="18">
        <v>2426</v>
      </c>
      <c r="D27" s="18">
        <v>2398</v>
      </c>
      <c r="E27" s="18">
        <v>2451</v>
      </c>
      <c r="F27" s="18">
        <v>2520</v>
      </c>
      <c r="G27" s="19">
        <v>2558</v>
      </c>
      <c r="H27" s="19">
        <v>2554</v>
      </c>
      <c r="I27" s="19">
        <v>2513</v>
      </c>
      <c r="J27" s="19">
        <v>2489</v>
      </c>
      <c r="K27" s="18">
        <v>2451</v>
      </c>
      <c r="L27" s="58">
        <f>2305+16</f>
        <v>2321</v>
      </c>
      <c r="M27" s="46">
        <v>2321</v>
      </c>
      <c r="N27" s="46">
        <v>2340</v>
      </c>
      <c r="O27" s="46">
        <v>2329</v>
      </c>
      <c r="P27" s="46">
        <v>2319</v>
      </c>
      <c r="Q27" s="46">
        <v>2419</v>
      </c>
      <c r="R27" s="46">
        <v>2420</v>
      </c>
      <c r="S27" s="46">
        <v>2377</v>
      </c>
      <c r="T27" s="46">
        <v>2408</v>
      </c>
      <c r="U27" s="47">
        <f t="shared" si="0"/>
        <v>1.3041649137568364E-2</v>
      </c>
      <c r="V27" s="48">
        <v>2396</v>
      </c>
      <c r="W27" s="46">
        <f t="shared" si="1"/>
        <v>-12</v>
      </c>
      <c r="X27" s="49">
        <f t="shared" si="2"/>
        <v>-4.9833887043189366E-3</v>
      </c>
    </row>
    <row r="28" spans="1:24" ht="12.6" customHeight="1" x14ac:dyDescent="0.2">
      <c r="A28" s="28" t="s">
        <v>24</v>
      </c>
      <c r="B28" s="18">
        <v>944</v>
      </c>
      <c r="C28" s="18">
        <v>976</v>
      </c>
      <c r="D28" s="18">
        <v>992</v>
      </c>
      <c r="E28" s="18">
        <v>1002</v>
      </c>
      <c r="F28" s="18">
        <v>978</v>
      </c>
      <c r="G28" s="19">
        <v>966</v>
      </c>
      <c r="H28" s="19">
        <v>987</v>
      </c>
      <c r="I28" s="19">
        <v>1012</v>
      </c>
      <c r="J28" s="19">
        <v>993</v>
      </c>
      <c r="K28" s="18">
        <v>963</v>
      </c>
      <c r="L28" s="58">
        <v>982</v>
      </c>
      <c r="M28" s="46">
        <v>981</v>
      </c>
      <c r="N28" s="46">
        <v>1000</v>
      </c>
      <c r="O28" s="46">
        <v>988</v>
      </c>
      <c r="P28" s="46">
        <v>1003</v>
      </c>
      <c r="Q28" s="46">
        <v>978</v>
      </c>
      <c r="R28" s="46">
        <v>983</v>
      </c>
      <c r="S28" s="46">
        <v>977</v>
      </c>
      <c r="T28" s="46">
        <v>990</v>
      </c>
      <c r="U28" s="47">
        <f t="shared" si="0"/>
        <v>1.3306038894575231E-2</v>
      </c>
      <c r="V28" s="48">
        <v>1016</v>
      </c>
      <c r="W28" s="46">
        <f t="shared" si="1"/>
        <v>26</v>
      </c>
      <c r="X28" s="49">
        <f t="shared" si="2"/>
        <v>2.6262626262626262E-2</v>
      </c>
    </row>
    <row r="29" spans="1:24" ht="12.6" customHeight="1" x14ac:dyDescent="0.2">
      <c r="A29" s="29" t="s">
        <v>40</v>
      </c>
      <c r="B29" s="22">
        <v>12589</v>
      </c>
      <c r="C29" s="22">
        <v>12775</v>
      </c>
      <c r="D29" s="22">
        <v>12788</v>
      </c>
      <c r="E29" s="22">
        <v>12791</v>
      </c>
      <c r="F29" s="22">
        <v>12834</v>
      </c>
      <c r="G29" s="23">
        <v>12797</v>
      </c>
      <c r="H29" s="23">
        <v>12740</v>
      </c>
      <c r="I29" s="23">
        <v>12809</v>
      </c>
      <c r="J29" s="23">
        <v>12750</v>
      </c>
      <c r="K29" s="22">
        <v>12855</v>
      </c>
      <c r="L29" s="59">
        <f>12393+149</f>
        <v>12542</v>
      </c>
      <c r="M29" s="59">
        <v>12358</v>
      </c>
      <c r="N29" s="59">
        <v>12603</v>
      </c>
      <c r="O29" s="59">
        <v>12884</v>
      </c>
      <c r="P29" s="50">
        <v>12578</v>
      </c>
      <c r="Q29" s="50">
        <v>12568</v>
      </c>
      <c r="R29" s="50">
        <v>12652</v>
      </c>
      <c r="S29" s="50">
        <v>12570</v>
      </c>
      <c r="T29" s="50">
        <v>12489</v>
      </c>
      <c r="U29" s="51">
        <f t="shared" si="0"/>
        <v>-6.4439140811455844E-3</v>
      </c>
      <c r="V29" s="52">
        <v>12500</v>
      </c>
      <c r="W29" s="50">
        <f t="shared" si="1"/>
        <v>11</v>
      </c>
      <c r="X29" s="53">
        <f t="shared" si="2"/>
        <v>8.8077508207222357E-4</v>
      </c>
    </row>
    <row r="30" spans="1:24" ht="12.6" customHeight="1" x14ac:dyDescent="0.2">
      <c r="A30" s="27" t="s">
        <v>25</v>
      </c>
      <c r="B30" s="20">
        <v>2540</v>
      </c>
      <c r="C30" s="20">
        <v>2761</v>
      </c>
      <c r="D30" s="20">
        <v>2973</v>
      </c>
      <c r="E30" s="20">
        <v>3163</v>
      </c>
      <c r="F30" s="20">
        <v>3354</v>
      </c>
      <c r="G30" s="21">
        <v>3603</v>
      </c>
      <c r="H30" s="21">
        <v>3800</v>
      </c>
      <c r="I30" s="21">
        <v>3818</v>
      </c>
      <c r="J30" s="21">
        <v>3921</v>
      </c>
      <c r="K30" s="20">
        <v>3923</v>
      </c>
      <c r="L30" s="57">
        <v>4367</v>
      </c>
      <c r="M30" s="42">
        <v>4336</v>
      </c>
      <c r="N30" s="42">
        <v>4443</v>
      </c>
      <c r="O30" s="42">
        <v>4477</v>
      </c>
      <c r="P30" s="42">
        <v>4563</v>
      </c>
      <c r="Q30" s="42">
        <v>4351</v>
      </c>
      <c r="R30" s="42">
        <v>4400</v>
      </c>
      <c r="S30" s="42">
        <v>4421</v>
      </c>
      <c r="T30" s="42">
        <v>4630</v>
      </c>
      <c r="U30" s="43">
        <f t="shared" si="0"/>
        <v>4.727437231395612E-2</v>
      </c>
      <c r="V30" s="44">
        <v>4664</v>
      </c>
      <c r="W30" s="42">
        <f t="shared" si="1"/>
        <v>34</v>
      </c>
      <c r="X30" s="45">
        <f t="shared" si="2"/>
        <v>7.34341252699784E-3</v>
      </c>
    </row>
    <row r="31" spans="1:24" ht="12.6" customHeight="1" x14ac:dyDescent="0.2">
      <c r="A31" s="28" t="s">
        <v>26</v>
      </c>
      <c r="B31" s="18">
        <v>385</v>
      </c>
      <c r="C31" s="18">
        <v>374</v>
      </c>
      <c r="D31" s="18">
        <v>385</v>
      </c>
      <c r="E31" s="18">
        <v>368</v>
      </c>
      <c r="F31" s="18">
        <v>369</v>
      </c>
      <c r="G31" s="19">
        <v>380</v>
      </c>
      <c r="H31" s="19">
        <v>372</v>
      </c>
      <c r="I31" s="19">
        <v>349</v>
      </c>
      <c r="J31" s="19">
        <v>354</v>
      </c>
      <c r="K31" s="18">
        <v>318</v>
      </c>
      <c r="L31" s="58">
        <f>298+4</f>
        <v>302</v>
      </c>
      <c r="M31" s="46">
        <v>298</v>
      </c>
      <c r="N31" s="46">
        <v>300</v>
      </c>
      <c r="O31" s="46">
        <v>319</v>
      </c>
      <c r="P31" s="46">
        <v>328</v>
      </c>
      <c r="Q31" s="46">
        <v>305</v>
      </c>
      <c r="R31" s="46">
        <v>317</v>
      </c>
      <c r="S31" s="46">
        <v>308</v>
      </c>
      <c r="T31" s="46">
        <v>304</v>
      </c>
      <c r="U31" s="47">
        <f t="shared" si="0"/>
        <v>-1.2987012987012988E-2</v>
      </c>
      <c r="V31" s="48">
        <v>295</v>
      </c>
      <c r="W31" s="46">
        <f t="shared" si="1"/>
        <v>-9</v>
      </c>
      <c r="X31" s="49">
        <f t="shared" si="2"/>
        <v>-2.9605263157894735E-2</v>
      </c>
    </row>
    <row r="32" spans="1:24" ht="12.6" customHeight="1" x14ac:dyDescent="0.2">
      <c r="A32" s="28" t="s">
        <v>41</v>
      </c>
      <c r="B32" s="18">
        <v>13565</v>
      </c>
      <c r="C32" s="18">
        <v>13706</v>
      </c>
      <c r="D32" s="18">
        <v>13616</v>
      </c>
      <c r="E32" s="18">
        <v>13487</v>
      </c>
      <c r="F32" s="18">
        <v>13544</v>
      </c>
      <c r="G32" s="19">
        <v>13674</v>
      </c>
      <c r="H32" s="19">
        <v>13486</v>
      </c>
      <c r="I32" s="19">
        <v>13438</v>
      </c>
      <c r="J32" s="19">
        <v>13241</v>
      </c>
      <c r="K32" s="18">
        <v>13298</v>
      </c>
      <c r="L32" s="58">
        <f>13165+108</f>
        <v>13273</v>
      </c>
      <c r="M32" s="46">
        <v>13272</v>
      </c>
      <c r="N32" s="46">
        <v>13083</v>
      </c>
      <c r="O32" s="46">
        <v>13288</v>
      </c>
      <c r="P32" s="46">
        <v>13241</v>
      </c>
      <c r="Q32" s="46">
        <v>13376</v>
      </c>
      <c r="R32" s="46">
        <v>13779</v>
      </c>
      <c r="S32" s="46">
        <v>14202</v>
      </c>
      <c r="T32" s="46">
        <v>14799</v>
      </c>
      <c r="U32" s="47">
        <f t="shared" si="0"/>
        <v>4.2036332910857628E-2</v>
      </c>
      <c r="V32" s="48">
        <v>14146</v>
      </c>
      <c r="W32" s="46">
        <f t="shared" si="1"/>
        <v>-653</v>
      </c>
      <c r="X32" s="49">
        <f t="shared" si="2"/>
        <v>-4.4124603013717144E-2</v>
      </c>
    </row>
    <row r="33" spans="1:24" ht="12.6" customHeight="1" x14ac:dyDescent="0.2">
      <c r="A33" s="28" t="s">
        <v>27</v>
      </c>
      <c r="B33" s="18">
        <v>549</v>
      </c>
      <c r="C33" s="18">
        <v>564</v>
      </c>
      <c r="D33" s="18">
        <v>574</v>
      </c>
      <c r="E33" s="18">
        <v>535</v>
      </c>
      <c r="F33" s="18">
        <v>547</v>
      </c>
      <c r="G33" s="19">
        <v>508</v>
      </c>
      <c r="H33" s="19">
        <v>506</v>
      </c>
      <c r="I33" s="19">
        <v>503</v>
      </c>
      <c r="J33" s="19">
        <v>473</v>
      </c>
      <c r="K33" s="18">
        <v>468</v>
      </c>
      <c r="L33" s="58">
        <v>416</v>
      </c>
      <c r="M33" s="46">
        <v>436</v>
      </c>
      <c r="N33" s="46">
        <v>431</v>
      </c>
      <c r="O33" s="46">
        <v>450</v>
      </c>
      <c r="P33" s="46">
        <v>457</v>
      </c>
      <c r="Q33" s="46">
        <v>484</v>
      </c>
      <c r="R33" s="46">
        <v>491</v>
      </c>
      <c r="S33" s="46">
        <v>481</v>
      </c>
      <c r="T33" s="46">
        <v>479</v>
      </c>
      <c r="U33" s="47">
        <f t="shared" si="0"/>
        <v>-4.1580041580041582E-3</v>
      </c>
      <c r="V33" s="48">
        <v>473</v>
      </c>
      <c r="W33" s="46">
        <f t="shared" si="1"/>
        <v>-6</v>
      </c>
      <c r="X33" s="49">
        <f t="shared" si="2"/>
        <v>-1.2526096033402923E-2</v>
      </c>
    </row>
    <row r="34" spans="1:24" ht="12.6" customHeight="1" x14ac:dyDescent="0.2">
      <c r="A34" s="29" t="s">
        <v>39</v>
      </c>
      <c r="B34" s="22">
        <v>25538</v>
      </c>
      <c r="C34" s="22">
        <v>25698</v>
      </c>
      <c r="D34" s="22">
        <v>25408</v>
      </c>
      <c r="E34" s="22">
        <v>25294</v>
      </c>
      <c r="F34" s="22">
        <v>25397</v>
      </c>
      <c r="G34" s="23">
        <v>25614</v>
      </c>
      <c r="H34" s="23">
        <v>25207</v>
      </c>
      <c r="I34" s="23">
        <v>24960</v>
      </c>
      <c r="J34" s="23">
        <v>24921</v>
      </c>
      <c r="K34" s="22">
        <v>24648</v>
      </c>
      <c r="L34" s="59">
        <f>23700+28</f>
        <v>23728</v>
      </c>
      <c r="M34" s="59">
        <v>23894</v>
      </c>
      <c r="N34" s="59">
        <v>23536</v>
      </c>
      <c r="O34" s="59">
        <v>23678</v>
      </c>
      <c r="P34" s="50">
        <v>23850</v>
      </c>
      <c r="Q34" s="50">
        <v>23960</v>
      </c>
      <c r="R34" s="50">
        <v>23919</v>
      </c>
      <c r="S34" s="50">
        <v>23759</v>
      </c>
      <c r="T34" s="50">
        <v>23965</v>
      </c>
      <c r="U34" s="51">
        <f t="shared" si="0"/>
        <v>8.6703985857990648E-3</v>
      </c>
      <c r="V34" s="52">
        <v>23924</v>
      </c>
      <c r="W34" s="50">
        <f t="shared" si="1"/>
        <v>-41</v>
      </c>
      <c r="X34" s="53">
        <f t="shared" si="2"/>
        <v>-1.7108282912580847E-3</v>
      </c>
    </row>
    <row r="35" spans="1:24" ht="12.6" customHeight="1" x14ac:dyDescent="0.2">
      <c r="A35" s="27" t="s">
        <v>28</v>
      </c>
      <c r="B35" s="20">
        <v>3400</v>
      </c>
      <c r="C35" s="20">
        <v>3537</v>
      </c>
      <c r="D35" s="20">
        <v>3452</v>
      </c>
      <c r="E35" s="20">
        <v>3381</v>
      </c>
      <c r="F35" s="20">
        <v>3481</v>
      </c>
      <c r="G35" s="21">
        <v>3459</v>
      </c>
      <c r="H35" s="21">
        <v>3430</v>
      </c>
      <c r="I35" s="21">
        <v>3308</v>
      </c>
      <c r="J35" s="21">
        <v>3146</v>
      </c>
      <c r="K35" s="20">
        <v>3038</v>
      </c>
      <c r="L35" s="57">
        <f>2905+3</f>
        <v>2908</v>
      </c>
      <c r="M35" s="42">
        <v>2871</v>
      </c>
      <c r="N35" s="42">
        <v>2844</v>
      </c>
      <c r="O35" s="42">
        <v>2889</v>
      </c>
      <c r="P35" s="42">
        <v>2953</v>
      </c>
      <c r="Q35" s="42">
        <v>2912</v>
      </c>
      <c r="R35" s="42">
        <v>2922</v>
      </c>
      <c r="S35" s="42">
        <v>3064</v>
      </c>
      <c r="T35" s="42">
        <v>3020</v>
      </c>
      <c r="U35" s="43">
        <f t="shared" si="0"/>
        <v>-1.4360313315926894E-2</v>
      </c>
      <c r="V35" s="44">
        <v>2991</v>
      </c>
      <c r="W35" s="42">
        <f t="shared" si="1"/>
        <v>-29</v>
      </c>
      <c r="X35" s="45">
        <f t="shared" si="2"/>
        <v>-9.6026490066225163E-3</v>
      </c>
    </row>
    <row r="36" spans="1:24" ht="12.6" customHeight="1" x14ac:dyDescent="0.2">
      <c r="A36" s="28" t="s">
        <v>29</v>
      </c>
      <c r="B36" s="18">
        <v>4859</v>
      </c>
      <c r="C36" s="18">
        <v>4914</v>
      </c>
      <c r="D36" s="18">
        <v>4949</v>
      </c>
      <c r="E36" s="18">
        <v>4886</v>
      </c>
      <c r="F36" s="18">
        <v>4971</v>
      </c>
      <c r="G36" s="19">
        <v>4799</v>
      </c>
      <c r="H36" s="19">
        <v>4733</v>
      </c>
      <c r="I36" s="19">
        <v>4621</v>
      </c>
      <c r="J36" s="19">
        <v>4477</v>
      </c>
      <c r="K36" s="18">
        <v>4442</v>
      </c>
      <c r="L36" s="58">
        <f>4282+6</f>
        <v>4288</v>
      </c>
      <c r="M36" s="46">
        <v>4374</v>
      </c>
      <c r="N36" s="46">
        <v>4475</v>
      </c>
      <c r="O36" s="46">
        <v>4511</v>
      </c>
      <c r="P36" s="46">
        <v>4528</v>
      </c>
      <c r="Q36" s="46">
        <v>4533</v>
      </c>
      <c r="R36" s="46">
        <v>4546</v>
      </c>
      <c r="S36" s="46">
        <v>4629</v>
      </c>
      <c r="T36" s="46">
        <v>4585</v>
      </c>
      <c r="U36" s="47">
        <f t="shared" si="0"/>
        <v>-9.5052927198098942E-3</v>
      </c>
      <c r="V36" s="48">
        <v>4510</v>
      </c>
      <c r="W36" s="46">
        <f t="shared" si="1"/>
        <v>-75</v>
      </c>
      <c r="X36" s="49">
        <f t="shared" si="2"/>
        <v>-1.6357688113413305E-2</v>
      </c>
    </row>
    <row r="37" spans="1:24" ht="12.6" customHeight="1" x14ac:dyDescent="0.2">
      <c r="A37" s="28" t="s">
        <v>30</v>
      </c>
      <c r="B37" s="18">
        <v>2899</v>
      </c>
      <c r="C37" s="18">
        <v>2975</v>
      </c>
      <c r="D37" s="18">
        <v>3003</v>
      </c>
      <c r="E37" s="18">
        <v>2963</v>
      </c>
      <c r="F37" s="18">
        <v>2978</v>
      </c>
      <c r="G37" s="19">
        <v>2961</v>
      </c>
      <c r="H37" s="19">
        <v>2878</v>
      </c>
      <c r="I37" s="19">
        <v>2816</v>
      </c>
      <c r="J37" s="19">
        <v>2741</v>
      </c>
      <c r="K37" s="18">
        <v>2724</v>
      </c>
      <c r="L37" s="58">
        <f>2752+12</f>
        <v>2764</v>
      </c>
      <c r="M37" s="46">
        <v>2855</v>
      </c>
      <c r="N37" s="46">
        <v>2911</v>
      </c>
      <c r="O37" s="46">
        <v>2955</v>
      </c>
      <c r="P37" s="46">
        <v>3025</v>
      </c>
      <c r="Q37" s="46">
        <v>3038</v>
      </c>
      <c r="R37" s="46">
        <v>3124</v>
      </c>
      <c r="S37" s="46">
        <v>3189</v>
      </c>
      <c r="T37" s="46">
        <v>3162</v>
      </c>
      <c r="U37" s="47">
        <f t="shared" si="0"/>
        <v>-8.4666039510818431E-3</v>
      </c>
      <c r="V37" s="48">
        <v>3116</v>
      </c>
      <c r="W37" s="46">
        <f t="shared" si="1"/>
        <v>-46</v>
      </c>
      <c r="X37" s="49">
        <f t="shared" si="2"/>
        <v>-1.4547754585705249E-2</v>
      </c>
    </row>
    <row r="38" spans="1:24" ht="12.6" customHeight="1" x14ac:dyDescent="0.2">
      <c r="A38" s="28" t="s">
        <v>31</v>
      </c>
      <c r="B38" s="18">
        <v>1106</v>
      </c>
      <c r="C38" s="18">
        <v>1148</v>
      </c>
      <c r="D38" s="18">
        <v>1173</v>
      </c>
      <c r="E38" s="18">
        <v>1201</v>
      </c>
      <c r="F38" s="18">
        <v>1270</v>
      </c>
      <c r="G38" s="19">
        <v>1265</v>
      </c>
      <c r="H38" s="19">
        <v>1265</v>
      </c>
      <c r="I38" s="19">
        <v>1258</v>
      </c>
      <c r="J38" s="19">
        <v>1280</v>
      </c>
      <c r="K38" s="18">
        <v>1278</v>
      </c>
      <c r="L38" s="58">
        <v>1344</v>
      </c>
      <c r="M38" s="46">
        <v>1362</v>
      </c>
      <c r="N38" s="46">
        <v>1374</v>
      </c>
      <c r="O38" s="46">
        <v>1427</v>
      </c>
      <c r="P38" s="46">
        <v>1424</v>
      </c>
      <c r="Q38" s="46">
        <v>1433</v>
      </c>
      <c r="R38" s="46">
        <v>1457</v>
      </c>
      <c r="S38" s="46">
        <v>1468</v>
      </c>
      <c r="T38" s="46">
        <v>1495</v>
      </c>
      <c r="U38" s="47">
        <f t="shared" si="0"/>
        <v>1.8392370572207085E-2</v>
      </c>
      <c r="V38" s="48">
        <v>1530</v>
      </c>
      <c r="W38" s="46">
        <f t="shared" si="1"/>
        <v>35</v>
      </c>
      <c r="X38" s="49">
        <f t="shared" si="2"/>
        <v>2.3411371237458192E-2</v>
      </c>
    </row>
    <row r="39" spans="1:24" ht="12.6" customHeight="1" x14ac:dyDescent="0.2">
      <c r="A39" s="29" t="s">
        <v>32</v>
      </c>
      <c r="B39" s="22">
        <v>241</v>
      </c>
      <c r="C39" s="22">
        <v>247</v>
      </c>
      <c r="D39" s="22">
        <v>269</v>
      </c>
      <c r="E39" s="22">
        <v>315</v>
      </c>
      <c r="F39" s="22">
        <v>325</v>
      </c>
      <c r="G39" s="23">
        <v>316</v>
      </c>
      <c r="H39" s="23">
        <v>339</v>
      </c>
      <c r="I39" s="23">
        <v>308</v>
      </c>
      <c r="J39" s="23">
        <v>267</v>
      </c>
      <c r="K39" s="22">
        <v>309</v>
      </c>
      <c r="L39" s="59">
        <v>274</v>
      </c>
      <c r="M39" s="59">
        <v>260</v>
      </c>
      <c r="N39" s="59">
        <v>238</v>
      </c>
      <c r="O39" s="59">
        <v>232</v>
      </c>
      <c r="P39" s="50">
        <v>233</v>
      </c>
      <c r="Q39" s="50">
        <v>220</v>
      </c>
      <c r="R39" s="50">
        <v>210</v>
      </c>
      <c r="S39" s="50">
        <v>228</v>
      </c>
      <c r="T39" s="50">
        <v>250</v>
      </c>
      <c r="U39" s="51">
        <f t="shared" si="0"/>
        <v>9.6491228070175433E-2</v>
      </c>
      <c r="V39" s="52">
        <v>251</v>
      </c>
      <c r="W39" s="50">
        <f t="shared" si="1"/>
        <v>1</v>
      </c>
      <c r="X39" s="53">
        <f t="shared" si="2"/>
        <v>4.0000000000000001E-3</v>
      </c>
    </row>
    <row r="40" spans="1:24" ht="12.6" customHeight="1" x14ac:dyDescent="0.2">
      <c r="A40" s="27" t="s">
        <v>33</v>
      </c>
      <c r="B40" s="20">
        <v>7355</v>
      </c>
      <c r="C40" s="20">
        <v>7334</v>
      </c>
      <c r="D40" s="20">
        <v>7488</v>
      </c>
      <c r="E40" s="20">
        <v>7495</v>
      </c>
      <c r="F40" s="20">
        <v>7716</v>
      </c>
      <c r="G40" s="21">
        <v>8019</v>
      </c>
      <c r="H40" s="21">
        <v>8169</v>
      </c>
      <c r="I40" s="21">
        <v>8777</v>
      </c>
      <c r="J40" s="21">
        <v>9177</v>
      </c>
      <c r="K40" s="20">
        <v>9507</v>
      </c>
      <c r="L40" s="57">
        <v>11793</v>
      </c>
      <c r="M40" s="42">
        <v>12507</v>
      </c>
      <c r="N40" s="42">
        <v>12988</v>
      </c>
      <c r="O40" s="42">
        <v>13406</v>
      </c>
      <c r="P40" s="42">
        <v>13180</v>
      </c>
      <c r="Q40" s="42">
        <v>13439</v>
      </c>
      <c r="R40" s="42">
        <v>13675</v>
      </c>
      <c r="S40" s="42">
        <v>14034</v>
      </c>
      <c r="T40" s="42">
        <v>14107</v>
      </c>
      <c r="U40" s="43">
        <f t="shared" si="0"/>
        <v>5.2016531281174295E-3</v>
      </c>
      <c r="V40" s="44">
        <v>13744</v>
      </c>
      <c r="W40" s="42">
        <f t="shared" si="1"/>
        <v>-363</v>
      </c>
      <c r="X40" s="45">
        <f t="shared" si="2"/>
        <v>-2.5731906145885022E-2</v>
      </c>
    </row>
    <row r="41" spans="1:24" ht="12.6" customHeight="1" x14ac:dyDescent="0.2">
      <c r="A41" s="28" t="s">
        <v>34</v>
      </c>
      <c r="B41" s="18">
        <v>6795</v>
      </c>
      <c r="C41" s="18">
        <v>6814</v>
      </c>
      <c r="D41" s="18">
        <v>6831</v>
      </c>
      <c r="E41" s="18">
        <v>6699</v>
      </c>
      <c r="F41" s="18">
        <v>6644</v>
      </c>
      <c r="G41" s="19">
        <v>6445</v>
      </c>
      <c r="H41" s="19">
        <v>6472</v>
      </c>
      <c r="I41" s="19">
        <v>6192</v>
      </c>
      <c r="J41" s="19">
        <v>5974</v>
      </c>
      <c r="K41" s="18">
        <v>5938</v>
      </c>
      <c r="L41" s="58">
        <f>5513+26</f>
        <v>5539</v>
      </c>
      <c r="M41" s="46">
        <v>5772</v>
      </c>
      <c r="N41" s="46">
        <v>5952</v>
      </c>
      <c r="O41" s="46">
        <v>6408</v>
      </c>
      <c r="P41" s="46">
        <v>6489</v>
      </c>
      <c r="Q41" s="46">
        <v>6683</v>
      </c>
      <c r="R41" s="46">
        <v>6993</v>
      </c>
      <c r="S41" s="46">
        <v>7291</v>
      </c>
      <c r="T41" s="46">
        <v>7591</v>
      </c>
      <c r="U41" s="47">
        <f t="shared" si="0"/>
        <v>4.1146619119462352E-2</v>
      </c>
      <c r="V41" s="48">
        <v>7990</v>
      </c>
      <c r="W41" s="46">
        <f t="shared" si="1"/>
        <v>399</v>
      </c>
      <c r="X41" s="49">
        <f t="shared" si="2"/>
        <v>5.2562244763535763E-2</v>
      </c>
    </row>
    <row r="42" spans="1:24" ht="12.6" customHeight="1" x14ac:dyDescent="0.2">
      <c r="A42" s="28" t="s">
        <v>35</v>
      </c>
      <c r="B42" s="18">
        <v>3137</v>
      </c>
      <c r="C42" s="18">
        <v>3219</v>
      </c>
      <c r="D42" s="18">
        <v>3288</v>
      </c>
      <c r="E42" s="18">
        <v>3389</v>
      </c>
      <c r="F42" s="18">
        <v>3478</v>
      </c>
      <c r="G42" s="19">
        <v>3492</v>
      </c>
      <c r="H42" s="19">
        <v>3581</v>
      </c>
      <c r="I42" s="19">
        <v>3610</v>
      </c>
      <c r="J42" s="19">
        <v>3678</v>
      </c>
      <c r="K42" s="18">
        <v>3777</v>
      </c>
      <c r="L42" s="58">
        <v>4303</v>
      </c>
      <c r="M42" s="46">
        <v>4398</v>
      </c>
      <c r="N42" s="46">
        <v>4588</v>
      </c>
      <c r="O42" s="46">
        <v>4745</v>
      </c>
      <c r="P42" s="46">
        <v>4959</v>
      </c>
      <c r="Q42" s="46">
        <v>5089</v>
      </c>
      <c r="R42" s="46">
        <v>5253</v>
      </c>
      <c r="S42" s="46">
        <v>5585</v>
      </c>
      <c r="T42" s="46">
        <v>5786</v>
      </c>
      <c r="U42" s="47">
        <f t="shared" si="0"/>
        <v>3.5989256938227396E-2</v>
      </c>
      <c r="V42" s="48">
        <v>5942</v>
      </c>
      <c r="W42" s="46">
        <f t="shared" si="1"/>
        <v>156</v>
      </c>
      <c r="X42" s="49">
        <f t="shared" si="2"/>
        <v>2.6961631524369166E-2</v>
      </c>
    </row>
    <row r="43" spans="1:24" ht="12.6" customHeight="1" x14ac:dyDescent="0.2">
      <c r="A43" s="28" t="s">
        <v>36</v>
      </c>
      <c r="B43" s="18">
        <v>14596</v>
      </c>
      <c r="C43" s="18">
        <v>15644</v>
      </c>
      <c r="D43" s="18">
        <v>16550</v>
      </c>
      <c r="E43" s="18">
        <v>17418</v>
      </c>
      <c r="F43" s="18">
        <v>18078</v>
      </c>
      <c r="G43" s="19">
        <v>18408</v>
      </c>
      <c r="H43" s="19">
        <v>18513</v>
      </c>
      <c r="I43" s="19">
        <v>18375</v>
      </c>
      <c r="J43" s="19">
        <v>18261</v>
      </c>
      <c r="K43" s="18">
        <v>18823</v>
      </c>
      <c r="L43" s="58">
        <f>23143+46</f>
        <v>23189</v>
      </c>
      <c r="M43" s="46">
        <v>24297</v>
      </c>
      <c r="N43" s="46">
        <v>25295</v>
      </c>
      <c r="O43" s="46">
        <v>25775</v>
      </c>
      <c r="P43" s="46">
        <v>25202</v>
      </c>
      <c r="Q43" s="46">
        <v>25671</v>
      </c>
      <c r="R43" s="46">
        <v>26206</v>
      </c>
      <c r="S43" s="46">
        <v>26131</v>
      </c>
      <c r="T43" s="46">
        <v>27099</v>
      </c>
      <c r="U43" s="47">
        <f t="shared" si="0"/>
        <v>3.7044123837587539E-2</v>
      </c>
      <c r="V43" s="48">
        <v>27136</v>
      </c>
      <c r="W43" s="46">
        <f t="shared" si="1"/>
        <v>37</v>
      </c>
      <c r="X43" s="49">
        <f t="shared" si="2"/>
        <v>1.3653640355732685E-3</v>
      </c>
    </row>
    <row r="44" spans="1:24" ht="12.6" customHeight="1" x14ac:dyDescent="0.2">
      <c r="A44" s="28" t="s">
        <v>37</v>
      </c>
      <c r="B44" s="18">
        <v>580</v>
      </c>
      <c r="C44" s="18">
        <v>590</v>
      </c>
      <c r="D44" s="18">
        <v>602</v>
      </c>
      <c r="E44" s="18">
        <v>602</v>
      </c>
      <c r="F44" s="18">
        <v>605</v>
      </c>
      <c r="G44" s="19">
        <v>561</v>
      </c>
      <c r="H44" s="19">
        <v>554</v>
      </c>
      <c r="I44" s="19">
        <v>571</v>
      </c>
      <c r="J44" s="19">
        <v>550</v>
      </c>
      <c r="K44" s="18">
        <v>538</v>
      </c>
      <c r="L44" s="58">
        <v>514</v>
      </c>
      <c r="M44" s="58">
        <v>531</v>
      </c>
      <c r="N44" s="58">
        <v>548</v>
      </c>
      <c r="O44" s="58">
        <v>531</v>
      </c>
      <c r="P44" s="46">
        <v>561</v>
      </c>
      <c r="Q44" s="46">
        <v>567</v>
      </c>
      <c r="R44" s="46">
        <v>539</v>
      </c>
      <c r="S44" s="46">
        <v>525</v>
      </c>
      <c r="T44" s="46">
        <v>501</v>
      </c>
      <c r="U44" s="47">
        <f t="shared" si="0"/>
        <v>-4.5714285714285714E-2</v>
      </c>
      <c r="V44" s="48">
        <v>470</v>
      </c>
      <c r="W44" s="46">
        <f t="shared" si="1"/>
        <v>-31</v>
      </c>
      <c r="X44" s="49">
        <f t="shared" si="2"/>
        <v>-6.1876247504990017E-2</v>
      </c>
    </row>
    <row r="45" spans="1:24" ht="12.6" customHeight="1" x14ac:dyDescent="0.2">
      <c r="A45" s="29" t="s">
        <v>38</v>
      </c>
      <c r="B45" s="22">
        <v>26832</v>
      </c>
      <c r="C45" s="22">
        <v>27158</v>
      </c>
      <c r="D45" s="22">
        <v>27564</v>
      </c>
      <c r="E45" s="22">
        <v>27951</v>
      </c>
      <c r="F45" s="22">
        <v>28385</v>
      </c>
      <c r="G45" s="23">
        <v>28401</v>
      </c>
      <c r="H45" s="23">
        <v>28058</v>
      </c>
      <c r="I45" s="23">
        <v>28134</v>
      </c>
      <c r="J45" s="23">
        <v>28009</v>
      </c>
      <c r="K45" s="22">
        <v>28101</v>
      </c>
      <c r="L45" s="59">
        <f>28737+37</f>
        <v>28774</v>
      </c>
      <c r="M45" s="50">
        <v>29132</v>
      </c>
      <c r="N45" s="50">
        <v>30097</v>
      </c>
      <c r="O45" s="50">
        <v>29879</v>
      </c>
      <c r="P45" s="50">
        <v>30417</v>
      </c>
      <c r="Q45" s="50">
        <v>30347</v>
      </c>
      <c r="R45" s="50">
        <v>30423</v>
      </c>
      <c r="S45" s="50">
        <v>30732</v>
      </c>
      <c r="T45" s="50">
        <v>31028</v>
      </c>
      <c r="U45" s="51">
        <f t="shared" si="0"/>
        <v>9.6316543017050636E-3</v>
      </c>
      <c r="V45" s="52">
        <v>31293</v>
      </c>
      <c r="W45" s="50">
        <f t="shared" si="1"/>
        <v>265</v>
      </c>
      <c r="X45" s="53">
        <f t="shared" si="2"/>
        <v>8.5406729405698087E-3</v>
      </c>
    </row>
    <row r="46" spans="1:24" ht="12.6" customHeight="1" x14ac:dyDescent="0.2">
      <c r="A46" s="80" t="s">
        <v>49</v>
      </c>
      <c r="B46" s="81">
        <f t="shared" ref="B46:H46" si="3">SUM(B5:B44)</f>
        <v>434427</v>
      </c>
      <c r="C46" s="81">
        <f t="shared" si="3"/>
        <v>441517</v>
      </c>
      <c r="D46" s="81">
        <f t="shared" si="3"/>
        <v>443838</v>
      </c>
      <c r="E46" s="81">
        <f t="shared" si="3"/>
        <v>445715</v>
      </c>
      <c r="F46" s="81">
        <f t="shared" si="3"/>
        <v>449643</v>
      </c>
      <c r="G46" s="81">
        <f t="shared" si="3"/>
        <v>450750</v>
      </c>
      <c r="H46" s="81">
        <f t="shared" si="3"/>
        <v>449003</v>
      </c>
      <c r="I46" s="81">
        <f>SUM(I5:I44)</f>
        <v>447450</v>
      </c>
      <c r="J46" s="81">
        <f>SUM(J5:J44)</f>
        <v>446723</v>
      </c>
      <c r="K46" s="81">
        <f t="shared" ref="K46" si="4">SUM(K5:K44)</f>
        <v>449059</v>
      </c>
      <c r="L46" s="82">
        <f t="shared" ref="L46:V46" si="5">SUM(L5:L45)</f>
        <v>498484</v>
      </c>
      <c r="M46" s="82">
        <f t="shared" si="5"/>
        <v>504792</v>
      </c>
      <c r="N46" s="82">
        <f t="shared" si="5"/>
        <v>515457</v>
      </c>
      <c r="O46" s="82">
        <f t="shared" si="5"/>
        <v>523644</v>
      </c>
      <c r="P46" s="82">
        <f t="shared" si="5"/>
        <v>529107</v>
      </c>
      <c r="Q46" s="82">
        <f t="shared" si="5"/>
        <v>536214</v>
      </c>
      <c r="R46" s="82">
        <f t="shared" si="5"/>
        <v>542853</v>
      </c>
      <c r="S46" s="82">
        <f t="shared" si="5"/>
        <v>550184</v>
      </c>
      <c r="T46" s="82">
        <f t="shared" si="5"/>
        <v>557651</v>
      </c>
      <c r="U46" s="83">
        <f t="shared" ref="U46:U47" si="6">(T46-S46)/S46</f>
        <v>1.3571823244587266E-2</v>
      </c>
      <c r="V46" s="82">
        <f t="shared" si="5"/>
        <v>556236</v>
      </c>
      <c r="W46" s="84">
        <f t="shared" ref="W46:W48" si="7">V46-T46</f>
        <v>-1415</v>
      </c>
      <c r="X46" s="85">
        <f t="shared" si="2"/>
        <v>-2.5374293240754521E-3</v>
      </c>
    </row>
    <row r="47" spans="1:24" ht="12.6" customHeight="1" x14ac:dyDescent="0.2">
      <c r="A47" s="80" t="s">
        <v>53</v>
      </c>
      <c r="B47" s="86"/>
      <c r="C47" s="86"/>
      <c r="D47" s="86"/>
      <c r="E47" s="86"/>
      <c r="F47" s="86"/>
      <c r="G47" s="86"/>
      <c r="H47" s="86"/>
      <c r="I47" s="86">
        <v>390</v>
      </c>
      <c r="J47" s="86">
        <v>537</v>
      </c>
      <c r="K47" s="86">
        <v>641</v>
      </c>
      <c r="L47" s="82">
        <v>11528</v>
      </c>
      <c r="M47" s="82">
        <v>19211</v>
      </c>
      <c r="N47" s="82">
        <v>22196</v>
      </c>
      <c r="O47" s="82">
        <v>27369</v>
      </c>
      <c r="P47" s="82">
        <v>34166</v>
      </c>
      <c r="Q47" s="82">
        <v>40121</v>
      </c>
      <c r="R47" s="82">
        <v>44892</v>
      </c>
      <c r="S47" s="82">
        <v>50786</v>
      </c>
      <c r="T47" s="82">
        <v>54900</v>
      </c>
      <c r="U47" s="83">
        <f t="shared" si="6"/>
        <v>8.1006576615602718E-2</v>
      </c>
      <c r="V47" s="82">
        <v>66577</v>
      </c>
      <c r="W47" s="84">
        <f t="shared" si="7"/>
        <v>11677</v>
      </c>
      <c r="X47" s="85">
        <f t="shared" si="2"/>
        <v>0.21269581056466302</v>
      </c>
    </row>
    <row r="48" spans="1:24" ht="12.6" customHeight="1" x14ac:dyDescent="0.2">
      <c r="A48" s="63" t="s">
        <v>50</v>
      </c>
      <c r="B48" s="60"/>
      <c r="C48" s="60"/>
      <c r="D48" s="60"/>
      <c r="E48" s="60"/>
      <c r="F48" s="60"/>
      <c r="G48" s="60"/>
      <c r="H48" s="60"/>
      <c r="I48" s="61">
        <f>SUM(I46:I47)</f>
        <v>447840</v>
      </c>
      <c r="J48" s="61">
        <f>SUM(J46:J47)</f>
        <v>447260</v>
      </c>
      <c r="K48" s="61">
        <f t="shared" ref="K48:R48" si="8">SUM(K46:K47)</f>
        <v>449700</v>
      </c>
      <c r="L48" s="65">
        <f t="shared" si="8"/>
        <v>510012</v>
      </c>
      <c r="M48" s="65">
        <f t="shared" si="8"/>
        <v>524003</v>
      </c>
      <c r="N48" s="65">
        <f t="shared" si="8"/>
        <v>537653</v>
      </c>
      <c r="O48" s="65">
        <f t="shared" si="8"/>
        <v>551013</v>
      </c>
      <c r="P48" s="65">
        <f t="shared" si="8"/>
        <v>563273</v>
      </c>
      <c r="Q48" s="65">
        <f t="shared" si="8"/>
        <v>576335</v>
      </c>
      <c r="R48" s="65">
        <f t="shared" si="8"/>
        <v>587745</v>
      </c>
      <c r="S48" s="65">
        <f>SUM(S46:S47)</f>
        <v>600970</v>
      </c>
      <c r="T48" s="65">
        <f>SUM(T46:T47)</f>
        <v>612551</v>
      </c>
      <c r="U48" s="66">
        <f>(T48-S48)/S48</f>
        <v>1.927051267118159E-2</v>
      </c>
      <c r="V48" s="65">
        <f>SUM(V46:V47)</f>
        <v>622813</v>
      </c>
      <c r="W48" s="64">
        <f t="shared" si="7"/>
        <v>10262</v>
      </c>
      <c r="X48" s="62">
        <f t="shared" si="2"/>
        <v>1.6752890779706507E-2</v>
      </c>
    </row>
    <row r="49" spans="1:1" ht="15" customHeight="1" x14ac:dyDescent="0.2">
      <c r="A49" s="6" t="s">
        <v>54</v>
      </c>
    </row>
    <row r="50" spans="1:1" ht="15.75" customHeight="1" x14ac:dyDescent="0.2">
      <c r="A50" s="6" t="s">
        <v>55</v>
      </c>
    </row>
  </sheetData>
  <sheetProtection password="EB3F" sheet="1" objects="1" scenarios="1"/>
  <sortState ref="A7:Z47">
    <sortCondition ref="A7:A47"/>
  </sortState>
  <phoneticPr fontId="3" type="noConversion"/>
  <printOptions horizontalCentered="1"/>
  <pageMargins left="0.5" right="0.5" top="1" bottom="1" header="0.75" footer="0.75"/>
  <pageSetup scale="76" orientation="landscape" r:id="rId1"/>
  <headerFooter alignWithMargins="0">
    <oddHeader>&amp;C&amp;"-,Bold"&amp;14Enrollment by District and Year
Fall 2005-Projected Fall 2014</oddHeader>
    <oddFooter xml:space="preserve">&amp;L&amp;"-,Regular"&amp;8Compiler: USOE/Data &amp; Statistics
Source: Actual-October 2013 Warehouse
Projections: Common Data Committee (GOPB, LFA, USOE)&amp;R&amp;8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4"/>
  <sheetViews>
    <sheetView view="pageLayout" zoomScaleNormal="100" workbookViewId="0"/>
  </sheetViews>
  <sheetFormatPr defaultColWidth="9.140625" defaultRowHeight="12.75" x14ac:dyDescent="0.2"/>
  <cols>
    <col min="1" max="1" width="38.7109375" style="1" customWidth="1"/>
    <col min="2" max="8" width="7.28515625" style="2" customWidth="1"/>
    <col min="9" max="9" width="7.28515625" style="3" customWidth="1"/>
    <col min="10" max="10" width="7.28515625" style="2" customWidth="1"/>
    <col min="11" max="14" width="7.28515625" style="4" customWidth="1"/>
    <col min="15" max="15" width="7.28515625" style="5" customWidth="1"/>
    <col min="16" max="16" width="7.28515625" style="6" customWidth="1"/>
    <col min="17" max="16384" width="9.140625" style="4"/>
  </cols>
  <sheetData>
    <row r="1" spans="1:16" ht="13.15" customHeight="1" x14ac:dyDescent="0.2">
      <c r="A1" s="7" t="s">
        <v>154</v>
      </c>
      <c r="B1" s="8">
        <v>1999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9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9">
        <v>2012</v>
      </c>
      <c r="P1" s="9">
        <v>2013</v>
      </c>
    </row>
    <row r="2" spans="1:16" x14ac:dyDescent="0.2">
      <c r="A2" s="87" t="s">
        <v>57</v>
      </c>
      <c r="B2" s="67"/>
      <c r="C2" s="67"/>
      <c r="D2" s="67"/>
      <c r="E2" s="67"/>
      <c r="F2" s="67">
        <v>260</v>
      </c>
      <c r="G2" s="67">
        <v>384</v>
      </c>
      <c r="H2" s="67">
        <v>423</v>
      </c>
      <c r="I2" s="68">
        <v>425</v>
      </c>
      <c r="J2" s="67">
        <v>430</v>
      </c>
      <c r="K2" s="67">
        <v>439</v>
      </c>
      <c r="L2" s="67">
        <v>477</v>
      </c>
      <c r="M2" s="67">
        <v>479</v>
      </c>
      <c r="N2" s="67">
        <v>484</v>
      </c>
      <c r="O2" s="68">
        <v>489</v>
      </c>
      <c r="P2" s="69">
        <v>491</v>
      </c>
    </row>
    <row r="3" spans="1:16" x14ac:dyDescent="0.2">
      <c r="A3" s="88" t="s">
        <v>58</v>
      </c>
      <c r="B3" s="70"/>
      <c r="C3" s="70"/>
      <c r="D3" s="70"/>
      <c r="E3" s="70"/>
      <c r="F3" s="70"/>
      <c r="G3" s="70"/>
      <c r="H3" s="70"/>
      <c r="I3" s="71"/>
      <c r="J3" s="70"/>
      <c r="K3" s="70"/>
      <c r="L3" s="70"/>
      <c r="M3" s="70"/>
      <c r="N3" s="70">
        <v>468</v>
      </c>
      <c r="O3" s="71">
        <v>502</v>
      </c>
      <c r="P3" s="72">
        <v>457</v>
      </c>
    </row>
    <row r="4" spans="1:16" x14ac:dyDescent="0.2">
      <c r="A4" s="88" t="s">
        <v>59</v>
      </c>
      <c r="B4" s="70"/>
      <c r="C4" s="70"/>
      <c r="D4" s="70"/>
      <c r="E4" s="70"/>
      <c r="F4" s="70"/>
      <c r="G4" s="70"/>
      <c r="H4" s="70">
        <v>1199</v>
      </c>
      <c r="I4" s="71">
        <v>1416</v>
      </c>
      <c r="J4" s="70">
        <v>1429</v>
      </c>
      <c r="K4" s="70">
        <v>1432</v>
      </c>
      <c r="L4" s="70">
        <v>1477</v>
      </c>
      <c r="M4" s="70">
        <v>1505</v>
      </c>
      <c r="N4" s="70">
        <v>1523</v>
      </c>
      <c r="O4" s="71">
        <v>1741</v>
      </c>
      <c r="P4" s="72">
        <v>1681</v>
      </c>
    </row>
    <row r="5" spans="1:16" x14ac:dyDescent="0.2">
      <c r="A5" s="88" t="s">
        <v>60</v>
      </c>
      <c r="B5" s="70"/>
      <c r="C5" s="70"/>
      <c r="D5" s="70"/>
      <c r="E5" s="70"/>
      <c r="F5" s="70">
        <v>460</v>
      </c>
      <c r="G5" s="70">
        <v>504</v>
      </c>
      <c r="H5" s="70">
        <v>525</v>
      </c>
      <c r="I5" s="71">
        <v>539</v>
      </c>
      <c r="J5" s="70">
        <v>538</v>
      </c>
      <c r="K5" s="70">
        <v>563</v>
      </c>
      <c r="L5" s="70">
        <v>1147</v>
      </c>
      <c r="M5" s="70">
        <v>1141</v>
      </c>
      <c r="N5" s="70">
        <v>1862</v>
      </c>
      <c r="O5" s="71">
        <v>2322</v>
      </c>
      <c r="P5" s="72">
        <v>3430</v>
      </c>
    </row>
    <row r="6" spans="1:16" x14ac:dyDescent="0.2">
      <c r="A6" s="89" t="s">
        <v>61</v>
      </c>
      <c r="B6" s="73"/>
      <c r="C6" s="73"/>
      <c r="D6" s="73"/>
      <c r="E6" s="73"/>
      <c r="F6" s="73"/>
      <c r="G6" s="73"/>
      <c r="H6" s="73"/>
      <c r="I6" s="74"/>
      <c r="J6" s="73"/>
      <c r="K6" s="73"/>
      <c r="L6" s="73"/>
      <c r="M6" s="73"/>
      <c r="N6" s="73"/>
      <c r="O6" s="74">
        <v>258</v>
      </c>
      <c r="P6" s="75">
        <v>220</v>
      </c>
    </row>
    <row r="7" spans="1:16" x14ac:dyDescent="0.2">
      <c r="A7" s="87" t="s">
        <v>62</v>
      </c>
      <c r="B7" s="67"/>
      <c r="C7" s="67"/>
      <c r="D7" s="67"/>
      <c r="E7" s="67"/>
      <c r="F7" s="67"/>
      <c r="G7" s="67"/>
      <c r="H7" s="67"/>
      <c r="I7" s="68"/>
      <c r="J7" s="67"/>
      <c r="K7" s="67"/>
      <c r="L7" s="67"/>
      <c r="M7" s="67">
        <v>177</v>
      </c>
      <c r="N7" s="67">
        <v>180</v>
      </c>
      <c r="O7" s="68">
        <v>180</v>
      </c>
      <c r="P7" s="69">
        <v>180</v>
      </c>
    </row>
    <row r="8" spans="1:16" x14ac:dyDescent="0.2">
      <c r="A8" s="88" t="s">
        <v>63</v>
      </c>
      <c r="B8" s="70"/>
      <c r="C8" s="70"/>
      <c r="D8" s="70"/>
      <c r="E8" s="70"/>
      <c r="F8" s="70"/>
      <c r="G8" s="70"/>
      <c r="H8" s="70">
        <v>78</v>
      </c>
      <c r="I8" s="71">
        <v>122</v>
      </c>
      <c r="J8" s="70">
        <v>141</v>
      </c>
      <c r="K8" s="70">
        <v>224</v>
      </c>
      <c r="L8" s="70">
        <v>199</v>
      </c>
      <c r="M8" s="70">
        <v>233</v>
      </c>
      <c r="N8" s="70">
        <v>138</v>
      </c>
      <c r="O8" s="71">
        <v>230</v>
      </c>
      <c r="P8" s="72">
        <v>294</v>
      </c>
    </row>
    <row r="9" spans="1:16" x14ac:dyDescent="0.2">
      <c r="A9" s="88" t="s">
        <v>64</v>
      </c>
      <c r="B9" s="70"/>
      <c r="C9" s="70"/>
      <c r="D9" s="70"/>
      <c r="E9" s="70"/>
      <c r="F9" s="70"/>
      <c r="G9" s="70"/>
      <c r="H9" s="70"/>
      <c r="I9" s="71"/>
      <c r="J9" s="70"/>
      <c r="K9" s="70"/>
      <c r="L9" s="70"/>
      <c r="M9" s="70"/>
      <c r="N9" s="70"/>
      <c r="O9" s="71"/>
      <c r="P9" s="72">
        <v>452</v>
      </c>
    </row>
    <row r="10" spans="1:16" x14ac:dyDescent="0.2">
      <c r="A10" s="88" t="s">
        <v>65</v>
      </c>
      <c r="B10" s="70"/>
      <c r="C10" s="70"/>
      <c r="D10" s="70"/>
      <c r="E10" s="70"/>
      <c r="F10" s="70"/>
      <c r="G10" s="70"/>
      <c r="H10" s="70"/>
      <c r="I10" s="71"/>
      <c r="J10" s="70">
        <v>451</v>
      </c>
      <c r="K10" s="70">
        <v>500</v>
      </c>
      <c r="L10" s="70">
        <v>526</v>
      </c>
      <c r="M10" s="70">
        <v>530</v>
      </c>
      <c r="N10" s="70">
        <v>529</v>
      </c>
      <c r="O10" s="71">
        <v>530</v>
      </c>
      <c r="P10" s="72">
        <v>528</v>
      </c>
    </row>
    <row r="11" spans="1:16" x14ac:dyDescent="0.2">
      <c r="A11" s="89" t="s">
        <v>66</v>
      </c>
      <c r="B11" s="73">
        <v>37</v>
      </c>
      <c r="C11" s="73">
        <v>42</v>
      </c>
      <c r="D11" s="73">
        <v>39</v>
      </c>
      <c r="E11" s="73">
        <v>38</v>
      </c>
      <c r="F11" s="73">
        <v>39</v>
      </c>
      <c r="G11" s="73">
        <v>37</v>
      </c>
      <c r="H11" s="73">
        <v>29</v>
      </c>
      <c r="I11" s="74">
        <v>33</v>
      </c>
      <c r="J11" s="73">
        <v>28</v>
      </c>
      <c r="K11" s="73">
        <v>35</v>
      </c>
      <c r="L11" s="73"/>
      <c r="M11" s="73"/>
      <c r="N11" s="73"/>
      <c r="O11" s="74"/>
      <c r="P11" s="75"/>
    </row>
    <row r="12" spans="1:16" x14ac:dyDescent="0.2">
      <c r="A12" s="87" t="s">
        <v>67</v>
      </c>
      <c r="B12" s="67"/>
      <c r="C12" s="67"/>
      <c r="D12" s="67"/>
      <c r="E12" s="67"/>
      <c r="F12" s="67"/>
      <c r="G12" s="67"/>
      <c r="H12" s="67"/>
      <c r="I12" s="68">
        <v>638</v>
      </c>
      <c r="J12" s="67">
        <v>637</v>
      </c>
      <c r="K12" s="67">
        <v>658</v>
      </c>
      <c r="L12" s="67">
        <v>661</v>
      </c>
      <c r="M12" s="67">
        <v>668</v>
      </c>
      <c r="N12" s="67">
        <v>669</v>
      </c>
      <c r="O12" s="68">
        <v>675</v>
      </c>
      <c r="P12" s="69">
        <v>658</v>
      </c>
    </row>
    <row r="13" spans="1:16" x14ac:dyDescent="0.2">
      <c r="A13" s="88" t="s">
        <v>68</v>
      </c>
      <c r="B13" s="70"/>
      <c r="C13" s="70">
        <v>60</v>
      </c>
      <c r="D13" s="70">
        <v>104</v>
      </c>
      <c r="E13" s="70">
        <v>144</v>
      </c>
      <c r="F13" s="70">
        <v>163</v>
      </c>
      <c r="G13" s="70">
        <v>183</v>
      </c>
      <c r="H13" s="70">
        <v>161</v>
      </c>
      <c r="I13" s="71">
        <v>145</v>
      </c>
      <c r="J13" s="70">
        <v>149</v>
      </c>
      <c r="K13" s="70">
        <v>185</v>
      </c>
      <c r="L13" s="70">
        <v>193</v>
      </c>
      <c r="M13" s="70">
        <v>185</v>
      </c>
      <c r="N13" s="70">
        <v>207</v>
      </c>
      <c r="O13" s="71">
        <v>218</v>
      </c>
      <c r="P13" s="72">
        <v>235</v>
      </c>
    </row>
    <row r="14" spans="1:16" x14ac:dyDescent="0.2">
      <c r="A14" s="88" t="s">
        <v>69</v>
      </c>
      <c r="B14" s="70"/>
      <c r="C14" s="70"/>
      <c r="D14" s="70"/>
      <c r="E14" s="70"/>
      <c r="F14" s="70"/>
      <c r="G14" s="70"/>
      <c r="H14" s="70"/>
      <c r="I14" s="71"/>
      <c r="J14" s="70">
        <v>190</v>
      </c>
      <c r="K14" s="70">
        <v>274</v>
      </c>
      <c r="L14" s="70">
        <v>323</v>
      </c>
      <c r="M14" s="70">
        <v>293</v>
      </c>
      <c r="N14" s="70">
        <v>459</v>
      </c>
      <c r="O14" s="71">
        <v>456</v>
      </c>
      <c r="P14" s="72">
        <v>449</v>
      </c>
    </row>
    <row r="15" spans="1:16" x14ac:dyDescent="0.2">
      <c r="A15" s="88" t="s">
        <v>70</v>
      </c>
      <c r="B15" s="70"/>
      <c r="C15" s="70"/>
      <c r="D15" s="70"/>
      <c r="E15" s="70"/>
      <c r="F15" s="70"/>
      <c r="G15" s="70">
        <v>233</v>
      </c>
      <c r="H15" s="70">
        <v>263</v>
      </c>
      <c r="I15" s="71">
        <v>325</v>
      </c>
      <c r="J15" s="70">
        <v>281</v>
      </c>
      <c r="K15" s="70">
        <v>296</v>
      </c>
      <c r="L15" s="70">
        <v>447</v>
      </c>
      <c r="M15" s="70">
        <v>378</v>
      </c>
      <c r="N15" s="70">
        <v>935</v>
      </c>
      <c r="O15" s="71">
        <v>1094</v>
      </c>
      <c r="P15" s="72">
        <v>1097</v>
      </c>
    </row>
    <row r="16" spans="1:16" x14ac:dyDescent="0.2">
      <c r="A16" s="89" t="s">
        <v>71</v>
      </c>
      <c r="B16" s="73"/>
      <c r="C16" s="73"/>
      <c r="D16" s="73"/>
      <c r="E16" s="73"/>
      <c r="F16" s="73">
        <v>31</v>
      </c>
      <c r="G16" s="73">
        <v>43</v>
      </c>
      <c r="H16" s="73"/>
      <c r="I16" s="74"/>
      <c r="J16" s="73"/>
      <c r="K16" s="73"/>
      <c r="L16" s="73"/>
      <c r="M16" s="73"/>
      <c r="N16" s="73"/>
      <c r="O16" s="74"/>
      <c r="P16" s="75"/>
    </row>
    <row r="17" spans="1:16" x14ac:dyDescent="0.2">
      <c r="A17" s="87" t="s">
        <v>72</v>
      </c>
      <c r="B17" s="67"/>
      <c r="C17" s="67"/>
      <c r="D17" s="67"/>
      <c r="E17" s="67"/>
      <c r="F17" s="67"/>
      <c r="G17" s="67"/>
      <c r="H17" s="67"/>
      <c r="I17" s="68"/>
      <c r="J17" s="67">
        <v>346</v>
      </c>
      <c r="K17" s="67">
        <v>352</v>
      </c>
      <c r="L17" s="67">
        <v>430</v>
      </c>
      <c r="M17" s="67">
        <v>451</v>
      </c>
      <c r="N17" s="67">
        <v>442</v>
      </c>
      <c r="O17" s="68">
        <v>425</v>
      </c>
      <c r="P17" s="69">
        <v>437</v>
      </c>
    </row>
    <row r="18" spans="1:16" x14ac:dyDescent="0.2">
      <c r="A18" s="88" t="s">
        <v>73</v>
      </c>
      <c r="B18" s="70"/>
      <c r="C18" s="70"/>
      <c r="D18" s="70"/>
      <c r="E18" s="70"/>
      <c r="F18" s="70"/>
      <c r="G18" s="70"/>
      <c r="H18" s="70"/>
      <c r="I18" s="71"/>
      <c r="J18" s="70"/>
      <c r="K18" s="70"/>
      <c r="L18" s="70">
        <v>678</v>
      </c>
      <c r="M18" s="70">
        <v>751</v>
      </c>
      <c r="N18" s="70">
        <v>751</v>
      </c>
      <c r="O18" s="71">
        <v>750</v>
      </c>
      <c r="P18" s="72">
        <v>752</v>
      </c>
    </row>
    <row r="19" spans="1:16" x14ac:dyDescent="0.2">
      <c r="A19" s="88" t="s">
        <v>74</v>
      </c>
      <c r="B19" s="70"/>
      <c r="C19" s="70"/>
      <c r="D19" s="70"/>
      <c r="E19" s="70"/>
      <c r="F19" s="70"/>
      <c r="G19" s="70">
        <v>152</v>
      </c>
      <c r="H19" s="70">
        <v>317</v>
      </c>
      <c r="I19" s="71">
        <v>374</v>
      </c>
      <c r="J19" s="70">
        <v>314</v>
      </c>
      <c r="K19" s="70">
        <v>293</v>
      </c>
      <c r="L19" s="70">
        <v>289</v>
      </c>
      <c r="M19" s="70">
        <v>317</v>
      </c>
      <c r="N19" s="70">
        <v>313</v>
      </c>
      <c r="O19" s="71">
        <v>325</v>
      </c>
      <c r="P19" s="72">
        <v>309</v>
      </c>
    </row>
    <row r="20" spans="1:16" x14ac:dyDescent="0.2">
      <c r="A20" s="88" t="s">
        <v>75</v>
      </c>
      <c r="B20" s="70"/>
      <c r="C20" s="70"/>
      <c r="D20" s="70"/>
      <c r="E20" s="70"/>
      <c r="F20" s="70"/>
      <c r="G20" s="70"/>
      <c r="H20" s="70"/>
      <c r="I20" s="71"/>
      <c r="J20" s="70">
        <v>300</v>
      </c>
      <c r="K20" s="70">
        <v>300</v>
      </c>
      <c r="L20" s="70">
        <v>300</v>
      </c>
      <c r="M20" s="70">
        <v>302</v>
      </c>
      <c r="N20" s="70">
        <v>296</v>
      </c>
      <c r="O20" s="71">
        <v>304</v>
      </c>
      <c r="P20" s="72">
        <v>304</v>
      </c>
    </row>
    <row r="21" spans="1:16" x14ac:dyDescent="0.2">
      <c r="A21" s="89" t="s">
        <v>76</v>
      </c>
      <c r="B21" s="73"/>
      <c r="C21" s="73"/>
      <c r="D21" s="73"/>
      <c r="E21" s="73"/>
      <c r="F21" s="73"/>
      <c r="G21" s="73"/>
      <c r="H21" s="73"/>
      <c r="I21" s="74"/>
      <c r="J21" s="73"/>
      <c r="K21" s="73"/>
      <c r="L21" s="73"/>
      <c r="M21" s="73"/>
      <c r="N21" s="73">
        <v>299</v>
      </c>
      <c r="O21" s="74">
        <v>579</v>
      </c>
      <c r="P21" s="75">
        <v>614</v>
      </c>
    </row>
    <row r="22" spans="1:16" x14ac:dyDescent="0.2">
      <c r="A22" s="87" t="s">
        <v>77</v>
      </c>
      <c r="B22" s="67"/>
      <c r="C22" s="67"/>
      <c r="D22" s="67"/>
      <c r="E22" s="67"/>
      <c r="F22" s="67"/>
      <c r="G22" s="67"/>
      <c r="H22" s="67"/>
      <c r="I22" s="68">
        <v>424</v>
      </c>
      <c r="J22" s="67">
        <v>480</v>
      </c>
      <c r="K22" s="67">
        <v>502</v>
      </c>
      <c r="L22" s="67">
        <v>510</v>
      </c>
      <c r="M22" s="67">
        <v>514</v>
      </c>
      <c r="N22" s="67">
        <v>523</v>
      </c>
      <c r="O22" s="68">
        <v>1012</v>
      </c>
      <c r="P22" s="69">
        <v>1036</v>
      </c>
    </row>
    <row r="23" spans="1:16" x14ac:dyDescent="0.2">
      <c r="A23" s="88" t="s">
        <v>78</v>
      </c>
      <c r="B23" s="70"/>
      <c r="C23" s="70"/>
      <c r="D23" s="70"/>
      <c r="E23" s="70"/>
      <c r="F23" s="70"/>
      <c r="G23" s="70"/>
      <c r="H23" s="70"/>
      <c r="I23" s="71"/>
      <c r="J23" s="70"/>
      <c r="K23" s="70"/>
      <c r="L23" s="70">
        <v>645</v>
      </c>
      <c r="M23" s="70">
        <v>658</v>
      </c>
      <c r="N23" s="70">
        <v>679</v>
      </c>
      <c r="O23" s="71">
        <v>678</v>
      </c>
      <c r="P23" s="72">
        <v>683</v>
      </c>
    </row>
    <row r="24" spans="1:16" x14ac:dyDescent="0.2">
      <c r="A24" s="88" t="s">
        <v>79</v>
      </c>
      <c r="B24" s="70"/>
      <c r="C24" s="70"/>
      <c r="D24" s="70"/>
      <c r="E24" s="70"/>
      <c r="F24" s="70">
        <v>55</v>
      </c>
      <c r="G24" s="70">
        <v>206</v>
      </c>
      <c r="H24" s="70">
        <v>218</v>
      </c>
      <c r="I24" s="71">
        <v>202</v>
      </c>
      <c r="J24" s="70">
        <v>206</v>
      </c>
      <c r="K24" s="70">
        <v>215</v>
      </c>
      <c r="L24" s="70">
        <v>214</v>
      </c>
      <c r="M24" s="70">
        <v>213</v>
      </c>
      <c r="N24" s="70">
        <v>220</v>
      </c>
      <c r="O24" s="71">
        <v>229</v>
      </c>
      <c r="P24" s="72">
        <v>238</v>
      </c>
    </row>
    <row r="25" spans="1:16" x14ac:dyDescent="0.2">
      <c r="A25" s="88" t="s">
        <v>80</v>
      </c>
      <c r="B25" s="70"/>
      <c r="C25" s="70"/>
      <c r="D25" s="70"/>
      <c r="E25" s="70"/>
      <c r="F25" s="70">
        <v>332</v>
      </c>
      <c r="G25" s="70">
        <v>400</v>
      </c>
      <c r="H25" s="70">
        <v>413</v>
      </c>
      <c r="I25" s="71">
        <v>441</v>
      </c>
      <c r="J25" s="70">
        <v>648</v>
      </c>
      <c r="K25" s="70">
        <v>659</v>
      </c>
      <c r="L25" s="70">
        <v>672</v>
      </c>
      <c r="M25" s="70">
        <v>673</v>
      </c>
      <c r="N25" s="70">
        <v>697</v>
      </c>
      <c r="O25" s="71">
        <v>768</v>
      </c>
      <c r="P25" s="72">
        <v>955</v>
      </c>
    </row>
    <row r="26" spans="1:16" x14ac:dyDescent="0.2">
      <c r="A26" s="89" t="s">
        <v>81</v>
      </c>
      <c r="B26" s="73"/>
      <c r="C26" s="73"/>
      <c r="D26" s="73"/>
      <c r="E26" s="73"/>
      <c r="F26" s="73"/>
      <c r="G26" s="73"/>
      <c r="H26" s="73"/>
      <c r="I26" s="74"/>
      <c r="J26" s="73"/>
      <c r="K26" s="73">
        <v>556</v>
      </c>
      <c r="L26" s="73">
        <v>545</v>
      </c>
      <c r="M26" s="73">
        <v>506</v>
      </c>
      <c r="N26" s="73">
        <v>652</v>
      </c>
      <c r="O26" s="74">
        <v>674</v>
      </c>
      <c r="P26" s="75">
        <v>631</v>
      </c>
    </row>
    <row r="27" spans="1:16" x14ac:dyDescent="0.2">
      <c r="A27" s="87" t="s">
        <v>82</v>
      </c>
      <c r="B27" s="67"/>
      <c r="C27" s="67"/>
      <c r="D27" s="67"/>
      <c r="E27" s="67"/>
      <c r="F27" s="67"/>
      <c r="G27" s="67"/>
      <c r="H27" s="67"/>
      <c r="I27" s="68">
        <v>414</v>
      </c>
      <c r="J27" s="67">
        <v>464</v>
      </c>
      <c r="K27" s="67">
        <v>500</v>
      </c>
      <c r="L27" s="67">
        <v>502</v>
      </c>
      <c r="M27" s="67">
        <v>721</v>
      </c>
      <c r="N27" s="67">
        <v>921</v>
      </c>
      <c r="O27" s="68">
        <v>985</v>
      </c>
      <c r="P27" s="69">
        <v>1024</v>
      </c>
    </row>
    <row r="28" spans="1:16" x14ac:dyDescent="0.2">
      <c r="A28" s="88" t="s">
        <v>83</v>
      </c>
      <c r="B28" s="70"/>
      <c r="C28" s="70"/>
      <c r="D28" s="70"/>
      <c r="E28" s="70"/>
      <c r="F28" s="70"/>
      <c r="G28" s="70"/>
      <c r="H28" s="70"/>
      <c r="I28" s="71"/>
      <c r="J28" s="70"/>
      <c r="K28" s="70"/>
      <c r="L28" s="70"/>
      <c r="M28" s="70">
        <v>304</v>
      </c>
      <c r="N28" s="70">
        <v>413</v>
      </c>
      <c r="O28" s="71">
        <v>447</v>
      </c>
      <c r="P28" s="72">
        <v>468</v>
      </c>
    </row>
    <row r="29" spans="1:16" x14ac:dyDescent="0.2">
      <c r="A29" s="88" t="s">
        <v>84</v>
      </c>
      <c r="B29" s="70"/>
      <c r="C29" s="70"/>
      <c r="D29" s="70"/>
      <c r="E29" s="70"/>
      <c r="F29" s="70"/>
      <c r="G29" s="70"/>
      <c r="H29" s="70"/>
      <c r="I29" s="71"/>
      <c r="J29" s="70">
        <v>93</v>
      </c>
      <c r="K29" s="70">
        <v>97</v>
      </c>
      <c r="L29" s="70">
        <v>100</v>
      </c>
      <c r="M29" s="70">
        <v>121</v>
      </c>
      <c r="N29" s="70">
        <v>126</v>
      </c>
      <c r="O29" s="71">
        <v>127</v>
      </c>
      <c r="P29" s="72">
        <v>135</v>
      </c>
    </row>
    <row r="30" spans="1:16" x14ac:dyDescent="0.2">
      <c r="A30" s="88" t="s">
        <v>85</v>
      </c>
      <c r="B30" s="70"/>
      <c r="C30" s="70"/>
      <c r="D30" s="70"/>
      <c r="E30" s="70"/>
      <c r="F30" s="70"/>
      <c r="G30" s="70"/>
      <c r="H30" s="70"/>
      <c r="I30" s="71"/>
      <c r="J30" s="70"/>
      <c r="K30" s="70"/>
      <c r="L30" s="70">
        <v>701</v>
      </c>
      <c r="M30" s="70">
        <v>786</v>
      </c>
      <c r="N30" s="70">
        <v>813</v>
      </c>
      <c r="O30" s="71">
        <v>813</v>
      </c>
      <c r="P30" s="72">
        <v>811</v>
      </c>
    </row>
    <row r="31" spans="1:16" x14ac:dyDescent="0.2">
      <c r="A31" s="89" t="s">
        <v>86</v>
      </c>
      <c r="B31" s="73"/>
      <c r="C31" s="73"/>
      <c r="D31" s="73"/>
      <c r="E31" s="73"/>
      <c r="F31" s="73"/>
      <c r="G31" s="73"/>
      <c r="H31" s="73"/>
      <c r="I31" s="74"/>
      <c r="J31" s="73"/>
      <c r="K31" s="73"/>
      <c r="L31" s="73"/>
      <c r="M31" s="73"/>
      <c r="N31" s="73"/>
      <c r="O31" s="74">
        <v>567</v>
      </c>
      <c r="P31" s="75">
        <v>677</v>
      </c>
    </row>
    <row r="32" spans="1:16" x14ac:dyDescent="0.2">
      <c r="A32" s="87" t="s">
        <v>87</v>
      </c>
      <c r="B32" s="67"/>
      <c r="C32" s="67"/>
      <c r="D32" s="67"/>
      <c r="E32" s="67"/>
      <c r="F32" s="67"/>
      <c r="G32" s="67"/>
      <c r="H32" s="67"/>
      <c r="I32" s="68">
        <v>119</v>
      </c>
      <c r="J32" s="67">
        <v>131</v>
      </c>
      <c r="K32" s="67">
        <v>157</v>
      </c>
      <c r="L32" s="67">
        <v>170</v>
      </c>
      <c r="M32" s="67">
        <v>141</v>
      </c>
      <c r="N32" s="67">
        <v>161</v>
      </c>
      <c r="O32" s="68">
        <v>155</v>
      </c>
      <c r="P32" s="69">
        <v>181</v>
      </c>
    </row>
    <row r="33" spans="1:16" x14ac:dyDescent="0.2">
      <c r="A33" s="88" t="s">
        <v>88</v>
      </c>
      <c r="B33" s="70"/>
      <c r="C33" s="70"/>
      <c r="D33" s="70"/>
      <c r="E33" s="70"/>
      <c r="F33" s="70"/>
      <c r="G33" s="70">
        <v>80</v>
      </c>
      <c r="H33" s="70">
        <v>124</v>
      </c>
      <c r="I33" s="71">
        <v>141</v>
      </c>
      <c r="J33" s="70">
        <v>203</v>
      </c>
      <c r="K33" s="70">
        <v>215</v>
      </c>
      <c r="L33" s="70">
        <v>215</v>
      </c>
      <c r="M33" s="70">
        <v>245</v>
      </c>
      <c r="N33" s="70">
        <v>254</v>
      </c>
      <c r="O33" s="71">
        <v>238</v>
      </c>
      <c r="P33" s="72">
        <v>297</v>
      </c>
    </row>
    <row r="34" spans="1:16" x14ac:dyDescent="0.2">
      <c r="A34" s="88" t="s">
        <v>89</v>
      </c>
      <c r="B34" s="70">
        <v>17</v>
      </c>
      <c r="C34" s="70">
        <v>20</v>
      </c>
      <c r="D34" s="70">
        <v>23</v>
      </c>
      <c r="E34" s="70">
        <v>30</v>
      </c>
      <c r="F34" s="70">
        <v>36</v>
      </c>
      <c r="G34" s="70">
        <v>50</v>
      </c>
      <c r="H34" s="70"/>
      <c r="I34" s="71"/>
      <c r="J34" s="70"/>
      <c r="K34" s="70"/>
      <c r="L34" s="70"/>
      <c r="M34" s="70"/>
      <c r="N34" s="70"/>
      <c r="O34" s="71"/>
      <c r="P34" s="72"/>
    </row>
    <row r="35" spans="1:16" x14ac:dyDescent="0.2">
      <c r="A35" s="88" t="s">
        <v>90</v>
      </c>
      <c r="B35" s="70"/>
      <c r="C35" s="70"/>
      <c r="D35" s="70"/>
      <c r="E35" s="70"/>
      <c r="F35" s="70"/>
      <c r="G35" s="70"/>
      <c r="H35" s="70"/>
      <c r="I35" s="71"/>
      <c r="J35" s="70"/>
      <c r="K35" s="70"/>
      <c r="L35" s="70">
        <v>600</v>
      </c>
      <c r="M35" s="70">
        <v>716</v>
      </c>
      <c r="N35" s="70">
        <v>711</v>
      </c>
      <c r="O35" s="71">
        <v>783</v>
      </c>
      <c r="P35" s="72">
        <v>762</v>
      </c>
    </row>
    <row r="36" spans="1:16" x14ac:dyDescent="0.2">
      <c r="A36" s="89" t="s">
        <v>91</v>
      </c>
      <c r="B36" s="73"/>
      <c r="C36" s="73"/>
      <c r="D36" s="73"/>
      <c r="E36" s="73">
        <v>160</v>
      </c>
      <c r="F36" s="73">
        <v>184</v>
      </c>
      <c r="G36" s="73">
        <v>184</v>
      </c>
      <c r="H36" s="73">
        <v>183</v>
      </c>
      <c r="I36" s="74">
        <v>182</v>
      </c>
      <c r="J36" s="73">
        <v>180</v>
      </c>
      <c r="K36" s="73">
        <v>182</v>
      </c>
      <c r="L36" s="73">
        <v>181</v>
      </c>
      <c r="M36" s="73">
        <v>185</v>
      </c>
      <c r="N36" s="73">
        <v>188</v>
      </c>
      <c r="O36" s="74">
        <v>184</v>
      </c>
      <c r="P36" s="75">
        <v>185</v>
      </c>
    </row>
    <row r="37" spans="1:16" x14ac:dyDescent="0.2">
      <c r="A37" s="87" t="s">
        <v>92</v>
      </c>
      <c r="B37" s="67"/>
      <c r="C37" s="67"/>
      <c r="D37" s="67"/>
      <c r="E37" s="67"/>
      <c r="F37" s="67"/>
      <c r="G37" s="67"/>
      <c r="H37" s="67"/>
      <c r="I37" s="68"/>
      <c r="J37" s="67">
        <v>161</v>
      </c>
      <c r="K37" s="67">
        <v>223</v>
      </c>
      <c r="L37" s="67">
        <v>280</v>
      </c>
      <c r="M37" s="67">
        <v>603</v>
      </c>
      <c r="N37" s="67">
        <v>626</v>
      </c>
      <c r="O37" s="68">
        <v>614</v>
      </c>
      <c r="P37" s="69">
        <v>619</v>
      </c>
    </row>
    <row r="38" spans="1:16" x14ac:dyDescent="0.2">
      <c r="A38" s="88" t="s">
        <v>93</v>
      </c>
      <c r="B38" s="70"/>
      <c r="C38" s="70"/>
      <c r="D38" s="70"/>
      <c r="E38" s="70"/>
      <c r="F38" s="70"/>
      <c r="G38" s="70"/>
      <c r="H38" s="70"/>
      <c r="I38" s="71">
        <v>576</v>
      </c>
      <c r="J38" s="70">
        <v>709</v>
      </c>
      <c r="K38" s="70">
        <v>629</v>
      </c>
      <c r="L38" s="70">
        <v>685</v>
      </c>
      <c r="M38" s="70">
        <v>711</v>
      </c>
      <c r="N38" s="70">
        <v>727</v>
      </c>
      <c r="O38" s="71">
        <v>841</v>
      </c>
      <c r="P38" s="72">
        <v>931</v>
      </c>
    </row>
    <row r="39" spans="1:16" x14ac:dyDescent="0.2">
      <c r="A39" s="88" t="s">
        <v>94</v>
      </c>
      <c r="B39" s="70"/>
      <c r="C39" s="70"/>
      <c r="D39" s="70"/>
      <c r="E39" s="70"/>
      <c r="F39" s="70"/>
      <c r="G39" s="70"/>
      <c r="H39" s="70"/>
      <c r="I39" s="71"/>
      <c r="J39" s="70"/>
      <c r="K39" s="70"/>
      <c r="L39" s="70"/>
      <c r="M39" s="70"/>
      <c r="N39" s="70"/>
      <c r="O39" s="71"/>
      <c r="P39" s="72">
        <v>450</v>
      </c>
    </row>
    <row r="40" spans="1:16" x14ac:dyDescent="0.2">
      <c r="A40" s="88" t="s">
        <v>95</v>
      </c>
      <c r="B40" s="70"/>
      <c r="C40" s="70"/>
      <c r="D40" s="70"/>
      <c r="E40" s="70"/>
      <c r="F40" s="70"/>
      <c r="G40" s="70"/>
      <c r="H40" s="70"/>
      <c r="I40" s="71">
        <v>498</v>
      </c>
      <c r="J40" s="70">
        <v>499</v>
      </c>
      <c r="K40" s="70">
        <v>501</v>
      </c>
      <c r="L40" s="70">
        <v>753</v>
      </c>
      <c r="M40" s="70">
        <v>876</v>
      </c>
      <c r="N40" s="70">
        <v>993</v>
      </c>
      <c r="O40" s="71">
        <v>1092</v>
      </c>
      <c r="P40" s="72">
        <v>1073</v>
      </c>
    </row>
    <row r="41" spans="1:16" x14ac:dyDescent="0.2">
      <c r="A41" s="89" t="s">
        <v>96</v>
      </c>
      <c r="B41" s="73"/>
      <c r="C41" s="73"/>
      <c r="D41" s="73"/>
      <c r="E41" s="73"/>
      <c r="F41" s="73"/>
      <c r="G41" s="73"/>
      <c r="H41" s="73"/>
      <c r="I41" s="74">
        <v>319</v>
      </c>
      <c r="J41" s="73">
        <v>292</v>
      </c>
      <c r="K41" s="73">
        <v>453</v>
      </c>
      <c r="L41" s="73">
        <v>576</v>
      </c>
      <c r="M41" s="73">
        <v>686</v>
      </c>
      <c r="N41" s="73">
        <v>460</v>
      </c>
      <c r="O41" s="74">
        <v>423</v>
      </c>
      <c r="P41" s="75">
        <v>383</v>
      </c>
    </row>
    <row r="42" spans="1:16" x14ac:dyDescent="0.2">
      <c r="A42" s="87" t="s">
        <v>97</v>
      </c>
      <c r="B42" s="67"/>
      <c r="C42" s="67"/>
      <c r="D42" s="67"/>
      <c r="E42" s="67"/>
      <c r="F42" s="67"/>
      <c r="G42" s="67"/>
      <c r="H42" s="67">
        <v>492</v>
      </c>
      <c r="I42" s="68">
        <v>545</v>
      </c>
      <c r="J42" s="67">
        <v>542</v>
      </c>
      <c r="K42" s="67">
        <v>546</v>
      </c>
      <c r="L42" s="67">
        <v>595</v>
      </c>
      <c r="M42" s="67">
        <v>643</v>
      </c>
      <c r="N42" s="67">
        <v>643</v>
      </c>
      <c r="O42" s="68">
        <v>645</v>
      </c>
      <c r="P42" s="69">
        <v>684</v>
      </c>
    </row>
    <row r="43" spans="1:16" x14ac:dyDescent="0.2">
      <c r="A43" s="88" t="s">
        <v>98</v>
      </c>
      <c r="B43" s="70"/>
      <c r="C43" s="70"/>
      <c r="D43" s="70"/>
      <c r="E43" s="70"/>
      <c r="F43" s="70"/>
      <c r="G43" s="70"/>
      <c r="H43" s="70"/>
      <c r="I43" s="71"/>
      <c r="J43" s="70"/>
      <c r="K43" s="70"/>
      <c r="L43" s="70"/>
      <c r="M43" s="70"/>
      <c r="N43" s="70"/>
      <c r="O43" s="71"/>
      <c r="P43" s="72">
        <v>650</v>
      </c>
    </row>
    <row r="44" spans="1:16" x14ac:dyDescent="0.2">
      <c r="A44" s="88" t="s">
        <v>99</v>
      </c>
      <c r="B44" s="70"/>
      <c r="C44" s="70"/>
      <c r="D44" s="70"/>
      <c r="E44" s="70"/>
      <c r="F44" s="70"/>
      <c r="G44" s="70"/>
      <c r="H44" s="70"/>
      <c r="I44" s="71"/>
      <c r="J44" s="70"/>
      <c r="K44" s="70"/>
      <c r="L44" s="70"/>
      <c r="M44" s="70">
        <v>455</v>
      </c>
      <c r="N44" s="70">
        <v>490</v>
      </c>
      <c r="O44" s="71">
        <v>491</v>
      </c>
      <c r="P44" s="72">
        <v>544</v>
      </c>
    </row>
    <row r="45" spans="1:16" x14ac:dyDescent="0.2">
      <c r="A45" s="88" t="s">
        <v>100</v>
      </c>
      <c r="B45" s="70"/>
      <c r="C45" s="70"/>
      <c r="D45" s="70"/>
      <c r="E45" s="70"/>
      <c r="F45" s="70"/>
      <c r="G45" s="70"/>
      <c r="H45" s="70"/>
      <c r="I45" s="71"/>
      <c r="J45" s="70"/>
      <c r="K45" s="70">
        <v>182</v>
      </c>
      <c r="L45" s="70">
        <v>285</v>
      </c>
      <c r="M45" s="70">
        <v>400</v>
      </c>
      <c r="N45" s="70">
        <v>601</v>
      </c>
      <c r="O45" s="71">
        <v>597</v>
      </c>
      <c r="P45" s="72">
        <v>257</v>
      </c>
    </row>
    <row r="46" spans="1:16" x14ac:dyDescent="0.2">
      <c r="A46" s="89" t="s">
        <v>101</v>
      </c>
      <c r="B46" s="73"/>
      <c r="C46" s="73"/>
      <c r="D46" s="73"/>
      <c r="E46" s="73"/>
      <c r="F46" s="73"/>
      <c r="G46" s="73">
        <v>78</v>
      </c>
      <c r="H46" s="73">
        <v>32</v>
      </c>
      <c r="I46" s="74">
        <v>35</v>
      </c>
      <c r="J46" s="73">
        <v>39</v>
      </c>
      <c r="K46" s="73">
        <v>49</v>
      </c>
      <c r="L46" s="73">
        <v>54</v>
      </c>
      <c r="M46" s="73">
        <v>70</v>
      </c>
      <c r="N46" s="73">
        <v>78</v>
      </c>
      <c r="O46" s="74">
        <v>105</v>
      </c>
      <c r="P46" s="75">
        <v>116</v>
      </c>
    </row>
    <row r="47" spans="1:16" x14ac:dyDescent="0.2">
      <c r="A47" s="87" t="s">
        <v>102</v>
      </c>
      <c r="B47" s="67"/>
      <c r="C47" s="67"/>
      <c r="D47" s="67"/>
      <c r="E47" s="67"/>
      <c r="F47" s="67"/>
      <c r="G47" s="67"/>
      <c r="H47" s="67"/>
      <c r="I47" s="68">
        <v>669</v>
      </c>
      <c r="J47" s="67">
        <v>749</v>
      </c>
      <c r="K47" s="67">
        <v>759</v>
      </c>
      <c r="L47" s="67">
        <v>751</v>
      </c>
      <c r="M47" s="67">
        <v>756</v>
      </c>
      <c r="N47" s="67">
        <v>741</v>
      </c>
      <c r="O47" s="68">
        <v>751</v>
      </c>
      <c r="P47" s="69">
        <v>752</v>
      </c>
    </row>
    <row r="48" spans="1:16" x14ac:dyDescent="0.2">
      <c r="A48" s="88" t="s">
        <v>103</v>
      </c>
      <c r="B48" s="70"/>
      <c r="C48" s="70"/>
      <c r="D48" s="70"/>
      <c r="E48" s="70"/>
      <c r="F48" s="70"/>
      <c r="G48" s="70"/>
      <c r="H48" s="70"/>
      <c r="I48" s="71"/>
      <c r="J48" s="70"/>
      <c r="K48" s="70"/>
      <c r="L48" s="70"/>
      <c r="M48" s="70"/>
      <c r="N48" s="70"/>
      <c r="O48" s="71"/>
      <c r="P48" s="72">
        <v>389</v>
      </c>
    </row>
    <row r="49" spans="1:16" x14ac:dyDescent="0.2">
      <c r="A49" s="88" t="s">
        <v>104</v>
      </c>
      <c r="B49" s="70"/>
      <c r="C49" s="70"/>
      <c r="D49" s="70"/>
      <c r="E49" s="70"/>
      <c r="F49" s="70"/>
      <c r="G49" s="70"/>
      <c r="H49" s="70"/>
      <c r="I49" s="71">
        <v>619</v>
      </c>
      <c r="J49" s="70">
        <v>676</v>
      </c>
      <c r="K49" s="70">
        <v>660</v>
      </c>
      <c r="L49" s="70">
        <v>650</v>
      </c>
      <c r="M49" s="70">
        <v>681</v>
      </c>
      <c r="N49" s="70">
        <v>747</v>
      </c>
      <c r="O49" s="71">
        <v>749</v>
      </c>
      <c r="P49" s="72">
        <v>750</v>
      </c>
    </row>
    <row r="50" spans="1:16" x14ac:dyDescent="0.2">
      <c r="A50" s="88" t="s">
        <v>105</v>
      </c>
      <c r="B50" s="70"/>
      <c r="C50" s="70"/>
      <c r="D50" s="70"/>
      <c r="E50" s="70"/>
      <c r="F50" s="70"/>
      <c r="G50" s="70"/>
      <c r="H50" s="70">
        <v>471</v>
      </c>
      <c r="I50" s="71">
        <v>492</v>
      </c>
      <c r="J50" s="70">
        <v>501</v>
      </c>
      <c r="K50" s="70">
        <v>500</v>
      </c>
      <c r="L50" s="70">
        <v>500</v>
      </c>
      <c r="M50" s="70">
        <v>527</v>
      </c>
      <c r="N50" s="70">
        <v>533</v>
      </c>
      <c r="O50" s="71">
        <v>525</v>
      </c>
      <c r="P50" s="72">
        <v>518</v>
      </c>
    </row>
    <row r="51" spans="1:16" x14ac:dyDescent="0.2">
      <c r="A51" s="89" t="s">
        <v>106</v>
      </c>
      <c r="B51" s="73"/>
      <c r="C51" s="73"/>
      <c r="D51" s="73"/>
      <c r="E51" s="73"/>
      <c r="F51" s="73"/>
      <c r="G51" s="73">
        <v>262</v>
      </c>
      <c r="H51" s="73">
        <v>377</v>
      </c>
      <c r="I51" s="74">
        <v>485</v>
      </c>
      <c r="J51" s="73">
        <v>328</v>
      </c>
      <c r="K51" s="73">
        <v>322</v>
      </c>
      <c r="L51" s="73">
        <v>378</v>
      </c>
      <c r="M51" s="73">
        <v>400</v>
      </c>
      <c r="N51" s="73">
        <v>448</v>
      </c>
      <c r="O51" s="74">
        <v>502</v>
      </c>
      <c r="P51" s="75">
        <v>548</v>
      </c>
    </row>
    <row r="52" spans="1:16" x14ac:dyDescent="0.2">
      <c r="A52" s="87" t="s">
        <v>107</v>
      </c>
      <c r="B52" s="67"/>
      <c r="C52" s="67"/>
      <c r="D52" s="67"/>
      <c r="E52" s="67"/>
      <c r="F52" s="67"/>
      <c r="G52" s="67"/>
      <c r="H52" s="67"/>
      <c r="I52" s="68">
        <v>501</v>
      </c>
      <c r="J52" s="67">
        <v>500</v>
      </c>
      <c r="K52" s="67">
        <v>479</v>
      </c>
      <c r="L52" s="67">
        <v>530</v>
      </c>
      <c r="M52" s="67">
        <v>550</v>
      </c>
      <c r="N52" s="67">
        <v>586</v>
      </c>
      <c r="O52" s="68">
        <v>598</v>
      </c>
      <c r="P52" s="69">
        <v>536</v>
      </c>
    </row>
    <row r="53" spans="1:16" x14ac:dyDescent="0.2">
      <c r="A53" s="88" t="s">
        <v>108</v>
      </c>
      <c r="B53" s="70"/>
      <c r="C53" s="70"/>
      <c r="D53" s="70"/>
      <c r="E53" s="70"/>
      <c r="F53" s="70"/>
      <c r="G53" s="70">
        <v>476</v>
      </c>
      <c r="H53" s="70">
        <v>501</v>
      </c>
      <c r="I53" s="71">
        <v>510</v>
      </c>
      <c r="J53" s="70">
        <v>513</v>
      </c>
      <c r="K53" s="70">
        <v>934</v>
      </c>
      <c r="L53" s="70">
        <v>968</v>
      </c>
      <c r="M53" s="70">
        <v>982</v>
      </c>
      <c r="N53" s="70">
        <v>1009</v>
      </c>
      <c r="O53" s="71">
        <v>1018</v>
      </c>
      <c r="P53" s="72">
        <v>1008</v>
      </c>
    </row>
    <row r="54" spans="1:16" x14ac:dyDescent="0.2">
      <c r="A54" s="88" t="s">
        <v>109</v>
      </c>
      <c r="B54" s="70"/>
      <c r="C54" s="70"/>
      <c r="D54" s="70"/>
      <c r="E54" s="70"/>
      <c r="F54" s="70"/>
      <c r="G54" s="70"/>
      <c r="H54" s="70">
        <v>450</v>
      </c>
      <c r="I54" s="71">
        <v>500</v>
      </c>
      <c r="J54" s="70">
        <v>502</v>
      </c>
      <c r="K54" s="70">
        <v>500</v>
      </c>
      <c r="L54" s="70">
        <v>501</v>
      </c>
      <c r="M54" s="70">
        <v>508</v>
      </c>
      <c r="N54" s="70">
        <v>510</v>
      </c>
      <c r="O54" s="71">
        <v>510</v>
      </c>
      <c r="P54" s="72">
        <v>527</v>
      </c>
    </row>
    <row r="55" spans="1:16" x14ac:dyDescent="0.2">
      <c r="A55" s="88" t="s">
        <v>110</v>
      </c>
      <c r="B55" s="70"/>
      <c r="C55" s="70"/>
      <c r="D55" s="70"/>
      <c r="E55" s="70"/>
      <c r="F55" s="70"/>
      <c r="G55" s="70"/>
      <c r="H55" s="70">
        <v>372</v>
      </c>
      <c r="I55" s="71">
        <v>440</v>
      </c>
      <c r="J55" s="70">
        <v>440</v>
      </c>
      <c r="K55" s="70">
        <v>476</v>
      </c>
      <c r="L55" s="70">
        <v>451</v>
      </c>
      <c r="M55" s="70">
        <v>491</v>
      </c>
      <c r="N55" s="70">
        <v>506</v>
      </c>
      <c r="O55" s="71">
        <v>537</v>
      </c>
      <c r="P55" s="72">
        <v>536</v>
      </c>
    </row>
    <row r="56" spans="1:16" x14ac:dyDescent="0.2">
      <c r="A56" s="89" t="s">
        <v>111</v>
      </c>
      <c r="B56" s="73"/>
      <c r="C56" s="73"/>
      <c r="D56" s="73"/>
      <c r="E56" s="73"/>
      <c r="F56" s="73">
        <v>213</v>
      </c>
      <c r="G56" s="73">
        <v>278</v>
      </c>
      <c r="H56" s="73">
        <v>533</v>
      </c>
      <c r="I56" s="74">
        <v>564</v>
      </c>
      <c r="J56" s="73">
        <v>565</v>
      </c>
      <c r="K56" s="73">
        <v>580</v>
      </c>
      <c r="L56" s="73">
        <v>630</v>
      </c>
      <c r="M56" s="73">
        <v>1067</v>
      </c>
      <c r="N56" s="73">
        <v>1042</v>
      </c>
      <c r="O56" s="74">
        <v>1025</v>
      </c>
      <c r="P56" s="75">
        <v>1041</v>
      </c>
    </row>
    <row r="57" spans="1:16" x14ac:dyDescent="0.2">
      <c r="A57" s="87" t="s">
        <v>112</v>
      </c>
      <c r="B57" s="67"/>
      <c r="C57" s="67"/>
      <c r="D57" s="67"/>
      <c r="E57" s="67"/>
      <c r="F57" s="67"/>
      <c r="G57" s="67"/>
      <c r="H57" s="67"/>
      <c r="I57" s="68"/>
      <c r="J57" s="67">
        <v>309</v>
      </c>
      <c r="K57" s="67">
        <v>363</v>
      </c>
      <c r="L57" s="67">
        <v>377</v>
      </c>
      <c r="M57" s="67">
        <v>399</v>
      </c>
      <c r="N57" s="67">
        <v>384</v>
      </c>
      <c r="O57" s="68">
        <v>380</v>
      </c>
      <c r="P57" s="69">
        <v>385</v>
      </c>
    </row>
    <row r="58" spans="1:16" x14ac:dyDescent="0.2">
      <c r="A58" s="88" t="s">
        <v>113</v>
      </c>
      <c r="B58" s="70"/>
      <c r="C58" s="70"/>
      <c r="D58" s="70"/>
      <c r="E58" s="70"/>
      <c r="F58" s="70"/>
      <c r="G58" s="70"/>
      <c r="H58" s="70"/>
      <c r="I58" s="71"/>
      <c r="J58" s="70"/>
      <c r="K58" s="70"/>
      <c r="L58" s="70">
        <v>127</v>
      </c>
      <c r="M58" s="70">
        <v>227</v>
      </c>
      <c r="N58" s="70">
        <v>328</v>
      </c>
      <c r="O58" s="71">
        <v>334</v>
      </c>
      <c r="P58" s="72"/>
    </row>
    <row r="59" spans="1:16" x14ac:dyDescent="0.2">
      <c r="A59" s="88" t="s">
        <v>114</v>
      </c>
      <c r="B59" s="70"/>
      <c r="C59" s="70"/>
      <c r="D59" s="70"/>
      <c r="E59" s="70"/>
      <c r="F59" s="70"/>
      <c r="G59" s="70"/>
      <c r="H59" s="70"/>
      <c r="I59" s="71"/>
      <c r="J59" s="70"/>
      <c r="K59" s="70"/>
      <c r="L59" s="70"/>
      <c r="M59" s="70"/>
      <c r="N59" s="70"/>
      <c r="O59" s="71">
        <v>451</v>
      </c>
      <c r="P59" s="72">
        <v>397</v>
      </c>
    </row>
    <row r="60" spans="1:16" x14ac:dyDescent="0.2">
      <c r="A60" s="88" t="s">
        <v>115</v>
      </c>
      <c r="B60" s="70"/>
      <c r="C60" s="70"/>
      <c r="D60" s="70"/>
      <c r="E60" s="70"/>
      <c r="F60" s="70"/>
      <c r="G60" s="70"/>
      <c r="H60" s="70"/>
      <c r="I60" s="71">
        <v>202</v>
      </c>
      <c r="J60" s="70">
        <v>219</v>
      </c>
      <c r="K60" s="70">
        <v>377</v>
      </c>
      <c r="L60" s="70">
        <v>529</v>
      </c>
      <c r="M60" s="70">
        <v>530</v>
      </c>
      <c r="N60" s="70">
        <v>561</v>
      </c>
      <c r="O60" s="71">
        <v>523</v>
      </c>
      <c r="P60" s="72">
        <v>644</v>
      </c>
    </row>
    <row r="61" spans="1:16" x14ac:dyDescent="0.2">
      <c r="A61" s="89" t="s">
        <v>116</v>
      </c>
      <c r="B61" s="73"/>
      <c r="C61" s="73"/>
      <c r="D61" s="73">
        <v>36</v>
      </c>
      <c r="E61" s="73">
        <v>35</v>
      </c>
      <c r="F61" s="73">
        <v>48</v>
      </c>
      <c r="G61" s="73">
        <v>46</v>
      </c>
      <c r="H61" s="73"/>
      <c r="I61" s="74"/>
      <c r="J61" s="73"/>
      <c r="K61" s="73"/>
      <c r="L61" s="73"/>
      <c r="M61" s="73"/>
      <c r="N61" s="73"/>
      <c r="O61" s="74"/>
      <c r="P61" s="75"/>
    </row>
    <row r="62" spans="1:16" x14ac:dyDescent="0.2">
      <c r="A62" s="87" t="s">
        <v>117</v>
      </c>
      <c r="B62" s="67">
        <v>151</v>
      </c>
      <c r="C62" s="67">
        <v>185</v>
      </c>
      <c r="D62" s="67">
        <v>171</v>
      </c>
      <c r="E62" s="67">
        <v>255</v>
      </c>
      <c r="F62" s="67">
        <v>320</v>
      </c>
      <c r="G62" s="67">
        <v>310</v>
      </c>
      <c r="H62" s="67">
        <v>364</v>
      </c>
      <c r="I62" s="68">
        <v>402</v>
      </c>
      <c r="J62" s="67">
        <v>422</v>
      </c>
      <c r="K62" s="67">
        <v>500</v>
      </c>
      <c r="L62" s="67">
        <v>487</v>
      </c>
      <c r="M62" s="67">
        <v>503</v>
      </c>
      <c r="N62" s="67">
        <v>520</v>
      </c>
      <c r="O62" s="68">
        <v>526</v>
      </c>
      <c r="P62" s="69">
        <v>517</v>
      </c>
    </row>
    <row r="63" spans="1:16" x14ac:dyDescent="0.2">
      <c r="A63" s="88" t="s">
        <v>118</v>
      </c>
      <c r="B63" s="70"/>
      <c r="C63" s="70"/>
      <c r="D63" s="70"/>
      <c r="E63" s="70"/>
      <c r="F63" s="70"/>
      <c r="G63" s="70"/>
      <c r="H63" s="70"/>
      <c r="I63" s="71"/>
      <c r="J63" s="70"/>
      <c r="K63" s="70"/>
      <c r="L63" s="70"/>
      <c r="M63" s="70"/>
      <c r="N63" s="70"/>
      <c r="O63" s="71">
        <v>208</v>
      </c>
      <c r="P63" s="72">
        <v>479</v>
      </c>
    </row>
    <row r="64" spans="1:16" x14ac:dyDescent="0.2">
      <c r="A64" s="88" t="s">
        <v>119</v>
      </c>
      <c r="B64" s="70"/>
      <c r="C64" s="70"/>
      <c r="D64" s="70"/>
      <c r="E64" s="70"/>
      <c r="F64" s="70"/>
      <c r="G64" s="70"/>
      <c r="H64" s="70"/>
      <c r="I64" s="71"/>
      <c r="J64" s="70"/>
      <c r="K64" s="70"/>
      <c r="L64" s="70"/>
      <c r="M64" s="70"/>
      <c r="N64" s="70"/>
      <c r="O64" s="71">
        <v>452</v>
      </c>
      <c r="P64" s="72">
        <v>464</v>
      </c>
    </row>
    <row r="65" spans="1:17" x14ac:dyDescent="0.2">
      <c r="A65" s="88" t="s">
        <v>120</v>
      </c>
      <c r="B65" s="70"/>
      <c r="C65" s="70"/>
      <c r="D65" s="70"/>
      <c r="E65" s="70"/>
      <c r="F65" s="70"/>
      <c r="G65" s="70"/>
      <c r="H65" s="70"/>
      <c r="I65" s="71"/>
      <c r="J65" s="70"/>
      <c r="K65" s="70">
        <v>700</v>
      </c>
      <c r="L65" s="70">
        <v>703</v>
      </c>
      <c r="M65" s="70">
        <v>700</v>
      </c>
      <c r="N65" s="70">
        <v>1416</v>
      </c>
      <c r="O65" s="71">
        <v>1465</v>
      </c>
      <c r="P65" s="72">
        <v>1543</v>
      </c>
    </row>
    <row r="66" spans="1:17" x14ac:dyDescent="0.2">
      <c r="A66" s="89" t="s">
        <v>121</v>
      </c>
      <c r="B66" s="73"/>
      <c r="C66" s="73"/>
      <c r="D66" s="73"/>
      <c r="E66" s="73"/>
      <c r="F66" s="73"/>
      <c r="G66" s="73"/>
      <c r="H66" s="73"/>
      <c r="I66" s="74"/>
      <c r="J66" s="73"/>
      <c r="K66" s="73"/>
      <c r="L66" s="73"/>
      <c r="M66" s="73">
        <v>555</v>
      </c>
      <c r="N66" s="73">
        <v>538</v>
      </c>
      <c r="O66" s="74">
        <v>339</v>
      </c>
      <c r="P66" s="75"/>
    </row>
    <row r="67" spans="1:17" x14ac:dyDescent="0.2">
      <c r="A67" s="87" t="s">
        <v>122</v>
      </c>
      <c r="B67" s="67"/>
      <c r="C67" s="67"/>
      <c r="D67" s="67"/>
      <c r="E67" s="67"/>
      <c r="F67" s="67"/>
      <c r="G67" s="67"/>
      <c r="H67" s="67"/>
      <c r="I67" s="68"/>
      <c r="J67" s="67"/>
      <c r="K67" s="67">
        <v>506</v>
      </c>
      <c r="L67" s="67">
        <v>506</v>
      </c>
      <c r="M67" s="67">
        <v>679</v>
      </c>
      <c r="N67" s="67">
        <v>753</v>
      </c>
      <c r="O67" s="68">
        <v>902</v>
      </c>
      <c r="P67" s="69">
        <v>951</v>
      </c>
    </row>
    <row r="68" spans="1:17" x14ac:dyDescent="0.2">
      <c r="A68" s="88" t="s">
        <v>123</v>
      </c>
      <c r="B68" s="70"/>
      <c r="C68" s="70"/>
      <c r="D68" s="70"/>
      <c r="E68" s="70"/>
      <c r="F68" s="70"/>
      <c r="G68" s="70">
        <v>340</v>
      </c>
      <c r="H68" s="70">
        <v>364</v>
      </c>
      <c r="I68" s="71">
        <v>375</v>
      </c>
      <c r="J68" s="70">
        <v>390</v>
      </c>
      <c r="K68" s="70">
        <v>350</v>
      </c>
      <c r="L68" s="70">
        <v>350</v>
      </c>
      <c r="M68" s="70">
        <v>351</v>
      </c>
      <c r="N68" s="70">
        <v>362</v>
      </c>
      <c r="O68" s="71">
        <v>364</v>
      </c>
      <c r="P68" s="72">
        <v>364</v>
      </c>
    </row>
    <row r="69" spans="1:17" x14ac:dyDescent="0.2">
      <c r="A69" s="88" t="s">
        <v>124</v>
      </c>
      <c r="B69" s="70"/>
      <c r="C69" s="70"/>
      <c r="D69" s="70"/>
      <c r="E69" s="70"/>
      <c r="F69" s="70"/>
      <c r="G69" s="70"/>
      <c r="H69" s="70">
        <v>598</v>
      </c>
      <c r="I69" s="71">
        <v>615</v>
      </c>
      <c r="J69" s="70">
        <v>675</v>
      </c>
      <c r="K69" s="70">
        <v>673</v>
      </c>
      <c r="L69" s="70">
        <v>677</v>
      </c>
      <c r="M69" s="70">
        <v>675</v>
      </c>
      <c r="N69" s="70">
        <v>675</v>
      </c>
      <c r="O69" s="71">
        <v>675</v>
      </c>
      <c r="P69" s="72">
        <v>674</v>
      </c>
    </row>
    <row r="70" spans="1:17" x14ac:dyDescent="0.2">
      <c r="A70" s="88" t="s">
        <v>125</v>
      </c>
      <c r="B70" s="70"/>
      <c r="C70" s="70"/>
      <c r="D70" s="70"/>
      <c r="E70" s="70"/>
      <c r="F70" s="70"/>
      <c r="G70" s="70"/>
      <c r="H70" s="70"/>
      <c r="I70" s="71">
        <v>609</v>
      </c>
      <c r="J70" s="70">
        <v>613</v>
      </c>
      <c r="K70" s="70">
        <v>634</v>
      </c>
      <c r="L70" s="70">
        <v>667</v>
      </c>
      <c r="M70" s="70">
        <v>677</v>
      </c>
      <c r="N70" s="70">
        <v>679</v>
      </c>
      <c r="O70" s="71">
        <v>678</v>
      </c>
      <c r="P70" s="72">
        <v>714</v>
      </c>
    </row>
    <row r="71" spans="1:17" x14ac:dyDescent="0.2">
      <c r="A71" s="89" t="s">
        <v>126</v>
      </c>
      <c r="B71" s="73"/>
      <c r="C71" s="73"/>
      <c r="D71" s="73"/>
      <c r="E71" s="73"/>
      <c r="F71" s="73"/>
      <c r="G71" s="73"/>
      <c r="H71" s="73"/>
      <c r="I71" s="74"/>
      <c r="J71" s="73"/>
      <c r="K71" s="73">
        <v>589</v>
      </c>
      <c r="L71" s="73">
        <v>389</v>
      </c>
      <c r="M71" s="73">
        <v>476</v>
      </c>
      <c r="N71" s="73">
        <v>594</v>
      </c>
      <c r="O71" s="74">
        <v>698</v>
      </c>
      <c r="P71" s="75">
        <v>535</v>
      </c>
    </row>
    <row r="72" spans="1:17" x14ac:dyDescent="0.2">
      <c r="A72" s="87" t="s">
        <v>127</v>
      </c>
      <c r="B72" s="67"/>
      <c r="C72" s="67"/>
      <c r="D72" s="67"/>
      <c r="E72" s="67"/>
      <c r="F72" s="67">
        <v>117</v>
      </c>
      <c r="G72" s="67">
        <v>215</v>
      </c>
      <c r="H72" s="67">
        <v>240</v>
      </c>
      <c r="I72" s="68">
        <v>245</v>
      </c>
      <c r="J72" s="67">
        <v>245</v>
      </c>
      <c r="K72" s="67">
        <v>245</v>
      </c>
      <c r="L72" s="67">
        <v>271</v>
      </c>
      <c r="M72" s="67">
        <v>301</v>
      </c>
      <c r="N72" s="67">
        <v>300</v>
      </c>
      <c r="O72" s="68">
        <v>300</v>
      </c>
      <c r="P72" s="69">
        <v>390</v>
      </c>
    </row>
    <row r="73" spans="1:17" x14ac:dyDescent="0.2">
      <c r="A73" s="88" t="s">
        <v>128</v>
      </c>
      <c r="B73" s="70"/>
      <c r="C73" s="70"/>
      <c r="D73" s="70"/>
      <c r="E73" s="70"/>
      <c r="F73" s="70"/>
      <c r="G73" s="70"/>
      <c r="H73" s="70"/>
      <c r="I73" s="71"/>
      <c r="J73" s="70"/>
      <c r="K73" s="70">
        <v>177</v>
      </c>
      <c r="L73" s="70">
        <v>221</v>
      </c>
      <c r="M73" s="70">
        <v>290</v>
      </c>
      <c r="N73" s="70">
        <v>335</v>
      </c>
      <c r="O73" s="71">
        <v>348</v>
      </c>
      <c r="P73" s="72">
        <v>378</v>
      </c>
      <c r="Q73" s="5"/>
    </row>
    <row r="74" spans="1:17" x14ac:dyDescent="0.2">
      <c r="A74" s="88" t="s">
        <v>129</v>
      </c>
      <c r="B74" s="70"/>
      <c r="C74" s="70"/>
      <c r="D74" s="70"/>
      <c r="E74" s="70"/>
      <c r="F74" s="70"/>
      <c r="G74" s="70"/>
      <c r="H74" s="70"/>
      <c r="I74" s="71">
        <v>80</v>
      </c>
      <c r="J74" s="70">
        <v>109</v>
      </c>
      <c r="K74" s="70">
        <v>145</v>
      </c>
      <c r="L74" s="70">
        <v>148</v>
      </c>
      <c r="M74" s="70">
        <v>185</v>
      </c>
      <c r="N74" s="70">
        <v>220</v>
      </c>
      <c r="O74" s="71">
        <v>236</v>
      </c>
      <c r="P74" s="72">
        <v>292</v>
      </c>
    </row>
    <row r="75" spans="1:17" x14ac:dyDescent="0.2">
      <c r="A75" s="88" t="s">
        <v>130</v>
      </c>
      <c r="B75" s="70">
        <v>18</v>
      </c>
      <c r="C75" s="70">
        <v>21</v>
      </c>
      <c r="D75" s="70">
        <v>30</v>
      </c>
      <c r="E75" s="70">
        <v>28</v>
      </c>
      <c r="F75" s="70">
        <v>66</v>
      </c>
      <c r="G75" s="70">
        <v>70</v>
      </c>
      <c r="H75" s="70">
        <v>76</v>
      </c>
      <c r="I75" s="71">
        <v>143</v>
      </c>
      <c r="J75" s="70">
        <v>143</v>
      </c>
      <c r="K75" s="70">
        <v>144</v>
      </c>
      <c r="L75" s="70">
        <v>207</v>
      </c>
      <c r="M75" s="70">
        <v>222</v>
      </c>
      <c r="N75" s="70">
        <v>246</v>
      </c>
      <c r="O75" s="71">
        <v>289</v>
      </c>
      <c r="P75" s="72">
        <v>295</v>
      </c>
    </row>
    <row r="76" spans="1:17" x14ac:dyDescent="0.2">
      <c r="A76" s="89" t="s">
        <v>131</v>
      </c>
      <c r="B76" s="73"/>
      <c r="C76" s="73"/>
      <c r="D76" s="73"/>
      <c r="E76" s="73"/>
      <c r="F76" s="73"/>
      <c r="G76" s="73"/>
      <c r="H76" s="73"/>
      <c r="I76" s="74">
        <v>190</v>
      </c>
      <c r="J76" s="73">
        <v>143</v>
      </c>
      <c r="K76" s="73">
        <v>148</v>
      </c>
      <c r="L76" s="73">
        <v>147</v>
      </c>
      <c r="M76" s="73">
        <v>333</v>
      </c>
      <c r="N76" s="73">
        <v>404</v>
      </c>
      <c r="O76" s="74">
        <v>488</v>
      </c>
      <c r="P76" s="75">
        <v>542</v>
      </c>
    </row>
    <row r="77" spans="1:17" x14ac:dyDescent="0.2">
      <c r="A77" s="87" t="s">
        <v>132</v>
      </c>
      <c r="B77" s="67"/>
      <c r="C77" s="67"/>
      <c r="D77" s="67"/>
      <c r="E77" s="67"/>
      <c r="F77" s="67"/>
      <c r="G77" s="67"/>
      <c r="H77" s="67">
        <v>105</v>
      </c>
      <c r="I77" s="68">
        <v>194</v>
      </c>
      <c r="J77" s="67">
        <v>268</v>
      </c>
      <c r="K77" s="67">
        <v>344</v>
      </c>
      <c r="L77" s="67">
        <v>346</v>
      </c>
      <c r="M77" s="67">
        <v>337</v>
      </c>
      <c r="N77" s="67">
        <v>347</v>
      </c>
      <c r="O77" s="68">
        <v>370</v>
      </c>
      <c r="P77" s="69">
        <v>375</v>
      </c>
    </row>
    <row r="78" spans="1:17" x14ac:dyDescent="0.2">
      <c r="A78" s="88" t="s">
        <v>133</v>
      </c>
      <c r="B78" s="70"/>
      <c r="C78" s="70">
        <v>56</v>
      </c>
      <c r="D78" s="70">
        <v>53</v>
      </c>
      <c r="E78" s="70">
        <v>60</v>
      </c>
      <c r="F78" s="70">
        <v>68</v>
      </c>
      <c r="G78" s="70">
        <v>89</v>
      </c>
      <c r="H78" s="70">
        <v>84</v>
      </c>
      <c r="I78" s="71">
        <v>46</v>
      </c>
      <c r="J78" s="70">
        <v>49</v>
      </c>
      <c r="K78" s="70">
        <v>49</v>
      </c>
      <c r="L78" s="70">
        <v>46</v>
      </c>
      <c r="M78" s="70">
        <v>41</v>
      </c>
      <c r="N78" s="70"/>
      <c r="O78" s="71"/>
      <c r="P78" s="72"/>
    </row>
    <row r="79" spans="1:17" x14ac:dyDescent="0.2">
      <c r="A79" s="88" t="s">
        <v>134</v>
      </c>
      <c r="B79" s="70"/>
      <c r="C79" s="70"/>
      <c r="D79" s="70"/>
      <c r="E79" s="70"/>
      <c r="F79" s="70"/>
      <c r="G79" s="70">
        <v>533</v>
      </c>
      <c r="H79" s="70">
        <v>536</v>
      </c>
      <c r="I79" s="71">
        <v>562</v>
      </c>
      <c r="J79" s="70">
        <v>855</v>
      </c>
      <c r="K79" s="70">
        <v>975</v>
      </c>
      <c r="L79" s="70">
        <v>1000</v>
      </c>
      <c r="M79" s="70">
        <v>1000</v>
      </c>
      <c r="N79" s="70">
        <v>1003</v>
      </c>
      <c r="O79" s="71">
        <v>1001</v>
      </c>
      <c r="P79" s="72">
        <v>998</v>
      </c>
    </row>
    <row r="80" spans="1:17" x14ac:dyDescent="0.2">
      <c r="A80" s="88" t="s">
        <v>135</v>
      </c>
      <c r="B80" s="70"/>
      <c r="C80" s="70"/>
      <c r="D80" s="70"/>
      <c r="E80" s="70"/>
      <c r="F80" s="70"/>
      <c r="G80" s="70"/>
      <c r="H80" s="70"/>
      <c r="I80" s="71"/>
      <c r="J80" s="70"/>
      <c r="K80" s="70"/>
      <c r="L80" s="70"/>
      <c r="M80" s="70">
        <v>172</v>
      </c>
      <c r="N80" s="70">
        <v>284</v>
      </c>
      <c r="O80" s="71">
        <v>615</v>
      </c>
      <c r="P80" s="72">
        <v>499</v>
      </c>
    </row>
    <row r="81" spans="1:16" x14ac:dyDescent="0.2">
      <c r="A81" s="89" t="s">
        <v>136</v>
      </c>
      <c r="B81" s="73"/>
      <c r="C81" s="73"/>
      <c r="D81" s="73"/>
      <c r="E81" s="73"/>
      <c r="F81" s="73"/>
      <c r="G81" s="73"/>
      <c r="H81" s="73"/>
      <c r="I81" s="74">
        <v>532</v>
      </c>
      <c r="J81" s="73">
        <v>529</v>
      </c>
      <c r="K81" s="73">
        <v>529</v>
      </c>
      <c r="L81" s="73">
        <v>926</v>
      </c>
      <c r="M81" s="73">
        <v>1019</v>
      </c>
      <c r="N81" s="73">
        <v>1021</v>
      </c>
      <c r="O81" s="74">
        <v>1024</v>
      </c>
      <c r="P81" s="75">
        <v>1026</v>
      </c>
    </row>
    <row r="82" spans="1:16" x14ac:dyDescent="0.2">
      <c r="A82" s="87" t="s">
        <v>137</v>
      </c>
      <c r="B82" s="67"/>
      <c r="C82" s="67"/>
      <c r="D82" s="67"/>
      <c r="E82" s="67">
        <v>214</v>
      </c>
      <c r="F82" s="67">
        <v>272</v>
      </c>
      <c r="G82" s="67">
        <v>348</v>
      </c>
      <c r="H82" s="67">
        <v>649</v>
      </c>
      <c r="I82" s="68">
        <v>840</v>
      </c>
      <c r="J82" s="67">
        <v>842</v>
      </c>
      <c r="K82" s="67">
        <v>860</v>
      </c>
      <c r="L82" s="67">
        <v>1028</v>
      </c>
      <c r="M82" s="67">
        <v>1141</v>
      </c>
      <c r="N82" s="67">
        <v>1178</v>
      </c>
      <c r="O82" s="68">
        <v>1220</v>
      </c>
      <c r="P82" s="69">
        <v>1315</v>
      </c>
    </row>
    <row r="83" spans="1:16" x14ac:dyDescent="0.2">
      <c r="A83" s="88" t="s">
        <v>138</v>
      </c>
      <c r="B83" s="70"/>
      <c r="C83" s="70"/>
      <c r="D83" s="70"/>
      <c r="E83" s="70">
        <v>349</v>
      </c>
      <c r="F83" s="70">
        <v>374</v>
      </c>
      <c r="G83" s="70">
        <v>403</v>
      </c>
      <c r="H83" s="70">
        <v>496</v>
      </c>
      <c r="I83" s="71">
        <v>473</v>
      </c>
      <c r="J83" s="70">
        <v>477</v>
      </c>
      <c r="K83" s="70">
        <v>494</v>
      </c>
      <c r="L83" s="70">
        <v>483</v>
      </c>
      <c r="M83" s="70">
        <v>421</v>
      </c>
      <c r="N83" s="70">
        <v>438</v>
      </c>
      <c r="O83" s="71">
        <v>447</v>
      </c>
      <c r="P83" s="72">
        <v>437</v>
      </c>
    </row>
    <row r="84" spans="1:16" x14ac:dyDescent="0.2">
      <c r="A84" s="88" t="s">
        <v>139</v>
      </c>
      <c r="B84" s="70">
        <v>126</v>
      </c>
      <c r="C84" s="70">
        <v>113</v>
      </c>
      <c r="D84" s="70">
        <v>140</v>
      </c>
      <c r="E84" s="70">
        <v>157</v>
      </c>
      <c r="F84" s="70">
        <v>171</v>
      </c>
      <c r="G84" s="70">
        <v>185</v>
      </c>
      <c r="H84" s="70">
        <v>207</v>
      </c>
      <c r="I84" s="71">
        <v>219</v>
      </c>
      <c r="J84" s="70">
        <v>249</v>
      </c>
      <c r="K84" s="70">
        <v>256</v>
      </c>
      <c r="L84" s="70">
        <v>254</v>
      </c>
      <c r="M84" s="70">
        <v>295</v>
      </c>
      <c r="N84" s="70">
        <v>333</v>
      </c>
      <c r="O84" s="71">
        <v>365</v>
      </c>
      <c r="P84" s="72">
        <v>381</v>
      </c>
    </row>
    <row r="85" spans="1:16" x14ac:dyDescent="0.2">
      <c r="A85" s="88" t="s">
        <v>140</v>
      </c>
      <c r="B85" s="70">
        <v>41</v>
      </c>
      <c r="C85" s="70">
        <v>40</v>
      </c>
      <c r="D85" s="70">
        <v>45</v>
      </c>
      <c r="E85" s="70">
        <v>56</v>
      </c>
      <c r="F85" s="70">
        <v>44</v>
      </c>
      <c r="G85" s="70">
        <v>52</v>
      </c>
      <c r="H85" s="70">
        <v>52</v>
      </c>
      <c r="I85" s="71">
        <v>58</v>
      </c>
      <c r="J85" s="70">
        <v>62</v>
      </c>
      <c r="K85" s="70">
        <v>44</v>
      </c>
      <c r="L85" s="70">
        <v>53</v>
      </c>
      <c r="M85" s="70">
        <v>45</v>
      </c>
      <c r="N85" s="70">
        <v>55</v>
      </c>
      <c r="O85" s="71">
        <v>65</v>
      </c>
      <c r="P85" s="72">
        <v>74</v>
      </c>
    </row>
    <row r="86" spans="1:16" x14ac:dyDescent="0.2">
      <c r="A86" s="89" t="s">
        <v>141</v>
      </c>
      <c r="B86" s="73"/>
      <c r="C86" s="73"/>
      <c r="D86" s="73"/>
      <c r="E86" s="73"/>
      <c r="F86" s="73"/>
      <c r="G86" s="73"/>
      <c r="H86" s="73"/>
      <c r="I86" s="74"/>
      <c r="J86" s="73"/>
      <c r="K86" s="73"/>
      <c r="L86" s="73"/>
      <c r="M86" s="73"/>
      <c r="N86" s="73"/>
      <c r="O86" s="74"/>
      <c r="P86" s="75">
        <v>175</v>
      </c>
    </row>
    <row r="87" spans="1:16" x14ac:dyDescent="0.2">
      <c r="A87" s="87" t="s">
        <v>142</v>
      </c>
      <c r="B87" s="67"/>
      <c r="C87" s="67"/>
      <c r="D87" s="67"/>
      <c r="E87" s="67"/>
      <c r="F87" s="67"/>
      <c r="G87" s="67"/>
      <c r="H87" s="67"/>
      <c r="I87" s="68"/>
      <c r="J87" s="67"/>
      <c r="K87" s="67"/>
      <c r="L87" s="67"/>
      <c r="M87" s="67"/>
      <c r="N87" s="67">
        <v>279</v>
      </c>
      <c r="O87" s="68">
        <v>449</v>
      </c>
      <c r="P87" s="69">
        <v>689</v>
      </c>
    </row>
    <row r="88" spans="1:16" x14ac:dyDescent="0.2">
      <c r="A88" s="88" t="s">
        <v>143</v>
      </c>
      <c r="B88" s="70"/>
      <c r="C88" s="70"/>
      <c r="D88" s="70"/>
      <c r="E88" s="70"/>
      <c r="F88" s="70"/>
      <c r="G88" s="70"/>
      <c r="H88" s="70">
        <v>180</v>
      </c>
      <c r="I88" s="71">
        <v>309</v>
      </c>
      <c r="J88" s="70">
        <v>332</v>
      </c>
      <c r="K88" s="70">
        <v>341</v>
      </c>
      <c r="L88" s="70">
        <v>358</v>
      </c>
      <c r="M88" s="70">
        <v>363</v>
      </c>
      <c r="N88" s="70">
        <v>388</v>
      </c>
      <c r="O88" s="71">
        <v>397</v>
      </c>
      <c r="P88" s="72">
        <v>402</v>
      </c>
    </row>
    <row r="89" spans="1:16" x14ac:dyDescent="0.2">
      <c r="A89" s="88" t="s">
        <v>144</v>
      </c>
      <c r="B89" s="70"/>
      <c r="C89" s="70"/>
      <c r="D89" s="70"/>
      <c r="E89" s="70"/>
      <c r="F89" s="70"/>
      <c r="G89" s="70"/>
      <c r="H89" s="70"/>
      <c r="I89" s="71"/>
      <c r="J89" s="70"/>
      <c r="K89" s="70"/>
      <c r="L89" s="70"/>
      <c r="M89" s="70"/>
      <c r="N89" s="70"/>
      <c r="O89" s="71"/>
      <c r="P89" s="72">
        <v>104</v>
      </c>
    </row>
    <row r="90" spans="1:16" x14ac:dyDescent="0.2">
      <c r="A90" s="88" t="s">
        <v>145</v>
      </c>
      <c r="B90" s="70"/>
      <c r="C90" s="70"/>
      <c r="D90" s="70"/>
      <c r="E90" s="70"/>
      <c r="F90" s="70"/>
      <c r="G90" s="70"/>
      <c r="H90" s="70"/>
      <c r="I90" s="71"/>
      <c r="J90" s="70"/>
      <c r="K90" s="70">
        <v>441</v>
      </c>
      <c r="L90" s="70">
        <v>1297</v>
      </c>
      <c r="M90" s="70">
        <v>2042</v>
      </c>
      <c r="N90" s="70">
        <v>2000</v>
      </c>
      <c r="O90" s="71">
        <v>2051</v>
      </c>
      <c r="P90" s="72">
        <v>1956</v>
      </c>
    </row>
    <row r="91" spans="1:16" x14ac:dyDescent="0.2">
      <c r="A91" s="89" t="s">
        <v>146</v>
      </c>
      <c r="B91" s="73"/>
      <c r="C91" s="73"/>
      <c r="D91" s="73"/>
      <c r="E91" s="73"/>
      <c r="F91" s="73"/>
      <c r="G91" s="73"/>
      <c r="H91" s="73"/>
      <c r="I91" s="74"/>
      <c r="J91" s="73"/>
      <c r="K91" s="73"/>
      <c r="L91" s="73"/>
      <c r="M91" s="73"/>
      <c r="N91" s="73"/>
      <c r="O91" s="74">
        <v>440</v>
      </c>
      <c r="P91" s="75">
        <v>419</v>
      </c>
    </row>
    <row r="92" spans="1:16" x14ac:dyDescent="0.2">
      <c r="A92" s="87" t="s">
        <v>147</v>
      </c>
      <c r="B92" s="67"/>
      <c r="C92" s="67"/>
      <c r="D92" s="67"/>
      <c r="E92" s="67"/>
      <c r="F92" s="67"/>
      <c r="G92" s="67"/>
      <c r="H92" s="67"/>
      <c r="I92" s="68"/>
      <c r="J92" s="67"/>
      <c r="K92" s="67">
        <v>425</v>
      </c>
      <c r="L92" s="67">
        <v>458</v>
      </c>
      <c r="M92" s="67">
        <v>472</v>
      </c>
      <c r="N92" s="67">
        <v>488</v>
      </c>
      <c r="O92" s="68">
        <v>598</v>
      </c>
      <c r="P92" s="69">
        <v>724</v>
      </c>
    </row>
    <row r="93" spans="1:16" x14ac:dyDescent="0.2">
      <c r="A93" s="88" t="s">
        <v>148</v>
      </c>
      <c r="B93" s="70"/>
      <c r="C93" s="70"/>
      <c r="D93" s="70"/>
      <c r="E93" s="70"/>
      <c r="F93" s="70"/>
      <c r="G93" s="70"/>
      <c r="H93" s="70"/>
      <c r="I93" s="71"/>
      <c r="J93" s="70"/>
      <c r="K93" s="70"/>
      <c r="L93" s="70">
        <v>683</v>
      </c>
      <c r="M93" s="70">
        <v>823</v>
      </c>
      <c r="N93" s="70">
        <v>862</v>
      </c>
      <c r="O93" s="71">
        <v>843</v>
      </c>
      <c r="P93" s="72">
        <v>799</v>
      </c>
    </row>
    <row r="94" spans="1:16" x14ac:dyDescent="0.2">
      <c r="A94" s="88" t="s">
        <v>149</v>
      </c>
      <c r="B94" s="70"/>
      <c r="C94" s="70"/>
      <c r="D94" s="70"/>
      <c r="E94" s="70"/>
      <c r="F94" s="70"/>
      <c r="G94" s="70"/>
      <c r="H94" s="70"/>
      <c r="I94" s="71"/>
      <c r="J94" s="70"/>
      <c r="K94" s="70"/>
      <c r="L94" s="70"/>
      <c r="M94" s="70"/>
      <c r="N94" s="70"/>
      <c r="O94" s="71"/>
      <c r="P94" s="72">
        <v>500</v>
      </c>
    </row>
    <row r="95" spans="1:16" x14ac:dyDescent="0.2">
      <c r="A95" s="88" t="s">
        <v>150</v>
      </c>
      <c r="B95" s="70"/>
      <c r="C95" s="70"/>
      <c r="D95" s="70"/>
      <c r="E95" s="70"/>
      <c r="F95" s="70"/>
      <c r="G95" s="70">
        <v>96</v>
      </c>
      <c r="H95" s="70">
        <v>90</v>
      </c>
      <c r="I95" s="71">
        <v>102</v>
      </c>
      <c r="J95" s="70">
        <v>263</v>
      </c>
      <c r="K95" s="70">
        <v>271</v>
      </c>
      <c r="L95" s="70">
        <v>265</v>
      </c>
      <c r="M95" s="70">
        <v>323</v>
      </c>
      <c r="N95" s="70">
        <v>338</v>
      </c>
      <c r="O95" s="71">
        <v>537</v>
      </c>
      <c r="P95" s="72">
        <v>443</v>
      </c>
    </row>
    <row r="96" spans="1:16" x14ac:dyDescent="0.2">
      <c r="A96" s="89" t="s">
        <v>151</v>
      </c>
      <c r="B96" s="73"/>
      <c r="C96" s="73"/>
      <c r="D96" s="73"/>
      <c r="E96" s="73"/>
      <c r="F96" s="73"/>
      <c r="G96" s="73"/>
      <c r="H96" s="73">
        <v>326</v>
      </c>
      <c r="I96" s="74">
        <v>333</v>
      </c>
      <c r="J96" s="73">
        <v>347</v>
      </c>
      <c r="K96" s="73">
        <v>362</v>
      </c>
      <c r="L96" s="73">
        <v>374</v>
      </c>
      <c r="M96" s="73">
        <v>375</v>
      </c>
      <c r="N96" s="73">
        <v>375</v>
      </c>
      <c r="O96" s="74">
        <v>375</v>
      </c>
      <c r="P96" s="75">
        <v>416</v>
      </c>
    </row>
    <row r="97" spans="1:16" x14ac:dyDescent="0.2">
      <c r="A97" s="87" t="s">
        <v>152</v>
      </c>
      <c r="B97" s="67"/>
      <c r="C97" s="67"/>
      <c r="D97" s="67"/>
      <c r="E97" s="67"/>
      <c r="F97" s="67"/>
      <c r="G97" s="67"/>
      <c r="H97" s="67"/>
      <c r="I97" s="68"/>
      <c r="J97" s="67"/>
      <c r="K97" s="67"/>
      <c r="L97" s="67"/>
      <c r="M97" s="67"/>
      <c r="N97" s="67"/>
      <c r="O97" s="68"/>
      <c r="P97" s="69">
        <v>41</v>
      </c>
    </row>
    <row r="98" spans="1:16" x14ac:dyDescent="0.2">
      <c r="A98" s="89" t="s">
        <v>153</v>
      </c>
      <c r="B98" s="73"/>
      <c r="C98" s="73"/>
      <c r="D98" s="73"/>
      <c r="E98" s="73"/>
      <c r="F98" s="73"/>
      <c r="G98" s="73"/>
      <c r="H98" s="73"/>
      <c r="I98" s="74"/>
      <c r="J98" s="73"/>
      <c r="K98" s="73"/>
      <c r="L98" s="73"/>
      <c r="M98" s="73">
        <v>550</v>
      </c>
      <c r="N98" s="73">
        <v>535</v>
      </c>
      <c r="O98" s="74">
        <v>587</v>
      </c>
      <c r="P98" s="75">
        <v>580</v>
      </c>
    </row>
    <row r="99" spans="1:16" s="10" customFormat="1" x14ac:dyDescent="0.2">
      <c r="A99" s="90" t="s">
        <v>50</v>
      </c>
      <c r="B99" s="76">
        <f t="shared" ref="B99:N99" si="0">SUM(B2:B98)</f>
        <v>390</v>
      </c>
      <c r="C99" s="77">
        <f t="shared" si="0"/>
        <v>537</v>
      </c>
      <c r="D99" s="77">
        <f t="shared" si="0"/>
        <v>641</v>
      </c>
      <c r="E99" s="77">
        <f t="shared" si="0"/>
        <v>1526</v>
      </c>
      <c r="F99" s="77">
        <f t="shared" si="0"/>
        <v>3253</v>
      </c>
      <c r="G99" s="77">
        <f t="shared" si="0"/>
        <v>6237</v>
      </c>
      <c r="H99" s="77">
        <f t="shared" si="0"/>
        <v>11528</v>
      </c>
      <c r="I99" s="78">
        <f t="shared" si="0"/>
        <v>19222</v>
      </c>
      <c r="J99" s="77">
        <f t="shared" si="0"/>
        <v>22196</v>
      </c>
      <c r="K99" s="77">
        <f t="shared" si="0"/>
        <v>27369</v>
      </c>
      <c r="L99" s="77">
        <f t="shared" si="0"/>
        <v>34166</v>
      </c>
      <c r="M99" s="77">
        <f t="shared" si="0"/>
        <v>40121</v>
      </c>
      <c r="N99" s="77">
        <f t="shared" si="0"/>
        <v>44892</v>
      </c>
      <c r="O99" s="78">
        <f>SUM(O2:O98)</f>
        <v>50801</v>
      </c>
      <c r="P99" s="79">
        <f>SUM(P2:P98)</f>
        <v>54900</v>
      </c>
    </row>
    <row r="100" spans="1:16" x14ac:dyDescent="0.2">
      <c r="I100" s="11"/>
      <c r="O100" s="11"/>
    </row>
    <row r="104" spans="1:16" x14ac:dyDescent="0.2">
      <c r="A104" s="1" t="s">
        <v>56</v>
      </c>
    </row>
  </sheetData>
  <sheetProtection password="EB3F" sheet="1" objects="1" scenarios="1"/>
  <phoneticPr fontId="3" type="noConversion"/>
  <printOptions horizontalCentered="1"/>
  <pageMargins left="0.25" right="0.25" top="0.75" bottom="0.75" header="0.3" footer="0.3"/>
  <pageSetup scale="54" fitToHeight="2" orientation="portrait" r:id="rId1"/>
  <headerFooter alignWithMargins="0">
    <oddHeader>&amp;C&amp;"-,Bold"&amp;14Fall Enrollment by Charter School and Year
Fall 1999-Fall 2013</oddHeader>
    <oddFooter xml:space="preserve">&amp;L&amp;8Compiler: USOE/Data &amp; Statistics
Source: October 2013 Warehouse
</oddFooter>
  </headerFooter>
  <ignoredErrors>
    <ignoredError sqref="B99 C99:P9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Districts</vt:lpstr>
      <vt:lpstr>Charters</vt:lpstr>
      <vt:lpstr>Charters!Print_Area</vt:lpstr>
      <vt:lpstr>Districts!Print_Area</vt:lpstr>
    </vt:vector>
  </TitlesOfParts>
  <Company>Utah State Office of Education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sford</dc:creator>
  <cp:lastModifiedBy>Morandy, Tina</cp:lastModifiedBy>
  <cp:lastPrinted>2013-12-19T21:09:29Z</cp:lastPrinted>
  <dcterms:created xsi:type="dcterms:W3CDTF">2007-12-06T22:03:15Z</dcterms:created>
  <dcterms:modified xsi:type="dcterms:W3CDTF">2013-12-20T17:10:10Z</dcterms:modified>
</cp:coreProperties>
</file>