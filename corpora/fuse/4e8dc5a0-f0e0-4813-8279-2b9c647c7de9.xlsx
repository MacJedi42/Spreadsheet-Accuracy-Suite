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90" yWindow="345" windowWidth="9840" windowHeight="8670" tabRatio="746" firstSheet="8" activeTab="1"/>
  </bookViews>
  <sheets>
    <sheet name="Instructions" sheetId="65" r:id="rId1"/>
    <sheet name="Form 1 Cover" sheetId="56" r:id="rId2"/>
    <sheet name="Form 2 Enrollment-DSA" sheetId="54" r:id="rId3"/>
    <sheet name="Form 3 Revenues" sheetId="51" r:id="rId4"/>
    <sheet name="Form 4 Expenses" sheetId="48" r:id="rId5"/>
    <sheet name="Form 5 Exp Summary" sheetId="52" r:id="rId6"/>
    <sheet name="Form 6 Proprietary-Enterprise" sheetId="66" r:id="rId7"/>
    <sheet name="Form 7 Debt" sheetId="37" r:id="rId8"/>
    <sheet name="Form 8 Tuition, Transportation" sheetId="34" r:id="rId9"/>
    <sheet name="FORM 9 Fund Transfers" sheetId="33" r:id="rId10"/>
    <sheet name="FORM 10 Lobby Expense" sheetId="57" r:id="rId11"/>
    <sheet name="FORM 11 Cash Flow" sheetId="64" r:id="rId12"/>
  </sheets>
  <definedNames>
    <definedName name="_xlnm.Print_Area" localSheetId="1">'Form 1 Cover'!$A$1:$K$62</definedName>
    <definedName name="_xlnm.Print_Area" localSheetId="2">'Form 2 Enrollment-DSA'!$A$1:$N$71</definedName>
    <definedName name="_xlnm.Print_Area" localSheetId="4">'Form 4 Expenses'!$A$1:$I$536</definedName>
    <definedName name="_xlnm.Print_Area" localSheetId="6">'Form 6 Proprietary-Enterprise'!$A$1:$G$96</definedName>
    <definedName name="_xlnm.Print_Area" localSheetId="7">'Form 7 Debt'!$A$1:$K$37</definedName>
  </definedNames>
  <calcPr calcId="145621"/>
</workbook>
</file>

<file path=xl/calcChain.xml><?xml version="1.0" encoding="utf-8"?>
<calcChain xmlns="http://schemas.openxmlformats.org/spreadsheetml/2006/main">
  <c r="A51" i="52" l="1"/>
  <c r="N43" i="54"/>
  <c r="N41" i="54"/>
  <c r="I501" i="48" l="1"/>
  <c r="A24" i="52"/>
  <c r="A1" i="52"/>
  <c r="F20" i="52"/>
  <c r="F43" i="52"/>
  <c r="F70" i="52"/>
  <c r="C4" i="52"/>
  <c r="F69" i="52"/>
  <c r="E68" i="52"/>
  <c r="E66" i="52"/>
  <c r="D66" i="52"/>
  <c r="C66" i="52"/>
  <c r="E65" i="52"/>
  <c r="D65" i="52"/>
  <c r="C65" i="52"/>
  <c r="G500" i="48"/>
  <c r="G442" i="48"/>
  <c r="G398" i="48"/>
  <c r="G345" i="48"/>
  <c r="G290" i="48"/>
  <c r="E61" i="52"/>
  <c r="D61" i="52"/>
  <c r="C61" i="52"/>
  <c r="E60" i="52"/>
  <c r="D60" i="52"/>
  <c r="C60" i="52"/>
  <c r="E57" i="52"/>
  <c r="D57" i="52"/>
  <c r="F57" i="52" s="1"/>
  <c r="C57" i="52"/>
  <c r="E56" i="52"/>
  <c r="D56" i="52"/>
  <c r="F56" i="52" s="1"/>
  <c r="C56" i="52"/>
  <c r="E55" i="52"/>
  <c r="E62" i="52" s="1"/>
  <c r="E54" i="52"/>
  <c r="D55" i="52"/>
  <c r="C55" i="52"/>
  <c r="D30" i="52"/>
  <c r="C30" i="52"/>
  <c r="F42" i="52"/>
  <c r="E41" i="52"/>
  <c r="D39" i="52"/>
  <c r="C39" i="52"/>
  <c r="D38" i="52"/>
  <c r="C38" i="52"/>
  <c r="D34" i="52"/>
  <c r="C34" i="52"/>
  <c r="D33" i="52"/>
  <c r="C33" i="52"/>
  <c r="D29" i="52"/>
  <c r="C29" i="52"/>
  <c r="D28" i="52"/>
  <c r="C28" i="52"/>
  <c r="D27" i="52"/>
  <c r="C27" i="52"/>
  <c r="B74" i="52"/>
  <c r="D54" i="52"/>
  <c r="F61" i="52"/>
  <c r="C54" i="52"/>
  <c r="F58" i="52"/>
  <c r="F59" i="52"/>
  <c r="F76" i="52"/>
  <c r="E74" i="52"/>
  <c r="F68" i="52"/>
  <c r="I438" i="48"/>
  <c r="I436" i="48"/>
  <c r="I393" i="48"/>
  <c r="I391" i="48"/>
  <c r="I343" i="48"/>
  <c r="I341" i="48"/>
  <c r="I285" i="48"/>
  <c r="I283" i="48"/>
  <c r="I227" i="48"/>
  <c r="I225" i="48"/>
  <c r="I169" i="48"/>
  <c r="I167" i="48"/>
  <c r="G232" i="48"/>
  <c r="G174" i="48"/>
  <c r="G116" i="48"/>
  <c r="G59" i="48"/>
  <c r="I536" i="48"/>
  <c r="I528" i="48"/>
  <c r="I519" i="48"/>
  <c r="I511" i="48"/>
  <c r="I493" i="48"/>
  <c r="I497" i="48"/>
  <c r="I485" i="48"/>
  <c r="I477" i="48"/>
  <c r="I469" i="48"/>
  <c r="I461" i="48"/>
  <c r="I453" i="48"/>
  <c r="I434" i="48"/>
  <c r="I425" i="48"/>
  <c r="I417" i="48"/>
  <c r="I409" i="48"/>
  <c r="I389" i="48"/>
  <c r="I381" i="48"/>
  <c r="I373" i="48"/>
  <c r="I365" i="48"/>
  <c r="I426" i="48" s="1"/>
  <c r="I357" i="48"/>
  <c r="I339" i="48"/>
  <c r="I316" i="48"/>
  <c r="I281" i="48"/>
  <c r="I258" i="48"/>
  <c r="I223" i="48"/>
  <c r="I200" i="48"/>
  <c r="I165" i="48"/>
  <c r="I142" i="48"/>
  <c r="I112" i="48"/>
  <c r="I108" i="48"/>
  <c r="I85" i="48"/>
  <c r="I55" i="48"/>
  <c r="I51" i="48"/>
  <c r="I28" i="48"/>
  <c r="H57" i="51"/>
  <c r="H105" i="51"/>
  <c r="D146" i="56"/>
  <c r="F74" i="51"/>
  <c r="F59" i="51"/>
  <c r="H96" i="51"/>
  <c r="H92" i="51"/>
  <c r="H72" i="51"/>
  <c r="H53" i="51"/>
  <c r="H99" i="51" s="1"/>
  <c r="H42" i="51"/>
  <c r="D21" i="56"/>
  <c r="D15" i="52"/>
  <c r="F519" i="48"/>
  <c r="G519" i="48"/>
  <c r="H519" i="48"/>
  <c r="E91" i="66"/>
  <c r="F91" i="66"/>
  <c r="G91" i="66"/>
  <c r="A94" i="66"/>
  <c r="A43" i="66"/>
  <c r="G96" i="66"/>
  <c r="F94" i="66"/>
  <c r="G86" i="66"/>
  <c r="G59" i="66"/>
  <c r="G87" i="66" s="1"/>
  <c r="G92" i="66" s="1"/>
  <c r="F86" i="66"/>
  <c r="F59" i="66"/>
  <c r="F87" i="66" s="1"/>
  <c r="F92" i="66" s="1"/>
  <c r="E86" i="66"/>
  <c r="E59" i="66"/>
  <c r="E87" i="66" s="1"/>
  <c r="E92" i="66" s="1"/>
  <c r="D91" i="66"/>
  <c r="D86" i="66"/>
  <c r="E83" i="66"/>
  <c r="F83" i="66"/>
  <c r="G83" i="66"/>
  <c r="D83" i="66"/>
  <c r="E67" i="66"/>
  <c r="F67" i="66"/>
  <c r="G67" i="66"/>
  <c r="D67" i="66"/>
  <c r="D87" i="66" s="1"/>
  <c r="D92" i="66" s="1"/>
  <c r="D59" i="66"/>
  <c r="G75" i="66"/>
  <c r="F75" i="66"/>
  <c r="E75" i="66"/>
  <c r="D75" i="66"/>
  <c r="G45" i="66"/>
  <c r="F43" i="66"/>
  <c r="G17" i="66"/>
  <c r="G41" i="66" s="1"/>
  <c r="G21" i="66"/>
  <c r="G28" i="66"/>
  <c r="G36" i="66"/>
  <c r="G40" i="66"/>
  <c r="F17" i="66"/>
  <c r="F21" i="66"/>
  <c r="F28" i="66"/>
  <c r="F41" i="66"/>
  <c r="F36" i="66"/>
  <c r="F40" i="66"/>
  <c r="E17" i="66"/>
  <c r="E21" i="66"/>
  <c r="E28" i="66"/>
  <c r="E36" i="66"/>
  <c r="E41" i="66" s="1"/>
  <c r="E98" i="66" s="1"/>
  <c r="E40" i="66"/>
  <c r="D17" i="66"/>
  <c r="D41" i="66" s="1"/>
  <c r="D98" i="66" s="1"/>
  <c r="D21" i="66"/>
  <c r="D28" i="66"/>
  <c r="D36" i="66"/>
  <c r="D40" i="66"/>
  <c r="A3" i="66"/>
  <c r="E8" i="66"/>
  <c r="D8" i="66"/>
  <c r="F5" i="66"/>
  <c r="E357" i="48"/>
  <c r="E365" i="48"/>
  <c r="E373" i="48"/>
  <c r="E381" i="48"/>
  <c r="E389" i="48"/>
  <c r="E409" i="48"/>
  <c r="E417" i="48"/>
  <c r="E425" i="48"/>
  <c r="E434" i="48"/>
  <c r="E461" i="48"/>
  <c r="E469" i="48"/>
  <c r="E477" i="48"/>
  <c r="E485" i="48"/>
  <c r="E493" i="48"/>
  <c r="E511" i="48"/>
  <c r="E519" i="48"/>
  <c r="E453" i="48"/>
  <c r="E28" i="48"/>
  <c r="E51" i="48"/>
  <c r="E85" i="48"/>
  <c r="E108" i="48"/>
  <c r="E142" i="48"/>
  <c r="E165" i="48"/>
  <c r="E200" i="48"/>
  <c r="E223" i="48"/>
  <c r="E258" i="48"/>
  <c r="E281" i="48"/>
  <c r="E316" i="48"/>
  <c r="E339" i="48"/>
  <c r="G357" i="48"/>
  <c r="G426" i="48" s="1"/>
  <c r="G522" i="48" s="1"/>
  <c r="G523" i="48" s="1"/>
  <c r="G365" i="48"/>
  <c r="G373" i="48"/>
  <c r="G381" i="48"/>
  <c r="G389" i="48"/>
  <c r="G409" i="48"/>
  <c r="G417" i="48"/>
  <c r="G425" i="48"/>
  <c r="G434" i="48"/>
  <c r="G461" i="48"/>
  <c r="G469" i="48"/>
  <c r="G477" i="48"/>
  <c r="G485" i="48"/>
  <c r="G493" i="48"/>
  <c r="G511" i="48"/>
  <c r="G453" i="48"/>
  <c r="G28" i="48"/>
  <c r="G51" i="48"/>
  <c r="G85" i="48"/>
  <c r="G108" i="48"/>
  <c r="G142" i="48"/>
  <c r="G165" i="48"/>
  <c r="G200" i="48"/>
  <c r="G223" i="48"/>
  <c r="G258" i="48"/>
  <c r="G281" i="48"/>
  <c r="G316" i="48"/>
  <c r="G339" i="48"/>
  <c r="H357" i="48"/>
  <c r="H365" i="48"/>
  <c r="H373" i="48"/>
  <c r="H381" i="48"/>
  <c r="H389" i="48"/>
  <c r="H409" i="48"/>
  <c r="H417" i="48"/>
  <c r="H425" i="48"/>
  <c r="H434" i="48"/>
  <c r="H461" i="48"/>
  <c r="H469" i="48"/>
  <c r="H477" i="48"/>
  <c r="H485" i="48"/>
  <c r="H493" i="48"/>
  <c r="H511" i="48"/>
  <c r="H453" i="48"/>
  <c r="H28" i="48"/>
  <c r="H51" i="48"/>
  <c r="H85" i="48"/>
  <c r="E28" i="52" s="1"/>
  <c r="H108" i="48"/>
  <c r="H142" i="48"/>
  <c r="H165" i="48"/>
  <c r="H200" i="48"/>
  <c r="H223" i="48"/>
  <c r="H258" i="48"/>
  <c r="H281" i="48"/>
  <c r="H316" i="48"/>
  <c r="H339" i="48"/>
  <c r="E34" i="52"/>
  <c r="F357" i="48"/>
  <c r="F365" i="48"/>
  <c r="F426" i="48" s="1"/>
  <c r="F373" i="48"/>
  <c r="F381" i="48"/>
  <c r="F389" i="48"/>
  <c r="F409" i="48"/>
  <c r="F417" i="48"/>
  <c r="F425" i="48"/>
  <c r="F434" i="48"/>
  <c r="F461" i="48"/>
  <c r="F520" i="48" s="1"/>
  <c r="F469" i="48"/>
  <c r="F477" i="48"/>
  <c r="F485" i="48"/>
  <c r="F493" i="48"/>
  <c r="F511" i="48"/>
  <c r="F453" i="48"/>
  <c r="F28" i="48"/>
  <c r="F51" i="48"/>
  <c r="F85" i="48"/>
  <c r="F108" i="48"/>
  <c r="F142" i="48"/>
  <c r="F165" i="48"/>
  <c r="F200" i="48"/>
  <c r="F223" i="48"/>
  <c r="F258" i="48"/>
  <c r="F281" i="48"/>
  <c r="F316" i="48"/>
  <c r="F339" i="48"/>
  <c r="D16" i="52"/>
  <c r="C15" i="52"/>
  <c r="C16" i="52"/>
  <c r="E18" i="52"/>
  <c r="F18" i="52" s="1"/>
  <c r="F19" i="52"/>
  <c r="G528" i="48"/>
  <c r="F32" i="33"/>
  <c r="E32" i="33"/>
  <c r="C32" i="33"/>
  <c r="B32" i="33"/>
  <c r="F19" i="33"/>
  <c r="F33" i="33"/>
  <c r="E19" i="33"/>
  <c r="E33" i="33"/>
  <c r="C19" i="33"/>
  <c r="C33" i="33"/>
  <c r="B19" i="33"/>
  <c r="B33" i="33"/>
  <c r="A1" i="33"/>
  <c r="G27" i="34"/>
  <c r="E27" i="34"/>
  <c r="F27" i="34"/>
  <c r="D27" i="34"/>
  <c r="E12" i="34"/>
  <c r="F12" i="34"/>
  <c r="G12" i="34"/>
  <c r="D12" i="34"/>
  <c r="B1" i="34"/>
  <c r="A2" i="37"/>
  <c r="B58" i="48"/>
  <c r="A1" i="48"/>
  <c r="A3" i="64"/>
  <c r="A1" i="64"/>
  <c r="A1" i="57"/>
  <c r="A3" i="33"/>
  <c r="C4" i="34"/>
  <c r="H15" i="37"/>
  <c r="F503" i="48"/>
  <c r="E503" i="48"/>
  <c r="F445" i="48"/>
  <c r="E445" i="48"/>
  <c r="F401" i="48"/>
  <c r="E401" i="48"/>
  <c r="F348" i="48"/>
  <c r="E348" i="48"/>
  <c r="F293" i="48"/>
  <c r="E293" i="48"/>
  <c r="F235" i="48"/>
  <c r="E235" i="48"/>
  <c r="F177" i="48"/>
  <c r="E177" i="48"/>
  <c r="F119" i="48"/>
  <c r="E119" i="48"/>
  <c r="F62" i="48"/>
  <c r="E62" i="48"/>
  <c r="F33" i="54"/>
  <c r="H33" i="54"/>
  <c r="P56" i="64"/>
  <c r="A56" i="64"/>
  <c r="A36" i="57"/>
  <c r="H36" i="57"/>
  <c r="A35" i="33"/>
  <c r="E35" i="33"/>
  <c r="F29" i="34"/>
  <c r="A29" i="34"/>
  <c r="A34" i="37"/>
  <c r="J34" i="37"/>
  <c r="B47" i="52"/>
  <c r="F49" i="52"/>
  <c r="E47" i="52"/>
  <c r="D4" i="52"/>
  <c r="D5" i="52"/>
  <c r="D6" i="52"/>
  <c r="D7" i="52"/>
  <c r="D10" i="52"/>
  <c r="D11" i="52"/>
  <c r="C5" i="52"/>
  <c r="C6" i="52"/>
  <c r="C7" i="52"/>
  <c r="C10" i="52"/>
  <c r="C11" i="52"/>
  <c r="F8" i="52"/>
  <c r="F9" i="52"/>
  <c r="F41" i="52"/>
  <c r="H528" i="48"/>
  <c r="F31" i="52"/>
  <c r="F32" i="52"/>
  <c r="O7" i="64"/>
  <c r="O15" i="64" s="1"/>
  <c r="O50" i="64" s="1"/>
  <c r="O8" i="64"/>
  <c r="Q8" i="64"/>
  <c r="O9" i="64"/>
  <c r="Q9" i="64"/>
  <c r="O10" i="64"/>
  <c r="Q10" i="64"/>
  <c r="O11" i="64"/>
  <c r="Q11" i="64"/>
  <c r="O12" i="64"/>
  <c r="Q12" i="64"/>
  <c r="O13" i="64"/>
  <c r="Q13" i="64"/>
  <c r="O14" i="64"/>
  <c r="Q14" i="64"/>
  <c r="O20" i="64"/>
  <c r="Q20" i="64"/>
  <c r="O21" i="64"/>
  <c r="O22" i="64" s="1"/>
  <c r="O25" i="64"/>
  <c r="Q25" i="64" s="1"/>
  <c r="O26" i="64"/>
  <c r="Q26" i="64" s="1"/>
  <c r="O27" i="64"/>
  <c r="Q27" i="64" s="1"/>
  <c r="O28" i="64"/>
  <c r="Q28" i="64" s="1"/>
  <c r="O29" i="64"/>
  <c r="Q29" i="64" s="1"/>
  <c r="O30" i="64"/>
  <c r="Q30" i="64" s="1"/>
  <c r="O31" i="64"/>
  <c r="Q31" i="64" s="1"/>
  <c r="O32" i="64"/>
  <c r="Q32" i="64" s="1"/>
  <c r="O33" i="64"/>
  <c r="Q33" i="64" s="1"/>
  <c r="O34" i="64"/>
  <c r="Q34" i="64" s="1"/>
  <c r="O35" i="64"/>
  <c r="Q35" i="64" s="1"/>
  <c r="O36" i="64"/>
  <c r="Q36" i="64" s="1"/>
  <c r="O37" i="64"/>
  <c r="Q37" i="64" s="1"/>
  <c r="O38" i="64"/>
  <c r="Q38" i="64" s="1"/>
  <c r="O39" i="64"/>
  <c r="Q39" i="64" s="1"/>
  <c r="O40" i="64"/>
  <c r="Q40" i="64" s="1"/>
  <c r="O41" i="64"/>
  <c r="Q41" i="64" s="1"/>
  <c r="O42" i="64"/>
  <c r="Q42" i="64" s="1"/>
  <c r="Q52" i="64"/>
  <c r="P15" i="64"/>
  <c r="P22" i="64"/>
  <c r="P44" i="64" s="1"/>
  <c r="P45" i="64" s="1"/>
  <c r="N15" i="64"/>
  <c r="N22" i="64"/>
  <c r="N44" i="64" s="1"/>
  <c r="N50" i="64" s="1"/>
  <c r="M15" i="64"/>
  <c r="M22" i="64"/>
  <c r="M44" i="64" s="1"/>
  <c r="M50" i="64" s="1"/>
  <c r="L15" i="64"/>
  <c r="L22" i="64"/>
  <c r="L44" i="64" s="1"/>
  <c r="L50" i="64" s="1"/>
  <c r="K15" i="64"/>
  <c r="K22" i="64"/>
  <c r="K44" i="64" s="1"/>
  <c r="K50" i="64" s="1"/>
  <c r="J15" i="64"/>
  <c r="J22" i="64"/>
  <c r="J44" i="64" s="1"/>
  <c r="J50" i="64" s="1"/>
  <c r="I15" i="64"/>
  <c r="I22" i="64"/>
  <c r="I44" i="64" s="1"/>
  <c r="I50" i="64" s="1"/>
  <c r="H15" i="64"/>
  <c r="H22" i="64"/>
  <c r="H44" i="64" s="1"/>
  <c r="H50" i="64" s="1"/>
  <c r="G15" i="64"/>
  <c r="G22" i="64"/>
  <c r="G44" i="64" s="1"/>
  <c r="G50" i="64" s="1"/>
  <c r="F15" i="64"/>
  <c r="F22" i="64"/>
  <c r="F44" i="64" s="1"/>
  <c r="F50" i="64" s="1"/>
  <c r="E15" i="64"/>
  <c r="E22" i="64"/>
  <c r="E44" i="64" s="1"/>
  <c r="E50" i="64" s="1"/>
  <c r="E54" i="64" s="1"/>
  <c r="F52" i="64" s="1"/>
  <c r="D15" i="64"/>
  <c r="D22" i="64"/>
  <c r="D44" i="64" s="1"/>
  <c r="D50" i="64" s="1"/>
  <c r="D54" i="64" s="1"/>
  <c r="E52" i="64" s="1"/>
  <c r="C15" i="64"/>
  <c r="C16" i="64"/>
  <c r="D16" i="64" s="1"/>
  <c r="E16" i="64" s="1"/>
  <c r="F16" i="64" s="1"/>
  <c r="G16" i="64" s="1"/>
  <c r="H16" i="64" s="1"/>
  <c r="I16" i="64" s="1"/>
  <c r="J16" i="64" s="1"/>
  <c r="K16" i="64" s="1"/>
  <c r="L16" i="64" s="1"/>
  <c r="M16" i="64" s="1"/>
  <c r="N16" i="64" s="1"/>
  <c r="C22" i="64"/>
  <c r="C44" i="64" s="1"/>
  <c r="C50" i="64" s="1"/>
  <c r="C54" i="64" s="1"/>
  <c r="D52" i="64" s="1"/>
  <c r="F528" i="48"/>
  <c r="E528" i="48"/>
  <c r="K14" i="37"/>
  <c r="D32" i="37"/>
  <c r="I32" i="37"/>
  <c r="J32" i="37"/>
  <c r="K17" i="37"/>
  <c r="K18" i="37"/>
  <c r="K32" i="37" s="1"/>
  <c r="K19" i="37"/>
  <c r="K20" i="37"/>
  <c r="K21" i="37"/>
  <c r="K22" i="37"/>
  <c r="K23" i="37"/>
  <c r="K24" i="37"/>
  <c r="K25" i="37"/>
  <c r="K26" i="37"/>
  <c r="K27" i="37"/>
  <c r="K28" i="37"/>
  <c r="K29" i="37"/>
  <c r="K30" i="37"/>
  <c r="K31" i="37"/>
  <c r="I12" i="37"/>
  <c r="H32" i="37"/>
  <c r="E96" i="51"/>
  <c r="F96" i="51"/>
  <c r="G96" i="51"/>
  <c r="D96" i="51"/>
  <c r="E92" i="51"/>
  <c r="F92" i="51"/>
  <c r="G92" i="51"/>
  <c r="D92" i="51"/>
  <c r="E72" i="51"/>
  <c r="F72" i="51"/>
  <c r="G72" i="51"/>
  <c r="D72" i="51"/>
  <c r="E53" i="51"/>
  <c r="F53" i="51"/>
  <c r="G53" i="51"/>
  <c r="G99" i="51" s="1"/>
  <c r="D53" i="51"/>
  <c r="E42" i="51"/>
  <c r="E99" i="51" s="1"/>
  <c r="F42" i="51"/>
  <c r="F99" i="51" s="1"/>
  <c r="G532" i="48" s="1"/>
  <c r="G42" i="51"/>
  <c r="D42" i="51"/>
  <c r="D99" i="51"/>
  <c r="B534" i="48"/>
  <c r="I534" i="48"/>
  <c r="B495" i="48"/>
  <c r="I495" i="48"/>
  <c r="B436" i="48"/>
  <c r="B391" i="48"/>
  <c r="B341" i="48"/>
  <c r="B283" i="48"/>
  <c r="B225" i="48"/>
  <c r="B167" i="48"/>
  <c r="B110" i="48"/>
  <c r="I110" i="48"/>
  <c r="B53" i="48"/>
  <c r="I53" i="48"/>
  <c r="E62" i="51"/>
  <c r="E77" i="51" s="1"/>
  <c r="D62" i="51"/>
  <c r="D77" i="51" s="1"/>
  <c r="A102" i="51"/>
  <c r="G102" i="51"/>
  <c r="A3" i="51"/>
  <c r="A55" i="51" s="1"/>
  <c r="F68" i="54"/>
  <c r="N8" i="54"/>
  <c r="N10" i="54"/>
  <c r="N18" i="54" s="1"/>
  <c r="N26" i="54" s="1"/>
  <c r="J50" i="54"/>
  <c r="J35" i="54"/>
  <c r="J36" i="54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1" i="54"/>
  <c r="H53" i="54"/>
  <c r="N5" i="54"/>
  <c r="B31" i="54" s="1"/>
  <c r="L61" i="54"/>
  <c r="J8" i="54"/>
  <c r="J10" i="54"/>
  <c r="J18" i="54" s="1"/>
  <c r="J26" i="54" s="1"/>
  <c r="F8" i="54"/>
  <c r="F10" i="54"/>
  <c r="F18" i="54" s="1"/>
  <c r="F26" i="54" s="1"/>
  <c r="G2" i="48"/>
  <c r="F2" i="51"/>
  <c r="G55" i="51"/>
  <c r="A68" i="54"/>
  <c r="J5" i="54"/>
  <c r="F5" i="54"/>
  <c r="J40" i="57"/>
  <c r="F37" i="33"/>
  <c r="G33" i="34"/>
  <c r="K36" i="37"/>
  <c r="N70" i="54"/>
  <c r="J62" i="56"/>
  <c r="F5" i="48"/>
  <c r="E5" i="48"/>
  <c r="E5" i="51"/>
  <c r="D5" i="51"/>
  <c r="J26" i="57"/>
  <c r="A5" i="33"/>
  <c r="B5" i="33" s="1"/>
  <c r="E5" i="33"/>
  <c r="O44" i="64"/>
  <c r="O54" i="64"/>
  <c r="C44" i="52"/>
  <c r="F98" i="66"/>
  <c r="C35" i="52"/>
  <c r="E30" i="52"/>
  <c r="F55" i="52"/>
  <c r="C71" i="52"/>
  <c r="E426" i="48"/>
  <c r="H426" i="48"/>
  <c r="H522" i="48" s="1"/>
  <c r="E520" i="48"/>
  <c r="E522" i="48" s="1"/>
  <c r="E523" i="48" s="1"/>
  <c r="H520" i="48"/>
  <c r="E40" i="52" s="1"/>
  <c r="F40" i="52" s="1"/>
  <c r="G520" i="48"/>
  <c r="E17" i="52" s="1"/>
  <c r="F17" i="52" s="1"/>
  <c r="I520" i="48"/>
  <c r="E67" i="52" s="1"/>
  <c r="F67" i="52" s="1"/>
  <c r="H523" i="48"/>
  <c r="H531" i="48" s="1"/>
  <c r="E29" i="52"/>
  <c r="E27" i="52"/>
  <c r="F65" i="52"/>
  <c r="D71" i="52"/>
  <c r="C62" i="52"/>
  <c r="F54" i="52"/>
  <c r="H529" i="48"/>
  <c r="J53" i="54" l="1"/>
  <c r="L53" i="54" s="1"/>
  <c r="J31" i="54" s="1"/>
  <c r="N58" i="54" s="1"/>
  <c r="N64" i="54" s="1"/>
  <c r="G531" i="48"/>
  <c r="G529" i="48"/>
  <c r="E529" i="48"/>
  <c r="E532" i="48"/>
  <c r="F54" i="64"/>
  <c r="G52" i="64" s="1"/>
  <c r="G54" i="64" s="1"/>
  <c r="H52" i="64" s="1"/>
  <c r="H54" i="64" s="1"/>
  <c r="I52" i="64" s="1"/>
  <c r="I54" i="64" s="1"/>
  <c r="J52" i="64" s="1"/>
  <c r="J54" i="64" s="1"/>
  <c r="K52" i="64" s="1"/>
  <c r="K54" i="64" s="1"/>
  <c r="L52" i="64" s="1"/>
  <c r="L54" i="64" s="1"/>
  <c r="M52" i="64" s="1"/>
  <c r="M54" i="64" s="1"/>
  <c r="N52" i="64" s="1"/>
  <c r="N54" i="64" s="1"/>
  <c r="Q22" i="64"/>
  <c r="Q44" i="64" s="1"/>
  <c r="C45" i="64"/>
  <c r="F522" i="48"/>
  <c r="F523" i="48" s="1"/>
  <c r="G98" i="66"/>
  <c r="I522" i="48"/>
  <c r="I523" i="48" s="1"/>
  <c r="P50" i="64"/>
  <c r="P54" i="64" s="1"/>
  <c r="H532" i="48"/>
  <c r="F66" i="52"/>
  <c r="F71" i="52" s="1"/>
  <c r="F72" i="52" s="1"/>
  <c r="E15" i="52"/>
  <c r="E33" i="52"/>
  <c r="E38" i="52"/>
  <c r="E44" i="52" s="1"/>
  <c r="C45" i="52"/>
  <c r="Q21" i="64"/>
  <c r="Q7" i="64"/>
  <c r="Q15" i="64" s="1"/>
  <c r="E11" i="52"/>
  <c r="F11" i="52" s="1"/>
  <c r="D35" i="52"/>
  <c r="E39" i="52"/>
  <c r="F39" i="52" s="1"/>
  <c r="F60" i="52"/>
  <c r="E7" i="52"/>
  <c r="F7" i="52" s="1"/>
  <c r="E5" i="52"/>
  <c r="F5" i="52" s="1"/>
  <c r="C72" i="52"/>
  <c r="E10" i="52"/>
  <c r="F10" i="52" s="1"/>
  <c r="E6" i="52"/>
  <c r="F6" i="52" s="1"/>
  <c r="C21" i="52"/>
  <c r="E16" i="52"/>
  <c r="F16" i="52" s="1"/>
  <c r="D12" i="52"/>
  <c r="D21" i="52"/>
  <c r="F28" i="52"/>
  <c r="F29" i="52"/>
  <c r="F34" i="52"/>
  <c r="F30" i="52"/>
  <c r="D62" i="52"/>
  <c r="D72" i="52" s="1"/>
  <c r="F62" i="52"/>
  <c r="E71" i="52"/>
  <c r="E72" i="52" s="1"/>
  <c r="F15" i="52"/>
  <c r="F33" i="52"/>
  <c r="E35" i="52"/>
  <c r="F27" i="52"/>
  <c r="D44" i="52"/>
  <c r="E4" i="52"/>
  <c r="C12" i="52"/>
  <c r="L58" i="54" l="1"/>
  <c r="L64" i="54" s="1"/>
  <c r="I529" i="48"/>
  <c r="I531" i="48"/>
  <c r="C22" i="52"/>
  <c r="D22" i="52"/>
  <c r="I532" i="48"/>
  <c r="F38" i="52"/>
  <c r="F44" i="52" s="1"/>
  <c r="Q50" i="64"/>
  <c r="Q54" i="64" s="1"/>
  <c r="Q45" i="64"/>
  <c r="F529" i="48"/>
  <c r="F531" i="48"/>
  <c r="F532" i="48"/>
  <c r="D45" i="52"/>
  <c r="D45" i="64"/>
  <c r="C46" i="64"/>
  <c r="E21" i="52"/>
  <c r="F21" i="52"/>
  <c r="F35" i="52"/>
  <c r="F4" i="52"/>
  <c r="F12" i="52" s="1"/>
  <c r="F22" i="52" s="1"/>
  <c r="E12" i="52"/>
  <c r="E22" i="52" s="1"/>
  <c r="E45" i="52"/>
  <c r="F45" i="52" l="1"/>
  <c r="D46" i="64"/>
  <c r="E45" i="64"/>
  <c r="E46" i="64" l="1"/>
  <c r="F45" i="64"/>
  <c r="F46" i="64" l="1"/>
  <c r="G45" i="64"/>
  <c r="G46" i="64" l="1"/>
  <c r="H45" i="64"/>
  <c r="H46" i="64" l="1"/>
  <c r="I45" i="64"/>
  <c r="J45" i="64" l="1"/>
  <c r="I46" i="64"/>
  <c r="J46" i="64" l="1"/>
  <c r="K45" i="64"/>
  <c r="K46" i="64" l="1"/>
  <c r="L45" i="64"/>
  <c r="L46" i="64" l="1"/>
  <c r="M45" i="64"/>
  <c r="N45" i="64" l="1"/>
  <c r="M46" i="64"/>
  <c r="N46" i="64" l="1"/>
  <c r="O45" i="64"/>
</calcChain>
</file>

<file path=xl/comments1.xml><?xml version="1.0" encoding="utf-8"?>
<comments xmlns="http://schemas.openxmlformats.org/spreadsheetml/2006/main">
  <authors>
    <author>Smart</author>
  </authors>
  <commentList>
    <comment ref="B28" authorId="0">
      <text>
        <r>
          <rPr>
            <b/>
            <sz val="10"/>
            <color indexed="81"/>
            <rFont val="Tahoma"/>
            <family val="2"/>
          </rPr>
          <t>Eligible for Hold Harmless 
IF:  enrollment decreases less than 5%, use highest enrollment of current or prior year.
IF:  enrollment decreases 5% or more, use highest enrollment from current or either of 2 prior consecutive years.
IF:  charter school is multi-district, hold harmless is based on total statewide enrollment.
Hold Harmless is not applicable for new charter schools.</t>
        </r>
      </text>
    </comment>
    <comment ref="F34" authorId="0">
      <text>
        <r>
          <rPr>
            <b/>
            <sz val="8"/>
            <color indexed="81"/>
            <rFont val="Tahoma"/>
            <family val="2"/>
          </rPr>
          <t>NDE Budget analysit only</t>
        </r>
        <r>
          <rPr>
            <sz val="8"/>
            <color indexed="81"/>
            <rFont val="Tahoma"/>
            <family val="2"/>
          </rPr>
          <t xml:space="preserve">: Enter most current rates per legislature and /or DSA administrator.  Also update information at bottom of form 1.
</t>
        </r>
      </text>
    </comment>
  </commentList>
</comments>
</file>

<file path=xl/comments2.xml><?xml version="1.0" encoding="utf-8"?>
<comments xmlns="http://schemas.openxmlformats.org/spreadsheetml/2006/main">
  <authors>
    <author>Adrienne Lawrence</author>
  </authors>
  <commentList>
    <comment ref="G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please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8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Adrienne Lawrence</author>
  </authors>
  <commentList>
    <comment ref="F89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please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9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0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1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2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<sst xmlns="http://schemas.openxmlformats.org/spreadsheetml/2006/main" count="1801" uniqueCount="751">
  <si>
    <r>
      <t>reside in one School District, enter the total number of students (</t>
    </r>
    <r>
      <rPr>
        <sz val="10"/>
        <rFont val="Arial"/>
        <family val="2"/>
      </rPr>
      <t>WEIGHTED</t>
    </r>
    <r>
      <rPr>
        <sz val="10"/>
        <rFont val="Arial"/>
        <family val="2"/>
      </rPr>
      <t xml:space="preserve">) next to that district.  If they </t>
    </r>
  </si>
  <si>
    <t>reside in more than one district, allocate the enrollment to the correct school districts.  The rate for basic</t>
  </si>
  <si>
    <t>Form 7 is only filled out if you currently have or anticipate loans.</t>
  </si>
  <si>
    <t>FORM 8 - TUITION AND TRANSPORTATION</t>
  </si>
  <si>
    <t>FORM 8 is only filled out if you receive or pay tuition or transportation costs to another education entity.</t>
  </si>
  <si>
    <t>Enter any tuition revenue received from NV individuals or NV school districts in column (1) under Revenue.</t>
  </si>
  <si>
    <t>Enter any transportation revenue received from NV individuals or NV school districts in column (2) under</t>
  </si>
  <si>
    <t>Enter any tuition revenue received from out-of-state individuals or out-of-state school districts in column</t>
  </si>
  <si>
    <t>PROPRIETARY OR ENTERPRISE FUND</t>
  </si>
  <si>
    <t>Form 6 Proprietary/Enterprise</t>
  </si>
  <si>
    <t>Form 6 is only filled out if you maintain proprietary or enterprise funds.  This is unusual for charter schools.</t>
  </si>
  <si>
    <t>Enter tuition paid to Nevada school districts under object code 561, column (1), by program.</t>
  </si>
  <si>
    <t>Enter transportation paid to Nevada school districts under object code 511, column (2), by program.</t>
  </si>
  <si>
    <t>Enter transportation paid to out-of-state school districts under object code 512, column (4), by program.</t>
  </si>
  <si>
    <t>Enter tuition paid to out-of-state school districts under object code 562, column (3), by program.</t>
  </si>
  <si>
    <t>Totals will calculate.</t>
  </si>
  <si>
    <t>FORM 9 is filled out if you have more than one fund, and transfer funds from one fund to another.</t>
  </si>
  <si>
    <t>In column (3) General Fund, enter the amount of each transfer next to the fund listed in item #2.</t>
  </si>
  <si>
    <t>In column (5) General Fund, enter the amount of each transfer next to the fund listed in item #3.</t>
  </si>
  <si>
    <t>The totals will calculate and should balance.</t>
  </si>
  <si>
    <t>In column (3) Special Revenue Fund, enter the amount of each transfer next to the fund listed in item #2.</t>
  </si>
  <si>
    <t>In column (5) Special Revenue Fund, enter the amount of each transfer next to the fund listed in item #3.</t>
  </si>
  <si>
    <t>FORM 10 LOBBY EXPENSE</t>
  </si>
  <si>
    <t>Form 10 is only filled out if you anticipate lobby expenses.</t>
  </si>
  <si>
    <t>Item #2, enter the source of the funding.</t>
  </si>
  <si>
    <t>Item #3, enter the anticipated costs for transportation.</t>
  </si>
  <si>
    <t>Item #1, enter the lobbying activity.</t>
  </si>
  <si>
    <t>Item #4, enter the anticipated costs for lodging and meals.</t>
  </si>
  <si>
    <t>Item #5, enter the anticipated costs for salaries and wages.</t>
  </si>
  <si>
    <t>Item #6, enter the anticipated costs for compensation to lobbyists.</t>
  </si>
  <si>
    <t>Item #7, enter the anticipated costs for entertainment.</t>
  </si>
  <si>
    <t>Item #8, enter the anticipated costs for supplies, equipment &amp; facilities; other personnel and services</t>
  </si>
  <si>
    <t>spent in Carson City.</t>
  </si>
  <si>
    <t>7-10, from your audited information.  Do not forget to include sponsorship fees.</t>
  </si>
  <si>
    <t>7-10, from your current year estimates. Do not forget to include sponsorship fees.</t>
  </si>
  <si>
    <t>Do not forget to include sponsorship fees.</t>
  </si>
  <si>
    <t xml:space="preserve">Enter the Entity involved in the lobbying effort. </t>
  </si>
  <si>
    <t>The total anticipated expenditures will calculate.</t>
  </si>
  <si>
    <t>Form 11 CASH FLOW</t>
  </si>
  <si>
    <t>Enter the anticipated cash flow, for each revenue source, per month.  The totals will calculate.</t>
  </si>
  <si>
    <t>Enter the total budgeted revenue per source under the column at the right "Final Approved Budget".</t>
  </si>
  <si>
    <t>The variance will calculate.</t>
  </si>
  <si>
    <t>Enter basic revenue sources in the left column under "REVENUES, Type:".</t>
  </si>
  <si>
    <t>ENROLLMENT AND BASIC SUPPORT GUARANTEE INFORMATION</t>
  </si>
  <si>
    <t>ESTIMATED</t>
  </si>
  <si>
    <t>YEAR</t>
  </si>
  <si>
    <t>Pre-kindergarten</t>
  </si>
  <si>
    <t>(NRS 388.490)</t>
  </si>
  <si>
    <t>x .6 =</t>
  </si>
  <si>
    <t>Kindergarten</t>
  </si>
  <si>
    <t>Elementary</t>
  </si>
  <si>
    <t>Secondary</t>
  </si>
  <si>
    <t>Ungraded</t>
  </si>
  <si>
    <t>Nevada from out-of-state</t>
  </si>
  <si>
    <t>another state</t>
  </si>
  <si>
    <t>$</t>
  </si>
  <si>
    <t>Estimated number of special education program units</t>
  </si>
  <si>
    <t>X</t>
  </si>
  <si>
    <t>amount per unit</t>
  </si>
  <si>
    <t>1.</t>
  </si>
  <si>
    <t>3.</t>
  </si>
  <si>
    <t>4.</t>
  </si>
  <si>
    <t>5.</t>
  </si>
  <si>
    <t>(1)</t>
  </si>
  <si>
    <t>(2)</t>
  </si>
  <si>
    <t>(3)</t>
  </si>
  <si>
    <t>(4)</t>
  </si>
  <si>
    <t>(5)</t>
  </si>
  <si>
    <t>(6)</t>
  </si>
  <si>
    <t>(7)</t>
  </si>
  <si>
    <t>(8)</t>
  </si>
  <si>
    <t>T R A N S F E R S   I N</t>
  </si>
  <si>
    <t>T R A N S F E R S   O U T</t>
  </si>
  <si>
    <t>FUND TYPE</t>
  </si>
  <si>
    <t>FROM FUND</t>
  </si>
  <si>
    <t>AMOUNT</t>
  </si>
  <si>
    <t>TO FUND</t>
  </si>
  <si>
    <t>GENERAL FUND</t>
  </si>
  <si>
    <t>SUBTOTAL</t>
  </si>
  <si>
    <t>SPECIAL REVENUE FUNDS</t>
  </si>
  <si>
    <t>TOTAL TRANSFERS</t>
  </si>
  <si>
    <t>School District</t>
  </si>
  <si>
    <t>REPORT FOR ALL FUNDS</t>
  </si>
  <si>
    <t xml:space="preserve">(1) </t>
  </si>
  <si>
    <t>TUITION</t>
  </si>
  <si>
    <t>TRANSPORTATION</t>
  </si>
  <si>
    <t>REVENUES</t>
  </si>
  <si>
    <t>CODES</t>
  </si>
  <si>
    <t>EXPENDITURES</t>
  </si>
  <si>
    <t>100 - Regular Programs</t>
  </si>
  <si>
    <t>200 - Special Programs</t>
  </si>
  <si>
    <t>300 - Vocational Programs</t>
  </si>
  <si>
    <t>400 - Other PK-12 Programs</t>
  </si>
  <si>
    <t>500 - Nonpublic Programs</t>
  </si>
  <si>
    <t>600 - Adult Programs</t>
  </si>
  <si>
    <t>TOTALS</t>
  </si>
  <si>
    <t>PROGRAM FUNCTION OBJECT</t>
  </si>
  <si>
    <t>1600</t>
  </si>
  <si>
    <t>100</t>
  </si>
  <si>
    <t>Salaries</t>
  </si>
  <si>
    <t>200</t>
  </si>
  <si>
    <t>Benefits</t>
  </si>
  <si>
    <t>600</t>
  </si>
  <si>
    <t>Supplies</t>
  </si>
  <si>
    <t>800</t>
  </si>
  <si>
    <t>Other</t>
  </si>
  <si>
    <t>700</t>
  </si>
  <si>
    <t>1500</t>
  </si>
  <si>
    <t>4000</t>
  </si>
  <si>
    <t>5300</t>
  </si>
  <si>
    <t xml:space="preserve"> 6  -  Medium-Term Financing - Lease Purchase</t>
  </si>
  <si>
    <t xml:space="preserve">          ALL EXISTING OR PROPOSED</t>
  </si>
  <si>
    <t>1  -  General Obligation Bonds</t>
  </si>
  <si>
    <t xml:space="preserve"> 7  -  Capital Leases</t>
  </si>
  <si>
    <t>2  -  G. O. Revenue Supported Bonds</t>
  </si>
  <si>
    <t xml:space="preserve"> 8  -  Special Assessment Bonds</t>
  </si>
  <si>
    <t>3  -  G. O. Special Assessment Bonds</t>
  </si>
  <si>
    <t xml:space="preserve"> 9  -  Mortgages</t>
  </si>
  <si>
    <t>4  -  Revenue Bonds</t>
  </si>
  <si>
    <t>10 -  Other (Specify Type)</t>
  </si>
  <si>
    <t>5  -  Medium-Term Financing</t>
  </si>
  <si>
    <t>11 -  Proposed (Specify Type)</t>
  </si>
  <si>
    <t>(9)</t>
  </si>
  <si>
    <t>(10)</t>
  </si>
  <si>
    <t>(11)</t>
  </si>
  <si>
    <t>REQUIREMENTS FOR FISCAL</t>
  </si>
  <si>
    <t>BEGINNING</t>
  </si>
  <si>
    <t>ORIGINAL</t>
  </si>
  <si>
    <t xml:space="preserve">FINAL </t>
  </si>
  <si>
    <t>OUTSTANDING</t>
  </si>
  <si>
    <t>AMOUNT OF</t>
  </si>
  <si>
    <t xml:space="preserve">ISSUE </t>
  </si>
  <si>
    <t>PAYMENT</t>
  </si>
  <si>
    <t xml:space="preserve">INTEREST </t>
  </si>
  <si>
    <t>BALANCE</t>
  </si>
  <si>
    <t xml:space="preserve">PRINCIPAL </t>
  </si>
  <si>
    <t>List and Subtotal By Fund</t>
  </si>
  <si>
    <t>*</t>
  </si>
  <si>
    <t>TERM</t>
  </si>
  <si>
    <t>ISSUE</t>
  </si>
  <si>
    <t>DATE</t>
  </si>
  <si>
    <t>RATE</t>
  </si>
  <si>
    <t>PAYABLE</t>
  </si>
  <si>
    <t>TOTAL</t>
  </si>
  <si>
    <t>FUND:</t>
  </si>
  <si>
    <t>TOTAL ALL DEBT SERVICE</t>
  </si>
  <si>
    <t>1110</t>
  </si>
  <si>
    <t>1190</t>
  </si>
  <si>
    <t>4900</t>
  </si>
  <si>
    <t>Other (All Objects)</t>
  </si>
  <si>
    <t>300/400/500  Purchased Services</t>
  </si>
  <si>
    <t>Property</t>
  </si>
  <si>
    <t>4900  SUBTOTAL</t>
  </si>
  <si>
    <t>5200</t>
  </si>
  <si>
    <t xml:space="preserve">000  </t>
  </si>
  <si>
    <t>TOTAL UNDISTRIBUTED EXPENDITURES</t>
  </si>
  <si>
    <t>TOTAL ALL EXPENDITURES</t>
  </si>
  <si>
    <t>6000</t>
  </si>
  <si>
    <t>XXXXXXXXXXXXXXXXXXXXXXXXXXXXXXXXXXXX</t>
  </si>
  <si>
    <t>Reserved Ending Balance</t>
  </si>
  <si>
    <t>Unreserved Ending Balance</t>
  </si>
  <si>
    <t>TOTAL ENDING FUND BALANCE</t>
  </si>
  <si>
    <t>TOTAL APPLICATIONS</t>
  </si>
  <si>
    <r>
      <t>Contingency</t>
    </r>
    <r>
      <rPr>
        <sz val="11"/>
        <rFont val="Arial"/>
        <family val="2"/>
      </rPr>
      <t xml:space="preserve"> (not to exceed 3% of Total Expenditures)</t>
    </r>
  </si>
  <si>
    <t>4200</t>
  </si>
  <si>
    <t>Site Improvement</t>
  </si>
  <si>
    <t>4200  SUBTOTAL</t>
  </si>
  <si>
    <t>4300</t>
  </si>
  <si>
    <t>Architecture/Engineering</t>
  </si>
  <si>
    <t>4300  SUBTOTAL</t>
  </si>
  <si>
    <t>4500</t>
  </si>
  <si>
    <t>4600</t>
  </si>
  <si>
    <t>Building Improvement</t>
  </si>
  <si>
    <t>2600</t>
  </si>
  <si>
    <t>Operating/Maintenance Plant Service</t>
  </si>
  <si>
    <t>2600  SUBTOTAL</t>
  </si>
  <si>
    <t>2700</t>
  </si>
  <si>
    <t>Student Transportation</t>
  </si>
  <si>
    <t>2700  SUBTOTAL</t>
  </si>
  <si>
    <t>2900</t>
  </si>
  <si>
    <t>Other Support (All Objects)</t>
  </si>
  <si>
    <t>2900  SUBTOTAL</t>
  </si>
  <si>
    <t>4100</t>
  </si>
  <si>
    <t>Land Acquisition</t>
  </si>
  <si>
    <t>4100  SUBTOTAL</t>
  </si>
  <si>
    <t>2100  SUBTOTAL</t>
  </si>
  <si>
    <t>2200</t>
  </si>
  <si>
    <t>2200  SUBTOTAL</t>
  </si>
  <si>
    <t>2300</t>
  </si>
  <si>
    <t>2300  SUBTOTAL</t>
  </si>
  <si>
    <t>2400</t>
  </si>
  <si>
    <t>2400  SUBTOTAL</t>
  </si>
  <si>
    <t>2500</t>
  </si>
  <si>
    <t>2500  SUBTOTAL</t>
  </si>
  <si>
    <t>1000</t>
  </si>
  <si>
    <t>Instruction</t>
  </si>
  <si>
    <t>3100</t>
  </si>
  <si>
    <t>420</t>
  </si>
  <si>
    <t>440</t>
  </si>
  <si>
    <t>300</t>
  </si>
  <si>
    <t>REGULAR PROGRAMS</t>
  </si>
  <si>
    <t>100 TOTAL REGULAR PROGRAMS</t>
  </si>
  <si>
    <t>SPECIAL PROGRAMS</t>
  </si>
  <si>
    <t>5000</t>
  </si>
  <si>
    <t>5100</t>
  </si>
  <si>
    <t>5400</t>
  </si>
  <si>
    <t>TOTAL OTHER SOURCES</t>
  </si>
  <si>
    <t>Reserved Opening Balance</t>
  </si>
  <si>
    <t>Unreserved Opening Balance</t>
  </si>
  <si>
    <t>TOTAL OPENING FUND BALANCE</t>
  </si>
  <si>
    <t>Prior Period Adjustments</t>
  </si>
  <si>
    <t>Residual Equity Transfers</t>
  </si>
  <si>
    <t>TOTAL ALL RESOURCES</t>
  </si>
  <si>
    <t>REVENUE</t>
  </si>
  <si>
    <t>FEDERAL SOURCES</t>
  </si>
  <si>
    <t>Adult Education</t>
  </si>
  <si>
    <t>4800</t>
  </si>
  <si>
    <t>Revenue in Lieu of Taxes</t>
  </si>
  <si>
    <t>TOTAL FEDERAL SOURCES</t>
  </si>
  <si>
    <t>LOCAL SOURCES</t>
  </si>
  <si>
    <t>1100</t>
  </si>
  <si>
    <t>Taxes</t>
  </si>
  <si>
    <t>1111</t>
  </si>
  <si>
    <t>Net Proceed of Mines</t>
  </si>
  <si>
    <t>1120</t>
  </si>
  <si>
    <t>1140</t>
  </si>
  <si>
    <t>1200</t>
  </si>
  <si>
    <t>1300</t>
  </si>
  <si>
    <t>Tuition</t>
  </si>
  <si>
    <t>1310</t>
  </si>
  <si>
    <t>1320</t>
  </si>
  <si>
    <t>1330</t>
  </si>
  <si>
    <t>1400</t>
  </si>
  <si>
    <t>Transportation Fees</t>
  </si>
  <si>
    <t>1410</t>
  </si>
  <si>
    <t>1420</t>
  </si>
  <si>
    <t>1610</t>
  </si>
  <si>
    <t>1620</t>
  </si>
  <si>
    <t>1630</t>
  </si>
  <si>
    <t>1700</t>
  </si>
  <si>
    <t>1800</t>
  </si>
  <si>
    <t>Community Service Activities</t>
  </si>
  <si>
    <t>1900</t>
  </si>
  <si>
    <t>Other Revenues</t>
  </si>
  <si>
    <t>1910</t>
  </si>
  <si>
    <t>Rent</t>
  </si>
  <si>
    <t>1920</t>
  </si>
  <si>
    <t>Donations</t>
  </si>
  <si>
    <t>1990</t>
  </si>
  <si>
    <t>TOTAL LOCAL SOURCES</t>
  </si>
  <si>
    <t>3000</t>
  </si>
  <si>
    <t>REVENUE FROM STATE SOURCES</t>
  </si>
  <si>
    <t>3200</t>
  </si>
  <si>
    <t>3800</t>
  </si>
  <si>
    <t>3900</t>
  </si>
  <si>
    <t>TOTAL STATE SOURCES</t>
  </si>
  <si>
    <t>(1)                                                                             PROGRAM OR FUNCTION</t>
  </si>
  <si>
    <t xml:space="preserve"> (2)             SALARIES      AND                        WAGES</t>
  </si>
  <si>
    <t>(3)         EMPLOYEE BENEFITS</t>
  </si>
  <si>
    <t>Regular</t>
  </si>
  <si>
    <t>Special</t>
  </si>
  <si>
    <t>Vocational</t>
  </si>
  <si>
    <t>Other PK-12</t>
  </si>
  <si>
    <t>Nonpublic School</t>
  </si>
  <si>
    <t>Community Services</t>
  </si>
  <si>
    <t>Undistributed Expenditures</t>
  </si>
  <si>
    <t>Facility Acquisition and Construction</t>
  </si>
  <si>
    <t>Contingency</t>
  </si>
  <si>
    <t>Ending Balance</t>
  </si>
  <si>
    <t>Food Service</t>
  </si>
  <si>
    <t xml:space="preserve"> </t>
  </si>
  <si>
    <t>Debt Service</t>
  </si>
  <si>
    <t>Entity:</t>
  </si>
  <si>
    <t xml:space="preserve">This budget contains </t>
  </si>
  <si>
    <t>and</t>
  </si>
  <si>
    <t>CERTIFICATION</t>
  </si>
  <si>
    <t>APPROVED BY THE GOVERNING BOARD</t>
  </si>
  <si>
    <t>certify that all applicable funds and financial</t>
  </si>
  <si>
    <t>operations of this Local Government are</t>
  </si>
  <si>
    <t>listed herein</t>
  </si>
  <si>
    <t>Signed</t>
  </si>
  <si>
    <t xml:space="preserve">Dated:  </t>
  </si>
  <si>
    <t>SCHEDULED PUBLIC HEARING:</t>
  </si>
  <si>
    <t>Publication Date</t>
  </si>
  <si>
    <t xml:space="preserve">Place:  </t>
  </si>
  <si>
    <t xml:space="preserve">separate statement of anticipated expenses relating to activities designed to influence the passage </t>
  </si>
  <si>
    <t>or defeat of legislation in an upcoming legislative session.</t>
  </si>
  <si>
    <t>1.  Activity:</t>
  </si>
  <si>
    <t>2.  Funding Source:</t>
  </si>
  <si>
    <t>3.  Transportation</t>
  </si>
  <si>
    <t>5.  Salaries and Wages</t>
  </si>
  <si>
    <t xml:space="preserve">8.  Supplies, equipment &amp; facilities; other personnel and </t>
  </si>
  <si>
    <t xml:space="preserve">     services spent in Carson City</t>
  </si>
  <si>
    <t>Total</t>
  </si>
  <si>
    <r>
      <t xml:space="preserve">Pursuant to NRS 354.600 (3), </t>
    </r>
    <r>
      <rPr>
        <b/>
        <sz val="10"/>
        <rFont val="Arial"/>
        <family val="2"/>
      </rPr>
      <t>each</t>
    </r>
    <r>
      <rPr>
        <sz val="10"/>
        <rFont val="Arial"/>
        <family val="2"/>
      </rPr>
      <t xml:space="preserve"> (emphasis added) local government budget must obtain a</t>
    </r>
  </si>
  <si>
    <t>governmental fund types with estimated expenditures of $</t>
  </si>
  <si>
    <t>proprietary funds with estimated expenses of  $</t>
  </si>
  <si>
    <t>4.  Lodging and meals</t>
  </si>
  <si>
    <t>6.  Compensation to lobbyists</t>
  </si>
  <si>
    <t>7.  Entertainment</t>
  </si>
  <si>
    <t>Update all fiscal year reference to the appropriate fiscal year.</t>
  </si>
  <si>
    <t>Estimated Current</t>
  </si>
  <si>
    <t>Budget Year</t>
  </si>
  <si>
    <t>ACTUAL PRIOR</t>
  </si>
  <si>
    <t>YEAR ENDING</t>
  </si>
  <si>
    <t xml:space="preserve">CURRENT </t>
  </si>
  <si>
    <t xml:space="preserve">TENTATIVE </t>
  </si>
  <si>
    <t>APPROVED</t>
  </si>
  <si>
    <t xml:space="preserve">OTHER RESOURCES AND </t>
  </si>
  <si>
    <t>FUND BALANCE</t>
  </si>
  <si>
    <t xml:space="preserve">   1st day of budget year</t>
  </si>
  <si>
    <t>7.</t>
  </si>
  <si>
    <t>9.</t>
  </si>
  <si>
    <t>12.</t>
  </si>
  <si>
    <t>TOTAL FACILITIES ACQUISITION AND CONSTRUCTION</t>
  </si>
  <si>
    <t xml:space="preserve">Updated on </t>
  </si>
  <si>
    <t>11.</t>
  </si>
  <si>
    <t>13.</t>
  </si>
  <si>
    <t>14.</t>
  </si>
  <si>
    <t>Support Services</t>
  </si>
  <si>
    <t>000</t>
  </si>
  <si>
    <t>2100</t>
  </si>
  <si>
    <t>UNDISTRIBUTED EXPENDITURES</t>
  </si>
  <si>
    <t>10.</t>
  </si>
  <si>
    <t>2.</t>
  </si>
  <si>
    <t>8.</t>
  </si>
  <si>
    <t>Obj 100</t>
  </si>
  <si>
    <t>Obj 200</t>
  </si>
  <si>
    <t>Obj 300-900</t>
  </si>
  <si>
    <t>Ad Valorem Taxes</t>
  </si>
  <si>
    <t>Sales &amp; Use/School Support Taxes</t>
  </si>
  <si>
    <t>Penalties &amp; Interest on Tax</t>
  </si>
  <si>
    <t>1150</t>
  </si>
  <si>
    <t>Residential Construction Tax</t>
  </si>
  <si>
    <t>Revenue from Local Govmt Units other than School Districts</t>
  </si>
  <si>
    <t>Tuition from Individuals</t>
  </si>
  <si>
    <t>Tuition-other Govt sources within State</t>
  </si>
  <si>
    <t>Tuition-other Govt sources out of State</t>
  </si>
  <si>
    <t>Trans Fees from Individuals</t>
  </si>
  <si>
    <t>1430</t>
  </si>
  <si>
    <t>1440</t>
  </si>
  <si>
    <t>Trans Fees - other Govt within State</t>
  </si>
  <si>
    <t>Trans Fees - other Govt out of State</t>
  </si>
  <si>
    <t>Trans Fees - Other Private Sources</t>
  </si>
  <si>
    <t>Investment Income</t>
  </si>
  <si>
    <t>Food Services</t>
  </si>
  <si>
    <t>Daily Sales - Reimbursable Program</t>
  </si>
  <si>
    <t>Daily Sales - Non-Reimbursable Progrm</t>
  </si>
  <si>
    <t>Special Functions</t>
  </si>
  <si>
    <t>1650</t>
  </si>
  <si>
    <t>Daily Sales - Summer Food Program</t>
  </si>
  <si>
    <t>Direct Activities</t>
  </si>
  <si>
    <t>Miscellaneous - local sources</t>
  </si>
  <si>
    <t>1930</t>
  </si>
  <si>
    <t>Gains/Loss on Sales of Capital Assets</t>
  </si>
  <si>
    <t>1940</t>
  </si>
  <si>
    <t>Textbook Sales &amp; Rentals</t>
  </si>
  <si>
    <t>1950</t>
  </si>
  <si>
    <t>Misc Revenues from Other Districts</t>
  </si>
  <si>
    <t>1960</t>
  </si>
  <si>
    <t>1970</t>
  </si>
  <si>
    <t>1980</t>
  </si>
  <si>
    <t>Misc Revenues from Other Local Govt</t>
  </si>
  <si>
    <t>Operating Revenues</t>
  </si>
  <si>
    <t>Refund of Prior Year's Expenditures</t>
  </si>
  <si>
    <t>Unrestricted Grants-in-Aid</t>
  </si>
  <si>
    <t>State Govt Restricted Funding</t>
  </si>
  <si>
    <t>3110</t>
  </si>
  <si>
    <t>Distributive School Account (DSA)</t>
  </si>
  <si>
    <t>3115</t>
  </si>
  <si>
    <t>Special Ed portion of DSA</t>
  </si>
  <si>
    <t>3210</t>
  </si>
  <si>
    <t>3220</t>
  </si>
  <si>
    <t>3230</t>
  </si>
  <si>
    <t>Special Transportation</t>
  </si>
  <si>
    <t>Adult High School Diploma Program Fnd</t>
  </si>
  <si>
    <t>Class Size Reduction</t>
  </si>
  <si>
    <t>Revenue for/on Behalf of School Dist</t>
  </si>
  <si>
    <t>4103</t>
  </si>
  <si>
    <t>E-Rate Funds</t>
  </si>
  <si>
    <t>4700</t>
  </si>
  <si>
    <t>Grants-in-Aid from Fed Govt Thru Other Intermediate Agencies</t>
  </si>
  <si>
    <t>Unrestricted Grants-in-Aid DIRECT from Fed Govt</t>
  </si>
  <si>
    <t>Revenue for/on Behalf of School District</t>
  </si>
  <si>
    <t>OTHER FINANCING SOURCES</t>
  </si>
  <si>
    <t>Issuance of Bonds</t>
  </si>
  <si>
    <t>5110</t>
  </si>
  <si>
    <t>Bond Principal</t>
  </si>
  <si>
    <t>5120</t>
  </si>
  <si>
    <t>Premium of Discount on the Issuance of Bonds</t>
  </si>
  <si>
    <t>Fund Transfers In</t>
  </si>
  <si>
    <t>Proceeds from the Disposal of Real or Personal Property</t>
  </si>
  <si>
    <t>5500</t>
  </si>
  <si>
    <t>5600</t>
  </si>
  <si>
    <t>Loan Proceeds</t>
  </si>
  <si>
    <t>Capital Lease Proceeds</t>
  </si>
  <si>
    <t>Other Long-Term Debt Proceeds</t>
  </si>
  <si>
    <t>Other Items</t>
  </si>
  <si>
    <t>6100</t>
  </si>
  <si>
    <t>6200</t>
  </si>
  <si>
    <t>6300</t>
  </si>
  <si>
    <t>6400</t>
  </si>
  <si>
    <t>Capital Contributions</t>
  </si>
  <si>
    <t>Amortization of Premium on Issuance of Bonds</t>
  </si>
  <si>
    <t>Extraordinary Items</t>
  </si>
  <si>
    <t>8000 OPENING FUND BALANCE</t>
  </si>
  <si>
    <t>140</t>
  </si>
  <si>
    <t>Summer School for Reg Programs</t>
  </si>
  <si>
    <t>140 TOTAL Summer School - Reg Prog</t>
  </si>
  <si>
    <t>240</t>
  </si>
  <si>
    <t>200 SPECIAL PROGRAMS</t>
  </si>
  <si>
    <t>Summer School for Special Programs</t>
  </si>
  <si>
    <t>240 TOTAL Summer School - Spec Prog</t>
  </si>
  <si>
    <t>270</t>
  </si>
  <si>
    <t>Gifted and Talented Programs</t>
  </si>
  <si>
    <t>270 TOTAL Gifted &amp; Talented Programs</t>
  </si>
  <si>
    <t>Vocational &amp; Technical Programs</t>
  </si>
  <si>
    <t>Total Vocational &amp; Technical Prog</t>
  </si>
  <si>
    <t>340</t>
  </si>
  <si>
    <t>Summer School for Voc &amp; Tech</t>
  </si>
  <si>
    <t>Total Summer School for Voc &amp; Tech</t>
  </si>
  <si>
    <t>English for Speakers of Other Lang</t>
  </si>
  <si>
    <t>Summer School for Other Inst Prog</t>
  </si>
  <si>
    <t>2100-2600, 2900 Other Support Services</t>
  </si>
  <si>
    <t>2700 Student Transportation</t>
  </si>
  <si>
    <t>Community Services Programs</t>
  </si>
  <si>
    <t>800 Total Community Services Programs</t>
  </si>
  <si>
    <t>900 Co-curricular &amp; Extra-Curricular</t>
  </si>
  <si>
    <t>Support Services-Students</t>
  </si>
  <si>
    <t>Support Services-Instruction</t>
  </si>
  <si>
    <t>Support Services-Gen Admin</t>
  </si>
  <si>
    <t>Support Serv-School Admin</t>
  </si>
  <si>
    <t>Central Services</t>
  </si>
  <si>
    <t>Land Improvement</t>
  </si>
  <si>
    <t>4400</t>
  </si>
  <si>
    <t>Educational Specifications Dev</t>
  </si>
  <si>
    <t>4400 SUBTOTAL</t>
  </si>
  <si>
    <t>4500 SUBTOTAL</t>
  </si>
  <si>
    <t>4600 SUBTOTAL</t>
  </si>
  <si>
    <t>4700 SUBTOTAL</t>
  </si>
  <si>
    <t>8000 ENDING FUND BALANCE</t>
  </si>
  <si>
    <t>NAME OF LOAN</t>
  </si>
  <si>
    <t>Revenue</t>
  </si>
  <si>
    <t>I,</t>
  </si>
  <si>
    <t>.</t>
  </si>
  <si>
    <t>Charter School Budget</t>
  </si>
  <si>
    <t>Date and Time:</t>
  </si>
  <si>
    <t>Form 1</t>
  </si>
  <si>
    <t xml:space="preserve">6.     </t>
  </si>
  <si>
    <t>Subtotal</t>
  </si>
  <si>
    <t>Total WEIGHTED enrollment</t>
  </si>
  <si>
    <t>Hold Harmless</t>
  </si>
  <si>
    <t>15.</t>
  </si>
  <si>
    <t>TOTAL BASIC SUPPORT GUARANTEE (Number 13 +14)</t>
  </si>
  <si>
    <t>Enrollment</t>
  </si>
  <si>
    <t>Carson City</t>
  </si>
  <si>
    <t>Churchill</t>
  </si>
  <si>
    <t>Clark</t>
  </si>
  <si>
    <t>Douglas</t>
  </si>
  <si>
    <t>Elko</t>
  </si>
  <si>
    <t>Esmeralda</t>
  </si>
  <si>
    <t>Eureka</t>
  </si>
  <si>
    <t>Humboldt</t>
  </si>
  <si>
    <t>Lander</t>
  </si>
  <si>
    <t>Lincoln</t>
  </si>
  <si>
    <t>Lyon</t>
  </si>
  <si>
    <t>Mineral</t>
  </si>
  <si>
    <t>Nye</t>
  </si>
  <si>
    <t>Pershing</t>
  </si>
  <si>
    <t>Storey</t>
  </si>
  <si>
    <t>Washoe</t>
  </si>
  <si>
    <t>White Pine</t>
  </si>
  <si>
    <t>Multidistict</t>
  </si>
  <si>
    <t xml:space="preserve">Charter School </t>
  </si>
  <si>
    <t>Charter School - fill in the name of your school</t>
  </si>
  <si>
    <t>Use rates below:</t>
  </si>
  <si>
    <t>Total Weighted-#9</t>
  </si>
  <si>
    <t>Hold Harmless-#10</t>
  </si>
  <si>
    <t>This is the per pupil share of local taxes, etc, from the district.</t>
  </si>
  <si>
    <t>Estimated "Outside Revenue" (Supplemental Support) per pupil</t>
  </si>
  <si>
    <t>Reference amounts for #12</t>
  </si>
  <si>
    <t>Form 3</t>
  </si>
  <si>
    <t>Page 2 of 2</t>
  </si>
  <si>
    <t>Page 1 of 2</t>
  </si>
  <si>
    <t>(9) + (10)</t>
  </si>
  <si>
    <t>Type</t>
  </si>
  <si>
    <t>INTEREST</t>
  </si>
  <si>
    <t>Form 4 Expenditures</t>
  </si>
  <si>
    <t>Form 3 Revenues</t>
  </si>
  <si>
    <t>Form 2 Enrollment - DSA</t>
  </si>
  <si>
    <t>3100  TOTAL FOOD SERVICES</t>
  </si>
  <si>
    <t>420 Total Speakers of Other Lang</t>
  </si>
  <si>
    <t>Total English - Summer School for Other Inst Prog</t>
  </si>
  <si>
    <t>490</t>
  </si>
  <si>
    <t>Other Instructional Programs</t>
  </si>
  <si>
    <t>Total Other Instructional Programs</t>
  </si>
  <si>
    <t>PROGRAM EXPENDITURES</t>
  </si>
  <si>
    <t>PROGRAM TOTALS</t>
  </si>
  <si>
    <t>Co-Curricular/Extra Curricular</t>
  </si>
  <si>
    <t>UNDISTRIBUTED TOTALS</t>
  </si>
  <si>
    <t>Restricted Grants-in-Aid Direct - Fed</t>
  </si>
  <si>
    <t>Unrestricted Grants-in-Aid from Fed Govt pass thru the State</t>
  </si>
  <si>
    <t>Restricted Grants-in-Aid Fed Govnt pass-thru the State</t>
  </si>
  <si>
    <t>(5)                      SUB-TOTAL             REQUIRE-    MENTS</t>
  </si>
  <si>
    <t xml:space="preserve">Lobbying Expense Estimate, </t>
  </si>
  <si>
    <t>PROJECTED</t>
  </si>
  <si>
    <t>Total  Projected</t>
  </si>
  <si>
    <t>Final Approved Budget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</si>
  <si>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</si>
  <si>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</si>
  <si>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</si>
  <si>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</si>
  <si>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</si>
  <si>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</si>
  <si>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</si>
  <si>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</si>
  <si>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</si>
  <si>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</si>
  <si>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</si>
  <si>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</si>
  <si>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Variance</t>
  </si>
  <si>
    <t>Type:</t>
  </si>
  <si>
    <t>Distributive School Acct</t>
  </si>
  <si>
    <t>Federal Grant A</t>
  </si>
  <si>
    <t>Total Revenues</t>
  </si>
  <si>
    <t>Total Revenues Y-T-D</t>
  </si>
  <si>
    <t>Salaries &amp; Benefits</t>
  </si>
  <si>
    <t>Total Salaries &amp; Ben</t>
  </si>
  <si>
    <t>Operating</t>
  </si>
  <si>
    <t>Utilities</t>
  </si>
  <si>
    <t>Contracts</t>
  </si>
  <si>
    <t>Textbooks</t>
  </si>
  <si>
    <t>Equipment</t>
  </si>
  <si>
    <t>W</t>
  </si>
  <si>
    <t>Total Expenses</t>
  </si>
  <si>
    <t>Total Expenses Y-T-D</t>
  </si>
  <si>
    <t>Percent of Budget</t>
  </si>
  <si>
    <t>Projected Cash Balance Statement</t>
  </si>
  <si>
    <t>Net change in Cash (F/B)</t>
  </si>
  <si>
    <t>Begin Cash Balance(F/B)</t>
  </si>
  <si>
    <t>End Cash Balance (F/B)</t>
  </si>
  <si>
    <t>(4)                SERVICES                SUPPLIES               AND OTHER</t>
  </si>
  <si>
    <r>
      <t xml:space="preserve">TOTAL ALL FUNDS </t>
    </r>
    <r>
      <rPr>
        <b/>
        <u/>
        <sz val="11"/>
        <rFont val="Arial"/>
        <family val="2"/>
      </rPr>
      <t>FINAL</t>
    </r>
    <r>
      <rPr>
        <b/>
        <sz val="11"/>
        <rFont val="Arial"/>
        <family val="2"/>
      </rPr>
      <t xml:space="preserve"> BUDGET</t>
    </r>
  </si>
  <si>
    <r>
      <t xml:space="preserve">TOTAL ALL FUNDS </t>
    </r>
    <r>
      <rPr>
        <b/>
        <u/>
        <sz val="11"/>
        <rFont val="Arial"/>
        <family val="2"/>
      </rPr>
      <t>TENTATIVE</t>
    </r>
  </si>
  <si>
    <t>Form 5 Exp Summary</t>
  </si>
  <si>
    <t>Page 1 of 1</t>
  </si>
  <si>
    <t>Form 4</t>
  </si>
  <si>
    <t>Fill in information for each district:</t>
  </si>
  <si>
    <t>Total basic support for enrollee including outside revenue</t>
  </si>
  <si>
    <t>Total Weighted</t>
  </si>
  <si>
    <t>Form 6</t>
  </si>
  <si>
    <t>CASH FLOW STATEMENT</t>
  </si>
  <si>
    <t xml:space="preserve">4000s </t>
  </si>
  <si>
    <t>2000s  TOTAL SUPPORT SERVICES</t>
  </si>
  <si>
    <t>*  -  Type - use codes 1-11</t>
  </si>
  <si>
    <t>Object Codes</t>
  </si>
  <si>
    <t>1321 NV School Dist</t>
  </si>
  <si>
    <t>Nevada School Districts</t>
  </si>
  <si>
    <t>Out-of-state Individuals</t>
  </si>
  <si>
    <t>Nevada Individuals</t>
  </si>
  <si>
    <t>Out-of-State School Districts</t>
  </si>
  <si>
    <t>1421 NV School Dist</t>
  </si>
  <si>
    <t>1331 Out-of-state SD</t>
  </si>
  <si>
    <t>1310 NV Individual</t>
  </si>
  <si>
    <t>1410 NV Individual</t>
  </si>
  <si>
    <t>1310 Out-of-state Ind</t>
  </si>
  <si>
    <t>1410 Out-of-state Ind</t>
  </si>
  <si>
    <t>1431 Out-of-state SD</t>
  </si>
  <si>
    <t>1310/1410</t>
  </si>
  <si>
    <t>1321/1421</t>
  </si>
  <si>
    <t>1331/1431</t>
  </si>
  <si>
    <t>FROM DISTRICTS WITHIN NEVADA</t>
  </si>
  <si>
    <t>FROM DISTRICTS OUTSIDE NEVADA</t>
  </si>
  <si>
    <t>TO DISTRICTS WITHIN NEVADA</t>
  </si>
  <si>
    <t>TO DISTRICTS OUTSIDE NEVADA</t>
  </si>
  <si>
    <t>CHECKS:</t>
  </si>
  <si>
    <t>Contingency cannot exceed:</t>
  </si>
  <si>
    <t>Calculated Total Ending Fund Balance:</t>
  </si>
  <si>
    <t xml:space="preserve"> XXXXXXXX</t>
  </si>
  <si>
    <t>CHARTER SCHOOL BUDGET INSTRUCTIONS</t>
  </si>
  <si>
    <t>Charter School sponsor if other than the Department of Education.</t>
  </si>
  <si>
    <r>
      <t>SUBMITTED</t>
    </r>
    <r>
      <rPr>
        <sz val="9"/>
        <rFont val="Arial"/>
        <family val="2"/>
      </rPr>
      <t xml:space="preserve"> by the Charter School Governing Body to NDE, Legislative Council Bureau and the </t>
    </r>
  </si>
  <si>
    <r>
      <t>TENTATIVE</t>
    </r>
    <r>
      <rPr>
        <sz val="9"/>
        <rFont val="Arial"/>
        <family val="2"/>
      </rPr>
      <t xml:space="preserve"> budget is due to the clerk or secretary of the Charter School Governing Body and Nevada Department</t>
    </r>
  </si>
  <si>
    <r>
      <t xml:space="preserve">of Education (NDE) by </t>
    </r>
    <r>
      <rPr>
        <b/>
        <sz val="9"/>
        <rFont val="Arial"/>
        <family val="2"/>
      </rPr>
      <t>April 15</t>
    </r>
    <r>
      <rPr>
        <sz val="9"/>
        <rFont val="Arial"/>
        <family val="2"/>
      </rPr>
      <t xml:space="preserve"> annually.</t>
    </r>
  </si>
  <si>
    <r>
      <t>FINAL</t>
    </r>
    <r>
      <rPr>
        <sz val="9"/>
        <rFont val="Arial"/>
        <family val="2"/>
      </rPr>
      <t xml:space="preserve"> budget must be adopted on or before </t>
    </r>
    <r>
      <rPr>
        <b/>
        <sz val="9"/>
        <rFont val="Arial"/>
        <family val="2"/>
      </rPr>
      <t>June 8</t>
    </r>
    <r>
      <rPr>
        <sz val="9"/>
        <rFont val="Arial"/>
        <family val="2"/>
      </rPr>
      <t xml:space="preserve"> Annually.  Copies of the approved final budget are then</t>
    </r>
  </si>
  <si>
    <t>Form 7 INDEBTEDNESS</t>
  </si>
  <si>
    <t>FORM 8 - TUITION and TRANSPORTATION</t>
  </si>
  <si>
    <t>FORM 9 FUND TRANSFERS</t>
  </si>
  <si>
    <t>Form 10 LOBBY EXPENSE</t>
  </si>
  <si>
    <t>FORM 11 CASH FLOW</t>
  </si>
  <si>
    <t>BUDGET YEAR ENDING 06/30/10</t>
  </si>
  <si>
    <t>Fund:</t>
  </si>
  <si>
    <t>FUNCTION / OBJECT</t>
  </si>
  <si>
    <t>200  Benefits</t>
  </si>
  <si>
    <t>100  Salaries</t>
  </si>
  <si>
    <t>600  Supplies</t>
  </si>
  <si>
    <t>700  Property</t>
  </si>
  <si>
    <t>800  Other</t>
  </si>
  <si>
    <t>EXPENSES</t>
  </si>
  <si>
    <t>TOTAL EXPENSES</t>
  </si>
  <si>
    <t>SUBTOTAL INSTRUCTION EXPENSES:</t>
  </si>
  <si>
    <t>SUBTOTAL SUPPORT EXPENSES:</t>
  </si>
  <si>
    <t>2000 Support Services</t>
  </si>
  <si>
    <t>SUBTOTAL FOOD SERVICE EXPENSES:</t>
  </si>
  <si>
    <t>Facilities Acquisition &amp; Construction</t>
  </si>
  <si>
    <t>Miscellaneous</t>
  </si>
  <si>
    <t>SUBTOTAL OTHER SERVICES</t>
  </si>
  <si>
    <t>8000</t>
  </si>
  <si>
    <t>ENDING FUND BALANCE</t>
  </si>
  <si>
    <t>CHECK -Ending fund balance should be:</t>
  </si>
  <si>
    <t>FORM 1 COVER PAGE</t>
  </si>
  <si>
    <r>
      <t>FINAL</t>
    </r>
    <r>
      <rPr>
        <sz val="9"/>
        <rFont val="Arial"/>
        <family val="2"/>
      </rPr>
      <t xml:space="preserve"> budget must be adopted on or before </t>
    </r>
    <r>
      <rPr>
        <b/>
        <sz val="9"/>
        <rFont val="Arial"/>
        <family val="2"/>
      </rPr>
      <t>June 8</t>
    </r>
    <r>
      <rPr>
        <sz val="9"/>
        <rFont val="Arial"/>
        <family val="2"/>
      </rPr>
      <t xml:space="preserve"> Annually.  Copies of the approved final budget are</t>
    </r>
  </si>
  <si>
    <t>Enter the name of the charter school in "Charter School - fill in the name of your school".</t>
  </si>
  <si>
    <t>budget.</t>
  </si>
  <si>
    <t>Fill in the "Scheduled Public Hearing:" information at the bottom of the page for the tentative budget.</t>
  </si>
  <si>
    <t>final budget.</t>
  </si>
  <si>
    <t xml:space="preserve">Fill in the actual public hearing information under "Scheduled Public Hearing:" prior to submitting the </t>
  </si>
  <si>
    <t>FORM 2 ENROLLMENT-DSA</t>
  </si>
  <si>
    <t>Enter data in the yellow cells only.</t>
  </si>
  <si>
    <t>a.  IF: enrollment decreases less than 5%, use highest enrollment of current or prior year.</t>
  </si>
  <si>
    <t xml:space="preserve">          consecutive years.</t>
  </si>
  <si>
    <t>d.  New Charter Schools are not eligible for Hold Harmless.</t>
  </si>
  <si>
    <t>Enter the enrollments for "Estimated Year Ending 06/30/XX" for the budget submission year in #1-5, 7-8.</t>
  </si>
  <si>
    <t>under #11 as a reference point for you.</t>
  </si>
  <si>
    <t>#13 will calculate based on the numbers you have provided for #1-12.</t>
  </si>
  <si>
    <t xml:space="preserve">Enter the estimated number of Special Education units.  One or two Charter Schools will be awarded </t>
  </si>
  <si>
    <t>administrator and all members of the governing board.</t>
  </si>
  <si>
    <t>The preferred method of submitting the Tentative and Final budgets to the NDE, is electronically.</t>
  </si>
  <si>
    <t xml:space="preserve">submitting the final budget.  The certification needs to be signed by the charter school principal or </t>
  </si>
  <si>
    <t>FORM 3 REVENUES</t>
  </si>
  <si>
    <t>Enter the total estimated expenditures for governmental funds. This amount must agree with "TOTAL ALL</t>
  </si>
  <si>
    <t>EXPENDITURES" on Form 4 Expenses, page 10.</t>
  </si>
  <si>
    <t>Charter Schools to have proprietary funds.  This total must agree with "TOTAL EXPENSES" on Form 6</t>
  </si>
  <si>
    <t>Fill in the amounts of revenue per revenue code in column (1) from your audited information.</t>
  </si>
  <si>
    <t>Fill in the amounts of revenue per revenue code in column (2) from your current year estimates.</t>
  </si>
  <si>
    <t>Fill in the amounts of revenue per revenue code in column (3) based on anticipated revenue for the school</t>
  </si>
  <si>
    <t>year to begin July 1 for the tentative budget.</t>
  </si>
  <si>
    <t>Fill in the amounts of revenue per revenue code in column (4) based on the approved and adopted budget</t>
  </si>
  <si>
    <t>for the school year to begin July 1 for the final budget.</t>
  </si>
  <si>
    <t>Note: there will be a limited number of revenue sources so most of the revenue codes will be blank.</t>
  </si>
  <si>
    <t xml:space="preserve">Special Items </t>
  </si>
  <si>
    <r>
      <t xml:space="preserve">Enter the </t>
    </r>
    <r>
      <rPr>
        <b/>
        <sz val="10"/>
        <rFont val="Arial"/>
        <family val="2"/>
      </rPr>
      <t>opening balance</t>
    </r>
    <r>
      <rPr>
        <sz val="10"/>
        <rFont val="Arial"/>
        <family val="2"/>
      </rPr>
      <t xml:space="preserve"> under revenue code 8000.  Column (1) will have the audited opening balance.</t>
    </r>
  </si>
  <si>
    <t>and (4) will be the anticipated ending balance for the current year, column (2).</t>
  </si>
  <si>
    <r>
      <t xml:space="preserve">Column (2) will have the audited </t>
    </r>
    <r>
      <rPr>
        <b/>
        <sz val="10"/>
        <rFont val="Arial"/>
        <family val="2"/>
      </rPr>
      <t>ending</t>
    </r>
    <r>
      <rPr>
        <sz val="10"/>
        <rFont val="Arial"/>
        <family val="2"/>
      </rPr>
      <t xml:space="preserve"> balance from column (1).  The budgeted opening balances (3) </t>
    </r>
  </si>
  <si>
    <t>Check that the "TOTAL ALL RESOURCES" amounts are correct.</t>
  </si>
  <si>
    <t>FORM 4 EXPENDITURES</t>
  </si>
  <si>
    <t>Fill in the expenditure amounts, per program, in column (1) on pages 1-6, from your audited information.</t>
  </si>
  <si>
    <t>Fill in the expenditure amounts, per program, in column (2) on pages 1-6, from your current year estimates.</t>
  </si>
  <si>
    <t>expenditures for the school year to begin July 1 for the tentative budget.</t>
  </si>
  <si>
    <t xml:space="preserve">Fill in the expenditure amounts, per program, in column (3) on pages 1-6, based on anticipated </t>
  </si>
  <si>
    <t>adopted budget for the school year to begin July 1 for the final budget.</t>
  </si>
  <si>
    <t>Fill in the expenditure amounts, per program, in column (4) on pages 1-6, based on the approved and</t>
  </si>
  <si>
    <t xml:space="preserve">Fill in the remaining expenditures (Undistributed, food service, facilities and debt) in column (1) on pages </t>
  </si>
  <si>
    <t xml:space="preserve">Fill in the remaining expenditures (Undistributed, food service, facilities and debt) in column (2) on pages </t>
  </si>
  <si>
    <t xml:space="preserve">Fill in the remaining expenditures (Undistributed, food service, facilities and debt) in column (3) on pages </t>
  </si>
  <si>
    <t>7-10, based on anticipated expenditures for the school year to begin July 1 for the tentative budget.</t>
  </si>
  <si>
    <t xml:space="preserve">Fill in the remaining expenditures (Undistributed, food service, facilities and debt) in column (4) on pages </t>
  </si>
  <si>
    <t>7-10, based on the approved and adopted budget for the school year to begin July 1 for the final budget.</t>
  </si>
  <si>
    <t>expenditures.  This amount has been calculated for you at the bottom of page 10.</t>
  </si>
  <si>
    <t>Fill in the contingency amount under function 6300, if appropriate.  Note that it is not to exceed 3% of all</t>
  </si>
  <si>
    <t>Fill in the ending balance under function 8000.  This amount has been calculated for you at the bottom of</t>
  </si>
  <si>
    <t xml:space="preserve">page 10.  If you do not agree, please check that all revenue and expense items have been included on </t>
  </si>
  <si>
    <t>Forms 3 and 4.</t>
  </si>
  <si>
    <t>If the ending balance is less than zero, please reallocate your expenditures and/or revenues.  We expect</t>
  </si>
  <si>
    <t>arrangements have been made, and approved by, the Deputy Superintendent of Administrative and Fiscal</t>
  </si>
  <si>
    <t xml:space="preserve">all charter schools to be fiscally responsible.  A positive ending balance is required unless prior </t>
  </si>
  <si>
    <t xml:space="preserve">Services (NDE) and your sponsor.  </t>
  </si>
  <si>
    <t>FORM 5 EXPENDITURE SUMMARY</t>
  </si>
  <si>
    <t>This form calculates the information from Forms 3 and 4.  Please check the numbers to verify that they</t>
  </si>
  <si>
    <t>are correct.</t>
  </si>
  <si>
    <t xml:space="preserve">If you have a proprietary fund(s), enter the number of funds and estimated expenses.  It is unusual for </t>
  </si>
  <si>
    <t>The signed cover page (Form 1) for the final budget, can be scanned and sent electronically, faxed, or mailed.</t>
  </si>
  <si>
    <t>The Units are legislatively determined to provide supplemental funding for special education staff.</t>
  </si>
  <si>
    <t xml:space="preserve">the page.  If you do not agree, please check that all revenue and expense items have been included. </t>
  </si>
  <si>
    <t>Fill in the expenditure amounts, per function, in column (1) from your audited information.</t>
  </si>
  <si>
    <t>Fill in the expenditure amounts, per function, in column (2) from your current year estimates.</t>
  </si>
  <si>
    <t xml:space="preserve">Fill in the expenditure amounts, per function, in column (3) based on anticipated expenditures for the </t>
  </si>
  <si>
    <t>school year to begin July 1 for the tentative budget.</t>
  </si>
  <si>
    <t xml:space="preserve">Fill in the expenditure amounts, per function, in column (4) based on the approved and adopted budget </t>
  </si>
  <si>
    <t>FORM 7 INDEBTEDNESS</t>
  </si>
  <si>
    <t>List each loan in column (1) under the appropriate fund.</t>
  </si>
  <si>
    <t>Enter the type of loan in column (2).  Choices 1-11 are listed at the upper right of the form.</t>
  </si>
  <si>
    <t>Number</t>
  </si>
  <si>
    <t xml:space="preserve">of </t>
  </si>
  <si>
    <t>Months</t>
  </si>
  <si>
    <r>
      <t xml:space="preserve">Enter the term of the loan in number of </t>
    </r>
    <r>
      <rPr>
        <b/>
        <sz val="10"/>
        <rFont val="Arial"/>
        <family val="2"/>
      </rPr>
      <t>MONTHS</t>
    </r>
    <r>
      <rPr>
        <sz val="10"/>
        <rFont val="Arial"/>
        <family val="2"/>
      </rPr>
      <t xml:space="preserve"> in column (3).</t>
    </r>
    <r>
      <rPr>
        <sz val="10"/>
        <rFont val="Arial"/>
        <family val="2"/>
      </rPr>
      <t xml:space="preserve"> Example 2 years = 24 months.</t>
    </r>
  </si>
  <si>
    <t>Enter date of issue in column (5).</t>
  </si>
  <si>
    <t>Enter the original amount of the loan (issue) in column (4).</t>
  </si>
  <si>
    <t>Enter date of final payment in column (6).</t>
  </si>
  <si>
    <t>Enter the interest rate of the loan in column (7).</t>
  </si>
  <si>
    <t>Enter the outstanding balance at the beginning of the current year in column (8).</t>
  </si>
  <si>
    <t>Enter the amount of interest payable in column (9) for the budgeted year beginning July 1.</t>
  </si>
  <si>
    <t>Enter the amount of principal payable in column (10) for the budgeted year beginning July 1.</t>
  </si>
  <si>
    <t>Column 11 will calculate the total interest and principal payables for the budgeted year beginning July 1.</t>
  </si>
  <si>
    <t>WEIGHTED</t>
  </si>
  <si>
    <t>Enter the Hold Harmless amount in #10.  You will be eligible to receive the Hold Harmless enrollments:</t>
  </si>
  <si>
    <t>b.  IF: enrollment decreases more than 5%, use highest enrollment of current or either of the two prior</t>
  </si>
  <si>
    <t>c.  IF: the Charter School is multidistrict, Hold Harmless is based on the TOTAL Statewide enrollment.</t>
  </si>
  <si>
    <t>support will automatically calculate for you.</t>
  </si>
  <si>
    <t>Enter the WEIGHTED student enrollments based on School District of residence in #11.  If the pupils only</t>
  </si>
  <si>
    <t>Enter the anticipated cash flow, for each expenditure category, per month.  The totals will calculate.</t>
  </si>
  <si>
    <t xml:space="preserve">In the bottom section, enter the opening cash balance as of July 1, in the "PROJECTED July" column, </t>
  </si>
  <si>
    <t>FORM 6 PROPRIETARY OR ENTERPRISE</t>
  </si>
  <si>
    <t xml:space="preserve">Enter any transportation revenue received from out-of-state individuals or out-of-state school districts in </t>
  </si>
  <si>
    <t xml:space="preserve">Fill in the certification information on the lower portion of the page, including the board members, prior to </t>
  </si>
  <si>
    <t>Enter an estimated "Outside Revenue" amount in #12.  The prior year amounts are listed at the far right</t>
  </si>
  <si>
    <t>one unit, but you are not likely to receive any of these units.  Check your awards from the prior year.</t>
  </si>
  <si>
    <t>Proprietary, page 10.</t>
  </si>
  <si>
    <t>Fill in the certification information on the lower left side of the page, prior to submitting the tentative</t>
  </si>
  <si>
    <t>Enter the fund which includes the indebtedness in column (1).</t>
  </si>
  <si>
    <t>Enter the amount into the correct row, under column (1).</t>
  </si>
  <si>
    <t>Revenue.  Enter the amount into the correct row, under column (2).</t>
  </si>
  <si>
    <t>(3).  Enter the amount into the correct row, under column (3).</t>
  </si>
  <si>
    <t>column (4).  Enter the amount into the correct row, under column (4).</t>
  </si>
  <si>
    <t>In column (2) General Fund, list all funds with money transferred INTO the General Fund.</t>
  </si>
  <si>
    <t>In column (4) General Fund, list all funds RECEIVING General Fund transfers.</t>
  </si>
  <si>
    <t>In column (2) Special Revenue Fund, list all funds with money transferred INTO the Special Revenue Fund.</t>
  </si>
  <si>
    <t>In column (4) Special Revenue Fund, list all funds RECEIVING Special Revenue Fund transfers.</t>
  </si>
  <si>
    <t>Enter the basic operating (object) categories in the left column</t>
  </si>
  <si>
    <t>Enter the total budgeted expenditures per category under the column at the right "Final Approved Budget".</t>
  </si>
  <si>
    <t>in the row "Begin Cash Balance (F/B).  The remaining balances will calculate as additional data is entered.</t>
  </si>
  <si>
    <t>Students transported into</t>
  </si>
  <si>
    <t>Students transported to</t>
  </si>
  <si>
    <r>
      <t xml:space="preserve">Enter the enrollments for </t>
    </r>
    <r>
      <rPr>
        <u/>
        <sz val="10"/>
        <rFont val="Arial"/>
        <family val="2"/>
      </rPr>
      <t>both</t>
    </r>
    <r>
      <rPr>
        <sz val="10"/>
        <rFont val="Arial"/>
        <family val="2"/>
      </rPr>
      <t xml:space="preserve"> "Actual Year Ending 06/30/XX" (columns D/F &amp; H/J) for categories  #1-5, 7-8.</t>
    </r>
  </si>
  <si>
    <t>Estimate:  "Outside Revenue"</t>
  </si>
  <si>
    <r>
      <t>SUBMITTED</t>
    </r>
    <r>
      <rPr>
        <sz val="9"/>
        <rFont val="Arial"/>
        <family val="2"/>
      </rPr>
      <t xml:space="preserve"> by the Charter School Governing Body to NDE, Program Analyst - Fiscal Analysis Division - </t>
    </r>
  </si>
  <si>
    <t xml:space="preserve">budget for the fiscal year ending </t>
  </si>
  <si>
    <t>Enter the number of governmental fund types. You will most likely have one (General Fund) or two (also Special Education).</t>
  </si>
  <si>
    <t>TENTATIVE or FINAL or AMENDED FINAL</t>
  </si>
  <si>
    <t>AMENDED</t>
  </si>
  <si>
    <t>Current yr ending</t>
  </si>
  <si>
    <t>Budget yr ending</t>
  </si>
  <si>
    <t>Per NAC 387.730:</t>
  </si>
  <si>
    <t>(Print Name of Governing Board President)</t>
  </si>
  <si>
    <t>(Signature of Governing Board President)</t>
  </si>
  <si>
    <t xml:space="preserve">herewith submits the </t>
  </si>
  <si>
    <t>Legislative Counsel Bureau and the Charter School sponsor.</t>
  </si>
  <si>
    <t>- Estimated</t>
  </si>
  <si>
    <t>ADD program 430</t>
  </si>
  <si>
    <t>Rate revised 5/24/2013</t>
  </si>
  <si>
    <t>2014-2015</t>
  </si>
  <si>
    <t>2013/2014</t>
  </si>
  <si>
    <t>June 30, 2015</t>
  </si>
  <si>
    <t>July 1, 2014</t>
  </si>
  <si>
    <t>Actual Prior Year</t>
  </si>
  <si>
    <t>Last day of FY</t>
  </si>
  <si>
    <t>Estimated per SB522 77th session</t>
  </si>
  <si>
    <t>ACTUAL PRIOR YEAR</t>
  </si>
  <si>
    <t>ACTUAL CURRENT YEAR</t>
  </si>
  <si>
    <t>(Should be 0  or 2 maximum - see prior year allotment)</t>
  </si>
  <si>
    <r>
      <t xml:space="preserve">TOTAL </t>
    </r>
    <r>
      <rPr>
        <b/>
        <u/>
        <sz val="11"/>
        <rFont val="Arial"/>
        <family val="2"/>
      </rPr>
      <t>FINAL</t>
    </r>
    <r>
      <rPr>
        <b/>
        <sz val="11"/>
        <rFont val="Arial"/>
        <family val="2"/>
      </rPr>
      <t xml:space="preserve"> AMENDED BUDGET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</si>
</sst>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mm/dd/yy"/>
    <numFmt numFmtId="166" formatCode="[$-409]mmmm\ d\,\ yyyy;@"/>
    <numFmt numFmtId="167" formatCode="[$-409]m/d/yy\ h:mm\ AM/PM;@"/>
    <numFmt numFmtId="168" formatCode="mm/dd/yy;@"/>
    <numFmt numFmtId="169" formatCode="_(* #,##0.0_);_(* \(#,##0.0\);_(* &quot;-&quot;??_);_(@_)"/>
    <numFmt numFmtId="170" formatCode="_(* #,##0_);_(* \(#,##0\);_(* &quot;-&quot;??_);_(@_)"/>
    <numFmt numFmtId="171" formatCode="_(&quot;$&quot;* #,##0_);_(&quot;$&quot;* \(#,##0\);_(&quot;$&quot;* &quot;-&quot;??_);_(@_)"/>
    <numFmt numFmtId="172" formatCode="&quot;$&quot;#,##0"/>
    <numFmt numFmtId="173" formatCode="#,##0.0"/>
  </numFmts>
  <fonts count="2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u/>
      <sz val="11"/>
      <color indexed="12"/>
      <name val="Arial"/>
      <family val="2"/>
    </font>
    <font>
      <b/>
      <u/>
      <sz val="9"/>
      <name val="Arial"/>
      <family val="2"/>
    </font>
    <font>
      <sz val="9"/>
      <color indexed="12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 val="singleAccounting"/>
      <sz val="10"/>
      <name val="Arial"/>
      <family val="2"/>
    </font>
    <font>
      <sz val="10"/>
      <color indexed="81"/>
      <name val="Tahoma"/>
      <family val="2"/>
    </font>
    <font>
      <u/>
      <sz val="10"/>
      <name val="Arial"/>
      <family val="2"/>
    </font>
    <font>
      <u/>
      <sz val="1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1">
    <xf numFmtId="0" fontId="0" fillId="0" borderId="0" xfId="0"/>
    <xf numFmtId="0" fontId="3" fillId="0" borderId="0" xfId="0" applyFont="1" applyProtection="1"/>
    <xf numFmtId="14" fontId="3" fillId="0" borderId="0" xfId="0" applyNumberFormat="1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168" fontId="5" fillId="0" borderId="1" xfId="0" applyNumberFormat="1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49" fontId="3" fillId="0" borderId="0" xfId="0" applyNumberFormat="1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43" fontId="3" fillId="0" borderId="0" xfId="0" applyNumberFormat="1" applyFont="1" applyBorder="1" applyAlignment="1" applyProtection="1">
      <alignment horizontal="center"/>
    </xf>
    <xf numFmtId="0" fontId="3" fillId="0" borderId="0" xfId="0" quotePrefix="1" applyFont="1" applyProtection="1"/>
    <xf numFmtId="0" fontId="3" fillId="0" borderId="0" xfId="0" applyFont="1" applyBorder="1" applyProtection="1"/>
    <xf numFmtId="49" fontId="3" fillId="0" borderId="4" xfId="0" applyNumberFormat="1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5" xfId="0" applyFont="1" applyBorder="1" applyProtection="1"/>
    <xf numFmtId="0" fontId="3" fillId="0" borderId="0" xfId="0" applyFont="1" applyAlignment="1" applyProtection="1">
      <alignment horizontal="left"/>
    </xf>
    <xf numFmtId="5" fontId="3" fillId="0" borderId="0" xfId="0" applyNumberFormat="1" applyFont="1" applyFill="1" applyBorder="1" applyProtection="1"/>
    <xf numFmtId="0" fontId="3" fillId="0" borderId="0" xfId="0" applyFont="1" applyBorder="1" applyAlignment="1" applyProtection="1">
      <alignment horizontal="right"/>
    </xf>
    <xf numFmtId="0" fontId="4" fillId="0" borderId="0" xfId="0" applyFont="1" applyAlignment="1" applyProtection="1">
      <alignment horizontal="right"/>
    </xf>
    <xf numFmtId="0" fontId="4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5" fontId="4" fillId="0" borderId="0" xfId="0" applyNumberFormat="1" applyFont="1" applyFill="1" applyBorder="1" applyProtection="1"/>
    <xf numFmtId="0" fontId="3" fillId="0" borderId="0" xfId="0" applyFont="1" applyAlignment="1" applyProtection="1">
      <alignment horizontal="right"/>
    </xf>
    <xf numFmtId="169" fontId="3" fillId="0" borderId="0" xfId="1" applyNumberFormat="1" applyFont="1" applyAlignment="1" applyProtection="1">
      <alignment horizontal="center"/>
    </xf>
    <xf numFmtId="170" fontId="3" fillId="0" borderId="6" xfId="1" applyNumberFormat="1" applyFont="1" applyBorder="1" applyProtection="1"/>
    <xf numFmtId="44" fontId="3" fillId="0" borderId="3" xfId="2" applyFont="1" applyFill="1" applyBorder="1" applyProtection="1"/>
    <xf numFmtId="44" fontId="3" fillId="0" borderId="3" xfId="2" applyFont="1" applyBorder="1" applyProtection="1"/>
    <xf numFmtId="5" fontId="3" fillId="0" borderId="0" xfId="0" applyNumberFormat="1" applyFont="1" applyBorder="1" applyProtection="1"/>
    <xf numFmtId="49" fontId="6" fillId="0" borderId="0" xfId="0" applyNumberFormat="1" applyFont="1" applyAlignment="1" applyProtection="1">
      <alignment horizontal="left"/>
    </xf>
    <xf numFmtId="14" fontId="3" fillId="0" borderId="0" xfId="0" applyNumberFormat="1" applyFont="1" applyAlignment="1" applyProtection="1">
      <alignment horizontal="right"/>
    </xf>
    <xf numFmtId="14" fontId="5" fillId="0" borderId="7" xfId="0" applyNumberFormat="1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14" fontId="5" fillId="0" borderId="9" xfId="0" applyNumberFormat="1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protection hidden="1"/>
    </xf>
    <xf numFmtId="0" fontId="8" fillId="0" borderId="0" xfId="0" applyFont="1" applyProtection="1"/>
    <xf numFmtId="0" fontId="8" fillId="0" borderId="8" xfId="0" applyFont="1" applyBorder="1" applyProtection="1"/>
    <xf numFmtId="0" fontId="5" fillId="0" borderId="0" xfId="0" applyFont="1" applyProtection="1"/>
    <xf numFmtId="0" fontId="13" fillId="0" borderId="0" xfId="0" applyFont="1" applyBorder="1" applyProtection="1"/>
    <xf numFmtId="0" fontId="8" fillId="0" borderId="8" xfId="0" applyFont="1" applyBorder="1" applyAlignment="1" applyProtection="1">
      <alignment horizontal="center"/>
    </xf>
    <xf numFmtId="0" fontId="8" fillId="0" borderId="10" xfId="0" quotePrefix="1" applyFont="1" applyBorder="1" applyAlignment="1" applyProtection="1">
      <alignment horizontal="center"/>
    </xf>
    <xf numFmtId="0" fontId="8" fillId="0" borderId="8" xfId="0" quotePrefix="1" applyFont="1" applyBorder="1" applyAlignment="1" applyProtection="1">
      <alignment horizontal="center"/>
    </xf>
    <xf numFmtId="0" fontId="5" fillId="0" borderId="3" xfId="0" applyFont="1" applyBorder="1" applyProtection="1"/>
    <xf numFmtId="0" fontId="5" fillId="0" borderId="1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5" fillId="0" borderId="8" xfId="0" applyFont="1" applyBorder="1" applyProtection="1"/>
    <xf numFmtId="0" fontId="5" fillId="0" borderId="9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5" fillId="0" borderId="1" xfId="0" applyFont="1" applyBorder="1" applyProtection="1"/>
    <xf numFmtId="0" fontId="5" fillId="0" borderId="12" xfId="0" applyFont="1" applyBorder="1" applyProtection="1"/>
    <xf numFmtId="0" fontId="5" fillId="0" borderId="13" xfId="0" applyFont="1" applyBorder="1" applyProtection="1"/>
    <xf numFmtId="0" fontId="5" fillId="0" borderId="14" xfId="0" applyFont="1" applyBorder="1" applyProtection="1"/>
    <xf numFmtId="41" fontId="5" fillId="0" borderId="1" xfId="0" applyNumberFormat="1" applyFont="1" applyBorder="1" applyProtection="1"/>
    <xf numFmtId="0" fontId="8" fillId="0" borderId="15" xfId="0" applyFont="1" applyBorder="1" applyProtection="1"/>
    <xf numFmtId="0" fontId="5" fillId="0" borderId="15" xfId="0" applyFont="1" applyBorder="1" applyProtection="1"/>
    <xf numFmtId="41" fontId="3" fillId="0" borderId="16" xfId="0" applyNumberFormat="1" applyFont="1" applyFill="1" applyBorder="1" applyProtection="1"/>
    <xf numFmtId="0" fontId="5" fillId="0" borderId="0" xfId="0" applyFont="1" applyBorder="1" applyProtection="1"/>
    <xf numFmtId="44" fontId="3" fillId="0" borderId="3" xfId="0" applyNumberFormat="1" applyFont="1" applyBorder="1" applyProtection="1"/>
    <xf numFmtId="172" fontId="3" fillId="0" borderId="3" xfId="0" applyNumberFormat="1" applyFont="1" applyBorder="1" applyProtection="1"/>
    <xf numFmtId="41" fontId="3" fillId="0" borderId="0" xfId="0" applyNumberFormat="1" applyFont="1" applyFill="1" applyBorder="1" applyProtection="1"/>
    <xf numFmtId="172" fontId="3" fillId="0" borderId="0" xfId="0" applyNumberFormat="1" applyFont="1" applyBorder="1" applyProtection="1"/>
    <xf numFmtId="171" fontId="3" fillId="0" borderId="0" xfId="2" applyNumberFormat="1" applyFont="1" applyFill="1" applyBorder="1" applyProtection="1"/>
    <xf numFmtId="171" fontId="3" fillId="0" borderId="0" xfId="2" applyNumberFormat="1" applyFont="1" applyFill="1" applyAlignment="1" applyProtection="1">
      <alignment horizontal="center"/>
    </xf>
    <xf numFmtId="0" fontId="12" fillId="0" borderId="0" xfId="0" applyFont="1" applyProtection="1"/>
    <xf numFmtId="0" fontId="12" fillId="0" borderId="0" xfId="0" applyFont="1" applyAlignment="1" applyProtection="1">
      <alignment horizontal="left"/>
    </xf>
    <xf numFmtId="166" fontId="12" fillId="0" borderId="0" xfId="0" applyNumberFormat="1" applyFont="1" applyProtection="1"/>
    <xf numFmtId="0" fontId="12" fillId="0" borderId="0" xfId="0" applyFont="1" applyBorder="1" applyProtection="1"/>
    <xf numFmtId="38" fontId="12" fillId="0" borderId="0" xfId="0" applyNumberFormat="1" applyFont="1" applyBorder="1" applyAlignment="1" applyProtection="1">
      <alignment horizontal="center"/>
    </xf>
    <xf numFmtId="0" fontId="12" fillId="0" borderId="0" xfId="0" applyFont="1" applyAlignment="1" applyProtection="1">
      <alignment horizontal="right"/>
    </xf>
    <xf numFmtId="0" fontId="12" fillId="0" borderId="3" xfId="0" applyFont="1" applyBorder="1" applyProtection="1"/>
    <xf numFmtId="0" fontId="12" fillId="0" borderId="17" xfId="0" applyFont="1" applyBorder="1" applyProtection="1"/>
    <xf numFmtId="0" fontId="12" fillId="0" borderId="0" xfId="0" applyFont="1" applyAlignment="1" applyProtection="1">
      <alignment horizontal="center"/>
    </xf>
    <xf numFmtId="167" fontId="12" fillId="0" borderId="0" xfId="0" applyNumberFormat="1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left"/>
    </xf>
    <xf numFmtId="0" fontId="12" fillId="0" borderId="18" xfId="0" applyFont="1" applyBorder="1" applyProtection="1"/>
    <xf numFmtId="0" fontId="1" fillId="0" borderId="18" xfId="0" applyFont="1" applyBorder="1" applyProtection="1"/>
    <xf numFmtId="0" fontId="0" fillId="0" borderId="18" xfId="0" applyBorder="1" applyProtection="1"/>
    <xf numFmtId="0" fontId="0" fillId="0" borderId="0" xfId="0" applyBorder="1" applyProtection="1"/>
    <xf numFmtId="0" fontId="15" fillId="0" borderId="19" xfId="0" applyFont="1" applyBorder="1" applyProtection="1"/>
    <xf numFmtId="0" fontId="16" fillId="0" borderId="20" xfId="0" applyFont="1" applyBorder="1" applyProtection="1"/>
    <xf numFmtId="0" fontId="12" fillId="0" borderId="20" xfId="0" applyFont="1" applyBorder="1" applyProtection="1"/>
    <xf numFmtId="0" fontId="12" fillId="0" borderId="21" xfId="0" applyFont="1" applyBorder="1" applyProtection="1"/>
    <xf numFmtId="0" fontId="12" fillId="0" borderId="8" xfId="0" applyFont="1" applyBorder="1" applyProtection="1"/>
    <xf numFmtId="168" fontId="0" fillId="0" borderId="0" xfId="0" quotePrefix="1" applyNumberFormat="1" applyBorder="1" applyProtection="1"/>
    <xf numFmtId="14" fontId="0" fillId="0" borderId="0" xfId="0" quotePrefix="1" applyNumberFormat="1" applyBorder="1" applyAlignment="1" applyProtection="1">
      <alignment horizontal="left"/>
    </xf>
    <xf numFmtId="0" fontId="3" fillId="2" borderId="0" xfId="0" applyFont="1" applyFill="1" applyProtection="1"/>
    <xf numFmtId="14" fontId="12" fillId="0" borderId="0" xfId="0" applyNumberFormat="1" applyFont="1" applyBorder="1" applyAlignment="1" applyProtection="1">
      <alignment horizontal="left"/>
    </xf>
    <xf numFmtId="0" fontId="17" fillId="0" borderId="18" xfId="0" applyFont="1" applyBorder="1" applyProtection="1"/>
    <xf numFmtId="0" fontId="17" fillId="0" borderId="0" xfId="0" applyFont="1" applyBorder="1" applyProtection="1"/>
    <xf numFmtId="14" fontId="17" fillId="0" borderId="0" xfId="0" applyNumberFormat="1" applyFont="1" applyBorder="1" applyProtection="1"/>
    <xf numFmtId="0" fontId="7" fillId="0" borderId="3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12" fillId="0" borderId="2" xfId="0" applyFont="1" applyBorder="1" applyProtection="1"/>
    <xf numFmtId="0" fontId="12" fillId="0" borderId="1" xfId="0" applyFont="1" applyBorder="1" applyProtection="1"/>
    <xf numFmtId="170" fontId="3" fillId="0" borderId="3" xfId="0" applyNumberFormat="1" applyFont="1" applyFill="1" applyBorder="1" applyProtection="1"/>
    <xf numFmtId="49" fontId="5" fillId="0" borderId="20" xfId="0" applyNumberFormat="1" applyFont="1" applyBorder="1" applyAlignment="1" applyProtection="1">
      <alignment horizontal="left"/>
    </xf>
    <xf numFmtId="0" fontId="5" fillId="0" borderId="21" xfId="0" applyFont="1" applyBorder="1" applyProtection="1"/>
    <xf numFmtId="164" fontId="5" fillId="0" borderId="10" xfId="0" applyNumberFormat="1" applyFont="1" applyBorder="1" applyAlignment="1" applyProtection="1">
      <alignment horizontal="center"/>
    </xf>
    <xf numFmtId="164" fontId="5" fillId="0" borderId="21" xfId="0" applyNumberFormat="1" applyFont="1" applyBorder="1" applyAlignment="1" applyProtection="1">
      <alignment horizontal="center"/>
    </xf>
    <xf numFmtId="164" fontId="5" fillId="0" borderId="19" xfId="0" applyNumberFormat="1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wrapText="1"/>
    </xf>
    <xf numFmtId="0" fontId="5" fillId="0" borderId="9" xfId="0" applyFont="1" applyBorder="1" applyAlignment="1" applyProtection="1">
      <alignment wrapText="1"/>
    </xf>
    <xf numFmtId="0" fontId="5" fillId="0" borderId="0" xfId="0" applyFont="1" applyAlignment="1" applyProtection="1">
      <alignment wrapText="1"/>
    </xf>
    <xf numFmtId="0" fontId="5" fillId="0" borderId="9" xfId="0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wrapText="1"/>
    </xf>
    <xf numFmtId="168" fontId="5" fillId="0" borderId="1" xfId="0" applyNumberFormat="1" applyFont="1" applyBorder="1" applyAlignment="1" applyProtection="1">
      <alignment horizontal="center" wrapText="1"/>
    </xf>
    <xf numFmtId="0" fontId="5" fillId="0" borderId="11" xfId="0" applyFont="1" applyBorder="1" applyAlignment="1" applyProtection="1">
      <alignment horizontal="center" wrapText="1"/>
    </xf>
    <xf numFmtId="49" fontId="8" fillId="0" borderId="16" xfId="0" applyNumberFormat="1" applyFont="1" applyBorder="1" applyAlignment="1" applyProtection="1">
      <alignment horizontal="left"/>
    </xf>
    <xf numFmtId="0" fontId="8" fillId="0" borderId="22" xfId="0" applyFont="1" applyBorder="1" applyProtection="1"/>
    <xf numFmtId="4" fontId="5" fillId="0" borderId="8" xfId="0" applyNumberFormat="1" applyFont="1" applyBorder="1" applyProtection="1"/>
    <xf numFmtId="49" fontId="5" fillId="0" borderId="16" xfId="0" applyNumberFormat="1" applyFont="1" applyBorder="1" applyAlignment="1" applyProtection="1">
      <alignment horizontal="left"/>
    </xf>
    <xf numFmtId="49" fontId="5" fillId="0" borderId="3" xfId="0" applyNumberFormat="1" applyFont="1" applyBorder="1" applyAlignment="1" applyProtection="1">
      <alignment horizontal="left"/>
    </xf>
    <xf numFmtId="37" fontId="5" fillId="0" borderId="6" xfId="0" applyNumberFormat="1" applyFont="1" applyBorder="1" applyProtection="1"/>
    <xf numFmtId="37" fontId="5" fillId="0" borderId="1" xfId="0" applyNumberFormat="1" applyFont="1" applyBorder="1" applyProtection="1"/>
    <xf numFmtId="0" fontId="5" fillId="0" borderId="1" xfId="0" applyFont="1" applyBorder="1" applyAlignment="1" applyProtection="1">
      <alignment wrapText="1"/>
    </xf>
    <xf numFmtId="0" fontId="5" fillId="0" borderId="22" xfId="0" applyFont="1" applyBorder="1" applyProtection="1"/>
    <xf numFmtId="49" fontId="5" fillId="0" borderId="0" xfId="0" applyNumberFormat="1" applyFont="1" applyAlignment="1" applyProtection="1">
      <alignment horizontal="left"/>
    </xf>
    <xf numFmtId="49" fontId="8" fillId="0" borderId="4" xfId="0" applyNumberFormat="1" applyFont="1" applyBorder="1" applyAlignment="1" applyProtection="1">
      <alignment horizontal="left"/>
    </xf>
    <xf numFmtId="49" fontId="5" fillId="0" borderId="4" xfId="0" applyNumberFormat="1" applyFont="1" applyBorder="1" applyAlignment="1" applyProtection="1">
      <alignment horizontal="left"/>
    </xf>
    <xf numFmtId="0" fontId="5" fillId="0" borderId="23" xfId="0" applyFont="1" applyBorder="1" applyProtection="1"/>
    <xf numFmtId="37" fontId="5" fillId="0" borderId="23" xfId="0" applyNumberFormat="1" applyFont="1" applyBorder="1" applyProtection="1"/>
    <xf numFmtId="49" fontId="8" fillId="0" borderId="24" xfId="0" applyNumberFormat="1" applyFont="1" applyBorder="1" applyAlignment="1" applyProtection="1">
      <alignment horizontal="left"/>
    </xf>
    <xf numFmtId="49" fontId="5" fillId="0" borderId="24" xfId="0" applyNumberFormat="1" applyFont="1" applyBorder="1" applyAlignment="1" applyProtection="1">
      <alignment horizontal="left"/>
    </xf>
    <xf numFmtId="0" fontId="8" fillId="0" borderId="25" xfId="0" applyFont="1" applyFill="1" applyBorder="1" applyProtection="1"/>
    <xf numFmtId="41" fontId="5" fillId="0" borderId="8" xfId="0" applyNumberFormat="1" applyFont="1" applyBorder="1" applyProtection="1"/>
    <xf numFmtId="49" fontId="5" fillId="0" borderId="6" xfId="0" applyNumberFormat="1" applyFont="1" applyBorder="1" applyAlignment="1" applyProtection="1">
      <alignment horizontal="left"/>
    </xf>
    <xf numFmtId="49" fontId="5" fillId="0" borderId="26" xfId="0" applyNumberFormat="1" applyFont="1" applyBorder="1" applyAlignment="1" applyProtection="1">
      <alignment horizontal="left"/>
    </xf>
    <xf numFmtId="0" fontId="5" fillId="0" borderId="22" xfId="0" applyFont="1" applyFill="1" applyBorder="1" applyProtection="1"/>
    <xf numFmtId="0" fontId="5" fillId="0" borderId="1" xfId="0" applyFont="1" applyFill="1" applyBorder="1" applyProtection="1"/>
    <xf numFmtId="41" fontId="5" fillId="0" borderId="0" xfId="0" applyNumberFormat="1" applyFont="1" applyProtection="1"/>
    <xf numFmtId="49" fontId="5" fillId="0" borderId="5" xfId="0" applyNumberFormat="1" applyFont="1" applyBorder="1" applyAlignment="1" applyProtection="1">
      <alignment horizontal="left"/>
    </xf>
    <xf numFmtId="0" fontId="5" fillId="0" borderId="0" xfId="0" applyNumberFormat="1" applyFont="1" applyBorder="1" applyAlignment="1" applyProtection="1">
      <alignment horizontal="left"/>
    </xf>
    <xf numFmtId="0" fontId="5" fillId="0" borderId="21" xfId="0" applyFont="1" applyBorder="1" applyAlignment="1" applyProtection="1">
      <alignment wrapText="1"/>
    </xf>
    <xf numFmtId="0" fontId="5" fillId="0" borderId="8" xfId="0" applyFont="1" applyBorder="1" applyAlignment="1" applyProtection="1">
      <alignment wrapText="1"/>
    </xf>
    <xf numFmtId="49" fontId="8" fillId="0" borderId="16" xfId="0" applyNumberFormat="1" applyFont="1" applyBorder="1" applyProtection="1"/>
    <xf numFmtId="0" fontId="8" fillId="0" borderId="22" xfId="0" applyFont="1" applyBorder="1" applyAlignment="1" applyProtection="1">
      <alignment wrapText="1"/>
    </xf>
    <xf numFmtId="49" fontId="5" fillId="0" borderId="3" xfId="0" applyNumberFormat="1" applyFont="1" applyBorder="1" applyProtection="1"/>
    <xf numFmtId="3" fontId="5" fillId="0" borderId="6" xfId="0" applyNumberFormat="1" applyFont="1" applyBorder="1" applyProtection="1"/>
    <xf numFmtId="3" fontId="5" fillId="0" borderId="22" xfId="0" applyNumberFormat="1" applyFont="1" applyBorder="1" applyProtection="1"/>
    <xf numFmtId="3" fontId="5" fillId="0" borderId="1" xfId="0" applyNumberFormat="1" applyFont="1" applyBorder="1" applyProtection="1"/>
    <xf numFmtId="49" fontId="5" fillId="0" borderId="4" xfId="0" applyNumberFormat="1" applyFont="1" applyBorder="1" applyProtection="1"/>
    <xf numFmtId="0" fontId="5" fillId="0" borderId="23" xfId="0" applyFont="1" applyBorder="1" applyAlignment="1" applyProtection="1">
      <alignment wrapText="1"/>
    </xf>
    <xf numFmtId="3" fontId="5" fillId="0" borderId="23" xfId="0" applyNumberFormat="1" applyFont="1" applyBorder="1" applyProtection="1"/>
    <xf numFmtId="37" fontId="5" fillId="0" borderId="8" xfId="0" applyNumberFormat="1" applyFont="1" applyBorder="1" applyProtection="1"/>
    <xf numFmtId="37" fontId="5" fillId="0" borderId="0" xfId="0" applyNumberFormat="1" applyFont="1" applyProtection="1"/>
    <xf numFmtId="0" fontId="8" fillId="0" borderId="1" xfId="0" applyFont="1" applyBorder="1" applyAlignment="1" applyProtection="1">
      <alignment wrapText="1"/>
    </xf>
    <xf numFmtId="49" fontId="5" fillId="0" borderId="12" xfId="0" applyNumberFormat="1" applyFont="1" applyBorder="1" applyProtection="1"/>
    <xf numFmtId="37" fontId="5" fillId="0" borderId="13" xfId="0" applyNumberFormat="1" applyFont="1" applyBorder="1" applyProtection="1"/>
    <xf numFmtId="49" fontId="5" fillId="0" borderId="0" xfId="0" applyNumberFormat="1" applyFont="1" applyProtection="1"/>
    <xf numFmtId="49" fontId="5" fillId="0" borderId="0" xfId="0" applyNumberFormat="1" applyFont="1" applyBorder="1" applyProtection="1"/>
    <xf numFmtId="14" fontId="5" fillId="0" borderId="0" xfId="0" applyNumberFormat="1" applyFont="1" applyProtection="1"/>
    <xf numFmtId="37" fontId="5" fillId="3" borderId="6" xfId="0" applyNumberFormat="1" applyFont="1" applyFill="1" applyBorder="1" applyProtection="1">
      <protection locked="0"/>
    </xf>
    <xf numFmtId="37" fontId="5" fillId="3" borderId="22" xfId="0" applyNumberFormat="1" applyFont="1" applyFill="1" applyBorder="1" applyProtection="1">
      <protection locked="0"/>
    </xf>
    <xf numFmtId="37" fontId="5" fillId="3" borderId="1" xfId="0" applyNumberFormat="1" applyFont="1" applyFill="1" applyBorder="1" applyProtection="1">
      <protection locked="0"/>
    </xf>
    <xf numFmtId="3" fontId="5" fillId="3" borderId="6" xfId="0" applyNumberFormat="1" applyFont="1" applyFill="1" applyBorder="1" applyProtection="1">
      <protection locked="0"/>
    </xf>
    <xf numFmtId="3" fontId="5" fillId="3" borderId="22" xfId="0" applyNumberFormat="1" applyFont="1" applyFill="1" applyBorder="1" applyProtection="1">
      <protection locked="0"/>
    </xf>
    <xf numFmtId="3" fontId="5" fillId="3" borderId="1" xfId="0" applyNumberFormat="1" applyFont="1" applyFill="1" applyBorder="1" applyProtection="1">
      <protection locked="0"/>
    </xf>
    <xf numFmtId="49" fontId="8" fillId="0" borderId="0" xfId="0" applyNumberFormat="1" applyFont="1" applyBorder="1" applyProtection="1"/>
    <xf numFmtId="37" fontId="5" fillId="0" borderId="0" xfId="0" applyNumberFormat="1" applyFont="1" applyBorder="1" applyProtection="1"/>
    <xf numFmtId="49" fontId="8" fillId="0" borderId="0" xfId="0" applyNumberFormat="1" applyFont="1" applyBorder="1" applyAlignment="1" applyProtection="1">
      <alignment horizontal="left"/>
    </xf>
    <xf numFmtId="49" fontId="8" fillId="0" borderId="27" xfId="0" applyNumberFormat="1" applyFont="1" applyBorder="1" applyAlignment="1" applyProtection="1">
      <alignment horizontal="left"/>
    </xf>
    <xf numFmtId="49" fontId="5" fillId="0" borderId="27" xfId="0" applyNumberFormat="1" applyFont="1" applyBorder="1" applyAlignment="1" applyProtection="1">
      <alignment horizontal="left"/>
    </xf>
    <xf numFmtId="5" fontId="3" fillId="3" borderId="3" xfId="0" applyNumberFormat="1" applyFont="1" applyFill="1" applyBorder="1" applyProtection="1">
      <protection locked="0"/>
    </xf>
    <xf numFmtId="41" fontId="3" fillId="3" borderId="3" xfId="0" applyNumberFormat="1" applyFont="1" applyFill="1" applyBorder="1" applyProtection="1">
      <protection locked="0"/>
    </xf>
    <xf numFmtId="0" fontId="5" fillId="0" borderId="9" xfId="0" applyFont="1" applyBorder="1" applyProtection="1"/>
    <xf numFmtId="49" fontId="7" fillId="0" borderId="0" xfId="0" applyNumberFormat="1" applyFont="1" applyBorder="1" applyAlignment="1" applyProtection="1">
      <alignment horizontal="left"/>
    </xf>
    <xf numFmtId="0" fontId="5" fillId="0" borderId="6" xfId="0" applyFont="1" applyBorder="1" applyProtection="1"/>
    <xf numFmtId="3" fontId="5" fillId="0" borderId="15" xfId="0" applyNumberFormat="1" applyFont="1" applyBorder="1" applyProtection="1"/>
    <xf numFmtId="0" fontId="8" fillId="0" borderId="25" xfId="0" applyFont="1" applyBorder="1" applyProtection="1"/>
    <xf numFmtId="0" fontId="5" fillId="0" borderId="28" xfId="0" applyFont="1" applyBorder="1" applyProtection="1"/>
    <xf numFmtId="3" fontId="5" fillId="0" borderId="8" xfId="0" applyNumberFormat="1" applyFont="1" applyBorder="1" applyProtection="1"/>
    <xf numFmtId="3" fontId="5" fillId="0" borderId="0" xfId="0" applyNumberFormat="1" applyFont="1" applyBorder="1" applyProtection="1"/>
    <xf numFmtId="3" fontId="5" fillId="0" borderId="11" xfId="0" applyNumberFormat="1" applyFont="1" applyBorder="1" applyProtection="1"/>
    <xf numFmtId="3" fontId="5" fillId="0" borderId="29" xfId="0" applyNumberFormat="1" applyFont="1" applyBorder="1" applyProtection="1"/>
    <xf numFmtId="0" fontId="8" fillId="0" borderId="23" xfId="0" applyFont="1" applyBorder="1" applyProtection="1"/>
    <xf numFmtId="3" fontId="5" fillId="0" borderId="30" xfId="0" applyNumberFormat="1" applyFont="1" applyBorder="1" applyProtection="1"/>
    <xf numFmtId="0" fontId="6" fillId="0" borderId="22" xfId="0" applyFont="1" applyBorder="1" applyProtection="1"/>
    <xf numFmtId="49" fontId="6" fillId="0" borderId="4" xfId="0" applyNumberFormat="1" applyFont="1" applyBorder="1" applyAlignment="1" applyProtection="1">
      <alignment horizontal="left"/>
    </xf>
    <xf numFmtId="49" fontId="8" fillId="0" borderId="3" xfId="0" applyNumberFormat="1" applyFont="1" applyBorder="1" applyAlignment="1" applyProtection="1">
      <alignment horizontal="left"/>
    </xf>
    <xf numFmtId="0" fontId="13" fillId="0" borderId="3" xfId="0" applyFont="1" applyBorder="1" applyAlignment="1" applyProtection="1">
      <alignment horizontal="center" vertical="center" wrapText="1"/>
    </xf>
    <xf numFmtId="0" fontId="13" fillId="0" borderId="3" xfId="0" applyFont="1" applyBorder="1" applyAlignment="1" applyProtection="1">
      <alignment horizontal="left"/>
    </xf>
    <xf numFmtId="0" fontId="1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wrapText="1"/>
    </xf>
    <xf numFmtId="49" fontId="8" fillId="0" borderId="3" xfId="0" quotePrefix="1" applyNumberFormat="1" applyFont="1" applyBorder="1" applyAlignment="1" applyProtection="1">
      <alignment horizontal="left" vertical="center"/>
    </xf>
    <xf numFmtId="49" fontId="8" fillId="0" borderId="22" xfId="0" applyNumberFormat="1" applyFont="1" applyBorder="1" applyAlignment="1" applyProtection="1">
      <alignment horizontal="left" wrapText="1"/>
    </xf>
    <xf numFmtId="3" fontId="5" fillId="0" borderId="1" xfId="0" applyNumberFormat="1" applyFont="1" applyBorder="1" applyAlignment="1" applyProtection="1">
      <alignment horizontal="center" wrapText="1"/>
    </xf>
    <xf numFmtId="49" fontId="5" fillId="0" borderId="12" xfId="0" applyNumberFormat="1" applyFont="1" applyBorder="1" applyAlignment="1" applyProtection="1">
      <alignment horizontal="left"/>
    </xf>
    <xf numFmtId="49" fontId="8" fillId="0" borderId="12" xfId="0" applyNumberFormat="1" applyFont="1" applyBorder="1" applyAlignment="1" applyProtection="1">
      <alignment horizontal="left"/>
    </xf>
    <xf numFmtId="3" fontId="5" fillId="0" borderId="13" xfId="0" applyNumberFormat="1" applyFont="1" applyBorder="1" applyProtection="1"/>
    <xf numFmtId="0" fontId="8" fillId="0" borderId="1" xfId="0" applyFont="1" applyBorder="1" applyProtection="1"/>
    <xf numFmtId="3" fontId="5" fillId="0" borderId="14" xfId="0" applyNumberFormat="1" applyFont="1" applyBorder="1" applyProtection="1"/>
    <xf numFmtId="49" fontId="8" fillId="0" borderId="3" xfId="0" applyNumberFormat="1" applyFont="1" applyBorder="1" applyAlignment="1" applyProtection="1">
      <alignment horizontal="left" vertical="top"/>
    </xf>
    <xf numFmtId="37" fontId="5" fillId="0" borderId="14" xfId="0" applyNumberFormat="1" applyFont="1" applyBorder="1" applyProtection="1"/>
    <xf numFmtId="37" fontId="8" fillId="0" borderId="30" xfId="0" applyNumberFormat="1" applyFont="1" applyBorder="1" applyProtection="1"/>
    <xf numFmtId="37" fontId="5" fillId="0" borderId="11" xfId="0" applyNumberFormat="1" applyFont="1" applyBorder="1" applyProtection="1"/>
    <xf numFmtId="3" fontId="8" fillId="0" borderId="23" xfId="0" applyNumberFormat="1" applyFont="1" applyBorder="1" applyProtection="1"/>
    <xf numFmtId="49" fontId="8" fillId="0" borderId="31" xfId="0" applyNumberFormat="1" applyFont="1" applyBorder="1" applyAlignment="1" applyProtection="1">
      <alignment horizontal="left" vertical="top"/>
    </xf>
    <xf numFmtId="49" fontId="5" fillId="0" borderId="31" xfId="0" applyNumberFormat="1" applyFont="1" applyBorder="1" applyAlignment="1" applyProtection="1">
      <alignment horizontal="left"/>
    </xf>
    <xf numFmtId="3" fontId="5" fillId="0" borderId="32" xfId="0" applyNumberFormat="1" applyFont="1" applyBorder="1" applyProtection="1"/>
    <xf numFmtId="49" fontId="8" fillId="0" borderId="31" xfId="0" applyNumberFormat="1" applyFont="1" applyBorder="1" applyAlignment="1" applyProtection="1">
      <alignment horizontal="left"/>
    </xf>
    <xf numFmtId="0" fontId="5" fillId="0" borderId="32" xfId="0" applyFont="1" applyBorder="1" applyProtection="1"/>
    <xf numFmtId="3" fontId="8" fillId="0" borderId="32" xfId="0" applyNumberFormat="1" applyFont="1" applyBorder="1" applyProtection="1"/>
    <xf numFmtId="0" fontId="8" fillId="0" borderId="32" xfId="0" applyFont="1" applyBorder="1" applyAlignment="1" applyProtection="1">
      <alignment horizontal="center" wrapText="1"/>
    </xf>
    <xf numFmtId="3" fontId="5" fillId="0" borderId="32" xfId="0" applyNumberFormat="1" applyFont="1" applyBorder="1" applyAlignment="1" applyProtection="1">
      <alignment horizontal="center" wrapText="1"/>
    </xf>
    <xf numFmtId="164" fontId="5" fillId="0" borderId="10" xfId="0" applyNumberFormat="1" applyFont="1" applyBorder="1" applyAlignment="1" applyProtection="1">
      <alignment horizontal="center"/>
      <protection hidden="1"/>
    </xf>
    <xf numFmtId="164" fontId="5" fillId="0" borderId="21" xfId="0" applyNumberFormat="1" applyFont="1" applyBorder="1" applyAlignment="1" applyProtection="1">
      <alignment horizontal="center"/>
      <protection hidden="1"/>
    </xf>
    <xf numFmtId="0" fontId="5" fillId="0" borderId="9" xfId="0" applyFont="1" applyBorder="1" applyProtection="1">
      <protection hidden="1"/>
    </xf>
    <xf numFmtId="0" fontId="5" fillId="0" borderId="8" xfId="0" applyFont="1" applyBorder="1" applyAlignment="1" applyProtection="1">
      <alignment horizontal="center" wrapText="1"/>
      <protection hidden="1"/>
    </xf>
    <xf numFmtId="0" fontId="5" fillId="0" borderId="9" xfId="0" applyFont="1" applyBorder="1" applyAlignment="1" applyProtection="1">
      <alignment wrapText="1"/>
      <protection hidden="1"/>
    </xf>
    <xf numFmtId="0" fontId="5" fillId="0" borderId="9" xfId="0" applyFont="1" applyBorder="1" applyAlignment="1" applyProtection="1">
      <alignment horizontal="center" wrapText="1"/>
      <protection hidden="1"/>
    </xf>
    <xf numFmtId="0" fontId="5" fillId="0" borderId="11" xfId="0" applyFont="1" applyBorder="1" applyAlignment="1" applyProtection="1">
      <alignment horizontal="center" wrapText="1"/>
      <protection hidden="1"/>
    </xf>
    <xf numFmtId="0" fontId="5" fillId="0" borderId="8" xfId="0" applyFont="1" applyBorder="1" applyProtection="1">
      <protection hidden="1"/>
    </xf>
    <xf numFmtId="0" fontId="5" fillId="0" borderId="10" xfId="0" applyFont="1" applyBorder="1" applyAlignment="1" applyProtection="1">
      <alignment wrapText="1"/>
      <protection hidden="1"/>
    </xf>
    <xf numFmtId="3" fontId="8" fillId="0" borderId="0" xfId="0" applyNumberFormat="1" applyFont="1" applyBorder="1" applyProtection="1"/>
    <xf numFmtId="49" fontId="8" fillId="0" borderId="33" xfId="0" applyNumberFormat="1" applyFont="1" applyBorder="1" applyAlignment="1" applyProtection="1">
      <alignment horizontal="left"/>
    </xf>
    <xf numFmtId="49" fontId="5" fillId="0" borderId="33" xfId="0" applyNumberFormat="1" applyFont="1" applyBorder="1" applyAlignment="1" applyProtection="1">
      <alignment horizontal="left"/>
    </xf>
    <xf numFmtId="0" fontId="5" fillId="0" borderId="33" xfId="0" applyFont="1" applyBorder="1" applyProtection="1"/>
    <xf numFmtId="0" fontId="8" fillId="0" borderId="27" xfId="0" applyFont="1" applyBorder="1" applyProtection="1"/>
    <xf numFmtId="0" fontId="8" fillId="0" borderId="0" xfId="0" applyFont="1" applyBorder="1" applyProtection="1"/>
    <xf numFmtId="49" fontId="6" fillId="0" borderId="27" xfId="0" applyNumberFormat="1" applyFont="1" applyBorder="1" applyAlignment="1" applyProtection="1">
      <alignment horizontal="left"/>
    </xf>
    <xf numFmtId="0" fontId="5" fillId="0" borderId="11" xfId="0" applyFont="1" applyBorder="1" applyProtection="1"/>
    <xf numFmtId="3" fontId="5" fillId="3" borderId="11" xfId="0" applyNumberFormat="1" applyFont="1" applyFill="1" applyBorder="1" applyProtection="1">
      <protection locked="0"/>
    </xf>
    <xf numFmtId="3" fontId="5" fillId="3" borderId="8" xfId="0" applyNumberFormat="1" applyFont="1" applyFill="1" applyBorder="1" applyProtection="1">
      <protection locked="0"/>
    </xf>
    <xf numFmtId="3" fontId="5" fillId="3" borderId="32" xfId="0" applyNumberFormat="1" applyFont="1" applyFill="1" applyBorder="1" applyAlignment="1" applyProtection="1">
      <alignment horizontal="center" wrapText="1"/>
      <protection locked="0"/>
    </xf>
    <xf numFmtId="3" fontId="5" fillId="3" borderId="32" xfId="0" applyNumberFormat="1" applyFont="1" applyFill="1" applyBorder="1" applyProtection="1">
      <protection locked="0"/>
    </xf>
    <xf numFmtId="37" fontId="5" fillId="0" borderId="13" xfId="0" applyNumberFormat="1" applyFont="1" applyBorder="1" applyAlignment="1" applyProtection="1">
      <alignment horizontal="center" wrapText="1"/>
    </xf>
    <xf numFmtId="0" fontId="5" fillId="0" borderId="34" xfId="0" applyFont="1" applyBorder="1" applyProtection="1"/>
    <xf numFmtId="3" fontId="5" fillId="0" borderId="6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1" xfId="0" applyNumberFormat="1" applyFont="1" applyFill="1" applyBorder="1" applyProtection="1"/>
    <xf numFmtId="3" fontId="5" fillId="4" borderId="1" xfId="0" applyNumberFormat="1" applyFont="1" applyFill="1" applyBorder="1" applyProtection="1"/>
    <xf numFmtId="3" fontId="5" fillId="4" borderId="22" xfId="0" applyNumberFormat="1" applyFont="1" applyFill="1" applyBorder="1" applyProtection="1"/>
    <xf numFmtId="0" fontId="5" fillId="0" borderId="16" xfId="0" applyFont="1" applyBorder="1" applyProtection="1"/>
    <xf numFmtId="3" fontId="5" fillId="0" borderId="20" xfId="0" applyNumberFormat="1" applyFont="1" applyFill="1" applyBorder="1" applyProtection="1"/>
    <xf numFmtId="3" fontId="5" fillId="0" borderId="3" xfId="0" applyNumberFormat="1" applyFont="1" applyFill="1" applyBorder="1" applyProtection="1"/>
    <xf numFmtId="0" fontId="5" fillId="0" borderId="1" xfId="0" applyFont="1" applyBorder="1" applyAlignment="1" applyProtection="1">
      <alignment horizontal="left"/>
    </xf>
    <xf numFmtId="0" fontId="8" fillId="0" borderId="35" xfId="0" applyFont="1" applyBorder="1" applyAlignment="1" applyProtection="1">
      <alignment horizontal="left"/>
    </xf>
    <xf numFmtId="3" fontId="5" fillId="0" borderId="35" xfId="0" applyNumberFormat="1" applyFont="1" applyBorder="1" applyProtection="1"/>
    <xf numFmtId="3" fontId="5" fillId="0" borderId="36" xfId="0" applyNumberFormat="1" applyFont="1" applyBorder="1" applyProtection="1"/>
    <xf numFmtId="0" fontId="5" fillId="0" borderId="0" xfId="0" applyFont="1" applyAlignment="1" applyProtection="1">
      <alignment horizontal="left"/>
    </xf>
    <xf numFmtId="3" fontId="5" fillId="0" borderId="6" xfId="0" applyNumberFormat="1" applyFont="1" applyFill="1" applyBorder="1" applyAlignment="1" applyProtection="1">
      <alignment horizontal="right"/>
    </xf>
    <xf numFmtId="3" fontId="5" fillId="0" borderId="22" xfId="0" applyNumberFormat="1" applyFont="1" applyFill="1" applyBorder="1" applyAlignment="1" applyProtection="1">
      <alignment horizontal="right"/>
    </xf>
    <xf numFmtId="3" fontId="5" fillId="0" borderId="1" xfId="0" applyNumberFormat="1" applyFont="1" applyFill="1" applyBorder="1" applyAlignment="1" applyProtection="1">
      <alignment horizontal="right"/>
    </xf>
    <xf numFmtId="3" fontId="5" fillId="4" borderId="1" xfId="0" applyNumberFormat="1" applyFont="1" applyFill="1" applyBorder="1" applyAlignment="1" applyProtection="1">
      <alignment horizontal="right"/>
    </xf>
    <xf numFmtId="37" fontId="5" fillId="0" borderId="6" xfId="0" applyNumberFormat="1" applyFont="1" applyBorder="1" applyAlignment="1" applyProtection="1">
      <alignment horizontal="right"/>
    </xf>
    <xf numFmtId="49" fontId="5" fillId="0" borderId="10" xfId="0" applyNumberFormat="1" applyFont="1" applyBorder="1" applyAlignment="1" applyProtection="1">
      <alignment horizontal="center"/>
    </xf>
    <xf numFmtId="49" fontId="5" fillId="0" borderId="21" xfId="0" applyNumberFormat="1" applyFont="1" applyBorder="1" applyAlignment="1" applyProtection="1">
      <alignment horizontal="center"/>
    </xf>
    <xf numFmtId="49" fontId="5" fillId="0" borderId="20" xfId="0" applyNumberFormat="1" applyFont="1" applyBorder="1" applyAlignment="1" applyProtection="1">
      <alignment horizontal="center"/>
    </xf>
    <xf numFmtId="49" fontId="5" fillId="0" borderId="19" xfId="0" applyNumberFormat="1" applyFont="1" applyBorder="1" applyAlignment="1" applyProtection="1">
      <alignment horizontal="center"/>
    </xf>
    <xf numFmtId="49" fontId="5" fillId="0" borderId="0" xfId="0" applyNumberFormat="1" applyFont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49" fontId="5" fillId="0" borderId="18" xfId="0" applyNumberFormat="1" applyFont="1" applyBorder="1" applyAlignment="1" applyProtection="1"/>
    <xf numFmtId="49" fontId="5" fillId="0" borderId="8" xfId="0" applyNumberFormat="1" applyFont="1" applyBorder="1" applyAlignment="1" applyProtection="1"/>
    <xf numFmtId="49" fontId="5" fillId="0" borderId="9" xfId="0" applyNumberFormat="1" applyFont="1" applyBorder="1" applyAlignment="1" applyProtection="1">
      <alignment horizontal="center"/>
    </xf>
    <xf numFmtId="49" fontId="5" fillId="0" borderId="8" xfId="0" applyNumberFormat="1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center"/>
    </xf>
    <xf numFmtId="0" fontId="8" fillId="0" borderId="37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5" fillId="0" borderId="37" xfId="0" applyFont="1" applyBorder="1" applyAlignment="1" applyProtection="1">
      <alignment horizontal="center"/>
    </xf>
    <xf numFmtId="49" fontId="5" fillId="0" borderId="37" xfId="0" applyNumberFormat="1" applyFont="1" applyBorder="1" applyAlignment="1" applyProtection="1">
      <alignment horizontal="center"/>
    </xf>
    <xf numFmtId="49" fontId="5" fillId="0" borderId="35" xfId="0" applyNumberFormat="1" applyFont="1" applyBorder="1" applyAlignment="1" applyProtection="1">
      <alignment horizontal="center"/>
    </xf>
    <xf numFmtId="0" fontId="5" fillId="0" borderId="11" xfId="0" applyFont="1" applyBorder="1" applyAlignment="1" applyProtection="1">
      <alignment horizontal="center"/>
    </xf>
    <xf numFmtId="165" fontId="5" fillId="0" borderId="11" xfId="0" applyNumberFormat="1" applyFont="1" applyBorder="1" applyAlignment="1" applyProtection="1">
      <alignment horizontal="center"/>
    </xf>
    <xf numFmtId="10" fontId="5" fillId="0" borderId="11" xfId="0" applyNumberFormat="1" applyFont="1" applyBorder="1" applyAlignment="1" applyProtection="1">
      <alignment horizontal="center"/>
    </xf>
    <xf numFmtId="37" fontId="5" fillId="0" borderId="34" xfId="0" applyNumberFormat="1" applyFont="1" applyBorder="1" applyProtection="1"/>
    <xf numFmtId="0" fontId="8" fillId="0" borderId="6" xfId="0" applyFont="1" applyBorder="1" applyProtection="1"/>
    <xf numFmtId="49" fontId="5" fillId="0" borderId="0" xfId="0" applyNumberFormat="1" applyFont="1" applyBorder="1" applyAlignment="1" applyProtection="1"/>
    <xf numFmtId="0" fontId="5" fillId="0" borderId="0" xfId="0" quotePrefix="1" applyFont="1" applyBorder="1" applyAlignment="1" applyProtection="1"/>
    <xf numFmtId="0" fontId="5" fillId="0" borderId="0" xfId="0" applyFont="1" applyBorder="1" applyAlignment="1" applyProtection="1">
      <alignment horizontal="left"/>
    </xf>
    <xf numFmtId="0" fontId="5" fillId="3" borderId="6" xfId="0" applyFont="1" applyFill="1" applyBorder="1" applyProtection="1">
      <protection locked="0"/>
    </xf>
    <xf numFmtId="0" fontId="5" fillId="3" borderId="6" xfId="0" applyFont="1" applyFill="1" applyBorder="1" applyAlignment="1" applyProtection="1">
      <alignment horizontal="center"/>
      <protection locked="0"/>
    </xf>
    <xf numFmtId="165" fontId="5" fillId="3" borderId="6" xfId="0" applyNumberFormat="1" applyFont="1" applyFill="1" applyBorder="1" applyAlignment="1" applyProtection="1">
      <alignment horizontal="center"/>
      <protection locked="0"/>
    </xf>
    <xf numFmtId="10" fontId="5" fillId="3" borderId="6" xfId="0" applyNumberFormat="1" applyFont="1" applyFill="1" applyBorder="1" applyAlignment="1" applyProtection="1">
      <alignment horizontal="center"/>
      <protection locked="0"/>
    </xf>
    <xf numFmtId="0" fontId="8" fillId="0" borderId="20" xfId="0" applyFont="1" applyBorder="1" applyProtection="1"/>
    <xf numFmtId="37" fontId="8" fillId="0" borderId="20" xfId="0" applyNumberFormat="1" applyFont="1" applyBorder="1" applyProtection="1"/>
    <xf numFmtId="0" fontId="5" fillId="0" borderId="26" xfId="0" applyFont="1" applyBorder="1" applyProtection="1"/>
    <xf numFmtId="0" fontId="5" fillId="0" borderId="8" xfId="0" applyFont="1" applyFill="1" applyBorder="1" applyProtection="1"/>
    <xf numFmtId="0" fontId="8" fillId="0" borderId="8" xfId="0" applyFont="1" applyFill="1" applyBorder="1" applyAlignment="1" applyProtection="1">
      <alignment horizontal="center"/>
    </xf>
    <xf numFmtId="0" fontId="0" fillId="0" borderId="0" xfId="0" applyProtection="1"/>
    <xf numFmtId="0" fontId="9" fillId="0" borderId="0" xfId="0" applyFont="1" applyProtection="1"/>
    <xf numFmtId="0" fontId="0" fillId="0" borderId="3" xfId="0" applyBorder="1" applyProtection="1"/>
    <xf numFmtId="44" fontId="1" fillId="0" borderId="0" xfId="2" applyFont="1" applyProtection="1"/>
    <xf numFmtId="41" fontId="0" fillId="0" borderId="0" xfId="0" applyNumberFormat="1" applyProtection="1"/>
    <xf numFmtId="0" fontId="6" fillId="0" borderId="0" xfId="0" applyFont="1" applyAlignment="1" applyProtection="1">
      <alignment horizontal="right"/>
    </xf>
    <xf numFmtId="41" fontId="0" fillId="0" borderId="4" xfId="0" applyNumberFormat="1" applyBorder="1" applyProtection="1"/>
    <xf numFmtId="0" fontId="0" fillId="0" borderId="0" xfId="0" applyAlignment="1" applyProtection="1">
      <alignment horizontal="right"/>
    </xf>
    <xf numFmtId="0" fontId="0" fillId="3" borderId="3" xfId="0" applyFill="1" applyBorder="1" applyProtection="1">
      <protection locked="0"/>
    </xf>
    <xf numFmtId="41" fontId="0" fillId="3" borderId="3" xfId="0" applyNumberFormat="1" applyFill="1" applyBorder="1" applyProtection="1">
      <protection locked="0"/>
    </xf>
    <xf numFmtId="0" fontId="6" fillId="0" borderId="0" xfId="0" applyFont="1" applyProtection="1"/>
    <xf numFmtId="44" fontId="6" fillId="0" borderId="0" xfId="2" applyFont="1" applyProtection="1"/>
    <xf numFmtId="44" fontId="1" fillId="0" borderId="0" xfId="2" applyProtection="1"/>
    <xf numFmtId="44" fontId="6" fillId="0" borderId="38" xfId="2" applyFont="1" applyBorder="1" applyAlignment="1" applyProtection="1">
      <alignment horizontal="center"/>
    </xf>
    <xf numFmtId="0" fontId="0" fillId="0" borderId="38" xfId="0" applyBorder="1" applyProtection="1"/>
    <xf numFmtId="44" fontId="6" fillId="0" borderId="39" xfId="2" applyFont="1" applyBorder="1" applyAlignment="1" applyProtection="1">
      <alignment horizontal="center"/>
    </xf>
    <xf numFmtId="44" fontId="6" fillId="0" borderId="39" xfId="2" applyFont="1" applyFill="1" applyBorder="1" applyAlignment="1" applyProtection="1">
      <alignment horizontal="center"/>
    </xf>
    <xf numFmtId="0" fontId="22" fillId="0" borderId="0" xfId="0" applyFont="1" applyProtection="1"/>
    <xf numFmtId="0" fontId="6" fillId="0" borderId="8" xfId="0" applyFont="1" applyBorder="1" applyProtection="1"/>
    <xf numFmtId="44" fontId="6" fillId="0" borderId="8" xfId="2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 wrapText="1"/>
    </xf>
    <xf numFmtId="44" fontId="6" fillId="0" borderId="8" xfId="2" applyFont="1" applyFill="1" applyBorder="1" applyAlignment="1" applyProtection="1">
      <alignment horizontal="center"/>
    </xf>
    <xf numFmtId="0" fontId="6" fillId="0" borderId="0" xfId="0" applyFont="1" applyBorder="1" applyProtection="1"/>
    <xf numFmtId="0" fontId="0" fillId="0" borderId="8" xfId="0" applyBorder="1" applyProtection="1"/>
    <xf numFmtId="44" fontId="1" fillId="0" borderId="8" xfId="2" applyFont="1" applyBorder="1" applyAlignment="1" applyProtection="1">
      <alignment horizontal="center"/>
    </xf>
    <xf numFmtId="44" fontId="1" fillId="0" borderId="9" xfId="2" applyBorder="1" applyProtection="1"/>
    <xf numFmtId="0" fontId="0" fillId="0" borderId="9" xfId="0" applyBorder="1" applyProtection="1"/>
    <xf numFmtId="44" fontId="1" fillId="0" borderId="18" xfId="2" applyBorder="1" applyProtection="1"/>
    <xf numFmtId="44" fontId="0" fillId="0" borderId="9" xfId="0" applyNumberFormat="1" applyBorder="1" applyProtection="1"/>
    <xf numFmtId="44" fontId="0" fillId="0" borderId="18" xfId="0" applyNumberFormat="1" applyBorder="1" applyProtection="1"/>
    <xf numFmtId="44" fontId="1" fillId="0" borderId="9" xfId="2" applyBorder="1" applyAlignment="1" applyProtection="1"/>
    <xf numFmtId="44" fontId="1" fillId="0" borderId="18" xfId="2" applyBorder="1" applyAlignment="1" applyProtection="1"/>
    <xf numFmtId="44" fontId="0" fillId="0" borderId="11" xfId="0" applyNumberFormat="1" applyBorder="1" applyProtection="1"/>
    <xf numFmtId="44" fontId="1" fillId="0" borderId="14" xfId="2" applyBorder="1" applyAlignment="1" applyProtection="1">
      <alignment horizontal="right"/>
    </xf>
    <xf numFmtId="44" fontId="0" fillId="0" borderId="40" xfId="0" applyNumberFormat="1" applyBorder="1" applyProtection="1"/>
    <xf numFmtId="44" fontId="0" fillId="0" borderId="14" xfId="0" applyNumberFormat="1" applyBorder="1" applyProtection="1"/>
    <xf numFmtId="44" fontId="1" fillId="0" borderId="28" xfId="2" applyBorder="1" applyProtection="1"/>
    <xf numFmtId="44" fontId="1" fillId="0" borderId="41" xfId="2" applyBorder="1" applyProtection="1"/>
    <xf numFmtId="44" fontId="1" fillId="0" borderId="18" xfId="2" applyBorder="1" applyAlignment="1" applyProtection="1">
      <alignment horizontal="right"/>
    </xf>
    <xf numFmtId="44" fontId="1" fillId="0" borderId="8" xfId="2" applyBorder="1" applyProtection="1"/>
    <xf numFmtId="44" fontId="0" fillId="0" borderId="0" xfId="0" applyNumberFormat="1" applyProtection="1"/>
    <xf numFmtId="44" fontId="1" fillId="0" borderId="3" xfId="2" applyBorder="1" applyProtection="1"/>
    <xf numFmtId="44" fontId="0" fillId="0" borderId="2" xfId="0" applyNumberFormat="1" applyBorder="1" applyProtection="1"/>
    <xf numFmtId="0" fontId="0" fillId="0" borderId="0" xfId="0" applyAlignment="1" applyProtection="1">
      <alignment horizontal="left" indent="1"/>
    </xf>
    <xf numFmtId="44" fontId="0" fillId="0" borderId="22" xfId="0" applyNumberFormat="1" applyBorder="1" applyProtection="1"/>
    <xf numFmtId="44" fontId="0" fillId="0" borderId="26" xfId="0" applyNumberFormat="1" applyBorder="1" applyProtection="1"/>
    <xf numFmtId="44" fontId="0" fillId="0" borderId="6" xfId="0" applyNumberFormat="1" applyBorder="1" applyProtection="1"/>
    <xf numFmtId="44" fontId="1" fillId="0" borderId="0" xfId="2" applyBorder="1" applyProtection="1"/>
    <xf numFmtId="44" fontId="0" fillId="0" borderId="8" xfId="0" applyNumberFormat="1" applyBorder="1" applyProtection="1"/>
    <xf numFmtId="44" fontId="1" fillId="0" borderId="18" xfId="2" applyFont="1" applyBorder="1" applyProtection="1"/>
    <xf numFmtId="44" fontId="6" fillId="0" borderId="23" xfId="2" applyFont="1" applyBorder="1" applyProtection="1"/>
    <xf numFmtId="44" fontId="6" fillId="0" borderId="30" xfId="2" applyFont="1" applyBorder="1" applyProtection="1"/>
    <xf numFmtId="44" fontId="6" fillId="0" borderId="0" xfId="0" applyNumberFormat="1" applyFont="1" applyProtection="1"/>
    <xf numFmtId="44" fontId="1" fillId="0" borderId="42" xfId="2" applyBorder="1" applyProtection="1"/>
    <xf numFmtId="44" fontId="0" fillId="0" borderId="42" xfId="0" applyNumberFormat="1" applyBorder="1" applyProtection="1"/>
    <xf numFmtId="9" fontId="1" fillId="0" borderId="0" xfId="3" applyProtection="1"/>
    <xf numFmtId="9" fontId="1" fillId="0" borderId="8" xfId="3" applyBorder="1" applyProtection="1"/>
    <xf numFmtId="10" fontId="1" fillId="0" borderId="1" xfId="3" applyNumberFormat="1" applyBorder="1" applyProtection="1"/>
    <xf numFmtId="9" fontId="1" fillId="0" borderId="1" xfId="3" applyBorder="1" applyProtection="1"/>
    <xf numFmtId="44" fontId="0" fillId="0" borderId="0" xfId="0" applyNumberFormat="1" applyFill="1" applyBorder="1" applyProtection="1"/>
    <xf numFmtId="44" fontId="0" fillId="0" borderId="3" xfId="0" applyNumberFormat="1" applyBorder="1" applyProtection="1"/>
    <xf numFmtId="44" fontId="1" fillId="0" borderId="9" xfId="2" applyFont="1" applyBorder="1" applyProtection="1"/>
    <xf numFmtId="0" fontId="1" fillId="0" borderId="9" xfId="0" applyFont="1" applyBorder="1" applyProtection="1"/>
    <xf numFmtId="0" fontId="1" fillId="0" borderId="8" xfId="0" applyFont="1" applyBorder="1" applyProtection="1"/>
    <xf numFmtId="44" fontId="1" fillId="0" borderId="2" xfId="2" applyFont="1" applyBorder="1" applyProtection="1"/>
    <xf numFmtId="44" fontId="1" fillId="0" borderId="11" xfId="2" applyFont="1" applyBorder="1" applyProtection="1"/>
    <xf numFmtId="0" fontId="1" fillId="0" borderId="11" xfId="0" applyFont="1" applyBorder="1" applyProtection="1"/>
    <xf numFmtId="44" fontId="23" fillId="0" borderId="43" xfId="2" applyFont="1" applyBorder="1" applyProtection="1"/>
    <xf numFmtId="44" fontId="23" fillId="0" borderId="29" xfId="2" applyFont="1" applyBorder="1" applyProtection="1"/>
    <xf numFmtId="44" fontId="23" fillId="0" borderId="0" xfId="2" applyFont="1" applyBorder="1" applyProtection="1"/>
    <xf numFmtId="0" fontId="0" fillId="0" borderId="0" xfId="0" applyAlignment="1" applyProtection="1">
      <alignment horizontal="left"/>
    </xf>
    <xf numFmtId="44" fontId="14" fillId="0" borderId="0" xfId="2" applyFont="1" applyProtection="1"/>
    <xf numFmtId="0" fontId="14" fillId="0" borderId="0" xfId="0" applyFont="1" applyProtection="1"/>
    <xf numFmtId="0" fontId="0" fillId="0" borderId="0" xfId="0" quotePrefix="1" applyAlignment="1" applyProtection="1">
      <alignment horizontal="right"/>
    </xf>
    <xf numFmtId="44" fontId="24" fillId="0" borderId="0" xfId="2" applyFont="1" applyProtection="1"/>
    <xf numFmtId="44" fontId="14" fillId="0" borderId="0" xfId="0" applyNumberFormat="1" applyFont="1" applyProtection="1"/>
    <xf numFmtId="6" fontId="14" fillId="0" borderId="0" xfId="2" applyNumberFormat="1" applyFont="1" applyProtection="1"/>
    <xf numFmtId="171" fontId="14" fillId="0" borderId="0" xfId="2" applyNumberFormat="1" applyFont="1" applyProtection="1"/>
    <xf numFmtId="8" fontId="0" fillId="0" borderId="0" xfId="0" applyNumberFormat="1" applyProtection="1"/>
    <xf numFmtId="171" fontId="24" fillId="0" borderId="0" xfId="2" applyNumberFormat="1" applyFont="1" applyProtection="1"/>
    <xf numFmtId="44" fontId="11" fillId="0" borderId="0" xfId="2" applyFont="1" applyProtection="1"/>
    <xf numFmtId="0" fontId="0" fillId="3" borderId="0" xfId="0" applyFill="1" applyBorder="1" applyProtection="1">
      <protection locked="0"/>
    </xf>
    <xf numFmtId="0" fontId="0" fillId="3" borderId="0" xfId="0" applyFill="1" applyProtection="1">
      <protection locked="0"/>
    </xf>
    <xf numFmtId="44" fontId="1" fillId="3" borderId="9" xfId="2" applyFill="1" applyBorder="1" applyProtection="1">
      <protection locked="0"/>
    </xf>
    <xf numFmtId="44" fontId="1" fillId="3" borderId="18" xfId="2" applyFill="1" applyBorder="1" applyProtection="1">
      <protection locked="0"/>
    </xf>
    <xf numFmtId="44" fontId="1" fillId="3" borderId="9" xfId="2" applyFill="1" applyBorder="1" applyAlignment="1" applyProtection="1">
      <protection locked="0"/>
    </xf>
    <xf numFmtId="44" fontId="1" fillId="3" borderId="18" xfId="2" applyFill="1" applyBorder="1" applyAlignment="1" applyProtection="1">
      <protection locked="0"/>
    </xf>
    <xf numFmtId="44" fontId="1" fillId="3" borderId="11" xfId="2" applyFill="1" applyBorder="1" applyAlignment="1" applyProtection="1">
      <protection locked="0"/>
    </xf>
    <xf numFmtId="44" fontId="1" fillId="3" borderId="2" xfId="2" applyFill="1" applyBorder="1" applyProtection="1">
      <protection locked="0"/>
    </xf>
    <xf numFmtId="44" fontId="1" fillId="3" borderId="2" xfId="2" applyFill="1" applyBorder="1" applyAlignment="1" applyProtection="1">
      <protection locked="0"/>
    </xf>
    <xf numFmtId="44" fontId="1" fillId="3" borderId="11" xfId="2" applyFill="1" applyBorder="1" applyProtection="1">
      <protection locked="0"/>
    </xf>
    <xf numFmtId="44" fontId="0" fillId="3" borderId="18" xfId="0" applyNumberFormat="1" applyFill="1" applyBorder="1" applyProtection="1">
      <protection locked="0"/>
    </xf>
    <xf numFmtId="44" fontId="1" fillId="3" borderId="8" xfId="2" applyFill="1" applyBorder="1" applyProtection="1">
      <protection locked="0"/>
    </xf>
    <xf numFmtId="44" fontId="1" fillId="3" borderId="1" xfId="2" applyFill="1" applyBorder="1" applyProtection="1">
      <protection locked="0"/>
    </xf>
    <xf numFmtId="44" fontId="1" fillId="3" borderId="3" xfId="2" applyFill="1" applyBorder="1" applyProtection="1">
      <protection locked="0"/>
    </xf>
    <xf numFmtId="44" fontId="0" fillId="3" borderId="2" xfId="0" applyNumberFormat="1" applyFill="1" applyBorder="1" applyProtection="1">
      <protection locked="0"/>
    </xf>
    <xf numFmtId="0" fontId="9" fillId="3" borderId="0" xfId="0" applyFont="1" applyFill="1" applyProtection="1">
      <protection locked="0"/>
    </xf>
    <xf numFmtId="44" fontId="1" fillId="3" borderId="8" xfId="2" applyFont="1" applyFill="1" applyBorder="1" applyProtection="1">
      <protection locked="0"/>
    </xf>
    <xf numFmtId="44" fontId="1" fillId="3" borderId="0" xfId="2" applyFill="1" applyBorder="1" applyProtection="1">
      <protection locked="0"/>
    </xf>
    <xf numFmtId="6" fontId="1" fillId="3" borderId="8" xfId="2" applyNumberFormat="1" applyFill="1" applyBorder="1" applyProtection="1">
      <protection locked="0"/>
    </xf>
    <xf numFmtId="44" fontId="1" fillId="3" borderId="18" xfId="2" applyFont="1" applyFill="1" applyBorder="1" applyProtection="1">
      <protection locked="0"/>
    </xf>
    <xf numFmtId="44" fontId="0" fillId="3" borderId="9" xfId="0" applyNumberFormat="1" applyFill="1" applyBorder="1" applyProtection="1">
      <protection locked="0"/>
    </xf>
    <xf numFmtId="44" fontId="0" fillId="3" borderId="8" xfId="0" applyNumberFormat="1" applyFill="1" applyBorder="1" applyProtection="1">
      <protection locked="0"/>
    </xf>
    <xf numFmtId="44" fontId="1" fillId="5" borderId="9" xfId="2" applyFont="1" applyFill="1" applyBorder="1" applyProtection="1"/>
    <xf numFmtId="44" fontId="0" fillId="0" borderId="44" xfId="0" applyNumberFormat="1" applyFill="1" applyBorder="1" applyProtection="1"/>
    <xf numFmtId="44" fontId="0" fillId="0" borderId="42" xfId="0" applyNumberFormat="1" applyFill="1" applyBorder="1" applyProtection="1"/>
    <xf numFmtId="9" fontId="1" fillId="0" borderId="11" xfId="3" applyBorder="1" applyProtection="1"/>
    <xf numFmtId="44" fontId="1" fillId="0" borderId="10" xfId="2" applyFont="1" applyBorder="1" applyProtection="1"/>
    <xf numFmtId="0" fontId="8" fillId="0" borderId="10" xfId="0" applyFont="1" applyBorder="1" applyProtection="1"/>
    <xf numFmtId="0" fontId="8" fillId="0" borderId="21" xfId="0" applyFont="1" applyBorder="1" applyProtection="1"/>
    <xf numFmtId="0" fontId="5" fillId="0" borderId="2" xfId="0" applyFont="1" applyBorder="1" applyProtection="1"/>
    <xf numFmtId="164" fontId="5" fillId="0" borderId="9" xfId="0" applyNumberFormat="1" applyFont="1" applyBorder="1" applyAlignment="1" applyProtection="1">
      <alignment horizontal="center"/>
    </xf>
    <xf numFmtId="164" fontId="5" fillId="0" borderId="8" xfId="0" applyNumberFormat="1" applyFont="1" applyBorder="1" applyAlignment="1" applyProtection="1">
      <alignment horizontal="center"/>
    </xf>
    <xf numFmtId="164" fontId="5" fillId="5" borderId="8" xfId="0" applyNumberFormat="1" applyFont="1" applyFill="1" applyBorder="1" applyAlignment="1" applyProtection="1">
      <alignment horizontal="center"/>
    </xf>
    <xf numFmtId="0" fontId="5" fillId="5" borderId="7" xfId="0" applyFont="1" applyFill="1" applyBorder="1" applyAlignment="1" applyProtection="1">
      <alignment horizontal="center"/>
    </xf>
    <xf numFmtId="0" fontId="5" fillId="5" borderId="0" xfId="0" applyFont="1" applyFill="1" applyProtection="1"/>
    <xf numFmtId="0" fontId="5" fillId="5" borderId="7" xfId="0" applyFont="1" applyFill="1" applyBorder="1" applyProtection="1"/>
    <xf numFmtId="0" fontId="5" fillId="0" borderId="45" xfId="0" applyFont="1" applyBorder="1" applyProtection="1"/>
    <xf numFmtId="0" fontId="5" fillId="5" borderId="46" xfId="0" applyFont="1" applyFill="1" applyBorder="1" applyProtection="1"/>
    <xf numFmtId="0" fontId="5" fillId="3" borderId="11" xfId="0" applyFont="1" applyFill="1" applyBorder="1" applyProtection="1">
      <protection locked="0"/>
    </xf>
    <xf numFmtId="172" fontId="5" fillId="3" borderId="6" xfId="0" quotePrefix="1" applyNumberFormat="1" applyFont="1" applyFill="1" applyBorder="1" applyAlignment="1" applyProtection="1">
      <alignment horizontal="center"/>
      <protection locked="0"/>
    </xf>
    <xf numFmtId="172" fontId="5" fillId="0" borderId="6" xfId="0" quotePrefix="1" applyNumberFormat="1" applyFont="1" applyFill="1" applyBorder="1" applyAlignment="1" applyProtection="1">
      <alignment horizontal="center"/>
    </xf>
    <xf numFmtId="172" fontId="5" fillId="0" borderId="14" xfId="0" applyNumberFormat="1" applyFont="1" applyBorder="1" applyProtection="1"/>
    <xf numFmtId="172" fontId="5" fillId="3" borderId="11" xfId="0" applyNumberFormat="1" applyFont="1" applyFill="1" applyBorder="1" applyProtection="1">
      <protection locked="0"/>
    </xf>
    <xf numFmtId="172" fontId="5" fillId="3" borderId="1" xfId="0" applyNumberFormat="1" applyFont="1" applyFill="1" applyBorder="1" applyProtection="1">
      <protection locked="0"/>
    </xf>
    <xf numFmtId="172" fontId="5" fillId="0" borderId="29" xfId="0" applyNumberFormat="1" applyFont="1" applyBorder="1" applyProtection="1"/>
    <xf numFmtId="49" fontId="8" fillId="5" borderId="0" xfId="0" applyNumberFormat="1" applyFont="1" applyFill="1" applyBorder="1" applyAlignment="1" applyProtection="1">
      <alignment horizontal="left"/>
    </xf>
    <xf numFmtId="49" fontId="5" fillId="5" borderId="0" xfId="0" applyNumberFormat="1" applyFont="1" applyFill="1" applyBorder="1" applyAlignment="1" applyProtection="1">
      <alignment horizontal="left"/>
    </xf>
    <xf numFmtId="0" fontId="8" fillId="5" borderId="0" xfId="0" applyFont="1" applyFill="1" applyBorder="1" applyAlignment="1" applyProtection="1">
      <alignment horizontal="right"/>
    </xf>
    <xf numFmtId="3" fontId="8" fillId="5" borderId="0" xfId="0" applyNumberFormat="1" applyFont="1" applyFill="1" applyBorder="1" applyProtection="1"/>
    <xf numFmtId="3" fontId="8" fillId="5" borderId="0" xfId="0" applyNumberFormat="1" applyFont="1" applyFill="1" applyBorder="1" applyAlignment="1" applyProtection="1">
      <alignment horizontal="right"/>
    </xf>
    <xf numFmtId="37" fontId="8" fillId="5" borderId="0" xfId="0" applyNumberFormat="1" applyFont="1" applyFill="1" applyProtection="1"/>
    <xf numFmtId="3" fontId="5" fillId="5" borderId="0" xfId="0" applyNumberFormat="1" applyFont="1" applyFill="1" applyBorder="1" applyAlignment="1" applyProtection="1">
      <alignment horizontal="center"/>
    </xf>
    <xf numFmtId="3" fontId="3" fillId="0" borderId="0" xfId="0" quotePrefix="1" applyNumberFormat="1" applyFont="1" applyProtection="1"/>
    <xf numFmtId="3" fontId="3" fillId="0" borderId="0" xfId="0" applyNumberFormat="1" applyFont="1" applyAlignment="1" applyProtection="1">
      <alignment horizontal="center"/>
    </xf>
    <xf numFmtId="3" fontId="3" fillId="3" borderId="3" xfId="0" applyNumberFormat="1" applyFont="1" applyFill="1" applyBorder="1" applyProtection="1">
      <protection locked="0"/>
    </xf>
    <xf numFmtId="3" fontId="3" fillId="0" borderId="0" xfId="0" applyNumberFormat="1" applyFont="1" applyProtection="1"/>
    <xf numFmtId="3" fontId="3" fillId="3" borderId="3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</xf>
    <xf numFmtId="3" fontId="3" fillId="0" borderId="0" xfId="0" applyNumberFormat="1" applyFont="1" applyBorder="1" applyProtection="1"/>
    <xf numFmtId="173" fontId="3" fillId="0" borderId="3" xfId="0" applyNumberFormat="1" applyFont="1" applyBorder="1" applyAlignment="1" applyProtection="1">
      <alignment horizontal="center"/>
    </xf>
    <xf numFmtId="173" fontId="3" fillId="3" borderId="0" xfId="0" applyNumberFormat="1" applyFont="1" applyFill="1" applyBorder="1" applyProtection="1">
      <protection locked="0"/>
    </xf>
    <xf numFmtId="173" fontId="3" fillId="3" borderId="0" xfId="1" applyNumberFormat="1" applyFont="1" applyFill="1" applyAlignment="1" applyProtection="1">
      <alignment horizontal="center"/>
      <protection locked="0"/>
    </xf>
    <xf numFmtId="173" fontId="3" fillId="0" borderId="0" xfId="1" applyNumberFormat="1" applyFont="1" applyAlignment="1" applyProtection="1">
      <alignment horizontal="center"/>
    </xf>
    <xf numFmtId="173" fontId="3" fillId="0" borderId="0" xfId="0" applyNumberFormat="1" applyFont="1" applyAlignment="1" applyProtection="1">
      <alignment horizontal="center"/>
    </xf>
    <xf numFmtId="173" fontId="3" fillId="0" borderId="0" xfId="0" applyNumberFormat="1" applyFont="1" applyProtection="1"/>
    <xf numFmtId="0" fontId="2" fillId="0" borderId="0" xfId="0" applyFont="1" applyProtection="1"/>
    <xf numFmtId="0" fontId="16" fillId="0" borderId="0" xfId="0" applyFont="1" applyProtection="1"/>
    <xf numFmtId="0" fontId="8" fillId="0" borderId="0" xfId="0" applyFont="1" applyAlignment="1" applyProtection="1">
      <alignment horizontal="center"/>
    </xf>
    <xf numFmtId="0" fontId="5" fillId="3" borderId="8" xfId="0" applyFont="1" applyFill="1" applyBorder="1" applyProtection="1">
      <protection locked="0"/>
    </xf>
    <xf numFmtId="0" fontId="8" fillId="0" borderId="16" xfId="0" applyFont="1" applyBorder="1" applyProtection="1"/>
    <xf numFmtId="41" fontId="5" fillId="0" borderId="10" xfId="0" applyNumberFormat="1" applyFont="1" applyBorder="1" applyProtection="1"/>
    <xf numFmtId="41" fontId="5" fillId="0" borderId="11" xfId="0" applyNumberFormat="1" applyFont="1" applyBorder="1" applyProtection="1"/>
    <xf numFmtId="168" fontId="5" fillId="0" borderId="11" xfId="0" applyNumberFormat="1" applyFont="1" applyBorder="1" applyAlignment="1" applyProtection="1">
      <alignment horizontal="center" wrapText="1"/>
      <protection hidden="1"/>
    </xf>
    <xf numFmtId="164" fontId="5" fillId="0" borderId="19" xfId="0" applyNumberFormat="1" applyFont="1" applyBorder="1" applyAlignment="1" applyProtection="1">
      <alignment horizontal="center"/>
      <protection hidden="1"/>
    </xf>
    <xf numFmtId="3" fontId="5" fillId="0" borderId="11" xfId="0" applyNumberFormat="1" applyFont="1" applyFill="1" applyBorder="1" applyProtection="1"/>
    <xf numFmtId="37" fontId="5" fillId="3" borderId="11" xfId="0" applyNumberFormat="1" applyFont="1" applyFill="1" applyBorder="1" applyProtection="1">
      <protection locked="0"/>
    </xf>
    <xf numFmtId="37" fontId="5" fillId="0" borderId="22" xfId="0" applyNumberFormat="1" applyFont="1" applyBorder="1" applyProtection="1"/>
    <xf numFmtId="49" fontId="5" fillId="0" borderId="22" xfId="0" applyNumberFormat="1" applyFont="1" applyBorder="1" applyAlignment="1" applyProtection="1">
      <alignment horizontal="left"/>
    </xf>
    <xf numFmtId="3" fontId="5" fillId="0" borderId="9" xfId="0" applyNumberFormat="1" applyFont="1" applyFill="1" applyBorder="1" applyProtection="1"/>
    <xf numFmtId="3" fontId="5" fillId="0" borderId="8" xfId="0" applyNumberFormat="1" applyFont="1" applyFill="1" applyBorder="1" applyProtection="1"/>
    <xf numFmtId="3" fontId="5" fillId="3" borderId="10" xfId="0" applyNumberFormat="1" applyFont="1" applyFill="1" applyBorder="1" applyProtection="1">
      <protection locked="0"/>
    </xf>
    <xf numFmtId="3" fontId="5" fillId="3" borderId="21" xfId="0" applyNumberFormat="1" applyFont="1" applyFill="1" applyBorder="1" applyProtection="1">
      <protection locked="0"/>
    </xf>
    <xf numFmtId="0" fontId="5" fillId="0" borderId="31" xfId="0" applyFont="1" applyBorder="1" applyProtection="1"/>
    <xf numFmtId="3" fontId="5" fillId="0" borderId="47" xfId="0" applyNumberFormat="1" applyFont="1" applyBorder="1" applyProtection="1"/>
    <xf numFmtId="49" fontId="5" fillId="0" borderId="27" xfId="0" applyNumberFormat="1" applyFont="1" applyBorder="1" applyProtection="1"/>
    <xf numFmtId="0" fontId="5" fillId="0" borderId="27" xfId="0" applyFont="1" applyBorder="1" applyProtection="1"/>
    <xf numFmtId="0" fontId="5" fillId="0" borderId="0" xfId="0" applyNumberFormat="1" applyFont="1" applyBorder="1" applyProtection="1"/>
    <xf numFmtId="49" fontId="5" fillId="5" borderId="0" xfId="0" applyNumberFormat="1" applyFont="1" applyFill="1" applyAlignment="1" applyProtection="1">
      <alignment horizontal="left"/>
    </xf>
    <xf numFmtId="0" fontId="5" fillId="5" borderId="0" xfId="0" applyFont="1" applyFill="1" applyAlignment="1" applyProtection="1">
      <alignment horizontal="right"/>
    </xf>
    <xf numFmtId="37" fontId="5" fillId="5" borderId="0" xfId="0" applyNumberFormat="1" applyFont="1" applyFill="1" applyProtection="1"/>
    <xf numFmtId="49" fontId="8" fillId="0" borderId="26" xfId="0" applyNumberFormat="1" applyFont="1" applyBorder="1" applyAlignment="1" applyProtection="1">
      <alignment horizontal="left"/>
    </xf>
    <xf numFmtId="4" fontId="5" fillId="0" borderId="21" xfId="0" applyNumberFormat="1" applyFont="1" applyBorder="1" applyProtection="1"/>
    <xf numFmtId="49" fontId="5" fillId="0" borderId="2" xfId="0" applyNumberFormat="1" applyFont="1" applyBorder="1" applyAlignment="1" applyProtection="1">
      <alignment horizontal="left"/>
    </xf>
    <xf numFmtId="49" fontId="8" fillId="0" borderId="48" xfId="0" applyNumberFormat="1" applyFont="1" applyBorder="1" applyAlignment="1" applyProtection="1">
      <alignment horizontal="left"/>
    </xf>
    <xf numFmtId="49" fontId="8" fillId="0" borderId="41" xfId="0" applyNumberFormat="1" applyFont="1" applyBorder="1" applyAlignment="1" applyProtection="1">
      <alignment horizontal="left"/>
    </xf>
    <xf numFmtId="49" fontId="8" fillId="0" borderId="26" xfId="0" applyNumberFormat="1" applyFont="1" applyBorder="1" applyProtection="1"/>
    <xf numFmtId="49" fontId="5" fillId="0" borderId="26" xfId="0" applyNumberFormat="1" applyFont="1" applyBorder="1" applyProtection="1"/>
    <xf numFmtId="49" fontId="5" fillId="0" borderId="2" xfId="0" applyNumberFormat="1" applyFont="1" applyBorder="1" applyProtection="1"/>
    <xf numFmtId="49" fontId="8" fillId="0" borderId="48" xfId="0" applyNumberFormat="1" applyFont="1" applyBorder="1" applyProtection="1"/>
    <xf numFmtId="49" fontId="8" fillId="0" borderId="2" xfId="0" applyNumberFormat="1" applyFont="1" applyBorder="1" applyProtection="1"/>
    <xf numFmtId="49" fontId="8" fillId="0" borderId="40" xfId="0" applyNumberFormat="1" applyFont="1" applyBorder="1" applyProtection="1"/>
    <xf numFmtId="41" fontId="5" fillId="0" borderId="21" xfId="0" applyNumberFormat="1" applyFont="1" applyBorder="1" applyProtection="1"/>
    <xf numFmtId="49" fontId="5" fillId="0" borderId="19" xfId="0" applyNumberFormat="1" applyFont="1" applyBorder="1" applyAlignment="1" applyProtection="1">
      <alignment horizontal="left"/>
    </xf>
    <xf numFmtId="49" fontId="8" fillId="0" borderId="43" xfId="0" applyNumberFormat="1" applyFont="1" applyBorder="1" applyAlignment="1" applyProtection="1">
      <alignment horizontal="left"/>
    </xf>
    <xf numFmtId="49" fontId="8" fillId="0" borderId="18" xfId="0" applyNumberFormat="1" applyFont="1" applyBorder="1" applyAlignment="1" applyProtection="1">
      <alignment horizontal="left"/>
    </xf>
    <xf numFmtId="49" fontId="5" fillId="0" borderId="43" xfId="0" applyNumberFormat="1" applyFont="1" applyBorder="1" applyAlignment="1" applyProtection="1">
      <alignment horizontal="left"/>
    </xf>
    <xf numFmtId="49" fontId="8" fillId="0" borderId="49" xfId="0" applyNumberFormat="1" applyFont="1" applyBorder="1" applyAlignment="1" applyProtection="1">
      <alignment horizontal="left"/>
    </xf>
    <xf numFmtId="5" fontId="5" fillId="3" borderId="6" xfId="2" applyNumberFormat="1" applyFont="1" applyFill="1" applyBorder="1" applyProtection="1">
      <protection locked="0"/>
    </xf>
    <xf numFmtId="5" fontId="5" fillId="3" borderId="1" xfId="2" applyNumberFormat="1" applyFont="1" applyFill="1" applyBorder="1" applyProtection="1">
      <protection locked="0"/>
    </xf>
    <xf numFmtId="5" fontId="5" fillId="0" borderId="1" xfId="2" applyNumberFormat="1" applyFont="1" applyBorder="1" applyProtection="1"/>
    <xf numFmtId="5" fontId="8" fillId="0" borderId="6" xfId="0" applyNumberFormat="1" applyFont="1" applyBorder="1" applyProtection="1"/>
    <xf numFmtId="5" fontId="8" fillId="0" borderId="1" xfId="0" applyNumberFormat="1" applyFont="1" applyBorder="1" applyProtection="1"/>
    <xf numFmtId="0" fontId="8" fillId="0" borderId="21" xfId="0" applyFont="1" applyBorder="1" applyAlignment="1" applyProtection="1">
      <alignment horizontal="center"/>
    </xf>
    <xf numFmtId="168" fontId="5" fillId="0" borderId="11" xfId="0" applyNumberFormat="1" applyFont="1" applyBorder="1" applyAlignment="1" applyProtection="1">
      <alignment horizontal="center" wrapText="1"/>
    </xf>
    <xf numFmtId="4" fontId="5" fillId="0" borderId="9" xfId="0" applyNumberFormat="1" applyFont="1" applyBorder="1" applyProtection="1"/>
    <xf numFmtId="41" fontId="5" fillId="0" borderId="42" xfId="0" applyNumberFormat="1" applyFont="1" applyBorder="1" applyProtection="1"/>
    <xf numFmtId="37" fontId="5" fillId="0" borderId="9" xfId="0" applyNumberFormat="1" applyFont="1" applyBorder="1" applyProtection="1"/>
    <xf numFmtId="49" fontId="5" fillId="0" borderId="18" xfId="0" applyNumberFormat="1" applyFont="1" applyBorder="1" applyAlignment="1" applyProtection="1">
      <alignment horizontal="left" wrapText="1"/>
    </xf>
    <xf numFmtId="49" fontId="5" fillId="0" borderId="2" xfId="0" applyNumberFormat="1" applyFont="1" applyBorder="1" applyAlignment="1" applyProtection="1">
      <alignment horizontal="left" wrapText="1"/>
    </xf>
    <xf numFmtId="49" fontId="5" fillId="0" borderId="50" xfId="0" applyNumberFormat="1" applyFont="1" applyBorder="1" applyAlignment="1" applyProtection="1">
      <alignment horizontal="left"/>
    </xf>
    <xf numFmtId="49" fontId="5" fillId="0" borderId="18" xfId="0" applyNumberFormat="1" applyFont="1" applyBorder="1" applyAlignment="1" applyProtection="1">
      <alignment horizontal="left"/>
    </xf>
    <xf numFmtId="0" fontId="5" fillId="0" borderId="19" xfId="0" applyNumberFormat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wrapText="1"/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49" fontId="8" fillId="0" borderId="2" xfId="0" applyNumberFormat="1" applyFont="1" applyBorder="1" applyAlignment="1" applyProtection="1">
      <alignment horizontal="left"/>
    </xf>
    <xf numFmtId="49" fontId="5" fillId="0" borderId="40" xfId="0" applyNumberFormat="1" applyFont="1" applyBorder="1" applyAlignment="1" applyProtection="1">
      <alignment horizontal="left"/>
    </xf>
    <xf numFmtId="49" fontId="8" fillId="0" borderId="40" xfId="0" applyNumberFormat="1" applyFont="1" applyBorder="1" applyAlignment="1" applyProtection="1">
      <alignment horizontal="left"/>
    </xf>
    <xf numFmtId="49" fontId="8" fillId="0" borderId="48" xfId="0" applyNumberFormat="1" applyFont="1" applyBorder="1" applyAlignment="1" applyProtection="1">
      <alignment horizontal="left" vertical="top"/>
    </xf>
    <xf numFmtId="49" fontId="8" fillId="0" borderId="49" xfId="0" applyNumberFormat="1" applyFont="1" applyBorder="1" applyAlignment="1" applyProtection="1">
      <alignment horizontal="left" vertical="top"/>
    </xf>
    <xf numFmtId="49" fontId="5" fillId="0" borderId="49" xfId="0" applyNumberFormat="1" applyFont="1" applyBorder="1" applyAlignment="1" applyProtection="1">
      <alignment horizontal="left"/>
    </xf>
    <xf numFmtId="3" fontId="5" fillId="0" borderId="27" xfId="0" applyNumberFormat="1" applyFont="1" applyBorder="1" applyProtection="1"/>
    <xf numFmtId="14" fontId="3" fillId="0" borderId="0" xfId="0" applyNumberFormat="1" applyFont="1" applyBorder="1" applyAlignment="1" applyProtection="1">
      <alignment horizontal="right"/>
    </xf>
    <xf numFmtId="0" fontId="5" fillId="0" borderId="20" xfId="0" applyNumberFormat="1" applyFont="1" applyBorder="1" applyAlignment="1" applyProtection="1">
      <alignment horizontal="left"/>
    </xf>
    <xf numFmtId="0" fontId="8" fillId="0" borderId="32" xfId="0" applyFont="1" applyBorder="1" applyProtection="1"/>
    <xf numFmtId="0" fontId="5" fillId="0" borderId="47" xfId="0" applyFont="1" applyBorder="1" applyProtection="1"/>
    <xf numFmtId="3" fontId="5" fillId="0" borderId="33" xfId="0" applyNumberFormat="1" applyFont="1" applyBorder="1" applyProtection="1"/>
    <xf numFmtId="37" fontId="5" fillId="0" borderId="33" xfId="0" applyNumberFormat="1" applyFont="1" applyBorder="1" applyProtection="1"/>
    <xf numFmtId="0" fontId="8" fillId="0" borderId="51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3" fontId="5" fillId="0" borderId="21" xfId="0" applyNumberFormat="1" applyFont="1" applyBorder="1" applyProtection="1"/>
    <xf numFmtId="0" fontId="5" fillId="0" borderId="2" xfId="0" quotePrefix="1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 vertical="top"/>
    </xf>
    <xf numFmtId="0" fontId="5" fillId="0" borderId="52" xfId="0" applyFont="1" applyBorder="1" applyAlignment="1" applyProtection="1">
      <alignment horizontal="left"/>
    </xf>
    <xf numFmtId="3" fontId="5" fillId="0" borderId="22" xfId="0" applyNumberFormat="1" applyFont="1" applyBorder="1" applyAlignment="1" applyProtection="1">
      <alignment horizontal="right"/>
    </xf>
    <xf numFmtId="0" fontId="8" fillId="0" borderId="53" xfId="0" applyFont="1" applyBorder="1" applyAlignment="1" applyProtection="1">
      <alignment horizontal="left"/>
    </xf>
    <xf numFmtId="0" fontId="5" fillId="0" borderId="54" xfId="0" applyFont="1" applyBorder="1" applyProtection="1"/>
    <xf numFmtId="3" fontId="5" fillId="0" borderId="54" xfId="0" applyNumberFormat="1" applyFont="1" applyBorder="1" applyProtection="1"/>
    <xf numFmtId="0" fontId="8" fillId="0" borderId="55" xfId="0" applyFont="1" applyBorder="1" applyAlignment="1" applyProtection="1">
      <alignment horizontal="left"/>
    </xf>
    <xf numFmtId="0" fontId="5" fillId="0" borderId="56" xfId="0" applyFont="1" applyBorder="1" applyProtection="1"/>
    <xf numFmtId="0" fontId="5" fillId="0" borderId="19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18" xfId="0" applyFont="1" applyBorder="1" applyProtection="1"/>
    <xf numFmtId="0" fontId="5" fillId="0" borderId="18" xfId="0" applyFont="1" applyBorder="1" applyAlignment="1" applyProtection="1">
      <alignment wrapText="1"/>
    </xf>
    <xf numFmtId="4" fontId="5" fillId="0" borderId="10" xfId="0" applyNumberFormat="1" applyFont="1" applyBorder="1" applyProtection="1"/>
    <xf numFmtId="37" fontId="5" fillId="0" borderId="30" xfId="0" applyNumberFormat="1" applyFont="1" applyBorder="1" applyProtection="1"/>
    <xf numFmtId="41" fontId="5" fillId="0" borderId="9" xfId="0" applyNumberFormat="1" applyFont="1" applyBorder="1" applyProtection="1"/>
    <xf numFmtId="49" fontId="8" fillId="0" borderId="27" xfId="0" applyNumberFormat="1" applyFont="1" applyBorder="1" applyProtection="1"/>
    <xf numFmtId="49" fontId="5" fillId="0" borderId="21" xfId="0" applyNumberFormat="1" applyFont="1" applyBorder="1" applyAlignment="1" applyProtection="1">
      <alignment horizontal="left"/>
    </xf>
    <xf numFmtId="49" fontId="7" fillId="0" borderId="3" xfId="0" applyNumberFormat="1" applyFont="1" applyBorder="1" applyAlignment="1" applyProtection="1">
      <alignment horizontal="left"/>
    </xf>
    <xf numFmtId="0" fontId="8" fillId="0" borderId="2" xfId="0" applyFont="1" applyBorder="1" applyProtection="1"/>
    <xf numFmtId="0" fontId="8" fillId="0" borderId="18" xfId="0" applyFont="1" applyFill="1" applyBorder="1" applyProtection="1"/>
    <xf numFmtId="0" fontId="5" fillId="0" borderId="40" xfId="0" applyFont="1" applyBorder="1" applyProtection="1"/>
    <xf numFmtId="0" fontId="8" fillId="0" borderId="26" xfId="0" applyFont="1" applyBorder="1" applyProtection="1"/>
    <xf numFmtId="0" fontId="8" fillId="0" borderId="22" xfId="0" applyFont="1" applyBorder="1" applyAlignment="1" applyProtection="1">
      <alignment horizontal="center" wrapText="1"/>
    </xf>
    <xf numFmtId="0" fontId="5" fillId="0" borderId="43" xfId="0" applyFont="1" applyBorder="1" applyProtection="1"/>
    <xf numFmtId="0" fontId="8" fillId="0" borderId="57" xfId="0" applyFont="1" applyBorder="1" applyProtection="1"/>
    <xf numFmtId="0" fontId="5" fillId="3" borderId="9" xfId="0" applyFont="1" applyFill="1" applyBorder="1" applyProtection="1">
      <protection locked="0"/>
    </xf>
    <xf numFmtId="0" fontId="8" fillId="0" borderId="37" xfId="0" applyFont="1" applyBorder="1" applyProtection="1"/>
    <xf numFmtId="0" fontId="8" fillId="0" borderId="45" xfId="0" applyFont="1" applyBorder="1" applyProtection="1"/>
    <xf numFmtId="0" fontId="3" fillId="0" borderId="20" xfId="0" applyFont="1" applyBorder="1" applyAlignment="1" applyProtection="1"/>
    <xf numFmtId="0" fontId="12" fillId="0" borderId="20" xfId="0" applyFont="1" applyBorder="1" applyAlignment="1" applyProtection="1"/>
    <xf numFmtId="0" fontId="12" fillId="6" borderId="3" xfId="0" applyFont="1" applyFill="1" applyBorder="1" applyProtection="1">
      <protection locked="0"/>
    </xf>
    <xf numFmtId="0" fontId="9" fillId="0" borderId="0" xfId="0" applyFont="1"/>
    <xf numFmtId="0" fontId="3" fillId="0" borderId="18" xfId="0" applyFont="1" applyBorder="1" applyProtection="1"/>
    <xf numFmtId="3" fontId="3" fillId="3" borderId="2" xfId="0" applyNumberFormat="1" applyFont="1" applyFill="1" applyBorder="1" applyProtection="1">
      <protection locked="0"/>
    </xf>
    <xf numFmtId="3" fontId="3" fillId="0" borderId="18" xfId="0" applyNumberFormat="1" applyFont="1" applyBorder="1" applyProtection="1"/>
    <xf numFmtId="3" fontId="3" fillId="0" borderId="18" xfId="0" applyNumberFormat="1" applyFont="1" applyBorder="1" applyAlignment="1" applyProtection="1">
      <alignment horizontal="center"/>
    </xf>
    <xf numFmtId="14" fontId="12" fillId="0" borderId="0" xfId="0" applyNumberFormat="1" applyFont="1" applyBorder="1" applyProtection="1"/>
    <xf numFmtId="0" fontId="27" fillId="0" borderId="3" xfId="0" applyNumberFormat="1" applyFont="1" applyBorder="1" applyAlignment="1" applyProtection="1">
      <alignment horizontal="left"/>
    </xf>
    <xf numFmtId="0" fontId="27" fillId="0" borderId="3" xfId="0" applyFont="1" applyBorder="1" applyProtection="1"/>
    <xf numFmtId="0" fontId="5" fillId="0" borderId="0" xfId="0" applyFont="1" applyAlignment="1" applyProtection="1">
      <alignment horizontal="right"/>
    </xf>
    <xf numFmtId="0" fontId="5" fillId="0" borderId="3" xfId="0" applyNumberFormat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right"/>
    </xf>
    <xf numFmtId="0" fontId="3" fillId="0" borderId="0" xfId="0" quotePrefix="1" applyFont="1" applyBorder="1" applyProtection="1"/>
    <xf numFmtId="0" fontId="8" fillId="0" borderId="2" xfId="0" applyFont="1" applyBorder="1" applyAlignment="1" applyProtection="1">
      <alignment horizontal="left"/>
    </xf>
    <xf numFmtId="37" fontId="5" fillId="0" borderId="22" xfId="0" applyNumberFormat="1" applyFont="1" applyBorder="1" applyAlignment="1" applyProtection="1">
      <alignment horizontal="center" wrapText="1"/>
    </xf>
    <xf numFmtId="37" fontId="5" fillId="0" borderId="6" xfId="0" applyNumberFormat="1" applyFont="1" applyFill="1" applyBorder="1" applyAlignment="1" applyProtection="1">
      <alignment horizontal="right"/>
    </xf>
    <xf numFmtId="0" fontId="9" fillId="0" borderId="18" xfId="0" applyFont="1" applyBorder="1" applyProtection="1"/>
    <xf numFmtId="49" fontId="1" fillId="0" borderId="0" xfId="0" applyNumberFormat="1" applyFont="1" applyBorder="1" applyAlignment="1" applyProtection="1">
      <alignment horizontal="left"/>
    </xf>
    <xf numFmtId="0" fontId="28" fillId="0" borderId="0" xfId="0" applyFont="1" applyProtection="1"/>
    <xf numFmtId="38" fontId="12" fillId="6" borderId="3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/>
    <xf numFmtId="0" fontId="12" fillId="0" borderId="0" xfId="0" applyFont="1" applyAlignment="1" applyProtection="1"/>
    <xf numFmtId="0" fontId="12" fillId="0" borderId="7" xfId="0" applyFont="1" applyBorder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2" fillId="0" borderId="0" xfId="0" applyFont="1" applyProtection="1">
      <protection locked="0"/>
    </xf>
    <xf numFmtId="0" fontId="12" fillId="0" borderId="7" xfId="0" applyFont="1" applyBorder="1" applyProtection="1">
      <protection locked="0"/>
    </xf>
    <xf numFmtId="0" fontId="13" fillId="0" borderId="0" xfId="0" applyFont="1" applyAlignment="1">
      <alignment horizontal="center"/>
    </xf>
    <xf numFmtId="0" fontId="12" fillId="0" borderId="0" xfId="0" applyFont="1" applyBorder="1" applyAlignment="1" applyProtection="1">
      <alignment horizontal="center" vertical="center"/>
    </xf>
    <xf numFmtId="0" fontId="12" fillId="6" borderId="3" xfId="0" applyFont="1" applyFill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</xf>
    <xf numFmtId="0" fontId="12" fillId="0" borderId="0" xfId="0" applyFont="1" applyAlignment="1" applyProtection="1">
      <alignment horizontal="right"/>
    </xf>
    <xf numFmtId="0" fontId="12" fillId="6" borderId="3" xfId="0" applyFont="1" applyFill="1" applyBorder="1" applyAlignment="1" applyProtection="1">
      <alignment horizontal="right"/>
      <protection locked="0"/>
    </xf>
    <xf numFmtId="38" fontId="12" fillId="6" borderId="3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12" fillId="6" borderId="3" xfId="0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</xf>
    <xf numFmtId="38" fontId="12" fillId="6" borderId="3" xfId="0" applyNumberFormat="1" applyFont="1" applyFill="1" applyBorder="1" applyAlignment="1" applyProtection="1">
      <alignment horizontal="left"/>
      <protection locked="0"/>
    </xf>
    <xf numFmtId="167" fontId="12" fillId="6" borderId="3" xfId="0" applyNumberFormat="1" applyFont="1" applyFill="1" applyBorder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left"/>
    </xf>
    <xf numFmtId="0" fontId="12" fillId="6" borderId="16" xfId="0" applyFont="1" applyFill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center"/>
    </xf>
    <xf numFmtId="0" fontId="12" fillId="0" borderId="2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5" fillId="0" borderId="18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49" fontId="8" fillId="0" borderId="31" xfId="0" applyNumberFormat="1" applyFont="1" applyBorder="1" applyAlignment="1" applyProtection="1">
      <alignment horizontal="left" wrapText="1"/>
    </xf>
    <xf numFmtId="0" fontId="8" fillId="0" borderId="32" xfId="0" applyFont="1" applyBorder="1" applyAlignment="1" applyProtection="1">
      <alignment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5" fillId="0" borderId="18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49" fontId="8" fillId="0" borderId="4" xfId="0" applyNumberFormat="1" applyFont="1" applyBorder="1" applyAlignment="1" applyProtection="1">
      <alignment horizontal="left" wrapText="1"/>
    </xf>
    <xf numFmtId="0" fontId="8" fillId="0" borderId="23" xfId="0" applyFont="1" applyBorder="1" applyAlignment="1" applyProtection="1">
      <alignment wrapText="1"/>
    </xf>
    <xf numFmtId="0" fontId="5" fillId="0" borderId="26" xfId="0" quotePrefix="1" applyFont="1" applyBorder="1" applyAlignment="1" applyProtection="1">
      <alignment horizontal="center" wrapText="1"/>
    </xf>
    <xf numFmtId="0" fontId="5" fillId="0" borderId="22" xfId="0" quotePrefix="1" applyFont="1" applyBorder="1" applyAlignment="1" applyProtection="1">
      <alignment horizontal="center" wrapText="1"/>
    </xf>
    <xf numFmtId="0" fontId="5" fillId="0" borderId="40" xfId="0" quotePrefix="1" applyFont="1" applyBorder="1" applyAlignment="1" applyProtection="1">
      <alignment horizontal="center" wrapText="1"/>
    </xf>
    <xf numFmtId="0" fontId="5" fillId="0" borderId="13" xfId="0" quotePrefix="1" applyFont="1" applyBorder="1" applyAlignment="1" applyProtection="1">
      <alignment horizontal="center" wrapText="1"/>
    </xf>
    <xf numFmtId="0" fontId="8" fillId="0" borderId="26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center"/>
    </xf>
    <xf numFmtId="0" fontId="8" fillId="0" borderId="26" xfId="0" applyFont="1" applyBorder="1" applyAlignment="1" applyProtection="1">
      <alignment horizontal="center"/>
    </xf>
    <xf numFmtId="0" fontId="8" fillId="0" borderId="22" xfId="0" applyFont="1" applyBorder="1" applyAlignment="1" applyProtection="1">
      <alignment horizontal="center"/>
    </xf>
    <xf numFmtId="0" fontId="8" fillId="0" borderId="16" xfId="0" applyFont="1" applyBorder="1" applyAlignment="1" applyProtection="1">
      <alignment horizontal="center"/>
    </xf>
    <xf numFmtId="0" fontId="8" fillId="0" borderId="20" xfId="0" applyFont="1" applyBorder="1" applyAlignment="1" applyProtection="1">
      <alignment horizontal="center"/>
    </xf>
    <xf numFmtId="0" fontId="8" fillId="0" borderId="21" xfId="0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6" fillId="0" borderId="38" xfId="0" applyFont="1" applyBorder="1" applyAlignment="1" applyProtection="1">
      <alignment horizontal="center" wrapText="1"/>
    </xf>
    <xf numFmtId="0" fontId="6" fillId="0" borderId="39" xfId="0" applyFont="1" applyBorder="1" applyAlignment="1" applyProtection="1">
      <alignment horizontal="center" wrapText="1"/>
    </xf>
    <xf numFmtId="0" fontId="6" fillId="0" borderId="0" xfId="0" applyFont="1" applyAlignment="1" applyProtection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141</xdr:row>
      <xdr:rowOff>9525</xdr:rowOff>
    </xdr:from>
    <xdr:to>
      <xdr:col>4</xdr:col>
      <xdr:colOff>85725</xdr:colOff>
      <xdr:row>143</xdr:row>
      <xdr:rowOff>0</xdr:rowOff>
    </xdr:to>
    <xdr:sp macro="" textlink="">
      <xdr:nvSpPr>
        <xdr:cNvPr id="2164" name="AutoShape 5"/>
        <xdr:cNvSpPr>
          <a:spLocks/>
        </xdr:cNvSpPr>
      </xdr:nvSpPr>
      <xdr:spPr bwMode="auto">
        <a:xfrm>
          <a:off x="2647950" y="21907500"/>
          <a:ext cx="76200" cy="304800"/>
        </a:xfrm>
        <a:prstGeom prst="rightBrace">
          <a:avLst>
            <a:gd name="adj1" fmla="val 33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295275</xdr:colOff>
          <xdr:row>0</xdr:row>
          <xdr:rowOff>0</xdr:rowOff>
        </xdr:from>
        <xdr:to>
          <xdr:col>11</xdr:col>
          <xdr:colOff>142875</xdr:colOff>
          <xdr:row>16</xdr:row>
          <xdr:rowOff>104775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0</xdr:rowOff>
        </xdr:from>
        <xdr:to>
          <xdr:col>10</xdr:col>
          <xdr:colOff>400050</xdr:colOff>
          <xdr:row>16</xdr:row>
          <xdr:rowOff>104775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Word_Document2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"/>
  <sheetViews>
    <sheetView workbookViewId="0">
      <selection activeCell="C11" sqref="C11"/>
    </sheetView>
  </sheetViews>
  <sheetFormatPr defaultRowHeight="12.75" x14ac:dyDescent="0.2"/>
  <cols>
    <col min="1" max="1" width="4.85546875" customWidth="1"/>
    <col min="10" max="10" width="15.28515625" customWidth="1"/>
  </cols>
  <sheetData>
    <row r="1" spans="1:10" ht="15.75" x14ac:dyDescent="0.25">
      <c r="A1" s="565" t="s">
        <v>579</v>
      </c>
      <c r="B1" s="565"/>
      <c r="C1" s="565"/>
      <c r="D1" s="565"/>
      <c r="E1" s="565"/>
      <c r="F1" s="565"/>
      <c r="G1" s="565"/>
      <c r="H1" s="565"/>
      <c r="I1" s="565"/>
      <c r="J1" s="565"/>
    </row>
    <row r="3" spans="1:10" x14ac:dyDescent="0.2">
      <c r="A3" s="431" t="s">
        <v>732</v>
      </c>
      <c r="B3" s="66"/>
      <c r="C3" s="69"/>
      <c r="D3" s="69"/>
    </row>
    <row r="4" spans="1:10" x14ac:dyDescent="0.2">
      <c r="A4" s="66"/>
      <c r="B4" s="66"/>
      <c r="C4" s="69"/>
      <c r="D4" s="69"/>
    </row>
    <row r="5" spans="1:10" x14ac:dyDescent="0.2">
      <c r="A5" s="66"/>
      <c r="B5" s="430" t="s">
        <v>582</v>
      </c>
      <c r="C5" s="69"/>
      <c r="D5" s="69"/>
    </row>
    <row r="6" spans="1:10" x14ac:dyDescent="0.2">
      <c r="A6" s="66"/>
      <c r="B6" s="430"/>
      <c r="C6" s="69" t="s">
        <v>583</v>
      </c>
      <c r="D6" s="69"/>
    </row>
    <row r="7" spans="1:10" x14ac:dyDescent="0.2">
      <c r="A7" s="66"/>
      <c r="B7" s="66"/>
      <c r="C7" s="69"/>
      <c r="D7" s="69"/>
    </row>
    <row r="8" spans="1:10" x14ac:dyDescent="0.2">
      <c r="A8" s="66"/>
      <c r="B8" s="430" t="s">
        <v>584</v>
      </c>
      <c r="C8" s="66"/>
      <c r="D8" s="66"/>
    </row>
    <row r="9" spans="1:10" x14ac:dyDescent="0.2">
      <c r="A9" s="66"/>
      <c r="B9" s="66"/>
      <c r="C9" s="430" t="s">
        <v>725</v>
      </c>
      <c r="D9" s="66"/>
    </row>
    <row r="10" spans="1:10" x14ac:dyDescent="0.2">
      <c r="A10" s="66"/>
      <c r="B10" s="66"/>
      <c r="C10" s="1" t="s">
        <v>736</v>
      </c>
      <c r="D10" s="66"/>
    </row>
    <row r="11" spans="1:10" x14ac:dyDescent="0.2">
      <c r="A11" s="66"/>
      <c r="B11" s="66"/>
      <c r="C11" s="66"/>
      <c r="D11" s="66"/>
    </row>
    <row r="12" spans="1:10" x14ac:dyDescent="0.2">
      <c r="A12" s="66"/>
      <c r="B12" s="66" t="s">
        <v>627</v>
      </c>
      <c r="C12" s="66"/>
      <c r="D12" s="66"/>
    </row>
    <row r="13" spans="1:10" x14ac:dyDescent="0.2">
      <c r="A13" s="66"/>
      <c r="B13" s="66" t="s">
        <v>671</v>
      </c>
      <c r="C13" s="66"/>
      <c r="D13" s="66"/>
    </row>
    <row r="15" spans="1:10" x14ac:dyDescent="0.2">
      <c r="A15" t="s">
        <v>610</v>
      </c>
    </row>
    <row r="16" spans="1:10" x14ac:dyDescent="0.2">
      <c r="A16">
        <v>1</v>
      </c>
      <c r="B16" t="s">
        <v>612</v>
      </c>
    </row>
    <row r="17" spans="1:2" x14ac:dyDescent="0.2">
      <c r="A17">
        <v>2</v>
      </c>
      <c r="B17" s="540" t="s">
        <v>727</v>
      </c>
    </row>
    <row r="18" spans="1:2" x14ac:dyDescent="0.2">
      <c r="A18">
        <v>3</v>
      </c>
      <c r="B18" t="s">
        <v>630</v>
      </c>
    </row>
    <row r="19" spans="1:2" x14ac:dyDescent="0.2">
      <c r="B19" t="s">
        <v>631</v>
      </c>
    </row>
    <row r="20" spans="1:2" x14ac:dyDescent="0.2">
      <c r="A20">
        <v>4</v>
      </c>
      <c r="B20" t="s">
        <v>670</v>
      </c>
    </row>
    <row r="21" spans="1:2" x14ac:dyDescent="0.2">
      <c r="B21" t="s">
        <v>632</v>
      </c>
    </row>
    <row r="22" spans="1:2" x14ac:dyDescent="0.2">
      <c r="B22" t="s">
        <v>707</v>
      </c>
    </row>
    <row r="23" spans="1:2" x14ac:dyDescent="0.2">
      <c r="A23">
        <v>5</v>
      </c>
      <c r="B23" t="s">
        <v>708</v>
      </c>
    </row>
    <row r="24" spans="1:2" x14ac:dyDescent="0.2">
      <c r="B24" t="s">
        <v>613</v>
      </c>
    </row>
    <row r="25" spans="1:2" x14ac:dyDescent="0.2">
      <c r="A25">
        <v>6</v>
      </c>
      <c r="B25" t="s">
        <v>614</v>
      </c>
    </row>
    <row r="26" spans="1:2" x14ac:dyDescent="0.2">
      <c r="A26">
        <v>7</v>
      </c>
      <c r="B26" t="s">
        <v>704</v>
      </c>
    </row>
    <row r="27" spans="1:2" x14ac:dyDescent="0.2">
      <c r="B27" t="s">
        <v>628</v>
      </c>
    </row>
    <row r="28" spans="1:2" x14ac:dyDescent="0.2">
      <c r="B28" t="s">
        <v>626</v>
      </c>
    </row>
    <row r="29" spans="1:2" x14ac:dyDescent="0.2">
      <c r="A29">
        <v>8</v>
      </c>
      <c r="B29" t="s">
        <v>616</v>
      </c>
    </row>
    <row r="30" spans="1:2" x14ac:dyDescent="0.2">
      <c r="B30" t="s">
        <v>615</v>
      </c>
    </row>
    <row r="32" spans="1:2" x14ac:dyDescent="0.2">
      <c r="A32" t="s">
        <v>617</v>
      </c>
    </row>
    <row r="33" spans="1:2" x14ac:dyDescent="0.2">
      <c r="A33">
        <v>1</v>
      </c>
      <c r="B33" t="s">
        <v>618</v>
      </c>
    </row>
    <row r="34" spans="1:2" x14ac:dyDescent="0.2">
      <c r="A34">
        <v>2</v>
      </c>
      <c r="B34" t="s">
        <v>723</v>
      </c>
    </row>
    <row r="35" spans="1:2" x14ac:dyDescent="0.2">
      <c r="A35">
        <v>3</v>
      </c>
      <c r="B35" t="s">
        <v>622</v>
      </c>
    </row>
    <row r="36" spans="1:2" x14ac:dyDescent="0.2">
      <c r="A36">
        <v>4</v>
      </c>
      <c r="B36" t="s">
        <v>695</v>
      </c>
    </row>
    <row r="37" spans="1:2" x14ac:dyDescent="0.2">
      <c r="B37" t="s">
        <v>619</v>
      </c>
    </row>
    <row r="38" spans="1:2" x14ac:dyDescent="0.2">
      <c r="B38" t="s">
        <v>696</v>
      </c>
    </row>
    <row r="39" spans="1:2" x14ac:dyDescent="0.2">
      <c r="B39" t="s">
        <v>620</v>
      </c>
    </row>
    <row r="40" spans="1:2" x14ac:dyDescent="0.2">
      <c r="B40" t="s">
        <v>697</v>
      </c>
    </row>
    <row r="41" spans="1:2" x14ac:dyDescent="0.2">
      <c r="B41" t="s">
        <v>621</v>
      </c>
    </row>
    <row r="42" spans="1:2" x14ac:dyDescent="0.2">
      <c r="A42">
        <v>5</v>
      </c>
      <c r="B42" t="s">
        <v>699</v>
      </c>
    </row>
    <row r="43" spans="1:2" x14ac:dyDescent="0.2">
      <c r="B43" t="s">
        <v>0</v>
      </c>
    </row>
    <row r="44" spans="1:2" x14ac:dyDescent="0.2">
      <c r="B44" t="s">
        <v>1</v>
      </c>
    </row>
    <row r="45" spans="1:2" x14ac:dyDescent="0.2">
      <c r="B45" t="s">
        <v>698</v>
      </c>
    </row>
    <row r="46" spans="1:2" x14ac:dyDescent="0.2">
      <c r="A46">
        <v>6</v>
      </c>
      <c r="B46" t="s">
        <v>705</v>
      </c>
    </row>
    <row r="47" spans="1:2" x14ac:dyDescent="0.2">
      <c r="B47" t="s">
        <v>623</v>
      </c>
    </row>
    <row r="48" spans="1:2" x14ac:dyDescent="0.2">
      <c r="A48">
        <v>7</v>
      </c>
      <c r="B48" t="s">
        <v>624</v>
      </c>
    </row>
    <row r="49" spans="1:2" x14ac:dyDescent="0.2">
      <c r="A49">
        <v>8</v>
      </c>
      <c r="B49" t="s">
        <v>625</v>
      </c>
    </row>
    <row r="50" spans="1:2" x14ac:dyDescent="0.2">
      <c r="B50" t="s">
        <v>706</v>
      </c>
    </row>
    <row r="51" spans="1:2" x14ac:dyDescent="0.2">
      <c r="B51" t="s">
        <v>672</v>
      </c>
    </row>
    <row r="53" spans="1:2" x14ac:dyDescent="0.2">
      <c r="A53" t="s">
        <v>629</v>
      </c>
    </row>
    <row r="54" spans="1:2" x14ac:dyDescent="0.2">
      <c r="A54">
        <v>1</v>
      </c>
      <c r="B54" t="s">
        <v>633</v>
      </c>
    </row>
    <row r="55" spans="1:2" x14ac:dyDescent="0.2">
      <c r="A55">
        <v>2</v>
      </c>
      <c r="B55" t="s">
        <v>634</v>
      </c>
    </row>
    <row r="56" spans="1:2" x14ac:dyDescent="0.2">
      <c r="A56">
        <v>3</v>
      </c>
      <c r="B56" t="s">
        <v>635</v>
      </c>
    </row>
    <row r="57" spans="1:2" x14ac:dyDescent="0.2">
      <c r="B57" t="s">
        <v>636</v>
      </c>
    </row>
    <row r="58" spans="1:2" x14ac:dyDescent="0.2">
      <c r="A58">
        <v>4</v>
      </c>
      <c r="B58" t="s">
        <v>637</v>
      </c>
    </row>
    <row r="59" spans="1:2" x14ac:dyDescent="0.2">
      <c r="B59" t="s">
        <v>638</v>
      </c>
    </row>
    <row r="60" spans="1:2" x14ac:dyDescent="0.2">
      <c r="A60">
        <v>5</v>
      </c>
      <c r="B60" t="s">
        <v>639</v>
      </c>
    </row>
    <row r="61" spans="1:2" x14ac:dyDescent="0.2">
      <c r="A61">
        <v>6</v>
      </c>
      <c r="B61" t="s">
        <v>641</v>
      </c>
    </row>
    <row r="62" spans="1:2" x14ac:dyDescent="0.2">
      <c r="B62" t="s">
        <v>643</v>
      </c>
    </row>
    <row r="63" spans="1:2" x14ac:dyDescent="0.2">
      <c r="B63" t="s">
        <v>642</v>
      </c>
    </row>
    <row r="64" spans="1:2" x14ac:dyDescent="0.2">
      <c r="A64">
        <v>7</v>
      </c>
      <c r="B64" t="s">
        <v>644</v>
      </c>
    </row>
    <row r="66" spans="1:2" x14ac:dyDescent="0.2">
      <c r="A66" t="s">
        <v>645</v>
      </c>
    </row>
    <row r="67" spans="1:2" x14ac:dyDescent="0.2">
      <c r="A67">
        <v>1</v>
      </c>
      <c r="B67" t="s">
        <v>646</v>
      </c>
    </row>
    <row r="68" spans="1:2" x14ac:dyDescent="0.2">
      <c r="A68">
        <v>2</v>
      </c>
      <c r="B68" t="s">
        <v>647</v>
      </c>
    </row>
    <row r="69" spans="1:2" x14ac:dyDescent="0.2">
      <c r="A69">
        <v>3</v>
      </c>
      <c r="B69" t="s">
        <v>649</v>
      </c>
    </row>
    <row r="70" spans="1:2" x14ac:dyDescent="0.2">
      <c r="B70" t="s">
        <v>648</v>
      </c>
    </row>
    <row r="71" spans="1:2" x14ac:dyDescent="0.2">
      <c r="A71">
        <v>4</v>
      </c>
      <c r="B71" t="s">
        <v>651</v>
      </c>
    </row>
    <row r="72" spans="1:2" x14ac:dyDescent="0.2">
      <c r="B72" t="s">
        <v>650</v>
      </c>
    </row>
    <row r="73" spans="1:2" x14ac:dyDescent="0.2">
      <c r="A73">
        <v>5</v>
      </c>
      <c r="B73" t="s">
        <v>652</v>
      </c>
    </row>
    <row r="74" spans="1:2" x14ac:dyDescent="0.2">
      <c r="B74" t="s">
        <v>33</v>
      </c>
    </row>
    <row r="75" spans="1:2" x14ac:dyDescent="0.2">
      <c r="A75">
        <v>6</v>
      </c>
      <c r="B75" t="s">
        <v>653</v>
      </c>
    </row>
    <row r="76" spans="1:2" x14ac:dyDescent="0.2">
      <c r="B76" t="s">
        <v>34</v>
      </c>
    </row>
    <row r="77" spans="1:2" x14ac:dyDescent="0.2">
      <c r="A77">
        <v>7</v>
      </c>
      <c r="B77" t="s">
        <v>654</v>
      </c>
    </row>
    <row r="78" spans="1:2" x14ac:dyDescent="0.2">
      <c r="B78" t="s">
        <v>655</v>
      </c>
    </row>
    <row r="79" spans="1:2" x14ac:dyDescent="0.2">
      <c r="B79" t="s">
        <v>35</v>
      </c>
    </row>
    <row r="80" spans="1:2" x14ac:dyDescent="0.2">
      <c r="A80">
        <v>8</v>
      </c>
      <c r="B80" t="s">
        <v>656</v>
      </c>
    </row>
    <row r="81" spans="1:2" x14ac:dyDescent="0.2">
      <c r="B81" t="s">
        <v>657</v>
      </c>
    </row>
    <row r="82" spans="1:2" x14ac:dyDescent="0.2">
      <c r="B82" t="s">
        <v>35</v>
      </c>
    </row>
    <row r="83" spans="1:2" x14ac:dyDescent="0.2">
      <c r="A83">
        <v>9</v>
      </c>
      <c r="B83" t="s">
        <v>659</v>
      </c>
    </row>
    <row r="84" spans="1:2" x14ac:dyDescent="0.2">
      <c r="B84" t="s">
        <v>658</v>
      </c>
    </row>
    <row r="85" spans="1:2" x14ac:dyDescent="0.2">
      <c r="A85">
        <v>10</v>
      </c>
      <c r="B85" t="s">
        <v>660</v>
      </c>
    </row>
    <row r="86" spans="1:2" x14ac:dyDescent="0.2">
      <c r="B86" t="s">
        <v>661</v>
      </c>
    </row>
    <row r="87" spans="1:2" x14ac:dyDescent="0.2">
      <c r="B87" t="s">
        <v>662</v>
      </c>
    </row>
    <row r="88" spans="1:2" x14ac:dyDescent="0.2">
      <c r="A88">
        <v>11</v>
      </c>
      <c r="B88" t="s">
        <v>663</v>
      </c>
    </row>
    <row r="89" spans="1:2" x14ac:dyDescent="0.2">
      <c r="B89" t="s">
        <v>665</v>
      </c>
    </row>
    <row r="90" spans="1:2" x14ac:dyDescent="0.2">
      <c r="B90" t="s">
        <v>664</v>
      </c>
    </row>
    <row r="91" spans="1:2" x14ac:dyDescent="0.2">
      <c r="B91" t="s">
        <v>666</v>
      </c>
    </row>
    <row r="93" spans="1:2" x14ac:dyDescent="0.2">
      <c r="A93" t="s">
        <v>667</v>
      </c>
    </row>
    <row r="94" spans="1:2" x14ac:dyDescent="0.2">
      <c r="A94">
        <v>1</v>
      </c>
      <c r="B94" t="s">
        <v>668</v>
      </c>
    </row>
    <row r="95" spans="1:2" x14ac:dyDescent="0.2">
      <c r="B95" t="s">
        <v>669</v>
      </c>
    </row>
    <row r="97" spans="1:2" x14ac:dyDescent="0.2">
      <c r="A97" t="s">
        <v>702</v>
      </c>
    </row>
    <row r="98" spans="1:2" x14ac:dyDescent="0.2">
      <c r="A98">
        <v>1</v>
      </c>
      <c r="B98" t="s">
        <v>10</v>
      </c>
    </row>
    <row r="99" spans="1:2" x14ac:dyDescent="0.2">
      <c r="A99">
        <v>2</v>
      </c>
      <c r="B99" t="s">
        <v>633</v>
      </c>
    </row>
    <row r="100" spans="1:2" x14ac:dyDescent="0.2">
      <c r="A100">
        <v>3</v>
      </c>
      <c r="B100" t="s">
        <v>634</v>
      </c>
    </row>
    <row r="101" spans="1:2" x14ac:dyDescent="0.2">
      <c r="A101">
        <v>4</v>
      </c>
      <c r="B101" t="s">
        <v>635</v>
      </c>
    </row>
    <row r="102" spans="1:2" x14ac:dyDescent="0.2">
      <c r="A102" t="s">
        <v>270</v>
      </c>
      <c r="B102" t="s">
        <v>636</v>
      </c>
    </row>
    <row r="103" spans="1:2" x14ac:dyDescent="0.2">
      <c r="A103">
        <v>5</v>
      </c>
      <c r="B103" t="s">
        <v>637</v>
      </c>
    </row>
    <row r="104" spans="1:2" x14ac:dyDescent="0.2">
      <c r="A104" t="s">
        <v>270</v>
      </c>
      <c r="B104" t="s">
        <v>638</v>
      </c>
    </row>
    <row r="105" spans="1:2" x14ac:dyDescent="0.2">
      <c r="A105">
        <v>6</v>
      </c>
      <c r="B105" t="s">
        <v>639</v>
      </c>
    </row>
    <row r="106" spans="1:2" x14ac:dyDescent="0.2">
      <c r="A106">
        <v>7</v>
      </c>
      <c r="B106" t="s">
        <v>641</v>
      </c>
    </row>
    <row r="107" spans="1:2" x14ac:dyDescent="0.2">
      <c r="B107" t="s">
        <v>643</v>
      </c>
    </row>
    <row r="108" spans="1:2" x14ac:dyDescent="0.2">
      <c r="A108" t="s">
        <v>270</v>
      </c>
      <c r="B108" t="s">
        <v>642</v>
      </c>
    </row>
    <row r="109" spans="1:2" x14ac:dyDescent="0.2">
      <c r="A109">
        <v>8</v>
      </c>
      <c r="B109" t="s">
        <v>644</v>
      </c>
    </row>
    <row r="110" spans="1:2" x14ac:dyDescent="0.2">
      <c r="A110">
        <v>9</v>
      </c>
      <c r="B110" t="s">
        <v>674</v>
      </c>
    </row>
    <row r="111" spans="1:2" x14ac:dyDescent="0.2">
      <c r="A111">
        <v>10</v>
      </c>
      <c r="B111" t="s">
        <v>675</v>
      </c>
    </row>
    <row r="112" spans="1:2" x14ac:dyDescent="0.2">
      <c r="A112">
        <v>11</v>
      </c>
      <c r="B112" t="s">
        <v>676</v>
      </c>
    </row>
    <row r="113" spans="1:2" x14ac:dyDescent="0.2">
      <c r="A113" t="s">
        <v>270</v>
      </c>
      <c r="B113" t="s">
        <v>677</v>
      </c>
    </row>
    <row r="114" spans="1:2" x14ac:dyDescent="0.2">
      <c r="A114">
        <v>12</v>
      </c>
      <c r="B114" t="s">
        <v>678</v>
      </c>
    </row>
    <row r="115" spans="1:2" x14ac:dyDescent="0.2">
      <c r="A115" t="s">
        <v>270</v>
      </c>
      <c r="B115" t="s">
        <v>638</v>
      </c>
    </row>
    <row r="116" spans="1:2" x14ac:dyDescent="0.2">
      <c r="A116">
        <v>13</v>
      </c>
      <c r="B116" t="s">
        <v>660</v>
      </c>
    </row>
    <row r="117" spans="1:2" x14ac:dyDescent="0.2">
      <c r="B117" t="s">
        <v>673</v>
      </c>
    </row>
    <row r="119" spans="1:2" x14ac:dyDescent="0.2">
      <c r="A119" t="s">
        <v>679</v>
      </c>
    </row>
    <row r="120" spans="1:2" x14ac:dyDescent="0.2">
      <c r="A120">
        <v>1</v>
      </c>
      <c r="B120" t="s">
        <v>2</v>
      </c>
    </row>
    <row r="121" spans="1:2" x14ac:dyDescent="0.2">
      <c r="A121">
        <v>2</v>
      </c>
      <c r="B121" t="s">
        <v>709</v>
      </c>
    </row>
    <row r="122" spans="1:2" x14ac:dyDescent="0.2">
      <c r="A122">
        <v>3</v>
      </c>
      <c r="B122" t="s">
        <v>680</v>
      </c>
    </row>
    <row r="123" spans="1:2" x14ac:dyDescent="0.2">
      <c r="A123">
        <v>4</v>
      </c>
      <c r="B123" t="s">
        <v>681</v>
      </c>
    </row>
    <row r="124" spans="1:2" x14ac:dyDescent="0.2">
      <c r="A124">
        <v>5</v>
      </c>
      <c r="B124" t="s">
        <v>685</v>
      </c>
    </row>
    <row r="125" spans="1:2" x14ac:dyDescent="0.2">
      <c r="A125">
        <v>6</v>
      </c>
      <c r="B125" t="s">
        <v>687</v>
      </c>
    </row>
    <row r="126" spans="1:2" x14ac:dyDescent="0.2">
      <c r="A126">
        <v>7</v>
      </c>
      <c r="B126" t="s">
        <v>686</v>
      </c>
    </row>
    <row r="127" spans="1:2" x14ac:dyDescent="0.2">
      <c r="A127">
        <v>8</v>
      </c>
      <c r="B127" t="s">
        <v>688</v>
      </c>
    </row>
    <row r="128" spans="1:2" x14ac:dyDescent="0.2">
      <c r="A128">
        <v>9</v>
      </c>
      <c r="B128" t="s">
        <v>689</v>
      </c>
    </row>
    <row r="129" spans="1:2" x14ac:dyDescent="0.2">
      <c r="A129">
        <v>10</v>
      </c>
      <c r="B129" t="s">
        <v>690</v>
      </c>
    </row>
    <row r="130" spans="1:2" x14ac:dyDescent="0.2">
      <c r="A130">
        <v>11</v>
      </c>
      <c r="B130" t="s">
        <v>691</v>
      </c>
    </row>
    <row r="131" spans="1:2" x14ac:dyDescent="0.2">
      <c r="A131">
        <v>12</v>
      </c>
      <c r="B131" t="s">
        <v>692</v>
      </c>
    </row>
    <row r="132" spans="1:2" x14ac:dyDescent="0.2">
      <c r="A132">
        <v>13</v>
      </c>
      <c r="B132" t="s">
        <v>693</v>
      </c>
    </row>
    <row r="134" spans="1:2" x14ac:dyDescent="0.2">
      <c r="A134" t="s">
        <v>3</v>
      </c>
    </row>
    <row r="135" spans="1:2" x14ac:dyDescent="0.2">
      <c r="A135">
        <v>1</v>
      </c>
      <c r="B135" t="s">
        <v>4</v>
      </c>
    </row>
    <row r="136" spans="1:2" x14ac:dyDescent="0.2">
      <c r="A136">
        <v>2</v>
      </c>
      <c r="B136" t="s">
        <v>5</v>
      </c>
    </row>
    <row r="137" spans="1:2" x14ac:dyDescent="0.2">
      <c r="B137" t="s">
        <v>710</v>
      </c>
    </row>
    <row r="138" spans="1:2" x14ac:dyDescent="0.2">
      <c r="A138">
        <v>3</v>
      </c>
      <c r="B138" t="s">
        <v>6</v>
      </c>
    </row>
    <row r="139" spans="1:2" x14ac:dyDescent="0.2">
      <c r="B139" t="s">
        <v>711</v>
      </c>
    </row>
    <row r="140" spans="1:2" x14ac:dyDescent="0.2">
      <c r="A140">
        <v>4</v>
      </c>
      <c r="B140" t="s">
        <v>7</v>
      </c>
    </row>
    <row r="141" spans="1:2" x14ac:dyDescent="0.2">
      <c r="B141" t="s">
        <v>712</v>
      </c>
    </row>
    <row r="142" spans="1:2" x14ac:dyDescent="0.2">
      <c r="A142">
        <v>5</v>
      </c>
      <c r="B142" t="s">
        <v>703</v>
      </c>
    </row>
    <row r="143" spans="1:2" x14ac:dyDescent="0.2">
      <c r="B143" t="s">
        <v>713</v>
      </c>
    </row>
    <row r="144" spans="1:2" x14ac:dyDescent="0.2">
      <c r="A144">
        <v>6</v>
      </c>
      <c r="B144" t="s">
        <v>11</v>
      </c>
    </row>
    <row r="145" spans="1:2" x14ac:dyDescent="0.2">
      <c r="A145">
        <v>7</v>
      </c>
      <c r="B145" t="s">
        <v>12</v>
      </c>
    </row>
    <row r="146" spans="1:2" x14ac:dyDescent="0.2">
      <c r="A146">
        <v>8</v>
      </c>
      <c r="B146" t="s">
        <v>14</v>
      </c>
    </row>
    <row r="147" spans="1:2" x14ac:dyDescent="0.2">
      <c r="A147">
        <v>9</v>
      </c>
      <c r="B147" t="s">
        <v>13</v>
      </c>
    </row>
    <row r="148" spans="1:2" x14ac:dyDescent="0.2">
      <c r="A148">
        <v>10</v>
      </c>
      <c r="B148" t="s">
        <v>15</v>
      </c>
    </row>
    <row r="150" spans="1:2" x14ac:dyDescent="0.2">
      <c r="A150" t="s">
        <v>587</v>
      </c>
    </row>
    <row r="151" spans="1:2" x14ac:dyDescent="0.2">
      <c r="A151">
        <v>1</v>
      </c>
      <c r="B151" t="s">
        <v>16</v>
      </c>
    </row>
    <row r="152" spans="1:2" x14ac:dyDescent="0.2">
      <c r="A152">
        <v>2</v>
      </c>
      <c r="B152" t="s">
        <v>714</v>
      </c>
    </row>
    <row r="153" spans="1:2" x14ac:dyDescent="0.2">
      <c r="A153">
        <v>3</v>
      </c>
      <c r="B153" t="s">
        <v>17</v>
      </c>
    </row>
    <row r="154" spans="1:2" x14ac:dyDescent="0.2">
      <c r="A154">
        <v>4</v>
      </c>
      <c r="B154" t="s">
        <v>715</v>
      </c>
    </row>
    <row r="155" spans="1:2" x14ac:dyDescent="0.2">
      <c r="A155">
        <v>5</v>
      </c>
      <c r="B155" t="s">
        <v>18</v>
      </c>
    </row>
    <row r="156" spans="1:2" x14ac:dyDescent="0.2">
      <c r="A156">
        <v>6</v>
      </c>
      <c r="B156" t="s">
        <v>716</v>
      </c>
    </row>
    <row r="157" spans="1:2" x14ac:dyDescent="0.2">
      <c r="A157">
        <v>7</v>
      </c>
      <c r="B157" t="s">
        <v>20</v>
      </c>
    </row>
    <row r="158" spans="1:2" x14ac:dyDescent="0.2">
      <c r="A158">
        <v>8</v>
      </c>
      <c r="B158" t="s">
        <v>717</v>
      </c>
    </row>
    <row r="159" spans="1:2" x14ac:dyDescent="0.2">
      <c r="A159">
        <v>9</v>
      </c>
      <c r="B159" t="s">
        <v>21</v>
      </c>
    </row>
    <row r="160" spans="1:2" x14ac:dyDescent="0.2">
      <c r="A160">
        <v>10</v>
      </c>
      <c r="B160" t="s">
        <v>19</v>
      </c>
    </row>
    <row r="162" spans="1:2" x14ac:dyDescent="0.2">
      <c r="A162" t="s">
        <v>22</v>
      </c>
    </row>
    <row r="163" spans="1:2" x14ac:dyDescent="0.2">
      <c r="A163">
        <v>1</v>
      </c>
      <c r="B163" t="s">
        <v>23</v>
      </c>
    </row>
    <row r="164" spans="1:2" x14ac:dyDescent="0.2">
      <c r="A164">
        <v>2</v>
      </c>
      <c r="B164" t="s">
        <v>26</v>
      </c>
    </row>
    <row r="165" spans="1:2" x14ac:dyDescent="0.2">
      <c r="A165">
        <v>3</v>
      </c>
      <c r="B165" t="s">
        <v>24</v>
      </c>
    </row>
    <row r="166" spans="1:2" x14ac:dyDescent="0.2">
      <c r="A166">
        <v>4</v>
      </c>
      <c r="B166" t="s">
        <v>25</v>
      </c>
    </row>
    <row r="167" spans="1:2" x14ac:dyDescent="0.2">
      <c r="A167">
        <v>5</v>
      </c>
      <c r="B167" t="s">
        <v>27</v>
      </c>
    </row>
    <row r="168" spans="1:2" x14ac:dyDescent="0.2">
      <c r="A168">
        <v>6</v>
      </c>
      <c r="B168" t="s">
        <v>28</v>
      </c>
    </row>
    <row r="169" spans="1:2" x14ac:dyDescent="0.2">
      <c r="A169">
        <v>7</v>
      </c>
      <c r="B169" t="s">
        <v>29</v>
      </c>
    </row>
    <row r="170" spans="1:2" x14ac:dyDescent="0.2">
      <c r="A170">
        <v>8</v>
      </c>
      <c r="B170" t="s">
        <v>30</v>
      </c>
    </row>
    <row r="171" spans="1:2" x14ac:dyDescent="0.2">
      <c r="A171">
        <v>9</v>
      </c>
      <c r="B171" t="s">
        <v>31</v>
      </c>
    </row>
    <row r="172" spans="1:2" x14ac:dyDescent="0.2">
      <c r="B172" t="s">
        <v>32</v>
      </c>
    </row>
    <row r="173" spans="1:2" x14ac:dyDescent="0.2">
      <c r="A173">
        <v>10</v>
      </c>
      <c r="B173" t="s">
        <v>37</v>
      </c>
    </row>
    <row r="174" spans="1:2" x14ac:dyDescent="0.2">
      <c r="A174">
        <v>11</v>
      </c>
      <c r="B174" t="s">
        <v>36</v>
      </c>
    </row>
    <row r="176" spans="1:2" x14ac:dyDescent="0.2">
      <c r="A176" t="s">
        <v>38</v>
      </c>
    </row>
    <row r="177" spans="1:2" x14ac:dyDescent="0.2">
      <c r="A177">
        <v>1</v>
      </c>
      <c r="B177" t="s">
        <v>42</v>
      </c>
    </row>
    <row r="178" spans="1:2" x14ac:dyDescent="0.2">
      <c r="A178">
        <v>2</v>
      </c>
      <c r="B178" t="s">
        <v>39</v>
      </c>
    </row>
    <row r="179" spans="1:2" x14ac:dyDescent="0.2">
      <c r="A179">
        <v>3</v>
      </c>
      <c r="B179" t="s">
        <v>40</v>
      </c>
    </row>
    <row r="180" spans="1:2" x14ac:dyDescent="0.2">
      <c r="B180" t="s">
        <v>41</v>
      </c>
    </row>
    <row r="181" spans="1:2" x14ac:dyDescent="0.2">
      <c r="A181">
        <v>4</v>
      </c>
      <c r="B181" t="s">
        <v>718</v>
      </c>
    </row>
    <row r="182" spans="1:2" x14ac:dyDescent="0.2">
      <c r="A182">
        <v>5</v>
      </c>
      <c r="B182" t="s">
        <v>700</v>
      </c>
    </row>
    <row r="183" spans="1:2" x14ac:dyDescent="0.2">
      <c r="A183">
        <v>6</v>
      </c>
      <c r="B183" t="s">
        <v>719</v>
      </c>
    </row>
    <row r="184" spans="1:2" x14ac:dyDescent="0.2">
      <c r="B184" t="s">
        <v>41</v>
      </c>
    </row>
    <row r="185" spans="1:2" x14ac:dyDescent="0.2">
      <c r="A185">
        <v>7</v>
      </c>
      <c r="B185" t="s">
        <v>701</v>
      </c>
    </row>
    <row r="186" spans="1:2" x14ac:dyDescent="0.2">
      <c r="B186" t="s">
        <v>720</v>
      </c>
    </row>
  </sheetData>
  <mergeCells count="1">
    <mergeCell ref="A1:J1"/>
  </mergeCells>
  <phoneticPr fontId="11" type="noConversion"/>
  <pageMargins left="0.75" right="0.5" top="1" bottom="1" header="0.5" footer="0.5"/>
  <pageSetup orientation="portrait" r:id="rId1"/>
  <headerFooter alignWithMargins="0">
    <oddFooter>&amp;L6/12/09&amp;CCharter School Budget Instructions 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2:L147"/>
  <sheetViews>
    <sheetView tabSelected="1" zoomScaleNormal="100" workbookViewId="0">
      <selection activeCell="A20" sqref="A20:E20"/>
    </sheetView>
  </sheetViews>
  <sheetFormatPr defaultRowHeight="12" x14ac:dyDescent="0.2"/>
  <cols>
    <col min="1" max="1" width="9.7109375" style="66" customWidth="1"/>
    <col min="2" max="2" width="8.7109375" style="66" customWidth="1"/>
    <col min="3" max="3" width="12.42578125" style="66" customWidth="1"/>
    <col min="4" max="4" width="8.7109375" style="66" customWidth="1"/>
    <col min="5" max="5" width="7.28515625" style="66" customWidth="1"/>
    <col min="6" max="6" width="9.140625" style="66"/>
    <col min="7" max="7" width="8" style="66" customWidth="1"/>
    <col min="8" max="8" width="12.140625" style="66" customWidth="1"/>
    <col min="9" max="9" width="11.140625" style="66" customWidth="1"/>
    <col min="10" max="10" width="8.42578125" style="66" customWidth="1"/>
    <col min="11" max="11" width="6.42578125" style="66" customWidth="1"/>
    <col min="12" max="16384" width="9.140625" style="66"/>
  </cols>
  <sheetData>
    <row r="2" spans="1:11" x14ac:dyDescent="0.2">
      <c r="A2" s="559"/>
      <c r="B2" s="560"/>
    </row>
    <row r="16" spans="1:11" ht="12" customHeight="1" x14ac:dyDescent="0.2">
      <c r="A16" s="574" t="s">
        <v>445</v>
      </c>
      <c r="B16" s="574"/>
      <c r="C16" s="574"/>
      <c r="D16" s="574"/>
      <c r="E16" s="574"/>
      <c r="F16" s="574"/>
      <c r="G16" s="574"/>
      <c r="H16" s="574"/>
      <c r="I16" s="574"/>
      <c r="J16" s="574"/>
      <c r="K16" s="574"/>
    </row>
    <row r="17" spans="1:12" ht="12" customHeight="1" x14ac:dyDescent="0.2">
      <c r="A17" s="574"/>
      <c r="B17" s="574"/>
      <c r="C17" s="574"/>
      <c r="D17" s="574"/>
      <c r="E17" s="574"/>
      <c r="F17" s="574"/>
      <c r="G17" s="574"/>
      <c r="H17" s="574"/>
      <c r="I17" s="574"/>
      <c r="J17" s="574"/>
      <c r="K17" s="574"/>
    </row>
    <row r="20" spans="1:12" x14ac:dyDescent="0.2">
      <c r="A20" s="567" t="s">
        <v>474</v>
      </c>
      <c r="B20" s="567"/>
      <c r="C20" s="567"/>
      <c r="D20" s="567"/>
      <c r="E20" s="567"/>
      <c r="F20" s="1" t="s">
        <v>735</v>
      </c>
      <c r="H20" s="572" t="s">
        <v>728</v>
      </c>
      <c r="I20" s="572"/>
      <c r="J20" s="572"/>
      <c r="K20" s="572"/>
    </row>
    <row r="21" spans="1:12" x14ac:dyDescent="0.2">
      <c r="A21" s="537" t="s">
        <v>726</v>
      </c>
      <c r="B21" s="538"/>
      <c r="D21" s="68" t="str">
        <f>C138</f>
        <v>June 30, 2015</v>
      </c>
    </row>
    <row r="23" spans="1:12" x14ac:dyDescent="0.2">
      <c r="A23" s="66" t="s">
        <v>273</v>
      </c>
      <c r="C23" s="558"/>
      <c r="D23" s="66" t="s">
        <v>295</v>
      </c>
      <c r="I23" s="575"/>
      <c r="J23" s="575"/>
      <c r="K23" s="66" t="s">
        <v>274</v>
      </c>
      <c r="L23" s="69"/>
    </row>
    <row r="24" spans="1:12" x14ac:dyDescent="0.2">
      <c r="A24" s="558"/>
      <c r="B24" s="66" t="s">
        <v>296</v>
      </c>
      <c r="F24" s="571"/>
      <c r="G24" s="571"/>
      <c r="H24" s="66" t="s">
        <v>444</v>
      </c>
      <c r="L24" s="69"/>
    </row>
    <row r="25" spans="1:12" x14ac:dyDescent="0.2"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spans="1:12" x14ac:dyDescent="0.2">
      <c r="A26" s="431" t="s">
        <v>732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 spans="1:12" x14ac:dyDescent="0.2"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 spans="1:12" x14ac:dyDescent="0.2">
      <c r="B28" s="430" t="s">
        <v>582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</row>
    <row r="29" spans="1:12" x14ac:dyDescent="0.2">
      <c r="B29" s="430"/>
      <c r="C29" s="69" t="s">
        <v>583</v>
      </c>
      <c r="D29" s="69"/>
      <c r="E29" s="69"/>
      <c r="F29" s="69"/>
      <c r="G29" s="69"/>
      <c r="H29" s="69"/>
      <c r="I29" s="69"/>
      <c r="J29" s="69"/>
      <c r="K29" s="69"/>
      <c r="L29" s="69"/>
    </row>
    <row r="30" spans="1:12" x14ac:dyDescent="0.2">
      <c r="C30" s="69"/>
      <c r="D30" s="69"/>
      <c r="E30" s="69"/>
      <c r="F30" s="70"/>
      <c r="G30" s="69"/>
      <c r="H30" s="69"/>
      <c r="I30" s="69"/>
      <c r="J30" s="69"/>
      <c r="K30" s="69"/>
      <c r="L30" s="69"/>
    </row>
    <row r="31" spans="1:12" x14ac:dyDescent="0.2">
      <c r="B31" s="430" t="s">
        <v>611</v>
      </c>
    </row>
    <row r="32" spans="1:12" x14ac:dyDescent="0.2">
      <c r="C32" s="430" t="s">
        <v>581</v>
      </c>
    </row>
    <row r="33" spans="1:10" x14ac:dyDescent="0.2">
      <c r="C33" s="66" t="s">
        <v>580</v>
      </c>
    </row>
    <row r="36" spans="1:10" x14ac:dyDescent="0.2">
      <c r="A36" s="66" t="s">
        <v>275</v>
      </c>
      <c r="G36" s="66" t="s">
        <v>276</v>
      </c>
    </row>
    <row r="38" spans="1:10" ht="12.75" thickBot="1" x14ac:dyDescent="0.25">
      <c r="A38" s="71" t="s">
        <v>443</v>
      </c>
      <c r="B38" s="573"/>
      <c r="C38" s="573"/>
      <c r="D38" s="573"/>
      <c r="E38" s="573"/>
      <c r="G38" s="561"/>
      <c r="H38" s="561"/>
      <c r="I38" s="561"/>
      <c r="J38" s="561"/>
    </row>
    <row r="39" spans="1:10" x14ac:dyDescent="0.2">
      <c r="B39" s="579" t="s">
        <v>733</v>
      </c>
      <c r="C39" s="579"/>
      <c r="D39" s="579"/>
      <c r="E39" s="579"/>
      <c r="G39" s="562"/>
      <c r="H39" s="562"/>
      <c r="I39" s="562"/>
      <c r="J39" s="562"/>
    </row>
    <row r="40" spans="1:10" ht="12.75" thickBot="1" x14ac:dyDescent="0.25">
      <c r="B40" s="570"/>
      <c r="C40" s="570"/>
      <c r="D40" s="570"/>
      <c r="E40" s="539"/>
      <c r="G40" s="561"/>
      <c r="H40" s="561"/>
      <c r="I40" s="561"/>
      <c r="J40" s="561"/>
    </row>
    <row r="41" spans="1:10" x14ac:dyDescent="0.2">
      <c r="B41" s="579" t="s">
        <v>734</v>
      </c>
      <c r="C41" s="580"/>
      <c r="D41" s="580"/>
      <c r="E41" s="580"/>
      <c r="G41" s="562"/>
      <c r="H41" s="562"/>
      <c r="I41" s="562"/>
      <c r="J41" s="562"/>
    </row>
    <row r="42" spans="1:10" ht="12.75" thickBot="1" x14ac:dyDescent="0.25">
      <c r="G42" s="561"/>
      <c r="H42" s="561"/>
      <c r="I42" s="561"/>
      <c r="J42" s="561"/>
    </row>
    <row r="43" spans="1:10" x14ac:dyDescent="0.2">
      <c r="B43" s="66" t="s">
        <v>277</v>
      </c>
      <c r="G43" s="562"/>
      <c r="H43" s="562"/>
      <c r="I43" s="562"/>
      <c r="J43" s="562"/>
    </row>
    <row r="44" spans="1:10" ht="12.75" thickBot="1" x14ac:dyDescent="0.25">
      <c r="B44" s="66" t="s">
        <v>278</v>
      </c>
      <c r="G44" s="561"/>
      <c r="H44" s="561"/>
      <c r="I44" s="561"/>
      <c r="J44" s="561"/>
    </row>
    <row r="45" spans="1:10" x14ac:dyDescent="0.2">
      <c r="B45" s="66" t="s">
        <v>279</v>
      </c>
      <c r="G45" s="562"/>
      <c r="H45" s="562"/>
      <c r="I45" s="562"/>
      <c r="J45" s="562"/>
    </row>
    <row r="46" spans="1:10" ht="12.75" thickBot="1" x14ac:dyDescent="0.25">
      <c r="G46" s="561"/>
      <c r="H46" s="561"/>
      <c r="I46" s="561"/>
      <c r="J46" s="561"/>
    </row>
    <row r="47" spans="1:10" ht="12.75" thickBot="1" x14ac:dyDescent="0.25">
      <c r="B47" s="66" t="s">
        <v>280</v>
      </c>
      <c r="C47" s="564"/>
      <c r="D47" s="564"/>
      <c r="E47" s="564"/>
      <c r="G47" s="563"/>
      <c r="H47" s="563"/>
      <c r="I47" s="563"/>
      <c r="J47" s="563"/>
    </row>
    <row r="48" spans="1:10" ht="12.75" thickBot="1" x14ac:dyDescent="0.25">
      <c r="G48" s="564"/>
      <c r="H48" s="564"/>
      <c r="I48" s="564"/>
      <c r="J48" s="564"/>
    </row>
    <row r="49" spans="1:11" x14ac:dyDescent="0.2">
      <c r="C49" s="69"/>
      <c r="D49" s="69"/>
      <c r="G49" s="563"/>
      <c r="H49" s="563"/>
      <c r="I49" s="563"/>
      <c r="J49" s="563"/>
    </row>
    <row r="50" spans="1:11" ht="12.75" thickBot="1" x14ac:dyDescent="0.25">
      <c r="B50" s="66" t="s">
        <v>281</v>
      </c>
      <c r="C50" s="573"/>
      <c r="D50" s="573"/>
      <c r="E50" s="573"/>
      <c r="G50" s="564"/>
      <c r="H50" s="564"/>
      <c r="I50" s="564"/>
      <c r="J50" s="564"/>
    </row>
    <row r="51" spans="1:11" x14ac:dyDescent="0.2">
      <c r="G51" s="563"/>
      <c r="H51" s="563"/>
      <c r="I51" s="563"/>
      <c r="J51" s="563"/>
    </row>
    <row r="52" spans="1:11" ht="12.75" thickBot="1" x14ac:dyDescent="0.25">
      <c r="G52" s="564"/>
      <c r="H52" s="564"/>
      <c r="I52" s="564"/>
      <c r="J52" s="564"/>
    </row>
    <row r="54" spans="1:11" ht="12.75" thickBot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</row>
    <row r="55" spans="1:11" x14ac:dyDescent="0.2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x14ac:dyDescent="0.2">
      <c r="A56" s="66" t="s">
        <v>282</v>
      </c>
    </row>
    <row r="58" spans="1:11" ht="12.75" customHeight="1" x14ac:dyDescent="0.2">
      <c r="A58" s="568" t="s">
        <v>446</v>
      </c>
      <c r="B58" s="568"/>
      <c r="C58" s="576"/>
      <c r="D58" s="576"/>
      <c r="E58" s="576"/>
      <c r="F58" s="576"/>
      <c r="G58" s="569" t="s">
        <v>283</v>
      </c>
      <c r="H58" s="569"/>
      <c r="I58" s="573"/>
      <c r="J58" s="573"/>
      <c r="K58" s="573"/>
    </row>
    <row r="59" spans="1:11" ht="12.75" customHeight="1" x14ac:dyDescent="0.2">
      <c r="A59" s="74"/>
      <c r="B59" s="74"/>
      <c r="C59" s="75"/>
      <c r="D59" s="75"/>
      <c r="E59" s="75"/>
      <c r="G59" s="71"/>
      <c r="H59" s="71"/>
      <c r="I59" s="76"/>
      <c r="J59" s="76"/>
      <c r="K59" s="76"/>
    </row>
    <row r="60" spans="1:11" ht="16.5" customHeight="1" x14ac:dyDescent="0.2">
      <c r="A60" s="67" t="s">
        <v>284</v>
      </c>
      <c r="B60" s="567"/>
      <c r="C60" s="567"/>
      <c r="D60" s="567"/>
      <c r="E60" s="567"/>
      <c r="F60" s="567"/>
      <c r="G60" s="71"/>
      <c r="H60" s="71"/>
      <c r="I60" s="76"/>
      <c r="J60" s="76"/>
      <c r="K60" s="76"/>
    </row>
    <row r="61" spans="1:11" ht="17.25" customHeight="1" x14ac:dyDescent="0.2">
      <c r="B61" s="578"/>
      <c r="C61" s="578"/>
      <c r="D61" s="578"/>
      <c r="E61" s="578"/>
      <c r="F61" s="578"/>
      <c r="G61" s="69"/>
      <c r="I61" s="71"/>
      <c r="J61" s="76" t="s">
        <v>447</v>
      </c>
    </row>
    <row r="62" spans="1:11" x14ac:dyDescent="0.2">
      <c r="G62" s="69"/>
      <c r="H62" s="69"/>
      <c r="I62" s="69"/>
      <c r="J62" s="577">
        <f>C146</f>
        <v>41703</v>
      </c>
      <c r="K62" s="577"/>
    </row>
    <row r="63" spans="1:11" x14ac:dyDescent="0.2">
      <c r="G63" s="69"/>
      <c r="H63" s="69"/>
      <c r="I63" s="69"/>
      <c r="J63" s="69"/>
      <c r="K63" s="69"/>
    </row>
    <row r="122" spans="1:9" x14ac:dyDescent="0.2">
      <c r="A122" s="77"/>
      <c r="B122" s="69"/>
      <c r="C122" s="69"/>
      <c r="D122" s="69"/>
      <c r="E122" s="69"/>
      <c r="F122" s="69"/>
      <c r="G122" s="69"/>
      <c r="H122" s="69"/>
      <c r="I122" s="69"/>
    </row>
    <row r="123" spans="1:9" ht="12.75" x14ac:dyDescent="0.2">
      <c r="A123" s="78"/>
      <c r="B123" s="69"/>
      <c r="C123" s="69"/>
      <c r="D123" s="69"/>
      <c r="E123" s="69"/>
      <c r="F123" s="69"/>
      <c r="G123" s="69"/>
      <c r="H123" s="69"/>
      <c r="I123" s="69"/>
    </row>
    <row r="124" spans="1:9" ht="12.75" x14ac:dyDescent="0.2">
      <c r="A124" s="79"/>
      <c r="B124" s="80"/>
      <c r="C124" s="80"/>
      <c r="D124" s="69"/>
      <c r="E124" s="69"/>
      <c r="F124" s="69"/>
      <c r="G124" s="69"/>
      <c r="H124" s="69"/>
      <c r="I124" s="69"/>
    </row>
    <row r="125" spans="1:9" ht="12.75" x14ac:dyDescent="0.2">
      <c r="A125" s="79"/>
      <c r="B125" s="80"/>
      <c r="C125" s="80"/>
      <c r="D125" s="69"/>
      <c r="E125" s="69"/>
      <c r="F125" s="69"/>
      <c r="G125" s="69"/>
      <c r="H125" s="69"/>
      <c r="I125" s="69"/>
    </row>
    <row r="126" spans="1:9" ht="15" x14ac:dyDescent="0.25">
      <c r="A126" s="81" t="s">
        <v>300</v>
      </c>
      <c r="B126" s="82"/>
      <c r="C126" s="82"/>
      <c r="D126" s="82"/>
      <c r="E126" s="82"/>
      <c r="F126" s="82"/>
      <c r="G126" s="83"/>
      <c r="H126" s="84"/>
    </row>
    <row r="127" spans="1:9" x14ac:dyDescent="0.2">
      <c r="D127" s="69"/>
      <c r="E127" s="69"/>
      <c r="F127" s="69"/>
      <c r="G127" s="69"/>
      <c r="H127" s="85"/>
    </row>
    <row r="128" spans="1:9" x14ac:dyDescent="0.2">
      <c r="D128" s="69"/>
      <c r="E128" s="69"/>
      <c r="F128" s="69"/>
      <c r="G128" s="69"/>
      <c r="H128" s="85"/>
    </row>
    <row r="129" spans="1:8" x14ac:dyDescent="0.2">
      <c r="D129" s="69"/>
      <c r="E129" s="69"/>
      <c r="F129" s="69"/>
      <c r="G129" s="69"/>
      <c r="H129" s="85"/>
    </row>
    <row r="130" spans="1:8" ht="12.75" x14ac:dyDescent="0.2">
      <c r="A130" s="79" t="s">
        <v>744</v>
      </c>
      <c r="B130" s="80"/>
      <c r="C130" s="86">
        <v>41455</v>
      </c>
      <c r="D130" s="12" t="s">
        <v>745</v>
      </c>
      <c r="E130" s="69"/>
      <c r="F130" s="551" t="s">
        <v>737</v>
      </c>
      <c r="G130" s="69"/>
      <c r="H130" s="85"/>
    </row>
    <row r="131" spans="1:8" ht="12.75" x14ac:dyDescent="0.2">
      <c r="A131" s="79"/>
      <c r="B131" s="80"/>
      <c r="C131" s="80"/>
      <c r="D131" s="69"/>
      <c r="E131" s="69"/>
      <c r="F131" s="69"/>
      <c r="G131" s="69"/>
      <c r="H131" s="85"/>
    </row>
    <row r="132" spans="1:8" x14ac:dyDescent="0.2">
      <c r="D132" s="69"/>
      <c r="E132" s="69"/>
      <c r="F132" s="69"/>
      <c r="G132" s="69"/>
      <c r="H132" s="85"/>
    </row>
    <row r="133" spans="1:8" ht="12.75" x14ac:dyDescent="0.2">
      <c r="A133" s="79" t="s">
        <v>301</v>
      </c>
      <c r="B133" s="80"/>
      <c r="C133" s="1" t="s">
        <v>741</v>
      </c>
      <c r="D133" s="69"/>
      <c r="E133" s="69"/>
      <c r="F133" s="69"/>
      <c r="G133" s="69"/>
      <c r="H133" s="85"/>
    </row>
    <row r="134" spans="1:8" ht="12.75" x14ac:dyDescent="0.2">
      <c r="A134" s="555" t="s">
        <v>730</v>
      </c>
      <c r="B134" s="80"/>
      <c r="C134" s="87">
        <v>41820</v>
      </c>
      <c r="D134" s="69"/>
      <c r="E134" s="69"/>
      <c r="F134" s="69"/>
      <c r="G134" s="69"/>
      <c r="H134" s="85"/>
    </row>
    <row r="135" spans="1:8" ht="12.75" x14ac:dyDescent="0.2">
      <c r="A135" s="79"/>
      <c r="B135" s="80"/>
      <c r="C135" s="80"/>
      <c r="D135" s="69"/>
      <c r="E135" s="69"/>
      <c r="F135" s="69"/>
      <c r="G135" s="69"/>
      <c r="H135" s="85"/>
    </row>
    <row r="136" spans="1:8" ht="12.75" x14ac:dyDescent="0.2">
      <c r="B136" s="80"/>
      <c r="C136" s="80"/>
      <c r="D136" s="69"/>
      <c r="E136" s="69"/>
      <c r="F136" s="69"/>
      <c r="G136" s="69"/>
      <c r="H136" s="85"/>
    </row>
    <row r="137" spans="1:8" ht="12.75" x14ac:dyDescent="0.2">
      <c r="A137" s="79" t="s">
        <v>302</v>
      </c>
      <c r="B137" s="80"/>
      <c r="C137" s="88" t="s">
        <v>740</v>
      </c>
      <c r="D137" s="69"/>
      <c r="E137" s="69"/>
      <c r="F137" s="69"/>
      <c r="G137" s="69"/>
      <c r="H137" s="85"/>
    </row>
    <row r="138" spans="1:8" ht="12.75" x14ac:dyDescent="0.2">
      <c r="A138" s="555" t="s">
        <v>731</v>
      </c>
      <c r="B138" s="80"/>
      <c r="C138" s="556" t="s">
        <v>742</v>
      </c>
      <c r="D138" s="69"/>
      <c r="E138" s="69"/>
      <c r="F138" s="69"/>
      <c r="G138" s="69"/>
      <c r="H138" s="85"/>
    </row>
    <row r="139" spans="1:8" ht="12.75" x14ac:dyDescent="0.2">
      <c r="A139" s="555" t="s">
        <v>731</v>
      </c>
      <c r="B139" s="80"/>
      <c r="C139" s="87">
        <v>42185</v>
      </c>
      <c r="D139" s="69"/>
      <c r="E139" s="69"/>
      <c r="F139" s="69"/>
      <c r="G139" s="69"/>
      <c r="H139" s="85"/>
    </row>
    <row r="140" spans="1:8" ht="12.75" x14ac:dyDescent="0.2">
      <c r="A140" s="79"/>
      <c r="B140" s="80"/>
      <c r="C140" s="80"/>
      <c r="D140" s="69"/>
      <c r="E140" s="69"/>
      <c r="F140" s="69"/>
      <c r="G140" s="69"/>
      <c r="H140" s="85"/>
    </row>
    <row r="141" spans="1:8" ht="12.75" x14ac:dyDescent="0.2">
      <c r="A141" s="79"/>
      <c r="B141" s="80"/>
      <c r="C141" s="80"/>
      <c r="D141" s="69"/>
      <c r="E141" s="69"/>
      <c r="F141" s="69"/>
      <c r="G141" s="69"/>
      <c r="H141" s="85"/>
    </row>
    <row r="142" spans="1:8" ht="12.75" x14ac:dyDescent="0.2">
      <c r="A142" s="79" t="s">
        <v>550</v>
      </c>
      <c r="B142" s="80"/>
      <c r="C142" s="556" t="s">
        <v>743</v>
      </c>
      <c r="D142" s="69"/>
      <c r="E142" s="566" t="s">
        <v>310</v>
      </c>
      <c r="F142" s="566"/>
      <c r="G142" s="566"/>
      <c r="H142" s="85"/>
    </row>
    <row r="143" spans="1:8" x14ac:dyDescent="0.2">
      <c r="A143" s="77"/>
      <c r="B143" s="69"/>
      <c r="C143" s="89">
        <v>41821</v>
      </c>
      <c r="D143" s="69"/>
      <c r="E143" s="566"/>
      <c r="F143" s="566"/>
      <c r="G143" s="566"/>
      <c r="H143" s="85"/>
    </row>
    <row r="144" spans="1:8" x14ac:dyDescent="0.2">
      <c r="A144" s="77"/>
      <c r="B144" s="69"/>
      <c r="C144" s="69"/>
      <c r="D144" s="69"/>
      <c r="E144" s="69"/>
      <c r="F144" s="69"/>
      <c r="G144" s="69"/>
      <c r="H144" s="85"/>
    </row>
    <row r="145" spans="1:8" x14ac:dyDescent="0.2">
      <c r="A145" s="77"/>
      <c r="B145" s="69"/>
      <c r="C145" s="69"/>
      <c r="D145" s="69"/>
      <c r="E145" s="69"/>
      <c r="F145" s="69"/>
      <c r="G145" s="69"/>
      <c r="H145" s="85"/>
    </row>
    <row r="146" spans="1:8" x14ac:dyDescent="0.2">
      <c r="A146" s="90" t="s">
        <v>315</v>
      </c>
      <c r="B146" s="91"/>
      <c r="C146" s="92">
        <v>41703</v>
      </c>
      <c r="D146" s="545">
        <f>C146</f>
        <v>41703</v>
      </c>
      <c r="E146" s="69"/>
      <c r="F146" s="69"/>
      <c r="G146" s="69"/>
      <c r="H146" s="85"/>
    </row>
    <row r="147" spans="1:8" x14ac:dyDescent="0.2">
      <c r="A147" s="95"/>
      <c r="B147" s="72"/>
      <c r="C147" s="72"/>
      <c r="D147" s="72"/>
      <c r="E147" s="72"/>
      <c r="F147" s="72"/>
      <c r="G147" s="72"/>
      <c r="H147" s="96"/>
    </row>
  </sheetData>
  <sheetProtection sheet="1" objects="1" scenarios="1"/>
  <mergeCells count="18">
    <mergeCell ref="A16:K17"/>
    <mergeCell ref="I23:J23"/>
    <mergeCell ref="C58:F58"/>
    <mergeCell ref="J62:K62"/>
    <mergeCell ref="I58:K58"/>
    <mergeCell ref="B60:F60"/>
    <mergeCell ref="B61:F61"/>
    <mergeCell ref="B41:E41"/>
    <mergeCell ref="B39:E39"/>
    <mergeCell ref="E142:G143"/>
    <mergeCell ref="A20:E20"/>
    <mergeCell ref="A58:B58"/>
    <mergeCell ref="G58:H58"/>
    <mergeCell ref="B40:D40"/>
    <mergeCell ref="F24:G24"/>
    <mergeCell ref="H20:K20"/>
    <mergeCell ref="B38:E38"/>
    <mergeCell ref="C50:E50"/>
  </mergeCells>
  <phoneticPr fontId="11" type="noConversion"/>
  <dataValidations count="4">
    <dataValidation type="date" allowBlank="1" showInputMessage="1" showErrorMessage="1" promptTitle="This needs to be a date format" prompt="Please input as 06/30/xx" sqref="D21">
      <formula1>36707</formula1>
      <formula2>72866</formula2>
    </dataValidation>
    <dataValidation operator="greaterThan" allowBlank="1" showInputMessage="1" showErrorMessage="1" sqref="C58:C59 D59:E59"/>
    <dataValidation type="whole" allowBlank="1" showInputMessage="1" showErrorMessage="1" promptTitle="This needs to be a whole number" prompt="Please input a whole number" sqref="A24 C23 F30">
      <formula1>0</formula1>
      <formula2>1000000000</formula2>
    </dataValidation>
    <dataValidation type="whole" allowBlank="1" showInputMessage="1" showErrorMessage="1" promptTitle="This needs to be a whole number" prompt="Please input as a whole number" sqref="F24:G24 I23:J23">
      <formula1>0</formula1>
      <formula2>1E+23</formula2>
    </dataValidation>
  </dataValidations>
  <pageMargins left="0.55000000000000004" right="0" top="0.5" bottom="0.25" header="0.5" footer="0"/>
  <pageSetup scale="9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2059" r:id="rId4">
          <objectPr locked="0" defaultSize="0" r:id="rId5">
            <anchor moveWithCells="1" sizeWithCells="1">
              <from>
                <xdr:col>0</xdr:col>
                <xdr:colOff>295275</xdr:colOff>
                <xdr:row>0</xdr:row>
                <xdr:rowOff>0</xdr:rowOff>
              </from>
              <to>
                <xdr:col>11</xdr:col>
                <xdr:colOff>142875</xdr:colOff>
                <xdr:row>16</xdr:row>
                <xdr:rowOff>104775</xdr:rowOff>
              </to>
            </anchor>
          </objectPr>
        </oleObject>
      </mc:Choice>
      <mc:Fallback>
        <oleObject progId="Word.Document.12" shapeId="2059" r:id="rId4"/>
      </mc:Fallback>
    </mc:AlternateContent>
    <mc:AlternateContent xmlns:mc="http://schemas.openxmlformats.org/markup-compatibility/2006">
      <mc:Choice Requires="x14">
        <oleObject progId="Word.Document.12" shapeId="2060" r:id="rId6">
          <objectPr defaultSize="0" r:id="rId7">
            <anchor moveWithCells="1">
              <from>
                <xdr:col>0</xdr:col>
                <xdr:colOff>123825</xdr:colOff>
                <xdr:row>0</xdr:row>
                <xdr:rowOff>0</xdr:rowOff>
              </from>
              <to>
                <xdr:col>10</xdr:col>
                <xdr:colOff>400050</xdr:colOff>
                <xdr:row>16</xdr:row>
                <xdr:rowOff>104775</xdr:rowOff>
              </to>
            </anchor>
          </objectPr>
        </oleObject>
      </mc:Choice>
      <mc:Fallback>
        <oleObject progId="Word.Document.12" shapeId="2060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"/>
  <sheetViews>
    <sheetView zoomScale="75" zoomScaleNormal="75" workbookViewId="0">
      <selection activeCell="D8" sqref="D8"/>
    </sheetView>
  </sheetViews>
  <sheetFormatPr defaultRowHeight="12" x14ac:dyDescent="0.2"/>
  <cols>
    <col min="1" max="1" width="4.7109375" style="7" customWidth="1"/>
    <col min="2" max="2" width="10.7109375" style="1" customWidth="1"/>
    <col min="3" max="3" width="2.140625" style="1" customWidth="1"/>
    <col min="4" max="4" width="10.28515625" style="1" customWidth="1"/>
    <col min="5" max="5" width="4.42578125" style="1" customWidth="1"/>
    <col min="6" max="6" width="14" style="1" customWidth="1"/>
    <col min="7" max="7" width="2.42578125" style="1" customWidth="1"/>
    <col min="8" max="8" width="10.5703125" style="1" customWidth="1"/>
    <col min="9" max="9" width="4.5703125" style="1" customWidth="1"/>
    <col min="10" max="10" width="14.28515625" style="1" customWidth="1"/>
    <col min="11" max="11" width="2.85546875" style="1" customWidth="1"/>
    <col min="12" max="12" width="13.28515625" style="1" customWidth="1"/>
    <col min="13" max="13" width="4.28515625" style="1" customWidth="1"/>
    <col min="14" max="14" width="16.42578125" style="1" customWidth="1"/>
    <col min="15" max="16384" width="9.140625" style="1"/>
  </cols>
  <sheetData>
    <row r="1" spans="1:14" x14ac:dyDescent="0.2">
      <c r="A1" s="581" t="s">
        <v>43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x14ac:dyDescent="0.2">
      <c r="N2" s="8" t="s">
        <v>694</v>
      </c>
    </row>
    <row r="3" spans="1:14" x14ac:dyDescent="0.2">
      <c r="F3" s="8" t="s">
        <v>694</v>
      </c>
      <c r="H3" s="541"/>
      <c r="J3" s="8" t="s">
        <v>694</v>
      </c>
      <c r="L3" s="541"/>
      <c r="N3" s="8" t="s">
        <v>44</v>
      </c>
    </row>
    <row r="4" spans="1:14" x14ac:dyDescent="0.2">
      <c r="F4" s="8" t="s">
        <v>747</v>
      </c>
      <c r="H4" s="541"/>
      <c r="J4" s="8" t="s">
        <v>748</v>
      </c>
      <c r="L4" s="541"/>
      <c r="N4" s="8" t="s">
        <v>45</v>
      </c>
    </row>
    <row r="5" spans="1:14" x14ac:dyDescent="0.2">
      <c r="F5" s="9" t="str">
        <f>"ENDING "&amp;TEXT('Form 1 Cover'!C130,"MM/DD/YY")</f>
        <v>ENDING 06/30/13</v>
      </c>
      <c r="H5" s="541"/>
      <c r="J5" s="9" t="str">
        <f>"ENDING "&amp;TEXT('Form 1 Cover'!C134, "MM/DD/YY")</f>
        <v>ENDING 06/30/14</v>
      </c>
      <c r="L5" s="541"/>
      <c r="N5" s="9" t="str">
        <f>"ENDING "&amp;TEXT('Form 1 Cover'!C139, "MM/DD/YY")</f>
        <v>ENDING 06/30/15</v>
      </c>
    </row>
    <row r="6" spans="1:14" x14ac:dyDescent="0.2">
      <c r="H6" s="541"/>
      <c r="L6" s="541"/>
    </row>
    <row r="7" spans="1:14" x14ac:dyDescent="0.2">
      <c r="A7" s="7" t="s">
        <v>59</v>
      </c>
      <c r="B7" s="1" t="s">
        <v>46</v>
      </c>
      <c r="H7" s="541"/>
      <c r="J7" s="10"/>
      <c r="L7" s="541"/>
    </row>
    <row r="8" spans="1:14" x14ac:dyDescent="0.2">
      <c r="B8" s="1" t="s">
        <v>47</v>
      </c>
      <c r="D8" s="419"/>
      <c r="E8" s="417" t="s">
        <v>48</v>
      </c>
      <c r="F8" s="424">
        <f>D8*0.6</f>
        <v>0</v>
      </c>
      <c r="G8" s="418"/>
      <c r="H8" s="542"/>
      <c r="I8" s="417" t="s">
        <v>48</v>
      </c>
      <c r="J8" s="424">
        <f>H8*0.6</f>
        <v>0</v>
      </c>
      <c r="K8" s="420"/>
      <c r="L8" s="542"/>
      <c r="M8" s="417" t="s">
        <v>48</v>
      </c>
      <c r="N8" s="424">
        <f>L8*0.6</f>
        <v>0</v>
      </c>
    </row>
    <row r="9" spans="1:14" x14ac:dyDescent="0.2">
      <c r="D9" s="420"/>
      <c r="E9" s="420"/>
      <c r="F9" s="428"/>
      <c r="G9" s="418"/>
      <c r="H9" s="543"/>
      <c r="I9" s="420"/>
      <c r="J9" s="429"/>
      <c r="K9" s="420"/>
      <c r="L9" s="543"/>
      <c r="M9" s="420"/>
      <c r="N9" s="429"/>
    </row>
    <row r="10" spans="1:14" x14ac:dyDescent="0.2">
      <c r="A10" s="7" t="s">
        <v>324</v>
      </c>
      <c r="B10" s="1" t="s">
        <v>49</v>
      </c>
      <c r="D10" s="419"/>
      <c r="E10" s="417" t="s">
        <v>48</v>
      </c>
      <c r="F10" s="424">
        <f>D10*0.6</f>
        <v>0</v>
      </c>
      <c r="G10" s="418"/>
      <c r="H10" s="542"/>
      <c r="I10" s="417" t="s">
        <v>48</v>
      </c>
      <c r="J10" s="424">
        <f>H10*0.6</f>
        <v>0</v>
      </c>
      <c r="K10" s="420"/>
      <c r="L10" s="542"/>
      <c r="M10" s="417" t="s">
        <v>48</v>
      </c>
      <c r="N10" s="424">
        <f>L10*0.6</f>
        <v>0</v>
      </c>
    </row>
    <row r="11" spans="1:14" x14ac:dyDescent="0.2">
      <c r="D11" s="420"/>
      <c r="E11" s="420"/>
      <c r="F11" s="418"/>
      <c r="G11" s="418"/>
      <c r="H11" s="543"/>
      <c r="I11" s="420"/>
      <c r="J11" s="420"/>
      <c r="K11" s="420"/>
      <c r="L11" s="543"/>
      <c r="M11" s="420"/>
      <c r="N11" s="420"/>
    </row>
    <row r="12" spans="1:14" x14ac:dyDescent="0.2">
      <c r="A12" s="7" t="s">
        <v>60</v>
      </c>
      <c r="B12" s="1" t="s">
        <v>50</v>
      </c>
      <c r="D12" s="420"/>
      <c r="E12" s="420"/>
      <c r="F12" s="421"/>
      <c r="G12" s="418"/>
      <c r="H12" s="543"/>
      <c r="I12" s="420"/>
      <c r="J12" s="421"/>
      <c r="K12" s="420"/>
      <c r="L12" s="543"/>
      <c r="M12" s="420"/>
      <c r="N12" s="421"/>
    </row>
    <row r="13" spans="1:14" x14ac:dyDescent="0.2">
      <c r="D13" s="420"/>
      <c r="E13" s="420"/>
      <c r="F13" s="418"/>
      <c r="G13" s="418"/>
      <c r="H13" s="543"/>
      <c r="I13" s="420"/>
      <c r="J13" s="420"/>
      <c r="K13" s="420"/>
      <c r="L13" s="543"/>
      <c r="M13" s="420"/>
      <c r="N13" s="420"/>
    </row>
    <row r="14" spans="1:14" x14ac:dyDescent="0.2">
      <c r="A14" s="7" t="s">
        <v>61</v>
      </c>
      <c r="B14" s="1" t="s">
        <v>51</v>
      </c>
      <c r="D14" s="420"/>
      <c r="E14" s="420"/>
      <c r="F14" s="421"/>
      <c r="G14" s="418"/>
      <c r="H14" s="543"/>
      <c r="I14" s="420"/>
      <c r="J14" s="421"/>
      <c r="K14" s="420"/>
      <c r="L14" s="543"/>
      <c r="M14" s="420"/>
      <c r="N14" s="421"/>
    </row>
    <row r="15" spans="1:14" x14ac:dyDescent="0.2">
      <c r="D15" s="420"/>
      <c r="E15" s="420"/>
      <c r="F15" s="418"/>
      <c r="G15" s="418"/>
      <c r="H15" s="543"/>
      <c r="I15" s="420"/>
      <c r="J15" s="420"/>
      <c r="K15" s="420"/>
      <c r="L15" s="543"/>
      <c r="M15" s="420"/>
      <c r="N15" s="420"/>
    </row>
    <row r="16" spans="1:14" x14ac:dyDescent="0.2">
      <c r="A16" s="7" t="s">
        <v>62</v>
      </c>
      <c r="B16" s="1" t="s">
        <v>52</v>
      </c>
      <c r="D16" s="420"/>
      <c r="E16" s="420"/>
      <c r="F16" s="421"/>
      <c r="G16" s="418"/>
      <c r="H16" s="543"/>
      <c r="I16" s="420"/>
      <c r="J16" s="421"/>
      <c r="K16" s="420"/>
      <c r="L16" s="543"/>
      <c r="M16" s="420"/>
      <c r="N16" s="421"/>
    </row>
    <row r="17" spans="1:14" x14ac:dyDescent="0.2">
      <c r="D17" s="420"/>
      <c r="E17" s="420"/>
      <c r="F17" s="422"/>
      <c r="G17" s="418"/>
      <c r="H17" s="543"/>
      <c r="I17" s="420"/>
      <c r="J17" s="420"/>
      <c r="K17" s="420"/>
      <c r="L17" s="543"/>
      <c r="M17" s="420"/>
      <c r="N17" s="420"/>
    </row>
    <row r="18" spans="1:14" x14ac:dyDescent="0.2">
      <c r="A18" s="11" t="s">
        <v>448</v>
      </c>
      <c r="B18" s="1" t="s">
        <v>449</v>
      </c>
      <c r="D18" s="420"/>
      <c r="E18" s="420"/>
      <c r="F18" s="424">
        <f>F8+F10+F12+F14+F16</f>
        <v>0</v>
      </c>
      <c r="G18" s="422"/>
      <c r="H18" s="544"/>
      <c r="I18" s="422"/>
      <c r="J18" s="424">
        <f>J8+J10+J12+J14+J16</f>
        <v>0</v>
      </c>
      <c r="K18" s="422"/>
      <c r="L18" s="544"/>
      <c r="M18" s="422"/>
      <c r="N18" s="424">
        <f>N8+N10+N12+N14+N16</f>
        <v>0</v>
      </c>
    </row>
    <row r="19" spans="1:14" x14ac:dyDescent="0.2">
      <c r="D19" s="420"/>
      <c r="E19" s="420"/>
      <c r="F19" s="418"/>
      <c r="G19" s="418"/>
      <c r="H19" s="543"/>
      <c r="I19" s="420"/>
      <c r="J19" s="420"/>
      <c r="K19" s="420"/>
      <c r="L19" s="543"/>
      <c r="M19" s="420"/>
      <c r="N19" s="420"/>
    </row>
    <row r="20" spans="1:14" x14ac:dyDescent="0.2">
      <c r="A20" s="7" t="s">
        <v>311</v>
      </c>
      <c r="B20" s="1" t="s">
        <v>721</v>
      </c>
      <c r="D20" s="420"/>
      <c r="E20" s="420"/>
      <c r="F20" s="418"/>
      <c r="G20" s="418"/>
      <c r="H20" s="543"/>
      <c r="I20" s="420"/>
      <c r="J20" s="420"/>
      <c r="K20" s="420"/>
      <c r="L20" s="543"/>
      <c r="M20" s="420"/>
      <c r="N20" s="420"/>
    </row>
    <row r="21" spans="1:14" x14ac:dyDescent="0.2">
      <c r="B21" s="1" t="s">
        <v>53</v>
      </c>
      <c r="D21" s="420"/>
      <c r="E21" s="420"/>
      <c r="F21" s="421"/>
      <c r="G21" s="418"/>
      <c r="H21" s="543"/>
      <c r="I21" s="420"/>
      <c r="J21" s="419"/>
      <c r="K21" s="420"/>
      <c r="L21" s="543"/>
      <c r="M21" s="420"/>
      <c r="N21" s="419"/>
    </row>
    <row r="22" spans="1:14" x14ac:dyDescent="0.2">
      <c r="D22" s="420"/>
      <c r="E22" s="420"/>
      <c r="F22" s="418"/>
      <c r="G22" s="418"/>
      <c r="H22" s="543"/>
      <c r="I22" s="420"/>
      <c r="J22" s="420"/>
      <c r="K22" s="420"/>
      <c r="L22" s="543"/>
      <c r="M22" s="420"/>
      <c r="N22" s="420"/>
    </row>
    <row r="23" spans="1:14" x14ac:dyDescent="0.2">
      <c r="A23" s="7" t="s">
        <v>325</v>
      </c>
      <c r="B23" s="1" t="s">
        <v>722</v>
      </c>
      <c r="D23" s="420"/>
      <c r="E23" s="420"/>
      <c r="F23" s="418"/>
      <c r="G23" s="418"/>
      <c r="H23" s="543"/>
      <c r="I23" s="420"/>
      <c r="J23" s="420"/>
      <c r="K23" s="420"/>
      <c r="L23" s="543"/>
      <c r="M23" s="420"/>
      <c r="N23" s="420"/>
    </row>
    <row r="24" spans="1:14" x14ac:dyDescent="0.2">
      <c r="B24" s="1" t="s">
        <v>54</v>
      </c>
      <c r="D24" s="420"/>
      <c r="E24" s="420"/>
      <c r="F24" s="421"/>
      <c r="G24" s="418"/>
      <c r="H24" s="543"/>
      <c r="I24" s="420"/>
      <c r="J24" s="419"/>
      <c r="K24" s="420"/>
      <c r="L24" s="543"/>
      <c r="M24" s="420"/>
      <c r="N24" s="419"/>
    </row>
    <row r="25" spans="1:14" x14ac:dyDescent="0.2">
      <c r="D25" s="420"/>
      <c r="E25" s="420"/>
      <c r="F25" s="418"/>
      <c r="G25" s="418"/>
      <c r="H25" s="543"/>
      <c r="I25" s="420"/>
      <c r="J25" s="420"/>
      <c r="K25" s="420"/>
      <c r="L25" s="543"/>
      <c r="M25" s="420"/>
      <c r="N25" s="420"/>
    </row>
    <row r="26" spans="1:14" x14ac:dyDescent="0.2">
      <c r="A26" s="7" t="s">
        <v>312</v>
      </c>
      <c r="B26" s="1" t="s">
        <v>450</v>
      </c>
      <c r="D26" s="420"/>
      <c r="E26" s="420"/>
      <c r="F26" s="424">
        <f>F18+F21-F24</f>
        <v>0</v>
      </c>
      <c r="G26" s="418"/>
      <c r="H26" s="543"/>
      <c r="I26" s="420"/>
      <c r="J26" s="424">
        <f>J18+J21-J24</f>
        <v>0</v>
      </c>
      <c r="K26" s="420"/>
      <c r="L26" s="543"/>
      <c r="M26" s="420"/>
      <c r="N26" s="424">
        <f>N18+N21-N24</f>
        <v>0</v>
      </c>
    </row>
    <row r="27" spans="1:14" x14ac:dyDescent="0.2">
      <c r="D27" s="420"/>
      <c r="E27" s="420"/>
      <c r="F27" s="422"/>
      <c r="G27" s="418"/>
      <c r="H27" s="543"/>
      <c r="I27" s="420"/>
      <c r="J27" s="423"/>
      <c r="K27" s="420"/>
      <c r="L27" s="543"/>
      <c r="M27" s="420"/>
      <c r="N27" s="423"/>
    </row>
    <row r="28" spans="1:14" x14ac:dyDescent="0.2">
      <c r="A28" s="7" t="s">
        <v>323</v>
      </c>
      <c r="B28" s="1" t="s">
        <v>451</v>
      </c>
      <c r="D28" s="420"/>
      <c r="E28" s="420"/>
      <c r="F28" s="422"/>
      <c r="G28" s="418"/>
      <c r="H28" s="543"/>
      <c r="I28" s="420"/>
      <c r="J28" s="423"/>
      <c r="K28" s="420"/>
      <c r="L28" s="543"/>
      <c r="M28" s="420"/>
      <c r="N28" s="425"/>
    </row>
    <row r="29" spans="1:14" ht="12.75" thickBo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</row>
    <row r="30" spans="1:14" ht="12.75" thickTop="1" x14ac:dyDescent="0.2"/>
    <row r="31" spans="1:14" x14ac:dyDescent="0.2">
      <c r="A31" s="7" t="s">
        <v>316</v>
      </c>
      <c r="B31" s="16" t="str">
        <f>"Basic support per pupil amount, Year " &amp;PROPER(N5)</f>
        <v>Basic support per pupil amount, Year Ending 06/30/15</v>
      </c>
      <c r="C31" s="8"/>
      <c r="D31" s="8"/>
      <c r="E31" s="8"/>
      <c r="F31" s="8"/>
      <c r="G31" s="16"/>
      <c r="H31" s="8"/>
      <c r="I31" s="8"/>
      <c r="J31" s="97" t="e">
        <f>L53</f>
        <v>#DIV/0!</v>
      </c>
      <c r="N31" s="12"/>
    </row>
    <row r="32" spans="1:14" x14ac:dyDescent="0.2">
      <c r="B32" s="16" t="s">
        <v>746</v>
      </c>
      <c r="C32" s="8"/>
      <c r="D32" s="8"/>
      <c r="E32" s="8"/>
      <c r="F32" s="8"/>
      <c r="G32" s="16"/>
      <c r="H32" s="8" t="s">
        <v>694</v>
      </c>
      <c r="I32" s="8"/>
      <c r="J32" s="17"/>
      <c r="L32" s="1" t="s">
        <v>475</v>
      </c>
      <c r="N32" s="12"/>
    </row>
    <row r="33" spans="2:14" x14ac:dyDescent="0.2">
      <c r="B33" s="16" t="s">
        <v>547</v>
      </c>
      <c r="C33" s="8"/>
      <c r="D33" s="8"/>
      <c r="E33" s="8"/>
      <c r="F33" s="8" t="str">
        <f>'Form 1 Cover'!C137</f>
        <v>2014-2015</v>
      </c>
      <c r="G33" s="16"/>
      <c r="H33" s="8" t="str">
        <f>'Form 1 Cover'!C137</f>
        <v>2014-2015</v>
      </c>
      <c r="I33" s="8"/>
      <c r="J33" s="17"/>
      <c r="N33" s="18" t="s">
        <v>480</v>
      </c>
    </row>
    <row r="34" spans="2:14" x14ac:dyDescent="0.2">
      <c r="C34" s="8"/>
      <c r="D34" s="19" t="s">
        <v>81</v>
      </c>
      <c r="E34" s="20"/>
      <c r="F34" s="19" t="s">
        <v>739</v>
      </c>
      <c r="G34" s="21"/>
      <c r="H34" s="20" t="s">
        <v>454</v>
      </c>
      <c r="I34" s="20"/>
      <c r="J34" s="22" t="s">
        <v>449</v>
      </c>
      <c r="N34" s="18" t="s">
        <v>724</v>
      </c>
    </row>
    <row r="35" spans="2:14" x14ac:dyDescent="0.2">
      <c r="B35" s="16"/>
      <c r="C35" s="8"/>
      <c r="D35" s="23" t="s">
        <v>455</v>
      </c>
      <c r="E35" s="8"/>
      <c r="F35" s="65">
        <v>6643</v>
      </c>
      <c r="G35" s="16"/>
      <c r="H35" s="426">
        <v>0</v>
      </c>
      <c r="I35" s="8"/>
      <c r="J35" s="17">
        <f>F35*H35</f>
        <v>0</v>
      </c>
      <c r="N35" s="64">
        <v>1086</v>
      </c>
    </row>
    <row r="36" spans="2:14" x14ac:dyDescent="0.2">
      <c r="B36" s="16"/>
      <c r="C36" s="8"/>
      <c r="D36" s="23" t="s">
        <v>456</v>
      </c>
      <c r="E36" s="8"/>
      <c r="F36" s="65">
        <v>6629</v>
      </c>
      <c r="G36" s="16"/>
      <c r="H36" s="426">
        <v>0</v>
      </c>
      <c r="I36" s="8"/>
      <c r="J36" s="17">
        <f t="shared" ref="J36:J51" si="0">F36*H36</f>
        <v>0</v>
      </c>
      <c r="N36" s="64">
        <v>1069</v>
      </c>
    </row>
    <row r="37" spans="2:14" x14ac:dyDescent="0.2">
      <c r="B37" s="16"/>
      <c r="C37" s="8"/>
      <c r="D37" s="23" t="s">
        <v>457</v>
      </c>
      <c r="E37" s="8"/>
      <c r="F37" s="65">
        <v>5544</v>
      </c>
      <c r="G37" s="16"/>
      <c r="H37" s="426">
        <v>0</v>
      </c>
      <c r="I37" s="8"/>
      <c r="J37" s="17">
        <f t="shared" si="0"/>
        <v>0</v>
      </c>
      <c r="N37" s="64">
        <v>997</v>
      </c>
    </row>
    <row r="38" spans="2:14" x14ac:dyDescent="0.2">
      <c r="B38" s="16"/>
      <c r="C38" s="8"/>
      <c r="D38" s="23" t="s">
        <v>458</v>
      </c>
      <c r="E38" s="8"/>
      <c r="F38" s="65">
        <v>5998</v>
      </c>
      <c r="G38" s="16"/>
      <c r="H38" s="426">
        <v>0</v>
      </c>
      <c r="I38" s="8"/>
      <c r="J38" s="17">
        <f t="shared" si="0"/>
        <v>0</v>
      </c>
      <c r="N38" s="64">
        <v>2386</v>
      </c>
    </row>
    <row r="39" spans="2:14" x14ac:dyDescent="0.2">
      <c r="B39" s="16"/>
      <c r="C39" s="8"/>
      <c r="D39" s="23" t="s">
        <v>459</v>
      </c>
      <c r="E39" s="8"/>
      <c r="F39" s="65">
        <v>6692</v>
      </c>
      <c r="G39" s="16"/>
      <c r="H39" s="426">
        <v>0</v>
      </c>
      <c r="I39" s="8"/>
      <c r="J39" s="17">
        <f t="shared" si="0"/>
        <v>0</v>
      </c>
      <c r="N39" s="64">
        <v>1113</v>
      </c>
    </row>
    <row r="40" spans="2:14" x14ac:dyDescent="0.2">
      <c r="B40" s="16"/>
      <c r="C40" s="8"/>
      <c r="D40" s="23" t="s">
        <v>460</v>
      </c>
      <c r="E40" s="8"/>
      <c r="F40" s="65">
        <v>15798</v>
      </c>
      <c r="G40" s="16"/>
      <c r="H40" s="426">
        <v>0</v>
      </c>
      <c r="I40" s="8"/>
      <c r="J40" s="17">
        <f t="shared" si="0"/>
        <v>0</v>
      </c>
      <c r="N40" s="64">
        <v>8308</v>
      </c>
    </row>
    <row r="41" spans="2:14" x14ac:dyDescent="0.2">
      <c r="B41" s="16"/>
      <c r="C41" s="8"/>
      <c r="D41" s="23" t="s">
        <v>461</v>
      </c>
      <c r="E41" s="8"/>
      <c r="F41" s="65">
        <v>100</v>
      </c>
      <c r="G41" s="16"/>
      <c r="H41" s="426">
        <v>0</v>
      </c>
      <c r="I41" s="8"/>
      <c r="J41" s="17">
        <f t="shared" si="0"/>
        <v>0</v>
      </c>
      <c r="N41" s="64">
        <f>43970-100</f>
        <v>43870</v>
      </c>
    </row>
    <row r="42" spans="2:14" x14ac:dyDescent="0.2">
      <c r="B42" s="16"/>
      <c r="C42" s="8"/>
      <c r="D42" s="23" t="s">
        <v>462</v>
      </c>
      <c r="E42" s="8"/>
      <c r="F42" s="65">
        <v>5409</v>
      </c>
      <c r="G42" s="16"/>
      <c r="H42" s="426">
        <v>0</v>
      </c>
      <c r="I42" s="8"/>
      <c r="J42" s="17">
        <f t="shared" si="0"/>
        <v>0</v>
      </c>
      <c r="N42" s="64">
        <v>2047</v>
      </c>
    </row>
    <row r="43" spans="2:14" x14ac:dyDescent="0.2">
      <c r="B43" s="16"/>
      <c r="C43" s="8"/>
      <c r="D43" s="23" t="s">
        <v>463</v>
      </c>
      <c r="E43" s="8"/>
      <c r="F43" s="65">
        <v>385</v>
      </c>
      <c r="G43" s="16"/>
      <c r="H43" s="426">
        <v>0</v>
      </c>
      <c r="I43" s="8"/>
      <c r="J43" s="17">
        <f t="shared" si="0"/>
        <v>0</v>
      </c>
      <c r="N43" s="64">
        <f>9984-100</f>
        <v>9884</v>
      </c>
    </row>
    <row r="44" spans="2:14" x14ac:dyDescent="0.2">
      <c r="B44" s="16"/>
      <c r="C44" s="8"/>
      <c r="D44" s="23" t="s">
        <v>464</v>
      </c>
      <c r="E44" s="8"/>
      <c r="F44" s="65">
        <v>10500</v>
      </c>
      <c r="G44" s="16"/>
      <c r="H44" s="426">
        <v>0</v>
      </c>
      <c r="I44" s="8"/>
      <c r="J44" s="17">
        <f t="shared" si="0"/>
        <v>0</v>
      </c>
      <c r="N44" s="64">
        <v>1295</v>
      </c>
    </row>
    <row r="45" spans="2:14" x14ac:dyDescent="0.2">
      <c r="B45" s="16"/>
      <c r="C45" s="8"/>
      <c r="D45" s="23" t="s">
        <v>465</v>
      </c>
      <c r="E45" s="8"/>
      <c r="F45" s="65">
        <v>7186</v>
      </c>
      <c r="G45" s="16"/>
      <c r="H45" s="426">
        <v>0</v>
      </c>
      <c r="I45" s="8"/>
      <c r="J45" s="17">
        <f t="shared" si="0"/>
        <v>0</v>
      </c>
      <c r="N45" s="64">
        <v>922</v>
      </c>
    </row>
    <row r="46" spans="2:14" x14ac:dyDescent="0.2">
      <c r="B46" s="16"/>
      <c r="C46" s="8"/>
      <c r="D46" s="23" t="s">
        <v>466</v>
      </c>
      <c r="E46" s="8"/>
      <c r="F46" s="65">
        <v>9622</v>
      </c>
      <c r="G46" s="16"/>
      <c r="H46" s="426">
        <v>0</v>
      </c>
      <c r="I46" s="8"/>
      <c r="J46" s="17">
        <f t="shared" si="0"/>
        <v>0</v>
      </c>
      <c r="N46" s="64">
        <v>1683</v>
      </c>
    </row>
    <row r="47" spans="2:14" x14ac:dyDescent="0.2">
      <c r="B47" s="16"/>
      <c r="C47" s="8"/>
      <c r="D47" s="23" t="s">
        <v>467</v>
      </c>
      <c r="E47" s="8"/>
      <c r="F47" s="65">
        <v>7085</v>
      </c>
      <c r="G47" s="16"/>
      <c r="H47" s="426">
        <v>0</v>
      </c>
      <c r="I47" s="8"/>
      <c r="J47" s="17">
        <f t="shared" si="0"/>
        <v>0</v>
      </c>
      <c r="N47" s="64">
        <v>1368</v>
      </c>
    </row>
    <row r="48" spans="2:14" x14ac:dyDescent="0.2">
      <c r="B48" s="16"/>
      <c r="C48" s="8"/>
      <c r="D48" s="23" t="s">
        <v>468</v>
      </c>
      <c r="E48" s="8"/>
      <c r="F48" s="65">
        <v>8738</v>
      </c>
      <c r="G48" s="16"/>
      <c r="H48" s="426">
        <v>0</v>
      </c>
      <c r="I48" s="8"/>
      <c r="J48" s="17">
        <f t="shared" si="0"/>
        <v>0</v>
      </c>
      <c r="N48" s="64">
        <v>2272</v>
      </c>
    </row>
    <row r="49" spans="1:14" x14ac:dyDescent="0.2">
      <c r="B49" s="16"/>
      <c r="C49" s="8"/>
      <c r="D49" s="23" t="s">
        <v>469</v>
      </c>
      <c r="E49" s="8"/>
      <c r="F49" s="65">
        <v>8455</v>
      </c>
      <c r="G49" s="16"/>
      <c r="H49" s="426">
        <v>0</v>
      </c>
      <c r="I49" s="8"/>
      <c r="J49" s="17">
        <f t="shared" si="0"/>
        <v>0</v>
      </c>
      <c r="N49" s="64">
        <v>6494</v>
      </c>
    </row>
    <row r="50" spans="1:14" x14ac:dyDescent="0.2">
      <c r="B50" s="16"/>
      <c r="C50" s="8"/>
      <c r="D50" s="23" t="s">
        <v>470</v>
      </c>
      <c r="E50" s="8"/>
      <c r="F50" s="65">
        <v>5585</v>
      </c>
      <c r="G50" s="16"/>
      <c r="H50" s="426">
        <v>0</v>
      </c>
      <c r="I50" s="8"/>
      <c r="J50" s="17">
        <f t="shared" si="0"/>
        <v>0</v>
      </c>
      <c r="N50" s="64">
        <v>1138</v>
      </c>
    </row>
    <row r="51" spans="1:14" x14ac:dyDescent="0.2">
      <c r="B51" s="16"/>
      <c r="C51" s="8"/>
      <c r="D51" s="23" t="s">
        <v>471</v>
      </c>
      <c r="E51" s="8"/>
      <c r="F51" s="65">
        <v>7315</v>
      </c>
      <c r="G51" s="16"/>
      <c r="H51" s="426">
        <v>0</v>
      </c>
      <c r="I51" s="8"/>
      <c r="J51" s="17">
        <f t="shared" si="0"/>
        <v>0</v>
      </c>
      <c r="N51" s="64">
        <v>1902</v>
      </c>
    </row>
    <row r="52" spans="1:14" x14ac:dyDescent="0.2">
      <c r="B52" s="16"/>
      <c r="C52" s="8"/>
      <c r="D52" s="23"/>
      <c r="E52" s="8"/>
      <c r="F52" s="8" t="s">
        <v>270</v>
      </c>
      <c r="G52" s="16"/>
      <c r="H52" s="24"/>
      <c r="I52" s="8"/>
      <c r="J52" s="17"/>
      <c r="N52" s="12"/>
    </row>
    <row r="53" spans="1:14" x14ac:dyDescent="0.2">
      <c r="B53" s="16"/>
      <c r="C53" s="8"/>
      <c r="D53" s="23" t="s">
        <v>472</v>
      </c>
      <c r="E53" s="8"/>
      <c r="G53" s="23"/>
      <c r="H53" s="427">
        <f>SUM(H35:H51)</f>
        <v>0</v>
      </c>
      <c r="I53" s="8"/>
      <c r="J53" s="17">
        <f>SUM(J35:J52)</f>
        <v>0</v>
      </c>
      <c r="L53" s="25" t="e">
        <f>J53/H53</f>
        <v>#DIV/0!</v>
      </c>
      <c r="N53" s="12"/>
    </row>
    <row r="55" spans="1:14" x14ac:dyDescent="0.2">
      <c r="A55" s="7" t="s">
        <v>313</v>
      </c>
      <c r="B55" s="1" t="s">
        <v>479</v>
      </c>
      <c r="J55" s="168"/>
    </row>
    <row r="56" spans="1:14" x14ac:dyDescent="0.2">
      <c r="B56" s="1" t="s">
        <v>478</v>
      </c>
    </row>
    <row r="57" spans="1:14" x14ac:dyDescent="0.2">
      <c r="L57" s="1" t="s">
        <v>476</v>
      </c>
      <c r="N57" s="1" t="s">
        <v>477</v>
      </c>
    </row>
    <row r="58" spans="1:14" x14ac:dyDescent="0.2">
      <c r="A58" s="7" t="s">
        <v>317</v>
      </c>
      <c r="B58" s="1" t="s">
        <v>548</v>
      </c>
      <c r="K58" s="12"/>
      <c r="L58" s="26" t="e">
        <f>N26*(J31+J55)</f>
        <v>#DIV/0!</v>
      </c>
      <c r="N58" s="27" t="e">
        <f>N28*(J31+J55)</f>
        <v>#DIV/0!</v>
      </c>
    </row>
    <row r="59" spans="1:14" x14ac:dyDescent="0.2">
      <c r="K59" s="12"/>
      <c r="L59" s="28"/>
      <c r="N59" s="12"/>
    </row>
    <row r="60" spans="1:14" ht="12.75" customHeight="1" x14ac:dyDescent="0.2">
      <c r="A60" s="7" t="s">
        <v>318</v>
      </c>
      <c r="B60" s="1" t="s">
        <v>56</v>
      </c>
      <c r="H60" s="169"/>
      <c r="J60" s="1" t="s">
        <v>749</v>
      </c>
    </row>
    <row r="61" spans="1:14" x14ac:dyDescent="0.2">
      <c r="G61" s="1" t="s">
        <v>57</v>
      </c>
      <c r="H61" s="58">
        <v>39768</v>
      </c>
      <c r="I61" s="1" t="s">
        <v>58</v>
      </c>
      <c r="L61" s="61">
        <f>H60*H61</f>
        <v>0</v>
      </c>
      <c r="N61" s="12"/>
    </row>
    <row r="62" spans="1:14" x14ac:dyDescent="0.2">
      <c r="H62" s="62"/>
      <c r="L62" s="63"/>
      <c r="N62" s="12"/>
    </row>
    <row r="63" spans="1:14" x14ac:dyDescent="0.2">
      <c r="L63" s="8" t="s">
        <v>549</v>
      </c>
      <c r="M63" s="8"/>
      <c r="N63" s="8" t="s">
        <v>451</v>
      </c>
    </row>
    <row r="64" spans="1:14" x14ac:dyDescent="0.2">
      <c r="A64" s="7" t="s">
        <v>452</v>
      </c>
      <c r="B64" s="1" t="s">
        <v>453</v>
      </c>
      <c r="L64" s="60" t="e">
        <f>L58+L61</f>
        <v>#DIV/0!</v>
      </c>
      <c r="M64" s="23"/>
      <c r="N64" s="60" t="e">
        <f>N58+L61</f>
        <v>#DIV/0!</v>
      </c>
    </row>
    <row r="65" spans="1:14" ht="12.75" thickBot="1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2.75" thickTop="1" x14ac:dyDescent="0.2"/>
    <row r="68" spans="1:14" ht="12.75" customHeight="1" x14ac:dyDescent="0.2">
      <c r="A68" s="7" t="str">
        <f>"Fiscal Year "&amp;TEXT('Form 1 Cover'!C137, "yy")</f>
        <v>Fiscal Year 2014-2015</v>
      </c>
      <c r="E68" s="23" t="s">
        <v>473</v>
      </c>
      <c r="F68" s="582" t="str">
        <f>'Form 1 Cover'!A20</f>
        <v>Charter School - fill in the name of your school</v>
      </c>
      <c r="G68" s="582"/>
      <c r="H68" s="582"/>
      <c r="I68" s="582"/>
      <c r="J68" s="582"/>
    </row>
    <row r="70" spans="1:14" ht="12.75" x14ac:dyDescent="0.2">
      <c r="A70" s="29" t="s">
        <v>489</v>
      </c>
      <c r="N70" s="30">
        <f>'Form 1 Cover'!$C$146</f>
        <v>41703</v>
      </c>
    </row>
  </sheetData>
  <sheetProtection sheet="1" objects="1" scenarios="1"/>
  <mergeCells count="2">
    <mergeCell ref="A1:N1"/>
    <mergeCell ref="F68:J68"/>
  </mergeCells>
  <phoneticPr fontId="0" type="noConversion"/>
  <pageMargins left="0.55000000000000004" right="0" top="0.75" bottom="0.25" header="0.5" footer="0"/>
  <pageSetup scale="85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5"/>
  <sheetViews>
    <sheetView topLeftCell="A75" zoomScale="75" zoomScaleNormal="75" workbookViewId="0">
      <selection activeCell="F2" sqref="F2:H2"/>
    </sheetView>
  </sheetViews>
  <sheetFormatPr defaultRowHeight="14.25" x14ac:dyDescent="0.2"/>
  <cols>
    <col min="1" max="1" width="1.42578125" style="122" customWidth="1"/>
    <col min="2" max="2" width="6.42578125" style="122" customWidth="1"/>
    <col min="3" max="3" width="37" style="38" customWidth="1"/>
    <col min="4" max="5" width="15.7109375" style="38" customWidth="1"/>
    <col min="6" max="6" width="15.140625" style="38" customWidth="1"/>
    <col min="7" max="8" width="16.42578125" style="38" customWidth="1"/>
    <col min="9" max="10" width="9.140625" style="38"/>
    <col min="11" max="11" width="5.42578125" style="38" customWidth="1"/>
    <col min="12" max="16384" width="9.140625" style="38"/>
  </cols>
  <sheetData>
    <row r="1" spans="1:8" x14ac:dyDescent="0.2">
      <c r="A1" s="467" t="s">
        <v>481</v>
      </c>
      <c r="B1" s="98"/>
      <c r="C1" s="99"/>
      <c r="D1" s="100">
        <v>-1</v>
      </c>
      <c r="E1" s="101">
        <v>-2</v>
      </c>
      <c r="F1" s="102">
        <v>-3</v>
      </c>
      <c r="G1" s="101">
        <v>-4</v>
      </c>
      <c r="H1" s="101">
        <v>-4</v>
      </c>
    </row>
    <row r="2" spans="1:8" x14ac:dyDescent="0.2">
      <c r="A2" s="485"/>
      <c r="B2" s="103" t="s">
        <v>270</v>
      </c>
      <c r="C2" s="47"/>
      <c r="D2" s="170"/>
      <c r="E2" s="48" t="s">
        <v>44</v>
      </c>
      <c r="F2" s="585" t="str">
        <f>"BUDGET YEAR ENDING "&amp;TEXT('Form 1 Cover'!C139, "MM/DD/YY")</f>
        <v>BUDGET YEAR ENDING 06/30/15</v>
      </c>
      <c r="G2" s="586"/>
      <c r="H2" s="587"/>
    </row>
    <row r="3" spans="1:8" s="108" customFormat="1" ht="15.75" customHeight="1" x14ac:dyDescent="0.2">
      <c r="A3" s="170" t="str">
        <f>'Form 1 Cover'!A20</f>
        <v>Charter School - fill in the name of your school</v>
      </c>
      <c r="B3" s="104"/>
      <c r="C3" s="105"/>
      <c r="D3" s="109" t="s">
        <v>303</v>
      </c>
      <c r="E3" s="106" t="s">
        <v>305</v>
      </c>
      <c r="F3" s="107"/>
      <c r="G3" s="139"/>
      <c r="H3" s="106" t="s">
        <v>729</v>
      </c>
    </row>
    <row r="4" spans="1:8" s="108" customFormat="1" ht="15.75" customHeight="1" x14ac:dyDescent="0.2">
      <c r="A4" s="482"/>
      <c r="B4" s="104"/>
      <c r="C4" s="105" t="s">
        <v>213</v>
      </c>
      <c r="D4" s="109" t="s">
        <v>304</v>
      </c>
      <c r="E4" s="106" t="s">
        <v>304</v>
      </c>
      <c r="F4" s="109" t="s">
        <v>306</v>
      </c>
      <c r="G4" s="106" t="s">
        <v>128</v>
      </c>
      <c r="H4" s="106" t="s">
        <v>128</v>
      </c>
    </row>
    <row r="5" spans="1:8" s="108" customFormat="1" ht="15" customHeight="1" x14ac:dyDescent="0.2">
      <c r="A5" s="483"/>
      <c r="B5" s="93"/>
      <c r="C5" s="94"/>
      <c r="D5" s="478">
        <f>'Form 1 Cover'!C130</f>
        <v>41455</v>
      </c>
      <c r="E5" s="111">
        <f>'Form 1 Cover'!C134</f>
        <v>41820</v>
      </c>
      <c r="F5" s="112" t="s">
        <v>307</v>
      </c>
      <c r="G5" s="188" t="s">
        <v>307</v>
      </c>
      <c r="H5" s="188" t="s">
        <v>307</v>
      </c>
    </row>
    <row r="6" spans="1:8" ht="21" customHeight="1" x14ac:dyDescent="0.25">
      <c r="A6" s="455" t="s">
        <v>194</v>
      </c>
      <c r="B6" s="113"/>
      <c r="C6" s="114" t="s">
        <v>219</v>
      </c>
      <c r="D6" s="479"/>
      <c r="E6" s="115"/>
      <c r="F6" s="115"/>
      <c r="G6" s="115"/>
      <c r="H6" s="115"/>
    </row>
    <row r="7" spans="1:8" x14ac:dyDescent="0.2">
      <c r="A7" s="132" t="s">
        <v>220</v>
      </c>
      <c r="B7" s="117"/>
      <c r="C7" s="51" t="s">
        <v>221</v>
      </c>
      <c r="D7" s="157"/>
      <c r="E7" s="158"/>
      <c r="F7" s="158"/>
      <c r="G7" s="158"/>
      <c r="H7" s="158"/>
    </row>
    <row r="8" spans="1:8" x14ac:dyDescent="0.2">
      <c r="A8" s="457"/>
      <c r="B8" s="117" t="s">
        <v>146</v>
      </c>
      <c r="C8" s="51" t="s">
        <v>329</v>
      </c>
      <c r="D8" s="440"/>
      <c r="E8" s="159"/>
      <c r="F8" s="159"/>
      <c r="G8" s="159"/>
      <c r="H8" s="159"/>
    </row>
    <row r="9" spans="1:8" x14ac:dyDescent="0.2">
      <c r="A9" s="457"/>
      <c r="B9" s="117" t="s">
        <v>222</v>
      </c>
      <c r="C9" s="51" t="s">
        <v>223</v>
      </c>
      <c r="D9" s="440"/>
      <c r="E9" s="159"/>
      <c r="F9" s="159"/>
      <c r="G9" s="159"/>
      <c r="H9" s="159"/>
    </row>
    <row r="10" spans="1:8" x14ac:dyDescent="0.2">
      <c r="A10" s="457"/>
      <c r="B10" s="117" t="s">
        <v>224</v>
      </c>
      <c r="C10" s="51" t="s">
        <v>330</v>
      </c>
      <c r="D10" s="440"/>
      <c r="E10" s="159"/>
      <c r="F10" s="159"/>
      <c r="G10" s="159"/>
      <c r="H10" s="159"/>
    </row>
    <row r="11" spans="1:8" x14ac:dyDescent="0.2">
      <c r="A11" s="457"/>
      <c r="B11" s="117" t="s">
        <v>225</v>
      </c>
      <c r="C11" s="51" t="s">
        <v>331</v>
      </c>
      <c r="D11" s="440"/>
      <c r="E11" s="159"/>
      <c r="F11" s="159"/>
      <c r="G11" s="159"/>
      <c r="H11" s="159"/>
    </row>
    <row r="12" spans="1:8" x14ac:dyDescent="0.2">
      <c r="A12" s="457"/>
      <c r="B12" s="117" t="s">
        <v>332</v>
      </c>
      <c r="C12" s="51" t="s">
        <v>333</v>
      </c>
      <c r="D12" s="440"/>
      <c r="E12" s="159"/>
      <c r="F12" s="159"/>
      <c r="G12" s="159"/>
      <c r="H12" s="159"/>
    </row>
    <row r="13" spans="1:8" x14ac:dyDescent="0.2">
      <c r="A13" s="457"/>
      <c r="B13" s="117" t="s">
        <v>147</v>
      </c>
      <c r="C13" s="51" t="s">
        <v>105</v>
      </c>
      <c r="D13" s="440"/>
      <c r="E13" s="159"/>
      <c r="F13" s="159"/>
      <c r="G13" s="159"/>
      <c r="H13" s="159"/>
    </row>
    <row r="14" spans="1:8" ht="25.5" customHeight="1" x14ac:dyDescent="0.2">
      <c r="A14" s="457" t="s">
        <v>226</v>
      </c>
      <c r="B14" s="116"/>
      <c r="C14" s="120" t="s">
        <v>334</v>
      </c>
      <c r="D14" s="440"/>
      <c r="E14" s="159"/>
      <c r="F14" s="159"/>
      <c r="G14" s="159"/>
      <c r="H14" s="159"/>
    </row>
    <row r="15" spans="1:8" x14ac:dyDescent="0.2">
      <c r="A15" s="457" t="s">
        <v>227</v>
      </c>
      <c r="B15" s="117"/>
      <c r="C15" s="51" t="s">
        <v>228</v>
      </c>
      <c r="D15" s="440"/>
      <c r="E15" s="159"/>
      <c r="F15" s="159"/>
      <c r="G15" s="159"/>
      <c r="H15" s="159"/>
    </row>
    <row r="16" spans="1:8" x14ac:dyDescent="0.2">
      <c r="A16" s="457"/>
      <c r="B16" s="117" t="s">
        <v>229</v>
      </c>
      <c r="C16" s="51" t="s">
        <v>335</v>
      </c>
      <c r="D16" s="440"/>
      <c r="E16" s="159"/>
      <c r="F16" s="159"/>
      <c r="G16" s="159"/>
      <c r="H16" s="159"/>
    </row>
    <row r="17" spans="1:8" x14ac:dyDescent="0.2">
      <c r="A17" s="457"/>
      <c r="B17" s="117" t="s">
        <v>230</v>
      </c>
      <c r="C17" s="51" t="s">
        <v>336</v>
      </c>
      <c r="D17" s="440"/>
      <c r="E17" s="159"/>
      <c r="F17" s="159"/>
      <c r="G17" s="159"/>
      <c r="H17" s="159"/>
    </row>
    <row r="18" spans="1:8" x14ac:dyDescent="0.2">
      <c r="A18" s="457"/>
      <c r="B18" s="117" t="s">
        <v>231</v>
      </c>
      <c r="C18" s="51" t="s">
        <v>337</v>
      </c>
      <c r="D18" s="440"/>
      <c r="E18" s="159"/>
      <c r="F18" s="159"/>
      <c r="G18" s="159"/>
      <c r="H18" s="159"/>
    </row>
    <row r="19" spans="1:8" x14ac:dyDescent="0.2">
      <c r="A19" s="457" t="s">
        <v>232</v>
      </c>
      <c r="B19" s="117"/>
      <c r="C19" s="51" t="s">
        <v>233</v>
      </c>
      <c r="D19" s="440"/>
      <c r="E19" s="159"/>
      <c r="F19" s="159"/>
      <c r="G19" s="159"/>
      <c r="H19" s="159"/>
    </row>
    <row r="20" spans="1:8" x14ac:dyDescent="0.2">
      <c r="A20" s="457"/>
      <c r="B20" s="117" t="s">
        <v>234</v>
      </c>
      <c r="C20" s="51" t="s">
        <v>338</v>
      </c>
      <c r="D20" s="440"/>
      <c r="E20" s="159"/>
      <c r="F20" s="159"/>
      <c r="G20" s="159"/>
      <c r="H20" s="159"/>
    </row>
    <row r="21" spans="1:8" x14ac:dyDescent="0.2">
      <c r="A21" s="457"/>
      <c r="B21" s="117" t="s">
        <v>235</v>
      </c>
      <c r="C21" s="51" t="s">
        <v>341</v>
      </c>
      <c r="D21" s="440"/>
      <c r="E21" s="159"/>
      <c r="F21" s="159"/>
      <c r="G21" s="159"/>
      <c r="H21" s="159"/>
    </row>
    <row r="22" spans="1:8" x14ac:dyDescent="0.2">
      <c r="A22" s="457"/>
      <c r="B22" s="117" t="s">
        <v>339</v>
      </c>
      <c r="C22" s="51" t="s">
        <v>342</v>
      </c>
      <c r="D22" s="440"/>
      <c r="E22" s="159"/>
      <c r="F22" s="159"/>
      <c r="G22" s="159"/>
      <c r="H22" s="159"/>
    </row>
    <row r="23" spans="1:8" x14ac:dyDescent="0.2">
      <c r="A23" s="457"/>
      <c r="B23" s="117" t="s">
        <v>340</v>
      </c>
      <c r="C23" s="51" t="s">
        <v>343</v>
      </c>
      <c r="D23" s="440"/>
      <c r="E23" s="159"/>
      <c r="F23" s="159"/>
      <c r="G23" s="159"/>
      <c r="H23" s="159"/>
    </row>
    <row r="24" spans="1:8" x14ac:dyDescent="0.2">
      <c r="A24" s="457" t="s">
        <v>107</v>
      </c>
      <c r="B24" s="117"/>
      <c r="C24" s="51" t="s">
        <v>344</v>
      </c>
      <c r="D24" s="440"/>
      <c r="E24" s="159"/>
      <c r="F24" s="159"/>
      <c r="G24" s="159"/>
      <c r="H24" s="159"/>
    </row>
    <row r="25" spans="1:8" x14ac:dyDescent="0.2">
      <c r="A25" s="457" t="s">
        <v>97</v>
      </c>
      <c r="B25" s="117"/>
      <c r="C25" s="51" t="s">
        <v>345</v>
      </c>
      <c r="D25" s="440"/>
      <c r="E25" s="159"/>
      <c r="F25" s="159"/>
      <c r="G25" s="159"/>
      <c r="H25" s="159"/>
    </row>
    <row r="26" spans="1:8" x14ac:dyDescent="0.2">
      <c r="A26" s="457"/>
      <c r="B26" s="117" t="s">
        <v>236</v>
      </c>
      <c r="C26" s="51" t="s">
        <v>346</v>
      </c>
      <c r="D26" s="440"/>
      <c r="E26" s="159"/>
      <c r="F26" s="159"/>
      <c r="G26" s="159"/>
      <c r="H26" s="159"/>
    </row>
    <row r="27" spans="1:8" x14ac:dyDescent="0.2">
      <c r="A27" s="457"/>
      <c r="B27" s="117" t="s">
        <v>237</v>
      </c>
      <c r="C27" s="51" t="s">
        <v>347</v>
      </c>
      <c r="D27" s="440"/>
      <c r="E27" s="159"/>
      <c r="F27" s="159"/>
      <c r="G27" s="159"/>
      <c r="H27" s="159"/>
    </row>
    <row r="28" spans="1:8" x14ac:dyDescent="0.2">
      <c r="A28" s="457"/>
      <c r="B28" s="117" t="s">
        <v>238</v>
      </c>
      <c r="C28" s="51" t="s">
        <v>348</v>
      </c>
      <c r="D28" s="440"/>
      <c r="E28" s="159"/>
      <c r="F28" s="159"/>
      <c r="G28" s="159"/>
      <c r="H28" s="159"/>
    </row>
    <row r="29" spans="1:8" x14ac:dyDescent="0.2">
      <c r="A29" s="457"/>
      <c r="B29" s="117" t="s">
        <v>349</v>
      </c>
      <c r="C29" s="51" t="s">
        <v>350</v>
      </c>
      <c r="D29" s="440"/>
      <c r="E29" s="159"/>
      <c r="F29" s="159"/>
      <c r="G29" s="159"/>
      <c r="H29" s="159"/>
    </row>
    <row r="30" spans="1:8" x14ac:dyDescent="0.2">
      <c r="A30" s="132" t="s">
        <v>239</v>
      </c>
      <c r="B30" s="117"/>
      <c r="C30" s="51" t="s">
        <v>351</v>
      </c>
      <c r="D30" s="440"/>
      <c r="E30" s="159"/>
      <c r="F30" s="159"/>
      <c r="G30" s="159"/>
      <c r="H30" s="159"/>
    </row>
    <row r="31" spans="1:8" x14ac:dyDescent="0.2">
      <c r="A31" s="132" t="s">
        <v>240</v>
      </c>
      <c r="B31" s="117"/>
      <c r="C31" s="51" t="s">
        <v>241</v>
      </c>
      <c r="D31" s="440"/>
      <c r="E31" s="159"/>
      <c r="F31" s="159"/>
      <c r="G31" s="159"/>
      <c r="H31" s="159"/>
    </row>
    <row r="32" spans="1:8" x14ac:dyDescent="0.2">
      <c r="A32" s="132" t="s">
        <v>242</v>
      </c>
      <c r="B32" s="117"/>
      <c r="C32" s="51" t="s">
        <v>243</v>
      </c>
      <c r="D32" s="440"/>
      <c r="E32" s="159"/>
      <c r="F32" s="159"/>
      <c r="G32" s="159"/>
      <c r="H32" s="159"/>
    </row>
    <row r="33" spans="1:8" x14ac:dyDescent="0.2">
      <c r="A33" s="457"/>
      <c r="B33" s="117" t="s">
        <v>244</v>
      </c>
      <c r="C33" s="51" t="s">
        <v>245</v>
      </c>
      <c r="D33" s="440"/>
      <c r="E33" s="159"/>
      <c r="F33" s="159"/>
      <c r="G33" s="159"/>
      <c r="H33" s="159"/>
    </row>
    <row r="34" spans="1:8" x14ac:dyDescent="0.2">
      <c r="A34" s="132"/>
      <c r="B34" s="116" t="s">
        <v>246</v>
      </c>
      <c r="C34" s="121" t="s">
        <v>247</v>
      </c>
      <c r="D34" s="157"/>
      <c r="E34" s="158"/>
      <c r="F34" s="158"/>
      <c r="G34" s="158"/>
      <c r="H34" s="158"/>
    </row>
    <row r="35" spans="1:8" x14ac:dyDescent="0.2">
      <c r="A35" s="132"/>
      <c r="B35" s="117" t="s">
        <v>353</v>
      </c>
      <c r="C35" s="51" t="s">
        <v>354</v>
      </c>
      <c r="D35" s="440"/>
      <c r="E35" s="159"/>
      <c r="F35" s="159"/>
      <c r="G35" s="159"/>
      <c r="H35" s="159"/>
    </row>
    <row r="36" spans="1:8" x14ac:dyDescent="0.2">
      <c r="A36" s="132"/>
      <c r="B36" s="117" t="s">
        <v>355</v>
      </c>
      <c r="C36" s="51" t="s">
        <v>356</v>
      </c>
      <c r="D36" s="440"/>
      <c r="E36" s="159"/>
      <c r="F36" s="159"/>
      <c r="G36" s="159"/>
      <c r="H36" s="159"/>
    </row>
    <row r="37" spans="1:8" x14ac:dyDescent="0.2">
      <c r="A37" s="132"/>
      <c r="B37" s="117" t="s">
        <v>357</v>
      </c>
      <c r="C37" s="51" t="s">
        <v>358</v>
      </c>
      <c r="D37" s="440"/>
      <c r="E37" s="159"/>
      <c r="F37" s="159"/>
      <c r="G37" s="159"/>
      <c r="H37" s="159"/>
    </row>
    <row r="38" spans="1:8" x14ac:dyDescent="0.2">
      <c r="A38" s="132"/>
      <c r="B38" s="117" t="s">
        <v>359</v>
      </c>
      <c r="C38" s="51" t="s">
        <v>362</v>
      </c>
      <c r="D38" s="440"/>
      <c r="E38" s="159"/>
      <c r="F38" s="159"/>
      <c r="G38" s="159"/>
      <c r="H38" s="159"/>
    </row>
    <row r="39" spans="1:8" x14ac:dyDescent="0.2">
      <c r="A39" s="132"/>
      <c r="B39" s="117" t="s">
        <v>360</v>
      </c>
      <c r="C39" s="51" t="s">
        <v>363</v>
      </c>
      <c r="D39" s="440"/>
      <c r="E39" s="159"/>
      <c r="F39" s="159"/>
      <c r="G39" s="159"/>
      <c r="H39" s="159"/>
    </row>
    <row r="40" spans="1:8" x14ac:dyDescent="0.2">
      <c r="A40" s="132"/>
      <c r="B40" s="117" t="s">
        <v>361</v>
      </c>
      <c r="C40" s="51" t="s">
        <v>364</v>
      </c>
      <c r="D40" s="440"/>
      <c r="E40" s="159"/>
      <c r="F40" s="159"/>
      <c r="G40" s="159"/>
      <c r="H40" s="159"/>
    </row>
    <row r="41" spans="1:8" x14ac:dyDescent="0.2">
      <c r="A41" s="457"/>
      <c r="B41" s="116" t="s">
        <v>248</v>
      </c>
      <c r="C41" s="51" t="s">
        <v>352</v>
      </c>
      <c r="D41" s="440"/>
      <c r="E41" s="159"/>
      <c r="F41" s="159"/>
      <c r="G41" s="159"/>
      <c r="H41" s="159"/>
    </row>
    <row r="42" spans="1:8" ht="15.75" thickBot="1" x14ac:dyDescent="0.3">
      <c r="A42" s="468" t="s">
        <v>249</v>
      </c>
      <c r="B42" s="124"/>
      <c r="C42" s="125"/>
      <c r="D42" s="126">
        <f>SUM(D7:D41)</f>
        <v>0</v>
      </c>
      <c r="E42" s="126">
        <f>SUM(E7:E41)</f>
        <v>0</v>
      </c>
      <c r="F42" s="126">
        <f>SUM(F7:F41)</f>
        <v>0</v>
      </c>
      <c r="G42" s="126">
        <f>SUM(G7:G41)</f>
        <v>0</v>
      </c>
      <c r="H42" s="126">
        <f>SUM(H7:H41)</f>
        <v>0</v>
      </c>
    </row>
    <row r="43" spans="1:8" ht="21.75" customHeight="1" thickTop="1" x14ac:dyDescent="0.25">
      <c r="A43" s="459" t="s">
        <v>250</v>
      </c>
      <c r="B43" s="128"/>
      <c r="C43" s="129" t="s">
        <v>251</v>
      </c>
      <c r="D43" s="480"/>
      <c r="E43" s="480"/>
      <c r="F43" s="480"/>
      <c r="G43" s="480"/>
      <c r="H43" s="480"/>
    </row>
    <row r="44" spans="1:8" x14ac:dyDescent="0.2">
      <c r="A44" s="131" t="s">
        <v>196</v>
      </c>
      <c r="B44" s="132"/>
      <c r="C44" s="133" t="s">
        <v>365</v>
      </c>
      <c r="D44" s="157"/>
      <c r="E44" s="158"/>
      <c r="F44" s="158"/>
      <c r="G44" s="158"/>
      <c r="H44" s="158"/>
    </row>
    <row r="45" spans="1:8" x14ac:dyDescent="0.2">
      <c r="A45" s="132"/>
      <c r="B45" s="116" t="s">
        <v>367</v>
      </c>
      <c r="C45" s="134" t="s">
        <v>368</v>
      </c>
      <c r="D45" s="159"/>
      <c r="E45" s="159"/>
      <c r="F45" s="159"/>
      <c r="G45" s="159"/>
      <c r="H45" s="159"/>
    </row>
    <row r="46" spans="1:8" x14ac:dyDescent="0.2">
      <c r="A46" s="132"/>
      <c r="B46" s="116" t="s">
        <v>369</v>
      </c>
      <c r="C46" s="134" t="s">
        <v>370</v>
      </c>
      <c r="D46" s="159"/>
      <c r="E46" s="159"/>
      <c r="F46" s="159"/>
      <c r="G46" s="159"/>
      <c r="H46" s="159"/>
    </row>
    <row r="47" spans="1:8" x14ac:dyDescent="0.2">
      <c r="A47" s="131" t="s">
        <v>252</v>
      </c>
      <c r="B47" s="132"/>
      <c r="C47" s="134" t="s">
        <v>366</v>
      </c>
      <c r="D47" s="159"/>
      <c r="E47" s="159"/>
      <c r="F47" s="159"/>
      <c r="G47" s="159"/>
      <c r="H47" s="159"/>
    </row>
    <row r="48" spans="1:8" x14ac:dyDescent="0.2">
      <c r="A48" s="132"/>
      <c r="B48" s="116" t="s">
        <v>371</v>
      </c>
      <c r="C48" s="134" t="s">
        <v>374</v>
      </c>
      <c r="D48" s="159"/>
      <c r="E48" s="159"/>
      <c r="F48" s="159"/>
      <c r="G48" s="159"/>
      <c r="H48" s="159"/>
    </row>
    <row r="49" spans="1:11" x14ac:dyDescent="0.2">
      <c r="A49" s="132"/>
      <c r="B49" s="116" t="s">
        <v>372</v>
      </c>
      <c r="C49" s="134" t="s">
        <v>375</v>
      </c>
      <c r="D49" s="159"/>
      <c r="E49" s="159"/>
      <c r="F49" s="159"/>
      <c r="G49" s="159"/>
      <c r="H49" s="159"/>
    </row>
    <row r="50" spans="1:11" x14ac:dyDescent="0.2">
      <c r="A50" s="132"/>
      <c r="B50" s="116" t="s">
        <v>373</v>
      </c>
      <c r="C50" s="134" t="s">
        <v>376</v>
      </c>
      <c r="D50" s="159"/>
      <c r="E50" s="159"/>
      <c r="F50" s="159"/>
      <c r="G50" s="159"/>
      <c r="H50" s="159"/>
      <c r="K50" s="135"/>
    </row>
    <row r="51" spans="1:11" x14ac:dyDescent="0.2">
      <c r="A51" s="131" t="s">
        <v>253</v>
      </c>
      <c r="B51" s="132"/>
      <c r="C51" s="134" t="s">
        <v>217</v>
      </c>
      <c r="D51" s="159"/>
      <c r="E51" s="159"/>
      <c r="F51" s="159"/>
      <c r="G51" s="159"/>
      <c r="H51" s="159"/>
      <c r="K51" s="135"/>
    </row>
    <row r="52" spans="1:11" x14ac:dyDescent="0.2">
      <c r="A52" s="131" t="s">
        <v>254</v>
      </c>
      <c r="B52" s="132"/>
      <c r="C52" s="134" t="s">
        <v>377</v>
      </c>
      <c r="D52" s="159"/>
      <c r="E52" s="159"/>
      <c r="F52" s="159"/>
      <c r="G52" s="159"/>
      <c r="H52" s="159"/>
    </row>
    <row r="53" spans="1:11" ht="20.25" customHeight="1" thickBot="1" x14ac:dyDescent="0.3">
      <c r="A53" s="458" t="s">
        <v>255</v>
      </c>
      <c r="B53" s="136"/>
      <c r="C53" s="125"/>
      <c r="D53" s="126">
        <f>SUM(D44:D52)</f>
        <v>0</v>
      </c>
      <c r="E53" s="126">
        <f>SUM(E44:E52)</f>
        <v>0</v>
      </c>
      <c r="F53" s="126">
        <f>SUM(F44:F52)</f>
        <v>0</v>
      </c>
      <c r="G53" s="126">
        <f>SUM(G44:G52)</f>
        <v>0</v>
      </c>
      <c r="H53" s="126">
        <f>SUM(H44:H52)</f>
        <v>0</v>
      </c>
    </row>
    <row r="54" spans="1:11" ht="20.25" customHeight="1" thickTop="1" x14ac:dyDescent="0.25">
      <c r="A54" s="166"/>
      <c r="B54" s="167"/>
      <c r="C54" s="59"/>
      <c r="D54" s="164"/>
      <c r="E54" s="164"/>
      <c r="F54" s="164"/>
      <c r="G54" s="164"/>
      <c r="H54" s="164"/>
    </row>
    <row r="55" spans="1:11" x14ac:dyDescent="0.2">
      <c r="A55" s="137" t="str">
        <f>A3</f>
        <v>Charter School - fill in the name of your school</v>
      </c>
      <c r="B55" s="546"/>
      <c r="C55" s="547"/>
      <c r="E55" s="59"/>
      <c r="G55" s="38" t="str">
        <f>"Budget Fiscal Year "&amp;TEXT('Form 1 Cover'!$C$137, "mm/dd/yy")</f>
        <v>Budget Fiscal Year 2014-2015</v>
      </c>
    </row>
    <row r="56" spans="1:11" ht="14.25" customHeight="1" x14ac:dyDescent="0.2">
      <c r="A56" s="103"/>
      <c r="B56" s="103"/>
      <c r="C56" s="59"/>
      <c r="D56" s="122"/>
    </row>
    <row r="57" spans="1:11" ht="17.25" customHeight="1" x14ac:dyDescent="0.2">
      <c r="A57" s="122" t="s">
        <v>488</v>
      </c>
      <c r="D57" s="38" t="s">
        <v>483</v>
      </c>
      <c r="G57" s="30"/>
      <c r="H57" s="30">
        <f>'Form 1 Cover'!C146</f>
        <v>41703</v>
      </c>
    </row>
    <row r="58" spans="1:11" x14ac:dyDescent="0.2">
      <c r="A58" s="467"/>
      <c r="B58" s="98"/>
      <c r="C58" s="138"/>
      <c r="D58" s="100">
        <v>-1</v>
      </c>
      <c r="E58" s="101">
        <v>-2</v>
      </c>
      <c r="F58" s="102">
        <v>-3</v>
      </c>
      <c r="G58" s="101">
        <v>-4</v>
      </c>
      <c r="H58" s="101">
        <v>-4</v>
      </c>
    </row>
    <row r="59" spans="1:11" ht="15" x14ac:dyDescent="0.2">
      <c r="A59" s="482"/>
      <c r="B59" s="104"/>
      <c r="C59" s="105"/>
      <c r="D59" s="107"/>
      <c r="E59" s="110" t="s">
        <v>44</v>
      </c>
      <c r="F59" s="585" t="str">
        <f>"BUDGET YEAR ENDING "&amp;TEXT('Form 1 Cover'!C196, "MM/DD/YY")</f>
        <v>BUDGET YEAR ENDING 01/00/00</v>
      </c>
      <c r="G59" s="586"/>
      <c r="H59" s="587"/>
    </row>
    <row r="60" spans="1:11" ht="28.5" x14ac:dyDescent="0.2">
      <c r="A60" s="482"/>
      <c r="B60" s="104"/>
      <c r="C60" s="139"/>
      <c r="D60" s="109" t="s">
        <v>303</v>
      </c>
      <c r="E60" s="106" t="s">
        <v>305</v>
      </c>
      <c r="F60" s="107"/>
      <c r="G60" s="139"/>
      <c r="H60" s="106" t="s">
        <v>729</v>
      </c>
    </row>
    <row r="61" spans="1:11" ht="15" x14ac:dyDescent="0.2">
      <c r="A61" s="482"/>
      <c r="B61" s="104"/>
      <c r="C61" s="105" t="s">
        <v>213</v>
      </c>
      <c r="D61" s="109" t="s">
        <v>304</v>
      </c>
      <c r="E61" s="106" t="s">
        <v>304</v>
      </c>
      <c r="F61" s="109" t="s">
        <v>306</v>
      </c>
      <c r="G61" s="106" t="s">
        <v>128</v>
      </c>
      <c r="H61" s="106" t="s">
        <v>128</v>
      </c>
    </row>
    <row r="62" spans="1:11" ht="15" x14ac:dyDescent="0.2">
      <c r="A62" s="483"/>
      <c r="B62" s="93"/>
      <c r="C62" s="94"/>
      <c r="D62" s="478">
        <f>'Form 1 Cover'!C130</f>
        <v>41455</v>
      </c>
      <c r="E62" s="111">
        <f>'Form 1 Cover'!C134</f>
        <v>41820</v>
      </c>
      <c r="F62" s="112" t="s">
        <v>307</v>
      </c>
      <c r="G62" s="188" t="s">
        <v>307</v>
      </c>
      <c r="H62" s="188" t="s">
        <v>307</v>
      </c>
    </row>
    <row r="63" spans="1:11" ht="15" x14ac:dyDescent="0.25">
      <c r="A63" s="460" t="s">
        <v>108</v>
      </c>
      <c r="B63" s="140"/>
      <c r="C63" s="141" t="s">
        <v>214</v>
      </c>
      <c r="D63" s="170"/>
      <c r="E63" s="47"/>
      <c r="F63" s="47"/>
      <c r="G63" s="47"/>
      <c r="H63" s="47"/>
    </row>
    <row r="64" spans="1:11" ht="28.5" x14ac:dyDescent="0.2">
      <c r="A64" s="461" t="s">
        <v>182</v>
      </c>
      <c r="B64" s="142"/>
      <c r="C64" s="120" t="s">
        <v>382</v>
      </c>
      <c r="D64" s="160"/>
      <c r="E64" s="161"/>
      <c r="F64" s="161"/>
      <c r="G64" s="161"/>
      <c r="H64" s="161"/>
    </row>
    <row r="65" spans="1:8" x14ac:dyDescent="0.2">
      <c r="A65" s="462"/>
      <c r="B65" s="142" t="s">
        <v>378</v>
      </c>
      <c r="C65" s="120" t="s">
        <v>379</v>
      </c>
      <c r="D65" s="227"/>
      <c r="E65" s="162"/>
      <c r="F65" s="162"/>
      <c r="G65" s="162"/>
      <c r="H65" s="162"/>
    </row>
    <row r="66" spans="1:8" ht="28.5" x14ac:dyDescent="0.2">
      <c r="A66" s="462" t="s">
        <v>164</v>
      </c>
      <c r="B66" s="142"/>
      <c r="C66" s="120" t="s">
        <v>501</v>
      </c>
      <c r="D66" s="227"/>
      <c r="E66" s="162"/>
      <c r="F66" s="162"/>
      <c r="G66" s="162"/>
      <c r="H66" s="162"/>
    </row>
    <row r="67" spans="1:8" x14ac:dyDescent="0.2">
      <c r="A67" s="462" t="s">
        <v>167</v>
      </c>
      <c r="B67" s="142"/>
      <c r="C67" s="120" t="s">
        <v>500</v>
      </c>
      <c r="D67" s="227"/>
      <c r="E67" s="162"/>
      <c r="F67" s="162"/>
      <c r="G67" s="162"/>
      <c r="H67" s="162"/>
    </row>
    <row r="68" spans="1:8" ht="28.5" x14ac:dyDescent="0.2">
      <c r="A68" s="462" t="s">
        <v>170</v>
      </c>
      <c r="B68" s="142"/>
      <c r="C68" s="120" t="s">
        <v>502</v>
      </c>
      <c r="D68" s="227"/>
      <c r="E68" s="162"/>
      <c r="F68" s="162"/>
      <c r="G68" s="162"/>
      <c r="H68" s="162"/>
    </row>
    <row r="69" spans="1:8" ht="28.5" x14ac:dyDescent="0.2">
      <c r="A69" s="462" t="s">
        <v>380</v>
      </c>
      <c r="B69" s="142"/>
      <c r="C69" s="120" t="s">
        <v>381</v>
      </c>
      <c r="D69" s="227"/>
      <c r="E69" s="162"/>
      <c r="F69" s="162"/>
      <c r="G69" s="162"/>
      <c r="H69" s="162"/>
    </row>
    <row r="70" spans="1:8" x14ac:dyDescent="0.2">
      <c r="A70" s="461" t="s">
        <v>216</v>
      </c>
      <c r="B70" s="142"/>
      <c r="C70" s="120" t="s">
        <v>217</v>
      </c>
      <c r="D70" s="227"/>
      <c r="E70" s="162"/>
      <c r="F70" s="162"/>
      <c r="G70" s="162"/>
      <c r="H70" s="162"/>
    </row>
    <row r="71" spans="1:8" ht="28.5" x14ac:dyDescent="0.2">
      <c r="A71" s="462" t="s">
        <v>148</v>
      </c>
      <c r="B71" s="142"/>
      <c r="C71" s="120" t="s">
        <v>383</v>
      </c>
      <c r="D71" s="227"/>
      <c r="E71" s="162"/>
      <c r="F71" s="162"/>
      <c r="G71" s="162"/>
      <c r="H71" s="162"/>
    </row>
    <row r="72" spans="1:8" ht="21.75" customHeight="1" thickBot="1" x14ac:dyDescent="0.3">
      <c r="A72" s="463" t="s">
        <v>218</v>
      </c>
      <c r="B72" s="146"/>
      <c r="C72" s="147"/>
      <c r="D72" s="181">
        <f>SUM(D64:D71)</f>
        <v>0</v>
      </c>
      <c r="E72" s="148">
        <f>SUM(E64:E71)</f>
        <v>0</v>
      </c>
      <c r="F72" s="148">
        <f>SUM(F64:F71)</f>
        <v>0</v>
      </c>
      <c r="G72" s="148">
        <f>SUM(G64:G71)</f>
        <v>0</v>
      </c>
      <c r="H72" s="148">
        <f>SUM(H64:H71)</f>
        <v>0</v>
      </c>
    </row>
    <row r="73" spans="1:8" ht="15" thickTop="1" x14ac:dyDescent="0.2">
      <c r="A73" s="484"/>
      <c r="B73" s="98"/>
      <c r="C73" s="99"/>
      <c r="D73" s="100">
        <v>-1</v>
      </c>
      <c r="E73" s="101">
        <v>-2</v>
      </c>
      <c r="F73" s="102">
        <v>-3</v>
      </c>
      <c r="G73" s="101">
        <v>-4</v>
      </c>
      <c r="H73" s="101">
        <v>-4</v>
      </c>
    </row>
    <row r="74" spans="1:8" x14ac:dyDescent="0.2">
      <c r="A74" s="482"/>
      <c r="B74" s="108"/>
      <c r="C74" s="139"/>
      <c r="D74" s="107"/>
      <c r="E74" s="110" t="s">
        <v>44</v>
      </c>
      <c r="F74" s="585" t="str">
        <f>"BUDGET YEAR ENDING "&amp;TEXT('Form 1 Cover'!C211, "MM/DD/YY")</f>
        <v>BUDGET YEAR ENDING 01/00/00</v>
      </c>
      <c r="G74" s="586"/>
      <c r="H74" s="587"/>
    </row>
    <row r="75" spans="1:8" ht="28.5" x14ac:dyDescent="0.2">
      <c r="A75" s="482"/>
      <c r="B75" s="583" t="s">
        <v>308</v>
      </c>
      <c r="C75" s="584"/>
      <c r="D75" s="109" t="s">
        <v>303</v>
      </c>
      <c r="E75" s="106" t="s">
        <v>305</v>
      </c>
      <c r="F75" s="107"/>
      <c r="G75" s="139"/>
      <c r="H75" s="106" t="s">
        <v>729</v>
      </c>
    </row>
    <row r="76" spans="1:8" ht="15" x14ac:dyDescent="0.2">
      <c r="A76" s="482"/>
      <c r="B76" s="583" t="s">
        <v>309</v>
      </c>
      <c r="C76" s="584"/>
      <c r="D76" s="109" t="s">
        <v>304</v>
      </c>
      <c r="E76" s="106" t="s">
        <v>304</v>
      </c>
      <c r="F76" s="109" t="s">
        <v>306</v>
      </c>
      <c r="G76" s="106" t="s">
        <v>128</v>
      </c>
      <c r="H76" s="106" t="s">
        <v>128</v>
      </c>
    </row>
    <row r="77" spans="1:8" ht="15" x14ac:dyDescent="0.2">
      <c r="A77" s="483"/>
      <c r="B77" s="93"/>
      <c r="C77" s="94"/>
      <c r="D77" s="478">
        <f>D62</f>
        <v>41455</v>
      </c>
      <c r="E77" s="111">
        <f>E62</f>
        <v>41820</v>
      </c>
      <c r="F77" s="112" t="s">
        <v>307</v>
      </c>
      <c r="G77" s="188" t="s">
        <v>307</v>
      </c>
      <c r="H77" s="188" t="s">
        <v>307</v>
      </c>
    </row>
    <row r="78" spans="1:8" ht="15" x14ac:dyDescent="0.25">
      <c r="A78" s="460" t="s">
        <v>203</v>
      </c>
      <c r="B78" s="140"/>
      <c r="C78" s="141" t="s">
        <v>384</v>
      </c>
      <c r="D78" s="481"/>
      <c r="E78" s="149"/>
      <c r="F78" s="149"/>
      <c r="G78" s="149"/>
      <c r="H78" s="149"/>
    </row>
    <row r="79" spans="1:8" x14ac:dyDescent="0.2">
      <c r="A79" s="461" t="s">
        <v>204</v>
      </c>
      <c r="B79" s="142"/>
      <c r="C79" s="120" t="s">
        <v>385</v>
      </c>
      <c r="D79" s="157"/>
      <c r="E79" s="158"/>
      <c r="F79" s="158"/>
      <c r="G79" s="158"/>
      <c r="H79" s="158"/>
    </row>
    <row r="80" spans="1:8" x14ac:dyDescent="0.2">
      <c r="A80" s="462"/>
      <c r="B80" s="142" t="s">
        <v>386</v>
      </c>
      <c r="C80" s="120" t="s">
        <v>387</v>
      </c>
      <c r="D80" s="440"/>
      <c r="E80" s="159"/>
      <c r="F80" s="159"/>
      <c r="G80" s="159"/>
      <c r="H80" s="159"/>
    </row>
    <row r="81" spans="1:8" ht="28.5" x14ac:dyDescent="0.2">
      <c r="A81" s="462"/>
      <c r="B81" s="142" t="s">
        <v>388</v>
      </c>
      <c r="C81" s="120" t="s">
        <v>389</v>
      </c>
      <c r="D81" s="440"/>
      <c r="E81" s="159"/>
      <c r="F81" s="159"/>
      <c r="G81" s="159"/>
      <c r="H81" s="159"/>
    </row>
    <row r="82" spans="1:8" x14ac:dyDescent="0.2">
      <c r="A82" s="462" t="s">
        <v>153</v>
      </c>
      <c r="B82" s="142"/>
      <c r="C82" s="120" t="s">
        <v>390</v>
      </c>
      <c r="D82" s="440"/>
      <c r="E82" s="159"/>
      <c r="F82" s="159"/>
      <c r="G82" s="159"/>
      <c r="H82" s="159"/>
    </row>
    <row r="83" spans="1:8" ht="28.5" x14ac:dyDescent="0.2">
      <c r="A83" s="462" t="s">
        <v>109</v>
      </c>
      <c r="B83" s="142"/>
      <c r="C83" s="120" t="s">
        <v>391</v>
      </c>
      <c r="D83" s="440"/>
      <c r="E83" s="159"/>
      <c r="F83" s="159"/>
      <c r="G83" s="159"/>
      <c r="H83" s="159"/>
    </row>
    <row r="84" spans="1:8" x14ac:dyDescent="0.2">
      <c r="A84" s="462" t="s">
        <v>205</v>
      </c>
      <c r="B84" s="142"/>
      <c r="C84" s="120" t="s">
        <v>394</v>
      </c>
      <c r="D84" s="440"/>
      <c r="E84" s="159"/>
      <c r="F84" s="159"/>
      <c r="G84" s="159"/>
      <c r="H84" s="159"/>
    </row>
    <row r="85" spans="1:8" x14ac:dyDescent="0.2">
      <c r="A85" s="462" t="s">
        <v>392</v>
      </c>
      <c r="B85" s="142"/>
      <c r="C85" s="120" t="s">
        <v>395</v>
      </c>
      <c r="D85" s="440"/>
      <c r="E85" s="159"/>
      <c r="F85" s="159"/>
      <c r="G85" s="159"/>
      <c r="H85" s="159"/>
    </row>
    <row r="86" spans="1:8" x14ac:dyDescent="0.2">
      <c r="A86" s="462" t="s">
        <v>393</v>
      </c>
      <c r="B86" s="142"/>
      <c r="C86" s="120" t="s">
        <v>396</v>
      </c>
      <c r="D86" s="440"/>
      <c r="E86" s="159"/>
      <c r="F86" s="159"/>
      <c r="G86" s="159"/>
      <c r="H86" s="159"/>
    </row>
    <row r="87" spans="1:8" ht="15" x14ac:dyDescent="0.25">
      <c r="A87" s="464" t="s">
        <v>157</v>
      </c>
      <c r="B87" s="142"/>
      <c r="C87" s="151" t="s">
        <v>397</v>
      </c>
      <c r="D87" s="440"/>
      <c r="E87" s="159"/>
      <c r="F87" s="159"/>
      <c r="G87" s="159"/>
      <c r="H87" s="159"/>
    </row>
    <row r="88" spans="1:8" x14ac:dyDescent="0.2">
      <c r="A88" s="462" t="s">
        <v>398</v>
      </c>
      <c r="B88" s="142"/>
      <c r="C88" s="120" t="s">
        <v>402</v>
      </c>
      <c r="D88" s="440"/>
      <c r="E88" s="159"/>
      <c r="F88" s="159"/>
      <c r="G88" s="159"/>
      <c r="H88" s="159"/>
    </row>
    <row r="89" spans="1:8" ht="28.5" x14ac:dyDescent="0.2">
      <c r="A89" s="462" t="s">
        <v>399</v>
      </c>
      <c r="B89" s="142"/>
      <c r="C89" s="120" t="s">
        <v>403</v>
      </c>
      <c r="D89" s="440"/>
      <c r="E89" s="159"/>
      <c r="F89" s="159"/>
      <c r="G89" s="159"/>
      <c r="H89" s="159"/>
    </row>
    <row r="90" spans="1:8" x14ac:dyDescent="0.2">
      <c r="A90" s="462" t="s">
        <v>400</v>
      </c>
      <c r="B90" s="142"/>
      <c r="C90" s="120" t="s">
        <v>640</v>
      </c>
      <c r="D90" s="440"/>
      <c r="E90" s="159"/>
      <c r="F90" s="159"/>
      <c r="G90" s="159"/>
      <c r="H90" s="159"/>
    </row>
    <row r="91" spans="1:8" x14ac:dyDescent="0.2">
      <c r="A91" s="462" t="s">
        <v>401</v>
      </c>
      <c r="B91" s="142"/>
      <c r="C91" s="120" t="s">
        <v>404</v>
      </c>
      <c r="D91" s="440"/>
      <c r="E91" s="159"/>
      <c r="F91" s="159"/>
      <c r="G91" s="159"/>
      <c r="H91" s="159"/>
    </row>
    <row r="92" spans="1:8" ht="15.75" thickBot="1" x14ac:dyDescent="0.3">
      <c r="A92" s="465" t="s">
        <v>206</v>
      </c>
      <c r="B92" s="152"/>
      <c r="C92" s="53"/>
      <c r="D92" s="198">
        <f>SUM(D79:D91)</f>
        <v>0</v>
      </c>
      <c r="E92" s="153">
        <f>SUM(E79:E91)</f>
        <v>0</v>
      </c>
      <c r="F92" s="153">
        <f>SUM(F79:F91)</f>
        <v>0</v>
      </c>
      <c r="G92" s="153">
        <f>SUM(G79:G91)</f>
        <v>0</v>
      </c>
      <c r="H92" s="153">
        <f>SUM(H79:H91)</f>
        <v>0</v>
      </c>
    </row>
    <row r="93" spans="1:8" ht="15" x14ac:dyDescent="0.25">
      <c r="A93" s="464" t="s">
        <v>405</v>
      </c>
      <c r="B93" s="142"/>
      <c r="C93" s="51"/>
      <c r="D93" s="200"/>
      <c r="E93" s="119"/>
      <c r="F93" s="119"/>
      <c r="G93" s="119"/>
      <c r="H93" s="119"/>
    </row>
    <row r="94" spans="1:8" x14ac:dyDescent="0.2">
      <c r="A94" s="461"/>
      <c r="B94" s="142" t="s">
        <v>207</v>
      </c>
      <c r="C94" s="51"/>
      <c r="D94" s="440"/>
      <c r="E94" s="159"/>
      <c r="F94" s="159"/>
      <c r="G94" s="159"/>
      <c r="H94" s="159"/>
    </row>
    <row r="95" spans="1:8" x14ac:dyDescent="0.2">
      <c r="A95" s="462"/>
      <c r="B95" s="142" t="s">
        <v>208</v>
      </c>
      <c r="C95" s="51"/>
      <c r="D95" s="440"/>
      <c r="E95" s="159"/>
      <c r="F95" s="159"/>
      <c r="G95" s="159"/>
      <c r="H95" s="159"/>
    </row>
    <row r="96" spans="1:8" ht="15.75" thickBot="1" x14ac:dyDescent="0.3">
      <c r="A96" s="465" t="s">
        <v>209</v>
      </c>
      <c r="B96" s="152"/>
      <c r="C96" s="53"/>
      <c r="D96" s="198">
        <f>SUM(D94:D95)</f>
        <v>0</v>
      </c>
      <c r="E96" s="153">
        <f>SUM(E94:E95)</f>
        <v>0</v>
      </c>
      <c r="F96" s="153">
        <f>SUM(F94:F95)</f>
        <v>0</v>
      </c>
      <c r="G96" s="153">
        <f>SUM(G94:G95)</f>
        <v>0</v>
      </c>
      <c r="H96" s="153">
        <f>SUM(H94:H95)</f>
        <v>0</v>
      </c>
    </row>
    <row r="97" spans="1:8" x14ac:dyDescent="0.2">
      <c r="A97" s="462"/>
      <c r="B97" s="142" t="s">
        <v>210</v>
      </c>
      <c r="C97" s="51"/>
      <c r="D97" s="440"/>
      <c r="E97" s="159"/>
      <c r="F97" s="159"/>
      <c r="G97" s="159"/>
      <c r="H97" s="159"/>
    </row>
    <row r="98" spans="1:8" x14ac:dyDescent="0.2">
      <c r="A98" s="461"/>
      <c r="B98" s="142" t="s">
        <v>211</v>
      </c>
      <c r="C98" s="51"/>
      <c r="D98" s="440"/>
      <c r="E98" s="159"/>
      <c r="F98" s="159"/>
      <c r="G98" s="159"/>
      <c r="H98" s="159"/>
    </row>
    <row r="99" spans="1:8" ht="15.75" thickBot="1" x14ac:dyDescent="0.3">
      <c r="A99" s="463" t="s">
        <v>212</v>
      </c>
      <c r="B99" s="146"/>
      <c r="C99" s="125"/>
      <c r="D99" s="126">
        <f>D42+D53+D72+D92+D96</f>
        <v>0</v>
      </c>
      <c r="E99" s="126">
        <f>E42+E53+E72+E92+E96</f>
        <v>0</v>
      </c>
      <c r="F99" s="126">
        <f>F42+F53+F72+F92+F96</f>
        <v>0</v>
      </c>
      <c r="G99" s="126">
        <f>G42+G53+G72+G92+G96</f>
        <v>0</v>
      </c>
      <c r="H99" s="126">
        <f>H42+H53+H72+H92+H96</f>
        <v>0</v>
      </c>
    </row>
    <row r="100" spans="1:8" ht="15.75" thickTop="1" x14ac:dyDescent="0.25">
      <c r="A100" s="163"/>
      <c r="B100" s="155"/>
      <c r="C100" s="59"/>
      <c r="D100" s="164"/>
      <c r="E100" s="164"/>
      <c r="F100" s="164"/>
      <c r="G100" s="164"/>
      <c r="H100" s="164"/>
    </row>
    <row r="101" spans="1:8" ht="15" x14ac:dyDescent="0.25">
      <c r="A101" s="163"/>
      <c r="B101" s="155"/>
      <c r="C101" s="59"/>
      <c r="D101" s="164"/>
      <c r="E101" s="164"/>
      <c r="F101" s="164"/>
      <c r="G101" s="164"/>
      <c r="H101" s="164"/>
    </row>
    <row r="102" spans="1:8" x14ac:dyDescent="0.2">
      <c r="A102" s="451" t="str">
        <f>'Form 1 Cover'!A20:E20</f>
        <v>Charter School - fill in the name of your school</v>
      </c>
      <c r="B102" s="142"/>
      <c r="C102" s="43"/>
      <c r="G102" s="38" t="str">
        <f>"Budget Fiscal Year "&amp;TEXT('Form 1 Cover'!$C$137, "mm/dd/yy")</f>
        <v>Budget Fiscal Year 2014-2015</v>
      </c>
    </row>
    <row r="103" spans="1:8" x14ac:dyDescent="0.2">
      <c r="A103" s="155"/>
      <c r="B103" s="155"/>
      <c r="C103" s="59"/>
    </row>
    <row r="104" spans="1:8" x14ac:dyDescent="0.2">
      <c r="A104" s="155"/>
      <c r="B104" s="103"/>
      <c r="C104" s="59"/>
      <c r="D104" s="103"/>
      <c r="E104" s="59"/>
      <c r="F104" s="59"/>
      <c r="G104" s="59"/>
      <c r="H104" s="59"/>
    </row>
    <row r="105" spans="1:8" x14ac:dyDescent="0.2">
      <c r="A105" s="122" t="s">
        <v>488</v>
      </c>
      <c r="E105" s="38" t="s">
        <v>482</v>
      </c>
      <c r="G105" s="156"/>
      <c r="H105" s="156">
        <f>'Form 1 Cover'!C146</f>
        <v>41703</v>
      </c>
    </row>
  </sheetData>
  <sheetProtection sheet="1"/>
  <mergeCells count="5">
    <mergeCell ref="B76:C76"/>
    <mergeCell ref="B75:C75"/>
    <mergeCell ref="F2:H2"/>
    <mergeCell ref="F59:H59"/>
    <mergeCell ref="F74:H74"/>
  </mergeCells>
  <phoneticPr fontId="0" type="noConversion"/>
  <pageMargins left="0.55000000000000004" right="0" top="0.75" bottom="0.75" header="0.5" footer="0"/>
  <pageSetup scale="81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36"/>
  <sheetViews>
    <sheetView view="pageBreakPreview" zoomScale="75" zoomScaleNormal="75" zoomScaleSheetLayoutView="75" workbookViewId="0">
      <selection activeCell="L240" sqref="L240"/>
    </sheetView>
  </sheetViews>
  <sheetFormatPr defaultRowHeight="14.25" x14ac:dyDescent="0.2"/>
  <cols>
    <col min="1" max="1" width="2.85546875" style="122" customWidth="1"/>
    <col min="2" max="2" width="3.7109375" style="122" customWidth="1"/>
    <col min="3" max="3" width="5.42578125" style="122" customWidth="1"/>
    <col min="4" max="4" width="32.7109375" style="38" customWidth="1"/>
    <col min="5" max="6" width="17.7109375" style="38" customWidth="1"/>
    <col min="7" max="7" width="16.7109375" style="38" customWidth="1"/>
    <col min="8" max="9" width="17.7109375" style="38" customWidth="1"/>
    <col min="10" max="16384" width="9.140625" style="38"/>
  </cols>
  <sheetData>
    <row r="1" spans="1:9" x14ac:dyDescent="0.2">
      <c r="A1" s="486" t="str">
        <f>'Form 1 Cover'!A20</f>
        <v>Charter School - fill in the name of your school</v>
      </c>
      <c r="B1" s="98"/>
      <c r="C1" s="98"/>
      <c r="D1" s="99"/>
      <c r="E1" s="210">
        <v>-1</v>
      </c>
      <c r="F1" s="211">
        <v>-2</v>
      </c>
      <c r="G1" s="438">
        <v>-3</v>
      </c>
      <c r="H1" s="211">
        <v>-4</v>
      </c>
      <c r="I1" s="211">
        <v>-5</v>
      </c>
    </row>
    <row r="2" spans="1:9" x14ac:dyDescent="0.2">
      <c r="A2" s="485"/>
      <c r="B2" s="103" t="s">
        <v>546</v>
      </c>
      <c r="C2" s="103"/>
      <c r="D2" s="47"/>
      <c r="E2" s="212"/>
      <c r="F2" s="487" t="s">
        <v>44</v>
      </c>
      <c r="G2" s="592" t="str">
        <f>"BUDGET YEAR ENDING "&amp;TEXT('Form 1 Cover'!C139, "MM/DD/YY")</f>
        <v>BUDGET YEAR ENDING 06/30/15</v>
      </c>
      <c r="H2" s="593"/>
      <c r="I2" s="594"/>
    </row>
    <row r="3" spans="1:9" x14ac:dyDescent="0.2">
      <c r="A3" s="485"/>
      <c r="B3" s="103"/>
      <c r="C3" s="103"/>
      <c r="D3" s="47"/>
      <c r="E3" s="213" t="s">
        <v>303</v>
      </c>
      <c r="F3" s="213" t="s">
        <v>305</v>
      </c>
      <c r="G3" s="214"/>
      <c r="H3" s="488"/>
      <c r="I3" s="213" t="s">
        <v>729</v>
      </c>
    </row>
    <row r="4" spans="1:9" ht="12.75" customHeight="1" x14ac:dyDescent="0.2">
      <c r="A4" s="485"/>
      <c r="B4" s="171" t="s">
        <v>96</v>
      </c>
      <c r="C4" s="59"/>
      <c r="D4" s="47"/>
      <c r="E4" s="213" t="s">
        <v>304</v>
      </c>
      <c r="F4" s="213" t="s">
        <v>304</v>
      </c>
      <c r="G4" s="215" t="s">
        <v>306</v>
      </c>
      <c r="H4" s="213" t="s">
        <v>128</v>
      </c>
      <c r="I4" s="213" t="s">
        <v>128</v>
      </c>
    </row>
    <row r="5" spans="1:9" s="108" customFormat="1" ht="15.75" customHeight="1" x14ac:dyDescent="0.2">
      <c r="A5" s="483"/>
      <c r="B5" s="590"/>
      <c r="C5" s="590"/>
      <c r="D5" s="591"/>
      <c r="E5" s="4">
        <f>'Form 1 Cover'!C130</f>
        <v>41455</v>
      </c>
      <c r="F5" s="4">
        <f>'Form 1 Cover'!C134</f>
        <v>41820</v>
      </c>
      <c r="G5" s="216" t="s">
        <v>307</v>
      </c>
      <c r="H5" s="489" t="s">
        <v>307</v>
      </c>
      <c r="I5" s="489" t="s">
        <v>307</v>
      </c>
    </row>
    <row r="6" spans="1:9" ht="18.75" customHeight="1" x14ac:dyDescent="0.25">
      <c r="A6" s="455" t="s">
        <v>98</v>
      </c>
      <c r="B6" s="113"/>
      <c r="C6" s="114" t="s">
        <v>200</v>
      </c>
      <c r="D6" s="172"/>
      <c r="E6" s="130"/>
      <c r="F6" s="130"/>
      <c r="G6" s="130"/>
      <c r="H6" s="130"/>
      <c r="I6" s="130"/>
    </row>
    <row r="7" spans="1:9" x14ac:dyDescent="0.2">
      <c r="A7" s="457"/>
      <c r="B7" s="117" t="s">
        <v>194</v>
      </c>
      <c r="C7" s="117"/>
      <c r="D7" s="51" t="s">
        <v>195</v>
      </c>
      <c r="E7" s="55"/>
      <c r="F7" s="55"/>
      <c r="G7" s="55"/>
      <c r="H7" s="55"/>
      <c r="I7" s="55"/>
    </row>
    <row r="8" spans="1:9" x14ac:dyDescent="0.2">
      <c r="A8" s="457"/>
      <c r="B8" s="117"/>
      <c r="C8" s="117" t="s">
        <v>98</v>
      </c>
      <c r="D8" s="51" t="s">
        <v>99</v>
      </c>
      <c r="E8" s="162"/>
      <c r="F8" s="162"/>
      <c r="G8" s="162"/>
      <c r="H8" s="162"/>
      <c r="I8" s="162"/>
    </row>
    <row r="9" spans="1:9" x14ac:dyDescent="0.2">
      <c r="A9" s="457"/>
      <c r="B9" s="117"/>
      <c r="C9" s="117" t="s">
        <v>100</v>
      </c>
      <c r="D9" s="51" t="s">
        <v>101</v>
      </c>
      <c r="E9" s="162"/>
      <c r="F9" s="162"/>
      <c r="G9" s="162"/>
      <c r="H9" s="162"/>
      <c r="I9" s="162"/>
    </row>
    <row r="10" spans="1:9" x14ac:dyDescent="0.2">
      <c r="A10" s="457"/>
      <c r="B10" s="117"/>
      <c r="C10" s="117" t="s">
        <v>150</v>
      </c>
      <c r="D10" s="51"/>
      <c r="E10" s="162"/>
      <c r="F10" s="162"/>
      <c r="G10" s="162"/>
      <c r="H10" s="162"/>
      <c r="I10" s="162"/>
    </row>
    <row r="11" spans="1:9" x14ac:dyDescent="0.2">
      <c r="A11" s="457"/>
      <c r="B11" s="117"/>
      <c r="C11" s="117" t="s">
        <v>102</v>
      </c>
      <c r="D11" s="51" t="s">
        <v>103</v>
      </c>
      <c r="E11" s="162"/>
      <c r="F11" s="162"/>
      <c r="G11" s="162"/>
      <c r="H11" s="162"/>
      <c r="I11" s="162"/>
    </row>
    <row r="12" spans="1:9" x14ac:dyDescent="0.2">
      <c r="A12" s="457"/>
      <c r="B12" s="117"/>
      <c r="C12" s="117" t="s">
        <v>106</v>
      </c>
      <c r="D12" s="51" t="s">
        <v>151</v>
      </c>
      <c r="E12" s="162"/>
      <c r="F12" s="162"/>
      <c r="G12" s="162"/>
      <c r="H12" s="162"/>
      <c r="I12" s="162"/>
    </row>
    <row r="13" spans="1:9" x14ac:dyDescent="0.2">
      <c r="A13" s="457"/>
      <c r="B13" s="117"/>
      <c r="C13" s="117" t="s">
        <v>104</v>
      </c>
      <c r="D13" s="51" t="s">
        <v>105</v>
      </c>
      <c r="E13" s="162"/>
      <c r="F13" s="162"/>
      <c r="G13" s="162"/>
      <c r="H13" s="162"/>
      <c r="I13" s="162"/>
    </row>
    <row r="14" spans="1:9" x14ac:dyDescent="0.2">
      <c r="A14" s="457"/>
      <c r="B14" s="117" t="s">
        <v>423</v>
      </c>
      <c r="C14" s="117"/>
      <c r="D14" s="51"/>
      <c r="E14" s="145"/>
      <c r="F14" s="145"/>
      <c r="G14" s="145"/>
      <c r="H14" s="145"/>
      <c r="I14" s="145"/>
    </row>
    <row r="15" spans="1:9" x14ac:dyDescent="0.2">
      <c r="A15" s="457"/>
      <c r="B15" s="117"/>
      <c r="C15" s="117" t="s">
        <v>98</v>
      </c>
      <c r="D15" s="51" t="s">
        <v>99</v>
      </c>
      <c r="E15" s="162"/>
      <c r="F15" s="162"/>
      <c r="G15" s="162"/>
      <c r="H15" s="162"/>
      <c r="I15" s="162"/>
    </row>
    <row r="16" spans="1:9" x14ac:dyDescent="0.2">
      <c r="A16" s="457"/>
      <c r="B16" s="117"/>
      <c r="C16" s="117" t="s">
        <v>100</v>
      </c>
      <c r="D16" s="51" t="s">
        <v>101</v>
      </c>
      <c r="E16" s="162"/>
      <c r="F16" s="162"/>
      <c r="G16" s="162"/>
      <c r="H16" s="162"/>
      <c r="I16" s="162"/>
    </row>
    <row r="17" spans="1:9" x14ac:dyDescent="0.2">
      <c r="A17" s="457"/>
      <c r="B17" s="117"/>
      <c r="C17" s="117" t="s">
        <v>150</v>
      </c>
      <c r="D17" s="51"/>
      <c r="E17" s="162"/>
      <c r="F17" s="162"/>
      <c r="G17" s="162"/>
      <c r="H17" s="162"/>
      <c r="I17" s="162"/>
    </row>
    <row r="18" spans="1:9" x14ac:dyDescent="0.2">
      <c r="A18" s="457"/>
      <c r="B18" s="117"/>
      <c r="C18" s="117" t="s">
        <v>102</v>
      </c>
      <c r="D18" s="51" t="s">
        <v>103</v>
      </c>
      <c r="E18" s="162"/>
      <c r="F18" s="162"/>
      <c r="G18" s="162"/>
      <c r="H18" s="162"/>
      <c r="I18" s="162"/>
    </row>
    <row r="19" spans="1:9" x14ac:dyDescent="0.2">
      <c r="A19" s="457"/>
      <c r="B19" s="117"/>
      <c r="C19" s="117" t="s">
        <v>106</v>
      </c>
      <c r="D19" s="51" t="s">
        <v>151</v>
      </c>
      <c r="E19" s="162"/>
      <c r="F19" s="162"/>
      <c r="G19" s="162"/>
      <c r="H19" s="162"/>
      <c r="I19" s="162"/>
    </row>
    <row r="20" spans="1:9" x14ac:dyDescent="0.2">
      <c r="A20" s="457"/>
      <c r="B20" s="117"/>
      <c r="C20" s="117" t="s">
        <v>104</v>
      </c>
      <c r="D20" s="51" t="s">
        <v>105</v>
      </c>
      <c r="E20" s="162"/>
      <c r="F20" s="162"/>
      <c r="G20" s="162"/>
      <c r="H20" s="162"/>
      <c r="I20" s="162"/>
    </row>
    <row r="21" spans="1:9" x14ac:dyDescent="0.2">
      <c r="A21" s="457"/>
      <c r="B21" s="117" t="s">
        <v>424</v>
      </c>
      <c r="C21" s="117"/>
      <c r="D21" s="51"/>
      <c r="E21" s="145"/>
      <c r="F21" s="145"/>
      <c r="G21" s="145"/>
      <c r="H21" s="145"/>
      <c r="I21" s="145"/>
    </row>
    <row r="22" spans="1:9" x14ac:dyDescent="0.2">
      <c r="A22" s="457"/>
      <c r="B22" s="117"/>
      <c r="C22" s="117" t="s">
        <v>98</v>
      </c>
      <c r="D22" s="51" t="s">
        <v>99</v>
      </c>
      <c r="E22" s="162"/>
      <c r="F22" s="162"/>
      <c r="G22" s="162"/>
      <c r="H22" s="162"/>
      <c r="I22" s="162"/>
    </row>
    <row r="23" spans="1:9" x14ac:dyDescent="0.2">
      <c r="A23" s="457"/>
      <c r="B23" s="117"/>
      <c r="C23" s="117" t="s">
        <v>100</v>
      </c>
      <c r="D23" s="51" t="s">
        <v>101</v>
      </c>
      <c r="E23" s="162"/>
      <c r="F23" s="162"/>
      <c r="G23" s="162"/>
      <c r="H23" s="162"/>
      <c r="I23" s="162"/>
    </row>
    <row r="24" spans="1:9" x14ac:dyDescent="0.2">
      <c r="A24" s="457"/>
      <c r="B24" s="117"/>
      <c r="C24" s="117" t="s">
        <v>150</v>
      </c>
      <c r="D24" s="51"/>
      <c r="E24" s="162"/>
      <c r="F24" s="162"/>
      <c r="G24" s="162"/>
      <c r="H24" s="162"/>
      <c r="I24" s="162"/>
    </row>
    <row r="25" spans="1:9" x14ac:dyDescent="0.2">
      <c r="A25" s="457"/>
      <c r="B25" s="117"/>
      <c r="C25" s="117" t="s">
        <v>102</v>
      </c>
      <c r="D25" s="51" t="s">
        <v>103</v>
      </c>
      <c r="E25" s="162"/>
      <c r="F25" s="162"/>
      <c r="G25" s="162"/>
      <c r="H25" s="162"/>
      <c r="I25" s="162"/>
    </row>
    <row r="26" spans="1:9" x14ac:dyDescent="0.2">
      <c r="A26" s="457"/>
      <c r="B26" s="117"/>
      <c r="C26" s="117" t="s">
        <v>106</v>
      </c>
      <c r="D26" s="51" t="s">
        <v>151</v>
      </c>
      <c r="E26" s="162"/>
      <c r="F26" s="162"/>
      <c r="G26" s="162"/>
      <c r="H26" s="162"/>
      <c r="I26" s="162"/>
    </row>
    <row r="27" spans="1:9" x14ac:dyDescent="0.2">
      <c r="A27" s="457"/>
      <c r="B27" s="117"/>
      <c r="C27" s="117" t="s">
        <v>104</v>
      </c>
      <c r="D27" s="51" t="s">
        <v>105</v>
      </c>
      <c r="E27" s="162"/>
      <c r="F27" s="162"/>
      <c r="G27" s="162"/>
      <c r="H27" s="162"/>
      <c r="I27" s="162"/>
    </row>
    <row r="28" spans="1:9" ht="18.75" customHeight="1" thickBot="1" x14ac:dyDescent="0.3">
      <c r="A28" s="468" t="s">
        <v>201</v>
      </c>
      <c r="B28" s="136"/>
      <c r="C28" s="136"/>
      <c r="D28" s="57"/>
      <c r="E28" s="173">
        <f>SUM(E8:E27)</f>
        <v>0</v>
      </c>
      <c r="F28" s="173">
        <f>SUM(F8:F27)</f>
        <v>0</v>
      </c>
      <c r="G28" s="173">
        <f>SUM(G8:G27)</f>
        <v>0</v>
      </c>
      <c r="H28" s="173">
        <f>SUM(H8:H27)</f>
        <v>0</v>
      </c>
      <c r="I28" s="173">
        <f>SUM(I8:I27)</f>
        <v>0</v>
      </c>
    </row>
    <row r="29" spans="1:9" ht="18.75" customHeight="1" thickTop="1" x14ac:dyDescent="0.25">
      <c r="A29" s="459" t="s">
        <v>406</v>
      </c>
      <c r="B29" s="127"/>
      <c r="C29" s="174" t="s">
        <v>407</v>
      </c>
      <c r="D29" s="175"/>
      <c r="E29" s="176"/>
      <c r="F29" s="176"/>
      <c r="G29" s="176"/>
      <c r="H29" s="176"/>
      <c r="I29" s="176"/>
    </row>
    <row r="30" spans="1:9" x14ac:dyDescent="0.2">
      <c r="A30" s="457"/>
      <c r="B30" s="117" t="s">
        <v>194</v>
      </c>
      <c r="C30" s="117"/>
      <c r="D30" s="51" t="s">
        <v>195</v>
      </c>
      <c r="E30" s="178"/>
      <c r="F30" s="145"/>
      <c r="G30" s="145"/>
      <c r="H30" s="145"/>
      <c r="I30" s="145"/>
    </row>
    <row r="31" spans="1:9" x14ac:dyDescent="0.2">
      <c r="A31" s="457"/>
      <c r="B31" s="117"/>
      <c r="C31" s="117" t="s">
        <v>98</v>
      </c>
      <c r="D31" s="51" t="s">
        <v>99</v>
      </c>
      <c r="E31" s="162"/>
      <c r="F31" s="162"/>
      <c r="G31" s="162"/>
      <c r="H31" s="162"/>
      <c r="I31" s="162"/>
    </row>
    <row r="32" spans="1:9" x14ac:dyDescent="0.2">
      <c r="A32" s="457"/>
      <c r="B32" s="117"/>
      <c r="C32" s="117" t="s">
        <v>100</v>
      </c>
      <c r="D32" s="51" t="s">
        <v>101</v>
      </c>
      <c r="E32" s="160"/>
      <c r="F32" s="161"/>
      <c r="G32" s="161"/>
      <c r="H32" s="161"/>
      <c r="I32" s="161"/>
    </row>
    <row r="33" spans="1:12" x14ac:dyDescent="0.2">
      <c r="A33" s="457"/>
      <c r="B33" s="117"/>
      <c r="C33" s="117" t="s">
        <v>150</v>
      </c>
      <c r="D33" s="51"/>
      <c r="E33" s="162"/>
      <c r="F33" s="162"/>
      <c r="G33" s="162"/>
      <c r="H33" s="162"/>
      <c r="I33" s="162"/>
    </row>
    <row r="34" spans="1:12" x14ac:dyDescent="0.2">
      <c r="A34" s="457"/>
      <c r="B34" s="117"/>
      <c r="C34" s="117" t="s">
        <v>102</v>
      </c>
      <c r="D34" s="51" t="s">
        <v>103</v>
      </c>
      <c r="E34" s="162"/>
      <c r="F34" s="162"/>
      <c r="G34" s="162"/>
      <c r="H34" s="162"/>
      <c r="I34" s="162"/>
    </row>
    <row r="35" spans="1:12" x14ac:dyDescent="0.2">
      <c r="A35" s="457"/>
      <c r="B35" s="117"/>
      <c r="C35" s="117" t="s">
        <v>106</v>
      </c>
      <c r="D35" s="51" t="s">
        <v>151</v>
      </c>
      <c r="E35" s="162"/>
      <c r="F35" s="162"/>
      <c r="G35" s="162"/>
      <c r="H35" s="162"/>
      <c r="I35" s="162"/>
    </row>
    <row r="36" spans="1:12" x14ac:dyDescent="0.2">
      <c r="A36" s="457"/>
      <c r="B36" s="117"/>
      <c r="C36" s="117" t="s">
        <v>104</v>
      </c>
      <c r="D36" s="51" t="s">
        <v>105</v>
      </c>
      <c r="E36" s="160"/>
      <c r="F36" s="161"/>
      <c r="G36" s="161"/>
      <c r="H36" s="161"/>
      <c r="I36" s="161"/>
    </row>
    <row r="37" spans="1:12" x14ac:dyDescent="0.2">
      <c r="A37" s="457"/>
      <c r="B37" s="117" t="s">
        <v>423</v>
      </c>
      <c r="C37" s="117"/>
      <c r="D37" s="51"/>
      <c r="E37" s="143"/>
      <c r="F37" s="144"/>
      <c r="G37" s="144"/>
      <c r="H37" s="144"/>
      <c r="I37" s="144"/>
    </row>
    <row r="38" spans="1:12" x14ac:dyDescent="0.2">
      <c r="A38" s="457"/>
      <c r="B38" s="117"/>
      <c r="C38" s="117" t="s">
        <v>98</v>
      </c>
      <c r="D38" s="51" t="s">
        <v>99</v>
      </c>
      <c r="E38" s="162"/>
      <c r="F38" s="162"/>
      <c r="G38" s="162"/>
      <c r="H38" s="162"/>
      <c r="I38" s="162"/>
    </row>
    <row r="39" spans="1:12" x14ac:dyDescent="0.2">
      <c r="A39" s="457"/>
      <c r="B39" s="117"/>
      <c r="C39" s="117" t="s">
        <v>100</v>
      </c>
      <c r="D39" s="51" t="s">
        <v>101</v>
      </c>
      <c r="E39" s="162"/>
      <c r="F39" s="162"/>
      <c r="G39" s="162"/>
      <c r="H39" s="162"/>
      <c r="I39" s="162"/>
    </row>
    <row r="40" spans="1:12" x14ac:dyDescent="0.2">
      <c r="A40" s="457"/>
      <c r="B40" s="117"/>
      <c r="C40" s="117" t="s">
        <v>150</v>
      </c>
      <c r="D40" s="51"/>
      <c r="E40" s="162"/>
      <c r="F40" s="162"/>
      <c r="G40" s="162"/>
      <c r="H40" s="162"/>
      <c r="I40" s="162"/>
    </row>
    <row r="41" spans="1:12" x14ac:dyDescent="0.2">
      <c r="A41" s="457"/>
      <c r="B41" s="117"/>
      <c r="C41" s="117" t="s">
        <v>102</v>
      </c>
      <c r="D41" s="51" t="s">
        <v>103</v>
      </c>
      <c r="E41" s="162"/>
      <c r="F41" s="162"/>
      <c r="G41" s="162"/>
      <c r="H41" s="162"/>
      <c r="I41" s="162"/>
    </row>
    <row r="42" spans="1:12" x14ac:dyDescent="0.2">
      <c r="A42" s="457"/>
      <c r="B42" s="117"/>
      <c r="C42" s="117" t="s">
        <v>106</v>
      </c>
      <c r="D42" s="51" t="s">
        <v>151</v>
      </c>
      <c r="E42" s="162"/>
      <c r="F42" s="162"/>
      <c r="G42" s="162"/>
      <c r="H42" s="162"/>
      <c r="I42" s="162"/>
    </row>
    <row r="43" spans="1:12" x14ac:dyDescent="0.2">
      <c r="A43" s="457"/>
      <c r="B43" s="117"/>
      <c r="C43" s="117" t="s">
        <v>104</v>
      </c>
      <c r="D43" s="51" t="s">
        <v>105</v>
      </c>
      <c r="E43" s="162"/>
      <c r="F43" s="162"/>
      <c r="G43" s="162"/>
      <c r="H43" s="162"/>
      <c r="I43" s="162"/>
    </row>
    <row r="44" spans="1:12" x14ac:dyDescent="0.2">
      <c r="A44" s="457"/>
      <c r="B44" s="117" t="s">
        <v>424</v>
      </c>
      <c r="C44" s="117"/>
      <c r="D44" s="51"/>
      <c r="E44" s="145"/>
      <c r="F44" s="145"/>
      <c r="G44" s="145"/>
      <c r="H44" s="145"/>
      <c r="I44" s="145"/>
      <c r="L44" s="135"/>
    </row>
    <row r="45" spans="1:12" x14ac:dyDescent="0.2">
      <c r="A45" s="457"/>
      <c r="B45" s="117"/>
      <c r="C45" s="117" t="s">
        <v>98</v>
      </c>
      <c r="D45" s="51" t="s">
        <v>99</v>
      </c>
      <c r="E45" s="162"/>
      <c r="F45" s="162"/>
      <c r="G45" s="162"/>
      <c r="H45" s="162"/>
      <c r="I45" s="162"/>
    </row>
    <row r="46" spans="1:12" ht="13.5" customHeight="1" x14ac:dyDescent="0.2">
      <c r="A46" s="457"/>
      <c r="B46" s="117"/>
      <c r="C46" s="117" t="s">
        <v>100</v>
      </c>
      <c r="D46" s="51" t="s">
        <v>101</v>
      </c>
      <c r="E46" s="227"/>
      <c r="F46" s="162"/>
      <c r="G46" s="162"/>
      <c r="H46" s="162"/>
      <c r="I46" s="162"/>
    </row>
    <row r="47" spans="1:12" x14ac:dyDescent="0.2">
      <c r="A47" s="457"/>
      <c r="B47" s="117"/>
      <c r="C47" s="117" t="s">
        <v>150</v>
      </c>
      <c r="D47" s="51"/>
      <c r="E47" s="160"/>
      <c r="F47" s="161"/>
      <c r="G47" s="161"/>
      <c r="H47" s="161"/>
      <c r="I47" s="161"/>
    </row>
    <row r="48" spans="1:12" x14ac:dyDescent="0.2">
      <c r="A48" s="457"/>
      <c r="B48" s="117"/>
      <c r="C48" s="117" t="s">
        <v>102</v>
      </c>
      <c r="D48" s="51" t="s">
        <v>103</v>
      </c>
      <c r="E48" s="227"/>
      <c r="F48" s="162"/>
      <c r="G48" s="162"/>
      <c r="H48" s="162"/>
      <c r="I48" s="162"/>
    </row>
    <row r="49" spans="1:9" x14ac:dyDescent="0.2">
      <c r="A49" s="457"/>
      <c r="B49" s="117"/>
      <c r="C49" s="117" t="s">
        <v>106</v>
      </c>
      <c r="D49" s="51" t="s">
        <v>151</v>
      </c>
      <c r="E49" s="227"/>
      <c r="F49" s="162"/>
      <c r="G49" s="162"/>
      <c r="H49" s="162"/>
      <c r="I49" s="162"/>
    </row>
    <row r="50" spans="1:9" ht="15" customHeight="1" x14ac:dyDescent="0.2">
      <c r="A50" s="457"/>
      <c r="B50" s="117"/>
      <c r="C50" s="117" t="s">
        <v>104</v>
      </c>
      <c r="D50" s="51" t="s">
        <v>105</v>
      </c>
      <c r="E50" s="227"/>
      <c r="F50" s="162"/>
      <c r="G50" s="162"/>
      <c r="H50" s="162"/>
      <c r="I50" s="162"/>
    </row>
    <row r="51" spans="1:9" ht="21" customHeight="1" thickBot="1" x14ac:dyDescent="0.3">
      <c r="A51" s="468" t="s">
        <v>408</v>
      </c>
      <c r="B51" s="136"/>
      <c r="C51" s="136"/>
      <c r="D51" s="57"/>
      <c r="E51" s="179">
        <f>SUM(E31:E50)</f>
        <v>0</v>
      </c>
      <c r="F51" s="179">
        <f>SUM(F31:F50)</f>
        <v>0</v>
      </c>
      <c r="G51" s="179">
        <f>SUM(G31:G50)</f>
        <v>0</v>
      </c>
      <c r="H51" s="179">
        <f>SUM(H31:H50)</f>
        <v>0</v>
      </c>
      <c r="I51" s="179">
        <f>SUM(I31:I50)</f>
        <v>0</v>
      </c>
    </row>
    <row r="52" spans="1:9" ht="21" customHeight="1" thickTop="1" x14ac:dyDescent="0.25">
      <c r="A52" s="166"/>
      <c r="B52" s="167"/>
      <c r="C52" s="167"/>
      <c r="D52" s="450"/>
      <c r="E52" s="496"/>
      <c r="F52" s="496"/>
      <c r="G52" s="496"/>
      <c r="H52" s="496"/>
      <c r="I52" s="496"/>
    </row>
    <row r="53" spans="1:9" x14ac:dyDescent="0.2">
      <c r="A53" s="103"/>
      <c r="B53" s="137" t="str">
        <f>'Form 1 Cover'!A20</f>
        <v>Charter School - fill in the name of your school</v>
      </c>
      <c r="C53" s="137"/>
      <c r="D53" s="59"/>
      <c r="E53" s="59"/>
      <c r="F53" s="59"/>
      <c r="H53" s="59"/>
      <c r="I53" s="550" t="str">
        <f>"Budget Fiscal Year "&amp;TEXT('Form 1 Cover'!$C$137, "mm/dd/yy")</f>
        <v>Budget Fiscal Year 2014-2015</v>
      </c>
    </row>
    <row r="54" spans="1:9" x14ac:dyDescent="0.2">
      <c r="A54" s="103"/>
      <c r="B54" s="103"/>
      <c r="C54" s="103"/>
      <c r="D54" s="59"/>
      <c r="E54" s="103"/>
      <c r="F54" s="59"/>
      <c r="G54" s="59"/>
      <c r="H54" s="59"/>
      <c r="I54" s="59"/>
    </row>
    <row r="55" spans="1:9" ht="18.75" customHeight="1" x14ac:dyDescent="0.2">
      <c r="A55" s="103"/>
      <c r="B55" s="103" t="s">
        <v>487</v>
      </c>
      <c r="C55" s="103"/>
      <c r="D55" s="59"/>
      <c r="E55" s="59"/>
      <c r="F55" s="59"/>
      <c r="G55" s="59"/>
      <c r="H55" s="497"/>
      <c r="I55" s="497">
        <f>'Form 1 Cover'!$C$146</f>
        <v>41703</v>
      </c>
    </row>
    <row r="56" spans="1:9" ht="18.75" customHeight="1" x14ac:dyDescent="0.2">
      <c r="A56" s="103"/>
      <c r="B56" s="103"/>
      <c r="C56" s="103"/>
      <c r="D56" s="59"/>
      <c r="E56" s="59"/>
      <c r="F56" s="59"/>
      <c r="G56" s="59"/>
      <c r="H56" s="497"/>
      <c r="I56" s="497"/>
    </row>
    <row r="57" spans="1:9" ht="18.75" customHeight="1" x14ac:dyDescent="0.2">
      <c r="A57" s="103"/>
      <c r="B57" s="103"/>
      <c r="C57" s="103"/>
      <c r="D57" s="59"/>
      <c r="E57" s="59"/>
      <c r="F57" s="59"/>
      <c r="G57" s="59"/>
      <c r="H57" s="497"/>
      <c r="I57" s="497"/>
    </row>
    <row r="58" spans="1:9" x14ac:dyDescent="0.2">
      <c r="A58" s="467"/>
      <c r="B58" s="498" t="str">
        <f>'Form 1 Cover'!A20</f>
        <v>Charter School - fill in the name of your school</v>
      </c>
      <c r="C58" s="98"/>
      <c r="D58" s="99"/>
      <c r="E58" s="210">
        <v>-1</v>
      </c>
      <c r="F58" s="211">
        <v>-2</v>
      </c>
      <c r="G58" s="438">
        <v>-3</v>
      </c>
      <c r="H58" s="211">
        <v>-4</v>
      </c>
      <c r="I58" s="211">
        <v>-5</v>
      </c>
    </row>
    <row r="59" spans="1:9" x14ac:dyDescent="0.2">
      <c r="A59" s="485"/>
      <c r="B59" s="103"/>
      <c r="C59" s="103"/>
      <c r="D59" s="47"/>
      <c r="E59" s="217"/>
      <c r="F59" s="32" t="s">
        <v>44</v>
      </c>
      <c r="G59" s="592" t="str">
        <f>"BUDGET YEAR ENDING "&amp;TEXT('Form 1 Cover'!C194, "MM/DD/YY")</f>
        <v>BUDGET YEAR ENDING 01/00/00</v>
      </c>
      <c r="H59" s="593"/>
      <c r="I59" s="594"/>
    </row>
    <row r="60" spans="1:9" x14ac:dyDescent="0.2">
      <c r="A60" s="485"/>
      <c r="B60" s="103"/>
      <c r="C60" s="103"/>
      <c r="D60" s="47"/>
      <c r="E60" s="213" t="s">
        <v>303</v>
      </c>
      <c r="F60" s="213" t="s">
        <v>305</v>
      </c>
      <c r="G60" s="214"/>
      <c r="H60" s="488"/>
      <c r="I60" s="213" t="s">
        <v>729</v>
      </c>
    </row>
    <row r="61" spans="1:9" ht="15" x14ac:dyDescent="0.2">
      <c r="A61" s="485"/>
      <c r="B61" s="171" t="s">
        <v>96</v>
      </c>
      <c r="C61" s="59"/>
      <c r="D61" s="47"/>
      <c r="E61" s="213" t="s">
        <v>304</v>
      </c>
      <c r="F61" s="213" t="s">
        <v>304</v>
      </c>
      <c r="G61" s="215" t="s">
        <v>306</v>
      </c>
      <c r="H61" s="213" t="s">
        <v>128</v>
      </c>
      <c r="I61" s="213" t="s">
        <v>128</v>
      </c>
    </row>
    <row r="62" spans="1:9" ht="15" x14ac:dyDescent="0.2">
      <c r="A62" s="483"/>
      <c r="B62" s="590"/>
      <c r="C62" s="590"/>
      <c r="D62" s="591"/>
      <c r="E62" s="4">
        <f>'Form 1 Cover'!C130</f>
        <v>41455</v>
      </c>
      <c r="F62" s="4">
        <f>'Form 1 Cover'!C134</f>
        <v>41820</v>
      </c>
      <c r="G62" s="216" t="s">
        <v>307</v>
      </c>
      <c r="H62" s="489" t="s">
        <v>307</v>
      </c>
      <c r="I62" s="489" t="s">
        <v>307</v>
      </c>
    </row>
    <row r="63" spans="1:9" ht="15" x14ac:dyDescent="0.25">
      <c r="A63" s="455" t="s">
        <v>100</v>
      </c>
      <c r="B63" s="113"/>
      <c r="C63" s="114" t="s">
        <v>202</v>
      </c>
      <c r="D63" s="172"/>
      <c r="E63" s="130"/>
      <c r="F63" s="130"/>
      <c r="G63" s="130"/>
      <c r="H63" s="130"/>
      <c r="I63" s="130"/>
    </row>
    <row r="64" spans="1:9" x14ac:dyDescent="0.2">
      <c r="A64" s="457"/>
      <c r="B64" s="117" t="s">
        <v>194</v>
      </c>
      <c r="C64" s="117"/>
      <c r="D64" s="51" t="s">
        <v>195</v>
      </c>
      <c r="E64" s="145"/>
      <c r="F64" s="145"/>
      <c r="G64" s="145"/>
      <c r="H64" s="145"/>
      <c r="I64" s="145"/>
    </row>
    <row r="65" spans="1:9" x14ac:dyDescent="0.2">
      <c r="A65" s="457"/>
      <c r="B65" s="117"/>
      <c r="C65" s="117" t="s">
        <v>98</v>
      </c>
      <c r="D65" s="51" t="s">
        <v>99</v>
      </c>
      <c r="E65" s="162"/>
      <c r="F65" s="162"/>
      <c r="G65" s="162"/>
      <c r="H65" s="162"/>
      <c r="I65" s="162"/>
    </row>
    <row r="66" spans="1:9" x14ac:dyDescent="0.2">
      <c r="A66" s="457"/>
      <c r="B66" s="117"/>
      <c r="C66" s="117" t="s">
        <v>100</v>
      </c>
      <c r="D66" s="51" t="s">
        <v>101</v>
      </c>
      <c r="E66" s="162"/>
      <c r="F66" s="162"/>
      <c r="G66" s="162"/>
      <c r="H66" s="162"/>
      <c r="I66" s="162"/>
    </row>
    <row r="67" spans="1:9" x14ac:dyDescent="0.2">
      <c r="A67" s="457"/>
      <c r="B67" s="117"/>
      <c r="C67" s="117" t="s">
        <v>150</v>
      </c>
      <c r="D67" s="51"/>
      <c r="E67" s="162"/>
      <c r="F67" s="162"/>
      <c r="G67" s="162"/>
      <c r="H67" s="162"/>
      <c r="I67" s="162"/>
    </row>
    <row r="68" spans="1:9" x14ac:dyDescent="0.2">
      <c r="A68" s="457"/>
      <c r="B68" s="117"/>
      <c r="C68" s="117" t="s">
        <v>102</v>
      </c>
      <c r="D68" s="51" t="s">
        <v>103</v>
      </c>
      <c r="E68" s="162"/>
      <c r="F68" s="162"/>
      <c r="G68" s="162"/>
      <c r="H68" s="162"/>
      <c r="I68" s="162"/>
    </row>
    <row r="69" spans="1:9" x14ac:dyDescent="0.2">
      <c r="A69" s="457"/>
      <c r="B69" s="117"/>
      <c r="C69" s="117" t="s">
        <v>106</v>
      </c>
      <c r="D69" s="51" t="s">
        <v>151</v>
      </c>
      <c r="E69" s="162"/>
      <c r="F69" s="162"/>
      <c r="G69" s="162"/>
      <c r="H69" s="162"/>
      <c r="I69" s="162"/>
    </row>
    <row r="70" spans="1:9" x14ac:dyDescent="0.2">
      <c r="A70" s="457"/>
      <c r="B70" s="117"/>
      <c r="C70" s="117" t="s">
        <v>104</v>
      </c>
      <c r="D70" s="51" t="s">
        <v>105</v>
      </c>
      <c r="E70" s="162"/>
      <c r="F70" s="162"/>
      <c r="G70" s="162"/>
      <c r="H70" s="162"/>
      <c r="I70" s="162"/>
    </row>
    <row r="71" spans="1:9" x14ac:dyDescent="0.2">
      <c r="A71" s="457"/>
      <c r="B71" s="117" t="s">
        <v>423</v>
      </c>
      <c r="C71" s="117"/>
      <c r="D71" s="51"/>
      <c r="E71" s="145"/>
      <c r="F71" s="145"/>
      <c r="G71" s="145"/>
      <c r="H71" s="145"/>
      <c r="I71" s="145"/>
    </row>
    <row r="72" spans="1:9" x14ac:dyDescent="0.2">
      <c r="A72" s="457"/>
      <c r="B72" s="117"/>
      <c r="C72" s="117" t="s">
        <v>98</v>
      </c>
      <c r="D72" s="51" t="s">
        <v>99</v>
      </c>
      <c r="E72" s="162"/>
      <c r="F72" s="162"/>
      <c r="G72" s="162"/>
      <c r="H72" s="162"/>
      <c r="I72" s="162"/>
    </row>
    <row r="73" spans="1:9" x14ac:dyDescent="0.2">
      <c r="A73" s="457"/>
      <c r="B73" s="117"/>
      <c r="C73" s="117" t="s">
        <v>100</v>
      </c>
      <c r="D73" s="51" t="s">
        <v>101</v>
      </c>
      <c r="E73" s="162"/>
      <c r="F73" s="162"/>
      <c r="G73" s="162"/>
      <c r="H73" s="162"/>
      <c r="I73" s="162"/>
    </row>
    <row r="74" spans="1:9" x14ac:dyDescent="0.2">
      <c r="A74" s="457"/>
      <c r="B74" s="117"/>
      <c r="C74" s="117" t="s">
        <v>150</v>
      </c>
      <c r="D74" s="51"/>
      <c r="E74" s="162"/>
      <c r="F74" s="162"/>
      <c r="G74" s="162"/>
      <c r="H74" s="162"/>
      <c r="I74" s="162"/>
    </row>
    <row r="75" spans="1:9" x14ac:dyDescent="0.2">
      <c r="A75" s="457"/>
      <c r="B75" s="117"/>
      <c r="C75" s="117" t="s">
        <v>102</v>
      </c>
      <c r="D75" s="51" t="s">
        <v>103</v>
      </c>
      <c r="E75" s="162"/>
      <c r="F75" s="162"/>
      <c r="G75" s="162"/>
      <c r="H75" s="162"/>
      <c r="I75" s="162"/>
    </row>
    <row r="76" spans="1:9" x14ac:dyDescent="0.2">
      <c r="A76" s="457"/>
      <c r="B76" s="117"/>
      <c r="C76" s="117" t="s">
        <v>106</v>
      </c>
      <c r="D76" s="51" t="s">
        <v>151</v>
      </c>
      <c r="E76" s="162"/>
      <c r="F76" s="162"/>
      <c r="G76" s="162"/>
      <c r="H76" s="162"/>
      <c r="I76" s="162"/>
    </row>
    <row r="77" spans="1:9" x14ac:dyDescent="0.2">
      <c r="A77" s="457"/>
      <c r="B77" s="117"/>
      <c r="C77" s="117" t="s">
        <v>104</v>
      </c>
      <c r="D77" s="51" t="s">
        <v>105</v>
      </c>
      <c r="E77" s="162"/>
      <c r="F77" s="162"/>
      <c r="G77" s="162"/>
      <c r="H77" s="162"/>
      <c r="I77" s="162"/>
    </row>
    <row r="78" spans="1:9" x14ac:dyDescent="0.2">
      <c r="A78" s="457"/>
      <c r="B78" s="117" t="s">
        <v>424</v>
      </c>
      <c r="C78" s="117"/>
      <c r="D78" s="51"/>
      <c r="E78" s="145"/>
      <c r="F78" s="145"/>
      <c r="G78" s="145"/>
      <c r="H78" s="145"/>
      <c r="I78" s="145"/>
    </row>
    <row r="79" spans="1:9" x14ac:dyDescent="0.2">
      <c r="A79" s="457"/>
      <c r="B79" s="117"/>
      <c r="C79" s="117" t="s">
        <v>98</v>
      </c>
      <c r="D79" s="51" t="s">
        <v>99</v>
      </c>
      <c r="E79" s="162"/>
      <c r="F79" s="162"/>
      <c r="G79" s="162"/>
      <c r="H79" s="162"/>
      <c r="I79" s="162"/>
    </row>
    <row r="80" spans="1:9" x14ac:dyDescent="0.2">
      <c r="A80" s="457"/>
      <c r="B80" s="117"/>
      <c r="C80" s="117" t="s">
        <v>100</v>
      </c>
      <c r="D80" s="51" t="s">
        <v>101</v>
      </c>
      <c r="E80" s="162"/>
      <c r="F80" s="162"/>
      <c r="G80" s="162"/>
      <c r="H80" s="162"/>
      <c r="I80" s="162"/>
    </row>
    <row r="81" spans="1:9" x14ac:dyDescent="0.2">
      <c r="A81" s="457"/>
      <c r="B81" s="117"/>
      <c r="C81" s="117" t="s">
        <v>150</v>
      </c>
      <c r="D81" s="51"/>
      <c r="E81" s="162"/>
      <c r="F81" s="162"/>
      <c r="G81" s="162"/>
      <c r="H81" s="162"/>
      <c r="I81" s="162"/>
    </row>
    <row r="82" spans="1:9" x14ac:dyDescent="0.2">
      <c r="A82" s="457"/>
      <c r="B82" s="117"/>
      <c r="C82" s="117" t="s">
        <v>102</v>
      </c>
      <c r="D82" s="51" t="s">
        <v>103</v>
      </c>
      <c r="E82" s="162"/>
      <c r="F82" s="162"/>
      <c r="G82" s="162"/>
      <c r="H82" s="162"/>
      <c r="I82" s="162"/>
    </row>
    <row r="83" spans="1:9" x14ac:dyDescent="0.2">
      <c r="A83" s="457"/>
      <c r="B83" s="117"/>
      <c r="C83" s="117" t="s">
        <v>106</v>
      </c>
      <c r="D83" s="51" t="s">
        <v>151</v>
      </c>
      <c r="E83" s="162"/>
      <c r="F83" s="162"/>
      <c r="G83" s="162"/>
      <c r="H83" s="162"/>
      <c r="I83" s="162"/>
    </row>
    <row r="84" spans="1:9" x14ac:dyDescent="0.2">
      <c r="A84" s="457"/>
      <c r="B84" s="117"/>
      <c r="C84" s="117" t="s">
        <v>104</v>
      </c>
      <c r="D84" s="51" t="s">
        <v>105</v>
      </c>
      <c r="E84" s="162"/>
      <c r="F84" s="162"/>
      <c r="G84" s="162"/>
      <c r="H84" s="162"/>
      <c r="I84" s="162"/>
    </row>
    <row r="85" spans="1:9" ht="15.75" thickBot="1" x14ac:dyDescent="0.3">
      <c r="A85" s="468" t="s">
        <v>410</v>
      </c>
      <c r="B85" s="136"/>
      <c r="C85" s="136"/>
      <c r="D85" s="57"/>
      <c r="E85" s="173">
        <f>SUM(E65:E84)</f>
        <v>0</v>
      </c>
      <c r="F85" s="173">
        <f>SUM(F65:F84)</f>
        <v>0</v>
      </c>
      <c r="G85" s="173">
        <f>SUM(G65:G84)</f>
        <v>0</v>
      </c>
      <c r="H85" s="173">
        <f>SUM(H65:H84)</f>
        <v>0</v>
      </c>
      <c r="I85" s="173">
        <f>SUM(I65:I84)</f>
        <v>0</v>
      </c>
    </row>
    <row r="86" spans="1:9" ht="15.75" thickTop="1" x14ac:dyDescent="0.25">
      <c r="A86" s="459" t="s">
        <v>409</v>
      </c>
      <c r="B86" s="127"/>
      <c r="C86" s="174" t="s">
        <v>411</v>
      </c>
      <c r="D86" s="175"/>
      <c r="E86" s="176"/>
      <c r="F86" s="176"/>
      <c r="G86" s="176"/>
      <c r="H86" s="176"/>
      <c r="I86" s="176"/>
    </row>
    <row r="87" spans="1:9" x14ac:dyDescent="0.2">
      <c r="A87" s="457"/>
      <c r="B87" s="117" t="s">
        <v>194</v>
      </c>
      <c r="C87" s="117"/>
      <c r="D87" s="51" t="s">
        <v>195</v>
      </c>
      <c r="E87" s="178"/>
      <c r="F87" s="145"/>
      <c r="G87" s="145"/>
      <c r="H87" s="145"/>
      <c r="I87" s="145"/>
    </row>
    <row r="88" spans="1:9" x14ac:dyDescent="0.2">
      <c r="A88" s="457"/>
      <c r="B88" s="117"/>
      <c r="C88" s="117" t="s">
        <v>98</v>
      </c>
      <c r="D88" s="51" t="s">
        <v>99</v>
      </c>
      <c r="E88" s="162"/>
      <c r="F88" s="162"/>
      <c r="G88" s="162"/>
      <c r="H88" s="162"/>
      <c r="I88" s="162"/>
    </row>
    <row r="89" spans="1:9" x14ac:dyDescent="0.2">
      <c r="A89" s="457"/>
      <c r="B89" s="117"/>
      <c r="C89" s="117" t="s">
        <v>100</v>
      </c>
      <c r="D89" s="51" t="s">
        <v>101</v>
      </c>
      <c r="E89" s="160"/>
      <c r="F89" s="161"/>
      <c r="G89" s="161"/>
      <c r="H89" s="161"/>
      <c r="I89" s="161"/>
    </row>
    <row r="90" spans="1:9" x14ac:dyDescent="0.2">
      <c r="A90" s="457"/>
      <c r="B90" s="117"/>
      <c r="C90" s="117" t="s">
        <v>150</v>
      </c>
      <c r="D90" s="51"/>
      <c r="E90" s="162"/>
      <c r="F90" s="162"/>
      <c r="G90" s="162"/>
      <c r="H90" s="162"/>
      <c r="I90" s="162"/>
    </row>
    <row r="91" spans="1:9" x14ac:dyDescent="0.2">
      <c r="A91" s="457"/>
      <c r="B91" s="117"/>
      <c r="C91" s="117" t="s">
        <v>102</v>
      </c>
      <c r="D91" s="51" t="s">
        <v>103</v>
      </c>
      <c r="E91" s="162"/>
      <c r="F91" s="162"/>
      <c r="G91" s="162"/>
      <c r="H91" s="162"/>
      <c r="I91" s="162"/>
    </row>
    <row r="92" spans="1:9" x14ac:dyDescent="0.2">
      <c r="A92" s="457"/>
      <c r="B92" s="117"/>
      <c r="C92" s="117" t="s">
        <v>106</v>
      </c>
      <c r="D92" s="51" t="s">
        <v>151</v>
      </c>
      <c r="E92" s="162"/>
      <c r="F92" s="162"/>
      <c r="G92" s="162"/>
      <c r="H92" s="162"/>
      <c r="I92" s="162"/>
    </row>
    <row r="93" spans="1:9" x14ac:dyDescent="0.2">
      <c r="A93" s="457"/>
      <c r="B93" s="117"/>
      <c r="C93" s="117" t="s">
        <v>104</v>
      </c>
      <c r="D93" s="51" t="s">
        <v>105</v>
      </c>
      <c r="E93" s="160"/>
      <c r="F93" s="161"/>
      <c r="G93" s="161"/>
      <c r="H93" s="161"/>
      <c r="I93" s="161"/>
    </row>
    <row r="94" spans="1:9" x14ac:dyDescent="0.2">
      <c r="A94" s="457"/>
      <c r="B94" s="117" t="s">
        <v>423</v>
      </c>
      <c r="C94" s="117"/>
      <c r="D94" s="51"/>
      <c r="E94" s="143"/>
      <c r="F94" s="144"/>
      <c r="G94" s="144"/>
      <c r="H94" s="144"/>
      <c r="I94" s="144"/>
    </row>
    <row r="95" spans="1:9" x14ac:dyDescent="0.2">
      <c r="A95" s="457"/>
      <c r="B95" s="117"/>
      <c r="C95" s="117" t="s">
        <v>98</v>
      </c>
      <c r="D95" s="51" t="s">
        <v>99</v>
      </c>
      <c r="E95" s="162"/>
      <c r="F95" s="162"/>
      <c r="G95" s="162"/>
      <c r="H95" s="162"/>
      <c r="I95" s="162"/>
    </row>
    <row r="96" spans="1:9" x14ac:dyDescent="0.2">
      <c r="A96" s="457"/>
      <c r="B96" s="117"/>
      <c r="C96" s="117" t="s">
        <v>100</v>
      </c>
      <c r="D96" s="51" t="s">
        <v>101</v>
      </c>
      <c r="E96" s="162"/>
      <c r="F96" s="162"/>
      <c r="G96" s="162"/>
      <c r="H96" s="162"/>
      <c r="I96" s="162"/>
    </row>
    <row r="97" spans="1:9" x14ac:dyDescent="0.2">
      <c r="A97" s="457"/>
      <c r="B97" s="117"/>
      <c r="C97" s="117" t="s">
        <v>150</v>
      </c>
      <c r="D97" s="51"/>
      <c r="E97" s="162"/>
      <c r="F97" s="162"/>
      <c r="G97" s="162"/>
      <c r="H97" s="162"/>
      <c r="I97" s="162"/>
    </row>
    <row r="98" spans="1:9" x14ac:dyDescent="0.2">
      <c r="A98" s="457"/>
      <c r="B98" s="117"/>
      <c r="C98" s="117" t="s">
        <v>102</v>
      </c>
      <c r="D98" s="51" t="s">
        <v>103</v>
      </c>
      <c r="E98" s="162"/>
      <c r="F98" s="162"/>
      <c r="G98" s="162"/>
      <c r="H98" s="162"/>
      <c r="I98" s="162"/>
    </row>
    <row r="99" spans="1:9" x14ac:dyDescent="0.2">
      <c r="A99" s="457"/>
      <c r="B99" s="117"/>
      <c r="C99" s="117" t="s">
        <v>106</v>
      </c>
      <c r="D99" s="51" t="s">
        <v>151</v>
      </c>
      <c r="E99" s="162"/>
      <c r="F99" s="162"/>
      <c r="G99" s="162"/>
      <c r="H99" s="162"/>
      <c r="I99" s="162"/>
    </row>
    <row r="100" spans="1:9" x14ac:dyDescent="0.2">
      <c r="A100" s="457"/>
      <c r="B100" s="117"/>
      <c r="C100" s="117" t="s">
        <v>104</v>
      </c>
      <c r="D100" s="51" t="s">
        <v>105</v>
      </c>
      <c r="E100" s="162"/>
      <c r="F100" s="162"/>
      <c r="G100" s="162"/>
      <c r="H100" s="162"/>
      <c r="I100" s="162"/>
    </row>
    <row r="101" spans="1:9" x14ac:dyDescent="0.2">
      <c r="A101" s="457"/>
      <c r="B101" s="117" t="s">
        <v>424</v>
      </c>
      <c r="C101" s="117"/>
      <c r="D101" s="51"/>
      <c r="E101" s="145"/>
      <c r="F101" s="145"/>
      <c r="G101" s="145"/>
      <c r="H101" s="145"/>
      <c r="I101" s="145"/>
    </row>
    <row r="102" spans="1:9" x14ac:dyDescent="0.2">
      <c r="A102" s="457"/>
      <c r="B102" s="117"/>
      <c r="C102" s="117" t="s">
        <v>98</v>
      </c>
      <c r="D102" s="51" t="s">
        <v>99</v>
      </c>
      <c r="E102" s="162"/>
      <c r="F102" s="162"/>
      <c r="G102" s="162"/>
      <c r="H102" s="162"/>
      <c r="I102" s="162"/>
    </row>
    <row r="103" spans="1:9" x14ac:dyDescent="0.2">
      <c r="A103" s="457"/>
      <c r="B103" s="117"/>
      <c r="C103" s="117" t="s">
        <v>100</v>
      </c>
      <c r="D103" s="51" t="s">
        <v>101</v>
      </c>
      <c r="E103" s="227"/>
      <c r="F103" s="162"/>
      <c r="G103" s="162"/>
      <c r="H103" s="162"/>
      <c r="I103" s="162"/>
    </row>
    <row r="104" spans="1:9" x14ac:dyDescent="0.2">
      <c r="A104" s="457"/>
      <c r="B104" s="117"/>
      <c r="C104" s="117" t="s">
        <v>150</v>
      </c>
      <c r="D104" s="51"/>
      <c r="E104" s="160"/>
      <c r="F104" s="161"/>
      <c r="G104" s="161"/>
      <c r="H104" s="161"/>
      <c r="I104" s="161"/>
    </row>
    <row r="105" spans="1:9" x14ac:dyDescent="0.2">
      <c r="A105" s="457"/>
      <c r="B105" s="117"/>
      <c r="C105" s="117" t="s">
        <v>102</v>
      </c>
      <c r="D105" s="51" t="s">
        <v>103</v>
      </c>
      <c r="E105" s="227"/>
      <c r="F105" s="162"/>
      <c r="G105" s="162"/>
      <c r="H105" s="162"/>
      <c r="I105" s="162"/>
    </row>
    <row r="106" spans="1:9" x14ac:dyDescent="0.2">
      <c r="A106" s="457"/>
      <c r="B106" s="117"/>
      <c r="C106" s="117" t="s">
        <v>106</v>
      </c>
      <c r="D106" s="51" t="s">
        <v>151</v>
      </c>
      <c r="E106" s="227"/>
      <c r="F106" s="162"/>
      <c r="G106" s="162"/>
      <c r="H106" s="162"/>
      <c r="I106" s="162"/>
    </row>
    <row r="107" spans="1:9" x14ac:dyDescent="0.2">
      <c r="A107" s="457"/>
      <c r="B107" s="117"/>
      <c r="C107" s="117" t="s">
        <v>104</v>
      </c>
      <c r="D107" s="51" t="s">
        <v>105</v>
      </c>
      <c r="E107" s="227"/>
      <c r="F107" s="162"/>
      <c r="G107" s="162"/>
      <c r="H107" s="162"/>
      <c r="I107" s="162"/>
    </row>
    <row r="108" spans="1:9" ht="15.75" thickBot="1" x14ac:dyDescent="0.3">
      <c r="A108" s="468" t="s">
        <v>412</v>
      </c>
      <c r="B108" s="136"/>
      <c r="C108" s="136"/>
      <c r="D108" s="57"/>
      <c r="E108" s="179">
        <f>SUM(E88:E107)</f>
        <v>0</v>
      </c>
      <c r="F108" s="179">
        <f>SUM(F88:F107)</f>
        <v>0</v>
      </c>
      <c r="G108" s="179">
        <f>SUM(G88:G107)</f>
        <v>0</v>
      </c>
      <c r="H108" s="179">
        <f>SUM(H88:H107)</f>
        <v>0</v>
      </c>
      <c r="I108" s="179">
        <f>SUM(I88:I107)</f>
        <v>0</v>
      </c>
    </row>
    <row r="109" spans="1:9" ht="15.75" thickTop="1" x14ac:dyDescent="0.25">
      <c r="A109" s="166"/>
      <c r="B109" s="167"/>
      <c r="C109" s="167"/>
      <c r="D109" s="450"/>
      <c r="E109" s="496"/>
      <c r="F109" s="496"/>
      <c r="G109" s="496"/>
      <c r="H109" s="496"/>
      <c r="I109" s="496"/>
    </row>
    <row r="110" spans="1:9" x14ac:dyDescent="0.2">
      <c r="A110" s="103"/>
      <c r="B110" s="549" t="str">
        <f>'Form 1 Cover'!A20</f>
        <v>Charter School - fill in the name of your school</v>
      </c>
      <c r="C110" s="549"/>
      <c r="D110" s="43"/>
      <c r="E110" s="59"/>
      <c r="F110" s="59"/>
      <c r="H110" s="59"/>
      <c r="I110" s="550" t="str">
        <f>"Budget Fiscal Year "&amp;TEXT('Form 1 Cover'!$C$137, "mm/dd/yy")</f>
        <v>Budget Fiscal Year 2014-2015</v>
      </c>
    </row>
    <row r="111" spans="1:9" x14ac:dyDescent="0.2">
      <c r="A111" s="103"/>
      <c r="B111" s="103"/>
      <c r="C111" s="103"/>
      <c r="D111" s="59"/>
      <c r="E111" s="103"/>
      <c r="F111" s="59"/>
      <c r="G111" s="59"/>
      <c r="H111" s="59"/>
      <c r="I111" s="59"/>
    </row>
    <row r="112" spans="1:9" x14ac:dyDescent="0.2">
      <c r="A112" s="103"/>
      <c r="B112" s="103" t="s">
        <v>487</v>
      </c>
      <c r="C112" s="103"/>
      <c r="D112" s="59"/>
      <c r="E112" s="59"/>
      <c r="F112" s="59"/>
      <c r="G112" s="59"/>
      <c r="H112" s="497"/>
      <c r="I112" s="497">
        <f>'Form 1 Cover'!$C$146</f>
        <v>41703</v>
      </c>
    </row>
    <row r="113" spans="1:9" x14ac:dyDescent="0.2">
      <c r="A113" s="103"/>
      <c r="B113" s="103"/>
      <c r="C113" s="103"/>
      <c r="D113" s="59"/>
      <c r="E113" s="59"/>
      <c r="F113" s="59"/>
      <c r="G113" s="59"/>
      <c r="H113" s="497"/>
      <c r="I113" s="497"/>
    </row>
    <row r="114" spans="1:9" x14ac:dyDescent="0.2">
      <c r="A114" s="103"/>
      <c r="B114" s="103"/>
      <c r="C114" s="103"/>
      <c r="D114" s="59"/>
      <c r="E114" s="59"/>
      <c r="F114" s="59"/>
      <c r="G114" s="59"/>
      <c r="H114" s="497"/>
      <c r="I114" s="497"/>
    </row>
    <row r="115" spans="1:9" x14ac:dyDescent="0.2">
      <c r="A115" s="467"/>
      <c r="B115" s="98"/>
      <c r="C115" s="98"/>
      <c r="D115" s="99"/>
      <c r="E115" s="210">
        <v>-1</v>
      </c>
      <c r="F115" s="211">
        <v>-2</v>
      </c>
      <c r="G115" s="438">
        <v>-3</v>
      </c>
      <c r="H115" s="211">
        <v>-4</v>
      </c>
      <c r="I115" s="211">
        <v>-5</v>
      </c>
    </row>
    <row r="116" spans="1:9" x14ac:dyDescent="0.2">
      <c r="A116" s="485"/>
      <c r="B116" s="103"/>
      <c r="C116" s="103"/>
      <c r="D116" s="47"/>
      <c r="E116" s="217"/>
      <c r="F116" s="32" t="s">
        <v>44</v>
      </c>
      <c r="G116" s="592" t="str">
        <f>"BUDGET YEAR ENDING "&amp;TEXT('Form 1 Cover'!C249, "MM/DD/YY")</f>
        <v>BUDGET YEAR ENDING 01/00/00</v>
      </c>
      <c r="H116" s="593"/>
      <c r="I116" s="594"/>
    </row>
    <row r="117" spans="1:9" x14ac:dyDescent="0.2">
      <c r="A117" s="485"/>
      <c r="B117" s="103"/>
      <c r="C117" s="103"/>
      <c r="D117" s="47"/>
      <c r="E117" s="213" t="s">
        <v>303</v>
      </c>
      <c r="F117" s="213" t="s">
        <v>305</v>
      </c>
      <c r="G117" s="214"/>
      <c r="H117" s="488"/>
      <c r="I117" s="213" t="s">
        <v>729</v>
      </c>
    </row>
    <row r="118" spans="1:9" ht="15" x14ac:dyDescent="0.2">
      <c r="A118" s="485"/>
      <c r="B118" s="171" t="s">
        <v>96</v>
      </c>
      <c r="C118" s="59"/>
      <c r="D118" s="47"/>
      <c r="E118" s="213" t="s">
        <v>304</v>
      </c>
      <c r="F118" s="213" t="s">
        <v>304</v>
      </c>
      <c r="G118" s="215" t="s">
        <v>306</v>
      </c>
      <c r="H118" s="213" t="s">
        <v>128</v>
      </c>
      <c r="I118" s="213" t="s">
        <v>128</v>
      </c>
    </row>
    <row r="119" spans="1:9" ht="15" x14ac:dyDescent="0.2">
      <c r="A119" s="483"/>
      <c r="B119" s="590"/>
      <c r="C119" s="590"/>
      <c r="D119" s="591"/>
      <c r="E119" s="4">
        <f>'Form 1 Cover'!C130</f>
        <v>41455</v>
      </c>
      <c r="F119" s="4">
        <f>'Form 1 Cover'!C134</f>
        <v>41820</v>
      </c>
      <c r="G119" s="216" t="s">
        <v>307</v>
      </c>
      <c r="H119" s="489" t="s">
        <v>307</v>
      </c>
      <c r="I119" s="489" t="s">
        <v>307</v>
      </c>
    </row>
    <row r="120" spans="1:9" ht="15" x14ac:dyDescent="0.25">
      <c r="A120" s="455" t="s">
        <v>413</v>
      </c>
      <c r="B120" s="113"/>
      <c r="C120" s="114" t="s">
        <v>414</v>
      </c>
      <c r="D120" s="172"/>
      <c r="E120" s="130"/>
      <c r="F120" s="130"/>
      <c r="G120" s="130"/>
      <c r="H120" s="130"/>
      <c r="I120" s="130"/>
    </row>
    <row r="121" spans="1:9" x14ac:dyDescent="0.2">
      <c r="A121" s="457"/>
      <c r="B121" s="117" t="s">
        <v>194</v>
      </c>
      <c r="C121" s="117"/>
      <c r="D121" s="51" t="s">
        <v>195</v>
      </c>
      <c r="E121" s="55"/>
      <c r="F121" s="55"/>
      <c r="G121" s="55"/>
      <c r="H121" s="55"/>
      <c r="I121" s="55"/>
    </row>
    <row r="122" spans="1:9" x14ac:dyDescent="0.2">
      <c r="A122" s="457"/>
      <c r="B122" s="117"/>
      <c r="C122" s="117" t="s">
        <v>98</v>
      </c>
      <c r="D122" s="51" t="s">
        <v>99</v>
      </c>
      <c r="E122" s="162"/>
      <c r="F122" s="162"/>
      <c r="G122" s="162"/>
      <c r="H122" s="162"/>
      <c r="I122" s="162"/>
    </row>
    <row r="123" spans="1:9" x14ac:dyDescent="0.2">
      <c r="A123" s="457"/>
      <c r="B123" s="117"/>
      <c r="C123" s="117" t="s">
        <v>100</v>
      </c>
      <c r="D123" s="51" t="s">
        <v>101</v>
      </c>
      <c r="E123" s="162"/>
      <c r="F123" s="162"/>
      <c r="G123" s="162"/>
      <c r="H123" s="162"/>
      <c r="I123" s="162"/>
    </row>
    <row r="124" spans="1:9" x14ac:dyDescent="0.2">
      <c r="A124" s="457"/>
      <c r="B124" s="117"/>
      <c r="C124" s="117" t="s">
        <v>150</v>
      </c>
      <c r="D124" s="51"/>
      <c r="E124" s="162"/>
      <c r="F124" s="162"/>
      <c r="G124" s="162"/>
      <c r="H124" s="162"/>
      <c r="I124" s="162"/>
    </row>
    <row r="125" spans="1:9" x14ac:dyDescent="0.2">
      <c r="A125" s="457"/>
      <c r="B125" s="117"/>
      <c r="C125" s="117" t="s">
        <v>102</v>
      </c>
      <c r="D125" s="51" t="s">
        <v>103</v>
      </c>
      <c r="E125" s="162"/>
      <c r="F125" s="162"/>
      <c r="G125" s="162"/>
      <c r="H125" s="162"/>
      <c r="I125" s="162"/>
    </row>
    <row r="126" spans="1:9" x14ac:dyDescent="0.2">
      <c r="A126" s="457"/>
      <c r="B126" s="117"/>
      <c r="C126" s="117" t="s">
        <v>106</v>
      </c>
      <c r="D126" s="51" t="s">
        <v>151</v>
      </c>
      <c r="E126" s="162"/>
      <c r="F126" s="162"/>
      <c r="G126" s="162"/>
      <c r="H126" s="162"/>
      <c r="I126" s="162"/>
    </row>
    <row r="127" spans="1:9" x14ac:dyDescent="0.2">
      <c r="A127" s="457"/>
      <c r="B127" s="117"/>
      <c r="C127" s="117" t="s">
        <v>104</v>
      </c>
      <c r="D127" s="51" t="s">
        <v>105</v>
      </c>
      <c r="E127" s="162"/>
      <c r="F127" s="162"/>
      <c r="G127" s="162"/>
      <c r="H127" s="162"/>
      <c r="I127" s="162"/>
    </row>
    <row r="128" spans="1:9" x14ac:dyDescent="0.2">
      <c r="A128" s="457"/>
      <c r="B128" s="117" t="s">
        <v>423</v>
      </c>
      <c r="C128" s="117"/>
      <c r="D128" s="51"/>
      <c r="E128" s="145"/>
      <c r="F128" s="145"/>
      <c r="G128" s="145"/>
      <c r="H128" s="145"/>
      <c r="I128" s="145"/>
    </row>
    <row r="129" spans="1:9" x14ac:dyDescent="0.2">
      <c r="A129" s="457"/>
      <c r="B129" s="117"/>
      <c r="C129" s="117" t="s">
        <v>98</v>
      </c>
      <c r="D129" s="51" t="s">
        <v>99</v>
      </c>
      <c r="E129" s="162"/>
      <c r="F129" s="162"/>
      <c r="G129" s="162"/>
      <c r="H129" s="162"/>
      <c r="I129" s="162"/>
    </row>
    <row r="130" spans="1:9" x14ac:dyDescent="0.2">
      <c r="A130" s="457"/>
      <c r="B130" s="117"/>
      <c r="C130" s="117" t="s">
        <v>100</v>
      </c>
      <c r="D130" s="51" t="s">
        <v>101</v>
      </c>
      <c r="E130" s="162"/>
      <c r="F130" s="162"/>
      <c r="G130" s="162"/>
      <c r="H130" s="162"/>
      <c r="I130" s="162"/>
    </row>
    <row r="131" spans="1:9" x14ac:dyDescent="0.2">
      <c r="A131" s="457"/>
      <c r="B131" s="117"/>
      <c r="C131" s="117" t="s">
        <v>150</v>
      </c>
      <c r="D131" s="51"/>
      <c r="E131" s="162"/>
      <c r="F131" s="162"/>
      <c r="G131" s="162"/>
      <c r="H131" s="162"/>
      <c r="I131" s="162"/>
    </row>
    <row r="132" spans="1:9" x14ac:dyDescent="0.2">
      <c r="A132" s="457"/>
      <c r="B132" s="117"/>
      <c r="C132" s="117" t="s">
        <v>102</v>
      </c>
      <c r="D132" s="51" t="s">
        <v>103</v>
      </c>
      <c r="E132" s="162"/>
      <c r="F132" s="162"/>
      <c r="G132" s="162"/>
      <c r="H132" s="162"/>
      <c r="I132" s="162"/>
    </row>
    <row r="133" spans="1:9" x14ac:dyDescent="0.2">
      <c r="A133" s="457"/>
      <c r="B133" s="117"/>
      <c r="C133" s="117" t="s">
        <v>106</v>
      </c>
      <c r="D133" s="51" t="s">
        <v>151</v>
      </c>
      <c r="E133" s="162"/>
      <c r="F133" s="162"/>
      <c r="G133" s="162"/>
      <c r="H133" s="162"/>
      <c r="I133" s="162"/>
    </row>
    <row r="134" spans="1:9" x14ac:dyDescent="0.2">
      <c r="A134" s="457"/>
      <c r="B134" s="117"/>
      <c r="C134" s="117" t="s">
        <v>104</v>
      </c>
      <c r="D134" s="51" t="s">
        <v>105</v>
      </c>
      <c r="E134" s="162"/>
      <c r="F134" s="162"/>
      <c r="G134" s="162"/>
      <c r="H134" s="162"/>
      <c r="I134" s="162"/>
    </row>
    <row r="135" spans="1:9" x14ac:dyDescent="0.2">
      <c r="A135" s="457"/>
      <c r="B135" s="117" t="s">
        <v>424</v>
      </c>
      <c r="C135" s="117"/>
      <c r="D135" s="51"/>
      <c r="E135" s="145"/>
      <c r="F135" s="145"/>
      <c r="G135" s="145"/>
      <c r="H135" s="145"/>
      <c r="I135" s="145"/>
    </row>
    <row r="136" spans="1:9" x14ac:dyDescent="0.2">
      <c r="A136" s="457"/>
      <c r="B136" s="117"/>
      <c r="C136" s="117" t="s">
        <v>98</v>
      </c>
      <c r="D136" s="51" t="s">
        <v>99</v>
      </c>
      <c r="E136" s="162"/>
      <c r="F136" s="162"/>
      <c r="G136" s="162"/>
      <c r="H136" s="162"/>
      <c r="I136" s="162"/>
    </row>
    <row r="137" spans="1:9" x14ac:dyDescent="0.2">
      <c r="A137" s="457"/>
      <c r="B137" s="117"/>
      <c r="C137" s="117" t="s">
        <v>100</v>
      </c>
      <c r="D137" s="51" t="s">
        <v>101</v>
      </c>
      <c r="E137" s="162"/>
      <c r="F137" s="162"/>
      <c r="G137" s="162"/>
      <c r="H137" s="162"/>
      <c r="I137" s="162"/>
    </row>
    <row r="138" spans="1:9" x14ac:dyDescent="0.2">
      <c r="A138" s="457"/>
      <c r="B138" s="117"/>
      <c r="C138" s="117" t="s">
        <v>150</v>
      </c>
      <c r="D138" s="51"/>
      <c r="E138" s="162"/>
      <c r="F138" s="162"/>
      <c r="G138" s="162"/>
      <c r="H138" s="162"/>
      <c r="I138" s="162"/>
    </row>
    <row r="139" spans="1:9" x14ac:dyDescent="0.2">
      <c r="A139" s="457"/>
      <c r="B139" s="117"/>
      <c r="C139" s="117" t="s">
        <v>102</v>
      </c>
      <c r="D139" s="51" t="s">
        <v>103</v>
      </c>
      <c r="E139" s="162"/>
      <c r="F139" s="162"/>
      <c r="G139" s="162"/>
      <c r="H139" s="162"/>
      <c r="I139" s="162"/>
    </row>
    <row r="140" spans="1:9" x14ac:dyDescent="0.2">
      <c r="A140" s="457"/>
      <c r="B140" s="117"/>
      <c r="C140" s="117" t="s">
        <v>106</v>
      </c>
      <c r="D140" s="51" t="s">
        <v>151</v>
      </c>
      <c r="E140" s="162"/>
      <c r="F140" s="162"/>
      <c r="G140" s="162"/>
      <c r="H140" s="162"/>
      <c r="I140" s="162"/>
    </row>
    <row r="141" spans="1:9" x14ac:dyDescent="0.2">
      <c r="A141" s="457"/>
      <c r="B141" s="117"/>
      <c r="C141" s="117" t="s">
        <v>104</v>
      </c>
      <c r="D141" s="51" t="s">
        <v>105</v>
      </c>
      <c r="E141" s="162"/>
      <c r="F141" s="162"/>
      <c r="G141" s="162"/>
      <c r="H141" s="162"/>
      <c r="I141" s="162"/>
    </row>
    <row r="142" spans="1:9" ht="15.75" thickBot="1" x14ac:dyDescent="0.3">
      <c r="A142" s="468" t="s">
        <v>415</v>
      </c>
      <c r="B142" s="136"/>
      <c r="C142" s="136"/>
      <c r="D142" s="57"/>
      <c r="E142" s="173">
        <f>SUM(E122:E141)</f>
        <v>0</v>
      </c>
      <c r="F142" s="173">
        <f>SUM(F122:F141)</f>
        <v>0</v>
      </c>
      <c r="G142" s="173">
        <f>SUM(G122:G141)</f>
        <v>0</v>
      </c>
      <c r="H142" s="173">
        <f>SUM(H122:H141)</f>
        <v>0</v>
      </c>
      <c r="I142" s="173">
        <f>SUM(I122:I141)</f>
        <v>0</v>
      </c>
    </row>
    <row r="143" spans="1:9" ht="15.75" thickTop="1" x14ac:dyDescent="0.25">
      <c r="A143" s="459" t="s">
        <v>199</v>
      </c>
      <c r="B143" s="127"/>
      <c r="C143" s="174" t="s">
        <v>416</v>
      </c>
      <c r="D143" s="175"/>
      <c r="E143" s="176"/>
      <c r="F143" s="176"/>
      <c r="G143" s="176"/>
      <c r="H143" s="176"/>
      <c r="I143" s="176"/>
    </row>
    <row r="144" spans="1:9" x14ac:dyDescent="0.2">
      <c r="A144" s="457"/>
      <c r="B144" s="117" t="s">
        <v>194</v>
      </c>
      <c r="C144" s="117"/>
      <c r="D144" s="51" t="s">
        <v>195</v>
      </c>
      <c r="E144" s="178"/>
      <c r="F144" s="145"/>
      <c r="G144" s="145"/>
      <c r="H144" s="145"/>
      <c r="I144" s="145"/>
    </row>
    <row r="145" spans="1:9" x14ac:dyDescent="0.2">
      <c r="A145" s="457"/>
      <c r="B145" s="117"/>
      <c r="C145" s="117" t="s">
        <v>98</v>
      </c>
      <c r="D145" s="51" t="s">
        <v>99</v>
      </c>
      <c r="E145" s="162"/>
      <c r="F145" s="162"/>
      <c r="G145" s="162"/>
      <c r="H145" s="162"/>
      <c r="I145" s="162"/>
    </row>
    <row r="146" spans="1:9" x14ac:dyDescent="0.2">
      <c r="A146" s="457"/>
      <c r="B146" s="117"/>
      <c r="C146" s="117" t="s">
        <v>100</v>
      </c>
      <c r="D146" s="51" t="s">
        <v>101</v>
      </c>
      <c r="E146" s="160"/>
      <c r="F146" s="161"/>
      <c r="G146" s="161"/>
      <c r="H146" s="161"/>
      <c r="I146" s="161"/>
    </row>
    <row r="147" spans="1:9" x14ac:dyDescent="0.2">
      <c r="A147" s="457"/>
      <c r="B147" s="117"/>
      <c r="C147" s="117" t="s">
        <v>150</v>
      </c>
      <c r="D147" s="51"/>
      <c r="E147" s="162"/>
      <c r="F147" s="162"/>
      <c r="G147" s="162"/>
      <c r="H147" s="162"/>
      <c r="I147" s="162"/>
    </row>
    <row r="148" spans="1:9" x14ac:dyDescent="0.2">
      <c r="A148" s="457"/>
      <c r="B148" s="117"/>
      <c r="C148" s="117" t="s">
        <v>102</v>
      </c>
      <c r="D148" s="51" t="s">
        <v>103</v>
      </c>
      <c r="E148" s="162"/>
      <c r="F148" s="162"/>
      <c r="G148" s="162"/>
      <c r="H148" s="162"/>
      <c r="I148" s="162"/>
    </row>
    <row r="149" spans="1:9" x14ac:dyDescent="0.2">
      <c r="A149" s="457"/>
      <c r="B149" s="117"/>
      <c r="C149" s="117" t="s">
        <v>106</v>
      </c>
      <c r="D149" s="51" t="s">
        <v>151</v>
      </c>
      <c r="E149" s="162"/>
      <c r="F149" s="162"/>
      <c r="G149" s="162"/>
      <c r="H149" s="162"/>
      <c r="I149" s="162"/>
    </row>
    <row r="150" spans="1:9" x14ac:dyDescent="0.2">
      <c r="A150" s="457"/>
      <c r="B150" s="117"/>
      <c r="C150" s="117" t="s">
        <v>104</v>
      </c>
      <c r="D150" s="51" t="s">
        <v>105</v>
      </c>
      <c r="E150" s="160"/>
      <c r="F150" s="161"/>
      <c r="G150" s="161"/>
      <c r="H150" s="161"/>
      <c r="I150" s="161"/>
    </row>
    <row r="151" spans="1:9" x14ac:dyDescent="0.2">
      <c r="A151" s="457"/>
      <c r="B151" s="117" t="s">
        <v>423</v>
      </c>
      <c r="C151" s="117"/>
      <c r="D151" s="51"/>
      <c r="E151" s="143"/>
      <c r="F151" s="144"/>
      <c r="G151" s="144"/>
      <c r="H151" s="144"/>
      <c r="I151" s="144"/>
    </row>
    <row r="152" spans="1:9" x14ac:dyDescent="0.2">
      <c r="A152" s="457"/>
      <c r="B152" s="117"/>
      <c r="C152" s="117" t="s">
        <v>98</v>
      </c>
      <c r="D152" s="51" t="s">
        <v>99</v>
      </c>
      <c r="E152" s="162"/>
      <c r="F152" s="162"/>
      <c r="G152" s="162"/>
      <c r="H152" s="162"/>
      <c r="I152" s="162"/>
    </row>
    <row r="153" spans="1:9" x14ac:dyDescent="0.2">
      <c r="A153" s="457"/>
      <c r="B153" s="117"/>
      <c r="C153" s="117" t="s">
        <v>100</v>
      </c>
      <c r="D153" s="51" t="s">
        <v>101</v>
      </c>
      <c r="E153" s="162"/>
      <c r="F153" s="162"/>
      <c r="G153" s="162"/>
      <c r="H153" s="162"/>
      <c r="I153" s="162"/>
    </row>
    <row r="154" spans="1:9" x14ac:dyDescent="0.2">
      <c r="A154" s="457"/>
      <c r="B154" s="117"/>
      <c r="C154" s="117" t="s">
        <v>150</v>
      </c>
      <c r="D154" s="51"/>
      <c r="E154" s="162"/>
      <c r="F154" s="162"/>
      <c r="G154" s="162"/>
      <c r="H154" s="162"/>
      <c r="I154" s="162"/>
    </row>
    <row r="155" spans="1:9" x14ac:dyDescent="0.2">
      <c r="A155" s="457"/>
      <c r="B155" s="117"/>
      <c r="C155" s="117" t="s">
        <v>102</v>
      </c>
      <c r="D155" s="51" t="s">
        <v>103</v>
      </c>
      <c r="E155" s="162"/>
      <c r="F155" s="162"/>
      <c r="G155" s="162"/>
      <c r="H155" s="162"/>
      <c r="I155" s="162"/>
    </row>
    <row r="156" spans="1:9" x14ac:dyDescent="0.2">
      <c r="A156" s="457"/>
      <c r="B156" s="117"/>
      <c r="C156" s="117" t="s">
        <v>106</v>
      </c>
      <c r="D156" s="51" t="s">
        <v>151</v>
      </c>
      <c r="E156" s="162"/>
      <c r="F156" s="162"/>
      <c r="G156" s="162"/>
      <c r="H156" s="162"/>
      <c r="I156" s="162"/>
    </row>
    <row r="157" spans="1:9" x14ac:dyDescent="0.2">
      <c r="A157" s="457"/>
      <c r="B157" s="117"/>
      <c r="C157" s="117" t="s">
        <v>104</v>
      </c>
      <c r="D157" s="51" t="s">
        <v>105</v>
      </c>
      <c r="E157" s="162"/>
      <c r="F157" s="162"/>
      <c r="G157" s="162"/>
      <c r="H157" s="162"/>
      <c r="I157" s="162"/>
    </row>
    <row r="158" spans="1:9" x14ac:dyDescent="0.2">
      <c r="A158" s="457"/>
      <c r="B158" s="117" t="s">
        <v>424</v>
      </c>
      <c r="C158" s="117"/>
      <c r="D158" s="51"/>
      <c r="E158" s="145"/>
      <c r="F158" s="145"/>
      <c r="G158" s="145"/>
      <c r="H158" s="145"/>
      <c r="I158" s="145"/>
    </row>
    <row r="159" spans="1:9" x14ac:dyDescent="0.2">
      <c r="A159" s="457"/>
      <c r="B159" s="117"/>
      <c r="C159" s="117" t="s">
        <v>98</v>
      </c>
      <c r="D159" s="51" t="s">
        <v>99</v>
      </c>
      <c r="E159" s="162"/>
      <c r="F159" s="162"/>
      <c r="G159" s="162"/>
      <c r="H159" s="162"/>
      <c r="I159" s="162"/>
    </row>
    <row r="160" spans="1:9" x14ac:dyDescent="0.2">
      <c r="A160" s="457"/>
      <c r="B160" s="117"/>
      <c r="C160" s="117" t="s">
        <v>100</v>
      </c>
      <c r="D160" s="51" t="s">
        <v>101</v>
      </c>
      <c r="E160" s="227"/>
      <c r="F160" s="162"/>
      <c r="G160" s="162"/>
      <c r="H160" s="162"/>
      <c r="I160" s="162"/>
    </row>
    <row r="161" spans="1:9" x14ac:dyDescent="0.2">
      <c r="A161" s="457"/>
      <c r="B161" s="117"/>
      <c r="C161" s="117" t="s">
        <v>150</v>
      </c>
      <c r="D161" s="51"/>
      <c r="E161" s="160"/>
      <c r="F161" s="161"/>
      <c r="G161" s="161"/>
      <c r="H161" s="161"/>
      <c r="I161" s="161"/>
    </row>
    <row r="162" spans="1:9" x14ac:dyDescent="0.2">
      <c r="A162" s="457"/>
      <c r="B162" s="117"/>
      <c r="C162" s="117" t="s">
        <v>102</v>
      </c>
      <c r="D162" s="51" t="s">
        <v>103</v>
      </c>
      <c r="E162" s="227"/>
      <c r="F162" s="162"/>
      <c r="G162" s="162"/>
      <c r="H162" s="162"/>
      <c r="I162" s="162"/>
    </row>
    <row r="163" spans="1:9" x14ac:dyDescent="0.2">
      <c r="A163" s="457"/>
      <c r="B163" s="117"/>
      <c r="C163" s="117" t="s">
        <v>106</v>
      </c>
      <c r="D163" s="51" t="s">
        <v>151</v>
      </c>
      <c r="E163" s="227"/>
      <c r="F163" s="162"/>
      <c r="G163" s="162"/>
      <c r="H163" s="162"/>
      <c r="I163" s="162"/>
    </row>
    <row r="164" spans="1:9" x14ac:dyDescent="0.2">
      <c r="A164" s="457"/>
      <c r="B164" s="117"/>
      <c r="C164" s="116" t="s">
        <v>104</v>
      </c>
      <c r="D164" s="51" t="s">
        <v>105</v>
      </c>
      <c r="E164" s="227"/>
      <c r="F164" s="162"/>
      <c r="G164" s="162"/>
      <c r="H164" s="162"/>
      <c r="I164" s="162"/>
    </row>
    <row r="165" spans="1:9" ht="15.75" thickBot="1" x14ac:dyDescent="0.3">
      <c r="A165" s="468" t="s">
        <v>199</v>
      </c>
      <c r="B165" s="136"/>
      <c r="C165" s="180" t="s">
        <v>417</v>
      </c>
      <c r="D165" s="57"/>
      <c r="E165" s="179">
        <f>SUM(E145:E164)</f>
        <v>0</v>
      </c>
      <c r="F165" s="179">
        <f>SUM(F145:F164)</f>
        <v>0</v>
      </c>
      <c r="G165" s="179">
        <f>SUM(G145:G164)</f>
        <v>0</v>
      </c>
      <c r="H165" s="179">
        <f>SUM(H145:H164)</f>
        <v>0</v>
      </c>
      <c r="I165" s="179">
        <f>SUM(I145:I164)</f>
        <v>0</v>
      </c>
    </row>
    <row r="166" spans="1:9" ht="15.75" thickTop="1" x14ac:dyDescent="0.25">
      <c r="A166" s="166"/>
      <c r="B166" s="167"/>
      <c r="C166" s="223"/>
      <c r="D166" s="450"/>
      <c r="E166" s="496"/>
      <c r="F166" s="496"/>
      <c r="G166" s="496"/>
      <c r="H166" s="496"/>
      <c r="I166" s="496"/>
    </row>
    <row r="167" spans="1:9" x14ac:dyDescent="0.2">
      <c r="A167" s="103"/>
      <c r="B167" s="549" t="str">
        <f>'Form 1 Cover'!A20</f>
        <v>Charter School - fill in the name of your school</v>
      </c>
      <c r="C167" s="549"/>
      <c r="D167" s="43"/>
      <c r="E167" s="59"/>
      <c r="F167" s="59"/>
      <c r="H167" s="59"/>
      <c r="I167" s="550" t="str">
        <f>"Budget Fiscal Year "&amp;TEXT('Form 1 Cover'!$C$137, "mm/dd/yy")</f>
        <v>Budget Fiscal Year 2014-2015</v>
      </c>
    </row>
    <row r="168" spans="1:9" x14ac:dyDescent="0.2">
      <c r="A168" s="103"/>
      <c r="B168" s="103"/>
      <c r="C168" s="103"/>
      <c r="D168" s="59"/>
      <c r="E168" s="103"/>
      <c r="F168" s="59"/>
      <c r="G168" s="59"/>
      <c r="H168" s="59"/>
      <c r="I168" s="59"/>
    </row>
    <row r="169" spans="1:9" x14ac:dyDescent="0.2">
      <c r="A169" s="103"/>
      <c r="B169" s="103" t="s">
        <v>487</v>
      </c>
      <c r="C169" s="103"/>
      <c r="D169" s="59"/>
      <c r="E169" s="59"/>
      <c r="F169" s="59"/>
      <c r="G169" s="59"/>
      <c r="H169" s="497"/>
      <c r="I169" s="497">
        <f>'Form 1 Cover'!$C$146</f>
        <v>41703</v>
      </c>
    </row>
    <row r="170" spans="1:9" x14ac:dyDescent="0.2">
      <c r="A170" s="103"/>
      <c r="B170" s="103"/>
      <c r="C170" s="103"/>
      <c r="D170" s="59"/>
      <c r="E170" s="59"/>
      <c r="F170" s="59"/>
      <c r="G170" s="59"/>
      <c r="H170" s="497"/>
      <c r="I170" s="497"/>
    </row>
    <row r="171" spans="1:9" x14ac:dyDescent="0.2">
      <c r="A171" s="103"/>
      <c r="B171" s="103"/>
      <c r="C171" s="103"/>
      <c r="D171" s="59"/>
      <c r="E171" s="59"/>
      <c r="F171" s="59"/>
      <c r="G171" s="59"/>
      <c r="H171" s="497"/>
      <c r="I171" s="497"/>
    </row>
    <row r="172" spans="1:9" x14ac:dyDescent="0.2">
      <c r="A172" s="103"/>
      <c r="B172" s="103"/>
      <c r="C172" s="103"/>
      <c r="D172" s="59"/>
      <c r="E172" s="59"/>
      <c r="F172" s="59"/>
      <c r="G172" s="59"/>
      <c r="H172" s="497"/>
      <c r="I172" s="497"/>
    </row>
    <row r="173" spans="1:9" x14ac:dyDescent="0.2">
      <c r="A173" s="467"/>
      <c r="B173" s="98"/>
      <c r="C173" s="98"/>
      <c r="D173" s="99"/>
      <c r="E173" s="210">
        <v>-1</v>
      </c>
      <c r="F173" s="211">
        <v>-2</v>
      </c>
      <c r="G173" s="438">
        <v>-3</v>
      </c>
      <c r="H173" s="211">
        <v>-4</v>
      </c>
      <c r="I173" s="211">
        <v>-5</v>
      </c>
    </row>
    <row r="174" spans="1:9" x14ac:dyDescent="0.2">
      <c r="A174" s="485"/>
      <c r="B174" s="103"/>
      <c r="C174" s="103"/>
      <c r="D174" s="47"/>
      <c r="E174" s="217"/>
      <c r="F174" s="32" t="s">
        <v>44</v>
      </c>
      <c r="G174" s="592" t="str">
        <f>"BUDGET YEAR ENDING "&amp;TEXT('Form 1 Cover'!C304, "MM/DD/YY")</f>
        <v>BUDGET YEAR ENDING 01/00/00</v>
      </c>
      <c r="H174" s="593"/>
      <c r="I174" s="594"/>
    </row>
    <row r="175" spans="1:9" x14ac:dyDescent="0.2">
      <c r="A175" s="485"/>
      <c r="B175" s="103"/>
      <c r="C175" s="103"/>
      <c r="D175" s="47"/>
      <c r="E175" s="213" t="s">
        <v>303</v>
      </c>
      <c r="F175" s="213" t="s">
        <v>305</v>
      </c>
      <c r="G175" s="214"/>
      <c r="H175" s="488"/>
      <c r="I175" s="213" t="s">
        <v>729</v>
      </c>
    </row>
    <row r="176" spans="1:9" ht="15" x14ac:dyDescent="0.2">
      <c r="A176" s="485"/>
      <c r="B176" s="171" t="s">
        <v>96</v>
      </c>
      <c r="C176" s="59"/>
      <c r="D176" s="47"/>
      <c r="E176" s="213" t="s">
        <v>304</v>
      </c>
      <c r="F176" s="213" t="s">
        <v>304</v>
      </c>
      <c r="G176" s="215" t="s">
        <v>306</v>
      </c>
      <c r="H176" s="213" t="s">
        <v>128</v>
      </c>
      <c r="I176" s="213" t="s">
        <v>128</v>
      </c>
    </row>
    <row r="177" spans="1:9" ht="15" x14ac:dyDescent="0.2">
      <c r="A177" s="483"/>
      <c r="B177" s="590"/>
      <c r="C177" s="590"/>
      <c r="D177" s="591"/>
      <c r="E177" s="4">
        <f>'Form 1 Cover'!C130</f>
        <v>41455</v>
      </c>
      <c r="F177" s="4">
        <f>'Form 1 Cover'!C134</f>
        <v>41820</v>
      </c>
      <c r="G177" s="216" t="s">
        <v>307</v>
      </c>
      <c r="H177" s="489" t="s">
        <v>307</v>
      </c>
      <c r="I177" s="489" t="s">
        <v>307</v>
      </c>
    </row>
    <row r="178" spans="1:9" ht="15" x14ac:dyDescent="0.25">
      <c r="A178" s="455" t="s">
        <v>418</v>
      </c>
      <c r="B178" s="113"/>
      <c r="C178" s="114" t="s">
        <v>419</v>
      </c>
      <c r="D178" s="172"/>
      <c r="E178" s="130"/>
      <c r="F178" s="130"/>
      <c r="G178" s="130"/>
      <c r="H178" s="130"/>
      <c r="I178" s="130"/>
    </row>
    <row r="179" spans="1:9" x14ac:dyDescent="0.2">
      <c r="A179" s="457"/>
      <c r="B179" s="117" t="s">
        <v>194</v>
      </c>
      <c r="C179" s="117"/>
      <c r="D179" s="51" t="s">
        <v>195</v>
      </c>
      <c r="E179" s="55"/>
      <c r="F179" s="55"/>
      <c r="G179" s="55"/>
      <c r="H179" s="55"/>
      <c r="I179" s="55"/>
    </row>
    <row r="180" spans="1:9" x14ac:dyDescent="0.2">
      <c r="A180" s="457"/>
      <c r="B180" s="117"/>
      <c r="C180" s="117" t="s">
        <v>98</v>
      </c>
      <c r="D180" s="51" t="s">
        <v>99</v>
      </c>
      <c r="E180" s="162"/>
      <c r="F180" s="162"/>
      <c r="G180" s="162"/>
      <c r="H180" s="162"/>
      <c r="I180" s="162"/>
    </row>
    <row r="181" spans="1:9" x14ac:dyDescent="0.2">
      <c r="A181" s="457"/>
      <c r="B181" s="117"/>
      <c r="C181" s="117" t="s">
        <v>100</v>
      </c>
      <c r="D181" s="51" t="s">
        <v>101</v>
      </c>
      <c r="E181" s="162"/>
      <c r="F181" s="162"/>
      <c r="G181" s="162"/>
      <c r="H181" s="162"/>
      <c r="I181" s="162"/>
    </row>
    <row r="182" spans="1:9" x14ac:dyDescent="0.2">
      <c r="A182" s="457"/>
      <c r="B182" s="117"/>
      <c r="C182" s="117" t="s">
        <v>150</v>
      </c>
      <c r="D182" s="51"/>
      <c r="E182" s="162"/>
      <c r="F182" s="162"/>
      <c r="G182" s="162"/>
      <c r="H182" s="162"/>
      <c r="I182" s="162"/>
    </row>
    <row r="183" spans="1:9" x14ac:dyDescent="0.2">
      <c r="A183" s="457"/>
      <c r="B183" s="117"/>
      <c r="C183" s="117" t="s">
        <v>102</v>
      </c>
      <c r="D183" s="51" t="s">
        <v>103</v>
      </c>
      <c r="E183" s="162"/>
      <c r="F183" s="162"/>
      <c r="G183" s="162"/>
      <c r="H183" s="162"/>
      <c r="I183" s="162"/>
    </row>
    <row r="184" spans="1:9" x14ac:dyDescent="0.2">
      <c r="A184" s="457"/>
      <c r="B184" s="117"/>
      <c r="C184" s="117" t="s">
        <v>106</v>
      </c>
      <c r="D184" s="51" t="s">
        <v>151</v>
      </c>
      <c r="E184" s="162"/>
      <c r="F184" s="162"/>
      <c r="G184" s="162"/>
      <c r="H184" s="162"/>
      <c r="I184" s="162"/>
    </row>
    <row r="185" spans="1:9" x14ac:dyDescent="0.2">
      <c r="A185" s="457"/>
      <c r="B185" s="117"/>
      <c r="C185" s="117" t="s">
        <v>104</v>
      </c>
      <c r="D185" s="51" t="s">
        <v>105</v>
      </c>
      <c r="E185" s="162"/>
      <c r="F185" s="162"/>
      <c r="G185" s="162"/>
      <c r="H185" s="162"/>
      <c r="I185" s="162"/>
    </row>
    <row r="186" spans="1:9" x14ac:dyDescent="0.2">
      <c r="A186" s="457"/>
      <c r="B186" s="117" t="s">
        <v>423</v>
      </c>
      <c r="C186" s="117"/>
      <c r="D186" s="51"/>
      <c r="E186" s="145"/>
      <c r="F186" s="145"/>
      <c r="G186" s="145"/>
      <c r="H186" s="145"/>
      <c r="I186" s="145"/>
    </row>
    <row r="187" spans="1:9" x14ac:dyDescent="0.2">
      <c r="A187" s="457"/>
      <c r="B187" s="117"/>
      <c r="C187" s="117" t="s">
        <v>98</v>
      </c>
      <c r="D187" s="51" t="s">
        <v>99</v>
      </c>
      <c r="E187" s="162"/>
      <c r="F187" s="162"/>
      <c r="G187" s="162"/>
      <c r="H187" s="162"/>
      <c r="I187" s="162"/>
    </row>
    <row r="188" spans="1:9" x14ac:dyDescent="0.2">
      <c r="A188" s="457"/>
      <c r="B188" s="117"/>
      <c r="C188" s="117" t="s">
        <v>100</v>
      </c>
      <c r="D188" s="51" t="s">
        <v>101</v>
      </c>
      <c r="E188" s="162"/>
      <c r="F188" s="162"/>
      <c r="G188" s="162"/>
      <c r="H188" s="162"/>
      <c r="I188" s="162"/>
    </row>
    <row r="189" spans="1:9" x14ac:dyDescent="0.2">
      <c r="A189" s="457"/>
      <c r="B189" s="117"/>
      <c r="C189" s="117" t="s">
        <v>150</v>
      </c>
      <c r="D189" s="51"/>
      <c r="E189" s="162"/>
      <c r="F189" s="162"/>
      <c r="G189" s="162"/>
      <c r="H189" s="162"/>
      <c r="I189" s="162"/>
    </row>
    <row r="190" spans="1:9" x14ac:dyDescent="0.2">
      <c r="A190" s="457"/>
      <c r="B190" s="117"/>
      <c r="C190" s="117" t="s">
        <v>102</v>
      </c>
      <c r="D190" s="51" t="s">
        <v>103</v>
      </c>
      <c r="E190" s="162"/>
      <c r="F190" s="162"/>
      <c r="G190" s="162"/>
      <c r="H190" s="162"/>
      <c r="I190" s="162"/>
    </row>
    <row r="191" spans="1:9" x14ac:dyDescent="0.2">
      <c r="A191" s="457"/>
      <c r="B191" s="117"/>
      <c r="C191" s="117" t="s">
        <v>106</v>
      </c>
      <c r="D191" s="51" t="s">
        <v>151</v>
      </c>
      <c r="E191" s="162"/>
      <c r="F191" s="162"/>
      <c r="G191" s="162"/>
      <c r="H191" s="162"/>
      <c r="I191" s="162"/>
    </row>
    <row r="192" spans="1:9" x14ac:dyDescent="0.2">
      <c r="A192" s="457"/>
      <c r="B192" s="117"/>
      <c r="C192" s="117" t="s">
        <v>104</v>
      </c>
      <c r="D192" s="51" t="s">
        <v>105</v>
      </c>
      <c r="E192" s="162"/>
      <c r="F192" s="162"/>
      <c r="G192" s="162"/>
      <c r="H192" s="162"/>
      <c r="I192" s="162"/>
    </row>
    <row r="193" spans="1:9" x14ac:dyDescent="0.2">
      <c r="A193" s="457"/>
      <c r="B193" s="117" t="s">
        <v>424</v>
      </c>
      <c r="C193" s="117"/>
      <c r="D193" s="51"/>
      <c r="E193" s="145"/>
      <c r="F193" s="145"/>
      <c r="G193" s="145"/>
      <c r="H193" s="145"/>
      <c r="I193" s="145"/>
    </row>
    <row r="194" spans="1:9" x14ac:dyDescent="0.2">
      <c r="A194" s="457"/>
      <c r="B194" s="117"/>
      <c r="C194" s="117" t="s">
        <v>98</v>
      </c>
      <c r="D194" s="51" t="s">
        <v>99</v>
      </c>
      <c r="E194" s="162"/>
      <c r="F194" s="162"/>
      <c r="G194" s="162"/>
      <c r="H194" s="162"/>
      <c r="I194" s="162"/>
    </row>
    <row r="195" spans="1:9" x14ac:dyDescent="0.2">
      <c r="A195" s="457"/>
      <c r="B195" s="117"/>
      <c r="C195" s="117" t="s">
        <v>100</v>
      </c>
      <c r="D195" s="51" t="s">
        <v>101</v>
      </c>
      <c r="E195" s="162"/>
      <c r="F195" s="162"/>
      <c r="G195" s="162"/>
      <c r="H195" s="162"/>
      <c r="I195" s="162"/>
    </row>
    <row r="196" spans="1:9" x14ac:dyDescent="0.2">
      <c r="A196" s="457"/>
      <c r="B196" s="117"/>
      <c r="C196" s="117" t="s">
        <v>150</v>
      </c>
      <c r="D196" s="51"/>
      <c r="E196" s="162"/>
      <c r="F196" s="162"/>
      <c r="G196" s="162"/>
      <c r="H196" s="162"/>
      <c r="I196" s="162"/>
    </row>
    <row r="197" spans="1:9" x14ac:dyDescent="0.2">
      <c r="A197" s="457"/>
      <c r="B197" s="117"/>
      <c r="C197" s="117" t="s">
        <v>102</v>
      </c>
      <c r="D197" s="51" t="s">
        <v>103</v>
      </c>
      <c r="E197" s="162"/>
      <c r="F197" s="162"/>
      <c r="G197" s="162"/>
      <c r="H197" s="162"/>
      <c r="I197" s="162"/>
    </row>
    <row r="198" spans="1:9" x14ac:dyDescent="0.2">
      <c r="A198" s="457"/>
      <c r="B198" s="117"/>
      <c r="C198" s="117" t="s">
        <v>106</v>
      </c>
      <c r="D198" s="51" t="s">
        <v>151</v>
      </c>
      <c r="E198" s="162"/>
      <c r="F198" s="162"/>
      <c r="G198" s="162"/>
      <c r="H198" s="162"/>
      <c r="I198" s="162"/>
    </row>
    <row r="199" spans="1:9" x14ac:dyDescent="0.2">
      <c r="A199" s="457"/>
      <c r="B199" s="117"/>
      <c r="C199" s="117" t="s">
        <v>104</v>
      </c>
      <c r="D199" s="51" t="s">
        <v>105</v>
      </c>
      <c r="E199" s="162"/>
      <c r="F199" s="162"/>
      <c r="G199" s="162"/>
      <c r="H199" s="162"/>
      <c r="I199" s="162"/>
    </row>
    <row r="200" spans="1:9" ht="15.75" thickBot="1" x14ac:dyDescent="0.3">
      <c r="A200" s="468" t="s">
        <v>418</v>
      </c>
      <c r="B200" s="136"/>
      <c r="C200" s="56" t="s">
        <v>420</v>
      </c>
      <c r="D200" s="57"/>
      <c r="E200" s="173">
        <f>SUM(E180:E199)</f>
        <v>0</v>
      </c>
      <c r="F200" s="173">
        <f>SUM(F180:F199)</f>
        <v>0</v>
      </c>
      <c r="G200" s="173">
        <f>SUM(G180:G199)</f>
        <v>0</v>
      </c>
      <c r="H200" s="173">
        <f>SUM(H180:H199)</f>
        <v>0</v>
      </c>
      <c r="I200" s="173">
        <f>SUM(I180:I199)</f>
        <v>0</v>
      </c>
    </row>
    <row r="201" spans="1:9" ht="15.75" thickTop="1" x14ac:dyDescent="0.25">
      <c r="A201" s="455" t="s">
        <v>197</v>
      </c>
      <c r="B201" s="113"/>
      <c r="C201" s="195" t="s">
        <v>421</v>
      </c>
      <c r="D201" s="172"/>
      <c r="E201" s="176"/>
      <c r="F201" s="176"/>
      <c r="G201" s="176"/>
      <c r="H201" s="176"/>
      <c r="I201" s="176"/>
    </row>
    <row r="202" spans="1:9" x14ac:dyDescent="0.2">
      <c r="A202" s="457"/>
      <c r="B202" s="117" t="s">
        <v>194</v>
      </c>
      <c r="C202" s="117"/>
      <c r="D202" s="51" t="s">
        <v>195</v>
      </c>
      <c r="E202" s="178"/>
      <c r="F202" s="145"/>
      <c r="G202" s="145"/>
      <c r="H202" s="145"/>
      <c r="I202" s="145"/>
    </row>
    <row r="203" spans="1:9" x14ac:dyDescent="0.2">
      <c r="A203" s="457"/>
      <c r="B203" s="117"/>
      <c r="C203" s="117" t="s">
        <v>98</v>
      </c>
      <c r="D203" s="51" t="s">
        <v>99</v>
      </c>
      <c r="E203" s="162"/>
      <c r="F203" s="162"/>
      <c r="G203" s="162"/>
      <c r="H203" s="162"/>
      <c r="I203" s="162"/>
    </row>
    <row r="204" spans="1:9" x14ac:dyDescent="0.2">
      <c r="A204" s="457"/>
      <c r="B204" s="117"/>
      <c r="C204" s="117" t="s">
        <v>100</v>
      </c>
      <c r="D204" s="51" t="s">
        <v>101</v>
      </c>
      <c r="E204" s="160"/>
      <c r="F204" s="161"/>
      <c r="G204" s="161"/>
      <c r="H204" s="161"/>
      <c r="I204" s="161"/>
    </row>
    <row r="205" spans="1:9" x14ac:dyDescent="0.2">
      <c r="A205" s="457"/>
      <c r="B205" s="117"/>
      <c r="C205" s="117" t="s">
        <v>150</v>
      </c>
      <c r="D205" s="51"/>
      <c r="E205" s="162"/>
      <c r="F205" s="162"/>
      <c r="G205" s="162"/>
      <c r="H205" s="162"/>
      <c r="I205" s="162"/>
    </row>
    <row r="206" spans="1:9" x14ac:dyDescent="0.2">
      <c r="A206" s="457"/>
      <c r="B206" s="117"/>
      <c r="C206" s="117" t="s">
        <v>102</v>
      </c>
      <c r="D206" s="51" t="s">
        <v>103</v>
      </c>
      <c r="E206" s="162"/>
      <c r="F206" s="162"/>
      <c r="G206" s="162"/>
      <c r="H206" s="162"/>
      <c r="I206" s="162"/>
    </row>
    <row r="207" spans="1:9" x14ac:dyDescent="0.2">
      <c r="A207" s="457"/>
      <c r="B207" s="117"/>
      <c r="C207" s="117" t="s">
        <v>106</v>
      </c>
      <c r="D207" s="51" t="s">
        <v>151</v>
      </c>
      <c r="E207" s="162"/>
      <c r="F207" s="162"/>
      <c r="G207" s="162"/>
      <c r="H207" s="162"/>
      <c r="I207" s="162"/>
    </row>
    <row r="208" spans="1:9" x14ac:dyDescent="0.2">
      <c r="A208" s="457"/>
      <c r="B208" s="117"/>
      <c r="C208" s="117" t="s">
        <v>104</v>
      </c>
      <c r="D208" s="51" t="s">
        <v>105</v>
      </c>
      <c r="E208" s="160"/>
      <c r="F208" s="161"/>
      <c r="G208" s="161"/>
      <c r="H208" s="161"/>
      <c r="I208" s="161"/>
    </row>
    <row r="209" spans="1:9" x14ac:dyDescent="0.2">
      <c r="A209" s="457"/>
      <c r="B209" s="117" t="s">
        <v>423</v>
      </c>
      <c r="C209" s="117"/>
      <c r="D209" s="51"/>
      <c r="E209" s="143"/>
      <c r="F209" s="144"/>
      <c r="G209" s="144"/>
      <c r="H209" s="144"/>
      <c r="I209" s="144"/>
    </row>
    <row r="210" spans="1:9" x14ac:dyDescent="0.2">
      <c r="A210" s="457"/>
      <c r="B210" s="117"/>
      <c r="C210" s="117" t="s">
        <v>98</v>
      </c>
      <c r="D210" s="51" t="s">
        <v>99</v>
      </c>
      <c r="E210" s="162"/>
      <c r="F210" s="162"/>
      <c r="G210" s="162"/>
      <c r="H210" s="162"/>
      <c r="I210" s="162"/>
    </row>
    <row r="211" spans="1:9" x14ac:dyDescent="0.2">
      <c r="A211" s="457"/>
      <c r="B211" s="117"/>
      <c r="C211" s="117" t="s">
        <v>100</v>
      </c>
      <c r="D211" s="51" t="s">
        <v>101</v>
      </c>
      <c r="E211" s="162"/>
      <c r="F211" s="162"/>
      <c r="G211" s="162"/>
      <c r="H211" s="162"/>
      <c r="I211" s="162"/>
    </row>
    <row r="212" spans="1:9" x14ac:dyDescent="0.2">
      <c r="A212" s="457"/>
      <c r="B212" s="117"/>
      <c r="C212" s="117" t="s">
        <v>150</v>
      </c>
      <c r="D212" s="51"/>
      <c r="E212" s="162"/>
      <c r="F212" s="162"/>
      <c r="G212" s="162"/>
      <c r="H212" s="162"/>
      <c r="I212" s="162"/>
    </row>
    <row r="213" spans="1:9" x14ac:dyDescent="0.2">
      <c r="A213" s="457"/>
      <c r="B213" s="117"/>
      <c r="C213" s="117" t="s">
        <v>102</v>
      </c>
      <c r="D213" s="51" t="s">
        <v>103</v>
      </c>
      <c r="E213" s="162"/>
      <c r="F213" s="162"/>
      <c r="G213" s="162"/>
      <c r="H213" s="162"/>
      <c r="I213" s="162"/>
    </row>
    <row r="214" spans="1:9" x14ac:dyDescent="0.2">
      <c r="A214" s="457"/>
      <c r="B214" s="117"/>
      <c r="C214" s="117" t="s">
        <v>106</v>
      </c>
      <c r="D214" s="51" t="s">
        <v>151</v>
      </c>
      <c r="E214" s="162"/>
      <c r="F214" s="162"/>
      <c r="G214" s="162"/>
      <c r="H214" s="162"/>
      <c r="I214" s="162"/>
    </row>
    <row r="215" spans="1:9" x14ac:dyDescent="0.2">
      <c r="A215" s="457"/>
      <c r="B215" s="117"/>
      <c r="C215" s="117" t="s">
        <v>104</v>
      </c>
      <c r="D215" s="51" t="s">
        <v>105</v>
      </c>
      <c r="E215" s="162"/>
      <c r="F215" s="162"/>
      <c r="G215" s="162"/>
      <c r="H215" s="162"/>
      <c r="I215" s="162"/>
    </row>
    <row r="216" spans="1:9" x14ac:dyDescent="0.2">
      <c r="A216" s="457"/>
      <c r="B216" s="117" t="s">
        <v>424</v>
      </c>
      <c r="C216" s="117"/>
      <c r="D216" s="51"/>
      <c r="E216" s="145"/>
      <c r="F216" s="145"/>
      <c r="G216" s="145"/>
      <c r="H216" s="145"/>
      <c r="I216" s="145"/>
    </row>
    <row r="217" spans="1:9" x14ac:dyDescent="0.2">
      <c r="A217" s="457"/>
      <c r="B217" s="117"/>
      <c r="C217" s="117" t="s">
        <v>98</v>
      </c>
      <c r="D217" s="51" t="s">
        <v>99</v>
      </c>
      <c r="E217" s="162"/>
      <c r="F217" s="162"/>
      <c r="G217" s="162"/>
      <c r="H217" s="162"/>
      <c r="I217" s="162"/>
    </row>
    <row r="218" spans="1:9" x14ac:dyDescent="0.2">
      <c r="A218" s="457"/>
      <c r="B218" s="117"/>
      <c r="C218" s="117" t="s">
        <v>100</v>
      </c>
      <c r="D218" s="51" t="s">
        <v>101</v>
      </c>
      <c r="E218" s="227"/>
      <c r="F218" s="162"/>
      <c r="G218" s="162"/>
      <c r="H218" s="162"/>
      <c r="I218" s="162"/>
    </row>
    <row r="219" spans="1:9" x14ac:dyDescent="0.2">
      <c r="A219" s="457"/>
      <c r="B219" s="117"/>
      <c r="C219" s="117" t="s">
        <v>150</v>
      </c>
      <c r="D219" s="51"/>
      <c r="E219" s="160"/>
      <c r="F219" s="161"/>
      <c r="G219" s="161"/>
      <c r="H219" s="161"/>
      <c r="I219" s="161"/>
    </row>
    <row r="220" spans="1:9" x14ac:dyDescent="0.2">
      <c r="A220" s="457"/>
      <c r="B220" s="117"/>
      <c r="C220" s="117" t="s">
        <v>102</v>
      </c>
      <c r="D220" s="51" t="s">
        <v>103</v>
      </c>
      <c r="E220" s="227"/>
      <c r="F220" s="162"/>
      <c r="G220" s="162"/>
      <c r="H220" s="162"/>
      <c r="I220" s="162"/>
    </row>
    <row r="221" spans="1:9" x14ac:dyDescent="0.2">
      <c r="A221" s="457"/>
      <c r="B221" s="117"/>
      <c r="C221" s="117" t="s">
        <v>106</v>
      </c>
      <c r="D221" s="51" t="s">
        <v>151</v>
      </c>
      <c r="E221" s="227"/>
      <c r="F221" s="162"/>
      <c r="G221" s="162"/>
      <c r="H221" s="162"/>
      <c r="I221" s="162"/>
    </row>
    <row r="222" spans="1:9" x14ac:dyDescent="0.2">
      <c r="A222" s="457"/>
      <c r="B222" s="117"/>
      <c r="C222" s="117" t="s">
        <v>104</v>
      </c>
      <c r="D222" s="51" t="s">
        <v>105</v>
      </c>
      <c r="E222" s="160"/>
      <c r="F222" s="161"/>
      <c r="G222" s="161"/>
      <c r="H222" s="161"/>
      <c r="I222" s="161"/>
    </row>
    <row r="223" spans="1:9" ht="15.75" thickBot="1" x14ac:dyDescent="0.3">
      <c r="A223" s="458" t="s">
        <v>491</v>
      </c>
      <c r="B223" s="123"/>
      <c r="C223" s="123"/>
      <c r="D223" s="180"/>
      <c r="E223" s="181">
        <f>SUM(E203:E222)</f>
        <v>0</v>
      </c>
      <c r="F223" s="181">
        <f>SUM(F203:F222)</f>
        <v>0</v>
      </c>
      <c r="G223" s="181">
        <f>SUM(G203:G222)</f>
        <v>0</v>
      </c>
      <c r="H223" s="181">
        <f>SUM(H203:H222)</f>
        <v>0</v>
      </c>
      <c r="I223" s="181">
        <f>SUM(I203:I222)</f>
        <v>0</v>
      </c>
    </row>
    <row r="224" spans="1:9" ht="15.75" thickTop="1" x14ac:dyDescent="0.25">
      <c r="A224" s="166"/>
      <c r="B224" s="166"/>
      <c r="C224" s="166"/>
      <c r="D224" s="223"/>
      <c r="E224" s="496"/>
      <c r="F224" s="496"/>
      <c r="G224" s="496"/>
      <c r="H224" s="496"/>
      <c r="I224" s="496"/>
    </row>
    <row r="225" spans="1:12" x14ac:dyDescent="0.2">
      <c r="A225" s="103"/>
      <c r="B225" s="549" t="str">
        <f>'Form 1 Cover'!A20</f>
        <v>Charter School - fill in the name of your school</v>
      </c>
      <c r="C225" s="549"/>
      <c r="D225" s="43"/>
      <c r="E225" s="59"/>
      <c r="F225" s="59"/>
      <c r="H225" s="59"/>
      <c r="I225" s="550" t="str">
        <f>"Budget Fiscal Year "&amp;TEXT('Form 1 Cover'!$C$137, "mm/dd/yy")</f>
        <v>Budget Fiscal Year 2014-2015</v>
      </c>
    </row>
    <row r="226" spans="1:12" x14ac:dyDescent="0.2">
      <c r="A226" s="103"/>
      <c r="B226" s="103"/>
      <c r="C226" s="103"/>
      <c r="D226" s="59"/>
      <c r="E226" s="103"/>
      <c r="F226" s="59"/>
      <c r="G226" s="59"/>
      <c r="H226" s="59"/>
      <c r="I226" s="59"/>
    </row>
    <row r="227" spans="1:12" x14ac:dyDescent="0.2">
      <c r="A227" s="103"/>
      <c r="B227" s="103" t="s">
        <v>487</v>
      </c>
      <c r="C227" s="103"/>
      <c r="D227" s="59"/>
      <c r="E227" s="59"/>
      <c r="F227" s="59"/>
      <c r="G227" s="59"/>
      <c r="H227" s="497"/>
      <c r="I227" s="497">
        <f>'Form 1 Cover'!$C$146</f>
        <v>41703</v>
      </c>
    </row>
    <row r="228" spans="1:12" x14ac:dyDescent="0.2">
      <c r="A228" s="103"/>
      <c r="B228" s="103"/>
      <c r="C228" s="103"/>
      <c r="D228" s="59"/>
      <c r="E228" s="59"/>
      <c r="F228" s="59"/>
      <c r="G228" s="59"/>
      <c r="H228" s="497"/>
      <c r="I228" s="497"/>
    </row>
    <row r="229" spans="1:12" x14ac:dyDescent="0.2">
      <c r="A229" s="103"/>
      <c r="B229" s="103"/>
      <c r="C229" s="103"/>
      <c r="D229" s="59"/>
      <c r="E229" s="59"/>
      <c r="F229" s="59"/>
      <c r="G229" s="59"/>
      <c r="H229" s="497"/>
      <c r="I229" s="497"/>
    </row>
    <row r="230" spans="1:12" x14ac:dyDescent="0.2">
      <c r="A230" s="103"/>
      <c r="B230" s="103"/>
      <c r="C230" s="103"/>
      <c r="D230" s="59"/>
      <c r="E230" s="59"/>
      <c r="F230" s="59"/>
      <c r="G230" s="59"/>
      <c r="H230" s="497"/>
      <c r="I230" s="497"/>
    </row>
    <row r="231" spans="1:12" x14ac:dyDescent="0.2">
      <c r="A231" s="467"/>
      <c r="B231" s="98"/>
      <c r="C231" s="98"/>
      <c r="D231" s="99"/>
      <c r="E231" s="210">
        <v>-1</v>
      </c>
      <c r="F231" s="211">
        <v>-2</v>
      </c>
      <c r="G231" s="438">
        <v>-3</v>
      </c>
      <c r="H231" s="211">
        <v>-4</v>
      </c>
      <c r="I231" s="211">
        <v>-5</v>
      </c>
    </row>
    <row r="232" spans="1:12" x14ac:dyDescent="0.2">
      <c r="A232" s="485"/>
      <c r="B232" s="103"/>
      <c r="C232" s="103"/>
      <c r="D232" s="47"/>
      <c r="E232" s="217"/>
      <c r="F232" s="32" t="s">
        <v>44</v>
      </c>
      <c r="G232" s="592" t="str">
        <f>"BUDGET YEAR ENDING "&amp;TEXT('Form 1 Cover'!C359, "MM/DD/YY")</f>
        <v>BUDGET YEAR ENDING 01/00/00</v>
      </c>
      <c r="H232" s="593"/>
      <c r="I232" s="594"/>
    </row>
    <row r="233" spans="1:12" x14ac:dyDescent="0.2">
      <c r="A233" s="485"/>
      <c r="B233" s="103"/>
      <c r="C233" s="103"/>
      <c r="D233" s="47"/>
      <c r="E233" s="213" t="s">
        <v>303</v>
      </c>
      <c r="F233" s="213" t="s">
        <v>305</v>
      </c>
      <c r="G233" s="214"/>
      <c r="H233" s="488"/>
      <c r="I233" s="213" t="s">
        <v>729</v>
      </c>
    </row>
    <row r="234" spans="1:12" ht="15" x14ac:dyDescent="0.2">
      <c r="A234" s="485"/>
      <c r="B234" s="171" t="s">
        <v>96</v>
      </c>
      <c r="C234" s="59"/>
      <c r="D234" s="47"/>
      <c r="E234" s="213" t="s">
        <v>304</v>
      </c>
      <c r="F234" s="213" t="s">
        <v>304</v>
      </c>
      <c r="G234" s="215" t="s">
        <v>306</v>
      </c>
      <c r="H234" s="213" t="s">
        <v>128</v>
      </c>
      <c r="I234" s="213" t="s">
        <v>128</v>
      </c>
    </row>
    <row r="235" spans="1:12" ht="15" x14ac:dyDescent="0.2">
      <c r="A235" s="483"/>
      <c r="B235" s="590"/>
      <c r="C235" s="590"/>
      <c r="D235" s="591"/>
      <c r="E235" s="4">
        <f>'Form 1 Cover'!C130</f>
        <v>41455</v>
      </c>
      <c r="F235" s="4">
        <f>'Form 1 Cover'!C134</f>
        <v>41820</v>
      </c>
      <c r="G235" s="216" t="s">
        <v>307</v>
      </c>
      <c r="H235" s="489" t="s">
        <v>307</v>
      </c>
      <c r="I235" s="489" t="s">
        <v>307</v>
      </c>
    </row>
    <row r="236" spans="1:12" ht="15" x14ac:dyDescent="0.25">
      <c r="A236" s="490" t="s">
        <v>198</v>
      </c>
      <c r="B236" s="184"/>
      <c r="C236" s="195" t="s">
        <v>422</v>
      </c>
      <c r="D236" s="226"/>
      <c r="E236" s="130"/>
      <c r="F236" s="130"/>
      <c r="G236" s="130"/>
      <c r="H236" s="130"/>
      <c r="I236" s="130"/>
    </row>
    <row r="237" spans="1:12" x14ac:dyDescent="0.2">
      <c r="A237" s="457"/>
      <c r="B237" s="117" t="s">
        <v>194</v>
      </c>
      <c r="C237" s="117"/>
      <c r="D237" s="51" t="s">
        <v>195</v>
      </c>
      <c r="E237" s="55"/>
      <c r="F237" s="55"/>
      <c r="G237" s="55"/>
      <c r="H237" s="55"/>
      <c r="I237" s="55"/>
    </row>
    <row r="238" spans="1:12" x14ac:dyDescent="0.2">
      <c r="A238" s="457"/>
      <c r="B238" s="117"/>
      <c r="C238" s="117" t="s">
        <v>98</v>
      </c>
      <c r="D238" s="51" t="s">
        <v>99</v>
      </c>
      <c r="E238" s="162"/>
      <c r="F238" s="162"/>
      <c r="G238" s="162"/>
      <c r="H238" s="162"/>
      <c r="I238" s="162"/>
      <c r="K238" s="557" t="s">
        <v>738</v>
      </c>
      <c r="L238" s="557"/>
    </row>
    <row r="239" spans="1:12" x14ac:dyDescent="0.2">
      <c r="A239" s="457"/>
      <c r="B239" s="117"/>
      <c r="C239" s="117" t="s">
        <v>100</v>
      </c>
      <c r="D239" s="51" t="s">
        <v>101</v>
      </c>
      <c r="E239" s="162"/>
      <c r="F239" s="162"/>
      <c r="G239" s="162"/>
      <c r="H239" s="162"/>
      <c r="I239" s="162"/>
    </row>
    <row r="240" spans="1:12" x14ac:dyDescent="0.2">
      <c r="A240" s="457"/>
      <c r="B240" s="117"/>
      <c r="C240" s="117" t="s">
        <v>150</v>
      </c>
      <c r="D240" s="51"/>
      <c r="E240" s="162"/>
      <c r="F240" s="162"/>
      <c r="G240" s="162"/>
      <c r="H240" s="162"/>
      <c r="I240" s="162"/>
    </row>
    <row r="241" spans="1:9" x14ac:dyDescent="0.2">
      <c r="A241" s="457"/>
      <c r="B241" s="117"/>
      <c r="C241" s="117" t="s">
        <v>102</v>
      </c>
      <c r="D241" s="51" t="s">
        <v>103</v>
      </c>
      <c r="E241" s="162"/>
      <c r="F241" s="162"/>
      <c r="G241" s="162"/>
      <c r="H241" s="162"/>
      <c r="I241" s="162"/>
    </row>
    <row r="242" spans="1:9" x14ac:dyDescent="0.2">
      <c r="A242" s="457"/>
      <c r="B242" s="117"/>
      <c r="C242" s="117" t="s">
        <v>106</v>
      </c>
      <c r="D242" s="51" t="s">
        <v>151</v>
      </c>
      <c r="E242" s="162"/>
      <c r="F242" s="162"/>
      <c r="G242" s="162"/>
      <c r="H242" s="162"/>
      <c r="I242" s="162"/>
    </row>
    <row r="243" spans="1:9" x14ac:dyDescent="0.2">
      <c r="A243" s="457"/>
      <c r="B243" s="117"/>
      <c r="C243" s="117" t="s">
        <v>104</v>
      </c>
      <c r="D243" s="51" t="s">
        <v>105</v>
      </c>
      <c r="E243" s="162"/>
      <c r="F243" s="162"/>
      <c r="G243" s="162"/>
      <c r="H243" s="162"/>
      <c r="I243" s="162"/>
    </row>
    <row r="244" spans="1:9" x14ac:dyDescent="0.2">
      <c r="A244" s="457"/>
      <c r="B244" s="117" t="s">
        <v>423</v>
      </c>
      <c r="C244" s="117"/>
      <c r="D244" s="51"/>
      <c r="E244" s="145"/>
      <c r="F244" s="145"/>
      <c r="G244" s="145"/>
      <c r="H244" s="145"/>
      <c r="I244" s="145"/>
    </row>
    <row r="245" spans="1:9" x14ac:dyDescent="0.2">
      <c r="A245" s="457"/>
      <c r="B245" s="117"/>
      <c r="C245" s="117" t="s">
        <v>98</v>
      </c>
      <c r="D245" s="51" t="s">
        <v>99</v>
      </c>
      <c r="E245" s="162"/>
      <c r="F245" s="162"/>
      <c r="G245" s="162"/>
      <c r="H245" s="162"/>
      <c r="I245" s="162"/>
    </row>
    <row r="246" spans="1:9" x14ac:dyDescent="0.2">
      <c r="A246" s="457"/>
      <c r="B246" s="117"/>
      <c r="C246" s="117" t="s">
        <v>100</v>
      </c>
      <c r="D246" s="51" t="s">
        <v>101</v>
      </c>
      <c r="E246" s="162"/>
      <c r="F246" s="162"/>
      <c r="G246" s="162"/>
      <c r="H246" s="162"/>
      <c r="I246" s="162"/>
    </row>
    <row r="247" spans="1:9" x14ac:dyDescent="0.2">
      <c r="A247" s="457"/>
      <c r="B247" s="117"/>
      <c r="C247" s="117" t="s">
        <v>150</v>
      </c>
      <c r="D247" s="51"/>
      <c r="E247" s="162"/>
      <c r="F247" s="162"/>
      <c r="G247" s="162"/>
      <c r="H247" s="162"/>
      <c r="I247" s="162"/>
    </row>
    <row r="248" spans="1:9" x14ac:dyDescent="0.2">
      <c r="A248" s="457"/>
      <c r="B248" s="117"/>
      <c r="C248" s="117" t="s">
        <v>102</v>
      </c>
      <c r="D248" s="51" t="s">
        <v>103</v>
      </c>
      <c r="E248" s="162"/>
      <c r="F248" s="162"/>
      <c r="G248" s="162"/>
      <c r="H248" s="162"/>
      <c r="I248" s="162"/>
    </row>
    <row r="249" spans="1:9" x14ac:dyDescent="0.2">
      <c r="A249" s="457"/>
      <c r="B249" s="117"/>
      <c r="C249" s="117" t="s">
        <v>106</v>
      </c>
      <c r="D249" s="51" t="s">
        <v>151</v>
      </c>
      <c r="E249" s="162"/>
      <c r="F249" s="162"/>
      <c r="G249" s="162"/>
      <c r="H249" s="162"/>
      <c r="I249" s="162"/>
    </row>
    <row r="250" spans="1:9" x14ac:dyDescent="0.2">
      <c r="A250" s="457"/>
      <c r="B250" s="117"/>
      <c r="C250" s="117" t="s">
        <v>104</v>
      </c>
      <c r="D250" s="51" t="s">
        <v>105</v>
      </c>
      <c r="E250" s="162"/>
      <c r="F250" s="162"/>
      <c r="G250" s="162"/>
      <c r="H250" s="162"/>
      <c r="I250" s="162"/>
    </row>
    <row r="251" spans="1:9" x14ac:dyDescent="0.2">
      <c r="A251" s="457"/>
      <c r="B251" s="117" t="s">
        <v>424</v>
      </c>
      <c r="C251" s="117"/>
      <c r="D251" s="51"/>
      <c r="E251" s="145"/>
      <c r="F251" s="145"/>
      <c r="G251" s="145"/>
      <c r="H251" s="145"/>
      <c r="I251" s="145"/>
    </row>
    <row r="252" spans="1:9" x14ac:dyDescent="0.2">
      <c r="A252" s="457"/>
      <c r="B252" s="117"/>
      <c r="C252" s="117" t="s">
        <v>98</v>
      </c>
      <c r="D252" s="51" t="s">
        <v>99</v>
      </c>
      <c r="E252" s="162"/>
      <c r="F252" s="162"/>
      <c r="G252" s="162"/>
      <c r="H252" s="162"/>
      <c r="I252" s="162"/>
    </row>
    <row r="253" spans="1:9" x14ac:dyDescent="0.2">
      <c r="A253" s="457"/>
      <c r="B253" s="117"/>
      <c r="C253" s="117" t="s">
        <v>100</v>
      </c>
      <c r="D253" s="51" t="s">
        <v>101</v>
      </c>
      <c r="E253" s="162"/>
      <c r="F253" s="162"/>
      <c r="G253" s="162"/>
      <c r="H253" s="162"/>
      <c r="I253" s="162"/>
    </row>
    <row r="254" spans="1:9" x14ac:dyDescent="0.2">
      <c r="A254" s="457"/>
      <c r="B254" s="117"/>
      <c r="C254" s="117" t="s">
        <v>150</v>
      </c>
      <c r="D254" s="51"/>
      <c r="E254" s="162"/>
      <c r="F254" s="162"/>
      <c r="G254" s="162"/>
      <c r="H254" s="162"/>
      <c r="I254" s="162"/>
    </row>
    <row r="255" spans="1:9" x14ac:dyDescent="0.2">
      <c r="A255" s="457"/>
      <c r="B255" s="117"/>
      <c r="C255" s="117" t="s">
        <v>102</v>
      </c>
      <c r="D255" s="51" t="s">
        <v>103</v>
      </c>
      <c r="E255" s="162"/>
      <c r="F255" s="162"/>
      <c r="G255" s="162"/>
      <c r="H255" s="162"/>
      <c r="I255" s="162"/>
    </row>
    <row r="256" spans="1:9" x14ac:dyDescent="0.2">
      <c r="A256" s="457"/>
      <c r="B256" s="117"/>
      <c r="C256" s="117" t="s">
        <v>106</v>
      </c>
      <c r="D256" s="51" t="s">
        <v>151</v>
      </c>
      <c r="E256" s="162"/>
      <c r="F256" s="162"/>
      <c r="G256" s="162"/>
      <c r="H256" s="162"/>
      <c r="I256" s="162"/>
    </row>
    <row r="257" spans="1:9" x14ac:dyDescent="0.2">
      <c r="A257" s="457"/>
      <c r="B257" s="117"/>
      <c r="C257" s="117" t="s">
        <v>104</v>
      </c>
      <c r="D257" s="51" t="s">
        <v>105</v>
      </c>
      <c r="E257" s="162"/>
      <c r="F257" s="162"/>
      <c r="G257" s="162"/>
      <c r="H257" s="162"/>
      <c r="I257" s="162"/>
    </row>
    <row r="258" spans="1:9" ht="15.75" thickBot="1" x14ac:dyDescent="0.3">
      <c r="A258" s="468" t="s">
        <v>198</v>
      </c>
      <c r="B258" s="136"/>
      <c r="C258" s="182" t="s">
        <v>492</v>
      </c>
      <c r="D258" s="57"/>
      <c r="E258" s="173">
        <f>SUM(E238:E257)</f>
        <v>0</v>
      </c>
      <c r="F258" s="173">
        <f>SUM(F238:F257)</f>
        <v>0</v>
      </c>
      <c r="G258" s="173">
        <f>SUM(G238:G257)</f>
        <v>0</v>
      </c>
      <c r="H258" s="173">
        <f>SUM(H238:H257)</f>
        <v>0</v>
      </c>
      <c r="I258" s="173">
        <f>SUM(I238:I257)</f>
        <v>0</v>
      </c>
    </row>
    <row r="259" spans="1:9" ht="15.75" thickTop="1" x14ac:dyDescent="0.25">
      <c r="A259" s="459" t="s">
        <v>493</v>
      </c>
      <c r="B259" s="127"/>
      <c r="C259" s="174" t="s">
        <v>494</v>
      </c>
      <c r="D259" s="175"/>
      <c r="E259" s="176"/>
      <c r="F259" s="176"/>
      <c r="G259" s="176"/>
      <c r="H259" s="176"/>
      <c r="I259" s="176"/>
    </row>
    <row r="260" spans="1:9" x14ac:dyDescent="0.2">
      <c r="A260" s="457"/>
      <c r="B260" s="117" t="s">
        <v>194</v>
      </c>
      <c r="C260" s="117"/>
      <c r="D260" s="51" t="s">
        <v>195</v>
      </c>
      <c r="E260" s="178"/>
      <c r="F260" s="145"/>
      <c r="G260" s="145"/>
      <c r="H260" s="145"/>
      <c r="I260" s="145"/>
    </row>
    <row r="261" spans="1:9" x14ac:dyDescent="0.2">
      <c r="A261" s="457"/>
      <c r="B261" s="117"/>
      <c r="C261" s="117" t="s">
        <v>98</v>
      </c>
      <c r="D261" s="51" t="s">
        <v>99</v>
      </c>
      <c r="E261" s="162"/>
      <c r="F261" s="162"/>
      <c r="G261" s="162"/>
      <c r="H261" s="162"/>
      <c r="I261" s="162"/>
    </row>
    <row r="262" spans="1:9" x14ac:dyDescent="0.2">
      <c r="A262" s="457"/>
      <c r="B262" s="117"/>
      <c r="C262" s="117" t="s">
        <v>100</v>
      </c>
      <c r="D262" s="51" t="s">
        <v>101</v>
      </c>
      <c r="E262" s="160"/>
      <c r="F262" s="161"/>
      <c r="G262" s="161"/>
      <c r="H262" s="161"/>
      <c r="I262" s="161"/>
    </row>
    <row r="263" spans="1:9" x14ac:dyDescent="0.2">
      <c r="A263" s="457"/>
      <c r="B263" s="117"/>
      <c r="C263" s="117" t="s">
        <v>150</v>
      </c>
      <c r="D263" s="51"/>
      <c r="E263" s="162"/>
      <c r="F263" s="162"/>
      <c r="G263" s="162"/>
      <c r="H263" s="162"/>
      <c r="I263" s="162"/>
    </row>
    <row r="264" spans="1:9" x14ac:dyDescent="0.2">
      <c r="A264" s="457"/>
      <c r="B264" s="117"/>
      <c r="C264" s="117" t="s">
        <v>102</v>
      </c>
      <c r="D264" s="51" t="s">
        <v>103</v>
      </c>
      <c r="E264" s="162"/>
      <c r="F264" s="162"/>
      <c r="G264" s="162"/>
      <c r="H264" s="162"/>
      <c r="I264" s="162"/>
    </row>
    <row r="265" spans="1:9" x14ac:dyDescent="0.2">
      <c r="A265" s="457"/>
      <c r="B265" s="117"/>
      <c r="C265" s="117" t="s">
        <v>106</v>
      </c>
      <c r="D265" s="51" t="s">
        <v>151</v>
      </c>
      <c r="E265" s="162"/>
      <c r="F265" s="162"/>
      <c r="G265" s="162"/>
      <c r="H265" s="162"/>
      <c r="I265" s="162"/>
    </row>
    <row r="266" spans="1:9" x14ac:dyDescent="0.2">
      <c r="A266" s="457"/>
      <c r="B266" s="117"/>
      <c r="C266" s="117" t="s">
        <v>104</v>
      </c>
      <c r="D266" s="51" t="s">
        <v>105</v>
      </c>
      <c r="E266" s="160"/>
      <c r="F266" s="161"/>
      <c r="G266" s="161"/>
      <c r="H266" s="161"/>
      <c r="I266" s="161"/>
    </row>
    <row r="267" spans="1:9" x14ac:dyDescent="0.2">
      <c r="A267" s="457"/>
      <c r="B267" s="117" t="s">
        <v>423</v>
      </c>
      <c r="C267" s="117"/>
      <c r="D267" s="51"/>
      <c r="E267" s="143"/>
      <c r="F267" s="144"/>
      <c r="G267" s="144"/>
      <c r="H267" s="144"/>
      <c r="I267" s="144"/>
    </row>
    <row r="268" spans="1:9" x14ac:dyDescent="0.2">
      <c r="A268" s="457"/>
      <c r="B268" s="117"/>
      <c r="C268" s="117" t="s">
        <v>98</v>
      </c>
      <c r="D268" s="51" t="s">
        <v>99</v>
      </c>
      <c r="E268" s="162"/>
      <c r="F268" s="162"/>
      <c r="G268" s="162"/>
      <c r="H268" s="162"/>
      <c r="I268" s="162"/>
    </row>
    <row r="269" spans="1:9" x14ac:dyDescent="0.2">
      <c r="A269" s="457"/>
      <c r="B269" s="117"/>
      <c r="C269" s="117" t="s">
        <v>100</v>
      </c>
      <c r="D269" s="51" t="s">
        <v>101</v>
      </c>
      <c r="E269" s="162"/>
      <c r="F269" s="162"/>
      <c r="G269" s="162"/>
      <c r="H269" s="162"/>
      <c r="I269" s="162"/>
    </row>
    <row r="270" spans="1:9" x14ac:dyDescent="0.2">
      <c r="A270" s="457"/>
      <c r="B270" s="117"/>
      <c r="C270" s="117" t="s">
        <v>150</v>
      </c>
      <c r="D270" s="51"/>
      <c r="E270" s="162"/>
      <c r="F270" s="162"/>
      <c r="G270" s="162"/>
      <c r="H270" s="162"/>
      <c r="I270" s="162"/>
    </row>
    <row r="271" spans="1:9" x14ac:dyDescent="0.2">
      <c r="A271" s="457"/>
      <c r="B271" s="117"/>
      <c r="C271" s="117" t="s">
        <v>102</v>
      </c>
      <c r="D271" s="51" t="s">
        <v>103</v>
      </c>
      <c r="E271" s="162"/>
      <c r="F271" s="162"/>
      <c r="G271" s="162"/>
      <c r="H271" s="162"/>
      <c r="I271" s="162"/>
    </row>
    <row r="272" spans="1:9" x14ac:dyDescent="0.2">
      <c r="A272" s="457"/>
      <c r="B272" s="117"/>
      <c r="C272" s="117" t="s">
        <v>106</v>
      </c>
      <c r="D272" s="51" t="s">
        <v>151</v>
      </c>
      <c r="E272" s="162"/>
      <c r="F272" s="162"/>
      <c r="G272" s="162"/>
      <c r="H272" s="162"/>
      <c r="I272" s="162"/>
    </row>
    <row r="273" spans="1:9" x14ac:dyDescent="0.2">
      <c r="A273" s="457"/>
      <c r="B273" s="117"/>
      <c r="C273" s="117" t="s">
        <v>104</v>
      </c>
      <c r="D273" s="51" t="s">
        <v>105</v>
      </c>
      <c r="E273" s="162"/>
      <c r="F273" s="162"/>
      <c r="G273" s="162"/>
      <c r="H273" s="162"/>
      <c r="I273" s="162"/>
    </row>
    <row r="274" spans="1:9" x14ac:dyDescent="0.2">
      <c r="A274" s="457"/>
      <c r="B274" s="117" t="s">
        <v>424</v>
      </c>
      <c r="C274" s="117"/>
      <c r="D274" s="51"/>
      <c r="E274" s="145"/>
      <c r="F274" s="145"/>
      <c r="G274" s="145"/>
      <c r="H274" s="145"/>
      <c r="I274" s="145"/>
    </row>
    <row r="275" spans="1:9" x14ac:dyDescent="0.2">
      <c r="A275" s="457"/>
      <c r="B275" s="117"/>
      <c r="C275" s="117" t="s">
        <v>98</v>
      </c>
      <c r="D275" s="51" t="s">
        <v>99</v>
      </c>
      <c r="E275" s="162"/>
      <c r="F275" s="162"/>
      <c r="G275" s="162"/>
      <c r="H275" s="162"/>
      <c r="I275" s="162"/>
    </row>
    <row r="276" spans="1:9" x14ac:dyDescent="0.2">
      <c r="A276" s="457"/>
      <c r="B276" s="117"/>
      <c r="C276" s="117" t="s">
        <v>100</v>
      </c>
      <c r="D276" s="51" t="s">
        <v>101</v>
      </c>
      <c r="E276" s="227"/>
      <c r="F276" s="162"/>
      <c r="G276" s="162"/>
      <c r="H276" s="162"/>
      <c r="I276" s="162"/>
    </row>
    <row r="277" spans="1:9" x14ac:dyDescent="0.2">
      <c r="A277" s="457"/>
      <c r="B277" s="117"/>
      <c r="C277" s="117" t="s">
        <v>150</v>
      </c>
      <c r="D277" s="51"/>
      <c r="E277" s="160"/>
      <c r="F277" s="161"/>
      <c r="G277" s="161"/>
      <c r="H277" s="161"/>
      <c r="I277" s="161"/>
    </row>
    <row r="278" spans="1:9" x14ac:dyDescent="0.2">
      <c r="A278" s="457"/>
      <c r="B278" s="117"/>
      <c r="C278" s="117" t="s">
        <v>102</v>
      </c>
      <c r="D278" s="51" t="s">
        <v>103</v>
      </c>
      <c r="E278" s="227"/>
      <c r="F278" s="162"/>
      <c r="G278" s="162"/>
      <c r="H278" s="162"/>
      <c r="I278" s="162"/>
    </row>
    <row r="279" spans="1:9" x14ac:dyDescent="0.2">
      <c r="A279" s="457"/>
      <c r="B279" s="117"/>
      <c r="C279" s="117" t="s">
        <v>106</v>
      </c>
      <c r="D279" s="51" t="s">
        <v>151</v>
      </c>
      <c r="E279" s="227"/>
      <c r="F279" s="162"/>
      <c r="G279" s="162"/>
      <c r="H279" s="162"/>
      <c r="I279" s="162"/>
    </row>
    <row r="280" spans="1:9" x14ac:dyDescent="0.2">
      <c r="A280" s="457"/>
      <c r="B280" s="117"/>
      <c r="C280" s="117" t="s">
        <v>104</v>
      </c>
      <c r="D280" s="51" t="s">
        <v>105</v>
      </c>
      <c r="E280" s="160"/>
      <c r="F280" s="161"/>
      <c r="G280" s="161"/>
      <c r="H280" s="161"/>
      <c r="I280" s="161"/>
    </row>
    <row r="281" spans="1:9" ht="15.75" thickBot="1" x14ac:dyDescent="0.3">
      <c r="A281" s="458" t="s">
        <v>493</v>
      </c>
      <c r="B281" s="123"/>
      <c r="C281" s="183" t="s">
        <v>495</v>
      </c>
      <c r="D281" s="180"/>
      <c r="E281" s="181">
        <f>SUM(E261:E280)</f>
        <v>0</v>
      </c>
      <c r="F281" s="181">
        <f>SUM(F261:F280)</f>
        <v>0</v>
      </c>
      <c r="G281" s="181">
        <f>SUM(G261:G280)</f>
        <v>0</v>
      </c>
      <c r="H281" s="181">
        <f>SUM(H261:H280)</f>
        <v>0</v>
      </c>
      <c r="I281" s="181">
        <f>SUM(I261:I280)</f>
        <v>0</v>
      </c>
    </row>
    <row r="282" spans="1:9" ht="15.75" thickTop="1" x14ac:dyDescent="0.25">
      <c r="A282" s="166"/>
      <c r="B282" s="166"/>
      <c r="C282" s="225"/>
      <c r="D282" s="223"/>
      <c r="E282" s="496"/>
      <c r="F282" s="496"/>
      <c r="G282" s="496"/>
      <c r="H282" s="496"/>
      <c r="I282" s="496"/>
    </row>
    <row r="283" spans="1:9" x14ac:dyDescent="0.2">
      <c r="A283" s="103"/>
      <c r="B283" s="549" t="str">
        <f>'Form 1 Cover'!A20</f>
        <v>Charter School - fill in the name of your school</v>
      </c>
      <c r="C283" s="549"/>
      <c r="D283" s="43"/>
      <c r="E283" s="59"/>
      <c r="F283" s="59"/>
      <c r="H283" s="59"/>
      <c r="I283" s="550" t="str">
        <f>"Budget Fiscal Year "&amp;TEXT('Form 1 Cover'!$C$137, "mm/dd/yy")</f>
        <v>Budget Fiscal Year 2014-2015</v>
      </c>
    </row>
    <row r="284" spans="1:9" x14ac:dyDescent="0.2">
      <c r="A284" s="103"/>
      <c r="B284" s="103"/>
      <c r="C284" s="103"/>
      <c r="D284" s="59"/>
      <c r="E284" s="103"/>
      <c r="F284" s="59"/>
      <c r="G284" s="59"/>
      <c r="H284" s="59"/>
      <c r="I284" s="59"/>
    </row>
    <row r="285" spans="1:9" x14ac:dyDescent="0.2">
      <c r="A285" s="103"/>
      <c r="B285" s="103" t="s">
        <v>487</v>
      </c>
      <c r="C285" s="103"/>
      <c r="D285" s="59"/>
      <c r="E285" s="59"/>
      <c r="F285" s="59"/>
      <c r="G285" s="59"/>
      <c r="H285" s="497"/>
      <c r="I285" s="497">
        <f>'Form 1 Cover'!$C$146</f>
        <v>41703</v>
      </c>
    </row>
    <row r="286" spans="1:9" x14ac:dyDescent="0.2">
      <c r="A286" s="103"/>
      <c r="B286" s="103"/>
      <c r="C286" s="103"/>
      <c r="D286" s="59"/>
      <c r="E286" s="59"/>
      <c r="F286" s="59"/>
      <c r="G286" s="59"/>
      <c r="H286" s="497"/>
      <c r="I286" s="497"/>
    </row>
    <row r="287" spans="1:9" x14ac:dyDescent="0.2">
      <c r="A287" s="103"/>
      <c r="B287" s="103"/>
      <c r="C287" s="103"/>
      <c r="D287" s="59"/>
      <c r="E287" s="59"/>
      <c r="F287" s="59"/>
      <c r="G287" s="59"/>
      <c r="H287" s="497"/>
      <c r="I287" s="497"/>
    </row>
    <row r="288" spans="1:9" x14ac:dyDescent="0.2">
      <c r="A288" s="103"/>
      <c r="B288" s="103"/>
      <c r="C288" s="103"/>
      <c r="D288" s="59"/>
      <c r="E288" s="59"/>
      <c r="F288" s="59"/>
      <c r="G288" s="59"/>
      <c r="H288" s="497"/>
      <c r="I288" s="497"/>
    </row>
    <row r="289" spans="1:9" x14ac:dyDescent="0.2">
      <c r="A289" s="467"/>
      <c r="B289" s="98"/>
      <c r="C289" s="98"/>
      <c r="D289" s="99"/>
      <c r="E289" s="210">
        <v>-1</v>
      </c>
      <c r="F289" s="211">
        <v>-2</v>
      </c>
      <c r="G289" s="438">
        <v>-3</v>
      </c>
      <c r="H289" s="211">
        <v>-4</v>
      </c>
      <c r="I289" s="211">
        <v>-5</v>
      </c>
    </row>
    <row r="290" spans="1:9" x14ac:dyDescent="0.2">
      <c r="A290" s="485"/>
      <c r="B290" s="103"/>
      <c r="C290" s="103"/>
      <c r="D290" s="47"/>
      <c r="E290" s="217"/>
      <c r="F290" s="32" t="s">
        <v>44</v>
      </c>
      <c r="G290" s="592" t="str">
        <f>"BUDGET YEAR ENDING "&amp;TEXT('Form 1 Cover'!C139, "MM/DD/YY")</f>
        <v>BUDGET YEAR ENDING 06/30/15</v>
      </c>
      <c r="H290" s="593"/>
      <c r="I290" s="594"/>
    </row>
    <row r="291" spans="1:9" x14ac:dyDescent="0.2">
      <c r="A291" s="485"/>
      <c r="B291" s="103"/>
      <c r="C291" s="103"/>
      <c r="D291" s="47"/>
      <c r="E291" s="213" t="s">
        <v>303</v>
      </c>
      <c r="F291" s="213" t="s">
        <v>305</v>
      </c>
      <c r="G291" s="214"/>
      <c r="H291" s="488"/>
      <c r="I291" s="213" t="s">
        <v>729</v>
      </c>
    </row>
    <row r="292" spans="1:9" ht="15" x14ac:dyDescent="0.2">
      <c r="A292" s="485"/>
      <c r="B292" s="171" t="s">
        <v>96</v>
      </c>
      <c r="C292" s="59"/>
      <c r="D292" s="47"/>
      <c r="E292" s="213" t="s">
        <v>304</v>
      </c>
      <c r="F292" s="213" t="s">
        <v>304</v>
      </c>
      <c r="G292" s="215" t="s">
        <v>306</v>
      </c>
      <c r="H292" s="213" t="s">
        <v>128</v>
      </c>
      <c r="I292" s="213" t="s">
        <v>128</v>
      </c>
    </row>
    <row r="293" spans="1:9" ht="15" x14ac:dyDescent="0.2">
      <c r="A293" s="483"/>
      <c r="B293" s="590"/>
      <c r="C293" s="590"/>
      <c r="D293" s="591"/>
      <c r="E293" s="4">
        <f>'Form 1 Cover'!C130</f>
        <v>41455</v>
      </c>
      <c r="F293" s="4">
        <f>'Form 1 Cover'!C134</f>
        <v>41820</v>
      </c>
      <c r="G293" s="216" t="s">
        <v>307</v>
      </c>
      <c r="H293" s="489" t="s">
        <v>307</v>
      </c>
      <c r="I293" s="489" t="s">
        <v>307</v>
      </c>
    </row>
    <row r="294" spans="1:9" ht="15" x14ac:dyDescent="0.25">
      <c r="A294" s="455" t="s">
        <v>104</v>
      </c>
      <c r="B294" s="113"/>
      <c r="C294" s="114" t="s">
        <v>425</v>
      </c>
      <c r="D294" s="172"/>
      <c r="E294" s="130"/>
      <c r="F294" s="130"/>
      <c r="G294" s="130"/>
      <c r="H294" s="130"/>
      <c r="I294" s="130"/>
    </row>
    <row r="295" spans="1:9" x14ac:dyDescent="0.2">
      <c r="A295" s="457"/>
      <c r="B295" s="117" t="s">
        <v>194</v>
      </c>
      <c r="C295" s="117"/>
      <c r="D295" s="51" t="s">
        <v>195</v>
      </c>
      <c r="E295" s="55"/>
      <c r="F295" s="55"/>
      <c r="G295" s="55"/>
      <c r="H295" s="55"/>
      <c r="I295" s="55"/>
    </row>
    <row r="296" spans="1:9" x14ac:dyDescent="0.2">
      <c r="A296" s="457"/>
      <c r="B296" s="117"/>
      <c r="C296" s="117" t="s">
        <v>98</v>
      </c>
      <c r="D296" s="51" t="s">
        <v>99</v>
      </c>
      <c r="E296" s="162"/>
      <c r="F296" s="162"/>
      <c r="G296" s="162"/>
      <c r="H296" s="162"/>
      <c r="I296" s="162"/>
    </row>
    <row r="297" spans="1:9" x14ac:dyDescent="0.2">
      <c r="A297" s="457"/>
      <c r="B297" s="117"/>
      <c r="C297" s="117" t="s">
        <v>100</v>
      </c>
      <c r="D297" s="51" t="s">
        <v>101</v>
      </c>
      <c r="E297" s="162"/>
      <c r="F297" s="162"/>
      <c r="G297" s="162"/>
      <c r="H297" s="162"/>
      <c r="I297" s="162"/>
    </row>
    <row r="298" spans="1:9" x14ac:dyDescent="0.2">
      <c r="A298" s="457"/>
      <c r="B298" s="117"/>
      <c r="C298" s="117" t="s">
        <v>150</v>
      </c>
      <c r="D298" s="51"/>
      <c r="E298" s="162"/>
      <c r="F298" s="162"/>
      <c r="G298" s="162"/>
      <c r="H298" s="162"/>
      <c r="I298" s="162"/>
    </row>
    <row r="299" spans="1:9" x14ac:dyDescent="0.2">
      <c r="A299" s="457"/>
      <c r="B299" s="117"/>
      <c r="C299" s="117" t="s">
        <v>102</v>
      </c>
      <c r="D299" s="51" t="s">
        <v>103</v>
      </c>
      <c r="E299" s="162"/>
      <c r="F299" s="162"/>
      <c r="G299" s="162"/>
      <c r="H299" s="162"/>
      <c r="I299" s="162"/>
    </row>
    <row r="300" spans="1:9" x14ac:dyDescent="0.2">
      <c r="A300" s="457"/>
      <c r="B300" s="117"/>
      <c r="C300" s="117" t="s">
        <v>106</v>
      </c>
      <c r="D300" s="51" t="s">
        <v>151</v>
      </c>
      <c r="E300" s="162"/>
      <c r="F300" s="162"/>
      <c r="G300" s="162"/>
      <c r="H300" s="162"/>
      <c r="I300" s="162"/>
    </row>
    <row r="301" spans="1:9" x14ac:dyDescent="0.2">
      <c r="A301" s="457"/>
      <c r="B301" s="117"/>
      <c r="C301" s="117" t="s">
        <v>104</v>
      </c>
      <c r="D301" s="51" t="s">
        <v>105</v>
      </c>
      <c r="E301" s="162"/>
      <c r="F301" s="162"/>
      <c r="G301" s="162"/>
      <c r="H301" s="162"/>
      <c r="I301" s="162"/>
    </row>
    <row r="302" spans="1:9" x14ac:dyDescent="0.2">
      <c r="A302" s="457"/>
      <c r="B302" s="117" t="s">
        <v>423</v>
      </c>
      <c r="C302" s="117"/>
      <c r="D302" s="51"/>
      <c r="E302" s="145"/>
      <c r="F302" s="145"/>
      <c r="G302" s="145"/>
      <c r="H302" s="145"/>
      <c r="I302" s="145"/>
    </row>
    <row r="303" spans="1:9" x14ac:dyDescent="0.2">
      <c r="A303" s="457"/>
      <c r="B303" s="117"/>
      <c r="C303" s="117" t="s">
        <v>98</v>
      </c>
      <c r="D303" s="51" t="s">
        <v>99</v>
      </c>
      <c r="E303" s="162"/>
      <c r="F303" s="162"/>
      <c r="G303" s="162"/>
      <c r="H303" s="162"/>
      <c r="I303" s="162"/>
    </row>
    <row r="304" spans="1:9" x14ac:dyDescent="0.2">
      <c r="A304" s="457"/>
      <c r="B304" s="117"/>
      <c r="C304" s="117" t="s">
        <v>100</v>
      </c>
      <c r="D304" s="51" t="s">
        <v>101</v>
      </c>
      <c r="E304" s="162"/>
      <c r="F304" s="162"/>
      <c r="G304" s="162"/>
      <c r="H304" s="162"/>
      <c r="I304" s="162"/>
    </row>
    <row r="305" spans="1:9" x14ac:dyDescent="0.2">
      <c r="A305" s="457"/>
      <c r="B305" s="117"/>
      <c r="C305" s="117" t="s">
        <v>150</v>
      </c>
      <c r="D305" s="51"/>
      <c r="E305" s="162"/>
      <c r="F305" s="162"/>
      <c r="G305" s="162"/>
      <c r="H305" s="162"/>
      <c r="I305" s="162"/>
    </row>
    <row r="306" spans="1:9" x14ac:dyDescent="0.2">
      <c r="A306" s="457"/>
      <c r="B306" s="117"/>
      <c r="C306" s="117" t="s">
        <v>102</v>
      </c>
      <c r="D306" s="51" t="s">
        <v>103</v>
      </c>
      <c r="E306" s="162"/>
      <c r="F306" s="162"/>
      <c r="G306" s="162"/>
      <c r="H306" s="162"/>
      <c r="I306" s="162"/>
    </row>
    <row r="307" spans="1:9" x14ac:dyDescent="0.2">
      <c r="A307" s="457"/>
      <c r="B307" s="117"/>
      <c r="C307" s="117" t="s">
        <v>106</v>
      </c>
      <c r="D307" s="51" t="s">
        <v>151</v>
      </c>
      <c r="E307" s="162"/>
      <c r="F307" s="162"/>
      <c r="G307" s="162"/>
      <c r="H307" s="162"/>
      <c r="I307" s="162"/>
    </row>
    <row r="308" spans="1:9" x14ac:dyDescent="0.2">
      <c r="A308" s="457"/>
      <c r="B308" s="117"/>
      <c r="C308" s="117" t="s">
        <v>104</v>
      </c>
      <c r="D308" s="51" t="s">
        <v>105</v>
      </c>
      <c r="E308" s="162"/>
      <c r="F308" s="162"/>
      <c r="G308" s="162"/>
      <c r="H308" s="162"/>
      <c r="I308" s="162"/>
    </row>
    <row r="309" spans="1:9" x14ac:dyDescent="0.2">
      <c r="A309" s="457"/>
      <c r="B309" s="117" t="s">
        <v>424</v>
      </c>
      <c r="C309" s="117"/>
      <c r="D309" s="51"/>
      <c r="E309" s="145"/>
      <c r="F309" s="145"/>
      <c r="G309" s="145"/>
      <c r="H309" s="145"/>
      <c r="I309" s="145"/>
    </row>
    <row r="310" spans="1:9" x14ac:dyDescent="0.2">
      <c r="A310" s="457"/>
      <c r="B310" s="117"/>
      <c r="C310" s="117" t="s">
        <v>98</v>
      </c>
      <c r="D310" s="51" t="s">
        <v>99</v>
      </c>
      <c r="E310" s="162"/>
      <c r="F310" s="162"/>
      <c r="G310" s="162"/>
      <c r="H310" s="162"/>
      <c r="I310" s="162"/>
    </row>
    <row r="311" spans="1:9" x14ac:dyDescent="0.2">
      <c r="A311" s="457"/>
      <c r="B311" s="117"/>
      <c r="C311" s="117" t="s">
        <v>100</v>
      </c>
      <c r="D311" s="51" t="s">
        <v>101</v>
      </c>
      <c r="E311" s="162"/>
      <c r="F311" s="162"/>
      <c r="G311" s="162"/>
      <c r="H311" s="162"/>
      <c r="I311" s="162"/>
    </row>
    <row r="312" spans="1:9" x14ac:dyDescent="0.2">
      <c r="A312" s="457"/>
      <c r="B312" s="117"/>
      <c r="C312" s="117" t="s">
        <v>150</v>
      </c>
      <c r="D312" s="51"/>
      <c r="E312" s="162"/>
      <c r="F312" s="162"/>
      <c r="G312" s="162"/>
      <c r="H312" s="162"/>
      <c r="I312" s="162"/>
    </row>
    <row r="313" spans="1:9" x14ac:dyDescent="0.2">
      <c r="A313" s="457"/>
      <c r="B313" s="117"/>
      <c r="C313" s="117" t="s">
        <v>102</v>
      </c>
      <c r="D313" s="51" t="s">
        <v>103</v>
      </c>
      <c r="E313" s="162"/>
      <c r="F313" s="162"/>
      <c r="G313" s="162"/>
      <c r="H313" s="162"/>
      <c r="I313" s="162"/>
    </row>
    <row r="314" spans="1:9" x14ac:dyDescent="0.2">
      <c r="A314" s="457"/>
      <c r="B314" s="117"/>
      <c r="C314" s="117" t="s">
        <v>106</v>
      </c>
      <c r="D314" s="51" t="s">
        <v>151</v>
      </c>
      <c r="E314" s="162"/>
      <c r="F314" s="162"/>
      <c r="G314" s="162"/>
      <c r="H314" s="162"/>
      <c r="I314" s="162"/>
    </row>
    <row r="315" spans="1:9" x14ac:dyDescent="0.2">
      <c r="A315" s="457"/>
      <c r="B315" s="117"/>
      <c r="C315" s="117" t="s">
        <v>104</v>
      </c>
      <c r="D315" s="51" t="s">
        <v>105</v>
      </c>
      <c r="E315" s="162"/>
      <c r="F315" s="162"/>
      <c r="G315" s="162"/>
      <c r="H315" s="162"/>
      <c r="I315" s="162"/>
    </row>
    <row r="316" spans="1:9" ht="15.75" thickBot="1" x14ac:dyDescent="0.3">
      <c r="A316" s="468" t="s">
        <v>426</v>
      </c>
      <c r="B316" s="136"/>
      <c r="C316" s="182"/>
      <c r="D316" s="57"/>
      <c r="E316" s="173">
        <f>SUM(E296:E315)</f>
        <v>0</v>
      </c>
      <c r="F316" s="173">
        <f>SUM(F296:F315)</f>
        <v>0</v>
      </c>
      <c r="G316" s="173">
        <f>SUM(G296:G315)</f>
        <v>0</v>
      </c>
      <c r="H316" s="173">
        <f>SUM(H296:H315)</f>
        <v>0</v>
      </c>
      <c r="I316" s="173">
        <f>SUM(I296:I315)</f>
        <v>0</v>
      </c>
    </row>
    <row r="317" spans="1:9" ht="15.75" thickTop="1" x14ac:dyDescent="0.25">
      <c r="A317" s="459" t="s">
        <v>427</v>
      </c>
      <c r="B317" s="127"/>
      <c r="C317" s="174"/>
      <c r="D317" s="175"/>
      <c r="E317" s="176"/>
      <c r="F317" s="176"/>
      <c r="G317" s="176"/>
      <c r="H317" s="176"/>
      <c r="I317" s="176"/>
    </row>
    <row r="318" spans="1:9" x14ac:dyDescent="0.2">
      <c r="A318" s="457"/>
      <c r="B318" s="117" t="s">
        <v>194</v>
      </c>
      <c r="C318" s="117"/>
      <c r="D318" s="51" t="s">
        <v>195</v>
      </c>
      <c r="E318" s="178"/>
      <c r="F318" s="145"/>
      <c r="G318" s="145"/>
      <c r="H318" s="145"/>
      <c r="I318" s="145"/>
    </row>
    <row r="319" spans="1:9" x14ac:dyDescent="0.2">
      <c r="A319" s="457"/>
      <c r="B319" s="117"/>
      <c r="C319" s="117" t="s">
        <v>98</v>
      </c>
      <c r="D319" s="51" t="s">
        <v>99</v>
      </c>
      <c r="E319" s="162"/>
      <c r="F319" s="162"/>
      <c r="G319" s="162"/>
      <c r="H319" s="162"/>
      <c r="I319" s="162"/>
    </row>
    <row r="320" spans="1:9" x14ac:dyDescent="0.2">
      <c r="A320" s="457"/>
      <c r="B320" s="117"/>
      <c r="C320" s="117" t="s">
        <v>100</v>
      </c>
      <c r="D320" s="51" t="s">
        <v>101</v>
      </c>
      <c r="E320" s="160"/>
      <c r="F320" s="161"/>
      <c r="G320" s="161"/>
      <c r="H320" s="161"/>
      <c r="I320" s="161"/>
    </row>
    <row r="321" spans="1:9" x14ac:dyDescent="0.2">
      <c r="A321" s="457"/>
      <c r="B321" s="117"/>
      <c r="C321" s="117" t="s">
        <v>150</v>
      </c>
      <c r="D321" s="51"/>
      <c r="E321" s="162"/>
      <c r="F321" s="162"/>
      <c r="G321" s="162"/>
      <c r="H321" s="162"/>
      <c r="I321" s="162"/>
    </row>
    <row r="322" spans="1:9" x14ac:dyDescent="0.2">
      <c r="A322" s="457"/>
      <c r="B322" s="117"/>
      <c r="C322" s="117" t="s">
        <v>102</v>
      </c>
      <c r="D322" s="51" t="s">
        <v>103</v>
      </c>
      <c r="E322" s="162"/>
      <c r="F322" s="162"/>
      <c r="G322" s="162"/>
      <c r="H322" s="162"/>
      <c r="I322" s="162"/>
    </row>
    <row r="323" spans="1:9" x14ac:dyDescent="0.2">
      <c r="A323" s="457"/>
      <c r="B323" s="117"/>
      <c r="C323" s="117" t="s">
        <v>106</v>
      </c>
      <c r="D323" s="51" t="s">
        <v>151</v>
      </c>
      <c r="E323" s="162"/>
      <c r="F323" s="162"/>
      <c r="G323" s="162"/>
      <c r="H323" s="162"/>
      <c r="I323" s="162"/>
    </row>
    <row r="324" spans="1:9" x14ac:dyDescent="0.2">
      <c r="A324" s="457"/>
      <c r="B324" s="117"/>
      <c r="C324" s="117" t="s">
        <v>104</v>
      </c>
      <c r="D324" s="51" t="s">
        <v>105</v>
      </c>
      <c r="E324" s="160"/>
      <c r="F324" s="161"/>
      <c r="G324" s="161"/>
      <c r="H324" s="161"/>
      <c r="I324" s="161"/>
    </row>
    <row r="325" spans="1:9" x14ac:dyDescent="0.2">
      <c r="A325" s="457"/>
      <c r="B325" s="117" t="s">
        <v>423</v>
      </c>
      <c r="C325" s="117"/>
      <c r="D325" s="51"/>
      <c r="E325" s="143"/>
      <c r="F325" s="144"/>
      <c r="G325" s="144"/>
      <c r="H325" s="144"/>
      <c r="I325" s="144"/>
    </row>
    <row r="326" spans="1:9" x14ac:dyDescent="0.2">
      <c r="A326" s="457"/>
      <c r="B326" s="117"/>
      <c r="C326" s="117" t="s">
        <v>98</v>
      </c>
      <c r="D326" s="51" t="s">
        <v>99</v>
      </c>
      <c r="E326" s="162"/>
      <c r="F326" s="162"/>
      <c r="G326" s="162"/>
      <c r="H326" s="162"/>
      <c r="I326" s="162"/>
    </row>
    <row r="327" spans="1:9" x14ac:dyDescent="0.2">
      <c r="A327" s="457"/>
      <c r="B327" s="117"/>
      <c r="C327" s="117" t="s">
        <v>100</v>
      </c>
      <c r="D327" s="51" t="s">
        <v>101</v>
      </c>
      <c r="E327" s="162"/>
      <c r="F327" s="162"/>
      <c r="G327" s="162"/>
      <c r="H327" s="162"/>
      <c r="I327" s="162"/>
    </row>
    <row r="328" spans="1:9" x14ac:dyDescent="0.2">
      <c r="A328" s="457"/>
      <c r="B328" s="117"/>
      <c r="C328" s="117" t="s">
        <v>150</v>
      </c>
      <c r="D328" s="51"/>
      <c r="E328" s="162"/>
      <c r="F328" s="162"/>
      <c r="G328" s="162"/>
      <c r="H328" s="162"/>
      <c r="I328" s="162"/>
    </row>
    <row r="329" spans="1:9" x14ac:dyDescent="0.2">
      <c r="A329" s="457"/>
      <c r="B329" s="117"/>
      <c r="C329" s="117" t="s">
        <v>102</v>
      </c>
      <c r="D329" s="51" t="s">
        <v>103</v>
      </c>
      <c r="E329" s="162"/>
      <c r="F329" s="162"/>
      <c r="G329" s="162"/>
      <c r="H329" s="162"/>
      <c r="I329" s="162"/>
    </row>
    <row r="330" spans="1:9" x14ac:dyDescent="0.2">
      <c r="A330" s="457"/>
      <c r="B330" s="117"/>
      <c r="C330" s="117" t="s">
        <v>106</v>
      </c>
      <c r="D330" s="51" t="s">
        <v>151</v>
      </c>
      <c r="E330" s="162"/>
      <c r="F330" s="162"/>
      <c r="G330" s="162"/>
      <c r="H330" s="162"/>
      <c r="I330" s="162"/>
    </row>
    <row r="331" spans="1:9" x14ac:dyDescent="0.2">
      <c r="A331" s="457"/>
      <c r="B331" s="117"/>
      <c r="C331" s="117" t="s">
        <v>104</v>
      </c>
      <c r="D331" s="51" t="s">
        <v>105</v>
      </c>
      <c r="E331" s="162"/>
      <c r="F331" s="162"/>
      <c r="G331" s="162"/>
      <c r="H331" s="162"/>
      <c r="I331" s="162"/>
    </row>
    <row r="332" spans="1:9" x14ac:dyDescent="0.2">
      <c r="A332" s="457"/>
      <c r="B332" s="117" t="s">
        <v>424</v>
      </c>
      <c r="C332" s="117"/>
      <c r="D332" s="51"/>
      <c r="E332" s="145"/>
      <c r="F332" s="145"/>
      <c r="G332" s="145"/>
      <c r="H332" s="145"/>
      <c r="I332" s="145"/>
    </row>
    <row r="333" spans="1:9" x14ac:dyDescent="0.2">
      <c r="A333" s="457"/>
      <c r="B333" s="117"/>
      <c r="C333" s="117" t="s">
        <v>98</v>
      </c>
      <c r="D333" s="51" t="s">
        <v>99</v>
      </c>
      <c r="E333" s="162"/>
      <c r="F333" s="162"/>
      <c r="G333" s="162"/>
      <c r="H333" s="162"/>
      <c r="I333" s="162"/>
    </row>
    <row r="334" spans="1:9" x14ac:dyDescent="0.2">
      <c r="A334" s="457"/>
      <c r="B334" s="117"/>
      <c r="C334" s="117" t="s">
        <v>100</v>
      </c>
      <c r="D334" s="51" t="s">
        <v>101</v>
      </c>
      <c r="E334" s="227"/>
      <c r="F334" s="162"/>
      <c r="G334" s="162"/>
      <c r="H334" s="162"/>
      <c r="I334" s="162"/>
    </row>
    <row r="335" spans="1:9" x14ac:dyDescent="0.2">
      <c r="A335" s="457"/>
      <c r="B335" s="117"/>
      <c r="C335" s="117" t="s">
        <v>150</v>
      </c>
      <c r="D335" s="51"/>
      <c r="E335" s="160"/>
      <c r="F335" s="161"/>
      <c r="G335" s="161"/>
      <c r="H335" s="161"/>
      <c r="I335" s="161"/>
    </row>
    <row r="336" spans="1:9" x14ac:dyDescent="0.2">
      <c r="A336" s="457"/>
      <c r="B336" s="117"/>
      <c r="C336" s="117" t="s">
        <v>102</v>
      </c>
      <c r="D336" s="51" t="s">
        <v>103</v>
      </c>
      <c r="E336" s="227"/>
      <c r="F336" s="162"/>
      <c r="G336" s="162"/>
      <c r="H336" s="162"/>
      <c r="I336" s="162"/>
    </row>
    <row r="337" spans="1:9" x14ac:dyDescent="0.2">
      <c r="A337" s="457"/>
      <c r="B337" s="117"/>
      <c r="C337" s="117" t="s">
        <v>106</v>
      </c>
      <c r="D337" s="51" t="s">
        <v>151</v>
      </c>
      <c r="E337" s="227"/>
      <c r="F337" s="162"/>
      <c r="G337" s="162"/>
      <c r="H337" s="162"/>
      <c r="I337" s="162"/>
    </row>
    <row r="338" spans="1:9" ht="15" thickBot="1" x14ac:dyDescent="0.25">
      <c r="A338" s="457"/>
      <c r="B338" s="117"/>
      <c r="C338" s="117" t="s">
        <v>104</v>
      </c>
      <c r="D338" s="51" t="s">
        <v>105</v>
      </c>
      <c r="E338" s="160"/>
      <c r="F338" s="161"/>
      <c r="G338" s="161"/>
      <c r="H338" s="161"/>
      <c r="I338" s="161"/>
    </row>
    <row r="339" spans="1:9" ht="18" customHeight="1" thickTop="1" thickBot="1" x14ac:dyDescent="0.3">
      <c r="A339" s="471" t="s">
        <v>427</v>
      </c>
      <c r="B339" s="205"/>
      <c r="C339" s="499"/>
      <c r="D339" s="500"/>
      <c r="E339" s="181">
        <f>SUM(E319:E338)</f>
        <v>0</v>
      </c>
      <c r="F339" s="181">
        <f>SUM(F319:F338)</f>
        <v>0</v>
      </c>
      <c r="G339" s="181">
        <f>SUM(G319:G338)</f>
        <v>0</v>
      </c>
      <c r="H339" s="181">
        <f>SUM(H319:H338)</f>
        <v>0</v>
      </c>
      <c r="I339" s="181">
        <f>SUM(I319:I338)</f>
        <v>0</v>
      </c>
    </row>
    <row r="340" spans="1:9" ht="18" customHeight="1" thickTop="1" x14ac:dyDescent="0.25">
      <c r="A340" s="165"/>
      <c r="B340" s="165"/>
      <c r="C340" s="224"/>
      <c r="D340" s="59"/>
      <c r="E340" s="177"/>
      <c r="F340" s="177"/>
      <c r="G340" s="177"/>
      <c r="H340" s="177"/>
      <c r="I340" s="177"/>
    </row>
    <row r="341" spans="1:9" x14ac:dyDescent="0.2">
      <c r="A341" s="103"/>
      <c r="B341" s="549" t="str">
        <f>'Form 1 Cover'!A20</f>
        <v>Charter School - fill in the name of your school</v>
      </c>
      <c r="C341" s="549"/>
      <c r="D341" s="43"/>
      <c r="E341" s="59"/>
      <c r="F341" s="59"/>
      <c r="H341" s="59"/>
      <c r="I341" s="550" t="str">
        <f>"Budget Fiscal Year "&amp;TEXT('Form 1 Cover'!$C$137, "mm/dd/yy")</f>
        <v>Budget Fiscal Year 2014-2015</v>
      </c>
    </row>
    <row r="342" spans="1:9" x14ac:dyDescent="0.2">
      <c r="A342" s="103"/>
      <c r="B342" s="103"/>
      <c r="C342" s="103"/>
      <c r="D342" s="59"/>
      <c r="E342" s="103"/>
      <c r="F342" s="59"/>
      <c r="G342" s="59"/>
      <c r="H342" s="59"/>
      <c r="I342" s="59"/>
    </row>
    <row r="343" spans="1:9" x14ac:dyDescent="0.2">
      <c r="A343" s="103"/>
      <c r="B343" s="103" t="s">
        <v>487</v>
      </c>
      <c r="C343" s="103"/>
      <c r="D343" s="59"/>
      <c r="E343" s="59"/>
      <c r="F343" s="59"/>
      <c r="G343" s="59"/>
      <c r="H343" s="497"/>
      <c r="I343" s="497">
        <f>'Form 1 Cover'!$C$146</f>
        <v>41703</v>
      </c>
    </row>
    <row r="344" spans="1:9" x14ac:dyDescent="0.2">
      <c r="A344" s="467"/>
      <c r="B344" s="98"/>
      <c r="C344" s="98"/>
      <c r="D344" s="99"/>
      <c r="E344" s="210">
        <v>-1</v>
      </c>
      <c r="F344" s="211">
        <v>-2</v>
      </c>
      <c r="G344" s="438">
        <v>-3</v>
      </c>
      <c r="H344" s="211">
        <v>-4</v>
      </c>
      <c r="I344" s="211">
        <v>-5</v>
      </c>
    </row>
    <row r="345" spans="1:9" x14ac:dyDescent="0.2">
      <c r="A345" s="485"/>
      <c r="B345" s="103"/>
      <c r="C345" s="103"/>
      <c r="D345" s="47"/>
      <c r="E345" s="217"/>
      <c r="F345" s="32" t="s">
        <v>44</v>
      </c>
      <c r="G345" s="592" t="str">
        <f>"BUDGET YEAR ENDING "&amp;TEXT('Form 1 Cover'!C139, "MM/DD/YY")</f>
        <v>BUDGET YEAR ENDING 06/30/15</v>
      </c>
      <c r="H345" s="593"/>
      <c r="I345" s="594"/>
    </row>
    <row r="346" spans="1:9" x14ac:dyDescent="0.2">
      <c r="A346" s="485"/>
      <c r="B346" s="103"/>
      <c r="C346" s="103"/>
      <c r="D346" s="47"/>
      <c r="E346" s="213" t="s">
        <v>303</v>
      </c>
      <c r="F346" s="213" t="s">
        <v>305</v>
      </c>
      <c r="G346" s="214"/>
      <c r="H346" s="488"/>
      <c r="I346" s="213" t="s">
        <v>729</v>
      </c>
    </row>
    <row r="347" spans="1:9" ht="15" x14ac:dyDescent="0.2">
      <c r="A347" s="485"/>
      <c r="B347" s="171" t="s">
        <v>96</v>
      </c>
      <c r="C347" s="59"/>
      <c r="D347" s="47"/>
      <c r="E347" s="213" t="s">
        <v>304</v>
      </c>
      <c r="F347" s="213" t="s">
        <v>304</v>
      </c>
      <c r="G347" s="215" t="s">
        <v>306</v>
      </c>
      <c r="H347" s="213" t="s">
        <v>128</v>
      </c>
      <c r="I347" s="213" t="s">
        <v>128</v>
      </c>
    </row>
    <row r="348" spans="1:9" ht="15" x14ac:dyDescent="0.2">
      <c r="A348" s="483"/>
      <c r="B348" s="590"/>
      <c r="C348" s="590"/>
      <c r="D348" s="591"/>
      <c r="E348" s="4">
        <f>'Form 1 Cover'!C130</f>
        <v>41455</v>
      </c>
      <c r="F348" s="4">
        <f>'Form 1 Cover'!C134</f>
        <v>41820</v>
      </c>
      <c r="G348" s="216" t="s">
        <v>307</v>
      </c>
      <c r="H348" s="489" t="s">
        <v>307</v>
      </c>
      <c r="I348" s="489" t="s">
        <v>307</v>
      </c>
    </row>
    <row r="349" spans="1:9" ht="15.75" x14ac:dyDescent="0.25">
      <c r="A349" s="490" t="s">
        <v>320</v>
      </c>
      <c r="B349" s="185"/>
      <c r="C349" s="186" t="s">
        <v>322</v>
      </c>
      <c r="D349" s="187"/>
      <c r="E349" s="188"/>
      <c r="F349" s="188"/>
      <c r="G349" s="188"/>
      <c r="H349" s="188"/>
      <c r="I349" s="188"/>
    </row>
    <row r="350" spans="1:9" ht="15" x14ac:dyDescent="0.25">
      <c r="A350" s="483"/>
      <c r="B350" s="189" t="s">
        <v>321</v>
      </c>
      <c r="C350" s="93"/>
      <c r="D350" s="190" t="s">
        <v>428</v>
      </c>
      <c r="E350" s="191"/>
      <c r="F350" s="191"/>
      <c r="G350" s="191"/>
      <c r="H350" s="191"/>
      <c r="I350" s="191"/>
    </row>
    <row r="351" spans="1:9" x14ac:dyDescent="0.2">
      <c r="A351" s="457"/>
      <c r="B351" s="117"/>
      <c r="C351" s="117" t="s">
        <v>98</v>
      </c>
      <c r="D351" s="51" t="s">
        <v>99</v>
      </c>
      <c r="E351" s="162"/>
      <c r="F351" s="162"/>
      <c r="G351" s="162"/>
      <c r="H351" s="162"/>
      <c r="I351" s="162"/>
    </row>
    <row r="352" spans="1:9" x14ac:dyDescent="0.2">
      <c r="A352" s="457"/>
      <c r="B352" s="117"/>
      <c r="C352" s="117" t="s">
        <v>100</v>
      </c>
      <c r="D352" s="51" t="s">
        <v>101</v>
      </c>
      <c r="E352" s="162"/>
      <c r="F352" s="162"/>
      <c r="G352" s="162"/>
      <c r="H352" s="162"/>
      <c r="I352" s="162"/>
    </row>
    <row r="353" spans="1:9" x14ac:dyDescent="0.2">
      <c r="A353" s="457"/>
      <c r="B353" s="117"/>
      <c r="C353" s="117" t="s">
        <v>150</v>
      </c>
      <c r="D353" s="51"/>
      <c r="E353" s="162"/>
      <c r="F353" s="162"/>
      <c r="G353" s="162"/>
      <c r="H353" s="162"/>
      <c r="I353" s="162"/>
    </row>
    <row r="354" spans="1:9" x14ac:dyDescent="0.2">
      <c r="A354" s="457"/>
      <c r="B354" s="117"/>
      <c r="C354" s="117" t="s">
        <v>102</v>
      </c>
      <c r="D354" s="51" t="s">
        <v>103</v>
      </c>
      <c r="E354" s="162"/>
      <c r="F354" s="162"/>
      <c r="G354" s="162"/>
      <c r="H354" s="162"/>
      <c r="I354" s="162"/>
    </row>
    <row r="355" spans="1:9" x14ac:dyDescent="0.2">
      <c r="A355" s="457"/>
      <c r="B355" s="117"/>
      <c r="C355" s="117" t="s">
        <v>106</v>
      </c>
      <c r="D355" s="51" t="s">
        <v>151</v>
      </c>
      <c r="E355" s="162"/>
      <c r="F355" s="162"/>
      <c r="G355" s="162"/>
      <c r="H355" s="162"/>
      <c r="I355" s="162"/>
    </row>
    <row r="356" spans="1:9" x14ac:dyDescent="0.2">
      <c r="A356" s="457"/>
      <c r="B356" s="117"/>
      <c r="C356" s="117" t="s">
        <v>104</v>
      </c>
      <c r="D356" s="51" t="s">
        <v>105</v>
      </c>
      <c r="E356" s="162"/>
      <c r="F356" s="162"/>
      <c r="G356" s="162"/>
      <c r="H356" s="162"/>
      <c r="I356" s="162"/>
    </row>
    <row r="357" spans="1:9" ht="15.75" thickBot="1" x14ac:dyDescent="0.3">
      <c r="A357" s="491"/>
      <c r="B357" s="193" t="s">
        <v>185</v>
      </c>
      <c r="C357" s="192"/>
      <c r="D357" s="53"/>
      <c r="E357" s="194">
        <f>SUM(E351:E356)</f>
        <v>0</v>
      </c>
      <c r="F357" s="194">
        <f>SUM(F351:F356)</f>
        <v>0</v>
      </c>
      <c r="G357" s="194">
        <f>SUM(G351:G356)</f>
        <v>0</v>
      </c>
      <c r="H357" s="194">
        <f>SUM(H351:H356)</f>
        <v>0</v>
      </c>
      <c r="I357" s="194">
        <f>SUM(I351:I356)</f>
        <v>0</v>
      </c>
    </row>
    <row r="358" spans="1:9" ht="15" x14ac:dyDescent="0.25">
      <c r="A358" s="457"/>
      <c r="B358" s="184" t="s">
        <v>186</v>
      </c>
      <c r="C358" s="184"/>
      <c r="D358" s="195" t="s">
        <v>429</v>
      </c>
      <c r="E358" s="145"/>
      <c r="F358" s="145"/>
      <c r="G358" s="145"/>
      <c r="H358" s="145"/>
      <c r="I358" s="145"/>
    </row>
    <row r="359" spans="1:9" x14ac:dyDescent="0.2">
      <c r="A359" s="457"/>
      <c r="B359" s="117"/>
      <c r="C359" s="117" t="s">
        <v>98</v>
      </c>
      <c r="D359" s="51" t="s">
        <v>99</v>
      </c>
      <c r="E359" s="162"/>
      <c r="F359" s="162"/>
      <c r="G359" s="162"/>
      <c r="H359" s="162"/>
      <c r="I359" s="162"/>
    </row>
    <row r="360" spans="1:9" x14ac:dyDescent="0.2">
      <c r="A360" s="457"/>
      <c r="B360" s="117"/>
      <c r="C360" s="117" t="s">
        <v>100</v>
      </c>
      <c r="D360" s="51" t="s">
        <v>101</v>
      </c>
      <c r="E360" s="162"/>
      <c r="F360" s="162"/>
      <c r="G360" s="162"/>
      <c r="H360" s="162"/>
      <c r="I360" s="162"/>
    </row>
    <row r="361" spans="1:9" x14ac:dyDescent="0.2">
      <c r="A361" s="457"/>
      <c r="B361" s="117"/>
      <c r="C361" s="117" t="s">
        <v>150</v>
      </c>
      <c r="D361" s="51"/>
      <c r="E361" s="162"/>
      <c r="F361" s="162"/>
      <c r="G361" s="162"/>
      <c r="H361" s="162"/>
      <c r="I361" s="162"/>
    </row>
    <row r="362" spans="1:9" x14ac:dyDescent="0.2">
      <c r="A362" s="457"/>
      <c r="B362" s="117"/>
      <c r="C362" s="117" t="s">
        <v>102</v>
      </c>
      <c r="D362" s="51" t="s">
        <v>103</v>
      </c>
      <c r="E362" s="162"/>
      <c r="F362" s="162"/>
      <c r="G362" s="162"/>
      <c r="H362" s="162"/>
      <c r="I362" s="162"/>
    </row>
    <row r="363" spans="1:9" x14ac:dyDescent="0.2">
      <c r="A363" s="457"/>
      <c r="B363" s="117"/>
      <c r="C363" s="117" t="s">
        <v>106</v>
      </c>
      <c r="D363" s="51" t="s">
        <v>151</v>
      </c>
      <c r="E363" s="162"/>
      <c r="F363" s="162"/>
      <c r="G363" s="162"/>
      <c r="H363" s="162"/>
      <c r="I363" s="162"/>
    </row>
    <row r="364" spans="1:9" x14ac:dyDescent="0.2">
      <c r="A364" s="457"/>
      <c r="B364" s="117"/>
      <c r="C364" s="117" t="s">
        <v>104</v>
      </c>
      <c r="D364" s="51" t="s">
        <v>105</v>
      </c>
      <c r="E364" s="162"/>
      <c r="F364" s="162"/>
      <c r="G364" s="162"/>
      <c r="H364" s="162"/>
      <c r="I364" s="162"/>
    </row>
    <row r="365" spans="1:9" ht="15.75" thickBot="1" x14ac:dyDescent="0.3">
      <c r="A365" s="491"/>
      <c r="B365" s="193" t="s">
        <v>187</v>
      </c>
      <c r="C365" s="192"/>
      <c r="D365" s="53"/>
      <c r="E365" s="194">
        <f>SUM(E359:E364)</f>
        <v>0</v>
      </c>
      <c r="F365" s="194">
        <f>SUM(F359:F364)</f>
        <v>0</v>
      </c>
      <c r="G365" s="194">
        <f>SUM(G359:G364)</f>
        <v>0</v>
      </c>
      <c r="H365" s="194">
        <f>SUM(H359:H364)</f>
        <v>0</v>
      </c>
      <c r="I365" s="194">
        <f>SUM(I359:I364)</f>
        <v>0</v>
      </c>
    </row>
    <row r="366" spans="1:9" ht="15" x14ac:dyDescent="0.25">
      <c r="A366" s="457"/>
      <c r="B366" s="184" t="s">
        <v>188</v>
      </c>
      <c r="C366" s="184"/>
      <c r="D366" s="195" t="s">
        <v>430</v>
      </c>
      <c r="E366" s="145"/>
      <c r="F366" s="145"/>
      <c r="G366" s="145"/>
      <c r="H366" s="145"/>
      <c r="I366" s="145"/>
    </row>
    <row r="367" spans="1:9" x14ac:dyDescent="0.2">
      <c r="A367" s="457"/>
      <c r="B367" s="117"/>
      <c r="C367" s="117" t="s">
        <v>98</v>
      </c>
      <c r="D367" s="51" t="s">
        <v>99</v>
      </c>
      <c r="E367" s="162"/>
      <c r="F367" s="162"/>
      <c r="G367" s="162"/>
      <c r="H367" s="162"/>
      <c r="I367" s="162"/>
    </row>
    <row r="368" spans="1:9" x14ac:dyDescent="0.2">
      <c r="A368" s="457"/>
      <c r="B368" s="117"/>
      <c r="C368" s="117" t="s">
        <v>100</v>
      </c>
      <c r="D368" s="51" t="s">
        <v>101</v>
      </c>
      <c r="E368" s="162"/>
      <c r="F368" s="162"/>
      <c r="G368" s="162"/>
      <c r="H368" s="162"/>
      <c r="I368" s="162"/>
    </row>
    <row r="369" spans="1:9" x14ac:dyDescent="0.2">
      <c r="A369" s="457"/>
      <c r="B369" s="117"/>
      <c r="C369" s="117" t="s">
        <v>150</v>
      </c>
      <c r="D369" s="51"/>
      <c r="E369" s="162"/>
      <c r="F369" s="162"/>
      <c r="G369" s="162"/>
      <c r="H369" s="162"/>
      <c r="I369" s="162"/>
    </row>
    <row r="370" spans="1:9" x14ac:dyDescent="0.2">
      <c r="A370" s="457"/>
      <c r="B370" s="117"/>
      <c r="C370" s="117" t="s">
        <v>102</v>
      </c>
      <c r="D370" s="51" t="s">
        <v>103</v>
      </c>
      <c r="E370" s="162"/>
      <c r="F370" s="162"/>
      <c r="G370" s="162"/>
      <c r="H370" s="162"/>
      <c r="I370" s="162"/>
    </row>
    <row r="371" spans="1:9" x14ac:dyDescent="0.2">
      <c r="A371" s="457"/>
      <c r="B371" s="117"/>
      <c r="C371" s="117" t="s">
        <v>106</v>
      </c>
      <c r="D371" s="51" t="s">
        <v>151</v>
      </c>
      <c r="E371" s="162"/>
      <c r="F371" s="162"/>
      <c r="G371" s="162"/>
      <c r="H371" s="162"/>
      <c r="I371" s="162"/>
    </row>
    <row r="372" spans="1:9" x14ac:dyDescent="0.2">
      <c r="A372" s="485"/>
      <c r="B372" s="116"/>
      <c r="C372" s="103" t="s">
        <v>104</v>
      </c>
      <c r="D372" s="47" t="s">
        <v>105</v>
      </c>
      <c r="E372" s="162"/>
      <c r="F372" s="162"/>
      <c r="G372" s="162"/>
      <c r="H372" s="162"/>
      <c r="I372" s="162"/>
    </row>
    <row r="373" spans="1:9" ht="15.75" thickBot="1" x14ac:dyDescent="0.3">
      <c r="A373" s="491"/>
      <c r="B373" s="193" t="s">
        <v>189</v>
      </c>
      <c r="C373" s="192"/>
      <c r="D373" s="53"/>
      <c r="E373" s="194">
        <f>SUM(E367:E372)</f>
        <v>0</v>
      </c>
      <c r="F373" s="194">
        <f>SUM(F367:F372)</f>
        <v>0</v>
      </c>
      <c r="G373" s="194">
        <f>SUM(G367:G372)</f>
        <v>0</v>
      </c>
      <c r="H373" s="194">
        <f>SUM(H367:H372)</f>
        <v>0</v>
      </c>
      <c r="I373" s="194">
        <f>SUM(I367:I372)</f>
        <v>0</v>
      </c>
    </row>
    <row r="374" spans="1:9" ht="15" x14ac:dyDescent="0.25">
      <c r="A374" s="457"/>
      <c r="B374" s="184" t="s">
        <v>190</v>
      </c>
      <c r="C374" s="184"/>
      <c r="D374" s="195" t="s">
        <v>431</v>
      </c>
      <c r="E374" s="145"/>
      <c r="F374" s="145"/>
      <c r="G374" s="145"/>
      <c r="H374" s="145"/>
      <c r="I374" s="145"/>
    </row>
    <row r="375" spans="1:9" x14ac:dyDescent="0.2">
      <c r="A375" s="457"/>
      <c r="B375" s="117"/>
      <c r="C375" s="117" t="s">
        <v>98</v>
      </c>
      <c r="D375" s="51" t="s">
        <v>99</v>
      </c>
      <c r="E375" s="162"/>
      <c r="F375" s="162"/>
      <c r="G375" s="162"/>
      <c r="H375" s="162"/>
      <c r="I375" s="162"/>
    </row>
    <row r="376" spans="1:9" x14ac:dyDescent="0.2">
      <c r="A376" s="457"/>
      <c r="B376" s="117"/>
      <c r="C376" s="117" t="s">
        <v>100</v>
      </c>
      <c r="D376" s="51" t="s">
        <v>101</v>
      </c>
      <c r="E376" s="160"/>
      <c r="F376" s="161"/>
      <c r="G376" s="161"/>
      <c r="H376" s="161"/>
      <c r="I376" s="161"/>
    </row>
    <row r="377" spans="1:9" x14ac:dyDescent="0.2">
      <c r="A377" s="457"/>
      <c r="B377" s="117"/>
      <c r="C377" s="117" t="s">
        <v>150</v>
      </c>
      <c r="D377" s="51"/>
      <c r="E377" s="162"/>
      <c r="F377" s="162"/>
      <c r="G377" s="162"/>
      <c r="H377" s="162"/>
      <c r="I377" s="162"/>
    </row>
    <row r="378" spans="1:9" x14ac:dyDescent="0.2">
      <c r="A378" s="457"/>
      <c r="B378" s="117"/>
      <c r="C378" s="117" t="s">
        <v>102</v>
      </c>
      <c r="D378" s="51" t="s">
        <v>103</v>
      </c>
      <c r="E378" s="162"/>
      <c r="F378" s="162"/>
      <c r="G378" s="162"/>
      <c r="H378" s="162"/>
      <c r="I378" s="162"/>
    </row>
    <row r="379" spans="1:9" x14ac:dyDescent="0.2">
      <c r="A379" s="457"/>
      <c r="B379" s="117"/>
      <c r="C379" s="117" t="s">
        <v>106</v>
      </c>
      <c r="D379" s="51" t="s">
        <v>151</v>
      </c>
      <c r="E379" s="162"/>
      <c r="F379" s="162"/>
      <c r="G379" s="162"/>
      <c r="H379" s="162"/>
      <c r="I379" s="162"/>
    </row>
    <row r="380" spans="1:9" x14ac:dyDescent="0.2">
      <c r="A380" s="457"/>
      <c r="B380" s="117"/>
      <c r="C380" s="117" t="s">
        <v>104</v>
      </c>
      <c r="D380" s="51" t="s">
        <v>105</v>
      </c>
      <c r="E380" s="160"/>
      <c r="F380" s="161"/>
      <c r="G380" s="161"/>
      <c r="H380" s="161"/>
      <c r="I380" s="161"/>
    </row>
    <row r="381" spans="1:9" ht="15.75" thickBot="1" x14ac:dyDescent="0.3">
      <c r="A381" s="491"/>
      <c r="B381" s="193" t="s">
        <v>191</v>
      </c>
      <c r="C381" s="192"/>
      <c r="D381" s="53"/>
      <c r="E381" s="196">
        <f>SUM(E375:E380)</f>
        <v>0</v>
      </c>
      <c r="F381" s="196">
        <f>SUM(F375:F380)</f>
        <v>0</v>
      </c>
      <c r="G381" s="196">
        <f>SUM(G375:G380)</f>
        <v>0</v>
      </c>
      <c r="H381" s="196">
        <f>SUM(H375:H380)</f>
        <v>0</v>
      </c>
      <c r="I381" s="196">
        <f>SUM(I375:I380)</f>
        <v>0</v>
      </c>
    </row>
    <row r="382" spans="1:9" ht="15" x14ac:dyDescent="0.25">
      <c r="A382" s="457"/>
      <c r="B382" s="184" t="s">
        <v>192</v>
      </c>
      <c r="C382" s="184"/>
      <c r="D382" s="195" t="s">
        <v>432</v>
      </c>
      <c r="E382" s="178"/>
      <c r="F382" s="145"/>
      <c r="G382" s="145"/>
      <c r="H382" s="145"/>
      <c r="I382" s="145"/>
    </row>
    <row r="383" spans="1:9" x14ac:dyDescent="0.2">
      <c r="A383" s="457"/>
      <c r="B383" s="117"/>
      <c r="C383" s="117" t="s">
        <v>98</v>
      </c>
      <c r="D383" s="51" t="s">
        <v>99</v>
      </c>
      <c r="E383" s="162"/>
      <c r="F383" s="162"/>
      <c r="G383" s="162"/>
      <c r="H383" s="162"/>
      <c r="I383" s="162"/>
    </row>
    <row r="384" spans="1:9" x14ac:dyDescent="0.2">
      <c r="A384" s="457"/>
      <c r="B384" s="117"/>
      <c r="C384" s="117" t="s">
        <v>100</v>
      </c>
      <c r="D384" s="51" t="s">
        <v>101</v>
      </c>
      <c r="E384" s="162"/>
      <c r="F384" s="162"/>
      <c r="G384" s="162"/>
      <c r="H384" s="162"/>
      <c r="I384" s="162"/>
    </row>
    <row r="385" spans="1:9" x14ac:dyDescent="0.2">
      <c r="A385" s="457"/>
      <c r="B385" s="117"/>
      <c r="C385" s="117" t="s">
        <v>150</v>
      </c>
      <c r="D385" s="51"/>
      <c r="E385" s="162"/>
      <c r="F385" s="162"/>
      <c r="G385" s="162"/>
      <c r="H385" s="162"/>
      <c r="I385" s="162"/>
    </row>
    <row r="386" spans="1:9" x14ac:dyDescent="0.2">
      <c r="A386" s="457"/>
      <c r="B386" s="117"/>
      <c r="C386" s="117" t="s">
        <v>102</v>
      </c>
      <c r="D386" s="51" t="s">
        <v>103</v>
      </c>
      <c r="E386" s="162"/>
      <c r="F386" s="162"/>
      <c r="G386" s="162"/>
      <c r="H386" s="162"/>
      <c r="I386" s="162"/>
    </row>
    <row r="387" spans="1:9" x14ac:dyDescent="0.2">
      <c r="A387" s="457"/>
      <c r="B387" s="117"/>
      <c r="C387" s="117" t="s">
        <v>106</v>
      </c>
      <c r="D387" s="51" t="s">
        <v>151</v>
      </c>
      <c r="E387" s="162"/>
      <c r="F387" s="162"/>
      <c r="G387" s="162"/>
      <c r="H387" s="162"/>
      <c r="I387" s="162"/>
    </row>
    <row r="388" spans="1:9" x14ac:dyDescent="0.2">
      <c r="A388" s="457"/>
      <c r="B388" s="117"/>
      <c r="C388" s="117" t="s">
        <v>104</v>
      </c>
      <c r="D388" s="51" t="s">
        <v>105</v>
      </c>
      <c r="E388" s="162"/>
      <c r="F388" s="162"/>
      <c r="G388" s="162"/>
      <c r="H388" s="162"/>
      <c r="I388" s="162"/>
    </row>
    <row r="389" spans="1:9" ht="15.75" thickBot="1" x14ac:dyDescent="0.3">
      <c r="A389" s="491"/>
      <c r="B389" s="193" t="s">
        <v>193</v>
      </c>
      <c r="C389" s="192"/>
      <c r="D389" s="53"/>
      <c r="E389" s="194">
        <f>SUM(E383:E388)</f>
        <v>0</v>
      </c>
      <c r="F389" s="194">
        <f>SUM(F383:F388)</f>
        <v>0</v>
      </c>
      <c r="G389" s="194">
        <f>SUM(G383:G388)</f>
        <v>0</v>
      </c>
      <c r="H389" s="194">
        <f>SUM(H383:H388)</f>
        <v>0</v>
      </c>
      <c r="I389" s="194">
        <f>SUM(I383:I388)</f>
        <v>0</v>
      </c>
    </row>
    <row r="390" spans="1:9" ht="15" x14ac:dyDescent="0.25">
      <c r="A390" s="221"/>
      <c r="B390" s="220"/>
      <c r="C390" s="221"/>
      <c r="D390" s="222"/>
      <c r="E390" s="501"/>
      <c r="F390" s="501"/>
      <c r="G390" s="501"/>
      <c r="H390" s="501"/>
      <c r="I390" s="501"/>
    </row>
    <row r="391" spans="1:9" x14ac:dyDescent="0.2">
      <c r="A391" s="103"/>
      <c r="B391" s="549" t="str">
        <f>'Form 1 Cover'!A20</f>
        <v>Charter School - fill in the name of your school</v>
      </c>
      <c r="C391" s="549"/>
      <c r="D391" s="43"/>
      <c r="E391" s="59"/>
      <c r="F391" s="59"/>
      <c r="H391" s="59"/>
      <c r="I391" s="550" t="str">
        <f>"Budget Fiscal Year "&amp;TEXT('Form 1 Cover'!$C$137, "mm/dd/yy")</f>
        <v>Budget Fiscal Year 2014-2015</v>
      </c>
    </row>
    <row r="392" spans="1:9" x14ac:dyDescent="0.2">
      <c r="A392" s="103"/>
      <c r="B392" s="103"/>
      <c r="C392" s="103"/>
      <c r="D392" s="59"/>
      <c r="E392" s="103"/>
      <c r="F392" s="59"/>
      <c r="G392" s="59"/>
      <c r="H392" s="59"/>
      <c r="I392" s="59"/>
    </row>
    <row r="393" spans="1:9" x14ac:dyDescent="0.2">
      <c r="A393" s="103"/>
      <c r="B393" s="103" t="s">
        <v>487</v>
      </c>
      <c r="C393" s="103"/>
      <c r="D393" s="59"/>
      <c r="E393" s="59"/>
      <c r="F393" s="59"/>
      <c r="G393" s="59"/>
      <c r="H393" s="497"/>
      <c r="I393" s="497">
        <f>'Form 1 Cover'!$C$146</f>
        <v>41703</v>
      </c>
    </row>
    <row r="394" spans="1:9" x14ac:dyDescent="0.2">
      <c r="A394" s="103"/>
      <c r="B394" s="103"/>
      <c r="C394" s="103"/>
      <c r="D394" s="59"/>
      <c r="E394" s="59"/>
      <c r="F394" s="59"/>
      <c r="G394" s="59"/>
      <c r="H394" s="497"/>
      <c r="I394" s="497"/>
    </row>
    <row r="395" spans="1:9" x14ac:dyDescent="0.2">
      <c r="A395" s="103"/>
      <c r="B395" s="103"/>
      <c r="C395" s="103"/>
      <c r="D395" s="59"/>
      <c r="E395" s="59"/>
      <c r="F395" s="59"/>
      <c r="G395" s="59"/>
      <c r="H395" s="497"/>
      <c r="I395" s="497"/>
    </row>
    <row r="396" spans="1:9" x14ac:dyDescent="0.2">
      <c r="A396" s="103"/>
      <c r="B396" s="103"/>
      <c r="C396" s="103"/>
      <c r="D396" s="59"/>
      <c r="E396" s="59"/>
      <c r="F396" s="59"/>
      <c r="G396" s="59"/>
      <c r="H396" s="497"/>
      <c r="I396" s="497"/>
    </row>
    <row r="397" spans="1:9" x14ac:dyDescent="0.2">
      <c r="A397" s="467"/>
      <c r="B397" s="98"/>
      <c r="C397" s="98"/>
      <c r="D397" s="99"/>
      <c r="E397" s="210">
        <v>-1</v>
      </c>
      <c r="F397" s="211">
        <v>-2</v>
      </c>
      <c r="G397" s="438">
        <v>-3</v>
      </c>
      <c r="H397" s="211">
        <v>-4</v>
      </c>
      <c r="I397" s="211">
        <v>-5</v>
      </c>
    </row>
    <row r="398" spans="1:9" x14ac:dyDescent="0.2">
      <c r="A398" s="485"/>
      <c r="B398" s="103"/>
      <c r="C398" s="103"/>
      <c r="D398" s="47"/>
      <c r="E398" s="217"/>
      <c r="F398" s="32" t="s">
        <v>44</v>
      </c>
      <c r="G398" s="592" t="str">
        <f>"BUDGET YEAR ENDING "&amp;TEXT('Form 1 Cover'!C139, "MM/DD/YY")</f>
        <v>BUDGET YEAR ENDING 06/30/15</v>
      </c>
      <c r="H398" s="593"/>
      <c r="I398" s="594"/>
    </row>
    <row r="399" spans="1:9" x14ac:dyDescent="0.2">
      <c r="A399" s="485"/>
      <c r="B399" s="103"/>
      <c r="C399" s="103"/>
      <c r="D399" s="47"/>
      <c r="E399" s="213" t="s">
        <v>303</v>
      </c>
      <c r="F399" s="213" t="s">
        <v>305</v>
      </c>
      <c r="G399" s="214"/>
      <c r="H399" s="488"/>
      <c r="I399" s="213" t="s">
        <v>729</v>
      </c>
    </row>
    <row r="400" spans="1:9" ht="15" x14ac:dyDescent="0.2">
      <c r="A400" s="485"/>
      <c r="B400" s="171" t="s">
        <v>96</v>
      </c>
      <c r="C400" s="59"/>
      <c r="D400" s="47"/>
      <c r="E400" s="213" t="s">
        <v>304</v>
      </c>
      <c r="F400" s="213" t="s">
        <v>304</v>
      </c>
      <c r="G400" s="215" t="s">
        <v>306</v>
      </c>
      <c r="H400" s="213" t="s">
        <v>128</v>
      </c>
      <c r="I400" s="213" t="s">
        <v>128</v>
      </c>
    </row>
    <row r="401" spans="1:9" ht="15" x14ac:dyDescent="0.2">
      <c r="A401" s="483"/>
      <c r="B401" s="590"/>
      <c r="C401" s="590"/>
      <c r="D401" s="591"/>
      <c r="E401" s="4">
        <f>'Form 1 Cover'!C130</f>
        <v>41455</v>
      </c>
      <c r="F401" s="4">
        <f>'Form 1 Cover'!C134</f>
        <v>41820</v>
      </c>
      <c r="G401" s="216" t="s">
        <v>307</v>
      </c>
      <c r="H401" s="489" t="s">
        <v>307</v>
      </c>
      <c r="I401" s="489" t="s">
        <v>307</v>
      </c>
    </row>
    <row r="402" spans="1:9" ht="30" x14ac:dyDescent="0.25">
      <c r="A402" s="490"/>
      <c r="B402" s="197" t="s">
        <v>173</v>
      </c>
      <c r="C402" s="184"/>
      <c r="D402" s="151" t="s">
        <v>174</v>
      </c>
      <c r="E402" s="55"/>
      <c r="F402" s="55"/>
      <c r="G402" s="55"/>
      <c r="H402" s="55"/>
      <c r="I402" s="55"/>
    </row>
    <row r="403" spans="1:9" x14ac:dyDescent="0.2">
      <c r="A403" s="457"/>
      <c r="B403" s="117"/>
      <c r="C403" s="117" t="s">
        <v>98</v>
      </c>
      <c r="D403" s="51" t="s">
        <v>99</v>
      </c>
      <c r="E403" s="159"/>
      <c r="F403" s="159"/>
      <c r="G403" s="159"/>
      <c r="H403" s="159"/>
      <c r="I403" s="159"/>
    </row>
    <row r="404" spans="1:9" x14ac:dyDescent="0.2">
      <c r="A404" s="457"/>
      <c r="B404" s="117"/>
      <c r="C404" s="117" t="s">
        <v>100</v>
      </c>
      <c r="D404" s="51" t="s">
        <v>101</v>
      </c>
      <c r="E404" s="159"/>
      <c r="F404" s="159"/>
      <c r="G404" s="159"/>
      <c r="H404" s="159"/>
      <c r="I404" s="159"/>
    </row>
    <row r="405" spans="1:9" x14ac:dyDescent="0.2">
      <c r="A405" s="457"/>
      <c r="B405" s="117"/>
      <c r="C405" s="117" t="s">
        <v>150</v>
      </c>
      <c r="D405" s="51"/>
      <c r="E405" s="159"/>
      <c r="F405" s="159"/>
      <c r="G405" s="159"/>
      <c r="H405" s="159"/>
      <c r="I405" s="159"/>
    </row>
    <row r="406" spans="1:9" x14ac:dyDescent="0.2">
      <c r="A406" s="457"/>
      <c r="B406" s="117"/>
      <c r="C406" s="117" t="s">
        <v>102</v>
      </c>
      <c r="D406" s="51" t="s">
        <v>103</v>
      </c>
      <c r="E406" s="159"/>
      <c r="F406" s="159"/>
      <c r="G406" s="159"/>
      <c r="H406" s="159"/>
      <c r="I406" s="159"/>
    </row>
    <row r="407" spans="1:9" x14ac:dyDescent="0.2">
      <c r="A407" s="457"/>
      <c r="B407" s="117"/>
      <c r="C407" s="117" t="s">
        <v>106</v>
      </c>
      <c r="D407" s="51" t="s">
        <v>151</v>
      </c>
      <c r="E407" s="159"/>
      <c r="F407" s="159"/>
      <c r="G407" s="159"/>
      <c r="H407" s="159"/>
      <c r="I407" s="159"/>
    </row>
    <row r="408" spans="1:9" x14ac:dyDescent="0.2">
      <c r="A408" s="457"/>
      <c r="B408" s="117"/>
      <c r="C408" s="117" t="s">
        <v>104</v>
      </c>
      <c r="D408" s="51" t="s">
        <v>105</v>
      </c>
      <c r="E408" s="159"/>
      <c r="F408" s="159"/>
      <c r="G408" s="159"/>
      <c r="H408" s="159"/>
      <c r="I408" s="159"/>
    </row>
    <row r="409" spans="1:9" ht="15.75" thickBot="1" x14ac:dyDescent="0.3">
      <c r="A409" s="491"/>
      <c r="B409" s="193" t="s">
        <v>175</v>
      </c>
      <c r="C409" s="192"/>
      <c r="D409" s="53"/>
      <c r="E409" s="153">
        <f>SUM(E403:E408)</f>
        <v>0</v>
      </c>
      <c r="F409" s="153">
        <f>SUM(F403:F408)</f>
        <v>0</v>
      </c>
      <c r="G409" s="153">
        <f>SUM(G403:G408)</f>
        <v>0</v>
      </c>
      <c r="H409" s="153">
        <f>SUM(H403:H408)</f>
        <v>0</v>
      </c>
      <c r="I409" s="153">
        <f>SUM(I403:I408)</f>
        <v>0</v>
      </c>
    </row>
    <row r="410" spans="1:9" ht="15" x14ac:dyDescent="0.25">
      <c r="A410" s="457"/>
      <c r="B410" s="184" t="s">
        <v>176</v>
      </c>
      <c r="C410" s="184"/>
      <c r="D410" s="195" t="s">
        <v>177</v>
      </c>
      <c r="E410" s="119"/>
      <c r="F410" s="119"/>
      <c r="G410" s="119"/>
      <c r="H410" s="119"/>
      <c r="I410" s="119"/>
    </row>
    <row r="411" spans="1:9" x14ac:dyDescent="0.2">
      <c r="A411" s="457"/>
      <c r="B411" s="117"/>
      <c r="C411" s="117" t="s">
        <v>98</v>
      </c>
      <c r="D411" s="51" t="s">
        <v>99</v>
      </c>
      <c r="E411" s="159"/>
      <c r="F411" s="159"/>
      <c r="G411" s="159"/>
      <c r="H411" s="159"/>
      <c r="I411" s="159"/>
    </row>
    <row r="412" spans="1:9" x14ac:dyDescent="0.2">
      <c r="A412" s="457"/>
      <c r="B412" s="117"/>
      <c r="C412" s="117" t="s">
        <v>100</v>
      </c>
      <c r="D412" s="51" t="s">
        <v>101</v>
      </c>
      <c r="E412" s="159"/>
      <c r="F412" s="159"/>
      <c r="G412" s="159"/>
      <c r="H412" s="159"/>
      <c r="I412" s="159"/>
    </row>
    <row r="413" spans="1:9" x14ac:dyDescent="0.2">
      <c r="A413" s="457"/>
      <c r="B413" s="117"/>
      <c r="C413" s="117" t="s">
        <v>150</v>
      </c>
      <c r="D413" s="51"/>
      <c r="E413" s="159"/>
      <c r="F413" s="159"/>
      <c r="G413" s="159"/>
      <c r="H413" s="159"/>
      <c r="I413" s="159"/>
    </row>
    <row r="414" spans="1:9" x14ac:dyDescent="0.2">
      <c r="A414" s="457"/>
      <c r="B414" s="117"/>
      <c r="C414" s="117" t="s">
        <v>102</v>
      </c>
      <c r="D414" s="51" t="s">
        <v>103</v>
      </c>
      <c r="E414" s="159"/>
      <c r="F414" s="159"/>
      <c r="G414" s="159"/>
      <c r="H414" s="159"/>
      <c r="I414" s="159"/>
    </row>
    <row r="415" spans="1:9" x14ac:dyDescent="0.2">
      <c r="A415" s="457"/>
      <c r="B415" s="117"/>
      <c r="C415" s="117" t="s">
        <v>106</v>
      </c>
      <c r="D415" s="51" t="s">
        <v>151</v>
      </c>
      <c r="E415" s="159"/>
      <c r="F415" s="159"/>
      <c r="G415" s="159"/>
      <c r="H415" s="159"/>
      <c r="I415" s="159"/>
    </row>
    <row r="416" spans="1:9" x14ac:dyDescent="0.2">
      <c r="A416" s="457"/>
      <c r="B416" s="117"/>
      <c r="C416" s="117" t="s">
        <v>104</v>
      </c>
      <c r="D416" s="51" t="s">
        <v>105</v>
      </c>
      <c r="E416" s="159"/>
      <c r="F416" s="159"/>
      <c r="G416" s="159"/>
      <c r="H416" s="159"/>
      <c r="I416" s="159"/>
    </row>
    <row r="417" spans="1:9" ht="15.75" thickBot="1" x14ac:dyDescent="0.3">
      <c r="A417" s="491"/>
      <c r="B417" s="193" t="s">
        <v>178</v>
      </c>
      <c r="C417" s="192"/>
      <c r="D417" s="53"/>
      <c r="E417" s="153">
        <f>SUM(E411:E416)</f>
        <v>0</v>
      </c>
      <c r="F417" s="153">
        <f>SUM(F411:F416)</f>
        <v>0</v>
      </c>
      <c r="G417" s="153">
        <f>SUM(G411:G416)</f>
        <v>0</v>
      </c>
      <c r="H417" s="153">
        <f>SUM(H411:H416)</f>
        <v>0</v>
      </c>
      <c r="I417" s="153">
        <f>SUM(I411:I416)</f>
        <v>0</v>
      </c>
    </row>
    <row r="418" spans="1:9" ht="15" x14ac:dyDescent="0.25">
      <c r="A418" s="457"/>
      <c r="B418" s="184" t="s">
        <v>179</v>
      </c>
      <c r="C418" s="184"/>
      <c r="D418" s="195" t="s">
        <v>180</v>
      </c>
      <c r="E418" s="119"/>
      <c r="F418" s="119"/>
      <c r="G418" s="119"/>
      <c r="H418" s="119"/>
      <c r="I418" s="119"/>
    </row>
    <row r="419" spans="1:9" x14ac:dyDescent="0.2">
      <c r="A419" s="457"/>
      <c r="B419" s="117"/>
      <c r="C419" s="117" t="s">
        <v>98</v>
      </c>
      <c r="D419" s="51" t="s">
        <v>99</v>
      </c>
      <c r="E419" s="159"/>
      <c r="F419" s="159"/>
      <c r="G419" s="159"/>
      <c r="H419" s="159"/>
      <c r="I419" s="159"/>
    </row>
    <row r="420" spans="1:9" x14ac:dyDescent="0.2">
      <c r="A420" s="457"/>
      <c r="B420" s="117"/>
      <c r="C420" s="117" t="s">
        <v>100</v>
      </c>
      <c r="D420" s="51" t="s">
        <v>101</v>
      </c>
      <c r="E420" s="157"/>
      <c r="F420" s="158"/>
      <c r="G420" s="158"/>
      <c r="H420" s="158"/>
      <c r="I420" s="158"/>
    </row>
    <row r="421" spans="1:9" x14ac:dyDescent="0.2">
      <c r="A421" s="457"/>
      <c r="B421" s="117"/>
      <c r="C421" s="117" t="s">
        <v>150</v>
      </c>
      <c r="D421" s="51"/>
      <c r="E421" s="159"/>
      <c r="F421" s="159"/>
      <c r="G421" s="159"/>
      <c r="H421" s="159"/>
      <c r="I421" s="159"/>
    </row>
    <row r="422" spans="1:9" x14ac:dyDescent="0.2">
      <c r="A422" s="457"/>
      <c r="B422" s="117"/>
      <c r="C422" s="117" t="s">
        <v>102</v>
      </c>
      <c r="D422" s="51" t="s">
        <v>103</v>
      </c>
      <c r="E422" s="159"/>
      <c r="F422" s="159"/>
      <c r="G422" s="159"/>
      <c r="H422" s="159"/>
      <c r="I422" s="159"/>
    </row>
    <row r="423" spans="1:9" x14ac:dyDescent="0.2">
      <c r="A423" s="457"/>
      <c r="B423" s="117"/>
      <c r="C423" s="117" t="s">
        <v>106</v>
      </c>
      <c r="D423" s="51" t="s">
        <v>151</v>
      </c>
      <c r="E423" s="159"/>
      <c r="F423" s="159"/>
      <c r="G423" s="159"/>
      <c r="H423" s="159"/>
      <c r="I423" s="159"/>
    </row>
    <row r="424" spans="1:9" x14ac:dyDescent="0.2">
      <c r="A424" s="457"/>
      <c r="B424" s="117"/>
      <c r="C424" s="117" t="s">
        <v>104</v>
      </c>
      <c r="D424" s="51" t="s">
        <v>105</v>
      </c>
      <c r="E424" s="157"/>
      <c r="F424" s="158"/>
      <c r="G424" s="158"/>
      <c r="H424" s="158"/>
      <c r="I424" s="158"/>
    </row>
    <row r="425" spans="1:9" ht="15.75" thickBot="1" x14ac:dyDescent="0.3">
      <c r="A425" s="491"/>
      <c r="B425" s="193" t="s">
        <v>181</v>
      </c>
      <c r="C425" s="192"/>
      <c r="D425" s="53"/>
      <c r="E425" s="198">
        <f>SUM(E419:E424)</f>
        <v>0</v>
      </c>
      <c r="F425" s="198">
        <f>SUM(F419:F424)</f>
        <v>0</v>
      </c>
      <c r="G425" s="198">
        <f>SUM(G419:G424)</f>
        <v>0</v>
      </c>
      <c r="H425" s="198">
        <f>SUM(H419:H424)</f>
        <v>0</v>
      </c>
      <c r="I425" s="198">
        <f>SUM(I419:I424)</f>
        <v>0</v>
      </c>
    </row>
    <row r="426" spans="1:9" ht="19.5" customHeight="1" thickBot="1" x14ac:dyDescent="0.3">
      <c r="A426" s="458" t="s">
        <v>553</v>
      </c>
      <c r="B426" s="123"/>
      <c r="C426" s="124"/>
      <c r="D426" s="125"/>
      <c r="E426" s="199">
        <f>E357+E365+E373+E381+E389+E409+E417+E425</f>
        <v>0</v>
      </c>
      <c r="F426" s="199">
        <f>F357+F365+F373+F381+F389+F409+F417+F425</f>
        <v>0</v>
      </c>
      <c r="G426" s="199">
        <f>G357+G365+G373+G381+G389+G409+G417+G425</f>
        <v>0</v>
      </c>
      <c r="H426" s="199">
        <f>H357+H365+H373+H381+H389+H409+H417+H425</f>
        <v>0</v>
      </c>
      <c r="I426" s="199">
        <f>I357+I365+I373+I381+I389+I409+I417+I425</f>
        <v>0</v>
      </c>
    </row>
    <row r="427" spans="1:9" ht="15.75" thickTop="1" x14ac:dyDescent="0.25">
      <c r="A427" s="457"/>
      <c r="B427" s="184" t="s">
        <v>196</v>
      </c>
      <c r="C427" s="184"/>
      <c r="D427" s="195" t="s">
        <v>269</v>
      </c>
      <c r="E427" s="200"/>
      <c r="F427" s="119"/>
      <c r="G427" s="119"/>
      <c r="H427" s="119"/>
      <c r="I427" s="119"/>
    </row>
    <row r="428" spans="1:9" x14ac:dyDescent="0.2">
      <c r="A428" s="457"/>
      <c r="B428" s="117"/>
      <c r="C428" s="117" t="s">
        <v>98</v>
      </c>
      <c r="D428" s="51" t="s">
        <v>99</v>
      </c>
      <c r="E428" s="159"/>
      <c r="F428" s="159"/>
      <c r="G428" s="159"/>
      <c r="H428" s="159"/>
      <c r="I428" s="159"/>
    </row>
    <row r="429" spans="1:9" x14ac:dyDescent="0.2">
      <c r="A429" s="457"/>
      <c r="B429" s="117"/>
      <c r="C429" s="117" t="s">
        <v>100</v>
      </c>
      <c r="D429" s="51" t="s">
        <v>101</v>
      </c>
      <c r="E429" s="159"/>
      <c r="F429" s="159"/>
      <c r="G429" s="159"/>
      <c r="H429" s="159"/>
      <c r="I429" s="159"/>
    </row>
    <row r="430" spans="1:9" x14ac:dyDescent="0.2">
      <c r="A430" s="457"/>
      <c r="B430" s="117"/>
      <c r="C430" s="117" t="s">
        <v>150</v>
      </c>
      <c r="D430" s="51"/>
      <c r="E430" s="159"/>
      <c r="F430" s="159"/>
      <c r="G430" s="159"/>
      <c r="H430" s="159"/>
      <c r="I430" s="159"/>
    </row>
    <row r="431" spans="1:9" x14ac:dyDescent="0.2">
      <c r="A431" s="457"/>
      <c r="B431" s="117"/>
      <c r="C431" s="117" t="s">
        <v>102</v>
      </c>
      <c r="D431" s="51" t="s">
        <v>103</v>
      </c>
      <c r="E431" s="159"/>
      <c r="F431" s="159"/>
      <c r="G431" s="159"/>
      <c r="H431" s="159"/>
      <c r="I431" s="159"/>
    </row>
    <row r="432" spans="1:9" x14ac:dyDescent="0.2">
      <c r="A432" s="457"/>
      <c r="B432" s="117"/>
      <c r="C432" s="117" t="s">
        <v>106</v>
      </c>
      <c r="D432" s="51" t="s">
        <v>151</v>
      </c>
      <c r="E432" s="159"/>
      <c r="F432" s="159"/>
      <c r="G432" s="159"/>
      <c r="H432" s="159"/>
      <c r="I432" s="159"/>
    </row>
    <row r="433" spans="1:9" x14ac:dyDescent="0.2">
      <c r="A433" s="457"/>
      <c r="B433" s="117"/>
      <c r="C433" s="117" t="s">
        <v>104</v>
      </c>
      <c r="D433" s="51" t="s">
        <v>105</v>
      </c>
      <c r="E433" s="159"/>
      <c r="F433" s="159"/>
      <c r="G433" s="159"/>
      <c r="H433" s="159"/>
      <c r="I433" s="159"/>
    </row>
    <row r="434" spans="1:9" ht="15.75" thickBot="1" x14ac:dyDescent="0.3">
      <c r="A434" s="492" t="s">
        <v>490</v>
      </c>
      <c r="B434" s="52"/>
      <c r="C434" s="192"/>
      <c r="D434" s="53"/>
      <c r="E434" s="153">
        <f>SUM(E428:E433)</f>
        <v>0</v>
      </c>
      <c r="F434" s="153">
        <f>SUM(F428:F433)</f>
        <v>0</v>
      </c>
      <c r="G434" s="153">
        <f>SUM(G428:G433)</f>
        <v>0</v>
      </c>
      <c r="H434" s="153">
        <f>SUM(H428:H433)</f>
        <v>0</v>
      </c>
      <c r="I434" s="153">
        <f>SUM(I428:I433)</f>
        <v>0</v>
      </c>
    </row>
    <row r="435" spans="1:9" ht="15" x14ac:dyDescent="0.25">
      <c r="A435" s="220"/>
      <c r="B435" s="222"/>
      <c r="C435" s="221"/>
      <c r="D435" s="222"/>
      <c r="E435" s="502"/>
      <c r="F435" s="502"/>
      <c r="G435" s="502"/>
      <c r="H435" s="502"/>
      <c r="I435" s="502"/>
    </row>
    <row r="436" spans="1:9" x14ac:dyDescent="0.2">
      <c r="A436" s="103"/>
      <c r="B436" s="549" t="str">
        <f>'Form 1 Cover'!A20</f>
        <v>Charter School - fill in the name of your school</v>
      </c>
      <c r="C436" s="549"/>
      <c r="D436" s="43"/>
      <c r="E436" s="59"/>
      <c r="F436" s="59"/>
      <c r="H436" s="59"/>
      <c r="I436" s="550" t="str">
        <f>"Budget Fiscal Year "&amp;TEXT('Form 1 Cover'!$C$137, "mm/dd/yy")</f>
        <v>Budget Fiscal Year 2014-2015</v>
      </c>
    </row>
    <row r="437" spans="1:9" x14ac:dyDescent="0.2">
      <c r="A437" s="103"/>
      <c r="B437" s="103"/>
      <c r="C437" s="103"/>
      <c r="D437" s="59"/>
      <c r="E437" s="103"/>
      <c r="F437" s="59"/>
      <c r="G437" s="59"/>
      <c r="H437" s="59"/>
      <c r="I437" s="59"/>
    </row>
    <row r="438" spans="1:9" x14ac:dyDescent="0.2">
      <c r="A438" s="103"/>
      <c r="B438" s="103" t="s">
        <v>487</v>
      </c>
      <c r="C438" s="103"/>
      <c r="D438" s="59"/>
      <c r="E438" s="59"/>
      <c r="F438" s="59"/>
      <c r="G438" s="59"/>
      <c r="H438" s="497"/>
      <c r="I438" s="497">
        <f>'Form 1 Cover'!$C$146</f>
        <v>41703</v>
      </c>
    </row>
    <row r="439" spans="1:9" x14ac:dyDescent="0.2">
      <c r="A439" s="103"/>
      <c r="B439" s="103"/>
      <c r="C439" s="103"/>
      <c r="D439" s="59"/>
      <c r="E439" s="59"/>
      <c r="F439" s="59"/>
      <c r="G439" s="59"/>
      <c r="H439" s="497"/>
      <c r="I439" s="497"/>
    </row>
    <row r="440" spans="1:9" x14ac:dyDescent="0.2">
      <c r="A440" s="103"/>
      <c r="B440" s="103"/>
      <c r="C440" s="103"/>
      <c r="D440" s="59"/>
      <c r="E440" s="59"/>
      <c r="F440" s="59"/>
      <c r="G440" s="59"/>
      <c r="H440" s="497"/>
      <c r="I440" s="497"/>
    </row>
    <row r="441" spans="1:9" x14ac:dyDescent="0.2">
      <c r="A441" s="467"/>
      <c r="B441" s="98"/>
      <c r="C441" s="98"/>
      <c r="D441" s="99"/>
      <c r="E441" s="210">
        <v>-1</v>
      </c>
      <c r="F441" s="211">
        <v>-2</v>
      </c>
      <c r="G441" s="438">
        <v>-3</v>
      </c>
      <c r="H441" s="211">
        <v>-4</v>
      </c>
      <c r="I441" s="211">
        <v>-5</v>
      </c>
    </row>
    <row r="442" spans="1:9" x14ac:dyDescent="0.2">
      <c r="A442" s="485"/>
      <c r="B442" s="103"/>
      <c r="C442" s="103"/>
      <c r="D442" s="47"/>
      <c r="E442" s="217"/>
      <c r="F442" s="32" t="s">
        <v>44</v>
      </c>
      <c r="G442" s="592" t="str">
        <f>"BUDGET YEAR ENDING "&amp;TEXT('Form 1 Cover'!C139, "MM/DD/YY")</f>
        <v>BUDGET YEAR ENDING 06/30/15</v>
      </c>
      <c r="H442" s="593"/>
      <c r="I442" s="594"/>
    </row>
    <row r="443" spans="1:9" x14ac:dyDescent="0.2">
      <c r="A443" s="485"/>
      <c r="B443" s="103"/>
      <c r="C443" s="103"/>
      <c r="D443" s="47"/>
      <c r="E443" s="213" t="s">
        <v>303</v>
      </c>
      <c r="F443" s="213" t="s">
        <v>305</v>
      </c>
      <c r="G443" s="214"/>
      <c r="H443" s="488"/>
      <c r="I443" s="213" t="s">
        <v>729</v>
      </c>
    </row>
    <row r="444" spans="1:9" ht="15" x14ac:dyDescent="0.2">
      <c r="A444" s="485"/>
      <c r="B444" s="171" t="s">
        <v>96</v>
      </c>
      <c r="C444" s="59"/>
      <c r="D444" s="47"/>
      <c r="E444" s="213" t="s">
        <v>304</v>
      </c>
      <c r="F444" s="213" t="s">
        <v>304</v>
      </c>
      <c r="G444" s="215" t="s">
        <v>306</v>
      </c>
      <c r="H444" s="213" t="s">
        <v>128</v>
      </c>
      <c r="I444" s="213" t="s">
        <v>128</v>
      </c>
    </row>
    <row r="445" spans="1:9" ht="15" x14ac:dyDescent="0.2">
      <c r="A445" s="483"/>
      <c r="B445" s="590"/>
      <c r="C445" s="590"/>
      <c r="D445" s="591"/>
      <c r="E445" s="4">
        <f>'Form 1 Cover'!C130</f>
        <v>41455</v>
      </c>
      <c r="F445" s="4">
        <f>'Form 1 Cover'!C134</f>
        <v>41820</v>
      </c>
      <c r="G445" s="216" t="s">
        <v>307</v>
      </c>
      <c r="H445" s="489" t="s">
        <v>307</v>
      </c>
      <c r="I445" s="489" t="s">
        <v>307</v>
      </c>
    </row>
    <row r="446" spans="1:9" ht="15" x14ac:dyDescent="0.25">
      <c r="A446" s="457"/>
      <c r="B446" s="184" t="s">
        <v>182</v>
      </c>
      <c r="C446" s="184"/>
      <c r="D446" s="195" t="s">
        <v>183</v>
      </c>
      <c r="E446" s="200"/>
      <c r="F446" s="119"/>
      <c r="G446" s="119"/>
      <c r="H446" s="119"/>
      <c r="I446" s="119"/>
    </row>
    <row r="447" spans="1:9" x14ac:dyDescent="0.2">
      <c r="A447" s="457"/>
      <c r="B447" s="117"/>
      <c r="C447" s="117" t="s">
        <v>98</v>
      </c>
      <c r="D447" s="51" t="s">
        <v>99</v>
      </c>
      <c r="E447" s="159"/>
      <c r="F447" s="159"/>
      <c r="G447" s="159"/>
      <c r="H447" s="159"/>
      <c r="I447" s="159"/>
    </row>
    <row r="448" spans="1:9" x14ac:dyDescent="0.2">
      <c r="A448" s="457"/>
      <c r="B448" s="117"/>
      <c r="C448" s="117" t="s">
        <v>100</v>
      </c>
      <c r="D448" s="51" t="s">
        <v>101</v>
      </c>
      <c r="E448" s="159"/>
      <c r="F448" s="159"/>
      <c r="G448" s="159"/>
      <c r="H448" s="159"/>
      <c r="I448" s="159"/>
    </row>
    <row r="449" spans="1:9" x14ac:dyDescent="0.2">
      <c r="A449" s="457"/>
      <c r="B449" s="117"/>
      <c r="C449" s="117" t="s">
        <v>150</v>
      </c>
      <c r="D449" s="51"/>
      <c r="E449" s="159"/>
      <c r="F449" s="159"/>
      <c r="G449" s="159"/>
      <c r="H449" s="159"/>
      <c r="I449" s="159"/>
    </row>
    <row r="450" spans="1:9" x14ac:dyDescent="0.2">
      <c r="A450" s="457"/>
      <c r="B450" s="117"/>
      <c r="C450" s="117" t="s">
        <v>102</v>
      </c>
      <c r="D450" s="51" t="s">
        <v>103</v>
      </c>
      <c r="E450" s="159"/>
      <c r="F450" s="159"/>
      <c r="G450" s="159"/>
      <c r="H450" s="159"/>
      <c r="I450" s="159"/>
    </row>
    <row r="451" spans="1:9" x14ac:dyDescent="0.2">
      <c r="A451" s="457"/>
      <c r="B451" s="117"/>
      <c r="C451" s="117" t="s">
        <v>106</v>
      </c>
      <c r="D451" s="51" t="s">
        <v>151</v>
      </c>
      <c r="E451" s="159"/>
      <c r="F451" s="159"/>
      <c r="G451" s="159"/>
      <c r="H451" s="159"/>
      <c r="I451" s="159"/>
    </row>
    <row r="452" spans="1:9" x14ac:dyDescent="0.2">
      <c r="A452" s="457"/>
      <c r="B452" s="117"/>
      <c r="C452" s="117" t="s">
        <v>104</v>
      </c>
      <c r="D452" s="51" t="s">
        <v>105</v>
      </c>
      <c r="E452" s="159"/>
      <c r="F452" s="159"/>
      <c r="G452" s="159"/>
      <c r="H452" s="159"/>
      <c r="I452" s="159"/>
    </row>
    <row r="453" spans="1:9" ht="15.75" thickBot="1" x14ac:dyDescent="0.3">
      <c r="A453" s="491"/>
      <c r="B453" s="193" t="s">
        <v>184</v>
      </c>
      <c r="C453" s="192"/>
      <c r="D453" s="53"/>
      <c r="E453" s="153">
        <f>SUM(E447:E452)</f>
        <v>0</v>
      </c>
      <c r="F453" s="153">
        <f>SUM(F447:F452)</f>
        <v>0</v>
      </c>
      <c r="G453" s="153">
        <f>SUM(G447:G452)</f>
        <v>0</v>
      </c>
      <c r="H453" s="153">
        <f>SUM(H447:H452)</f>
        <v>0</v>
      </c>
      <c r="I453" s="153">
        <f>SUM(I447:I452)</f>
        <v>0</v>
      </c>
    </row>
    <row r="454" spans="1:9" ht="15" x14ac:dyDescent="0.25">
      <c r="A454" s="457"/>
      <c r="B454" s="184" t="s">
        <v>164</v>
      </c>
      <c r="C454" s="184"/>
      <c r="D454" s="195" t="s">
        <v>433</v>
      </c>
      <c r="E454" s="119"/>
      <c r="F454" s="119"/>
      <c r="G454" s="119"/>
      <c r="H454" s="119"/>
      <c r="I454" s="119"/>
    </row>
    <row r="455" spans="1:9" x14ac:dyDescent="0.2">
      <c r="A455" s="457"/>
      <c r="B455" s="117"/>
      <c r="C455" s="117" t="s">
        <v>98</v>
      </c>
      <c r="D455" s="51" t="s">
        <v>99</v>
      </c>
      <c r="E455" s="159"/>
      <c r="F455" s="159"/>
      <c r="G455" s="159"/>
      <c r="H455" s="159"/>
      <c r="I455" s="159"/>
    </row>
    <row r="456" spans="1:9" x14ac:dyDescent="0.2">
      <c r="A456" s="457"/>
      <c r="B456" s="117"/>
      <c r="C456" s="117" t="s">
        <v>100</v>
      </c>
      <c r="D456" s="51" t="s">
        <v>101</v>
      </c>
      <c r="E456" s="159"/>
      <c r="F456" s="159"/>
      <c r="G456" s="159"/>
      <c r="H456" s="159"/>
      <c r="I456" s="159"/>
    </row>
    <row r="457" spans="1:9" x14ac:dyDescent="0.2">
      <c r="A457" s="457"/>
      <c r="B457" s="117"/>
      <c r="C457" s="117" t="s">
        <v>150</v>
      </c>
      <c r="D457" s="51"/>
      <c r="E457" s="159"/>
      <c r="F457" s="159"/>
      <c r="G457" s="159"/>
      <c r="H457" s="159"/>
      <c r="I457" s="159"/>
    </row>
    <row r="458" spans="1:9" x14ac:dyDescent="0.2">
      <c r="A458" s="457"/>
      <c r="B458" s="117"/>
      <c r="C458" s="117" t="s">
        <v>102</v>
      </c>
      <c r="D458" s="51" t="s">
        <v>103</v>
      </c>
      <c r="E458" s="159"/>
      <c r="F458" s="159"/>
      <c r="G458" s="159"/>
      <c r="H458" s="159"/>
      <c r="I458" s="159"/>
    </row>
    <row r="459" spans="1:9" x14ac:dyDescent="0.2">
      <c r="A459" s="457"/>
      <c r="B459" s="117"/>
      <c r="C459" s="117" t="s">
        <v>106</v>
      </c>
      <c r="D459" s="51" t="s">
        <v>151</v>
      </c>
      <c r="E459" s="159"/>
      <c r="F459" s="159"/>
      <c r="G459" s="159"/>
      <c r="H459" s="159"/>
      <c r="I459" s="159"/>
    </row>
    <row r="460" spans="1:9" x14ac:dyDescent="0.2">
      <c r="A460" s="457"/>
      <c r="B460" s="117"/>
      <c r="C460" s="117" t="s">
        <v>104</v>
      </c>
      <c r="D460" s="51" t="s">
        <v>105</v>
      </c>
      <c r="E460" s="159"/>
      <c r="F460" s="159"/>
      <c r="G460" s="159"/>
      <c r="H460" s="159"/>
      <c r="I460" s="159"/>
    </row>
    <row r="461" spans="1:9" ht="15.75" thickBot="1" x14ac:dyDescent="0.3">
      <c r="A461" s="491"/>
      <c r="B461" s="193" t="s">
        <v>166</v>
      </c>
      <c r="C461" s="192"/>
      <c r="D461" s="53"/>
      <c r="E461" s="153">
        <f>SUM(E455:E460)</f>
        <v>0</v>
      </c>
      <c r="F461" s="153">
        <f>SUM(F455:F460)</f>
        <v>0</v>
      </c>
      <c r="G461" s="153">
        <f>SUM(G455:G460)</f>
        <v>0</v>
      </c>
      <c r="H461" s="153">
        <f>SUM(H455:H460)</f>
        <v>0</v>
      </c>
      <c r="I461" s="153">
        <f>SUM(I455:I460)</f>
        <v>0</v>
      </c>
    </row>
    <row r="462" spans="1:9" ht="15" x14ac:dyDescent="0.25">
      <c r="A462" s="457"/>
      <c r="B462" s="184" t="s">
        <v>167</v>
      </c>
      <c r="C462" s="184"/>
      <c r="D462" s="195" t="s">
        <v>168</v>
      </c>
      <c r="E462" s="119"/>
      <c r="F462" s="119"/>
      <c r="G462" s="119"/>
      <c r="H462" s="119"/>
      <c r="I462" s="119"/>
    </row>
    <row r="463" spans="1:9" x14ac:dyDescent="0.2">
      <c r="A463" s="457"/>
      <c r="B463" s="117"/>
      <c r="C463" s="117" t="s">
        <v>98</v>
      </c>
      <c r="D463" s="51" t="s">
        <v>99</v>
      </c>
      <c r="E463" s="159"/>
      <c r="F463" s="159"/>
      <c r="G463" s="159"/>
      <c r="H463" s="159"/>
      <c r="I463" s="159"/>
    </row>
    <row r="464" spans="1:9" x14ac:dyDescent="0.2">
      <c r="A464" s="457"/>
      <c r="B464" s="117"/>
      <c r="C464" s="117" t="s">
        <v>100</v>
      </c>
      <c r="D464" s="51" t="s">
        <v>101</v>
      </c>
      <c r="E464" s="159"/>
      <c r="F464" s="159"/>
      <c r="G464" s="159"/>
      <c r="H464" s="159"/>
      <c r="I464" s="159"/>
    </row>
    <row r="465" spans="1:9" x14ac:dyDescent="0.2">
      <c r="A465" s="457"/>
      <c r="B465" s="117"/>
      <c r="C465" s="117" t="s">
        <v>150</v>
      </c>
      <c r="D465" s="51"/>
      <c r="E465" s="159"/>
      <c r="F465" s="159"/>
      <c r="G465" s="159"/>
      <c r="H465" s="159"/>
      <c r="I465" s="159"/>
    </row>
    <row r="466" spans="1:9" x14ac:dyDescent="0.2">
      <c r="A466" s="457"/>
      <c r="B466" s="117"/>
      <c r="C466" s="117" t="s">
        <v>102</v>
      </c>
      <c r="D466" s="51" t="s">
        <v>103</v>
      </c>
      <c r="E466" s="159"/>
      <c r="F466" s="159"/>
      <c r="G466" s="159"/>
      <c r="H466" s="159"/>
      <c r="I466" s="159"/>
    </row>
    <row r="467" spans="1:9" x14ac:dyDescent="0.2">
      <c r="A467" s="457"/>
      <c r="B467" s="117"/>
      <c r="C467" s="117" t="s">
        <v>106</v>
      </c>
      <c r="D467" s="51" t="s">
        <v>151</v>
      </c>
      <c r="E467" s="159"/>
      <c r="F467" s="159"/>
      <c r="G467" s="159"/>
      <c r="H467" s="159"/>
      <c r="I467" s="159"/>
    </row>
    <row r="468" spans="1:9" x14ac:dyDescent="0.2">
      <c r="A468" s="457"/>
      <c r="B468" s="117"/>
      <c r="C468" s="117" t="s">
        <v>104</v>
      </c>
      <c r="D468" s="51" t="s">
        <v>105</v>
      </c>
      <c r="E468" s="159"/>
      <c r="F468" s="159"/>
      <c r="G468" s="159"/>
      <c r="H468" s="159"/>
      <c r="I468" s="159"/>
    </row>
    <row r="469" spans="1:9" ht="15.75" thickBot="1" x14ac:dyDescent="0.3">
      <c r="A469" s="491"/>
      <c r="B469" s="193" t="s">
        <v>169</v>
      </c>
      <c r="C469" s="192"/>
      <c r="D469" s="53"/>
      <c r="E469" s="153">
        <f>SUM(E463:E468)</f>
        <v>0</v>
      </c>
      <c r="F469" s="153">
        <f>SUM(F463:F468)</f>
        <v>0</v>
      </c>
      <c r="G469" s="153">
        <f>SUM(G463:G468)</f>
        <v>0</v>
      </c>
      <c r="H469" s="153">
        <f>SUM(H463:H468)</f>
        <v>0</v>
      </c>
      <c r="I469" s="153">
        <f>SUM(I463:I468)</f>
        <v>0</v>
      </c>
    </row>
    <row r="470" spans="1:9" ht="15" x14ac:dyDescent="0.25">
      <c r="A470" s="457"/>
      <c r="B470" s="184" t="s">
        <v>434</v>
      </c>
      <c r="C470" s="184"/>
      <c r="D470" s="195" t="s">
        <v>435</v>
      </c>
      <c r="E470" s="119"/>
      <c r="F470" s="119"/>
      <c r="G470" s="119"/>
      <c r="H470" s="119"/>
      <c r="I470" s="119"/>
    </row>
    <row r="471" spans="1:9" x14ac:dyDescent="0.2">
      <c r="A471" s="457"/>
      <c r="B471" s="117"/>
      <c r="C471" s="117" t="s">
        <v>98</v>
      </c>
      <c r="D471" s="51" t="s">
        <v>99</v>
      </c>
      <c r="E471" s="159"/>
      <c r="F471" s="159"/>
      <c r="G471" s="159"/>
      <c r="H471" s="159"/>
      <c r="I471" s="159"/>
    </row>
    <row r="472" spans="1:9" x14ac:dyDescent="0.2">
      <c r="A472" s="457"/>
      <c r="B472" s="117"/>
      <c r="C472" s="117" t="s">
        <v>100</v>
      </c>
      <c r="D472" s="51" t="s">
        <v>101</v>
      </c>
      <c r="E472" s="159"/>
      <c r="F472" s="159"/>
      <c r="G472" s="159"/>
      <c r="H472" s="159"/>
      <c r="I472" s="159"/>
    </row>
    <row r="473" spans="1:9" x14ac:dyDescent="0.2">
      <c r="A473" s="457"/>
      <c r="B473" s="117"/>
      <c r="C473" s="117" t="s">
        <v>150</v>
      </c>
      <c r="D473" s="51"/>
      <c r="E473" s="159"/>
      <c r="F473" s="159"/>
      <c r="G473" s="159"/>
      <c r="H473" s="159"/>
      <c r="I473" s="159"/>
    </row>
    <row r="474" spans="1:9" x14ac:dyDescent="0.2">
      <c r="A474" s="457"/>
      <c r="B474" s="117"/>
      <c r="C474" s="117" t="s">
        <v>102</v>
      </c>
      <c r="D474" s="51" t="s">
        <v>103</v>
      </c>
      <c r="E474" s="159"/>
      <c r="F474" s="159"/>
      <c r="G474" s="159"/>
      <c r="H474" s="159"/>
      <c r="I474" s="159"/>
    </row>
    <row r="475" spans="1:9" x14ac:dyDescent="0.2">
      <c r="A475" s="457"/>
      <c r="B475" s="117"/>
      <c r="C475" s="117" t="s">
        <v>106</v>
      </c>
      <c r="D475" s="51" t="s">
        <v>151</v>
      </c>
      <c r="E475" s="159"/>
      <c r="F475" s="159"/>
      <c r="G475" s="159"/>
      <c r="H475" s="159"/>
      <c r="I475" s="159"/>
    </row>
    <row r="476" spans="1:9" x14ac:dyDescent="0.2">
      <c r="A476" s="485"/>
      <c r="B476" s="116"/>
      <c r="C476" s="103" t="s">
        <v>104</v>
      </c>
      <c r="D476" s="47" t="s">
        <v>105</v>
      </c>
      <c r="E476" s="159"/>
      <c r="F476" s="159"/>
      <c r="G476" s="159"/>
      <c r="H476" s="159"/>
      <c r="I476" s="159"/>
    </row>
    <row r="477" spans="1:9" ht="15.75" thickBot="1" x14ac:dyDescent="0.3">
      <c r="A477" s="491"/>
      <c r="B477" s="193" t="s">
        <v>436</v>
      </c>
      <c r="C477" s="192"/>
      <c r="D477" s="53"/>
      <c r="E477" s="153">
        <f>SUM(E471:E476)</f>
        <v>0</v>
      </c>
      <c r="F477" s="153">
        <f>SUM(F471:F476)</f>
        <v>0</v>
      </c>
      <c r="G477" s="153">
        <f>SUM(G471:G476)</f>
        <v>0</v>
      </c>
      <c r="H477" s="153">
        <f>SUM(H471:H476)</f>
        <v>0</v>
      </c>
      <c r="I477" s="153">
        <f>SUM(I471:I476)</f>
        <v>0</v>
      </c>
    </row>
    <row r="478" spans="1:9" ht="15" x14ac:dyDescent="0.25">
      <c r="A478" s="457"/>
      <c r="B478" s="184" t="s">
        <v>170</v>
      </c>
      <c r="C478" s="184"/>
      <c r="D478" s="195" t="s">
        <v>172</v>
      </c>
      <c r="E478" s="119"/>
      <c r="F478" s="119"/>
      <c r="G478" s="119"/>
      <c r="H478" s="119"/>
      <c r="I478" s="119"/>
    </row>
    <row r="479" spans="1:9" x14ac:dyDescent="0.2">
      <c r="A479" s="457"/>
      <c r="B479" s="117"/>
      <c r="C479" s="117" t="s">
        <v>98</v>
      </c>
      <c r="D479" s="51" t="s">
        <v>99</v>
      </c>
      <c r="E479" s="159"/>
      <c r="F479" s="159"/>
      <c r="G479" s="159"/>
      <c r="H479" s="159"/>
      <c r="I479" s="159"/>
    </row>
    <row r="480" spans="1:9" x14ac:dyDescent="0.2">
      <c r="A480" s="457"/>
      <c r="B480" s="117"/>
      <c r="C480" s="117" t="s">
        <v>100</v>
      </c>
      <c r="D480" s="51" t="s">
        <v>101</v>
      </c>
      <c r="E480" s="157"/>
      <c r="F480" s="158"/>
      <c r="G480" s="158"/>
      <c r="H480" s="158"/>
      <c r="I480" s="158"/>
    </row>
    <row r="481" spans="1:9" x14ac:dyDescent="0.2">
      <c r="A481" s="457"/>
      <c r="B481" s="117"/>
      <c r="C481" s="117" t="s">
        <v>150</v>
      </c>
      <c r="D481" s="51"/>
      <c r="E481" s="159"/>
      <c r="F481" s="159"/>
      <c r="G481" s="159"/>
      <c r="H481" s="159"/>
      <c r="I481" s="159"/>
    </row>
    <row r="482" spans="1:9" x14ac:dyDescent="0.2">
      <c r="A482" s="457"/>
      <c r="B482" s="117"/>
      <c r="C482" s="117" t="s">
        <v>102</v>
      </c>
      <c r="D482" s="51" t="s">
        <v>103</v>
      </c>
      <c r="E482" s="159"/>
      <c r="F482" s="159"/>
      <c r="G482" s="159"/>
      <c r="H482" s="159"/>
      <c r="I482" s="159"/>
    </row>
    <row r="483" spans="1:9" x14ac:dyDescent="0.2">
      <c r="A483" s="457"/>
      <c r="B483" s="117"/>
      <c r="C483" s="117" t="s">
        <v>106</v>
      </c>
      <c r="D483" s="51" t="s">
        <v>151</v>
      </c>
      <c r="E483" s="159"/>
      <c r="F483" s="159"/>
      <c r="G483" s="159"/>
      <c r="H483" s="159"/>
      <c r="I483" s="159"/>
    </row>
    <row r="484" spans="1:9" x14ac:dyDescent="0.2">
      <c r="A484" s="457"/>
      <c r="B484" s="117"/>
      <c r="C484" s="117" t="s">
        <v>104</v>
      </c>
      <c r="D484" s="51" t="s">
        <v>105</v>
      </c>
      <c r="E484" s="157"/>
      <c r="F484" s="158"/>
      <c r="G484" s="158"/>
      <c r="H484" s="158"/>
      <c r="I484" s="158"/>
    </row>
    <row r="485" spans="1:9" ht="15.75" thickBot="1" x14ac:dyDescent="0.3">
      <c r="A485" s="491"/>
      <c r="B485" s="193" t="s">
        <v>437</v>
      </c>
      <c r="C485" s="192"/>
      <c r="D485" s="53"/>
      <c r="E485" s="198">
        <f>SUM(E479:E484)</f>
        <v>0</v>
      </c>
      <c r="F485" s="198">
        <f>SUM(F479:F484)</f>
        <v>0</v>
      </c>
      <c r="G485" s="198">
        <f>SUM(G479:G484)</f>
        <v>0</v>
      </c>
      <c r="H485" s="198">
        <f>SUM(H479:H484)</f>
        <v>0</v>
      </c>
      <c r="I485" s="198">
        <f>SUM(I479:I484)</f>
        <v>0</v>
      </c>
    </row>
    <row r="486" spans="1:9" ht="15" x14ac:dyDescent="0.25">
      <c r="A486" s="457"/>
      <c r="B486" s="184" t="s">
        <v>171</v>
      </c>
      <c r="C486" s="184"/>
      <c r="D486" s="195" t="s">
        <v>165</v>
      </c>
      <c r="E486" s="145"/>
      <c r="F486" s="145"/>
      <c r="G486" s="145"/>
      <c r="H486" s="145"/>
      <c r="I486" s="145"/>
    </row>
    <row r="487" spans="1:9" x14ac:dyDescent="0.2">
      <c r="A487" s="457"/>
      <c r="B487" s="117"/>
      <c r="C487" s="117" t="s">
        <v>98</v>
      </c>
      <c r="D487" s="51" t="s">
        <v>99</v>
      </c>
      <c r="E487" s="162"/>
      <c r="F487" s="162"/>
      <c r="G487" s="162"/>
      <c r="H487" s="162"/>
      <c r="I487" s="162"/>
    </row>
    <row r="488" spans="1:9" x14ac:dyDescent="0.2">
      <c r="A488" s="457"/>
      <c r="B488" s="117"/>
      <c r="C488" s="117" t="s">
        <v>100</v>
      </c>
      <c r="D488" s="51" t="s">
        <v>101</v>
      </c>
      <c r="E488" s="162"/>
      <c r="F488" s="162"/>
      <c r="G488" s="162"/>
      <c r="H488" s="162"/>
      <c r="I488" s="162"/>
    </row>
    <row r="489" spans="1:9" x14ac:dyDescent="0.2">
      <c r="A489" s="457"/>
      <c r="B489" s="117"/>
      <c r="C489" s="117" t="s">
        <v>150</v>
      </c>
      <c r="D489" s="51"/>
      <c r="E489" s="162"/>
      <c r="F489" s="162"/>
      <c r="G489" s="162"/>
      <c r="H489" s="162"/>
      <c r="I489" s="162"/>
    </row>
    <row r="490" spans="1:9" x14ac:dyDescent="0.2">
      <c r="A490" s="457"/>
      <c r="B490" s="117"/>
      <c r="C490" s="117" t="s">
        <v>102</v>
      </c>
      <c r="D490" s="51" t="s">
        <v>103</v>
      </c>
      <c r="E490" s="162"/>
      <c r="F490" s="162"/>
      <c r="G490" s="162"/>
      <c r="H490" s="162"/>
      <c r="I490" s="162"/>
    </row>
    <row r="491" spans="1:9" x14ac:dyDescent="0.2">
      <c r="A491" s="457"/>
      <c r="B491" s="117"/>
      <c r="C491" s="117" t="s">
        <v>106</v>
      </c>
      <c r="D491" s="51" t="s">
        <v>151</v>
      </c>
      <c r="E491" s="162"/>
      <c r="F491" s="162"/>
      <c r="G491" s="162"/>
      <c r="H491" s="162"/>
      <c r="I491" s="162"/>
    </row>
    <row r="492" spans="1:9" x14ac:dyDescent="0.2">
      <c r="A492" s="485"/>
      <c r="B492" s="116"/>
      <c r="C492" s="103" t="s">
        <v>104</v>
      </c>
      <c r="D492" s="47" t="s">
        <v>105</v>
      </c>
      <c r="E492" s="162"/>
      <c r="F492" s="162"/>
      <c r="G492" s="162"/>
      <c r="H492" s="162"/>
      <c r="I492" s="162"/>
    </row>
    <row r="493" spans="1:9" ht="15.75" thickBot="1" x14ac:dyDescent="0.3">
      <c r="A493" s="491"/>
      <c r="B493" s="193" t="s">
        <v>438</v>
      </c>
      <c r="C493" s="192"/>
      <c r="D493" s="53"/>
      <c r="E493" s="194">
        <f>SUM(E487:E492)</f>
        <v>0</v>
      </c>
      <c r="F493" s="194">
        <f>SUM(F487:F492)</f>
        <v>0</v>
      </c>
      <c r="G493" s="194">
        <f>SUM(G487:G492)</f>
        <v>0</v>
      </c>
      <c r="H493" s="194">
        <f>SUM(H487:H492)</f>
        <v>0</v>
      </c>
      <c r="I493" s="194">
        <f>SUM(I487:I492)</f>
        <v>0</v>
      </c>
    </row>
    <row r="494" spans="1:9" ht="15" x14ac:dyDescent="0.25">
      <c r="A494" s="221"/>
      <c r="B494" s="220"/>
      <c r="C494" s="221"/>
      <c r="D494" s="222"/>
      <c r="E494" s="502"/>
      <c r="F494" s="502"/>
      <c r="G494" s="502"/>
      <c r="H494" s="502"/>
      <c r="I494" s="502"/>
    </row>
    <row r="495" spans="1:9" x14ac:dyDescent="0.2">
      <c r="A495" s="103"/>
      <c r="B495" s="549" t="str">
        <f>'Form 1 Cover'!A20</f>
        <v>Charter School - fill in the name of your school</v>
      </c>
      <c r="C495" s="549"/>
      <c r="D495" s="43"/>
      <c r="E495" s="59"/>
      <c r="F495" s="59"/>
      <c r="H495" s="59"/>
      <c r="I495" s="550" t="str">
        <f>"Budget Fiscal Year "&amp;TEXT('Form 1 Cover'!$C$137, "mm/dd/yy")</f>
        <v>Budget Fiscal Year 2014-2015</v>
      </c>
    </row>
    <row r="496" spans="1:9" x14ac:dyDescent="0.2">
      <c r="A496" s="103"/>
      <c r="B496" s="103"/>
      <c r="C496" s="103"/>
      <c r="D496" s="59"/>
      <c r="E496" s="103"/>
      <c r="F496" s="59"/>
      <c r="G496" s="59"/>
      <c r="H496" s="59"/>
      <c r="I496" s="59"/>
    </row>
    <row r="497" spans="1:9" x14ac:dyDescent="0.2">
      <c r="A497" s="103"/>
      <c r="B497" s="103" t="s">
        <v>487</v>
      </c>
      <c r="C497" s="103"/>
      <c r="D497" s="59"/>
      <c r="F497" s="59"/>
      <c r="G497" s="59"/>
      <c r="H497" s="497"/>
      <c r="I497" s="497">
        <f>'Form 1 Cover'!$C$146</f>
        <v>41703</v>
      </c>
    </row>
    <row r="498" spans="1:9" x14ac:dyDescent="0.2">
      <c r="A498" s="103"/>
      <c r="B498" s="103"/>
      <c r="C498" s="103"/>
      <c r="D498" s="59"/>
      <c r="F498" s="59"/>
      <c r="G498" s="59"/>
      <c r="H498" s="497"/>
      <c r="I498" s="497"/>
    </row>
    <row r="499" spans="1:9" x14ac:dyDescent="0.2">
      <c r="A499" s="467"/>
      <c r="B499" s="98"/>
      <c r="C499" s="98"/>
      <c r="D499" s="99"/>
      <c r="E499" s="210">
        <v>-1</v>
      </c>
      <c r="F499" s="211">
        <v>-2</v>
      </c>
      <c r="G499" s="438">
        <v>-3</v>
      </c>
      <c r="H499" s="211">
        <v>-4</v>
      </c>
      <c r="I499" s="211">
        <v>-5</v>
      </c>
    </row>
    <row r="500" spans="1:9" x14ac:dyDescent="0.2">
      <c r="A500" s="485"/>
      <c r="B500" s="103"/>
      <c r="C500" s="103"/>
      <c r="D500" s="47"/>
      <c r="E500" s="212"/>
      <c r="F500" s="32" t="s">
        <v>44</v>
      </c>
      <c r="G500" s="592" t="str">
        <f>"BUDGET YEAR ENDING "&amp;TEXT('Form 1 Cover'!C139, "MM/DD/YY")</f>
        <v>BUDGET YEAR ENDING 06/30/15</v>
      </c>
      <c r="H500" s="593"/>
      <c r="I500" s="594"/>
    </row>
    <row r="501" spans="1:9" x14ac:dyDescent="0.2">
      <c r="A501" s="485"/>
      <c r="B501" s="103"/>
      <c r="C501" s="103"/>
      <c r="D501" s="47"/>
      <c r="E501" s="215" t="s">
        <v>303</v>
      </c>
      <c r="F501" s="213" t="s">
        <v>305</v>
      </c>
      <c r="G501" s="214"/>
      <c r="H501" s="488"/>
      <c r="I501" s="213" t="str">
        <f>I443</f>
        <v>AMENDED</v>
      </c>
    </row>
    <row r="502" spans="1:9" ht="15" x14ac:dyDescent="0.2">
      <c r="A502" s="485"/>
      <c r="B502" s="171" t="s">
        <v>96</v>
      </c>
      <c r="C502" s="59"/>
      <c r="D502" s="47"/>
      <c r="E502" s="215" t="s">
        <v>304</v>
      </c>
      <c r="F502" s="213" t="s">
        <v>304</v>
      </c>
      <c r="G502" s="215" t="s">
        <v>306</v>
      </c>
      <c r="H502" s="213" t="s">
        <v>128</v>
      </c>
      <c r="I502" s="213" t="s">
        <v>128</v>
      </c>
    </row>
    <row r="503" spans="1:9" ht="15" x14ac:dyDescent="0.2">
      <c r="A503" s="483"/>
      <c r="B503" s="590"/>
      <c r="C503" s="590"/>
      <c r="D503" s="591"/>
      <c r="E503" s="437">
        <f>'Form 1 Cover'!C130</f>
        <v>41455</v>
      </c>
      <c r="F503" s="4">
        <f>'Form 1 Cover'!C134</f>
        <v>41820</v>
      </c>
      <c r="G503" s="216" t="s">
        <v>307</v>
      </c>
      <c r="H503" s="489" t="s">
        <v>307</v>
      </c>
      <c r="I503" s="489" t="s">
        <v>307</v>
      </c>
    </row>
    <row r="504" spans="1:9" ht="15" x14ac:dyDescent="0.25">
      <c r="A504" s="457"/>
      <c r="B504" s="184" t="s">
        <v>380</v>
      </c>
      <c r="C504" s="184"/>
      <c r="D504" s="195" t="s">
        <v>172</v>
      </c>
      <c r="E504" s="145"/>
      <c r="F504" s="145"/>
      <c r="G504" s="145"/>
      <c r="H504" s="145"/>
      <c r="I504" s="145"/>
    </row>
    <row r="505" spans="1:9" x14ac:dyDescent="0.2">
      <c r="A505" s="457"/>
      <c r="B505" s="117"/>
      <c r="C505" s="117" t="s">
        <v>98</v>
      </c>
      <c r="D505" s="51" t="s">
        <v>99</v>
      </c>
      <c r="E505" s="162"/>
      <c r="F505" s="162"/>
      <c r="G505" s="162"/>
      <c r="H505" s="162"/>
      <c r="I505" s="162"/>
    </row>
    <row r="506" spans="1:9" x14ac:dyDescent="0.2">
      <c r="A506" s="457"/>
      <c r="B506" s="117"/>
      <c r="C506" s="117" t="s">
        <v>100</v>
      </c>
      <c r="D506" s="51" t="s">
        <v>101</v>
      </c>
      <c r="E506" s="160"/>
      <c r="F506" s="161"/>
      <c r="G506" s="161"/>
      <c r="H506" s="161"/>
      <c r="I506" s="161"/>
    </row>
    <row r="507" spans="1:9" x14ac:dyDescent="0.2">
      <c r="A507" s="457"/>
      <c r="B507" s="117"/>
      <c r="C507" s="117" t="s">
        <v>150</v>
      </c>
      <c r="D507" s="51"/>
      <c r="E507" s="162"/>
      <c r="F507" s="162"/>
      <c r="G507" s="162"/>
      <c r="H507" s="162"/>
      <c r="I507" s="162"/>
    </row>
    <row r="508" spans="1:9" x14ac:dyDescent="0.2">
      <c r="A508" s="457"/>
      <c r="B508" s="117"/>
      <c r="C508" s="117" t="s">
        <v>102</v>
      </c>
      <c r="D508" s="51" t="s">
        <v>103</v>
      </c>
      <c r="E508" s="162"/>
      <c r="F508" s="162"/>
      <c r="G508" s="162"/>
      <c r="H508" s="162"/>
      <c r="I508" s="162"/>
    </row>
    <row r="509" spans="1:9" x14ac:dyDescent="0.2">
      <c r="A509" s="457"/>
      <c r="B509" s="117"/>
      <c r="C509" s="117" t="s">
        <v>106</v>
      </c>
      <c r="D509" s="51" t="s">
        <v>151</v>
      </c>
      <c r="E509" s="162"/>
      <c r="F509" s="162"/>
      <c r="G509" s="162"/>
      <c r="H509" s="162"/>
      <c r="I509" s="162"/>
    </row>
    <row r="510" spans="1:9" x14ac:dyDescent="0.2">
      <c r="A510" s="457"/>
      <c r="B510" s="117"/>
      <c r="C510" s="117" t="s">
        <v>104</v>
      </c>
      <c r="D510" s="51" t="s">
        <v>105</v>
      </c>
      <c r="E510" s="160"/>
      <c r="F510" s="161"/>
      <c r="G510" s="161"/>
      <c r="H510" s="161"/>
      <c r="I510" s="161"/>
    </row>
    <row r="511" spans="1:9" ht="15.75" thickBot="1" x14ac:dyDescent="0.3">
      <c r="A511" s="491"/>
      <c r="B511" s="193" t="s">
        <v>439</v>
      </c>
      <c r="C511" s="192"/>
      <c r="D511" s="53"/>
      <c r="E511" s="196">
        <f>SUM(E505:E510)</f>
        <v>0</v>
      </c>
      <c r="F511" s="196">
        <f>SUM(F505:F510)</f>
        <v>0</v>
      </c>
      <c r="G511" s="196">
        <f>SUM(G505:G510)</f>
        <v>0</v>
      </c>
      <c r="H511" s="196">
        <f>SUM(H505:H510)</f>
        <v>0</v>
      </c>
      <c r="I511" s="196">
        <f>SUM(I505:I510)</f>
        <v>0</v>
      </c>
    </row>
    <row r="512" spans="1:9" ht="15" x14ac:dyDescent="0.25">
      <c r="A512" s="457"/>
      <c r="B512" s="184" t="s">
        <v>148</v>
      </c>
      <c r="C512" s="184"/>
      <c r="D512" s="195" t="s">
        <v>149</v>
      </c>
      <c r="E512" s="145"/>
      <c r="F512" s="145"/>
      <c r="G512" s="145"/>
      <c r="H512" s="145"/>
      <c r="I512" s="145"/>
    </row>
    <row r="513" spans="1:9" x14ac:dyDescent="0.2">
      <c r="A513" s="457"/>
      <c r="B513" s="117"/>
      <c r="C513" s="117" t="s">
        <v>98</v>
      </c>
      <c r="D513" s="51" t="s">
        <v>99</v>
      </c>
      <c r="E513" s="162"/>
      <c r="F513" s="162"/>
      <c r="G513" s="162"/>
      <c r="H513" s="162"/>
      <c r="I513" s="162"/>
    </row>
    <row r="514" spans="1:9" x14ac:dyDescent="0.2">
      <c r="A514" s="457"/>
      <c r="B514" s="117"/>
      <c r="C514" s="117" t="s">
        <v>100</v>
      </c>
      <c r="D514" s="51" t="s">
        <v>101</v>
      </c>
      <c r="E514" s="162"/>
      <c r="F514" s="162"/>
      <c r="G514" s="162"/>
      <c r="H514" s="162"/>
      <c r="I514" s="162"/>
    </row>
    <row r="515" spans="1:9" x14ac:dyDescent="0.2">
      <c r="A515" s="457"/>
      <c r="B515" s="117"/>
      <c r="C515" s="117" t="s">
        <v>150</v>
      </c>
      <c r="D515" s="51"/>
      <c r="E515" s="162"/>
      <c r="F515" s="162"/>
      <c r="G515" s="162"/>
      <c r="H515" s="162"/>
      <c r="I515" s="162"/>
    </row>
    <row r="516" spans="1:9" x14ac:dyDescent="0.2">
      <c r="A516" s="457"/>
      <c r="B516" s="117"/>
      <c r="C516" s="117" t="s">
        <v>102</v>
      </c>
      <c r="D516" s="51" t="s">
        <v>103</v>
      </c>
      <c r="E516" s="162"/>
      <c r="F516" s="162"/>
      <c r="G516" s="162"/>
      <c r="H516" s="162"/>
      <c r="I516" s="162"/>
    </row>
    <row r="517" spans="1:9" x14ac:dyDescent="0.2">
      <c r="A517" s="457"/>
      <c r="B517" s="117"/>
      <c r="C517" s="117" t="s">
        <v>106</v>
      </c>
      <c r="D517" s="51" t="s">
        <v>151</v>
      </c>
      <c r="E517" s="162"/>
      <c r="F517" s="162"/>
      <c r="G517" s="162"/>
      <c r="H517" s="162"/>
      <c r="I517" s="162"/>
    </row>
    <row r="518" spans="1:9" x14ac:dyDescent="0.2">
      <c r="A518" s="457"/>
      <c r="B518" s="117"/>
      <c r="C518" s="117" t="s">
        <v>104</v>
      </c>
      <c r="D518" s="51" t="s">
        <v>105</v>
      </c>
      <c r="E518" s="162"/>
      <c r="F518" s="162"/>
      <c r="G518" s="162"/>
      <c r="H518" s="162"/>
      <c r="I518" s="162"/>
    </row>
    <row r="519" spans="1:9" ht="15.75" thickBot="1" x14ac:dyDescent="0.3">
      <c r="A519" s="491"/>
      <c r="B519" s="193" t="s">
        <v>152</v>
      </c>
      <c r="C519" s="192"/>
      <c r="D519" s="53"/>
      <c r="E519" s="194">
        <f>SUM(E513:E518)</f>
        <v>0</v>
      </c>
      <c r="F519" s="194">
        <f>SUM(F513:F518)</f>
        <v>0</v>
      </c>
      <c r="G519" s="194">
        <f>SUM(G513:G518)</f>
        <v>0</v>
      </c>
      <c r="H519" s="194">
        <f>SUM(H513:H518)</f>
        <v>0</v>
      </c>
      <c r="I519" s="194">
        <f>SUM(I513:I518)</f>
        <v>0</v>
      </c>
    </row>
    <row r="520" spans="1:9" ht="15.75" thickBot="1" x14ac:dyDescent="0.3">
      <c r="A520" s="493" t="s">
        <v>552</v>
      </c>
      <c r="B520" s="123"/>
      <c r="C520" s="595" t="s">
        <v>314</v>
      </c>
      <c r="D520" s="596"/>
      <c r="E520" s="201">
        <f>E461+E469+E477+E485+E493+E511+E519+E453</f>
        <v>0</v>
      </c>
      <c r="F520" s="201">
        <f>F461+F469+F477+F485+F493+F511+F519+F453</f>
        <v>0</v>
      </c>
      <c r="G520" s="201">
        <f>G461+G469+G477+G485+G493+G511+G519+G453</f>
        <v>0</v>
      </c>
      <c r="H520" s="201">
        <f>H461+H469+H477+H485+H493+H511+H519+H453</f>
        <v>0</v>
      </c>
      <c r="I520" s="201">
        <f>I461+I469+I477+I485+I493+I511+I519+I453</f>
        <v>0</v>
      </c>
    </row>
    <row r="521" spans="1:9" ht="16.5" thickTop="1" thickBot="1" x14ac:dyDescent="0.3">
      <c r="A521" s="485"/>
      <c r="B521" s="165" t="s">
        <v>203</v>
      </c>
      <c r="C521" s="165"/>
      <c r="D521" s="37" t="s">
        <v>271</v>
      </c>
      <c r="E521" s="228"/>
      <c r="F521" s="228"/>
      <c r="G521" s="228"/>
      <c r="H521" s="228"/>
      <c r="I521" s="228"/>
    </row>
    <row r="522" spans="1:9" ht="16.5" thickTop="1" thickBot="1" x14ac:dyDescent="0.3">
      <c r="A522" s="494" t="s">
        <v>154</v>
      </c>
      <c r="B522" s="203"/>
      <c r="C522" s="588" t="s">
        <v>155</v>
      </c>
      <c r="D522" s="589"/>
      <c r="E522" s="204">
        <f>E426+E520+E521+E434</f>
        <v>0</v>
      </c>
      <c r="F522" s="204">
        <f>F426+F520+F521+F434</f>
        <v>0</v>
      </c>
      <c r="G522" s="204">
        <f>G426+G520+G521+G434</f>
        <v>0</v>
      </c>
      <c r="H522" s="204">
        <f>H426+H520+H521+H434</f>
        <v>0</v>
      </c>
      <c r="I522" s="204">
        <f>I426+I520+I521+I434</f>
        <v>0</v>
      </c>
    </row>
    <row r="523" spans="1:9" ht="16.5" thickTop="1" thickBot="1" x14ac:dyDescent="0.3">
      <c r="A523" s="471" t="s">
        <v>156</v>
      </c>
      <c r="B523" s="203"/>
      <c r="C523" s="203"/>
      <c r="D523" s="206"/>
      <c r="E523" s="207">
        <f>E522+E28+E51+E85+E108+E142+E165+E200+E223+E258+E281+E316+E339</f>
        <v>0</v>
      </c>
      <c r="F523" s="207">
        <f>F522+F28+F51+F85+F108+F142+F165+F200+F223+F258+F281+F316+F339</f>
        <v>0</v>
      </c>
      <c r="G523" s="207">
        <f>G522+G28+G51+G85+G108+G142+G165+G200+G223+G258+G281+G316+G339</f>
        <v>0</v>
      </c>
      <c r="H523" s="207">
        <f>H522+H28+H51+H85+H108+H142+H165+H200+H223+H258+H281+H316+H339</f>
        <v>0</v>
      </c>
      <c r="I523" s="207">
        <f>I522+I28+I51+I85+I108+I142+I165+I200+I223+I258+I281+I316+I339</f>
        <v>0</v>
      </c>
    </row>
    <row r="524" spans="1:9" ht="44.25" thickTop="1" thickBot="1" x14ac:dyDescent="0.25">
      <c r="A524" s="495"/>
      <c r="B524" s="202" t="s">
        <v>400</v>
      </c>
      <c r="C524" s="203"/>
      <c r="D524" s="208" t="s">
        <v>163</v>
      </c>
      <c r="E524" s="209" t="s">
        <v>158</v>
      </c>
      <c r="F524" s="229"/>
      <c r="G524" s="230"/>
      <c r="H524" s="230"/>
      <c r="I524" s="230"/>
    </row>
    <row r="525" spans="1:9" ht="15.75" thickTop="1" x14ac:dyDescent="0.25">
      <c r="A525" s="490" t="s">
        <v>440</v>
      </c>
      <c r="B525" s="184"/>
      <c r="C525" s="117"/>
      <c r="D525" s="51"/>
      <c r="E525" s="145"/>
      <c r="F525" s="145"/>
      <c r="G525" s="145"/>
      <c r="H525" s="145"/>
      <c r="I525" s="145"/>
    </row>
    <row r="526" spans="1:9" x14ac:dyDescent="0.2">
      <c r="A526" s="457"/>
      <c r="B526" s="117" t="s">
        <v>159</v>
      </c>
      <c r="C526" s="117"/>
      <c r="D526" s="51"/>
      <c r="E526" s="162"/>
      <c r="F526" s="162"/>
      <c r="G526" s="162"/>
      <c r="H526" s="162"/>
      <c r="I526" s="162"/>
    </row>
    <row r="527" spans="1:9" x14ac:dyDescent="0.2">
      <c r="A527" s="457"/>
      <c r="B527" s="117" t="s">
        <v>160</v>
      </c>
      <c r="C527" s="117"/>
      <c r="D527" s="51"/>
      <c r="E527" s="162"/>
      <c r="F527" s="162"/>
      <c r="G527" s="162"/>
      <c r="H527" s="162"/>
      <c r="I527" s="162"/>
    </row>
    <row r="528" spans="1:9" ht="15.75" thickBot="1" x14ac:dyDescent="0.3">
      <c r="A528" s="468" t="s">
        <v>161</v>
      </c>
      <c r="B528" s="136"/>
      <c r="C528" s="136"/>
      <c r="D528" s="57"/>
      <c r="E528" s="173">
        <f>SUM(E526:E527)</f>
        <v>0</v>
      </c>
      <c r="F528" s="173">
        <f>SUM(F524:F527)</f>
        <v>0</v>
      </c>
      <c r="G528" s="173">
        <f>SUM(G524:G527)</f>
        <v>0</v>
      </c>
      <c r="H528" s="173">
        <f>SUM(H524:H527)</f>
        <v>0</v>
      </c>
      <c r="I528" s="173">
        <f>SUM(I524:I527)</f>
        <v>0</v>
      </c>
    </row>
    <row r="529" spans="1:9" ht="16.5" thickTop="1" thickBot="1" x14ac:dyDescent="0.3">
      <c r="A529" s="471" t="s">
        <v>162</v>
      </c>
      <c r="B529" s="203"/>
      <c r="C529" s="203"/>
      <c r="D529" s="206"/>
      <c r="E529" s="207">
        <f>E523+E528</f>
        <v>0</v>
      </c>
      <c r="F529" s="207">
        <f>F523+F528</f>
        <v>0</v>
      </c>
      <c r="G529" s="207">
        <f>G523+G528</f>
        <v>0</v>
      </c>
      <c r="H529" s="207">
        <f>H523+H528</f>
        <v>0</v>
      </c>
      <c r="I529" s="207">
        <f>I523+I528</f>
        <v>0</v>
      </c>
    </row>
    <row r="530" spans="1:9" ht="15.75" thickTop="1" x14ac:dyDescent="0.25">
      <c r="A530" s="165"/>
      <c r="B530" s="167"/>
      <c r="C530" s="167"/>
      <c r="D530" s="59"/>
      <c r="E530" s="219"/>
      <c r="F530" s="219"/>
      <c r="G530" s="219"/>
      <c r="H530" s="219"/>
      <c r="I530" s="219"/>
    </row>
    <row r="531" spans="1:9" ht="15" x14ac:dyDescent="0.25">
      <c r="A531" s="410" t="s">
        <v>575</v>
      </c>
      <c r="B531" s="411"/>
      <c r="C531" s="411"/>
      <c r="D531" s="412" t="s">
        <v>576</v>
      </c>
      <c r="E531" s="416" t="s">
        <v>578</v>
      </c>
      <c r="F531" s="413">
        <f>0.03*F523</f>
        <v>0</v>
      </c>
      <c r="G531" s="413">
        <f>0.03*G523</f>
        <v>0</v>
      </c>
      <c r="H531" s="413">
        <f>0.03*H523</f>
        <v>0</v>
      </c>
      <c r="I531" s="413">
        <f>0.03*I523</f>
        <v>0</v>
      </c>
    </row>
    <row r="532" spans="1:9" ht="15" x14ac:dyDescent="0.25">
      <c r="A532" s="410"/>
      <c r="B532" s="411"/>
      <c r="C532" s="411"/>
      <c r="D532" s="414" t="s">
        <v>577</v>
      </c>
      <c r="E532" s="415">
        <f>'Form 3 Revenues'!D99-'Form 4 Expenses'!E523</f>
        <v>0</v>
      </c>
      <c r="F532" s="415">
        <f>'Form 3 Revenues'!E99-'Form 4 Expenses'!F523</f>
        <v>0</v>
      </c>
      <c r="G532" s="415">
        <f>'Form 3 Revenues'!F99-'Form 4 Expenses'!G523</f>
        <v>0</v>
      </c>
      <c r="H532" s="415">
        <f>'Form 3 Revenues'!G99-'Form 4 Expenses'!H523</f>
        <v>0</v>
      </c>
      <c r="I532" s="415">
        <f>'Form 3 Revenues'!H99-'Form 4 Expenses'!I523</f>
        <v>0</v>
      </c>
    </row>
    <row r="533" spans="1:9" ht="15" x14ac:dyDescent="0.25">
      <c r="A533" s="165"/>
      <c r="B533" s="103"/>
      <c r="C533" s="103"/>
      <c r="D533" s="59"/>
      <c r="E533" s="219"/>
      <c r="F533" s="219"/>
      <c r="G533" s="219"/>
      <c r="H533" s="219"/>
      <c r="I533" s="219"/>
    </row>
    <row r="534" spans="1:9" x14ac:dyDescent="0.2">
      <c r="A534" s="117"/>
      <c r="B534" s="549" t="str">
        <f>'Form 1 Cover'!A20</f>
        <v>Charter School - fill in the name of your school</v>
      </c>
      <c r="C534" s="549"/>
      <c r="D534" s="43"/>
      <c r="F534" s="59"/>
      <c r="I534" s="548" t="str">
        <f>"Budget Fiscal Year "&amp;TEXT('Form 1 Cover'!$C$137, "mm/dd/yy")</f>
        <v>Budget Fiscal Year 2014-2015</v>
      </c>
    </row>
    <row r="535" spans="1:9" x14ac:dyDescent="0.2">
      <c r="A535" s="103"/>
      <c r="B535" s="103"/>
      <c r="C535" s="103"/>
      <c r="D535" s="59"/>
      <c r="E535" s="122"/>
    </row>
    <row r="536" spans="1:9" x14ac:dyDescent="0.2">
      <c r="A536" s="103"/>
      <c r="B536" s="122" t="s">
        <v>487</v>
      </c>
      <c r="H536" s="30"/>
      <c r="I536" s="30">
        <f>'Form 1 Cover'!$C$146</f>
        <v>41703</v>
      </c>
    </row>
  </sheetData>
  <sheetProtection sheet="1" objects="1" scenarios="1"/>
  <mergeCells count="22">
    <mergeCell ref="G2:I2"/>
    <mergeCell ref="G59:I59"/>
    <mergeCell ref="G116:I116"/>
    <mergeCell ref="G174:I174"/>
    <mergeCell ref="G232:I232"/>
    <mergeCell ref="G290:I290"/>
    <mergeCell ref="B5:D5"/>
    <mergeCell ref="B62:D62"/>
    <mergeCell ref="B119:D119"/>
    <mergeCell ref="C520:D520"/>
    <mergeCell ref="G345:I345"/>
    <mergeCell ref="G398:I398"/>
    <mergeCell ref="G442:I442"/>
    <mergeCell ref="G500:I500"/>
    <mergeCell ref="C522:D522"/>
    <mergeCell ref="B445:D445"/>
    <mergeCell ref="B503:D503"/>
    <mergeCell ref="B177:D177"/>
    <mergeCell ref="B235:D235"/>
    <mergeCell ref="B293:D293"/>
    <mergeCell ref="B348:D348"/>
    <mergeCell ref="B401:D401"/>
  </mergeCells>
  <phoneticPr fontId="0" type="noConversion"/>
  <printOptions horizontalCentered="1"/>
  <pageMargins left="0.55000000000000004" right="0.25" top="1.25" bottom="1.25" header="0.5" footer="0.5"/>
  <pageSetup scale="75" fitToHeight="10" orientation="portrait" r:id="rId1"/>
  <headerFooter alignWithMargins="0">
    <oddFooter>&amp;CPage &amp;P of &amp;N</oddFooter>
  </headerFooter>
  <rowBreaks count="4" manualBreakCount="4">
    <brk id="287" max="8" man="1"/>
    <brk id="343" max="8" man="1"/>
    <brk id="394" max="8" man="1"/>
    <brk id="439" max="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showWhiteSpace="0" view="pageLayout" topLeftCell="A51" zoomScale="85" zoomScaleNormal="75" zoomScalePageLayoutView="85" workbookViewId="0">
      <selection activeCell="A73" sqref="A73"/>
    </sheetView>
  </sheetViews>
  <sheetFormatPr defaultRowHeight="14.25" x14ac:dyDescent="0.2"/>
  <cols>
    <col min="1" max="1" width="6" style="245" customWidth="1"/>
    <col min="2" max="2" width="30.28515625" style="38" customWidth="1"/>
    <col min="3" max="6" width="14.7109375" style="150" customWidth="1"/>
    <col min="7" max="9" width="9.140625" style="38"/>
    <col min="10" max="10" width="5.42578125" style="38" customWidth="1"/>
    <col min="11" max="16384" width="9.140625" style="38"/>
  </cols>
  <sheetData>
    <row r="1" spans="1:6" ht="15" x14ac:dyDescent="0.25">
      <c r="A1" s="601" t="str">
        <f>"TENTATIVE BUDGET "&amp;TEXT('Form 1 Cover'!C137, "MM/DD/YY")</f>
        <v>TENTATIVE BUDGET 2014-2015</v>
      </c>
      <c r="B1" s="602"/>
      <c r="C1" s="118" t="s">
        <v>326</v>
      </c>
      <c r="D1" s="118" t="s">
        <v>327</v>
      </c>
      <c r="E1" s="118" t="s">
        <v>328</v>
      </c>
      <c r="F1" s="118"/>
    </row>
    <row r="2" spans="1:6" ht="57.75" thickBot="1" x14ac:dyDescent="0.25">
      <c r="A2" s="599" t="s">
        <v>256</v>
      </c>
      <c r="B2" s="600"/>
      <c r="C2" s="231" t="s">
        <v>257</v>
      </c>
      <c r="D2" s="231" t="s">
        <v>258</v>
      </c>
      <c r="E2" s="231" t="s">
        <v>541</v>
      </c>
      <c r="F2" s="231" t="s">
        <v>503</v>
      </c>
    </row>
    <row r="3" spans="1:6" ht="18.75" customHeight="1" x14ac:dyDescent="0.25">
      <c r="A3" s="503" t="s">
        <v>496</v>
      </c>
      <c r="B3" s="232"/>
      <c r="C3" s="130"/>
      <c r="D3" s="130"/>
      <c r="E3" s="130"/>
      <c r="F3" s="130"/>
    </row>
    <row r="4" spans="1:6" x14ac:dyDescent="0.2">
      <c r="A4" s="504">
        <v>100</v>
      </c>
      <c r="B4" s="51" t="s">
        <v>259</v>
      </c>
      <c r="C4" s="233">
        <f>'Form 4 Expenses'!G8+'Form 4 Expenses'!G15+'Form 4 Expenses'!G22+'Form 4 Expenses'!G31+'Form 4 Expenses'!G38+'Form 4 Expenses'!G45</f>
        <v>0</v>
      </c>
      <c r="D4" s="234">
        <f>'Form 4 Expenses'!G9+'Form 4 Expenses'!G16+'Form 4 Expenses'!G23+'Form 4 Expenses'!G32+'Form 4 Expenses'!G39+'Form 4 Expenses'!G46</f>
        <v>0</v>
      </c>
      <c r="E4" s="234">
        <f>'Form 4 Expenses'!G28+'Form 4 Expenses'!G51-'Form 5 Exp Summary'!C4-'Form 5 Exp Summary'!D4</f>
        <v>0</v>
      </c>
      <c r="F4" s="144">
        <f>SUM(C4:E4)</f>
        <v>0</v>
      </c>
    </row>
    <row r="5" spans="1:6" x14ac:dyDescent="0.2">
      <c r="A5" s="504">
        <v>200</v>
      </c>
      <c r="B5" s="51" t="s">
        <v>260</v>
      </c>
      <c r="C5" s="235">
        <f>'Form 4 Expenses'!G65+'Form 4 Expenses'!G72+'Form 4 Expenses'!G79+'Form 4 Expenses'!G88+'Form 4 Expenses'!G95+'Form 4 Expenses'!G102+'Form 4 Expenses'!G122+'Form 4 Expenses'!G129+'Form 4 Expenses'!G136</f>
        <v>0</v>
      </c>
      <c r="D5" s="235">
        <f>'Form 4 Expenses'!G66+'Form 4 Expenses'!G73+'Form 4 Expenses'!G80+'Form 4 Expenses'!G89+'Form 4 Expenses'!G96+'Form 4 Expenses'!G103+'Form 4 Expenses'!G123+'Form 4 Expenses'!G130+'Form 4 Expenses'!G137</f>
        <v>0</v>
      </c>
      <c r="E5" s="234">
        <f>'Form 4 Expenses'!G85+'Form 4 Expenses'!G108+'Form 4 Expenses'!G142-'Form 5 Exp Summary'!C5-'Form 5 Exp Summary'!D5</f>
        <v>0</v>
      </c>
      <c r="F5" s="144">
        <f t="shared" ref="F5:F11" si="0">SUM(C5:E5)</f>
        <v>0</v>
      </c>
    </row>
    <row r="6" spans="1:6" x14ac:dyDescent="0.2">
      <c r="A6" s="504">
        <v>300</v>
      </c>
      <c r="B6" s="51" t="s">
        <v>261</v>
      </c>
      <c r="C6" s="235">
        <f>'Form 4 Expenses'!G145+'Form 4 Expenses'!G152+'Form 4 Expenses'!G159+'Form 4 Expenses'!G180+'Form 4 Expenses'!G187+'Form 4 Expenses'!G194</f>
        <v>0</v>
      </c>
      <c r="D6" s="235">
        <f>'Form 4 Expenses'!G146+'Form 4 Expenses'!G153+'Form 4 Expenses'!G160+'Form 4 Expenses'!G181+'Form 4 Expenses'!G188+'Form 4 Expenses'!G195</f>
        <v>0</v>
      </c>
      <c r="E6" s="234">
        <f>'Form 4 Expenses'!G165+'Form 4 Expenses'!G200-'Form 5 Exp Summary'!C6-'Form 5 Exp Summary'!D6</f>
        <v>0</v>
      </c>
      <c r="F6" s="144">
        <f t="shared" si="0"/>
        <v>0</v>
      </c>
    </row>
    <row r="7" spans="1:6" x14ac:dyDescent="0.2">
      <c r="A7" s="504">
        <v>400</v>
      </c>
      <c r="B7" s="51" t="s">
        <v>262</v>
      </c>
      <c r="C7" s="235">
        <f>'Form 4 Expenses'!G203+'Form 4 Expenses'!G210+'Form 4 Expenses'!G217+'Form 4 Expenses'!G238+'Form 4 Expenses'!G245+'Form 4 Expenses'!G252+'Form 4 Expenses'!G261+'Form 4 Expenses'!G268+'Form 4 Expenses'!G275</f>
        <v>0</v>
      </c>
      <c r="D7" s="235">
        <f>'Form 4 Expenses'!G204+'Form 4 Expenses'!G211+'Form 4 Expenses'!G218+'Form 4 Expenses'!G239+'Form 4 Expenses'!G246+'Form 4 Expenses'!G253+'Form 4 Expenses'!G262+'Form 4 Expenses'!G269+'Form 4 Expenses'!G276</f>
        <v>0</v>
      </c>
      <c r="E7" s="234">
        <f>'Form 4 Expenses'!G223+'Form 4 Expenses'!G258+'Form 4 Expenses'!G281-'Form 5 Exp Summary'!C7-'Form 5 Exp Summary'!D7</f>
        <v>0</v>
      </c>
      <c r="F7" s="144">
        <f t="shared" si="0"/>
        <v>0</v>
      </c>
    </row>
    <row r="8" spans="1:6" x14ac:dyDescent="0.2">
      <c r="A8" s="504">
        <v>500</v>
      </c>
      <c r="B8" s="51" t="s">
        <v>263</v>
      </c>
      <c r="C8" s="236"/>
      <c r="D8" s="236"/>
      <c r="E8" s="237"/>
      <c r="F8" s="144">
        <f t="shared" si="0"/>
        <v>0</v>
      </c>
    </row>
    <row r="9" spans="1:6" x14ac:dyDescent="0.2">
      <c r="A9" s="504">
        <v>600</v>
      </c>
      <c r="B9" s="51" t="s">
        <v>215</v>
      </c>
      <c r="C9" s="236"/>
      <c r="D9" s="236"/>
      <c r="E9" s="237"/>
      <c r="F9" s="144">
        <f t="shared" si="0"/>
        <v>0</v>
      </c>
    </row>
    <row r="10" spans="1:6" x14ac:dyDescent="0.2">
      <c r="A10" s="504">
        <v>800</v>
      </c>
      <c r="B10" s="51" t="s">
        <v>264</v>
      </c>
      <c r="C10" s="235">
        <f>'Form 4 Expenses'!G296+'Form 4 Expenses'!G303+'Form 4 Expenses'!G310</f>
        <v>0</v>
      </c>
      <c r="D10" s="235">
        <f>'Form 4 Expenses'!G297+'Form 4 Expenses'!G304+'Form 4 Expenses'!G311</f>
        <v>0</v>
      </c>
      <c r="E10" s="234">
        <f>'Form 4 Expenses'!G316-'Form 5 Exp Summary'!C10-'Form 5 Exp Summary'!D10</f>
        <v>0</v>
      </c>
      <c r="F10" s="144">
        <f t="shared" si="0"/>
        <v>0</v>
      </c>
    </row>
    <row r="11" spans="1:6" x14ac:dyDescent="0.2">
      <c r="A11" s="504">
        <v>900</v>
      </c>
      <c r="B11" s="51" t="s">
        <v>498</v>
      </c>
      <c r="C11" s="235">
        <f>'Form 4 Expenses'!G319+'Form 4 Expenses'!G326+'Form 4 Expenses'!G333</f>
        <v>0</v>
      </c>
      <c r="D11" s="235">
        <f>'Form 4 Expenses'!G320+'Form 4 Expenses'!G327+'Form 4 Expenses'!G334</f>
        <v>0</v>
      </c>
      <c r="E11" s="234">
        <f>'Form 4 Expenses'!G339-'Form 5 Exp Summary'!C11-'Form 5 Exp Summary'!D11</f>
        <v>0</v>
      </c>
      <c r="F11" s="144">
        <f t="shared" si="0"/>
        <v>0</v>
      </c>
    </row>
    <row r="12" spans="1:6" x14ac:dyDescent="0.2">
      <c r="A12" s="504" t="s">
        <v>497</v>
      </c>
      <c r="B12" s="51"/>
      <c r="C12" s="235">
        <f>SUM(C4:C11)</f>
        <v>0</v>
      </c>
      <c r="D12" s="235">
        <f>SUM(D4:D11)</f>
        <v>0</v>
      </c>
      <c r="E12" s="235">
        <f>SUM(E4:E11)</f>
        <v>0</v>
      </c>
      <c r="F12" s="233">
        <f>SUM(F4:F11)</f>
        <v>0</v>
      </c>
    </row>
    <row r="13" spans="1:6" x14ac:dyDescent="0.2">
      <c r="A13" s="504"/>
      <c r="B13" s="238"/>
      <c r="C13" s="239"/>
      <c r="D13" s="239"/>
      <c r="E13" s="239"/>
      <c r="F13" s="505"/>
    </row>
    <row r="14" spans="1:6" x14ac:dyDescent="0.2">
      <c r="A14" s="506" t="s">
        <v>320</v>
      </c>
      <c r="B14" s="51" t="s">
        <v>265</v>
      </c>
      <c r="C14" s="240"/>
      <c r="D14" s="240"/>
      <c r="E14" s="240"/>
      <c r="F14" s="145"/>
    </row>
    <row r="15" spans="1:6" x14ac:dyDescent="0.2">
      <c r="A15" s="504">
        <v>2000</v>
      </c>
      <c r="B15" s="51" t="s">
        <v>319</v>
      </c>
      <c r="C15" s="235">
        <f>'Form 4 Expenses'!G351+'Form 4 Expenses'!G359+'Form 4 Expenses'!G367+'Form 4 Expenses'!G375+'Form 4 Expenses'!G383+'Form 4 Expenses'!G403+'Form 4 Expenses'!G411+'Form 4 Expenses'!G419</f>
        <v>0</v>
      </c>
      <c r="D15" s="235">
        <f>'Form 4 Expenses'!G352+'Form 4 Expenses'!G360+'Form 4 Expenses'!G368+'Form 4 Expenses'!G376+'Form 4 Expenses'!G384+'Form 4 Expenses'!G404+'Form 4 Expenses'!G412+'Form 4 Expenses'!G420</f>
        <v>0</v>
      </c>
      <c r="E15" s="235">
        <f>'Form 4 Expenses'!G426-'Form 5 Exp Summary'!C15-'Form 5 Exp Summary'!D15</f>
        <v>0</v>
      </c>
      <c r="F15" s="144">
        <f>SUM(C15:E15)</f>
        <v>0</v>
      </c>
    </row>
    <row r="16" spans="1:6" x14ac:dyDescent="0.2">
      <c r="A16" s="504">
        <v>3100</v>
      </c>
      <c r="B16" s="51" t="s">
        <v>269</v>
      </c>
      <c r="C16" s="235">
        <f>'Form 4 Expenses'!G428</f>
        <v>0</v>
      </c>
      <c r="D16" s="235">
        <f>'Form 4 Expenses'!G429</f>
        <v>0</v>
      </c>
      <c r="E16" s="235">
        <f>'Form 4 Expenses'!G434-C16-D16</f>
        <v>0</v>
      </c>
      <c r="F16" s="144">
        <f>SUM(C16:E16)</f>
        <v>0</v>
      </c>
    </row>
    <row r="17" spans="1:6" ht="28.5" x14ac:dyDescent="0.2">
      <c r="A17" s="507">
        <v>4000</v>
      </c>
      <c r="B17" s="120" t="s">
        <v>266</v>
      </c>
      <c r="C17" s="236"/>
      <c r="D17" s="236"/>
      <c r="E17" s="235">
        <f>'Form 4 Expenses'!G520</f>
        <v>0</v>
      </c>
      <c r="F17" s="144">
        <f>SUM(C17:E17)</f>
        <v>0</v>
      </c>
    </row>
    <row r="18" spans="1:6" x14ac:dyDescent="0.2">
      <c r="A18" s="504">
        <v>5000</v>
      </c>
      <c r="B18" s="51" t="s">
        <v>271</v>
      </c>
      <c r="C18" s="236"/>
      <c r="D18" s="236"/>
      <c r="E18" s="235">
        <f>'Form 4 Expenses'!G521</f>
        <v>0</v>
      </c>
      <c r="F18" s="144">
        <f>SUM(C18:E18)</f>
        <v>0</v>
      </c>
    </row>
    <row r="19" spans="1:6" x14ac:dyDescent="0.2">
      <c r="A19" s="504">
        <v>6300</v>
      </c>
      <c r="B19" s="51" t="s">
        <v>267</v>
      </c>
      <c r="C19" s="236"/>
      <c r="D19" s="236"/>
      <c r="E19" s="236"/>
      <c r="F19" s="235">
        <f>'Form 4 Expenses'!G524</f>
        <v>0</v>
      </c>
    </row>
    <row r="20" spans="1:6" ht="18" customHeight="1" x14ac:dyDescent="0.2">
      <c r="A20" s="504">
        <v>8000</v>
      </c>
      <c r="B20" s="241" t="s">
        <v>268</v>
      </c>
      <c r="C20" s="236"/>
      <c r="D20" s="236"/>
      <c r="E20" s="236"/>
      <c r="F20" s="235">
        <f>'Form 4 Expenses'!G526+'Form 4 Expenses'!G527</f>
        <v>0</v>
      </c>
    </row>
    <row r="21" spans="1:6" ht="20.25" customHeight="1" thickBot="1" x14ac:dyDescent="0.3">
      <c r="A21" s="508" t="s">
        <v>499</v>
      </c>
      <c r="B21" s="242"/>
      <c r="C21" s="243">
        <f>SUM(C15:C20)</f>
        <v>0</v>
      </c>
      <c r="D21" s="243">
        <f>SUM(D15:D20)</f>
        <v>0</v>
      </c>
      <c r="E21" s="243">
        <f>SUM(E15:E20)</f>
        <v>0</v>
      </c>
      <c r="F21" s="243">
        <f>SUM(F15:F20)</f>
        <v>0</v>
      </c>
    </row>
    <row r="22" spans="1:6" ht="18.75" customHeight="1" thickBot="1" x14ac:dyDescent="0.3">
      <c r="A22" s="513" t="s">
        <v>543</v>
      </c>
      <c r="B22" s="514"/>
      <c r="C22" s="244">
        <f>C12+C21</f>
        <v>0</v>
      </c>
      <c r="D22" s="244">
        <f>D12+D21</f>
        <v>0</v>
      </c>
      <c r="E22" s="244">
        <f>E12+E21</f>
        <v>0</v>
      </c>
      <c r="F22" s="244">
        <f>F12+F21</f>
        <v>0</v>
      </c>
    </row>
    <row r="23" spans="1:6" x14ac:dyDescent="0.2">
      <c r="A23" s="515"/>
      <c r="B23" s="99"/>
      <c r="C23" s="177"/>
      <c r="D23" s="177"/>
      <c r="E23" s="177"/>
      <c r="F23" s="176"/>
    </row>
    <row r="24" spans="1:6" ht="15" x14ac:dyDescent="0.25">
      <c r="A24" s="603" t="str">
        <f>"FINAL BUDGET "&amp;TEXT('Form 1 Cover'!C137, "MM/DD/YY")</f>
        <v>FINAL BUDGET 2014-2015</v>
      </c>
      <c r="B24" s="604"/>
      <c r="C24" s="441" t="s">
        <v>326</v>
      </c>
      <c r="D24" s="118" t="s">
        <v>327</v>
      </c>
      <c r="E24" s="118" t="s">
        <v>328</v>
      </c>
      <c r="F24" s="118"/>
    </row>
    <row r="25" spans="1:6" ht="57.75" thickBot="1" x14ac:dyDescent="0.25">
      <c r="A25" s="599" t="s">
        <v>256</v>
      </c>
      <c r="B25" s="600"/>
      <c r="C25" s="231" t="s">
        <v>257</v>
      </c>
      <c r="D25" s="231" t="s">
        <v>258</v>
      </c>
      <c r="E25" s="231" t="s">
        <v>541</v>
      </c>
      <c r="F25" s="231" t="s">
        <v>503</v>
      </c>
    </row>
    <row r="26" spans="1:6" ht="15" x14ac:dyDescent="0.25">
      <c r="A26" s="503" t="s">
        <v>496</v>
      </c>
      <c r="B26" s="232"/>
      <c r="C26" s="130"/>
      <c r="D26" s="130"/>
      <c r="E26" s="130"/>
      <c r="F26" s="130"/>
    </row>
    <row r="27" spans="1:6" x14ac:dyDescent="0.2">
      <c r="A27" s="504">
        <v>100</v>
      </c>
      <c r="B27" s="51" t="s">
        <v>259</v>
      </c>
      <c r="C27" s="246">
        <f>'Form 4 Expenses'!H8+'Form 4 Expenses'!H15+'Form 4 Expenses'!H22+'Form 4 Expenses'!H31+'Form 4 Expenses'!H38+'Form 4 Expenses'!H45</f>
        <v>0</v>
      </c>
      <c r="D27" s="246">
        <f>'Form 4 Expenses'!H9+'Form 4 Expenses'!H16+'Form 4 Expenses'!H23+'Form 4 Expenses'!H32+'Form 4 Expenses'!H39+'Form 4 Expenses'!H46</f>
        <v>0</v>
      </c>
      <c r="E27" s="247">
        <f>'Form 4 Expenses'!H28+'Form 4 Expenses'!H51-'Form 5 Exp Summary'!C27-'Form 5 Exp Summary'!D27</f>
        <v>0</v>
      </c>
      <c r="F27" s="509">
        <f>SUM(C27:E27)</f>
        <v>0</v>
      </c>
    </row>
    <row r="28" spans="1:6" x14ac:dyDescent="0.2">
      <c r="A28" s="504">
        <v>200</v>
      </c>
      <c r="B28" s="51" t="s">
        <v>260</v>
      </c>
      <c r="C28" s="248">
        <f>'Form 4 Expenses'!H65+'Form 4 Expenses'!H72+'Form 4 Expenses'!H79+'Form 4 Expenses'!H88+'Form 4 Expenses'!H95+'Form 4 Expenses'!H102+'Form 4 Expenses'!H122+'Form 4 Expenses'!H129+'Form 4 Expenses'!H136</f>
        <v>0</v>
      </c>
      <c r="D28" s="248">
        <f>'Form 4 Expenses'!H66+'Form 4 Expenses'!H73+'Form 4 Expenses'!H80+'Form 4 Expenses'!H89+'Form 4 Expenses'!H96+'Form 4 Expenses'!H103+'Form 4 Expenses'!H123+'Form 4 Expenses'!H130+'Form 4 Expenses'!H137</f>
        <v>0</v>
      </c>
      <c r="E28" s="248">
        <f>'Form 4 Expenses'!H85+'Form 4 Expenses'!H108+'Form 4 Expenses'!H142-'Form 5 Exp Summary'!C28-'Form 5 Exp Summary'!D28</f>
        <v>0</v>
      </c>
      <c r="F28" s="509">
        <f t="shared" ref="F28:F34" si="1">SUM(C28:E28)</f>
        <v>0</v>
      </c>
    </row>
    <row r="29" spans="1:6" x14ac:dyDescent="0.2">
      <c r="A29" s="504">
        <v>300</v>
      </c>
      <c r="B29" s="51" t="s">
        <v>261</v>
      </c>
      <c r="C29" s="248">
        <f>'Form 4 Expenses'!H145+'Form 4 Expenses'!H152+'Form 4 Expenses'!H159+'Form 4 Expenses'!H180+'Form 4 Expenses'!H187+'Form 4 Expenses'!H194</f>
        <v>0</v>
      </c>
      <c r="D29" s="248">
        <f>'Form 4 Expenses'!H146+'Form 4 Expenses'!H153+'Form 4 Expenses'!H160+'Form 4 Expenses'!H181+'Form 4 Expenses'!H188+'Form 4 Expenses'!H195</f>
        <v>0</v>
      </c>
      <c r="E29" s="248">
        <f>'Form 4 Expenses'!H165+'Form 4 Expenses'!H200-'Form 5 Exp Summary'!C29-'Form 5 Exp Summary'!D29</f>
        <v>0</v>
      </c>
      <c r="F29" s="509">
        <f t="shared" si="1"/>
        <v>0</v>
      </c>
    </row>
    <row r="30" spans="1:6" x14ac:dyDescent="0.2">
      <c r="A30" s="504">
        <v>400</v>
      </c>
      <c r="B30" s="51" t="s">
        <v>262</v>
      </c>
      <c r="C30" s="248">
        <f>'Form 4 Expenses'!H203+'Form 4 Expenses'!H210+'Form 4 Expenses'!H217+'Form 4 Expenses'!H238+'Form 4 Expenses'!H245+'Form 4 Expenses'!H252+'Form 4 Expenses'!H261+'Form 4 Expenses'!H268+'Form 4 Expenses'!H275</f>
        <v>0</v>
      </c>
      <c r="D30" s="248">
        <f>'Form 4 Expenses'!H204+'Form 4 Expenses'!H211+'Form 4 Expenses'!H218+'Form 4 Expenses'!H239+'Form 4 Expenses'!H246+'Form 4 Expenses'!H253+'Form 4 Expenses'!H262+'Form 4 Expenses'!H269+'Form 4 Expenses'!H276</f>
        <v>0</v>
      </c>
      <c r="E30" s="248">
        <f>'Form 4 Expenses'!H223+'Form 4 Expenses'!H258+'Form 4 Expenses'!H281-'Form 5 Exp Summary'!C30-'Form 5 Exp Summary'!D30</f>
        <v>0</v>
      </c>
      <c r="F30" s="509">
        <f t="shared" si="1"/>
        <v>0</v>
      </c>
    </row>
    <row r="31" spans="1:6" x14ac:dyDescent="0.2">
      <c r="A31" s="504">
        <v>500</v>
      </c>
      <c r="B31" s="51" t="s">
        <v>263</v>
      </c>
      <c r="C31" s="249">
        <v>0</v>
      </c>
      <c r="D31" s="249">
        <v>0</v>
      </c>
      <c r="E31" s="249">
        <v>0</v>
      </c>
      <c r="F31" s="509">
        <f t="shared" si="1"/>
        <v>0</v>
      </c>
    </row>
    <row r="32" spans="1:6" x14ac:dyDescent="0.2">
      <c r="A32" s="504">
        <v>600</v>
      </c>
      <c r="B32" s="51" t="s">
        <v>215</v>
      </c>
      <c r="C32" s="249">
        <v>0</v>
      </c>
      <c r="D32" s="249">
        <v>0</v>
      </c>
      <c r="E32" s="249">
        <v>0</v>
      </c>
      <c r="F32" s="509">
        <f t="shared" si="1"/>
        <v>0</v>
      </c>
    </row>
    <row r="33" spans="1:6" x14ac:dyDescent="0.2">
      <c r="A33" s="504">
        <v>800</v>
      </c>
      <c r="B33" s="51" t="s">
        <v>264</v>
      </c>
      <c r="C33" s="248">
        <f>'Form 4 Expenses'!H296+'Form 4 Expenses'!H303+'Form 4 Expenses'!H310</f>
        <v>0</v>
      </c>
      <c r="D33" s="248">
        <f>'Form 4 Expenses'!H297+'Form 4 Expenses'!H304+'Form 4 Expenses'!H311</f>
        <v>0</v>
      </c>
      <c r="E33" s="248">
        <f>'Form 4 Expenses'!H316-'Form 5 Exp Summary'!C33-'Form 5 Exp Summary'!D33</f>
        <v>0</v>
      </c>
      <c r="F33" s="509">
        <f t="shared" si="1"/>
        <v>0</v>
      </c>
    </row>
    <row r="34" spans="1:6" x14ac:dyDescent="0.2">
      <c r="A34" s="504">
        <v>900</v>
      </c>
      <c r="B34" s="51" t="s">
        <v>498</v>
      </c>
      <c r="C34" s="250">
        <f>'Form 4 Expenses'!H319+'Form 4 Expenses'!H326+'Form 4 Expenses'!H333</f>
        <v>0</v>
      </c>
      <c r="D34" s="248">
        <f>'Form 4 Expenses'!H320+'Form 4 Expenses'!H327+'Form 4 Expenses'!H334</f>
        <v>0</v>
      </c>
      <c r="E34" s="248">
        <f>'Form 4 Expenses'!H339-'Form 5 Exp Summary'!C34-'Form 5 Exp Summary'!D34</f>
        <v>0</v>
      </c>
      <c r="F34" s="509">
        <f t="shared" si="1"/>
        <v>0</v>
      </c>
    </row>
    <row r="35" spans="1:6" x14ac:dyDescent="0.2">
      <c r="A35" s="504" t="s">
        <v>497</v>
      </c>
      <c r="B35" s="51"/>
      <c r="C35" s="235">
        <f>SUM(C27:C34)</f>
        <v>0</v>
      </c>
      <c r="D35" s="235">
        <f>SUM(D27:D34)</f>
        <v>0</v>
      </c>
      <c r="E35" s="235">
        <f>SUM(E27:E34)</f>
        <v>0</v>
      </c>
      <c r="F35" s="233">
        <f>SUM(F27:F34)</f>
        <v>0</v>
      </c>
    </row>
    <row r="36" spans="1:6" x14ac:dyDescent="0.2">
      <c r="A36" s="504"/>
      <c r="B36" s="238"/>
      <c r="C36" s="239"/>
      <c r="D36" s="239"/>
      <c r="E36" s="239"/>
      <c r="F36" s="505"/>
    </row>
    <row r="37" spans="1:6" x14ac:dyDescent="0.2">
      <c r="A37" s="506" t="s">
        <v>320</v>
      </c>
      <c r="B37" s="51" t="s">
        <v>265</v>
      </c>
      <c r="C37" s="240"/>
      <c r="D37" s="240"/>
      <c r="E37" s="240"/>
      <c r="F37" s="145"/>
    </row>
    <row r="38" spans="1:6" x14ac:dyDescent="0.2">
      <c r="A38" s="504">
        <v>2000</v>
      </c>
      <c r="B38" s="51" t="s">
        <v>319</v>
      </c>
      <c r="C38" s="235">
        <f>'Form 4 Expenses'!H351+'Form 4 Expenses'!H359+'Form 4 Expenses'!H367+'Form 4 Expenses'!H375+'Form 4 Expenses'!H383+'Form 4 Expenses'!H403+'Form 4 Expenses'!H411+'Form 4 Expenses'!H419</f>
        <v>0</v>
      </c>
      <c r="D38" s="235">
        <f>'Form 4 Expenses'!H352+'Form 4 Expenses'!H360+'Form 4 Expenses'!H368+'Form 4 Expenses'!H376+'Form 4 Expenses'!H384+'Form 4 Expenses'!H404+'Form 4 Expenses'!H412+'Form 4 Expenses'!H420</f>
        <v>0</v>
      </c>
      <c r="E38" s="235">
        <f>'Form 4 Expenses'!H426-'Form 5 Exp Summary'!C38-'Form 5 Exp Summary'!D38</f>
        <v>0</v>
      </c>
      <c r="F38" s="144">
        <f>SUM(C38:E38)</f>
        <v>0</v>
      </c>
    </row>
    <row r="39" spans="1:6" x14ac:dyDescent="0.2">
      <c r="A39" s="504">
        <v>3100</v>
      </c>
      <c r="B39" s="51" t="s">
        <v>269</v>
      </c>
      <c r="C39" s="235">
        <f>'Form 4 Expenses'!H428</f>
        <v>0</v>
      </c>
      <c r="D39" s="235">
        <f>'Form 4 Expenses'!H429</f>
        <v>0</v>
      </c>
      <c r="E39" s="235">
        <f>'Form 4 Expenses'!H434-'Form 5 Exp Summary'!C39-'Form 5 Exp Summary'!D39</f>
        <v>0</v>
      </c>
      <c r="F39" s="144">
        <f>SUM(C39:E39)</f>
        <v>0</v>
      </c>
    </row>
    <row r="40" spans="1:6" ht="28.5" x14ac:dyDescent="0.2">
      <c r="A40" s="507">
        <v>4000</v>
      </c>
      <c r="B40" s="120" t="s">
        <v>266</v>
      </c>
      <c r="C40" s="236"/>
      <c r="D40" s="236"/>
      <c r="E40" s="235">
        <f>'Form 4 Expenses'!H520</f>
        <v>0</v>
      </c>
      <c r="F40" s="144">
        <f>SUM(C40:E40)</f>
        <v>0</v>
      </c>
    </row>
    <row r="41" spans="1:6" x14ac:dyDescent="0.2">
      <c r="A41" s="504">
        <v>5000</v>
      </c>
      <c r="B41" s="51" t="s">
        <v>271</v>
      </c>
      <c r="C41" s="236"/>
      <c r="D41" s="236"/>
      <c r="E41" s="235">
        <f>'Form 4 Expenses'!H521</f>
        <v>0</v>
      </c>
      <c r="F41" s="144">
        <f>SUM(C41:E41)</f>
        <v>0</v>
      </c>
    </row>
    <row r="42" spans="1:6" x14ac:dyDescent="0.2">
      <c r="A42" s="504">
        <v>6300</v>
      </c>
      <c r="B42" s="51" t="s">
        <v>267</v>
      </c>
      <c r="C42" s="236"/>
      <c r="D42" s="236"/>
      <c r="E42" s="236"/>
      <c r="F42" s="235">
        <f>'Form 4 Expenses'!H524</f>
        <v>0</v>
      </c>
    </row>
    <row r="43" spans="1:6" ht="19.5" customHeight="1" x14ac:dyDescent="0.2">
      <c r="A43" s="504">
        <v>8000</v>
      </c>
      <c r="B43" s="241" t="s">
        <v>268</v>
      </c>
      <c r="C43" s="236"/>
      <c r="D43" s="236"/>
      <c r="E43" s="236"/>
      <c r="F43" s="235">
        <f>'Form 4 Expenses'!H526+'Form 4 Expenses'!H527</f>
        <v>0</v>
      </c>
    </row>
    <row r="44" spans="1:6" ht="15.75" thickBot="1" x14ac:dyDescent="0.3">
      <c r="A44" s="508" t="s">
        <v>499</v>
      </c>
      <c r="B44" s="242"/>
      <c r="C44" s="243">
        <f>SUM(C38:C43)</f>
        <v>0</v>
      </c>
      <c r="D44" s="243">
        <f>SUM(D38:D43)</f>
        <v>0</v>
      </c>
      <c r="E44" s="243">
        <f>SUM(E38:E43)</f>
        <v>0</v>
      </c>
      <c r="F44" s="243">
        <f>SUM(F38:F43)</f>
        <v>0</v>
      </c>
    </row>
    <row r="45" spans="1:6" ht="15.75" thickBot="1" x14ac:dyDescent="0.3">
      <c r="A45" s="510" t="s">
        <v>542</v>
      </c>
      <c r="B45" s="511"/>
      <c r="C45" s="512">
        <f>C35+C44</f>
        <v>0</v>
      </c>
      <c r="D45" s="512">
        <f>D35+D44</f>
        <v>0</v>
      </c>
      <c r="E45" s="512">
        <f>E35+E44</f>
        <v>0</v>
      </c>
      <c r="F45" s="512">
        <f>F35+F44</f>
        <v>0</v>
      </c>
    </row>
    <row r="46" spans="1:6" ht="12.75" customHeight="1" thickTop="1" x14ac:dyDescent="0.25">
      <c r="A46" s="516"/>
      <c r="B46" s="59"/>
      <c r="C46" s="177"/>
      <c r="D46" s="177"/>
      <c r="E46" s="177"/>
      <c r="F46" s="177"/>
    </row>
    <row r="47" spans="1:6" x14ac:dyDescent="0.2">
      <c r="A47" s="103"/>
      <c r="B47" s="137" t="str">
        <f>'Form 1 Cover'!A20</f>
        <v>Charter School - fill in the name of your school</v>
      </c>
      <c r="C47" s="38"/>
      <c r="D47" s="59"/>
      <c r="E47" s="3" t="str">
        <f>"Budget Fiscal Year "&amp;TEXT('Form 1 Cover'!$C$137, "mm/dd/yy")</f>
        <v>Budget Fiscal Year 2014-2015</v>
      </c>
      <c r="F47" s="38"/>
    </row>
    <row r="48" spans="1:6" x14ac:dyDescent="0.2">
      <c r="A48" s="103"/>
      <c r="B48" s="103"/>
      <c r="C48" s="122"/>
      <c r="D48" s="38"/>
      <c r="E48" s="38"/>
      <c r="F48" s="38"/>
    </row>
    <row r="49" spans="1:6" x14ac:dyDescent="0.2">
      <c r="A49" s="103"/>
      <c r="B49" s="122" t="s">
        <v>544</v>
      </c>
      <c r="C49" s="38" t="s">
        <v>545</v>
      </c>
      <c r="D49" s="38"/>
      <c r="E49" s="38"/>
      <c r="F49" s="2">
        <f>'Form 1 Cover'!$C$146</f>
        <v>41703</v>
      </c>
    </row>
    <row r="50" spans="1:6" x14ac:dyDescent="0.2">
      <c r="A50" s="103"/>
      <c r="B50" s="122"/>
      <c r="C50" s="38"/>
      <c r="D50" s="38"/>
      <c r="E50" s="38"/>
      <c r="F50" s="2"/>
    </row>
    <row r="51" spans="1:6" ht="15" x14ac:dyDescent="0.25">
      <c r="A51" s="601" t="str">
        <f>"FINAL AMENDED BUDGET "&amp;TEXT('Form 1 Cover'!F130, "MM/DD/YY")</f>
        <v>FINAL AMENDED BUDGET - Estimated</v>
      </c>
      <c r="B51" s="605"/>
      <c r="C51" s="441" t="s">
        <v>326</v>
      </c>
      <c r="D51" s="118" t="s">
        <v>327</v>
      </c>
      <c r="E51" s="118" t="s">
        <v>328</v>
      </c>
      <c r="F51" s="118"/>
    </row>
    <row r="52" spans="1:6" ht="57" x14ac:dyDescent="0.2">
      <c r="A52" s="597" t="s">
        <v>256</v>
      </c>
      <c r="B52" s="598"/>
      <c r="C52" s="553" t="s">
        <v>257</v>
      </c>
      <c r="D52" s="553" t="s">
        <v>258</v>
      </c>
      <c r="E52" s="553" t="s">
        <v>541</v>
      </c>
      <c r="F52" s="553" t="s">
        <v>503</v>
      </c>
    </row>
    <row r="53" spans="1:6" ht="15" x14ac:dyDescent="0.25">
      <c r="A53" s="552" t="s">
        <v>496</v>
      </c>
      <c r="B53" s="51"/>
      <c r="C53" s="130"/>
      <c r="D53" s="130"/>
      <c r="E53" s="130"/>
      <c r="F53" s="130"/>
    </row>
    <row r="54" spans="1:6" x14ac:dyDescent="0.2">
      <c r="A54" s="504">
        <v>100</v>
      </c>
      <c r="B54" s="51" t="s">
        <v>259</v>
      </c>
      <c r="C54" s="246">
        <f>'Form 4 Expenses'!I8+'Form 4 Expenses'!I15+'Form 4 Expenses'!I22+'Form 4 Expenses'!I31+'Form 4 Expenses'!I38+'Form 4 Expenses'!I45</f>
        <v>0</v>
      </c>
      <c r="D54" s="246">
        <f>'Form 4 Expenses'!I9+'Form 4 Expenses'!I16+'Form 4 Expenses'!I23+'Form 4 Expenses'!I32+'Form 4 Expenses'!I39+'Form 4 Expenses'!I46</f>
        <v>0</v>
      </c>
      <c r="E54" s="247">
        <f>'Form 4 Expenses'!I10+'Form 4 Expenses'!I11+'Form 4 Expenses'!I12+'Form 4 Expenses'!I13+'Form 4 Expenses'!I17+'Form 4 Expenses'!I18+'Form 4 Expenses'!I19+'Form 4 Expenses'!I20+'Form 4 Expenses'!I24+'Form 4 Expenses'!I25+'Form 4 Expenses'!I26+'Form 4 Expenses'!I27+'Form 4 Expenses'!I33+'Form 4 Expenses'!I34+'Form 4 Expenses'!I35+'Form 4 Expenses'!I36+'Form 4 Expenses'!I40+'Form 4 Expenses'!I41+'Form 4 Expenses'!I42+'Form 4 Expenses'!I43+'Form 4 Expenses'!I47+'Form 4 Expenses'!I48+'Form 4 Expenses'!I49+'Form 4 Expenses'!I50</f>
        <v>0</v>
      </c>
      <c r="F54" s="509">
        <f>SUM(C54:E54)</f>
        <v>0</v>
      </c>
    </row>
    <row r="55" spans="1:6" x14ac:dyDescent="0.2">
      <c r="A55" s="504">
        <v>200</v>
      </c>
      <c r="B55" s="51" t="s">
        <v>260</v>
      </c>
      <c r="C55" s="248">
        <f>'Form 4 Expenses'!I65+'Form 4 Expenses'!I72+'Form 4 Expenses'!I79+'Form 4 Expenses'!I88+'Form 4 Expenses'!I95+'Form 4 Expenses'!I102+'Form 4 Expenses'!I122+'Form 4 Expenses'!I129+'Form 4 Expenses'!I136</f>
        <v>0</v>
      </c>
      <c r="D55" s="248">
        <f>'Form 4 Expenses'!I66+'Form 4 Expenses'!I73+'Form 4 Expenses'!I80+'Form 4 Expenses'!I89+'Form 4 Expenses'!I96+'Form 4 Expenses'!I103+'Form 4 Expenses'!I123+'Form 4 Expenses'!I130+'Form 4 Expenses'!I137</f>
        <v>0</v>
      </c>
      <c r="E55" s="248">
        <f>'Form 4 Expenses'!I67+'Form 4 Expenses'!I68+'Form 4 Expenses'!I69+'Form 4 Expenses'!I70+'Form 4 Expenses'!I74+'Form 4 Expenses'!I75+'Form 4 Expenses'!I76+'Form 4 Expenses'!I77+'Form 4 Expenses'!I81+'Form 4 Expenses'!I82+'Form 4 Expenses'!I83+'Form 4 Expenses'!I84+'Form 4 Expenses'!I90+'Form 4 Expenses'!I91+'Form 4 Expenses'!I92+'Form 4 Expenses'!I93+'Form 4 Expenses'!I97+'Form 4 Expenses'!I98+'Form 4 Expenses'!I99+'Form 4 Expenses'!I100+'Form 4 Expenses'!I104+'Form 4 Expenses'!I105+'Form 4 Expenses'!I106+'Form 4 Expenses'!I107+'Form 4 Expenses'!I124+'Form 4 Expenses'!I125+'Form 4 Expenses'!I126+'Form 4 Expenses'!I127+'Form 4 Expenses'!I131+'Form 4 Expenses'!I132+'Form 4 Expenses'!I133+'Form 4 Expenses'!I134+'Form 4 Expenses'!I138+'Form 4 Expenses'!I139+'Form 4 Expenses'!I140+'Form 4 Expenses'!I141</f>
        <v>0</v>
      </c>
      <c r="F55" s="509">
        <f t="shared" ref="F55:F61" si="2">SUM(C55:E55)</f>
        <v>0</v>
      </c>
    </row>
    <row r="56" spans="1:6" x14ac:dyDescent="0.2">
      <c r="A56" s="504">
        <v>300</v>
      </c>
      <c r="B56" s="51" t="s">
        <v>261</v>
      </c>
      <c r="C56" s="248">
        <f>'Form 4 Expenses'!I145+'Form 4 Expenses'!I152+'Form 4 Expenses'!I159+'Form 4 Expenses'!I180+'Form 4 Expenses'!I187+'Form 4 Expenses'!I194</f>
        <v>0</v>
      </c>
      <c r="D56" s="248">
        <f>'Form 4 Expenses'!I146+'Form 4 Expenses'!I153+'Form 4 Expenses'!I160+'Form 4 Expenses'!I181+'Form 4 Expenses'!I188+'Form 4 Expenses'!I195</f>
        <v>0</v>
      </c>
      <c r="E56" s="248">
        <f>'Form 4 Expenses'!I147+'Form 4 Expenses'!I148+'Form 4 Expenses'!I149+'Form 4 Expenses'!I150+'Form 4 Expenses'!I154+'Form 4 Expenses'!I155+'Form 4 Expenses'!I156+'Form 4 Expenses'!I157+'Form 4 Expenses'!I161+'Form 4 Expenses'!I162+'Form 4 Expenses'!I163+'Form 4 Expenses'!I164+'Form 4 Expenses'!I182+'Form 4 Expenses'!I183+'Form 4 Expenses'!I184+'Form 4 Expenses'!I185+'Form 4 Expenses'!I189+'Form 4 Expenses'!I190+'Form 4 Expenses'!I191+'Form 4 Expenses'!I192+'Form 4 Expenses'!I196+'Form 4 Expenses'!I197+'Form 4 Expenses'!I198+'Form 4 Expenses'!I199</f>
        <v>0</v>
      </c>
      <c r="F56" s="509">
        <f t="shared" si="2"/>
        <v>0</v>
      </c>
    </row>
    <row r="57" spans="1:6" x14ac:dyDescent="0.2">
      <c r="A57" s="504">
        <v>400</v>
      </c>
      <c r="B57" s="51" t="s">
        <v>262</v>
      </c>
      <c r="C57" s="248">
        <f>'Form 4 Expenses'!I203+'Form 4 Expenses'!I210+'Form 4 Expenses'!I217+'Form 4 Expenses'!I238+'Form 4 Expenses'!I245+'Form 4 Expenses'!I252+'Form 4 Expenses'!I261+'Form 4 Expenses'!I268+'Form 4 Expenses'!I275</f>
        <v>0</v>
      </c>
      <c r="D57" s="248">
        <f>'Form 4 Expenses'!I204+'Form 4 Expenses'!I211+'Form 4 Expenses'!I218+'Form 4 Expenses'!I239+'Form 4 Expenses'!I246+'Form 4 Expenses'!I253+'Form 4 Expenses'!I262+'Form 4 Expenses'!I269+'Form 4 Expenses'!I276</f>
        <v>0</v>
      </c>
      <c r="E57" s="248">
        <f>'Form 4 Expenses'!I205+'Form 4 Expenses'!I206+'Form 4 Expenses'!I207+'Form 4 Expenses'!I208+'Form 4 Expenses'!I212+'Form 4 Expenses'!I213+'Form 4 Expenses'!I214+'Form 4 Expenses'!I215+'Form 4 Expenses'!I219+'Form 4 Expenses'!I220+'Form 4 Expenses'!I221+'Form 4 Expenses'!I222+'Form 4 Expenses'!I240+'Form 4 Expenses'!I241+'Form 4 Expenses'!I242+'Form 4 Expenses'!I243+'Form 4 Expenses'!I247+'Form 4 Expenses'!I248+'Form 4 Expenses'!I249+'Form 4 Expenses'!I250+'Form 4 Expenses'!I254+'Form 4 Expenses'!I255+'Form 4 Expenses'!I256+'Form 4 Expenses'!I257+'Form 4 Expenses'!I263+'Form 4 Expenses'!I264+'Form 4 Expenses'!I265+'Form 4 Expenses'!I266+'Form 4 Expenses'!I270+'Form 4 Expenses'!I271+'Form 4 Expenses'!I272+'Form 4 Expenses'!I273+'Form 4 Expenses'!I277+'Form 4 Expenses'!I278+'Form 4 Expenses'!I279+'Form 4 Expenses'!I280</f>
        <v>0</v>
      </c>
      <c r="F57" s="509">
        <f t="shared" si="2"/>
        <v>0</v>
      </c>
    </row>
    <row r="58" spans="1:6" x14ac:dyDescent="0.2">
      <c r="A58" s="504">
        <v>500</v>
      </c>
      <c r="B58" s="51" t="s">
        <v>263</v>
      </c>
      <c r="C58" s="249">
        <v>0</v>
      </c>
      <c r="D58" s="249">
        <v>0</v>
      </c>
      <c r="E58" s="249">
        <v>0</v>
      </c>
      <c r="F58" s="509">
        <f t="shared" si="2"/>
        <v>0</v>
      </c>
    </row>
    <row r="59" spans="1:6" x14ac:dyDescent="0.2">
      <c r="A59" s="504">
        <v>600</v>
      </c>
      <c r="B59" s="51" t="s">
        <v>215</v>
      </c>
      <c r="C59" s="249">
        <v>0</v>
      </c>
      <c r="D59" s="249">
        <v>0</v>
      </c>
      <c r="E59" s="249">
        <v>0</v>
      </c>
      <c r="F59" s="509">
        <f t="shared" si="2"/>
        <v>0</v>
      </c>
    </row>
    <row r="60" spans="1:6" x14ac:dyDescent="0.2">
      <c r="A60" s="504">
        <v>800</v>
      </c>
      <c r="B60" s="51" t="s">
        <v>264</v>
      </c>
      <c r="C60" s="248">
        <f>'Form 4 Expenses'!I296+'Form 4 Expenses'!I303+'Form 4 Expenses'!I310</f>
        <v>0</v>
      </c>
      <c r="D60" s="248">
        <f>'Form 4 Expenses'!I297+'Form 4 Expenses'!I304+'Form 4 Expenses'!I311</f>
        <v>0</v>
      </c>
      <c r="E60" s="248">
        <f>'Form 4 Expenses'!I298+'Form 4 Expenses'!I299+'Form 4 Expenses'!I300+'Form 4 Expenses'!I301+'Form 4 Expenses'!I305+'Form 4 Expenses'!I306+'Form 4 Expenses'!I307+'Form 4 Expenses'!I308+'Form 4 Expenses'!I312+'Form 4 Expenses'!I313+'Form 4 Expenses'!I314+'Form 4 Expenses'!I315</f>
        <v>0</v>
      </c>
      <c r="F60" s="509">
        <f t="shared" si="2"/>
        <v>0</v>
      </c>
    </row>
    <row r="61" spans="1:6" x14ac:dyDescent="0.2">
      <c r="A61" s="504">
        <v>900</v>
      </c>
      <c r="B61" s="51" t="s">
        <v>498</v>
      </c>
      <c r="C61" s="554">
        <f>'Form 4 Expenses'!I319+'Form 4 Expenses'!I326+'Form 4 Expenses'!I333</f>
        <v>0</v>
      </c>
      <c r="D61" s="248">
        <f>'Form 4 Expenses'!I320+'Form 4 Expenses'!I327+'Form 4 Expenses'!I334</f>
        <v>0</v>
      </c>
      <c r="E61" s="248">
        <f>'Form 4 Expenses'!I321+'Form 4 Expenses'!I322+'Form 4 Expenses'!I323+'Form 4 Expenses'!I324+'Form 4 Expenses'!I328+'Form 4 Expenses'!I329+'Form 4 Expenses'!I330+'Form 4 Expenses'!I331+'Form 4 Expenses'!I335+'Form 4 Expenses'!I336+'Form 4 Expenses'!I337+'Form 4 Expenses'!I338</f>
        <v>0</v>
      </c>
      <c r="F61" s="509">
        <f t="shared" si="2"/>
        <v>0</v>
      </c>
    </row>
    <row r="62" spans="1:6" x14ac:dyDescent="0.2">
      <c r="A62" s="504" t="s">
        <v>497</v>
      </c>
      <c r="B62" s="51"/>
      <c r="C62" s="235">
        <f>SUM(C54:C61)</f>
        <v>0</v>
      </c>
      <c r="D62" s="235">
        <f>SUM(D54:D61)</f>
        <v>0</v>
      </c>
      <c r="E62" s="235">
        <f>SUM(E54:E61)</f>
        <v>0</v>
      </c>
      <c r="F62" s="233">
        <f>SUM(F54:F61)</f>
        <v>0</v>
      </c>
    </row>
    <row r="63" spans="1:6" x14ac:dyDescent="0.2">
      <c r="A63" s="504"/>
      <c r="B63" s="238"/>
      <c r="C63" s="239"/>
      <c r="D63" s="239"/>
      <c r="E63" s="239"/>
      <c r="F63" s="505"/>
    </row>
    <row r="64" spans="1:6" x14ac:dyDescent="0.2">
      <c r="A64" s="506" t="s">
        <v>320</v>
      </c>
      <c r="B64" s="51" t="s">
        <v>265</v>
      </c>
      <c r="C64" s="240"/>
      <c r="D64" s="240"/>
      <c r="E64" s="240"/>
      <c r="F64" s="145"/>
    </row>
    <row r="65" spans="1:6" x14ac:dyDescent="0.2">
      <c r="A65" s="504">
        <v>2000</v>
      </c>
      <c r="B65" s="51" t="s">
        <v>319</v>
      </c>
      <c r="C65" s="235">
        <f>'Form 4 Expenses'!I351+'Form 4 Expenses'!I359+'Form 4 Expenses'!I367+'Form 4 Expenses'!I375+'Form 4 Expenses'!I383+'Form 4 Expenses'!I403+'Form 4 Expenses'!I411+'Form 4 Expenses'!I419</f>
        <v>0</v>
      </c>
      <c r="D65" s="235">
        <f>'Form 4 Expenses'!I352+'Form 4 Expenses'!I360+'Form 4 Expenses'!I368+'Form 4 Expenses'!I376+'Form 4 Expenses'!I384+'Form 4 Expenses'!I404+'Form 4 Expenses'!I412+'Form 4 Expenses'!I420</f>
        <v>0</v>
      </c>
      <c r="E65" s="235">
        <f>'Form 4 Expenses'!I353+'Form 4 Expenses'!I354+'Form 4 Expenses'!I355+'Form 4 Expenses'!I356+'Form 4 Expenses'!I361+'Form 4 Expenses'!I362+'Form 4 Expenses'!I363+'Form 4 Expenses'!I364+'Form 4 Expenses'!I369+'Form 4 Expenses'!I370+'Form 4 Expenses'!I371+'Form 4 Expenses'!I372+'Form 4 Expenses'!I377+'Form 4 Expenses'!I378+'Form 4 Expenses'!I379+'Form 4 Expenses'!I380+'Form 4 Expenses'!I385+'Form 4 Expenses'!I386+'Form 4 Expenses'!I387+'Form 4 Expenses'!I388+'Form 4 Expenses'!I405+'Form 4 Expenses'!I406+'Form 4 Expenses'!I407+'Form 4 Expenses'!I408+'Form 4 Expenses'!I413+'Form 4 Expenses'!I414+'Form 4 Expenses'!I415+'Form 4 Expenses'!I416+'Form 4 Expenses'!I421+'Form 4 Expenses'!I422+'Form 4 Expenses'!I423+'Form 4 Expenses'!I424</f>
        <v>0</v>
      </c>
      <c r="F65" s="234">
        <f>SUM(C65:E65)</f>
        <v>0</v>
      </c>
    </row>
    <row r="66" spans="1:6" x14ac:dyDescent="0.2">
      <c r="A66" s="504">
        <v>3100</v>
      </c>
      <c r="B66" s="51" t="s">
        <v>269</v>
      </c>
      <c r="C66" s="235">
        <f>'Form 4 Expenses'!I428</f>
        <v>0</v>
      </c>
      <c r="D66" s="235">
        <f>'Form 4 Expenses'!I429</f>
        <v>0</v>
      </c>
      <c r="E66" s="235">
        <f>'Form 4 Expenses'!I430+'Form 4 Expenses'!I431+'Form 4 Expenses'!I432+'Form 4 Expenses'!I433</f>
        <v>0</v>
      </c>
      <c r="F66" s="234">
        <f>SUM(C66:E66)</f>
        <v>0</v>
      </c>
    </row>
    <row r="67" spans="1:6" ht="28.5" x14ac:dyDescent="0.2">
      <c r="A67" s="507">
        <v>4000</v>
      </c>
      <c r="B67" s="120" t="s">
        <v>266</v>
      </c>
      <c r="C67" s="236"/>
      <c r="D67" s="236"/>
      <c r="E67" s="235">
        <f>'Form 4 Expenses'!I520</f>
        <v>0</v>
      </c>
      <c r="F67" s="234">
        <f>SUM(C67:E67)</f>
        <v>0</v>
      </c>
    </row>
    <row r="68" spans="1:6" x14ac:dyDescent="0.2">
      <c r="A68" s="504">
        <v>5000</v>
      </c>
      <c r="B68" s="51" t="s">
        <v>271</v>
      </c>
      <c r="C68" s="236"/>
      <c r="D68" s="236"/>
      <c r="E68" s="235">
        <f>'Form 4 Expenses'!I521</f>
        <v>0</v>
      </c>
      <c r="F68" s="234">
        <f>SUM(C68:E68)</f>
        <v>0</v>
      </c>
    </row>
    <row r="69" spans="1:6" x14ac:dyDescent="0.2">
      <c r="A69" s="504">
        <v>6300</v>
      </c>
      <c r="B69" s="51" t="s">
        <v>267</v>
      </c>
      <c r="C69" s="236"/>
      <c r="D69" s="236"/>
      <c r="E69" s="236"/>
      <c r="F69" s="235">
        <f>'Form 4 Expenses'!I524</f>
        <v>0</v>
      </c>
    </row>
    <row r="70" spans="1:6" x14ac:dyDescent="0.2">
      <c r="A70" s="504">
        <v>8000</v>
      </c>
      <c r="B70" s="241" t="s">
        <v>268</v>
      </c>
      <c r="C70" s="236"/>
      <c r="D70" s="236"/>
      <c r="E70" s="236"/>
      <c r="F70" s="235">
        <f>'Form 4 Expenses'!I526+'Form 4 Expenses'!I527</f>
        <v>0</v>
      </c>
    </row>
    <row r="71" spans="1:6" ht="15.75" thickBot="1" x14ac:dyDescent="0.3">
      <c r="A71" s="508" t="s">
        <v>499</v>
      </c>
      <c r="B71" s="242"/>
      <c r="C71" s="243">
        <f>SUM(C65:C70)</f>
        <v>0</v>
      </c>
      <c r="D71" s="243">
        <f>SUM(D65:D70)</f>
        <v>0</v>
      </c>
      <c r="E71" s="243">
        <f>SUM(E65:E70)</f>
        <v>0</v>
      </c>
      <c r="F71" s="243">
        <f>SUM(F65:F70)</f>
        <v>0</v>
      </c>
    </row>
    <row r="72" spans="1:6" ht="15.75" thickBot="1" x14ac:dyDescent="0.3">
      <c r="A72" s="510" t="s">
        <v>750</v>
      </c>
      <c r="B72" s="511"/>
      <c r="C72" s="512">
        <f>C62+C71</f>
        <v>0</v>
      </c>
      <c r="D72" s="512">
        <f>D62+D71</f>
        <v>0</v>
      </c>
      <c r="E72" s="512">
        <f>E62+E71</f>
        <v>0</v>
      </c>
      <c r="F72" s="512">
        <f>F62+F71</f>
        <v>0</v>
      </c>
    </row>
    <row r="73" spans="1:6" ht="15.75" thickTop="1" x14ac:dyDescent="0.25">
      <c r="A73" s="516"/>
      <c r="B73" s="59"/>
      <c r="C73" s="177"/>
      <c r="D73" s="177"/>
      <c r="E73" s="177"/>
      <c r="F73" s="177"/>
    </row>
    <row r="74" spans="1:6" x14ac:dyDescent="0.2">
      <c r="A74" s="103"/>
      <c r="B74" s="137" t="str">
        <f>'Form 1 Cover'!A20</f>
        <v>Charter School - fill in the name of your school</v>
      </c>
      <c r="C74" s="38"/>
      <c r="D74" s="59"/>
      <c r="E74" s="3" t="str">
        <f>"Budget Fiscal Year "&amp;TEXT('Form 1 Cover'!$C$137, "mm/dd/yy")</f>
        <v>Budget Fiscal Year 2014-2015</v>
      </c>
      <c r="F74" s="38"/>
    </row>
    <row r="75" spans="1:6" x14ac:dyDescent="0.2">
      <c r="A75" s="103"/>
      <c r="B75" s="103"/>
      <c r="C75" s="122"/>
      <c r="D75" s="38"/>
      <c r="E75" s="38"/>
      <c r="F75" s="38"/>
    </row>
    <row r="76" spans="1:6" x14ac:dyDescent="0.2">
      <c r="A76" s="103"/>
      <c r="B76" s="122" t="s">
        <v>544</v>
      </c>
      <c r="C76" s="38" t="s">
        <v>482</v>
      </c>
      <c r="D76" s="38"/>
      <c r="E76" s="38"/>
      <c r="F76" s="2">
        <f>'Form 1 Cover'!$C$146</f>
        <v>41703</v>
      </c>
    </row>
  </sheetData>
  <sheetProtection sheet="1" objects="1" scenarios="1"/>
  <mergeCells count="6">
    <mergeCell ref="A52:B52"/>
    <mergeCell ref="A2:B2"/>
    <mergeCell ref="A25:B25"/>
    <mergeCell ref="A1:B1"/>
    <mergeCell ref="A24:B24"/>
    <mergeCell ref="A51:B51"/>
  </mergeCells>
  <phoneticPr fontId="0" type="noConversion"/>
  <pageMargins left="0.75" right="0.25" top="0.5" bottom="0.25" header="0.5" footer="0"/>
  <pageSetup scale="9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"/>
  <sheetViews>
    <sheetView zoomScale="85" workbookViewId="0">
      <selection activeCell="D10" sqref="D10"/>
    </sheetView>
  </sheetViews>
  <sheetFormatPr defaultRowHeight="14.25" x14ac:dyDescent="0.2"/>
  <cols>
    <col min="1" max="1" width="1.42578125" style="122" customWidth="1"/>
    <col min="2" max="2" width="6.42578125" style="122" customWidth="1"/>
    <col min="3" max="3" width="37" style="38" customWidth="1"/>
    <col min="4" max="5" width="15.7109375" style="38" customWidth="1"/>
    <col min="6" max="6" width="15.140625" style="38" customWidth="1"/>
    <col min="7" max="7" width="17.7109375" style="38" customWidth="1"/>
    <col min="8" max="10" width="9.140625" style="38"/>
    <col min="11" max="11" width="5.42578125" style="38" customWidth="1"/>
    <col min="12" max="16384" width="9.140625" style="38"/>
  </cols>
  <sheetData>
    <row r="1" spans="1:7" ht="15" x14ac:dyDescent="0.25">
      <c r="A1" s="103" t="s">
        <v>550</v>
      </c>
      <c r="B1" s="103"/>
      <c r="D1" s="432" t="s">
        <v>8</v>
      </c>
    </row>
    <row r="2" spans="1:7" x14ac:dyDescent="0.2">
      <c r="A2" s="103"/>
      <c r="B2" s="103" t="s">
        <v>270</v>
      </c>
    </row>
    <row r="3" spans="1:7" x14ac:dyDescent="0.2">
      <c r="A3" s="47" t="str">
        <f>'Form 1 Cover'!A20</f>
        <v>Charter School - fill in the name of your school</v>
      </c>
    </row>
    <row r="4" spans="1:7" x14ac:dyDescent="0.2">
      <c r="A4" s="517"/>
      <c r="B4" s="518"/>
      <c r="C4" s="99"/>
      <c r="D4" s="100">
        <v>-1</v>
      </c>
      <c r="E4" s="101">
        <v>-2</v>
      </c>
      <c r="F4" s="102">
        <v>-3</v>
      </c>
      <c r="G4" s="101">
        <v>-4</v>
      </c>
    </row>
    <row r="5" spans="1:7" x14ac:dyDescent="0.2">
      <c r="A5" s="519"/>
      <c r="B5" s="59" t="s">
        <v>591</v>
      </c>
      <c r="C5" s="433"/>
      <c r="D5" s="47"/>
      <c r="E5" s="48" t="s">
        <v>44</v>
      </c>
      <c r="F5" s="608" t="str">
        <f>"BUDGET YEAR ENDING "&amp;TEXT('Form 1 Cover'!C139, "MM/DD/YY")</f>
        <v>BUDGET YEAR ENDING 06/30/15</v>
      </c>
      <c r="G5" s="609"/>
    </row>
    <row r="6" spans="1:7" s="108" customFormat="1" ht="15.75" customHeight="1" x14ac:dyDescent="0.2">
      <c r="A6" s="520"/>
      <c r="B6" s="104"/>
      <c r="C6" s="105"/>
      <c r="D6" s="106" t="s">
        <v>303</v>
      </c>
      <c r="E6" s="106" t="s">
        <v>305</v>
      </c>
      <c r="F6" s="107"/>
      <c r="G6" s="139"/>
    </row>
    <row r="7" spans="1:7" s="108" customFormat="1" ht="15.75" customHeight="1" x14ac:dyDescent="0.2">
      <c r="A7" s="482"/>
      <c r="B7" s="104"/>
      <c r="C7" s="105" t="s">
        <v>213</v>
      </c>
      <c r="D7" s="106" t="s">
        <v>304</v>
      </c>
      <c r="E7" s="106" t="s">
        <v>304</v>
      </c>
      <c r="F7" s="109" t="s">
        <v>306</v>
      </c>
      <c r="G7" s="106" t="s">
        <v>128</v>
      </c>
    </row>
    <row r="8" spans="1:7" s="108" customFormat="1" ht="15" customHeight="1" x14ac:dyDescent="0.2">
      <c r="A8" s="483"/>
      <c r="B8" s="93"/>
      <c r="C8" s="94"/>
      <c r="D8" s="111">
        <f>'Form 1 Cover'!C130</f>
        <v>41455</v>
      </c>
      <c r="E8" s="111">
        <f>'Form 1 Cover'!C134</f>
        <v>41820</v>
      </c>
      <c r="F8" s="112" t="s">
        <v>307</v>
      </c>
      <c r="G8" s="188" t="s">
        <v>307</v>
      </c>
    </row>
    <row r="9" spans="1:7" ht="21" customHeight="1" x14ac:dyDescent="0.25">
      <c r="A9" s="455" t="s">
        <v>194</v>
      </c>
      <c r="B9" s="113"/>
      <c r="C9" s="114" t="s">
        <v>219</v>
      </c>
      <c r="D9" s="456"/>
      <c r="E9" s="456"/>
      <c r="F9" s="521"/>
      <c r="G9" s="456"/>
    </row>
    <row r="10" spans="1:7" x14ac:dyDescent="0.2">
      <c r="A10" s="457" t="s">
        <v>227</v>
      </c>
      <c r="B10" s="117"/>
      <c r="C10" s="51" t="s">
        <v>228</v>
      </c>
      <c r="D10" s="157"/>
      <c r="E10" s="158"/>
      <c r="F10" s="157"/>
      <c r="G10" s="158"/>
    </row>
    <row r="11" spans="1:7" x14ac:dyDescent="0.2">
      <c r="A11" s="457" t="s">
        <v>232</v>
      </c>
      <c r="B11" s="117"/>
      <c r="C11" s="51" t="s">
        <v>233</v>
      </c>
      <c r="D11" s="159"/>
      <c r="E11" s="159"/>
      <c r="F11" s="440"/>
      <c r="G11" s="159"/>
    </row>
    <row r="12" spans="1:7" x14ac:dyDescent="0.2">
      <c r="A12" s="457" t="s">
        <v>107</v>
      </c>
      <c r="B12" s="117"/>
      <c r="C12" s="51" t="s">
        <v>344</v>
      </c>
      <c r="D12" s="159"/>
      <c r="E12" s="159"/>
      <c r="F12" s="440"/>
      <c r="G12" s="159"/>
    </row>
    <row r="13" spans="1:7" x14ac:dyDescent="0.2">
      <c r="A13" s="457" t="s">
        <v>97</v>
      </c>
      <c r="B13" s="117"/>
      <c r="C13" s="51" t="s">
        <v>345</v>
      </c>
      <c r="D13" s="159"/>
      <c r="E13" s="159"/>
      <c r="F13" s="440"/>
      <c r="G13" s="159"/>
    </row>
    <row r="14" spans="1:7" x14ac:dyDescent="0.2">
      <c r="A14" s="132" t="s">
        <v>239</v>
      </c>
      <c r="B14" s="117"/>
      <c r="C14" s="51" t="s">
        <v>351</v>
      </c>
      <c r="D14" s="159"/>
      <c r="E14" s="159"/>
      <c r="F14" s="440"/>
      <c r="G14" s="159"/>
    </row>
    <row r="15" spans="1:7" x14ac:dyDescent="0.2">
      <c r="A15" s="132" t="s">
        <v>240</v>
      </c>
      <c r="B15" s="117"/>
      <c r="C15" s="51" t="s">
        <v>241</v>
      </c>
      <c r="D15" s="159"/>
      <c r="E15" s="159"/>
      <c r="F15" s="440"/>
      <c r="G15" s="159"/>
    </row>
    <row r="16" spans="1:7" x14ac:dyDescent="0.2">
      <c r="A16" s="132" t="s">
        <v>242</v>
      </c>
      <c r="B16" s="117"/>
      <c r="C16" s="51" t="s">
        <v>243</v>
      </c>
      <c r="D16" s="159"/>
      <c r="E16" s="159"/>
      <c r="F16" s="440"/>
      <c r="G16" s="159"/>
    </row>
    <row r="17" spans="1:7" ht="15.75" thickBot="1" x14ac:dyDescent="0.3">
      <c r="A17" s="458" t="s">
        <v>249</v>
      </c>
      <c r="B17" s="124"/>
      <c r="C17" s="125"/>
      <c r="D17" s="126">
        <f>SUM(D10:D16)</f>
        <v>0</v>
      </c>
      <c r="E17" s="126">
        <f>SUM(E10:E16)</f>
        <v>0</v>
      </c>
      <c r="F17" s="522">
        <f>SUM(F10:F16)</f>
        <v>0</v>
      </c>
      <c r="G17" s="126">
        <f>SUM(G10:G16)</f>
        <v>0</v>
      </c>
    </row>
    <row r="18" spans="1:7" ht="21.75" customHeight="1" thickTop="1" x14ac:dyDescent="0.25">
      <c r="A18" s="459" t="s">
        <v>250</v>
      </c>
      <c r="B18" s="128"/>
      <c r="C18" s="129" t="s">
        <v>251</v>
      </c>
      <c r="D18" s="130"/>
      <c r="E18" s="130"/>
      <c r="F18" s="523"/>
      <c r="G18" s="130"/>
    </row>
    <row r="19" spans="1:7" x14ac:dyDescent="0.2">
      <c r="A19" s="131" t="s">
        <v>196</v>
      </c>
      <c r="B19" s="132"/>
      <c r="C19" s="133" t="s">
        <v>365</v>
      </c>
      <c r="D19" s="157"/>
      <c r="E19" s="158"/>
      <c r="F19" s="157"/>
      <c r="G19" s="158"/>
    </row>
    <row r="20" spans="1:7" x14ac:dyDescent="0.2">
      <c r="A20" s="131" t="s">
        <v>252</v>
      </c>
      <c r="B20" s="132"/>
      <c r="C20" s="134" t="s">
        <v>366</v>
      </c>
      <c r="D20" s="159"/>
      <c r="E20" s="159"/>
      <c r="F20" s="440"/>
      <c r="G20" s="159"/>
    </row>
    <row r="21" spans="1:7" ht="20.25" customHeight="1" thickBot="1" x14ac:dyDescent="0.3">
      <c r="A21" s="458" t="s">
        <v>255</v>
      </c>
      <c r="B21" s="136"/>
      <c r="C21" s="125"/>
      <c r="D21" s="126">
        <f>SUM(D19:D20)</f>
        <v>0</v>
      </c>
      <c r="E21" s="126">
        <f>SUM(E19:E20)</f>
        <v>0</v>
      </c>
      <c r="F21" s="522">
        <f>SUM(F19:F20)</f>
        <v>0</v>
      </c>
      <c r="G21" s="126">
        <f>SUM(G19:G20)</f>
        <v>0</v>
      </c>
    </row>
    <row r="22" spans="1:7" ht="15.75" thickTop="1" x14ac:dyDescent="0.25">
      <c r="A22" s="460" t="s">
        <v>108</v>
      </c>
      <c r="B22" s="140"/>
      <c r="C22" s="141" t="s">
        <v>214</v>
      </c>
      <c r="D22" s="47"/>
      <c r="E22" s="47"/>
      <c r="F22" s="170"/>
      <c r="G22" s="47"/>
    </row>
    <row r="23" spans="1:7" ht="28.5" x14ac:dyDescent="0.2">
      <c r="A23" s="461" t="s">
        <v>182</v>
      </c>
      <c r="B23" s="142"/>
      <c r="C23" s="120" t="s">
        <v>382</v>
      </c>
      <c r="D23" s="160"/>
      <c r="E23" s="161"/>
      <c r="F23" s="160"/>
      <c r="G23" s="161"/>
    </row>
    <row r="24" spans="1:7" ht="28.5" x14ac:dyDescent="0.2">
      <c r="A24" s="462" t="s">
        <v>164</v>
      </c>
      <c r="B24" s="142"/>
      <c r="C24" s="120" t="s">
        <v>501</v>
      </c>
      <c r="D24" s="162"/>
      <c r="E24" s="162"/>
      <c r="F24" s="227"/>
      <c r="G24" s="162"/>
    </row>
    <row r="25" spans="1:7" x14ac:dyDescent="0.2">
      <c r="A25" s="462" t="s">
        <v>167</v>
      </c>
      <c r="B25" s="142"/>
      <c r="C25" s="120" t="s">
        <v>500</v>
      </c>
      <c r="D25" s="162"/>
      <c r="E25" s="162"/>
      <c r="F25" s="227"/>
      <c r="G25" s="162"/>
    </row>
    <row r="26" spans="1:7" ht="28.5" x14ac:dyDescent="0.2">
      <c r="A26" s="462" t="s">
        <v>170</v>
      </c>
      <c r="B26" s="142"/>
      <c r="C26" s="120" t="s">
        <v>502</v>
      </c>
      <c r="D26" s="162"/>
      <c r="E26" s="162"/>
      <c r="F26" s="227"/>
      <c r="G26" s="162"/>
    </row>
    <row r="27" spans="1:7" ht="28.5" x14ac:dyDescent="0.2">
      <c r="A27" s="462" t="s">
        <v>380</v>
      </c>
      <c r="B27" s="142"/>
      <c r="C27" s="120" t="s">
        <v>381</v>
      </c>
      <c r="D27" s="162"/>
      <c r="E27" s="162"/>
      <c r="F27" s="227"/>
      <c r="G27" s="162"/>
    </row>
    <row r="28" spans="1:7" ht="21.75" customHeight="1" thickBot="1" x14ac:dyDescent="0.3">
      <c r="A28" s="463" t="s">
        <v>218</v>
      </c>
      <c r="B28" s="146"/>
      <c r="C28" s="147"/>
      <c r="D28" s="148">
        <f>SUM(D23:D27)</f>
        <v>0</v>
      </c>
      <c r="E28" s="148">
        <f>SUM(E23:E27)</f>
        <v>0</v>
      </c>
      <c r="F28" s="181">
        <f>SUM(F23:F27)</f>
        <v>0</v>
      </c>
      <c r="G28" s="148">
        <f>SUM(G23:G27)</f>
        <v>0</v>
      </c>
    </row>
    <row r="29" spans="1:7" ht="15.75" thickTop="1" x14ac:dyDescent="0.25">
      <c r="A29" s="460" t="s">
        <v>203</v>
      </c>
      <c r="B29" s="140"/>
      <c r="C29" s="141" t="s">
        <v>384</v>
      </c>
      <c r="D29" s="149"/>
      <c r="E29" s="149"/>
      <c r="F29" s="481"/>
      <c r="G29" s="149"/>
    </row>
    <row r="30" spans="1:7" x14ac:dyDescent="0.2">
      <c r="A30" s="462" t="s">
        <v>153</v>
      </c>
      <c r="B30" s="142"/>
      <c r="C30" s="120" t="s">
        <v>390</v>
      </c>
      <c r="D30" s="157"/>
      <c r="E30" s="158"/>
      <c r="F30" s="157"/>
      <c r="G30" s="158"/>
    </row>
    <row r="31" spans="1:7" ht="28.5" x14ac:dyDescent="0.2">
      <c r="A31" s="462" t="s">
        <v>109</v>
      </c>
      <c r="B31" s="142"/>
      <c r="C31" s="120" t="s">
        <v>391</v>
      </c>
      <c r="D31" s="159"/>
      <c r="E31" s="159"/>
      <c r="F31" s="440"/>
      <c r="G31" s="159"/>
    </row>
    <row r="32" spans="1:7" x14ac:dyDescent="0.2">
      <c r="A32" s="462" t="s">
        <v>205</v>
      </c>
      <c r="B32" s="142"/>
      <c r="C32" s="120" t="s">
        <v>394</v>
      </c>
      <c r="D32" s="159"/>
      <c r="E32" s="159"/>
      <c r="F32" s="440"/>
      <c r="G32" s="159"/>
    </row>
    <row r="33" spans="1:7" x14ac:dyDescent="0.2">
      <c r="A33" s="462" t="s">
        <v>392</v>
      </c>
      <c r="B33" s="142"/>
      <c r="C33" s="120" t="s">
        <v>395</v>
      </c>
      <c r="D33" s="159"/>
      <c r="E33" s="159"/>
      <c r="F33" s="440"/>
      <c r="G33" s="159"/>
    </row>
    <row r="34" spans="1:7" x14ac:dyDescent="0.2">
      <c r="A34" s="462" t="s">
        <v>393</v>
      </c>
      <c r="B34" s="142"/>
      <c r="C34" s="120" t="s">
        <v>396</v>
      </c>
      <c r="D34" s="159"/>
      <c r="E34" s="159"/>
      <c r="F34" s="440"/>
      <c r="G34" s="159"/>
    </row>
    <row r="35" spans="1:7" ht="15" x14ac:dyDescent="0.25">
      <c r="A35" s="464" t="s">
        <v>157</v>
      </c>
      <c r="B35" s="142"/>
      <c r="C35" s="151" t="s">
        <v>397</v>
      </c>
      <c r="D35" s="159"/>
      <c r="E35" s="159"/>
      <c r="F35" s="440"/>
      <c r="G35" s="159"/>
    </row>
    <row r="36" spans="1:7" ht="15.75" thickBot="1" x14ac:dyDescent="0.3">
      <c r="A36" s="465" t="s">
        <v>206</v>
      </c>
      <c r="B36" s="152"/>
      <c r="C36" s="53"/>
      <c r="D36" s="153">
        <f>SUM(D30:D35)</f>
        <v>0</v>
      </c>
      <c r="E36" s="153">
        <f>SUM(E30:E35)</f>
        <v>0</v>
      </c>
      <c r="F36" s="198">
        <f>SUM(F30:F35)</f>
        <v>0</v>
      </c>
      <c r="G36" s="153">
        <f>SUM(G30:G35)</f>
        <v>0</v>
      </c>
    </row>
    <row r="37" spans="1:7" ht="15" x14ac:dyDescent="0.25">
      <c r="A37" s="464" t="s">
        <v>405</v>
      </c>
      <c r="B37" s="142"/>
      <c r="C37" s="51"/>
      <c r="D37" s="119"/>
      <c r="E37" s="119"/>
      <c r="F37" s="200"/>
      <c r="G37" s="119"/>
    </row>
    <row r="38" spans="1:7" x14ac:dyDescent="0.2">
      <c r="A38" s="461"/>
      <c r="B38" s="142" t="s">
        <v>207</v>
      </c>
      <c r="C38" s="51"/>
      <c r="D38" s="159"/>
      <c r="E38" s="159"/>
      <c r="F38" s="440"/>
      <c r="G38" s="159"/>
    </row>
    <row r="39" spans="1:7" x14ac:dyDescent="0.2">
      <c r="A39" s="462"/>
      <c r="B39" s="142" t="s">
        <v>208</v>
      </c>
      <c r="C39" s="51"/>
      <c r="D39" s="159"/>
      <c r="E39" s="159"/>
      <c r="F39" s="440"/>
      <c r="G39" s="159"/>
    </row>
    <row r="40" spans="1:7" ht="15.75" thickBot="1" x14ac:dyDescent="0.3">
      <c r="A40" s="465" t="s">
        <v>209</v>
      </c>
      <c r="B40" s="152"/>
      <c r="C40" s="53"/>
      <c r="D40" s="153">
        <f>SUM(D38:D39)</f>
        <v>0</v>
      </c>
      <c r="E40" s="153">
        <f>SUM(E38:E39)</f>
        <v>0</v>
      </c>
      <c r="F40" s="198">
        <f>SUM(F38:F39)</f>
        <v>0</v>
      </c>
      <c r="G40" s="153">
        <f>SUM(G38:G39)</f>
        <v>0</v>
      </c>
    </row>
    <row r="41" spans="1:7" ht="15.75" thickBot="1" x14ac:dyDescent="0.3">
      <c r="A41" s="463" t="s">
        <v>212</v>
      </c>
      <c r="B41" s="146"/>
      <c r="C41" s="125"/>
      <c r="D41" s="126">
        <f>D17+D21+D28+D36+D40</f>
        <v>0</v>
      </c>
      <c r="E41" s="126">
        <f>E17+E21+E28+E36+E40</f>
        <v>0</v>
      </c>
      <c r="F41" s="522">
        <f>F17+F21+F28+F36+F40</f>
        <v>0</v>
      </c>
      <c r="G41" s="126">
        <f>G17+G21+G28+G36+G40</f>
        <v>0</v>
      </c>
    </row>
    <row r="42" spans="1:7" ht="15.75" thickTop="1" x14ac:dyDescent="0.25">
      <c r="A42" s="524"/>
      <c r="B42" s="449"/>
      <c r="C42" s="450"/>
      <c r="D42" s="164"/>
      <c r="E42" s="164"/>
      <c r="F42" s="164"/>
      <c r="G42" s="164"/>
    </row>
    <row r="43" spans="1:7" x14ac:dyDescent="0.2">
      <c r="A43" s="451" t="str">
        <f>'Form 1 Cover'!A20</f>
        <v>Charter School - fill in the name of your school</v>
      </c>
      <c r="B43" s="155"/>
      <c r="C43" s="59"/>
      <c r="F43" s="38" t="str">
        <f>"Budget Fiscal Year "&amp;TEXT('Form 1 Cover'!$C$137, "mm/dd/yy")</f>
        <v>Budget Fiscal Year 2014-2015</v>
      </c>
    </row>
    <row r="44" spans="1:7" x14ac:dyDescent="0.2">
      <c r="A44" s="451"/>
      <c r="B44" s="155"/>
      <c r="C44" s="59"/>
    </row>
    <row r="45" spans="1:7" x14ac:dyDescent="0.2">
      <c r="A45" s="122" t="s">
        <v>9</v>
      </c>
      <c r="D45" s="38" t="s">
        <v>483</v>
      </c>
      <c r="G45" s="156">
        <f>'Form 1 Cover'!C146</f>
        <v>41703</v>
      </c>
    </row>
    <row r="46" spans="1:7" x14ac:dyDescent="0.2">
      <c r="A46" s="467" t="s">
        <v>9</v>
      </c>
      <c r="B46" s="98"/>
      <c r="C46" s="525"/>
      <c r="D46" s="210">
        <v>-1</v>
      </c>
      <c r="E46" s="210">
        <v>-2</v>
      </c>
      <c r="F46" s="438">
        <v>-3</v>
      </c>
      <c r="G46" s="211">
        <v>-4</v>
      </c>
    </row>
    <row r="47" spans="1:7" x14ac:dyDescent="0.2">
      <c r="A47" s="519"/>
      <c r="B47" s="59"/>
      <c r="C47" s="47"/>
      <c r="D47" s="212"/>
      <c r="E47" s="33" t="s">
        <v>44</v>
      </c>
      <c r="F47" s="606" t="s">
        <v>590</v>
      </c>
      <c r="G47" s="607"/>
    </row>
    <row r="48" spans="1:7" ht="28.5" x14ac:dyDescent="0.2">
      <c r="A48" s="519"/>
      <c r="B48" s="59"/>
      <c r="C48" s="47"/>
      <c r="D48" s="215" t="s">
        <v>303</v>
      </c>
      <c r="E48" s="215" t="s">
        <v>305</v>
      </c>
      <c r="F48" s="218"/>
      <c r="G48" s="218"/>
    </row>
    <row r="49" spans="1:7" x14ac:dyDescent="0.2">
      <c r="A49" s="519"/>
      <c r="B49" s="59"/>
      <c r="C49" s="47"/>
      <c r="D49" s="215" t="s">
        <v>304</v>
      </c>
      <c r="E49" s="215" t="s">
        <v>304</v>
      </c>
      <c r="F49" s="215" t="s">
        <v>306</v>
      </c>
      <c r="G49" s="215" t="s">
        <v>128</v>
      </c>
    </row>
    <row r="50" spans="1:7" ht="15" x14ac:dyDescent="0.2">
      <c r="A50" s="483"/>
      <c r="B50" s="526" t="s">
        <v>592</v>
      </c>
      <c r="C50" s="94"/>
      <c r="D50" s="437">
        <v>39629</v>
      </c>
      <c r="E50" s="437">
        <v>39994</v>
      </c>
      <c r="F50" s="216" t="s">
        <v>307</v>
      </c>
      <c r="G50" s="216" t="s">
        <v>307</v>
      </c>
    </row>
    <row r="51" spans="1:7" ht="15" x14ac:dyDescent="0.25">
      <c r="A51" s="455" t="s">
        <v>598</v>
      </c>
      <c r="B51" s="113"/>
      <c r="C51" s="434"/>
      <c r="D51" s="435"/>
      <c r="E51" s="466"/>
      <c r="F51" s="466"/>
      <c r="G51" s="466"/>
    </row>
    <row r="52" spans="1:7" x14ac:dyDescent="0.2">
      <c r="A52" s="457"/>
      <c r="B52" s="117" t="s">
        <v>194</v>
      </c>
      <c r="C52" s="117" t="s">
        <v>195</v>
      </c>
      <c r="D52" s="436"/>
      <c r="E52" s="55"/>
      <c r="F52" s="55"/>
      <c r="G52" s="55"/>
    </row>
    <row r="53" spans="1:7" x14ac:dyDescent="0.2">
      <c r="A53" s="457"/>
      <c r="B53" s="117"/>
      <c r="C53" s="117" t="s">
        <v>594</v>
      </c>
      <c r="D53" s="227"/>
      <c r="E53" s="162"/>
      <c r="F53" s="162"/>
      <c r="G53" s="162"/>
    </row>
    <row r="54" spans="1:7" x14ac:dyDescent="0.2">
      <c r="A54" s="457"/>
      <c r="B54" s="117"/>
      <c r="C54" s="117" t="s">
        <v>593</v>
      </c>
      <c r="D54" s="227"/>
      <c r="E54" s="162"/>
      <c r="F54" s="162"/>
      <c r="G54" s="162"/>
    </row>
    <row r="55" spans="1:7" x14ac:dyDescent="0.2">
      <c r="A55" s="457"/>
      <c r="B55" s="117"/>
      <c r="C55" s="117" t="s">
        <v>150</v>
      </c>
      <c r="D55" s="227"/>
      <c r="E55" s="162"/>
      <c r="F55" s="162"/>
      <c r="G55" s="162"/>
    </row>
    <row r="56" spans="1:7" x14ac:dyDescent="0.2">
      <c r="A56" s="457"/>
      <c r="B56" s="117"/>
      <c r="C56" s="117" t="s">
        <v>595</v>
      </c>
      <c r="D56" s="227"/>
      <c r="E56" s="162"/>
      <c r="F56" s="162"/>
      <c r="G56" s="162"/>
    </row>
    <row r="57" spans="1:7" x14ac:dyDescent="0.2">
      <c r="A57" s="457"/>
      <c r="B57" s="117"/>
      <c r="C57" s="117" t="s">
        <v>596</v>
      </c>
      <c r="D57" s="227"/>
      <c r="E57" s="162"/>
      <c r="F57" s="162"/>
      <c r="G57" s="162"/>
    </row>
    <row r="58" spans="1:7" x14ac:dyDescent="0.2">
      <c r="A58" s="457"/>
      <c r="B58" s="117"/>
      <c r="C58" s="117" t="s">
        <v>597</v>
      </c>
      <c r="D58" s="227"/>
      <c r="E58" s="162"/>
      <c r="F58" s="162"/>
      <c r="G58" s="162"/>
    </row>
    <row r="59" spans="1:7" x14ac:dyDescent="0.2">
      <c r="A59" s="132"/>
      <c r="B59" s="116" t="s">
        <v>600</v>
      </c>
      <c r="C59" s="121"/>
      <c r="D59" s="439">
        <f>SUM(D53:D58)</f>
        <v>0</v>
      </c>
      <c r="E59" s="439">
        <f>SUM(E53:E58)</f>
        <v>0</v>
      </c>
      <c r="F59" s="439">
        <f>SUM(F53:F58)</f>
        <v>0</v>
      </c>
      <c r="G59" s="439">
        <f>SUM(G53:G58)</f>
        <v>0</v>
      </c>
    </row>
    <row r="60" spans="1:7" x14ac:dyDescent="0.2">
      <c r="A60" s="457"/>
      <c r="B60" s="117" t="s">
        <v>602</v>
      </c>
      <c r="C60" s="117"/>
      <c r="D60" s="178"/>
      <c r="E60" s="145"/>
      <c r="F60" s="145"/>
      <c r="G60" s="145"/>
    </row>
    <row r="61" spans="1:7" x14ac:dyDescent="0.2">
      <c r="A61" s="457"/>
      <c r="B61" s="117"/>
      <c r="C61" s="117" t="s">
        <v>594</v>
      </c>
      <c r="D61" s="227"/>
      <c r="E61" s="162"/>
      <c r="F61" s="162"/>
      <c r="G61" s="162"/>
    </row>
    <row r="62" spans="1:7" x14ac:dyDescent="0.2">
      <c r="A62" s="457"/>
      <c r="B62" s="117"/>
      <c r="C62" s="117" t="s">
        <v>593</v>
      </c>
      <c r="D62" s="227"/>
      <c r="E62" s="162"/>
      <c r="F62" s="162"/>
      <c r="G62" s="162"/>
    </row>
    <row r="63" spans="1:7" x14ac:dyDescent="0.2">
      <c r="A63" s="457"/>
      <c r="B63" s="117"/>
      <c r="C63" s="117" t="s">
        <v>150</v>
      </c>
      <c r="D63" s="227"/>
      <c r="E63" s="162"/>
      <c r="F63" s="162"/>
      <c r="G63" s="162"/>
    </row>
    <row r="64" spans="1:7" x14ac:dyDescent="0.2">
      <c r="A64" s="457"/>
      <c r="B64" s="117"/>
      <c r="C64" s="117" t="s">
        <v>595</v>
      </c>
      <c r="D64" s="227"/>
      <c r="E64" s="162"/>
      <c r="F64" s="162"/>
      <c r="G64" s="162"/>
    </row>
    <row r="65" spans="1:7" x14ac:dyDescent="0.2">
      <c r="A65" s="457"/>
      <c r="B65" s="117"/>
      <c r="C65" s="117" t="s">
        <v>596</v>
      </c>
      <c r="D65" s="227"/>
      <c r="E65" s="162"/>
      <c r="F65" s="162"/>
      <c r="G65" s="162"/>
    </row>
    <row r="66" spans="1:7" x14ac:dyDescent="0.2">
      <c r="A66" s="457"/>
      <c r="B66" s="117"/>
      <c r="C66" s="117" t="s">
        <v>597</v>
      </c>
      <c r="D66" s="227"/>
      <c r="E66" s="162"/>
      <c r="F66" s="162"/>
      <c r="G66" s="162"/>
    </row>
    <row r="67" spans="1:7" x14ac:dyDescent="0.2">
      <c r="A67" s="132"/>
      <c r="B67" s="116" t="s">
        <v>601</v>
      </c>
      <c r="C67" s="238"/>
      <c r="D67" s="233">
        <f>SUM(D61:D66)</f>
        <v>0</v>
      </c>
      <c r="E67" s="439">
        <f>SUM(E61:E66)</f>
        <v>0</v>
      </c>
      <c r="F67" s="439">
        <f>SUM(F61:F66)</f>
        <v>0</v>
      </c>
      <c r="G67" s="439">
        <f>SUM(G61:G66)</f>
        <v>0</v>
      </c>
    </row>
    <row r="68" spans="1:7" x14ac:dyDescent="0.2">
      <c r="A68" s="457"/>
      <c r="B68" s="117" t="s">
        <v>196</v>
      </c>
      <c r="C68" s="43" t="s">
        <v>269</v>
      </c>
      <c r="D68" s="200"/>
      <c r="E68" s="119"/>
      <c r="F68" s="119"/>
      <c r="G68" s="119"/>
    </row>
    <row r="69" spans="1:7" x14ac:dyDescent="0.2">
      <c r="A69" s="457"/>
      <c r="B69" s="117"/>
      <c r="C69" s="117" t="s">
        <v>594</v>
      </c>
      <c r="D69" s="440"/>
      <c r="E69" s="159"/>
      <c r="F69" s="159"/>
      <c r="G69" s="159"/>
    </row>
    <row r="70" spans="1:7" x14ac:dyDescent="0.2">
      <c r="A70" s="457"/>
      <c r="B70" s="117"/>
      <c r="C70" s="117" t="s">
        <v>593</v>
      </c>
      <c r="D70" s="440"/>
      <c r="E70" s="159"/>
      <c r="F70" s="159"/>
      <c r="G70" s="159"/>
    </row>
    <row r="71" spans="1:7" x14ac:dyDescent="0.2">
      <c r="A71" s="457"/>
      <c r="B71" s="117"/>
      <c r="C71" s="117" t="s">
        <v>150</v>
      </c>
      <c r="D71" s="440"/>
      <c r="E71" s="159"/>
      <c r="F71" s="159"/>
      <c r="G71" s="159"/>
    </row>
    <row r="72" spans="1:7" x14ac:dyDescent="0.2">
      <c r="A72" s="457"/>
      <c r="B72" s="117"/>
      <c r="C72" s="117" t="s">
        <v>595</v>
      </c>
      <c r="D72" s="440"/>
      <c r="E72" s="159"/>
      <c r="F72" s="159"/>
      <c r="G72" s="159"/>
    </row>
    <row r="73" spans="1:7" x14ac:dyDescent="0.2">
      <c r="A73" s="457"/>
      <c r="B73" s="117"/>
      <c r="C73" s="117" t="s">
        <v>596</v>
      </c>
      <c r="D73" s="440"/>
      <c r="E73" s="159"/>
      <c r="F73" s="159"/>
      <c r="G73" s="159"/>
    </row>
    <row r="74" spans="1:7" x14ac:dyDescent="0.2">
      <c r="A74" s="457"/>
      <c r="B74" s="117"/>
      <c r="C74" s="117" t="s">
        <v>597</v>
      </c>
      <c r="D74" s="440"/>
      <c r="E74" s="159"/>
      <c r="F74" s="159"/>
      <c r="G74" s="159"/>
    </row>
    <row r="75" spans="1:7" x14ac:dyDescent="0.2">
      <c r="A75" s="281"/>
      <c r="B75" s="116" t="s">
        <v>603</v>
      </c>
      <c r="C75" s="121"/>
      <c r="D75" s="441">
        <f>SUM(D69:D74)</f>
        <v>0</v>
      </c>
      <c r="E75" s="441">
        <f>SUM(E69:E74)</f>
        <v>0</v>
      </c>
      <c r="F75" s="441">
        <f>SUM(F69:F74)</f>
        <v>0</v>
      </c>
      <c r="G75" s="441">
        <f>SUM(G69:G74)</f>
        <v>0</v>
      </c>
    </row>
    <row r="76" spans="1:7" x14ac:dyDescent="0.2">
      <c r="A76" s="132"/>
      <c r="B76" s="116" t="s">
        <v>108</v>
      </c>
      <c r="C76" s="442" t="s">
        <v>604</v>
      </c>
      <c r="D76" s="443"/>
      <c r="E76" s="444"/>
      <c r="F76" s="444"/>
      <c r="G76" s="444"/>
    </row>
    <row r="77" spans="1:7" x14ac:dyDescent="0.2">
      <c r="A77" s="132"/>
      <c r="B77" s="116"/>
      <c r="C77" s="117" t="s">
        <v>594</v>
      </c>
      <c r="D77" s="160"/>
      <c r="E77" s="160"/>
      <c r="F77" s="160"/>
      <c r="G77" s="160"/>
    </row>
    <row r="78" spans="1:7" x14ac:dyDescent="0.2">
      <c r="A78" s="132"/>
      <c r="B78" s="116"/>
      <c r="C78" s="117" t="s">
        <v>593</v>
      </c>
      <c r="D78" s="160"/>
      <c r="E78" s="160"/>
      <c r="F78" s="160"/>
      <c r="G78" s="160"/>
    </row>
    <row r="79" spans="1:7" x14ac:dyDescent="0.2">
      <c r="A79" s="132"/>
      <c r="B79" s="116"/>
      <c r="C79" s="117" t="s">
        <v>150</v>
      </c>
      <c r="D79" s="160"/>
      <c r="E79" s="160"/>
      <c r="F79" s="160"/>
      <c r="G79" s="160"/>
    </row>
    <row r="80" spans="1:7" x14ac:dyDescent="0.2">
      <c r="A80" s="132"/>
      <c r="B80" s="116"/>
      <c r="C80" s="117" t="s">
        <v>595</v>
      </c>
      <c r="D80" s="160"/>
      <c r="E80" s="160"/>
      <c r="F80" s="160"/>
      <c r="G80" s="160"/>
    </row>
    <row r="81" spans="1:7" x14ac:dyDescent="0.2">
      <c r="A81" s="132"/>
      <c r="B81" s="116"/>
      <c r="C81" s="117" t="s">
        <v>596</v>
      </c>
      <c r="D81" s="160"/>
      <c r="E81" s="160"/>
      <c r="F81" s="160"/>
      <c r="G81" s="160"/>
    </row>
    <row r="82" spans="1:7" x14ac:dyDescent="0.2">
      <c r="A82" s="132"/>
      <c r="B82" s="116"/>
      <c r="C82" s="103" t="s">
        <v>597</v>
      </c>
      <c r="D82" s="160"/>
      <c r="E82" s="160"/>
      <c r="F82" s="160"/>
      <c r="G82" s="160"/>
    </row>
    <row r="83" spans="1:7" x14ac:dyDescent="0.2">
      <c r="A83" s="132"/>
      <c r="B83" s="116" t="s">
        <v>603</v>
      </c>
      <c r="C83" s="442"/>
      <c r="D83" s="233">
        <f>SUM(D77:D82)</f>
        <v>0</v>
      </c>
      <c r="E83" s="233">
        <f>SUM(E77:E82)</f>
        <v>0</v>
      </c>
      <c r="F83" s="233">
        <f>SUM(F77:F82)</f>
        <v>0</v>
      </c>
      <c r="G83" s="233">
        <f>SUM(G77:G82)</f>
        <v>0</v>
      </c>
    </row>
    <row r="84" spans="1:7" x14ac:dyDescent="0.2">
      <c r="A84" s="467"/>
      <c r="B84" s="98" t="s">
        <v>203</v>
      </c>
      <c r="C84" s="98" t="s">
        <v>271</v>
      </c>
      <c r="D84" s="445"/>
      <c r="E84" s="446"/>
      <c r="F84" s="446"/>
      <c r="G84" s="446"/>
    </row>
    <row r="85" spans="1:7" x14ac:dyDescent="0.2">
      <c r="A85" s="467"/>
      <c r="B85" s="98" t="s">
        <v>157</v>
      </c>
      <c r="C85" s="98" t="s">
        <v>605</v>
      </c>
      <c r="D85" s="445"/>
      <c r="E85" s="446"/>
      <c r="F85" s="446"/>
      <c r="G85" s="446"/>
    </row>
    <row r="86" spans="1:7" x14ac:dyDescent="0.2">
      <c r="A86" s="132"/>
      <c r="B86" s="116" t="s">
        <v>606</v>
      </c>
      <c r="C86" s="116"/>
      <c r="D86" s="233">
        <f>SUM(D84:D85)</f>
        <v>0</v>
      </c>
      <c r="E86" s="233">
        <f>SUM(E84:E85)</f>
        <v>0</v>
      </c>
      <c r="F86" s="233">
        <f>SUM(F84:F85)</f>
        <v>0</v>
      </c>
      <c r="G86" s="233">
        <f>SUM(G84:G85)</f>
        <v>0</v>
      </c>
    </row>
    <row r="87" spans="1:7" ht="15.75" thickBot="1" x14ac:dyDescent="0.3">
      <c r="A87" s="468" t="s">
        <v>599</v>
      </c>
      <c r="B87" s="136"/>
      <c r="C87" s="136"/>
      <c r="D87" s="179">
        <f>D59+D67+D75+D83+D86</f>
        <v>0</v>
      </c>
      <c r="E87" s="179">
        <f>E59+E67+E75+E83+E86</f>
        <v>0</v>
      </c>
      <c r="F87" s="179">
        <f>F59+F67+F75+F83+F86</f>
        <v>0</v>
      </c>
      <c r="G87" s="179">
        <f>G59+G67+G75+G83+G86</f>
        <v>0</v>
      </c>
    </row>
    <row r="88" spans="1:7" ht="15.75" thickTop="1" x14ac:dyDescent="0.25">
      <c r="A88" s="469"/>
      <c r="B88" s="117" t="s">
        <v>607</v>
      </c>
      <c r="C88" s="51" t="s">
        <v>608</v>
      </c>
      <c r="D88" s="145"/>
      <c r="E88" s="145"/>
      <c r="F88" s="145"/>
      <c r="G88" s="145"/>
    </row>
    <row r="89" spans="1:7" x14ac:dyDescent="0.2">
      <c r="A89" s="281"/>
      <c r="B89" s="117"/>
      <c r="C89" s="117" t="s">
        <v>159</v>
      </c>
      <c r="D89" s="160"/>
      <c r="E89" s="162"/>
      <c r="F89" s="162"/>
      <c r="G89" s="162"/>
    </row>
    <row r="90" spans="1:7" x14ac:dyDescent="0.2">
      <c r="A90" s="394"/>
      <c r="B90" s="117"/>
      <c r="C90" s="117" t="s">
        <v>160</v>
      </c>
      <c r="D90" s="160"/>
      <c r="E90" s="162"/>
      <c r="F90" s="162"/>
      <c r="G90" s="162"/>
    </row>
    <row r="91" spans="1:7" ht="15" thickBot="1" x14ac:dyDescent="0.25">
      <c r="A91" s="470"/>
      <c r="B91" s="136" t="s">
        <v>161</v>
      </c>
      <c r="C91" s="57"/>
      <c r="D91" s="173">
        <f>SUM(D89:D90)</f>
        <v>0</v>
      </c>
      <c r="E91" s="173">
        <f>SUM(E89:E90)</f>
        <v>0</v>
      </c>
      <c r="F91" s="173">
        <f>SUM(F89:F90)</f>
        <v>0</v>
      </c>
      <c r="G91" s="173">
        <f>SUM(G89:G90)</f>
        <v>0</v>
      </c>
    </row>
    <row r="92" spans="1:7" ht="16.5" thickTop="1" thickBot="1" x14ac:dyDescent="0.3">
      <c r="A92" s="471" t="s">
        <v>162</v>
      </c>
      <c r="B92" s="203"/>
      <c r="C92" s="447"/>
      <c r="D92" s="448">
        <f>D87+D91</f>
        <v>0</v>
      </c>
      <c r="E92" s="448">
        <f>E87+E91</f>
        <v>0</v>
      </c>
      <c r="F92" s="448">
        <f>F87+F91</f>
        <v>0</v>
      </c>
      <c r="G92" s="448">
        <f>G87+G91</f>
        <v>0</v>
      </c>
    </row>
    <row r="93" spans="1:7" ht="15.75" thickTop="1" x14ac:dyDescent="0.25">
      <c r="A93" s="166"/>
      <c r="B93" s="167"/>
      <c r="C93" s="450"/>
      <c r="D93" s="177"/>
      <c r="E93" s="177"/>
      <c r="F93" s="177"/>
      <c r="G93" s="177"/>
    </row>
    <row r="94" spans="1:7" x14ac:dyDescent="0.2">
      <c r="A94" s="451" t="str">
        <f>'Form 1 Cover'!A20</f>
        <v>Charter School - fill in the name of your school</v>
      </c>
      <c r="B94" s="155"/>
      <c r="C94" s="59"/>
      <c r="F94" s="38" t="str">
        <f>"Budget Fiscal Year "&amp;TEXT('Form 1 Cover'!$C$137, "mm/dd/yy")</f>
        <v>Budget Fiscal Year 2014-2015</v>
      </c>
    </row>
    <row r="95" spans="1:7" x14ac:dyDescent="0.2">
      <c r="A95" s="451"/>
      <c r="B95" s="155"/>
      <c r="C95" s="59"/>
    </row>
    <row r="96" spans="1:7" x14ac:dyDescent="0.2">
      <c r="A96" s="122" t="s">
        <v>9</v>
      </c>
      <c r="D96" s="38" t="s">
        <v>482</v>
      </c>
      <c r="G96" s="156">
        <f>'Form 1 Cover'!C146</f>
        <v>41703</v>
      </c>
    </row>
    <row r="98" spans="2:7" x14ac:dyDescent="0.2">
      <c r="B98" s="452"/>
      <c r="C98" s="453" t="s">
        <v>609</v>
      </c>
      <c r="D98" s="454">
        <f>D41-D87</f>
        <v>0</v>
      </c>
      <c r="E98" s="454">
        <f>E41-E87</f>
        <v>0</v>
      </c>
      <c r="F98" s="454">
        <f>F41-F87</f>
        <v>0</v>
      </c>
      <c r="G98" s="454">
        <f>G41-G87</f>
        <v>0</v>
      </c>
    </row>
  </sheetData>
  <sheetProtection sheet="1" objects="1" scenarios="1"/>
  <mergeCells count="2">
    <mergeCell ref="F47:G47"/>
    <mergeCell ref="F5:G5"/>
  </mergeCells>
  <phoneticPr fontId="11" type="noConversion"/>
  <pageMargins left="0.25" right="0.25" top="1" bottom="0.75" header="0.5" footer="0.5"/>
  <pageSetup scale="9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8"/>
  <sheetViews>
    <sheetView zoomScale="75" workbookViewId="0">
      <selection activeCell="A16" sqref="A16"/>
    </sheetView>
  </sheetViews>
  <sheetFormatPr defaultRowHeight="14.25" x14ac:dyDescent="0.2"/>
  <cols>
    <col min="1" max="1" width="28.42578125" style="38" customWidth="1"/>
    <col min="2" max="2" width="5.7109375" style="38" customWidth="1"/>
    <col min="3" max="3" width="7.7109375" style="38" customWidth="1"/>
    <col min="4" max="4" width="14.7109375" style="38" customWidth="1"/>
    <col min="5" max="5" width="12.28515625" style="38" customWidth="1"/>
    <col min="6" max="6" width="12.42578125" style="38" customWidth="1"/>
    <col min="7" max="7" width="11.140625" style="38" customWidth="1"/>
    <col min="8" max="8" width="14.85546875" style="38" customWidth="1"/>
    <col min="9" max="11" width="14.7109375" style="38" customWidth="1"/>
    <col min="12" max="13" width="9.140625" style="38"/>
    <col min="14" max="14" width="20.5703125" style="38" customWidth="1"/>
    <col min="15" max="16384" width="9.140625" style="38"/>
  </cols>
  <sheetData>
    <row r="2" spans="1:21" x14ac:dyDescent="0.2">
      <c r="A2" s="137" t="str">
        <f>'Form 1 Cover'!A20</f>
        <v>Charter School - fill in the name of your school</v>
      </c>
      <c r="B2" s="59"/>
      <c r="C2" s="59"/>
      <c r="D2" s="59"/>
      <c r="F2" s="281" t="s">
        <v>554</v>
      </c>
      <c r="G2" s="238"/>
      <c r="H2" s="121"/>
      <c r="I2" s="154" t="s">
        <v>110</v>
      </c>
    </row>
    <row r="3" spans="1:21" x14ac:dyDescent="0.2">
      <c r="F3" s="154" t="s">
        <v>112</v>
      </c>
      <c r="I3" s="154" t="s">
        <v>113</v>
      </c>
    </row>
    <row r="4" spans="1:21" x14ac:dyDescent="0.2">
      <c r="A4" s="38" t="s">
        <v>111</v>
      </c>
      <c r="F4" s="154" t="s">
        <v>114</v>
      </c>
      <c r="I4" s="154" t="s">
        <v>115</v>
      </c>
    </row>
    <row r="5" spans="1:21" x14ac:dyDescent="0.2">
      <c r="A5" s="245"/>
      <c r="F5" s="154" t="s">
        <v>116</v>
      </c>
      <c r="I5" s="154" t="s">
        <v>117</v>
      </c>
    </row>
    <row r="6" spans="1:21" x14ac:dyDescent="0.2">
      <c r="F6" s="154" t="s">
        <v>118</v>
      </c>
      <c r="I6" s="154" t="s">
        <v>119</v>
      </c>
    </row>
    <row r="7" spans="1:21" x14ac:dyDescent="0.2">
      <c r="F7" s="154" t="s">
        <v>120</v>
      </c>
      <c r="I7" s="154" t="s">
        <v>121</v>
      </c>
    </row>
    <row r="8" spans="1:21" x14ac:dyDescent="0.2">
      <c r="F8" s="154"/>
    </row>
    <row r="10" spans="1:21" s="255" customFormat="1" x14ac:dyDescent="0.2">
      <c r="A10" s="251" t="s">
        <v>63</v>
      </c>
      <c r="B10" s="251" t="s">
        <v>64</v>
      </c>
      <c r="C10" s="252" t="s">
        <v>65</v>
      </c>
      <c r="D10" s="252" t="s">
        <v>66</v>
      </c>
      <c r="E10" s="252" t="s">
        <v>67</v>
      </c>
      <c r="F10" s="252" t="s">
        <v>68</v>
      </c>
      <c r="G10" s="252" t="s">
        <v>69</v>
      </c>
      <c r="H10" s="253" t="s">
        <v>70</v>
      </c>
      <c r="I10" s="254" t="s">
        <v>122</v>
      </c>
      <c r="J10" s="252" t="s">
        <v>123</v>
      </c>
      <c r="K10" s="251" t="s">
        <v>124</v>
      </c>
    </row>
    <row r="11" spans="1:21" s="50" customFormat="1" x14ac:dyDescent="0.2">
      <c r="A11" s="48"/>
      <c r="B11" s="48"/>
      <c r="C11" s="49" t="s">
        <v>682</v>
      </c>
      <c r="D11" s="49"/>
      <c r="E11" s="49"/>
      <c r="F11" s="49"/>
      <c r="G11" s="49"/>
      <c r="H11" s="256"/>
      <c r="I11" s="257" t="s">
        <v>125</v>
      </c>
      <c r="J11" s="258"/>
      <c r="K11" s="259" t="s">
        <v>484</v>
      </c>
      <c r="M11" s="256"/>
      <c r="N11" s="256"/>
      <c r="O11" s="256"/>
      <c r="P11" s="256"/>
      <c r="Q11" s="256"/>
      <c r="R11" s="256"/>
      <c r="S11" s="256"/>
      <c r="T11" s="256"/>
      <c r="U11" s="256"/>
    </row>
    <row r="12" spans="1:21" s="255" customFormat="1" x14ac:dyDescent="0.2">
      <c r="A12" s="259"/>
      <c r="B12" s="259"/>
      <c r="C12" s="260" t="s">
        <v>683</v>
      </c>
      <c r="D12" s="260"/>
      <c r="E12" s="260"/>
      <c r="F12" s="260"/>
      <c r="G12" s="260"/>
      <c r="H12" s="261" t="s">
        <v>126</v>
      </c>
      <c r="I12" s="592" t="str">
        <f>"YEAR ENDING "&amp;TEXT('Form 1 Cover'!C139, "MM/DD/YY")</f>
        <v>YEAR ENDING 06/30/15</v>
      </c>
      <c r="J12" s="594"/>
      <c r="K12" s="259"/>
      <c r="L12" s="50"/>
      <c r="M12" s="261"/>
      <c r="N12" s="261"/>
      <c r="O12" s="261"/>
      <c r="P12" s="261"/>
      <c r="Q12" s="261"/>
      <c r="R12" s="261"/>
      <c r="S12" s="261"/>
      <c r="T12" s="261"/>
      <c r="U12" s="261"/>
    </row>
    <row r="13" spans="1:21" s="50" customFormat="1" x14ac:dyDescent="0.2">
      <c r="A13" s="48"/>
      <c r="B13" s="48"/>
      <c r="C13" s="49" t="s">
        <v>684</v>
      </c>
      <c r="D13" s="49" t="s">
        <v>127</v>
      </c>
      <c r="E13" s="49"/>
      <c r="F13" s="49" t="s">
        <v>128</v>
      </c>
      <c r="G13" s="49"/>
      <c r="H13" s="256" t="s">
        <v>129</v>
      </c>
      <c r="I13" s="5"/>
      <c r="J13" s="6"/>
      <c r="K13" s="259"/>
      <c r="M13" s="256"/>
      <c r="N13" s="256"/>
      <c r="O13" s="256"/>
      <c r="P13" s="256"/>
      <c r="Q13" s="256"/>
      <c r="R13" s="256"/>
      <c r="S13" s="256"/>
      <c r="T13" s="256"/>
      <c r="U13" s="256"/>
    </row>
    <row r="14" spans="1:21" s="50" customFormat="1" x14ac:dyDescent="0.2">
      <c r="A14" s="48" t="s">
        <v>441</v>
      </c>
      <c r="B14" s="48" t="s">
        <v>485</v>
      </c>
      <c r="C14" s="49" t="s">
        <v>683</v>
      </c>
      <c r="D14" s="49" t="s">
        <v>130</v>
      </c>
      <c r="E14" s="49" t="s">
        <v>131</v>
      </c>
      <c r="F14" s="49" t="s">
        <v>132</v>
      </c>
      <c r="G14" s="49" t="s">
        <v>133</v>
      </c>
      <c r="H14" s="256" t="s">
        <v>134</v>
      </c>
      <c r="I14" s="33" t="s">
        <v>486</v>
      </c>
      <c r="J14" s="32" t="s">
        <v>135</v>
      </c>
      <c r="K14" s="34">
        <f>'Form 1 Cover'!C139</f>
        <v>42185</v>
      </c>
      <c r="M14" s="256"/>
      <c r="N14" s="256"/>
      <c r="O14" s="256"/>
      <c r="P14" s="256"/>
      <c r="Q14" s="256"/>
      <c r="R14" s="256"/>
      <c r="S14" s="256"/>
      <c r="T14" s="256"/>
      <c r="U14" s="256"/>
    </row>
    <row r="15" spans="1:21" s="50" customFormat="1" ht="15.75" thickBot="1" x14ac:dyDescent="0.3">
      <c r="A15" s="262" t="s">
        <v>136</v>
      </c>
      <c r="B15" s="264" t="s">
        <v>137</v>
      </c>
      <c r="C15" s="263" t="s">
        <v>138</v>
      </c>
      <c r="D15" s="263" t="s">
        <v>139</v>
      </c>
      <c r="E15" s="263" t="s">
        <v>140</v>
      </c>
      <c r="F15" s="263" t="s">
        <v>140</v>
      </c>
      <c r="G15" s="264" t="s">
        <v>141</v>
      </c>
      <c r="H15" s="31">
        <f>'Form 1 Cover'!C143</f>
        <v>41821</v>
      </c>
      <c r="I15" s="265" t="s">
        <v>142</v>
      </c>
      <c r="J15" s="266" t="s">
        <v>142</v>
      </c>
      <c r="K15" s="265" t="s">
        <v>143</v>
      </c>
      <c r="M15" s="256"/>
      <c r="N15" s="256"/>
      <c r="O15" s="256"/>
      <c r="P15" s="256"/>
      <c r="Q15" s="256"/>
      <c r="R15" s="256"/>
      <c r="S15" s="256"/>
      <c r="T15" s="256"/>
      <c r="U15" s="256"/>
    </row>
    <row r="16" spans="1:21" ht="27" customHeight="1" x14ac:dyDescent="0.2">
      <c r="A16" s="403" t="s">
        <v>144</v>
      </c>
      <c r="B16" s="267"/>
      <c r="C16" s="267"/>
      <c r="D16" s="200"/>
      <c r="E16" s="268"/>
      <c r="F16" s="268"/>
      <c r="G16" s="269"/>
      <c r="H16" s="270"/>
      <c r="I16" s="119"/>
      <c r="J16" s="119"/>
      <c r="K16" s="119"/>
      <c r="M16" s="59"/>
      <c r="N16" s="586"/>
      <c r="O16" s="586"/>
      <c r="P16" s="59"/>
      <c r="Q16" s="59"/>
      <c r="R16" s="59"/>
      <c r="S16" s="59"/>
      <c r="T16" s="59"/>
      <c r="U16" s="59"/>
    </row>
    <row r="17" spans="1:21" ht="14.1" customHeight="1" x14ac:dyDescent="0.2">
      <c r="A17" s="275"/>
      <c r="B17" s="276"/>
      <c r="C17" s="276"/>
      <c r="D17" s="472"/>
      <c r="E17" s="277"/>
      <c r="F17" s="277"/>
      <c r="G17" s="278"/>
      <c r="H17" s="473"/>
      <c r="I17" s="473"/>
      <c r="J17" s="473"/>
      <c r="K17" s="474">
        <f t="shared" ref="K17:K31" si="0">I17+J17</f>
        <v>0</v>
      </c>
      <c r="M17" s="59"/>
      <c r="N17" s="586"/>
      <c r="O17" s="586"/>
      <c r="P17" s="59"/>
      <c r="Q17" s="59"/>
      <c r="R17" s="59"/>
      <c r="S17" s="59"/>
      <c r="T17" s="59"/>
      <c r="U17" s="59"/>
    </row>
    <row r="18" spans="1:21" ht="14.1" customHeight="1" x14ac:dyDescent="0.2">
      <c r="A18" s="275"/>
      <c r="B18" s="276"/>
      <c r="C18" s="276"/>
      <c r="D18" s="472"/>
      <c r="E18" s="277"/>
      <c r="F18" s="277"/>
      <c r="G18" s="278"/>
      <c r="H18" s="473"/>
      <c r="I18" s="473"/>
      <c r="J18" s="473"/>
      <c r="K18" s="474">
        <f t="shared" si="0"/>
        <v>0</v>
      </c>
      <c r="M18" s="59"/>
      <c r="N18" s="59"/>
      <c r="O18" s="59"/>
      <c r="P18" s="59"/>
      <c r="Q18" s="59"/>
      <c r="R18" s="59"/>
      <c r="S18" s="59"/>
      <c r="T18" s="59"/>
      <c r="U18" s="59"/>
    </row>
    <row r="19" spans="1:21" ht="14.1" customHeight="1" x14ac:dyDescent="0.2">
      <c r="A19" s="275"/>
      <c r="B19" s="276"/>
      <c r="C19" s="276"/>
      <c r="D19" s="472"/>
      <c r="E19" s="277"/>
      <c r="F19" s="277"/>
      <c r="G19" s="278"/>
      <c r="H19" s="473"/>
      <c r="I19" s="473"/>
      <c r="J19" s="473"/>
      <c r="K19" s="474">
        <f t="shared" si="0"/>
        <v>0</v>
      </c>
      <c r="M19" s="59"/>
      <c r="N19" s="59"/>
      <c r="O19" s="59"/>
      <c r="P19" s="59"/>
      <c r="Q19" s="59"/>
      <c r="R19" s="59"/>
      <c r="S19" s="59"/>
      <c r="T19" s="59"/>
      <c r="U19" s="59"/>
    </row>
    <row r="20" spans="1:21" ht="14.1" customHeight="1" x14ac:dyDescent="0.2">
      <c r="A20" s="275"/>
      <c r="B20" s="276"/>
      <c r="C20" s="276"/>
      <c r="D20" s="472"/>
      <c r="E20" s="277"/>
      <c r="F20" s="277"/>
      <c r="G20" s="278"/>
      <c r="H20" s="473"/>
      <c r="I20" s="473"/>
      <c r="J20" s="473"/>
      <c r="K20" s="474">
        <f t="shared" si="0"/>
        <v>0</v>
      </c>
      <c r="M20" s="59"/>
      <c r="N20" s="586"/>
      <c r="O20" s="586"/>
      <c r="P20" s="59"/>
      <c r="Q20" s="59"/>
      <c r="R20" s="59"/>
      <c r="S20" s="59"/>
      <c r="T20" s="59"/>
      <c r="U20" s="59"/>
    </row>
    <row r="21" spans="1:21" ht="14.1" customHeight="1" x14ac:dyDescent="0.2">
      <c r="A21" s="275"/>
      <c r="B21" s="276"/>
      <c r="C21" s="276"/>
      <c r="D21" s="472"/>
      <c r="E21" s="277"/>
      <c r="F21" s="277"/>
      <c r="G21" s="278"/>
      <c r="H21" s="473"/>
      <c r="I21" s="473"/>
      <c r="J21" s="473"/>
      <c r="K21" s="474">
        <f t="shared" si="0"/>
        <v>0</v>
      </c>
      <c r="M21" s="59"/>
      <c r="N21" s="586"/>
      <c r="O21" s="586"/>
      <c r="P21" s="59"/>
      <c r="Q21" s="59"/>
      <c r="R21" s="59"/>
      <c r="S21" s="59"/>
      <c r="T21" s="59"/>
      <c r="U21" s="59"/>
    </row>
    <row r="22" spans="1:21" ht="14.1" customHeight="1" x14ac:dyDescent="0.2">
      <c r="A22" s="275"/>
      <c r="B22" s="276"/>
      <c r="C22" s="276"/>
      <c r="D22" s="472"/>
      <c r="E22" s="277"/>
      <c r="F22" s="277"/>
      <c r="G22" s="278"/>
      <c r="H22" s="473"/>
      <c r="I22" s="473"/>
      <c r="J22" s="473"/>
      <c r="K22" s="474">
        <f t="shared" si="0"/>
        <v>0</v>
      </c>
      <c r="M22" s="59"/>
      <c r="N22" s="59"/>
      <c r="O22" s="59"/>
      <c r="P22" s="59"/>
      <c r="Q22" s="59"/>
      <c r="R22" s="59"/>
      <c r="S22" s="59"/>
      <c r="T22" s="59"/>
      <c r="U22" s="59"/>
    </row>
    <row r="23" spans="1:21" ht="14.1" customHeight="1" x14ac:dyDescent="0.2">
      <c r="A23" s="275"/>
      <c r="B23" s="276"/>
      <c r="C23" s="276"/>
      <c r="D23" s="472"/>
      <c r="E23" s="277"/>
      <c r="F23" s="277"/>
      <c r="G23" s="278"/>
      <c r="H23" s="473"/>
      <c r="I23" s="473"/>
      <c r="J23" s="473"/>
      <c r="K23" s="474">
        <f t="shared" si="0"/>
        <v>0</v>
      </c>
      <c r="M23" s="59"/>
      <c r="N23" s="59"/>
      <c r="O23" s="59"/>
      <c r="P23" s="59"/>
      <c r="Q23" s="59"/>
      <c r="R23" s="59"/>
      <c r="S23" s="59"/>
      <c r="T23" s="59"/>
      <c r="U23" s="59"/>
    </row>
    <row r="24" spans="1:21" ht="14.1" customHeight="1" x14ac:dyDescent="0.2">
      <c r="A24" s="275"/>
      <c r="B24" s="276"/>
      <c r="C24" s="276"/>
      <c r="D24" s="472"/>
      <c r="E24" s="277"/>
      <c r="F24" s="277"/>
      <c r="G24" s="278"/>
      <c r="H24" s="473"/>
      <c r="I24" s="473"/>
      <c r="J24" s="473"/>
      <c r="K24" s="474">
        <f t="shared" si="0"/>
        <v>0</v>
      </c>
      <c r="M24" s="59"/>
      <c r="N24" s="586"/>
      <c r="O24" s="586"/>
      <c r="P24" s="59"/>
      <c r="Q24" s="59"/>
      <c r="R24" s="59"/>
      <c r="S24" s="59"/>
      <c r="T24" s="59"/>
      <c r="U24" s="59"/>
    </row>
    <row r="25" spans="1:21" ht="14.1" customHeight="1" x14ac:dyDescent="0.2">
      <c r="A25" s="275"/>
      <c r="B25" s="276"/>
      <c r="C25" s="276"/>
      <c r="D25" s="472"/>
      <c r="E25" s="277"/>
      <c r="F25" s="277"/>
      <c r="G25" s="278"/>
      <c r="H25" s="473"/>
      <c r="I25" s="473"/>
      <c r="J25" s="473"/>
      <c r="K25" s="474">
        <f t="shared" si="0"/>
        <v>0</v>
      </c>
      <c r="M25" s="59"/>
      <c r="N25" s="59"/>
      <c r="O25" s="59"/>
      <c r="P25" s="59"/>
      <c r="Q25" s="59"/>
      <c r="R25" s="59"/>
      <c r="S25" s="59"/>
      <c r="T25" s="59"/>
      <c r="U25" s="59"/>
    </row>
    <row r="26" spans="1:21" ht="14.1" customHeight="1" x14ac:dyDescent="0.2">
      <c r="A26" s="275"/>
      <c r="B26" s="276"/>
      <c r="C26" s="276"/>
      <c r="D26" s="472"/>
      <c r="E26" s="277"/>
      <c r="F26" s="277"/>
      <c r="G26" s="278"/>
      <c r="H26" s="473"/>
      <c r="I26" s="473"/>
      <c r="J26" s="473"/>
      <c r="K26" s="474">
        <f t="shared" si="0"/>
        <v>0</v>
      </c>
      <c r="M26" s="59"/>
      <c r="N26" s="59"/>
      <c r="O26" s="59"/>
      <c r="P26" s="59"/>
      <c r="Q26" s="59"/>
      <c r="R26" s="59"/>
      <c r="S26" s="59"/>
      <c r="T26" s="59"/>
      <c r="U26" s="59"/>
    </row>
    <row r="27" spans="1:21" ht="14.1" customHeight="1" x14ac:dyDescent="0.2">
      <c r="A27" s="275"/>
      <c r="B27" s="276"/>
      <c r="C27" s="276"/>
      <c r="D27" s="472"/>
      <c r="E27" s="277"/>
      <c r="F27" s="277"/>
      <c r="G27" s="278"/>
      <c r="H27" s="473"/>
      <c r="I27" s="473"/>
      <c r="J27" s="473"/>
      <c r="K27" s="474">
        <f t="shared" si="0"/>
        <v>0</v>
      </c>
      <c r="M27" s="59"/>
      <c r="N27" s="610"/>
      <c r="O27" s="610"/>
      <c r="P27" s="610"/>
      <c r="Q27" s="610"/>
      <c r="R27" s="59"/>
      <c r="S27" s="59"/>
      <c r="T27" s="59"/>
      <c r="U27" s="59"/>
    </row>
    <row r="28" spans="1:21" ht="14.1" customHeight="1" x14ac:dyDescent="0.2">
      <c r="A28" s="275"/>
      <c r="B28" s="276"/>
      <c r="C28" s="276"/>
      <c r="D28" s="472"/>
      <c r="E28" s="277"/>
      <c r="F28" s="277"/>
      <c r="G28" s="278"/>
      <c r="H28" s="473"/>
      <c r="I28" s="473"/>
      <c r="J28" s="473"/>
      <c r="K28" s="474">
        <f t="shared" si="0"/>
        <v>0</v>
      </c>
      <c r="M28" s="59"/>
      <c r="N28" s="586"/>
      <c r="O28" s="586"/>
      <c r="P28" s="586"/>
      <c r="Q28" s="586"/>
      <c r="R28" s="59"/>
      <c r="S28" s="59"/>
      <c r="T28" s="59"/>
      <c r="U28" s="59"/>
    </row>
    <row r="29" spans="1:21" ht="14.1" customHeight="1" x14ac:dyDescent="0.2">
      <c r="A29" s="275"/>
      <c r="B29" s="276"/>
      <c r="C29" s="276"/>
      <c r="D29" s="472"/>
      <c r="E29" s="277"/>
      <c r="F29" s="277"/>
      <c r="G29" s="278"/>
      <c r="H29" s="473"/>
      <c r="I29" s="473"/>
      <c r="J29" s="473"/>
      <c r="K29" s="474">
        <f t="shared" si="0"/>
        <v>0</v>
      </c>
      <c r="M29" s="59"/>
      <c r="N29" s="35"/>
      <c r="O29" s="35"/>
      <c r="P29" s="35"/>
      <c r="Q29" s="35"/>
      <c r="R29" s="59"/>
      <c r="S29" s="59"/>
      <c r="T29" s="59"/>
      <c r="U29" s="59"/>
    </row>
    <row r="30" spans="1:21" ht="14.1" customHeight="1" x14ac:dyDescent="0.2">
      <c r="A30" s="275"/>
      <c r="B30" s="276"/>
      <c r="C30" s="276"/>
      <c r="D30" s="472"/>
      <c r="E30" s="277"/>
      <c r="F30" s="277"/>
      <c r="G30" s="278"/>
      <c r="H30" s="473"/>
      <c r="I30" s="473"/>
      <c r="J30" s="473"/>
      <c r="K30" s="474">
        <f t="shared" si="0"/>
        <v>0</v>
      </c>
      <c r="M30" s="59"/>
      <c r="N30" s="59"/>
      <c r="O30" s="59"/>
      <c r="P30" s="59"/>
      <c r="Q30" s="59"/>
      <c r="R30" s="59"/>
      <c r="S30" s="59"/>
      <c r="T30" s="59"/>
      <c r="U30" s="59"/>
    </row>
    <row r="31" spans="1:21" ht="14.1" customHeight="1" x14ac:dyDescent="0.2">
      <c r="A31" s="275"/>
      <c r="B31" s="276"/>
      <c r="C31" s="276"/>
      <c r="D31" s="472"/>
      <c r="E31" s="277"/>
      <c r="F31" s="277"/>
      <c r="G31" s="278"/>
      <c r="H31" s="473"/>
      <c r="I31" s="473"/>
      <c r="J31" s="473"/>
      <c r="K31" s="474">
        <f t="shared" si="0"/>
        <v>0</v>
      </c>
      <c r="M31" s="59"/>
      <c r="N31" s="59"/>
      <c r="O31" s="59"/>
      <c r="P31" s="59"/>
      <c r="Q31" s="59"/>
      <c r="R31" s="59"/>
      <c r="S31" s="59"/>
      <c r="T31" s="59"/>
      <c r="U31" s="59"/>
    </row>
    <row r="32" spans="1:21" s="36" customFormat="1" ht="25.5" customHeight="1" x14ac:dyDescent="0.25">
      <c r="A32" s="271" t="s">
        <v>145</v>
      </c>
      <c r="B32" s="271"/>
      <c r="C32" s="271"/>
      <c r="D32" s="475">
        <f>SUM(D17:D31)</f>
        <v>0</v>
      </c>
      <c r="E32" s="271"/>
      <c r="F32" s="271"/>
      <c r="G32" s="271"/>
      <c r="H32" s="476">
        <f>SUM(H16:H31)</f>
        <v>0</v>
      </c>
      <c r="I32" s="476">
        <f>SUM(I17:I31)</f>
        <v>0</v>
      </c>
      <c r="J32" s="476">
        <f>SUM(J17:J31)</f>
        <v>0</v>
      </c>
      <c r="K32" s="476">
        <f>SUM(K17:K31)</f>
        <v>0</v>
      </c>
      <c r="M32" s="224"/>
      <c r="N32" s="272"/>
      <c r="O32" s="272"/>
      <c r="P32" s="224"/>
      <c r="Q32" s="224"/>
      <c r="R32" s="224"/>
      <c r="S32" s="224"/>
      <c r="T32" s="224"/>
      <c r="U32" s="224"/>
    </row>
    <row r="33" spans="1:21" s="36" customFormat="1" ht="25.5" customHeight="1" x14ac:dyDescent="0.25">
      <c r="A33" s="279"/>
      <c r="B33" s="279"/>
      <c r="C33" s="279"/>
      <c r="D33" s="280"/>
      <c r="E33" s="279"/>
      <c r="F33" s="279"/>
      <c r="G33" s="279"/>
      <c r="H33" s="280"/>
      <c r="I33" s="280"/>
      <c r="J33" s="280"/>
      <c r="K33" s="280"/>
      <c r="M33" s="224"/>
      <c r="N33" s="272"/>
      <c r="O33" s="272"/>
      <c r="P33" s="224"/>
      <c r="Q33" s="224"/>
      <c r="R33" s="224"/>
      <c r="S33" s="224"/>
      <c r="T33" s="224"/>
      <c r="U33" s="224"/>
    </row>
    <row r="34" spans="1:21" ht="21.75" customHeight="1" x14ac:dyDescent="0.2">
      <c r="A34" s="137" t="str">
        <f>'Form 1 Cover'!A20</f>
        <v>Charter School - fill in the name of your school</v>
      </c>
      <c r="D34" s="59"/>
      <c r="H34" s="256"/>
      <c r="J34" s="3" t="str">
        <f>"Budget Fiscal Year "&amp;TEXT('Form 1 Cover'!$C$137, "mm/dd/yy")</f>
        <v>Budget Fiscal Year 2014-2015</v>
      </c>
      <c r="K34" s="256"/>
      <c r="M34" s="59"/>
      <c r="N34" s="273"/>
      <c r="O34" s="273"/>
      <c r="P34" s="59"/>
      <c r="Q34" s="59"/>
      <c r="R34" s="59"/>
      <c r="S34" s="59"/>
      <c r="T34" s="59"/>
      <c r="U34" s="59"/>
    </row>
    <row r="35" spans="1:21" x14ac:dyDescent="0.2">
      <c r="A35" s="59"/>
      <c r="M35" s="59"/>
      <c r="N35" s="59"/>
      <c r="O35" s="59"/>
      <c r="P35" s="59"/>
      <c r="Q35" s="59"/>
      <c r="R35" s="59"/>
      <c r="S35" s="59"/>
      <c r="T35" s="59"/>
      <c r="U35" s="59"/>
    </row>
    <row r="36" spans="1:21" x14ac:dyDescent="0.2">
      <c r="A36" s="274" t="s">
        <v>585</v>
      </c>
      <c r="K36" s="2">
        <f>'Form 1 Cover'!$C$146</f>
        <v>41703</v>
      </c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M38" s="59"/>
      <c r="N38" s="59"/>
      <c r="O38" s="59"/>
      <c r="P38" s="59"/>
      <c r="Q38" s="59"/>
      <c r="R38" s="59"/>
      <c r="S38" s="59"/>
      <c r="T38" s="59"/>
      <c r="U38" s="59"/>
    </row>
  </sheetData>
  <sheetProtection sheet="1"/>
  <mergeCells count="9">
    <mergeCell ref="P27:Q27"/>
    <mergeCell ref="N28:Q28"/>
    <mergeCell ref="N16:O16"/>
    <mergeCell ref="I12:J12"/>
    <mergeCell ref="N17:O17"/>
    <mergeCell ref="N24:O24"/>
    <mergeCell ref="N20:O20"/>
    <mergeCell ref="N21:O21"/>
    <mergeCell ref="N27:O27"/>
  </mergeCells>
  <phoneticPr fontId="0" type="noConversion"/>
  <printOptions horizontalCentered="1"/>
  <pageMargins left="0.28000000000000003" right="0" top="1" bottom="0.25" header="0.5" footer="0"/>
  <pageSetup scale="8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75" workbookViewId="0">
      <selection activeCell="D8" sqref="D8"/>
    </sheetView>
  </sheetViews>
  <sheetFormatPr defaultRowHeight="14.25" x14ac:dyDescent="0.2"/>
  <cols>
    <col min="1" max="1" width="3.42578125" style="38" customWidth="1"/>
    <col min="2" max="2" width="31.140625" style="38" customWidth="1"/>
    <col min="3" max="3" width="11.140625" style="38" customWidth="1"/>
    <col min="4" max="7" width="21.7109375" style="38" customWidth="1"/>
    <col min="8" max="16384" width="9.140625" style="38"/>
  </cols>
  <sheetData>
    <row r="1" spans="1:7" x14ac:dyDescent="0.2">
      <c r="B1" s="38" t="str">
        <f>'Form 1 Cover'!A20</f>
        <v>Charter School - fill in the name of your school</v>
      </c>
    </row>
    <row r="3" spans="1:7" ht="19.5" customHeight="1" x14ac:dyDescent="0.25">
      <c r="A3" s="36"/>
      <c r="B3" s="36"/>
      <c r="C3" s="37"/>
      <c r="D3" s="611" t="s">
        <v>571</v>
      </c>
      <c r="E3" s="612"/>
      <c r="F3" s="613" t="s">
        <v>572</v>
      </c>
      <c r="G3" s="612"/>
    </row>
    <row r="4" spans="1:7" ht="15.75" x14ac:dyDescent="0.25">
      <c r="A4" s="39" t="s">
        <v>82</v>
      </c>
      <c r="B4" s="36"/>
      <c r="C4" s="40" t="str">
        <f>'Form 1 Cover'!C137</f>
        <v>2014-2015</v>
      </c>
      <c r="D4" s="41" t="s">
        <v>83</v>
      </c>
      <c r="E4" s="42" t="s">
        <v>64</v>
      </c>
      <c r="F4" s="42" t="s">
        <v>65</v>
      </c>
      <c r="G4" s="42" t="s">
        <v>66</v>
      </c>
    </row>
    <row r="5" spans="1:7" ht="15" x14ac:dyDescent="0.25">
      <c r="A5" s="43"/>
      <c r="B5" s="43"/>
      <c r="C5" s="44"/>
      <c r="D5" s="45" t="s">
        <v>84</v>
      </c>
      <c r="E5" s="46" t="s">
        <v>85</v>
      </c>
      <c r="F5" s="46" t="s">
        <v>84</v>
      </c>
      <c r="G5" s="46" t="s">
        <v>85</v>
      </c>
    </row>
    <row r="6" spans="1:7" ht="15" x14ac:dyDescent="0.25">
      <c r="A6" s="517"/>
      <c r="B6" s="99"/>
      <c r="C6" s="477" t="s">
        <v>442</v>
      </c>
      <c r="D6" s="48" t="s">
        <v>563</v>
      </c>
      <c r="E6" s="49" t="s">
        <v>564</v>
      </c>
      <c r="F6" s="49" t="s">
        <v>565</v>
      </c>
      <c r="G6" s="49" t="s">
        <v>566</v>
      </c>
    </row>
    <row r="7" spans="1:7" ht="15" x14ac:dyDescent="0.25">
      <c r="A7" s="527" t="s">
        <v>86</v>
      </c>
      <c r="B7" s="51"/>
      <c r="C7" s="46" t="s">
        <v>87</v>
      </c>
      <c r="D7" s="267" t="s">
        <v>556</v>
      </c>
      <c r="E7" s="44" t="s">
        <v>561</v>
      </c>
      <c r="F7" s="44" t="s">
        <v>562</v>
      </c>
      <c r="G7" s="44" t="s">
        <v>567</v>
      </c>
    </row>
    <row r="8" spans="1:7" ht="15" x14ac:dyDescent="0.25">
      <c r="A8" s="528"/>
      <c r="B8" s="282" t="s">
        <v>559</v>
      </c>
      <c r="C8" s="283" t="s">
        <v>568</v>
      </c>
      <c r="D8" s="404"/>
      <c r="E8" s="404"/>
      <c r="F8" s="405"/>
      <c r="G8" s="405"/>
    </row>
    <row r="9" spans="1:7" ht="15" x14ac:dyDescent="0.25">
      <c r="A9" s="528"/>
      <c r="B9" s="282" t="s">
        <v>557</v>
      </c>
      <c r="C9" s="283" t="s">
        <v>569</v>
      </c>
      <c r="D9" s="404"/>
      <c r="E9" s="404"/>
      <c r="F9" s="405"/>
      <c r="G9" s="405"/>
    </row>
    <row r="10" spans="1:7" ht="15" x14ac:dyDescent="0.25">
      <c r="A10" s="528"/>
      <c r="B10" s="282" t="s">
        <v>558</v>
      </c>
      <c r="C10" s="283" t="s">
        <v>568</v>
      </c>
      <c r="D10" s="405"/>
      <c r="E10" s="405"/>
      <c r="F10" s="404"/>
      <c r="G10" s="404"/>
    </row>
    <row r="11" spans="1:7" ht="15" x14ac:dyDescent="0.25">
      <c r="A11" s="528"/>
      <c r="B11" s="282" t="s">
        <v>560</v>
      </c>
      <c r="C11" s="283" t="s">
        <v>570</v>
      </c>
      <c r="D11" s="405"/>
      <c r="E11" s="405"/>
      <c r="F11" s="404"/>
      <c r="G11" s="404"/>
    </row>
    <row r="12" spans="1:7" ht="15" thickBot="1" x14ac:dyDescent="0.25">
      <c r="A12" s="529"/>
      <c r="B12" s="53"/>
      <c r="C12" s="53"/>
      <c r="D12" s="406">
        <f>SUM(D8:D11)</f>
        <v>0</v>
      </c>
      <c r="E12" s="406">
        <f>SUM(E8:E11)</f>
        <v>0</v>
      </c>
      <c r="F12" s="406">
        <f>SUM(F8:F11)</f>
        <v>0</v>
      </c>
      <c r="G12" s="406">
        <f>SUM(G8:G11)</f>
        <v>0</v>
      </c>
    </row>
    <row r="13" spans="1:7" x14ac:dyDescent="0.2">
      <c r="A13" s="59"/>
      <c r="B13" s="222"/>
      <c r="C13" s="222"/>
      <c r="D13" s="222"/>
      <c r="E13" s="222"/>
      <c r="F13" s="222"/>
      <c r="G13" s="222"/>
    </row>
    <row r="14" spans="1:7" ht="15" x14ac:dyDescent="0.25">
      <c r="A14" s="59"/>
      <c r="B14" s="59"/>
      <c r="C14" s="59"/>
      <c r="D14" s="611" t="s">
        <v>573</v>
      </c>
      <c r="E14" s="612"/>
      <c r="F14" s="611" t="s">
        <v>574</v>
      </c>
      <c r="G14" s="612"/>
    </row>
    <row r="15" spans="1:7" ht="28.5" customHeight="1" x14ac:dyDescent="0.25">
      <c r="A15" s="530" t="s">
        <v>88</v>
      </c>
      <c r="B15" s="121"/>
      <c r="C15" s="531" t="s">
        <v>555</v>
      </c>
      <c r="D15" s="172">
        <v>561</v>
      </c>
      <c r="E15" s="51">
        <v>511</v>
      </c>
      <c r="F15" s="226">
        <v>562</v>
      </c>
      <c r="G15" s="51">
        <v>512</v>
      </c>
    </row>
    <row r="16" spans="1:7" x14ac:dyDescent="0.2">
      <c r="A16" s="394"/>
      <c r="B16" s="51" t="s">
        <v>89</v>
      </c>
      <c r="C16" s="134"/>
      <c r="D16" s="407"/>
      <c r="E16" s="408"/>
      <c r="F16" s="407"/>
      <c r="G16" s="408"/>
    </row>
    <row r="17" spans="1:11" x14ac:dyDescent="0.2">
      <c r="A17" s="394"/>
      <c r="B17" s="51"/>
      <c r="C17" s="134"/>
      <c r="D17" s="407"/>
      <c r="E17" s="408"/>
      <c r="F17" s="407"/>
      <c r="G17" s="408"/>
    </row>
    <row r="18" spans="1:11" x14ac:dyDescent="0.2">
      <c r="A18" s="394"/>
      <c r="B18" s="51" t="s">
        <v>90</v>
      </c>
      <c r="C18" s="134"/>
      <c r="D18" s="407"/>
      <c r="E18" s="408"/>
      <c r="F18" s="407"/>
      <c r="G18" s="408"/>
    </row>
    <row r="19" spans="1:11" x14ac:dyDescent="0.2">
      <c r="A19" s="394"/>
      <c r="B19" s="51"/>
      <c r="C19" s="134"/>
      <c r="D19" s="407"/>
      <c r="E19" s="408"/>
      <c r="F19" s="407"/>
      <c r="G19" s="408"/>
    </row>
    <row r="20" spans="1:11" x14ac:dyDescent="0.2">
      <c r="A20" s="394"/>
      <c r="B20" s="51" t="s">
        <v>91</v>
      </c>
      <c r="C20" s="134"/>
      <c r="D20" s="407"/>
      <c r="E20" s="408"/>
      <c r="F20" s="407"/>
      <c r="G20" s="408"/>
    </row>
    <row r="21" spans="1:11" x14ac:dyDescent="0.2">
      <c r="A21" s="394"/>
      <c r="B21" s="51"/>
      <c r="C21" s="134"/>
      <c r="D21" s="407"/>
      <c r="E21" s="408"/>
      <c r="F21" s="407"/>
      <c r="G21" s="408"/>
    </row>
    <row r="22" spans="1:11" x14ac:dyDescent="0.2">
      <c r="A22" s="394"/>
      <c r="B22" s="51" t="s">
        <v>92</v>
      </c>
      <c r="C22" s="134"/>
      <c r="D22" s="407"/>
      <c r="E22" s="408"/>
      <c r="F22" s="407"/>
      <c r="G22" s="408"/>
    </row>
    <row r="23" spans="1:11" x14ac:dyDescent="0.2">
      <c r="A23" s="394"/>
      <c r="B23" s="51"/>
      <c r="C23" s="134"/>
      <c r="D23" s="407"/>
      <c r="E23" s="408"/>
      <c r="F23" s="407"/>
      <c r="G23" s="408"/>
    </row>
    <row r="24" spans="1:11" x14ac:dyDescent="0.2">
      <c r="A24" s="394"/>
      <c r="B24" s="51" t="s">
        <v>93</v>
      </c>
      <c r="C24" s="134"/>
      <c r="D24" s="407"/>
      <c r="E24" s="408"/>
      <c r="F24" s="407"/>
      <c r="G24" s="408"/>
    </row>
    <row r="25" spans="1:11" x14ac:dyDescent="0.2">
      <c r="A25" s="394"/>
      <c r="B25" s="51"/>
      <c r="C25" s="134"/>
      <c r="D25" s="407"/>
      <c r="E25" s="408"/>
      <c r="F25" s="407"/>
      <c r="G25" s="408"/>
    </row>
    <row r="26" spans="1:11" x14ac:dyDescent="0.2">
      <c r="A26" s="394"/>
      <c r="B26" s="51" t="s">
        <v>94</v>
      </c>
      <c r="C26" s="134"/>
      <c r="D26" s="407"/>
      <c r="E26" s="408"/>
      <c r="F26" s="407"/>
      <c r="G26" s="408"/>
    </row>
    <row r="27" spans="1:11" ht="26.25" customHeight="1" thickBot="1" x14ac:dyDescent="0.3">
      <c r="A27" s="532"/>
      <c r="B27" s="56" t="s">
        <v>95</v>
      </c>
      <c r="C27" s="57"/>
      <c r="D27" s="409">
        <f>SUM(D16:D26)</f>
        <v>0</v>
      </c>
      <c r="E27" s="409">
        <f>SUM(E16:E26)</f>
        <v>0</v>
      </c>
      <c r="F27" s="409">
        <f>SUM(F16:F26)</f>
        <v>0</v>
      </c>
      <c r="G27" s="409">
        <f>SUM(G16:G26)</f>
        <v>0</v>
      </c>
    </row>
    <row r="28" spans="1:11" ht="15" thickTop="1" x14ac:dyDescent="0.2">
      <c r="K28" s="59"/>
    </row>
    <row r="29" spans="1:11" x14ac:dyDescent="0.2">
      <c r="A29" s="137" t="str">
        <f>'Form 1 Cover'!A20</f>
        <v>Charter School - fill in the name of your school</v>
      </c>
      <c r="D29" s="59"/>
      <c r="F29" s="3" t="str">
        <f>"Budget Fiscal Year "&amp;TEXT('Form 1 Cover'!$C$137, "mm/dd/yy")</f>
        <v>Budget Fiscal Year 2014-2015</v>
      </c>
      <c r="H29" s="256"/>
      <c r="J29" s="3"/>
      <c r="K29" s="256"/>
    </row>
    <row r="30" spans="1:11" x14ac:dyDescent="0.2">
      <c r="F30" s="1"/>
    </row>
    <row r="31" spans="1:11" ht="15" customHeight="1" x14ac:dyDescent="0.2"/>
    <row r="33" spans="1:7" x14ac:dyDescent="0.2">
      <c r="A33" s="38" t="s">
        <v>586</v>
      </c>
      <c r="G33" s="30">
        <f>'Form 1 Cover'!$C$146</f>
        <v>41703</v>
      </c>
    </row>
  </sheetData>
  <sheetProtection sheet="1"/>
  <mergeCells count="4">
    <mergeCell ref="D3:E3"/>
    <mergeCell ref="F3:G3"/>
    <mergeCell ref="D14:E14"/>
    <mergeCell ref="F14:G14"/>
  </mergeCells>
  <phoneticPr fontId="0" type="noConversion"/>
  <pageMargins left="0.59" right="0" top="1" bottom="0.25" header="0.5" footer="0"/>
  <pageSetup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="75" workbookViewId="0">
      <selection activeCell="B7" sqref="B7"/>
    </sheetView>
  </sheetViews>
  <sheetFormatPr defaultRowHeight="14.25" x14ac:dyDescent="0.2"/>
  <cols>
    <col min="1" max="1" width="30.85546875" style="38" customWidth="1"/>
    <col min="2" max="2" width="28.7109375" style="38" customWidth="1"/>
    <col min="3" max="3" width="18.7109375" style="38" customWidth="1"/>
    <col min="4" max="4" width="2.42578125" style="38" customWidth="1"/>
    <col min="5" max="5" width="28.85546875" style="38" customWidth="1"/>
    <col min="6" max="6" width="18.7109375" style="38" customWidth="1"/>
    <col min="7" max="16384" width="9.140625" style="38"/>
  </cols>
  <sheetData>
    <row r="1" spans="1:6" x14ac:dyDescent="0.2">
      <c r="A1" s="38" t="str">
        <f>'Form 1 Cover'!A20</f>
        <v>Charter School - fill in the name of your school</v>
      </c>
    </row>
    <row r="3" spans="1:6" ht="15" x14ac:dyDescent="0.25">
      <c r="A3" s="392" t="str">
        <f>"FUND TRANSFERS "&amp;TEXT('Form 1 Cover'!C137, "MM/DD/YY")</f>
        <v>FUND TRANSFERS 2014-2015</v>
      </c>
      <c r="B3" s="614" t="s">
        <v>71</v>
      </c>
      <c r="C3" s="615"/>
      <c r="D3" s="393"/>
      <c r="E3" s="614" t="s">
        <v>72</v>
      </c>
      <c r="F3" s="615"/>
    </row>
    <row r="4" spans="1:6" x14ac:dyDescent="0.2">
      <c r="A4" s="170"/>
      <c r="B4" s="394"/>
      <c r="C4" s="51"/>
      <c r="D4" s="47"/>
      <c r="E4" s="394"/>
      <c r="F4" s="51"/>
    </row>
    <row r="5" spans="1:6" x14ac:dyDescent="0.2">
      <c r="A5" s="395">
        <f>-1</f>
        <v>-1</v>
      </c>
      <c r="B5" s="396">
        <f>A5-1</f>
        <v>-2</v>
      </c>
      <c r="C5" s="396">
        <v>-3</v>
      </c>
      <c r="D5" s="397"/>
      <c r="E5" s="396">
        <f>C5-1</f>
        <v>-4</v>
      </c>
      <c r="F5" s="396">
        <v>-5</v>
      </c>
    </row>
    <row r="6" spans="1:6" ht="18" customHeight="1" thickBot="1" x14ac:dyDescent="0.25">
      <c r="A6" s="264" t="s">
        <v>73</v>
      </c>
      <c r="B6" s="264" t="s">
        <v>74</v>
      </c>
      <c r="C6" s="264" t="s">
        <v>75</v>
      </c>
      <c r="D6" s="398"/>
      <c r="E6" s="264" t="s">
        <v>76</v>
      </c>
      <c r="F6" s="264" t="s">
        <v>75</v>
      </c>
    </row>
    <row r="7" spans="1:6" ht="21.75" customHeight="1" x14ac:dyDescent="0.25">
      <c r="A7" s="533" t="s">
        <v>77</v>
      </c>
      <c r="B7" s="403"/>
      <c r="C7" s="403"/>
      <c r="D7" s="399"/>
      <c r="E7" s="403"/>
      <c r="F7" s="403"/>
    </row>
    <row r="8" spans="1:6" x14ac:dyDescent="0.2">
      <c r="A8" s="534"/>
      <c r="B8" s="275"/>
      <c r="C8" s="275"/>
      <c r="D8" s="399"/>
      <c r="E8" s="275"/>
      <c r="F8" s="275"/>
    </row>
    <row r="9" spans="1:6" x14ac:dyDescent="0.2">
      <c r="A9" s="534"/>
      <c r="B9" s="275"/>
      <c r="C9" s="275"/>
      <c r="D9" s="399"/>
      <c r="E9" s="275"/>
      <c r="F9" s="275"/>
    </row>
    <row r="10" spans="1:6" x14ac:dyDescent="0.2">
      <c r="A10" s="534"/>
      <c r="B10" s="275"/>
      <c r="C10" s="275"/>
      <c r="D10" s="399"/>
      <c r="E10" s="275"/>
      <c r="F10" s="275"/>
    </row>
    <row r="11" spans="1:6" x14ac:dyDescent="0.2">
      <c r="A11" s="534"/>
      <c r="B11" s="275"/>
      <c r="C11" s="275"/>
      <c r="D11" s="399"/>
      <c r="E11" s="275"/>
      <c r="F11" s="275"/>
    </row>
    <row r="12" spans="1:6" x14ac:dyDescent="0.2">
      <c r="A12" s="534"/>
      <c r="B12" s="275"/>
      <c r="C12" s="275"/>
      <c r="D12" s="399"/>
      <c r="E12" s="275"/>
      <c r="F12" s="275"/>
    </row>
    <row r="13" spans="1:6" x14ac:dyDescent="0.2">
      <c r="A13" s="534"/>
      <c r="B13" s="275"/>
      <c r="C13" s="275"/>
      <c r="D13" s="399"/>
      <c r="E13" s="275"/>
      <c r="F13" s="275"/>
    </row>
    <row r="14" spans="1:6" x14ac:dyDescent="0.2">
      <c r="A14" s="534"/>
      <c r="B14" s="275"/>
      <c r="C14" s="275"/>
      <c r="D14" s="399"/>
      <c r="E14" s="275"/>
      <c r="F14" s="275"/>
    </row>
    <row r="15" spans="1:6" x14ac:dyDescent="0.2">
      <c r="A15" s="534"/>
      <c r="B15" s="275"/>
      <c r="C15" s="275"/>
      <c r="D15" s="399"/>
      <c r="E15" s="275"/>
      <c r="F15" s="275"/>
    </row>
    <row r="16" spans="1:6" x14ac:dyDescent="0.2">
      <c r="A16" s="534"/>
      <c r="B16" s="275"/>
      <c r="C16" s="275"/>
      <c r="D16" s="399"/>
      <c r="E16" s="275"/>
      <c r="F16" s="275"/>
    </row>
    <row r="17" spans="1:6" x14ac:dyDescent="0.2">
      <c r="A17" s="534"/>
      <c r="B17" s="275"/>
      <c r="C17" s="275"/>
      <c r="D17" s="399"/>
      <c r="E17" s="275"/>
      <c r="F17" s="275"/>
    </row>
    <row r="18" spans="1:6" x14ac:dyDescent="0.2">
      <c r="A18" s="534"/>
      <c r="B18" s="275"/>
      <c r="C18" s="275"/>
      <c r="D18" s="399"/>
      <c r="E18" s="275"/>
      <c r="F18" s="275"/>
    </row>
    <row r="19" spans="1:6" ht="18" customHeight="1" thickBot="1" x14ac:dyDescent="0.3">
      <c r="A19" s="535" t="s">
        <v>78</v>
      </c>
      <c r="B19" s="54">
        <f>SUM(B8:B18)</f>
        <v>0</v>
      </c>
      <c r="C19" s="54">
        <f>SUM(C8:C18)</f>
        <v>0</v>
      </c>
      <c r="D19" s="400"/>
      <c r="E19" s="54">
        <f>SUM(E8:E18)</f>
        <v>0</v>
      </c>
      <c r="F19" s="54">
        <f>SUM(F8:F18)</f>
        <v>0</v>
      </c>
    </row>
    <row r="20" spans="1:6" ht="20.25" customHeight="1" x14ac:dyDescent="0.25">
      <c r="A20" s="533" t="s">
        <v>79</v>
      </c>
      <c r="B20" s="226"/>
      <c r="C20" s="226"/>
      <c r="D20" s="399"/>
      <c r="E20" s="226"/>
      <c r="F20" s="226"/>
    </row>
    <row r="21" spans="1:6" x14ac:dyDescent="0.2">
      <c r="A21" s="534"/>
      <c r="B21" s="275"/>
      <c r="C21" s="275"/>
      <c r="D21" s="399"/>
      <c r="E21" s="275"/>
      <c r="F21" s="275"/>
    </row>
    <row r="22" spans="1:6" x14ac:dyDescent="0.2">
      <c r="A22" s="534"/>
      <c r="B22" s="275"/>
      <c r="C22" s="275"/>
      <c r="D22" s="399"/>
      <c r="E22" s="275"/>
      <c r="F22" s="275"/>
    </row>
    <row r="23" spans="1:6" x14ac:dyDescent="0.2">
      <c r="A23" s="534"/>
      <c r="B23" s="275"/>
      <c r="C23" s="275"/>
      <c r="D23" s="399"/>
      <c r="E23" s="275"/>
      <c r="F23" s="275"/>
    </row>
    <row r="24" spans="1:6" x14ac:dyDescent="0.2">
      <c r="A24" s="534"/>
      <c r="B24" s="275"/>
      <c r="C24" s="275"/>
      <c r="D24" s="399"/>
      <c r="E24" s="275"/>
      <c r="F24" s="275"/>
    </row>
    <row r="25" spans="1:6" x14ac:dyDescent="0.2">
      <c r="A25" s="534"/>
      <c r="B25" s="275"/>
      <c r="C25" s="275"/>
      <c r="D25" s="399"/>
      <c r="E25" s="275"/>
      <c r="F25" s="275"/>
    </row>
    <row r="26" spans="1:6" x14ac:dyDescent="0.2">
      <c r="A26" s="534"/>
      <c r="B26" s="275"/>
      <c r="C26" s="275"/>
      <c r="D26" s="399"/>
      <c r="E26" s="275"/>
      <c r="F26" s="275"/>
    </row>
    <row r="27" spans="1:6" x14ac:dyDescent="0.2">
      <c r="A27" s="534"/>
      <c r="B27" s="275"/>
      <c r="C27" s="275"/>
      <c r="D27" s="399"/>
      <c r="E27" s="275"/>
      <c r="F27" s="275"/>
    </row>
    <row r="28" spans="1:6" x14ac:dyDescent="0.2">
      <c r="A28" s="534"/>
      <c r="B28" s="275"/>
      <c r="C28" s="275"/>
      <c r="D28" s="399"/>
      <c r="E28" s="275"/>
      <c r="F28" s="275"/>
    </row>
    <row r="29" spans="1:6" x14ac:dyDescent="0.2">
      <c r="A29" s="534"/>
      <c r="B29" s="275"/>
      <c r="C29" s="275"/>
      <c r="D29" s="399"/>
      <c r="E29" s="275"/>
      <c r="F29" s="275"/>
    </row>
    <row r="30" spans="1:6" x14ac:dyDescent="0.2">
      <c r="A30" s="534"/>
      <c r="B30" s="275"/>
      <c r="C30" s="275"/>
      <c r="D30" s="399"/>
      <c r="E30" s="275"/>
      <c r="F30" s="275"/>
    </row>
    <row r="31" spans="1:6" x14ac:dyDescent="0.2">
      <c r="A31" s="534"/>
      <c r="B31" s="275"/>
      <c r="C31" s="275"/>
      <c r="D31" s="399"/>
      <c r="E31" s="275"/>
      <c r="F31" s="275"/>
    </row>
    <row r="32" spans="1:6" ht="18" customHeight="1" thickBot="1" x14ac:dyDescent="0.3">
      <c r="A32" s="535" t="s">
        <v>78</v>
      </c>
      <c r="B32" s="54">
        <f>SUM(B21:B31)</f>
        <v>0</v>
      </c>
      <c r="C32" s="54">
        <f>SUM(C21:C31)</f>
        <v>0</v>
      </c>
      <c r="D32" s="400"/>
      <c r="E32" s="54">
        <f>SUM(E21:E31)</f>
        <v>0</v>
      </c>
      <c r="F32" s="54">
        <f>SUM(F21:F31)</f>
        <v>0</v>
      </c>
    </row>
    <row r="33" spans="1:6" ht="21.75" customHeight="1" thickBot="1" x14ac:dyDescent="0.3">
      <c r="A33" s="536" t="s">
        <v>80</v>
      </c>
      <c r="B33" s="401">
        <f>B19+B32</f>
        <v>0</v>
      </c>
      <c r="C33" s="401">
        <f>C19+C32</f>
        <v>0</v>
      </c>
      <c r="D33" s="402"/>
      <c r="E33" s="401">
        <f>E19+E32</f>
        <v>0</v>
      </c>
      <c r="F33" s="401">
        <f>F19+F32</f>
        <v>0</v>
      </c>
    </row>
    <row r="34" spans="1:6" ht="15" thickTop="1" x14ac:dyDescent="0.2"/>
    <row r="35" spans="1:6" ht="13.5" customHeight="1" x14ac:dyDescent="0.2">
      <c r="A35" s="137" t="str">
        <f>'Form 1 Cover'!A20</f>
        <v>Charter School - fill in the name of your school</v>
      </c>
      <c r="C35" s="59"/>
      <c r="E35" s="3" t="str">
        <f>"Budget Fiscal Year "&amp;TEXT('Form 1 Cover'!$C$137, "mm/dd/yy")</f>
        <v>Budget Fiscal Year 2014-2015</v>
      </c>
    </row>
    <row r="36" spans="1:6" x14ac:dyDescent="0.2">
      <c r="F36" s="23"/>
    </row>
    <row r="37" spans="1:6" x14ac:dyDescent="0.2">
      <c r="A37" s="38" t="s">
        <v>587</v>
      </c>
      <c r="F37" s="2">
        <f>'Form 1 Cover'!$C$146</f>
        <v>41703</v>
      </c>
    </row>
  </sheetData>
  <sheetProtection sheet="1"/>
  <mergeCells count="2">
    <mergeCell ref="B3:C3"/>
    <mergeCell ref="E3:F3"/>
  </mergeCells>
  <phoneticPr fontId="0" type="noConversion"/>
  <printOptions horizontalCentered="1"/>
  <pageMargins left="0.73" right="0" top="0.75" bottom="0.5" header="0.5" footer="0"/>
  <pageSetup scale="9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B9" sqref="B9"/>
    </sheetView>
  </sheetViews>
  <sheetFormatPr defaultRowHeight="12.75" x14ac:dyDescent="0.2"/>
  <cols>
    <col min="1" max="1" width="10.28515625" style="284" customWidth="1"/>
    <col min="2" max="2" width="9.140625" style="284"/>
    <col min="3" max="3" width="10.42578125" style="284" customWidth="1"/>
    <col min="4" max="4" width="4.85546875" style="284" customWidth="1"/>
    <col min="5" max="5" width="3" style="284" customWidth="1"/>
    <col min="6" max="6" width="4.85546875" style="284" customWidth="1"/>
    <col min="7" max="7" width="16" style="284" customWidth="1"/>
    <col min="8" max="8" width="10.42578125" style="284" customWidth="1"/>
    <col min="9" max="9" width="2.7109375" style="284" customWidth="1"/>
    <col min="10" max="10" width="18.5703125" style="284" customWidth="1"/>
    <col min="11" max="16384" width="9.140625" style="284"/>
  </cols>
  <sheetData>
    <row r="1" spans="1:11" ht="24.75" customHeight="1" thickBot="1" x14ac:dyDescent="0.3">
      <c r="A1" s="616" t="str">
        <f>"L O B B Y   E X P E N S E S   "&amp;TEXT('Form 1 Cover'!C137, "MM/DD/YY")</f>
        <v>L O B B Y   E X P E N S E S   2014-2015</v>
      </c>
      <c r="B1" s="616"/>
      <c r="C1" s="616"/>
      <c r="D1" s="616"/>
      <c r="E1" s="616"/>
      <c r="F1" s="616"/>
      <c r="G1" s="616"/>
      <c r="H1" s="616"/>
      <c r="I1" s="616"/>
      <c r="J1" s="616"/>
    </row>
    <row r="2" spans="1:11" ht="18" customHeight="1" thickTop="1" x14ac:dyDescent="0.2">
      <c r="A2" s="285"/>
    </row>
    <row r="3" spans="1:11" ht="18" customHeight="1" x14ac:dyDescent="0.2">
      <c r="A3" s="284" t="s">
        <v>294</v>
      </c>
    </row>
    <row r="4" spans="1:11" ht="18" customHeight="1" x14ac:dyDescent="0.2">
      <c r="A4" s="284" t="s">
        <v>285</v>
      </c>
    </row>
    <row r="5" spans="1:11" ht="18" customHeight="1" x14ac:dyDescent="0.2">
      <c r="A5" s="284" t="s">
        <v>286</v>
      </c>
    </row>
    <row r="6" spans="1:11" ht="18" customHeight="1" x14ac:dyDescent="0.2"/>
    <row r="7" spans="1:11" ht="18" customHeight="1" x14ac:dyDescent="0.2">
      <c r="A7" s="617"/>
      <c r="B7" s="617"/>
      <c r="C7" s="617"/>
      <c r="D7" s="617"/>
      <c r="E7" s="617"/>
      <c r="F7" s="617"/>
      <c r="G7" s="617"/>
      <c r="H7" s="617"/>
      <c r="I7" s="617"/>
      <c r="J7" s="617"/>
    </row>
    <row r="8" spans="1:11" ht="18" customHeight="1" x14ac:dyDescent="0.2"/>
    <row r="9" spans="1:11" ht="18" customHeight="1" x14ac:dyDescent="0.2">
      <c r="A9" s="284" t="s">
        <v>287</v>
      </c>
      <c r="B9" s="292"/>
      <c r="C9" s="292"/>
      <c r="D9" s="292"/>
      <c r="E9" s="292"/>
      <c r="F9" s="292"/>
      <c r="G9" s="292"/>
      <c r="H9" s="292"/>
      <c r="I9" s="292"/>
      <c r="J9" s="292"/>
      <c r="K9" s="80"/>
    </row>
    <row r="10" spans="1:11" ht="18" customHeight="1" x14ac:dyDescent="0.2">
      <c r="K10" s="80"/>
    </row>
    <row r="11" spans="1:11" ht="18" customHeight="1" x14ac:dyDescent="0.2">
      <c r="A11" s="284" t="s">
        <v>288</v>
      </c>
      <c r="C11" s="292"/>
      <c r="D11" s="292"/>
      <c r="E11" s="292"/>
      <c r="F11" s="292"/>
      <c r="G11" s="292"/>
      <c r="H11" s="292"/>
      <c r="I11" s="292"/>
      <c r="J11" s="292"/>
      <c r="K11" s="80"/>
    </row>
    <row r="12" spans="1:11" ht="18" customHeight="1" x14ac:dyDescent="0.2">
      <c r="K12" s="80"/>
    </row>
    <row r="13" spans="1:11" ht="18" customHeight="1" x14ac:dyDescent="0.2">
      <c r="A13" s="284" t="s">
        <v>289</v>
      </c>
      <c r="I13" s="287" t="s">
        <v>55</v>
      </c>
      <c r="J13" s="293"/>
      <c r="K13" s="80"/>
    </row>
    <row r="14" spans="1:11" ht="18" customHeight="1" x14ac:dyDescent="0.2">
      <c r="J14" s="288"/>
      <c r="K14" s="80"/>
    </row>
    <row r="15" spans="1:11" ht="18" customHeight="1" x14ac:dyDescent="0.2">
      <c r="A15" s="284" t="s">
        <v>297</v>
      </c>
      <c r="I15" s="287" t="s">
        <v>55</v>
      </c>
      <c r="J15" s="293"/>
      <c r="K15" s="80"/>
    </row>
    <row r="16" spans="1:11" ht="18" customHeight="1" x14ac:dyDescent="0.2">
      <c r="J16" s="288"/>
      <c r="K16" s="80"/>
    </row>
    <row r="17" spans="1:12" ht="18" customHeight="1" x14ac:dyDescent="0.2">
      <c r="A17" s="284" t="s">
        <v>290</v>
      </c>
      <c r="I17" s="287" t="s">
        <v>55</v>
      </c>
      <c r="J17" s="293"/>
      <c r="K17" s="80"/>
    </row>
    <row r="18" spans="1:12" ht="18" customHeight="1" x14ac:dyDescent="0.2">
      <c r="J18" s="288"/>
      <c r="K18" s="80"/>
    </row>
    <row r="19" spans="1:12" ht="18" customHeight="1" x14ac:dyDescent="0.2">
      <c r="A19" s="284" t="s">
        <v>298</v>
      </c>
      <c r="I19" s="287" t="s">
        <v>55</v>
      </c>
      <c r="J19" s="293"/>
      <c r="K19" s="80"/>
    </row>
    <row r="20" spans="1:12" ht="18" customHeight="1" x14ac:dyDescent="0.2">
      <c r="J20" s="288"/>
      <c r="K20" s="80"/>
    </row>
    <row r="21" spans="1:12" ht="18" customHeight="1" x14ac:dyDescent="0.2">
      <c r="A21" s="284" t="s">
        <v>299</v>
      </c>
      <c r="I21" s="287" t="s">
        <v>55</v>
      </c>
      <c r="J21" s="293"/>
      <c r="K21" s="80"/>
    </row>
    <row r="22" spans="1:12" ht="18" customHeight="1" x14ac:dyDescent="0.2">
      <c r="J22" s="288"/>
      <c r="K22" s="80"/>
    </row>
    <row r="23" spans="1:12" ht="18" customHeight="1" x14ac:dyDescent="0.2">
      <c r="A23" s="284" t="s">
        <v>291</v>
      </c>
      <c r="I23" s="287" t="s">
        <v>55</v>
      </c>
      <c r="J23" s="293"/>
      <c r="K23" s="80"/>
      <c r="L23" s="80"/>
    </row>
    <row r="24" spans="1:12" ht="18" customHeight="1" x14ac:dyDescent="0.2">
      <c r="A24" s="284" t="s">
        <v>292</v>
      </c>
      <c r="J24" s="288"/>
      <c r="K24" s="80"/>
    </row>
    <row r="25" spans="1:12" ht="18" customHeight="1" x14ac:dyDescent="0.2">
      <c r="K25" s="80"/>
    </row>
    <row r="26" spans="1:12" ht="18" customHeight="1" thickBot="1" x14ac:dyDescent="0.25">
      <c r="A26" s="289" t="s">
        <v>293</v>
      </c>
      <c r="I26" s="287" t="s">
        <v>55</v>
      </c>
      <c r="J26" s="290">
        <f>SUM(J13,J15,J17,J19,J21,J23)</f>
        <v>0</v>
      </c>
    </row>
    <row r="27" spans="1:12" ht="18" customHeight="1" thickTop="1" x14ac:dyDescent="0.2"/>
    <row r="28" spans="1:12" ht="18" customHeight="1" x14ac:dyDescent="0.2"/>
    <row r="29" spans="1:12" ht="18" customHeight="1" x14ac:dyDescent="0.2"/>
    <row r="30" spans="1:12" ht="18" customHeight="1" x14ac:dyDescent="0.2"/>
    <row r="31" spans="1:12" ht="18" customHeight="1" x14ac:dyDescent="0.2">
      <c r="A31" s="284" t="s">
        <v>272</v>
      </c>
      <c r="B31" s="292"/>
      <c r="C31" s="292"/>
      <c r="D31" s="292"/>
      <c r="E31" s="292"/>
      <c r="F31" s="292"/>
      <c r="G31" s="292"/>
      <c r="J31" s="291"/>
    </row>
    <row r="32" spans="1:12" ht="18" customHeight="1" x14ac:dyDescent="0.2"/>
    <row r="33" spans="1:10" ht="18" customHeight="1" x14ac:dyDescent="0.2">
      <c r="A33" s="284" t="s">
        <v>504</v>
      </c>
    </row>
    <row r="35" spans="1:10" x14ac:dyDescent="0.2">
      <c r="I35" s="1"/>
    </row>
    <row r="36" spans="1:10" ht="14.25" x14ac:dyDescent="0.2">
      <c r="A36" s="137" t="str">
        <f>'Form 1 Cover'!A20</f>
        <v>Charter School - fill in the name of your school</v>
      </c>
      <c r="B36" s="38"/>
      <c r="C36" s="38"/>
      <c r="D36" s="59"/>
      <c r="E36" s="38"/>
      <c r="H36" s="3" t="str">
        <f>"Budget Fiscal Year "&amp;TEXT('Form 1 Cover'!$C$137, "mm/dd/yy")</f>
        <v>Budget Fiscal Year 2014-2015</v>
      </c>
    </row>
    <row r="40" spans="1:10" x14ac:dyDescent="0.2">
      <c r="A40" s="285" t="s">
        <v>588</v>
      </c>
      <c r="J40" s="30">
        <f>'Form 1 Cover'!$C$146</f>
        <v>41703</v>
      </c>
    </row>
  </sheetData>
  <sheetProtection sheet="1"/>
  <mergeCells count="2">
    <mergeCell ref="A1:J1"/>
    <mergeCell ref="A7:J7"/>
  </mergeCells>
  <phoneticPr fontId="11" type="noConversion"/>
  <pageMargins left="0.86" right="0" top="1" bottom="0.5" header="0.5" footer="0"/>
  <pageSetup scale="9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9"/>
  <sheetViews>
    <sheetView workbookViewId="0">
      <selection activeCell="A31" sqref="A31"/>
    </sheetView>
  </sheetViews>
  <sheetFormatPr defaultRowHeight="12.75" x14ac:dyDescent="0.2"/>
  <cols>
    <col min="1" max="1" width="21" style="284" customWidth="1"/>
    <col min="2" max="2" width="1.7109375" style="284" customWidth="1"/>
    <col min="3" max="6" width="14.7109375" style="296" customWidth="1"/>
    <col min="7" max="14" width="14.7109375" style="284" customWidth="1"/>
    <col min="15" max="15" width="16.85546875" style="284" customWidth="1"/>
    <col min="16" max="17" width="16.140625" style="284" customWidth="1"/>
    <col min="18" max="18" width="17.140625" style="284" customWidth="1"/>
    <col min="19" max="19" width="14.5703125" style="284" customWidth="1"/>
    <col min="20" max="16384" width="9.140625" style="284"/>
  </cols>
  <sheetData>
    <row r="1" spans="1:17" x14ac:dyDescent="0.2">
      <c r="A1" s="294" t="str">
        <f>'Form 1 Cover'!A20</f>
        <v>Charter School - fill in the name of your school</v>
      </c>
      <c r="B1" s="294"/>
      <c r="C1" s="295"/>
      <c r="D1" s="295"/>
      <c r="F1" s="295" t="s">
        <v>551</v>
      </c>
    </row>
    <row r="2" spans="1:17" ht="13.5" thickBot="1" x14ac:dyDescent="0.25">
      <c r="A2" s="294"/>
      <c r="B2" s="294"/>
      <c r="C2" s="295"/>
      <c r="D2" s="295"/>
      <c r="F2" s="295"/>
    </row>
    <row r="3" spans="1:17" x14ac:dyDescent="0.2">
      <c r="A3" s="284" t="str">
        <f>'Form 1 Cover'!C137</f>
        <v>2014-2015</v>
      </c>
      <c r="C3" s="297" t="s">
        <v>505</v>
      </c>
      <c r="D3" s="297" t="s">
        <v>505</v>
      </c>
      <c r="E3" s="297" t="s">
        <v>505</v>
      </c>
      <c r="F3" s="297" t="s">
        <v>505</v>
      </c>
      <c r="G3" s="297" t="s">
        <v>505</v>
      </c>
      <c r="H3" s="297" t="s">
        <v>505</v>
      </c>
      <c r="I3" s="297" t="s">
        <v>505</v>
      </c>
      <c r="J3" s="297" t="s">
        <v>505</v>
      </c>
      <c r="K3" s="297" t="s">
        <v>505</v>
      </c>
      <c r="L3" s="297" t="s">
        <v>505</v>
      </c>
      <c r="M3" s="297" t="s">
        <v>505</v>
      </c>
      <c r="N3" s="297" t="s">
        <v>505</v>
      </c>
      <c r="O3" s="618" t="s">
        <v>506</v>
      </c>
      <c r="P3" s="618" t="s">
        <v>507</v>
      </c>
      <c r="Q3" s="298"/>
    </row>
    <row r="4" spans="1:17" s="294" customFormat="1" ht="13.5" thickBot="1" x14ac:dyDescent="0.25">
      <c r="C4" s="299" t="s">
        <v>508</v>
      </c>
      <c r="D4" s="299" t="s">
        <v>509</v>
      </c>
      <c r="E4" s="299" t="s">
        <v>510</v>
      </c>
      <c r="F4" s="299" t="s">
        <v>511</v>
      </c>
      <c r="G4" s="299" t="s">
        <v>512</v>
      </c>
      <c r="H4" s="299" t="s">
        <v>513</v>
      </c>
      <c r="I4" s="299" t="s">
        <v>514</v>
      </c>
      <c r="J4" s="299" t="s">
        <v>515</v>
      </c>
      <c r="K4" s="299" t="s">
        <v>516</v>
      </c>
      <c r="L4" s="299" t="s">
        <v>517</v>
      </c>
      <c r="M4" s="299" t="s">
        <v>518</v>
      </c>
      <c r="N4" s="299" t="s">
        <v>519</v>
      </c>
      <c r="O4" s="619"/>
      <c r="P4" s="619"/>
      <c r="Q4" s="300" t="s">
        <v>520</v>
      </c>
    </row>
    <row r="5" spans="1:17" s="294" customFormat="1" x14ac:dyDescent="0.2">
      <c r="A5" s="301" t="s">
        <v>86</v>
      </c>
      <c r="B5" s="302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4"/>
      <c r="P5" s="304"/>
      <c r="Q5" s="305"/>
    </row>
    <row r="6" spans="1:17" x14ac:dyDescent="0.2">
      <c r="A6" s="306" t="s">
        <v>521</v>
      </c>
      <c r="B6" s="307"/>
      <c r="C6" s="308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10"/>
      <c r="P6" s="310"/>
      <c r="Q6" s="310"/>
    </row>
    <row r="7" spans="1:17" x14ac:dyDescent="0.2">
      <c r="A7" s="284" t="s">
        <v>522</v>
      </c>
      <c r="C7" s="367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12">
        <f t="shared" ref="O7:O14" si="0">SUM(C7:N7)</f>
        <v>0</v>
      </c>
      <c r="P7" s="375"/>
      <c r="Q7" s="312">
        <f t="shared" ref="Q7:Q14" si="1">O7-P7</f>
        <v>0</v>
      </c>
    </row>
    <row r="8" spans="1:17" x14ac:dyDescent="0.2">
      <c r="A8" s="284" t="s">
        <v>247</v>
      </c>
      <c r="C8" s="367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12">
        <f t="shared" si="0"/>
        <v>0</v>
      </c>
      <c r="P8" s="375"/>
      <c r="Q8" s="312">
        <f t="shared" si="1"/>
        <v>0</v>
      </c>
    </row>
    <row r="9" spans="1:17" x14ac:dyDescent="0.2">
      <c r="A9" s="366" t="s">
        <v>523</v>
      </c>
      <c r="C9" s="367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12">
        <f t="shared" si="0"/>
        <v>0</v>
      </c>
      <c r="P9" s="375"/>
      <c r="Q9" s="312">
        <f t="shared" si="1"/>
        <v>0</v>
      </c>
    </row>
    <row r="10" spans="1:17" x14ac:dyDescent="0.2">
      <c r="A10" s="365"/>
      <c r="C10" s="369"/>
      <c r="D10" s="368"/>
      <c r="E10" s="368"/>
      <c r="F10" s="368"/>
      <c r="G10" s="370"/>
      <c r="H10" s="368"/>
      <c r="I10" s="368"/>
      <c r="J10" s="368"/>
      <c r="K10" s="370"/>
      <c r="L10" s="368"/>
      <c r="M10" s="368"/>
      <c r="N10" s="368"/>
      <c r="O10" s="312">
        <f t="shared" si="0"/>
        <v>0</v>
      </c>
      <c r="P10" s="375"/>
      <c r="Q10" s="312">
        <f t="shared" si="1"/>
        <v>0</v>
      </c>
    </row>
    <row r="11" spans="1:17" x14ac:dyDescent="0.2">
      <c r="A11" s="366"/>
      <c r="C11" s="369"/>
      <c r="D11" s="368"/>
      <c r="E11" s="368"/>
      <c r="F11" s="368"/>
      <c r="G11" s="370"/>
      <c r="H11" s="368"/>
      <c r="I11" s="368"/>
      <c r="J11" s="368"/>
      <c r="K11" s="370"/>
      <c r="L11" s="368"/>
      <c r="M11" s="368"/>
      <c r="N11" s="368"/>
      <c r="O11" s="312">
        <f t="shared" si="0"/>
        <v>0</v>
      </c>
      <c r="P11" s="375"/>
      <c r="Q11" s="312">
        <f t="shared" si="1"/>
        <v>0</v>
      </c>
    </row>
    <row r="12" spans="1:17" x14ac:dyDescent="0.2">
      <c r="A12" s="366"/>
      <c r="C12" s="369"/>
      <c r="D12" s="368"/>
      <c r="E12" s="368"/>
      <c r="F12" s="368"/>
      <c r="G12" s="370"/>
      <c r="H12" s="368"/>
      <c r="I12" s="368"/>
      <c r="J12" s="368"/>
      <c r="K12" s="370"/>
      <c r="L12" s="368"/>
      <c r="M12" s="368"/>
      <c r="N12" s="368"/>
      <c r="O12" s="312">
        <f t="shared" si="0"/>
        <v>0</v>
      </c>
      <c r="P12" s="375"/>
      <c r="Q12" s="312">
        <f t="shared" si="1"/>
        <v>0</v>
      </c>
    </row>
    <row r="13" spans="1:17" x14ac:dyDescent="0.2">
      <c r="A13" s="366"/>
      <c r="C13" s="369"/>
      <c r="D13" s="368"/>
      <c r="E13" s="368"/>
      <c r="F13" s="368"/>
      <c r="G13" s="370"/>
      <c r="H13" s="368"/>
      <c r="I13" s="368"/>
      <c r="J13" s="368"/>
      <c r="K13" s="370"/>
      <c r="L13" s="368"/>
      <c r="M13" s="368"/>
      <c r="N13" s="368"/>
      <c r="O13" s="312">
        <f t="shared" si="0"/>
        <v>0</v>
      </c>
      <c r="P13" s="375"/>
      <c r="Q13" s="312">
        <f t="shared" si="1"/>
        <v>0</v>
      </c>
    </row>
    <row r="14" spans="1:17" x14ac:dyDescent="0.2">
      <c r="A14" s="366"/>
      <c r="C14" s="371"/>
      <c r="D14" s="372"/>
      <c r="E14" s="372"/>
      <c r="F14" s="372"/>
      <c r="G14" s="373"/>
      <c r="H14" s="372"/>
      <c r="I14" s="372"/>
      <c r="J14" s="372"/>
      <c r="K14" s="373"/>
      <c r="L14" s="372"/>
      <c r="M14" s="372"/>
      <c r="N14" s="374"/>
      <c r="O14" s="316">
        <f t="shared" si="0"/>
        <v>0</v>
      </c>
      <c r="P14" s="375"/>
      <c r="Q14" s="316">
        <f t="shared" si="1"/>
        <v>0</v>
      </c>
    </row>
    <row r="15" spans="1:17" ht="13.5" thickBot="1" x14ac:dyDescent="0.25">
      <c r="A15" s="294" t="s">
        <v>524</v>
      </c>
      <c r="C15" s="317">
        <f t="shared" ref="C15:Q15" si="2">SUM(C7:C14)</f>
        <v>0</v>
      </c>
      <c r="D15" s="317">
        <f t="shared" si="2"/>
        <v>0</v>
      </c>
      <c r="E15" s="317">
        <f t="shared" si="2"/>
        <v>0</v>
      </c>
      <c r="F15" s="317">
        <f t="shared" si="2"/>
        <v>0</v>
      </c>
      <c r="G15" s="317">
        <f t="shared" si="2"/>
        <v>0</v>
      </c>
      <c r="H15" s="317">
        <f t="shared" si="2"/>
        <v>0</v>
      </c>
      <c r="I15" s="317">
        <f t="shared" si="2"/>
        <v>0</v>
      </c>
      <c r="J15" s="317">
        <f t="shared" si="2"/>
        <v>0</v>
      </c>
      <c r="K15" s="317">
        <f t="shared" si="2"/>
        <v>0</v>
      </c>
      <c r="L15" s="317">
        <f t="shared" si="2"/>
        <v>0</v>
      </c>
      <c r="M15" s="317">
        <f t="shared" si="2"/>
        <v>0</v>
      </c>
      <c r="N15" s="317">
        <f t="shared" si="2"/>
        <v>0</v>
      </c>
      <c r="O15" s="318">
        <f t="shared" si="2"/>
        <v>0</v>
      </c>
      <c r="P15" s="318">
        <f t="shared" si="2"/>
        <v>0</v>
      </c>
      <c r="Q15" s="319">
        <f t="shared" si="2"/>
        <v>0</v>
      </c>
    </row>
    <row r="16" spans="1:17" ht="13.5" thickTop="1" x14ac:dyDescent="0.2">
      <c r="A16" s="294" t="s">
        <v>525</v>
      </c>
      <c r="C16" s="320">
        <f>C15</f>
        <v>0</v>
      </c>
      <c r="D16" s="321">
        <f>C16+D15</f>
        <v>0</v>
      </c>
      <c r="E16" s="321">
        <f>D16+E15</f>
        <v>0</v>
      </c>
      <c r="F16" s="321">
        <f t="shared" ref="F16:M16" si="3">E16+F15</f>
        <v>0</v>
      </c>
      <c r="G16" s="321">
        <f t="shared" si="3"/>
        <v>0</v>
      </c>
      <c r="H16" s="321">
        <f t="shared" si="3"/>
        <v>0</v>
      </c>
      <c r="I16" s="321">
        <f t="shared" si="3"/>
        <v>0</v>
      </c>
      <c r="J16" s="321">
        <f t="shared" si="3"/>
        <v>0</v>
      </c>
      <c r="K16" s="321">
        <f t="shared" si="3"/>
        <v>0</v>
      </c>
      <c r="L16" s="321">
        <f t="shared" si="3"/>
        <v>0</v>
      </c>
      <c r="M16" s="321">
        <f t="shared" si="3"/>
        <v>0</v>
      </c>
      <c r="N16" s="321">
        <f>M16+N15</f>
        <v>0</v>
      </c>
      <c r="O16" s="313"/>
      <c r="P16" s="313"/>
      <c r="Q16" s="312"/>
    </row>
    <row r="17" spans="1:19" ht="8.25" customHeight="1" x14ac:dyDescent="0.2">
      <c r="C17" s="314"/>
      <c r="D17" s="322"/>
      <c r="E17" s="322"/>
      <c r="F17" s="322"/>
      <c r="G17" s="315"/>
      <c r="H17" s="322"/>
      <c r="I17" s="322"/>
      <c r="J17" s="322"/>
      <c r="K17" s="315"/>
      <c r="L17" s="322"/>
      <c r="M17" s="322"/>
      <c r="N17" s="322"/>
      <c r="O17" s="79"/>
      <c r="P17" s="79"/>
      <c r="Q17" s="310"/>
    </row>
    <row r="18" spans="1:19" ht="17.25" customHeight="1" x14ac:dyDescent="0.2">
      <c r="A18" s="301" t="s">
        <v>88</v>
      </c>
      <c r="C18" s="309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79"/>
      <c r="P18" s="79"/>
      <c r="Q18" s="310"/>
    </row>
    <row r="19" spans="1:19" x14ac:dyDescent="0.2">
      <c r="A19" s="306" t="s">
        <v>526</v>
      </c>
      <c r="C19" s="309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79"/>
      <c r="P19" s="79"/>
      <c r="Q19" s="312"/>
    </row>
    <row r="20" spans="1:19" x14ac:dyDescent="0.2">
      <c r="A20" s="284" t="s">
        <v>99</v>
      </c>
      <c r="B20" s="307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13">
        <f>SUM(C20:N20)</f>
        <v>0</v>
      </c>
      <c r="P20" s="375"/>
      <c r="Q20" s="312">
        <f>-O20+P20</f>
        <v>0</v>
      </c>
      <c r="R20" s="324"/>
    </row>
    <row r="21" spans="1:19" x14ac:dyDescent="0.2">
      <c r="A21" s="284" t="s">
        <v>101</v>
      </c>
      <c r="B21" s="307"/>
      <c r="C21" s="377"/>
      <c r="D21" s="377"/>
      <c r="E21" s="377"/>
      <c r="F21" s="377"/>
      <c r="G21" s="377"/>
      <c r="H21" s="377"/>
      <c r="I21" s="377"/>
      <c r="J21" s="374"/>
      <c r="K21" s="374"/>
      <c r="L21" s="374"/>
      <c r="M21" s="374"/>
      <c r="N21" s="378"/>
      <c r="O21" s="326">
        <f>SUM(C21:N21)</f>
        <v>0</v>
      </c>
      <c r="P21" s="379"/>
      <c r="Q21" s="312">
        <f>-O21+P21</f>
        <v>0</v>
      </c>
      <c r="R21" s="324"/>
    </row>
    <row r="22" spans="1:19" x14ac:dyDescent="0.2">
      <c r="A22" s="327" t="s">
        <v>527</v>
      </c>
      <c r="B22" s="307"/>
      <c r="C22" s="328">
        <f t="shared" ref="C22:O22" si="4">C20+C21</f>
        <v>0</v>
      </c>
      <c r="D22" s="329">
        <f t="shared" si="4"/>
        <v>0</v>
      </c>
      <c r="E22" s="329">
        <f t="shared" si="4"/>
        <v>0</v>
      </c>
      <c r="F22" s="329">
        <f t="shared" si="4"/>
        <v>0</v>
      </c>
      <c r="G22" s="329">
        <f t="shared" si="4"/>
        <v>0</v>
      </c>
      <c r="H22" s="329">
        <f t="shared" si="4"/>
        <v>0</v>
      </c>
      <c r="I22" s="329">
        <f t="shared" si="4"/>
        <v>0</v>
      </c>
      <c r="J22" s="329">
        <f t="shared" si="4"/>
        <v>0</v>
      </c>
      <c r="K22" s="329">
        <f t="shared" si="4"/>
        <v>0</v>
      </c>
      <c r="L22" s="329">
        <f t="shared" si="4"/>
        <v>0</v>
      </c>
      <c r="M22" s="329">
        <f t="shared" si="4"/>
        <v>0</v>
      </c>
      <c r="N22" s="329">
        <f t="shared" si="4"/>
        <v>0</v>
      </c>
      <c r="O22" s="329">
        <f t="shared" si="4"/>
        <v>0</v>
      </c>
      <c r="P22" s="329">
        <f>SUM(P20:P21)</f>
        <v>0</v>
      </c>
      <c r="Q22" s="330">
        <f>SUM(Q20:Q21)</f>
        <v>0</v>
      </c>
      <c r="R22" s="324"/>
      <c r="S22" s="324"/>
    </row>
    <row r="23" spans="1:19" x14ac:dyDescent="0.2">
      <c r="B23" s="307"/>
      <c r="C23" s="323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3"/>
      <c r="P23" s="79"/>
      <c r="Q23" s="310"/>
    </row>
    <row r="24" spans="1:19" x14ac:dyDescent="0.2">
      <c r="A24" s="294" t="s">
        <v>528</v>
      </c>
      <c r="B24" s="307"/>
      <c r="C24" s="323"/>
      <c r="D24" s="309"/>
      <c r="E24" s="309"/>
      <c r="F24" s="309"/>
      <c r="G24" s="309"/>
      <c r="H24" s="309"/>
      <c r="I24" s="309"/>
      <c r="J24" s="309"/>
      <c r="K24" s="309"/>
      <c r="L24" s="309"/>
      <c r="M24" s="323"/>
      <c r="N24" s="331"/>
      <c r="O24" s="313"/>
      <c r="P24" s="79"/>
      <c r="Q24" s="310"/>
    </row>
    <row r="25" spans="1:19" x14ac:dyDescent="0.2">
      <c r="A25" s="285" t="s">
        <v>103</v>
      </c>
      <c r="B25" s="307"/>
      <c r="C25" s="376"/>
      <c r="D25" s="376"/>
      <c r="E25" s="376"/>
      <c r="F25" s="376"/>
      <c r="G25" s="376"/>
      <c r="H25" s="376"/>
      <c r="I25" s="367"/>
      <c r="J25" s="381"/>
      <c r="K25" s="376"/>
      <c r="L25" s="376"/>
      <c r="M25" s="376"/>
      <c r="N25" s="382"/>
      <c r="O25" s="313">
        <f t="shared" ref="O25:O41" si="5">SUM(C25:N25)</f>
        <v>0</v>
      </c>
      <c r="P25" s="375"/>
      <c r="Q25" s="312">
        <f t="shared" ref="Q25:Q41" si="6">-O25+P25</f>
        <v>0</v>
      </c>
    </row>
    <row r="26" spans="1:19" x14ac:dyDescent="0.2">
      <c r="A26" s="285" t="s">
        <v>245</v>
      </c>
      <c r="B26" s="307"/>
      <c r="C26" s="376"/>
      <c r="D26" s="376"/>
      <c r="E26" s="376"/>
      <c r="F26" s="376"/>
      <c r="G26" s="376"/>
      <c r="H26" s="376"/>
      <c r="I26" s="367"/>
      <c r="J26" s="381"/>
      <c r="K26" s="376"/>
      <c r="L26" s="376"/>
      <c r="M26" s="376"/>
      <c r="N26" s="382"/>
      <c r="O26" s="313">
        <f t="shared" si="5"/>
        <v>0</v>
      </c>
      <c r="P26" s="375"/>
      <c r="Q26" s="312">
        <f t="shared" si="6"/>
        <v>0</v>
      </c>
    </row>
    <row r="27" spans="1:19" x14ac:dyDescent="0.2">
      <c r="A27" s="285" t="s">
        <v>529</v>
      </c>
      <c r="B27" s="307"/>
      <c r="C27" s="376"/>
      <c r="D27" s="376"/>
      <c r="E27" s="376"/>
      <c r="F27" s="376"/>
      <c r="G27" s="376"/>
      <c r="H27" s="376"/>
      <c r="I27" s="367"/>
      <c r="J27" s="381"/>
      <c r="K27" s="376"/>
      <c r="L27" s="376"/>
      <c r="M27" s="376"/>
      <c r="N27" s="382"/>
      <c r="O27" s="313">
        <f t="shared" si="5"/>
        <v>0</v>
      </c>
      <c r="P27" s="375"/>
      <c r="Q27" s="312">
        <f t="shared" si="6"/>
        <v>0</v>
      </c>
    </row>
    <row r="28" spans="1:19" x14ac:dyDescent="0.2">
      <c r="A28" s="285" t="s">
        <v>530</v>
      </c>
      <c r="B28" s="307"/>
      <c r="C28" s="376"/>
      <c r="D28" s="376"/>
      <c r="E28" s="376"/>
      <c r="F28" s="376"/>
      <c r="G28" s="376"/>
      <c r="H28" s="376"/>
      <c r="I28" s="367"/>
      <c r="J28" s="381"/>
      <c r="K28" s="376"/>
      <c r="L28" s="376"/>
      <c r="M28" s="376"/>
      <c r="N28" s="382"/>
      <c r="O28" s="313">
        <f t="shared" si="5"/>
        <v>0</v>
      </c>
      <c r="P28" s="375"/>
      <c r="Q28" s="312">
        <f t="shared" si="6"/>
        <v>0</v>
      </c>
    </row>
    <row r="29" spans="1:19" x14ac:dyDescent="0.2">
      <c r="A29" s="285" t="s">
        <v>531</v>
      </c>
      <c r="B29" s="307"/>
      <c r="C29" s="376"/>
      <c r="D29" s="376"/>
      <c r="E29" s="376"/>
      <c r="F29" s="376"/>
      <c r="G29" s="376"/>
      <c r="H29" s="376"/>
      <c r="I29" s="367"/>
      <c r="J29" s="381"/>
      <c r="K29" s="376"/>
      <c r="L29" s="376"/>
      <c r="M29" s="376"/>
      <c r="N29" s="382"/>
      <c r="O29" s="313">
        <f t="shared" si="5"/>
        <v>0</v>
      </c>
      <c r="P29" s="375"/>
      <c r="Q29" s="312">
        <f t="shared" si="6"/>
        <v>0</v>
      </c>
    </row>
    <row r="30" spans="1:19" x14ac:dyDescent="0.2">
      <c r="A30" s="285" t="s">
        <v>532</v>
      </c>
      <c r="B30" s="307"/>
      <c r="C30" s="376"/>
      <c r="D30" s="376"/>
      <c r="E30" s="376"/>
      <c r="F30" s="376"/>
      <c r="G30" s="376"/>
      <c r="H30" s="376"/>
      <c r="I30" s="367"/>
      <c r="J30" s="376"/>
      <c r="K30" s="376"/>
      <c r="L30" s="376"/>
      <c r="M30" s="376"/>
      <c r="N30" s="367"/>
      <c r="O30" s="312">
        <f t="shared" si="5"/>
        <v>0</v>
      </c>
      <c r="P30" s="385"/>
      <c r="Q30" s="312">
        <f t="shared" si="6"/>
        <v>0</v>
      </c>
    </row>
    <row r="31" spans="1:19" x14ac:dyDescent="0.2">
      <c r="A31" s="380"/>
      <c r="B31" s="307"/>
      <c r="C31" s="376"/>
      <c r="D31" s="376"/>
      <c r="E31" s="376"/>
      <c r="F31" s="376"/>
      <c r="G31" s="376"/>
      <c r="H31" s="376"/>
      <c r="I31" s="367"/>
      <c r="J31" s="376"/>
      <c r="K31" s="376"/>
      <c r="L31" s="376"/>
      <c r="M31" s="376"/>
      <c r="N31" s="376"/>
      <c r="O31" s="312">
        <f t="shared" si="5"/>
        <v>0</v>
      </c>
      <c r="P31" s="385"/>
      <c r="Q31" s="312">
        <f t="shared" si="6"/>
        <v>0</v>
      </c>
    </row>
    <row r="32" spans="1:19" x14ac:dyDescent="0.2">
      <c r="A32" s="380"/>
      <c r="B32" s="307"/>
      <c r="C32" s="376"/>
      <c r="D32" s="376"/>
      <c r="E32" s="376"/>
      <c r="F32" s="376"/>
      <c r="G32" s="376"/>
      <c r="H32" s="376"/>
      <c r="I32" s="367"/>
      <c r="J32" s="376"/>
      <c r="K32" s="376"/>
      <c r="L32" s="376"/>
      <c r="M32" s="376"/>
      <c r="N32" s="376"/>
      <c r="O32" s="312">
        <f t="shared" si="5"/>
        <v>0</v>
      </c>
      <c r="P32" s="385"/>
      <c r="Q32" s="312">
        <f t="shared" si="6"/>
        <v>0</v>
      </c>
    </row>
    <row r="33" spans="1:18" x14ac:dyDescent="0.2">
      <c r="A33" s="380"/>
      <c r="B33" s="307"/>
      <c r="C33" s="376"/>
      <c r="D33" s="376"/>
      <c r="E33" s="376"/>
      <c r="F33" s="376"/>
      <c r="G33" s="376"/>
      <c r="H33" s="376"/>
      <c r="I33" s="367"/>
      <c r="J33" s="376"/>
      <c r="K33" s="376"/>
      <c r="L33" s="376"/>
      <c r="M33" s="376"/>
      <c r="N33" s="376"/>
      <c r="O33" s="312">
        <f t="shared" si="5"/>
        <v>0</v>
      </c>
      <c r="P33" s="385"/>
      <c r="Q33" s="312">
        <f t="shared" si="6"/>
        <v>0</v>
      </c>
    </row>
    <row r="34" spans="1:18" x14ac:dyDescent="0.2">
      <c r="A34" s="380"/>
      <c r="B34" s="307"/>
      <c r="C34" s="376"/>
      <c r="D34" s="376"/>
      <c r="E34" s="376"/>
      <c r="F34" s="376"/>
      <c r="G34" s="376"/>
      <c r="H34" s="376"/>
      <c r="I34" s="367"/>
      <c r="J34" s="376"/>
      <c r="K34" s="376"/>
      <c r="L34" s="376"/>
      <c r="M34" s="376"/>
      <c r="N34" s="376"/>
      <c r="O34" s="312">
        <f t="shared" si="5"/>
        <v>0</v>
      </c>
      <c r="P34" s="385"/>
      <c r="Q34" s="312">
        <f t="shared" si="6"/>
        <v>0</v>
      </c>
    </row>
    <row r="35" spans="1:18" x14ac:dyDescent="0.2">
      <c r="A35" s="380"/>
      <c r="B35" s="307"/>
      <c r="C35" s="376"/>
      <c r="D35" s="376"/>
      <c r="E35" s="376"/>
      <c r="F35" s="376"/>
      <c r="G35" s="376"/>
      <c r="H35" s="376"/>
      <c r="I35" s="367"/>
      <c r="J35" s="376"/>
      <c r="K35" s="376"/>
      <c r="L35" s="376"/>
      <c r="M35" s="376"/>
      <c r="N35" s="376"/>
      <c r="O35" s="312">
        <f t="shared" si="5"/>
        <v>0</v>
      </c>
      <c r="P35" s="385"/>
      <c r="Q35" s="312">
        <f t="shared" si="6"/>
        <v>0</v>
      </c>
    </row>
    <row r="36" spans="1:18" x14ac:dyDescent="0.2">
      <c r="A36" s="380"/>
      <c r="B36" s="307"/>
      <c r="C36" s="376"/>
      <c r="D36" s="376"/>
      <c r="E36" s="376"/>
      <c r="F36" s="376"/>
      <c r="G36" s="376"/>
      <c r="H36" s="376"/>
      <c r="I36" s="367"/>
      <c r="J36" s="376"/>
      <c r="K36" s="376"/>
      <c r="L36" s="376"/>
      <c r="M36" s="376"/>
      <c r="N36" s="376"/>
      <c r="O36" s="312">
        <f t="shared" si="5"/>
        <v>0</v>
      </c>
      <c r="P36" s="385"/>
      <c r="Q36" s="312">
        <f t="shared" si="6"/>
        <v>0</v>
      </c>
    </row>
    <row r="37" spans="1:18" x14ac:dyDescent="0.2">
      <c r="A37" s="380"/>
      <c r="B37" s="307"/>
      <c r="C37" s="376"/>
      <c r="D37" s="376"/>
      <c r="E37" s="376"/>
      <c r="F37" s="376"/>
      <c r="G37" s="376"/>
      <c r="H37" s="376"/>
      <c r="I37" s="367"/>
      <c r="J37" s="376"/>
      <c r="K37" s="376"/>
      <c r="L37" s="376"/>
      <c r="M37" s="376"/>
      <c r="N37" s="376"/>
      <c r="O37" s="312">
        <f t="shared" si="5"/>
        <v>0</v>
      </c>
      <c r="P37" s="385"/>
      <c r="Q37" s="312">
        <f t="shared" si="6"/>
        <v>0</v>
      </c>
    </row>
    <row r="38" spans="1:18" x14ac:dyDescent="0.2">
      <c r="A38" s="380"/>
      <c r="B38" s="307"/>
      <c r="C38" s="376"/>
      <c r="D38" s="376"/>
      <c r="E38" s="376"/>
      <c r="F38" s="376"/>
      <c r="G38" s="376"/>
      <c r="H38" s="376"/>
      <c r="I38" s="367"/>
      <c r="J38" s="376"/>
      <c r="K38" s="376"/>
      <c r="L38" s="376"/>
      <c r="M38" s="376"/>
      <c r="N38" s="376"/>
      <c r="O38" s="312">
        <f t="shared" si="5"/>
        <v>0</v>
      </c>
      <c r="P38" s="385"/>
      <c r="Q38" s="312">
        <f t="shared" si="6"/>
        <v>0</v>
      </c>
    </row>
    <row r="39" spans="1:18" x14ac:dyDescent="0.2">
      <c r="A39" s="380"/>
      <c r="B39" s="307"/>
      <c r="C39" s="376"/>
      <c r="D39" s="376"/>
      <c r="E39" s="376"/>
      <c r="F39" s="376"/>
      <c r="G39" s="376"/>
      <c r="H39" s="376"/>
      <c r="I39" s="367"/>
      <c r="J39" s="376"/>
      <c r="K39" s="376"/>
      <c r="L39" s="376"/>
      <c r="M39" s="376"/>
      <c r="N39" s="376"/>
      <c r="O39" s="312">
        <f t="shared" si="5"/>
        <v>0</v>
      </c>
      <c r="P39" s="385"/>
      <c r="Q39" s="312">
        <f t="shared" si="6"/>
        <v>0</v>
      </c>
    </row>
    <row r="40" spans="1:18" x14ac:dyDescent="0.2">
      <c r="A40" s="380"/>
      <c r="B40" s="307"/>
      <c r="C40" s="376"/>
      <c r="D40" s="376"/>
      <c r="E40" s="376"/>
      <c r="F40" s="376"/>
      <c r="G40" s="376"/>
      <c r="H40" s="376"/>
      <c r="I40" s="367"/>
      <c r="J40" s="376"/>
      <c r="K40" s="376"/>
      <c r="L40" s="376"/>
      <c r="M40" s="376"/>
      <c r="N40" s="376"/>
      <c r="O40" s="312">
        <f t="shared" si="5"/>
        <v>0</v>
      </c>
      <c r="P40" s="385"/>
      <c r="Q40" s="312">
        <f t="shared" si="6"/>
        <v>0</v>
      </c>
    </row>
    <row r="41" spans="1:18" x14ac:dyDescent="0.2">
      <c r="A41" s="380"/>
      <c r="B41" s="307"/>
      <c r="C41" s="376"/>
      <c r="D41" s="376"/>
      <c r="E41" s="376"/>
      <c r="F41" s="376"/>
      <c r="G41" s="376"/>
      <c r="H41" s="376"/>
      <c r="I41" s="367"/>
      <c r="J41" s="376"/>
      <c r="K41" s="376"/>
      <c r="L41" s="376"/>
      <c r="M41" s="376"/>
      <c r="N41" s="376"/>
      <c r="O41" s="312">
        <f t="shared" si="5"/>
        <v>0</v>
      </c>
      <c r="P41" s="385"/>
      <c r="Q41" s="312">
        <f t="shared" si="6"/>
        <v>0</v>
      </c>
    </row>
    <row r="42" spans="1:18" x14ac:dyDescent="0.2">
      <c r="A42" s="366"/>
      <c r="B42" s="307"/>
      <c r="C42" s="376"/>
      <c r="D42" s="376"/>
      <c r="E42" s="376"/>
      <c r="F42" s="376"/>
      <c r="G42" s="376"/>
      <c r="H42" s="376"/>
      <c r="I42" s="367"/>
      <c r="J42" s="383"/>
      <c r="K42" s="376"/>
      <c r="L42" s="376"/>
      <c r="M42" s="376"/>
      <c r="N42" s="376"/>
      <c r="O42" s="332">
        <f>SUM(C42:N42)</f>
        <v>0</v>
      </c>
      <c r="P42" s="386"/>
      <c r="Q42" s="312">
        <f>-O42+P42</f>
        <v>0</v>
      </c>
    </row>
    <row r="43" spans="1:18" x14ac:dyDescent="0.2">
      <c r="A43" s="366"/>
      <c r="B43" s="307"/>
      <c r="C43" s="376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84" t="s">
        <v>533</v>
      </c>
      <c r="O43" s="313"/>
      <c r="P43" s="375"/>
      <c r="Q43" s="312"/>
    </row>
    <row r="44" spans="1:18" s="294" customFormat="1" ht="13.5" thickBot="1" x14ac:dyDescent="0.25">
      <c r="A44" s="294" t="s">
        <v>534</v>
      </c>
      <c r="B44" s="302"/>
      <c r="C44" s="334">
        <f t="shared" ref="C44:Q44" si="7">SUM(C22,C25:C42)</f>
        <v>0</v>
      </c>
      <c r="D44" s="335">
        <f t="shared" si="7"/>
        <v>0</v>
      </c>
      <c r="E44" s="335">
        <f t="shared" si="7"/>
        <v>0</v>
      </c>
      <c r="F44" s="335">
        <f t="shared" si="7"/>
        <v>0</v>
      </c>
      <c r="G44" s="335">
        <f t="shared" si="7"/>
        <v>0</v>
      </c>
      <c r="H44" s="335">
        <f t="shared" si="7"/>
        <v>0</v>
      </c>
      <c r="I44" s="335">
        <f t="shared" si="7"/>
        <v>0</v>
      </c>
      <c r="J44" s="335">
        <f t="shared" si="7"/>
        <v>0</v>
      </c>
      <c r="K44" s="335">
        <f t="shared" si="7"/>
        <v>0</v>
      </c>
      <c r="L44" s="335">
        <f t="shared" si="7"/>
        <v>0</v>
      </c>
      <c r="M44" s="335">
        <f t="shared" si="7"/>
        <v>0</v>
      </c>
      <c r="N44" s="335">
        <f t="shared" si="7"/>
        <v>0</v>
      </c>
      <c r="O44" s="335">
        <f>SUM(O22,O25:O42)</f>
        <v>0</v>
      </c>
      <c r="P44" s="335">
        <f t="shared" si="7"/>
        <v>0</v>
      </c>
      <c r="Q44" s="335">
        <f t="shared" si="7"/>
        <v>0</v>
      </c>
      <c r="R44" s="336"/>
    </row>
    <row r="45" spans="1:18" ht="13.5" thickTop="1" x14ac:dyDescent="0.2">
      <c r="A45" s="294" t="s">
        <v>535</v>
      </c>
      <c r="B45" s="307"/>
      <c r="C45" s="337">
        <f>C44</f>
        <v>0</v>
      </c>
      <c r="D45" s="337">
        <f t="shared" ref="D45:N45" si="8">C45+D44</f>
        <v>0</v>
      </c>
      <c r="E45" s="337">
        <f t="shared" si="8"/>
        <v>0</v>
      </c>
      <c r="F45" s="337">
        <f t="shared" si="8"/>
        <v>0</v>
      </c>
      <c r="G45" s="337">
        <f t="shared" si="8"/>
        <v>0</v>
      </c>
      <c r="H45" s="337">
        <f t="shared" si="8"/>
        <v>0</v>
      </c>
      <c r="I45" s="337">
        <f t="shared" si="8"/>
        <v>0</v>
      </c>
      <c r="J45" s="337">
        <f t="shared" si="8"/>
        <v>0</v>
      </c>
      <c r="K45" s="337">
        <f t="shared" si="8"/>
        <v>0</v>
      </c>
      <c r="L45" s="337">
        <f t="shared" si="8"/>
        <v>0</v>
      </c>
      <c r="M45" s="337">
        <f t="shared" si="8"/>
        <v>0</v>
      </c>
      <c r="N45" s="337">
        <f t="shared" si="8"/>
        <v>0</v>
      </c>
      <c r="O45" s="388">
        <f>N45</f>
        <v>0</v>
      </c>
      <c r="P45" s="389">
        <f>P44</f>
        <v>0</v>
      </c>
      <c r="Q45" s="338">
        <f>Q15+Q44</f>
        <v>0</v>
      </c>
    </row>
    <row r="46" spans="1:18" s="339" customFormat="1" ht="12.75" customHeight="1" x14ac:dyDescent="0.2">
      <c r="A46" s="339" t="s">
        <v>536</v>
      </c>
      <c r="B46" s="340"/>
      <c r="C46" s="341" t="e">
        <f>C45/P44</f>
        <v>#DIV/0!</v>
      </c>
      <c r="D46" s="341" t="e">
        <f>D45/P44</f>
        <v>#DIV/0!</v>
      </c>
      <c r="E46" s="341" t="e">
        <f>E45/P44</f>
        <v>#DIV/0!</v>
      </c>
      <c r="F46" s="341" t="e">
        <f>F45/P44</f>
        <v>#DIV/0!</v>
      </c>
      <c r="G46" s="341" t="e">
        <f>G45/P44</f>
        <v>#DIV/0!</v>
      </c>
      <c r="H46" s="341" t="e">
        <f>H45/P44</f>
        <v>#DIV/0!</v>
      </c>
      <c r="I46" s="341" t="e">
        <f>I45/P44</f>
        <v>#DIV/0!</v>
      </c>
      <c r="J46" s="341" t="e">
        <f>J45/P44</f>
        <v>#DIV/0!</v>
      </c>
      <c r="K46" s="341" t="e">
        <f>K45/P44</f>
        <v>#DIV/0!</v>
      </c>
      <c r="L46" s="341" t="e">
        <f>L45/P44</f>
        <v>#DIV/0!</v>
      </c>
      <c r="M46" s="341" t="e">
        <f>M45/P44</f>
        <v>#DIV/0!</v>
      </c>
      <c r="N46" s="341" t="e">
        <f>N45/P44</f>
        <v>#DIV/0!</v>
      </c>
      <c r="O46" s="390"/>
      <c r="P46" s="342"/>
      <c r="Q46" s="342"/>
    </row>
    <row r="47" spans="1:18" x14ac:dyDescent="0.2">
      <c r="G47" s="296"/>
      <c r="H47" s="296"/>
      <c r="I47" s="296"/>
      <c r="J47" s="296"/>
      <c r="K47" s="296"/>
      <c r="L47" s="296"/>
      <c r="M47" s="296"/>
      <c r="N47" s="296"/>
      <c r="O47" s="343"/>
      <c r="P47" s="339"/>
      <c r="Q47" s="339"/>
    </row>
    <row r="48" spans="1:18" x14ac:dyDescent="0.2">
      <c r="A48" s="620" t="s">
        <v>537</v>
      </c>
      <c r="B48" s="620"/>
      <c r="C48" s="620"/>
      <c r="D48" s="620"/>
      <c r="E48" s="620"/>
      <c r="F48" s="620"/>
      <c r="G48" s="620"/>
      <c r="H48" s="620"/>
      <c r="I48" s="620"/>
      <c r="J48" s="620"/>
      <c r="K48" s="620"/>
      <c r="L48" s="620"/>
      <c r="M48" s="620"/>
      <c r="N48" s="620"/>
      <c r="O48" s="620"/>
      <c r="P48" s="620"/>
      <c r="Q48" s="620"/>
    </row>
    <row r="49" spans="1:18" x14ac:dyDescent="0.2"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44"/>
      <c r="P49" s="286"/>
      <c r="Q49" s="286"/>
      <c r="R49" s="324"/>
    </row>
    <row r="50" spans="1:18" x14ac:dyDescent="0.2">
      <c r="A50" s="284" t="s">
        <v>538</v>
      </c>
      <c r="C50" s="333">
        <f t="shared" ref="C50:P50" si="9">C15-C44</f>
        <v>0</v>
      </c>
      <c r="D50" s="333">
        <f t="shared" si="9"/>
        <v>0</v>
      </c>
      <c r="E50" s="333">
        <f t="shared" si="9"/>
        <v>0</v>
      </c>
      <c r="F50" s="333">
        <f t="shared" si="9"/>
        <v>0</v>
      </c>
      <c r="G50" s="333">
        <f t="shared" si="9"/>
        <v>0</v>
      </c>
      <c r="H50" s="333">
        <f t="shared" si="9"/>
        <v>0</v>
      </c>
      <c r="I50" s="333">
        <f t="shared" si="9"/>
        <v>0</v>
      </c>
      <c r="J50" s="333">
        <f t="shared" si="9"/>
        <v>0</v>
      </c>
      <c r="K50" s="333">
        <f t="shared" si="9"/>
        <v>0</v>
      </c>
      <c r="L50" s="333">
        <f t="shared" si="9"/>
        <v>0</v>
      </c>
      <c r="M50" s="333">
        <f t="shared" si="9"/>
        <v>0</v>
      </c>
      <c r="N50" s="333">
        <f t="shared" si="9"/>
        <v>0</v>
      </c>
      <c r="O50" s="333">
        <f t="shared" si="9"/>
        <v>0</v>
      </c>
      <c r="P50" s="333">
        <f t="shared" si="9"/>
        <v>0</v>
      </c>
      <c r="Q50" s="391">
        <f>Q15+Q44</f>
        <v>0</v>
      </c>
    </row>
    <row r="51" spans="1:18" x14ac:dyDescent="0.2">
      <c r="C51" s="333"/>
      <c r="D51" s="345"/>
      <c r="E51" s="333"/>
      <c r="F51" s="345"/>
      <c r="G51" s="345"/>
      <c r="H51" s="345"/>
      <c r="I51" s="345"/>
      <c r="J51" s="345"/>
      <c r="K51" s="345"/>
      <c r="L51" s="345"/>
      <c r="M51" s="345"/>
      <c r="N51" s="345"/>
      <c r="O51" s="346"/>
      <c r="P51" s="346"/>
      <c r="Q51" s="347"/>
    </row>
    <row r="52" spans="1:18" x14ac:dyDescent="0.2">
      <c r="A52" s="284" t="s">
        <v>539</v>
      </c>
      <c r="C52" s="384">
        <v>0</v>
      </c>
      <c r="D52" s="345">
        <f t="shared" ref="D52:N52" si="10">C54</f>
        <v>0</v>
      </c>
      <c r="E52" s="345">
        <f t="shared" si="10"/>
        <v>0</v>
      </c>
      <c r="F52" s="345">
        <f t="shared" si="10"/>
        <v>0</v>
      </c>
      <c r="G52" s="345">
        <f t="shared" si="10"/>
        <v>0</v>
      </c>
      <c r="H52" s="345">
        <f t="shared" si="10"/>
        <v>0</v>
      </c>
      <c r="I52" s="345">
        <f t="shared" si="10"/>
        <v>0</v>
      </c>
      <c r="J52" s="345">
        <f t="shared" si="10"/>
        <v>0</v>
      </c>
      <c r="K52" s="345">
        <f t="shared" si="10"/>
        <v>0</v>
      </c>
      <c r="L52" s="345">
        <f t="shared" si="10"/>
        <v>0</v>
      </c>
      <c r="M52" s="345">
        <f t="shared" si="10"/>
        <v>0</v>
      </c>
      <c r="N52" s="345">
        <f t="shared" si="10"/>
        <v>0</v>
      </c>
      <c r="O52" s="387"/>
      <c r="P52" s="387"/>
      <c r="Q52" s="345">
        <f>O52-P52</f>
        <v>0</v>
      </c>
    </row>
    <row r="53" spans="1:18" x14ac:dyDescent="0.2">
      <c r="C53" s="348"/>
      <c r="D53" s="349"/>
      <c r="E53" s="348"/>
      <c r="F53" s="349"/>
      <c r="G53" s="349"/>
      <c r="H53" s="349"/>
      <c r="I53" s="349"/>
      <c r="J53" s="349"/>
      <c r="K53" s="349"/>
      <c r="L53" s="349"/>
      <c r="M53" s="349"/>
      <c r="N53" s="349"/>
      <c r="O53" s="350"/>
      <c r="P53" s="350"/>
      <c r="Q53" s="350"/>
    </row>
    <row r="54" spans="1:18" s="294" customFormat="1" ht="13.5" thickBot="1" x14ac:dyDescent="0.25">
      <c r="A54" s="294" t="s">
        <v>540</v>
      </c>
      <c r="C54" s="351">
        <f>SUM(C50:C52)</f>
        <v>0</v>
      </c>
      <c r="D54" s="352">
        <f t="shared" ref="D54:Q54" si="11">SUM(D50:D53)</f>
        <v>0</v>
      </c>
      <c r="E54" s="351">
        <f t="shared" si="11"/>
        <v>0</v>
      </c>
      <c r="F54" s="352">
        <f t="shared" si="11"/>
        <v>0</v>
      </c>
      <c r="G54" s="352">
        <f t="shared" si="11"/>
        <v>0</v>
      </c>
      <c r="H54" s="352">
        <f t="shared" si="11"/>
        <v>0</v>
      </c>
      <c r="I54" s="352">
        <f t="shared" si="11"/>
        <v>0</v>
      </c>
      <c r="J54" s="352">
        <f t="shared" si="11"/>
        <v>0</v>
      </c>
      <c r="K54" s="352">
        <f t="shared" si="11"/>
        <v>0</v>
      </c>
      <c r="L54" s="352">
        <f t="shared" si="11"/>
        <v>0</v>
      </c>
      <c r="M54" s="352">
        <f t="shared" si="11"/>
        <v>0</v>
      </c>
      <c r="N54" s="352">
        <f t="shared" si="11"/>
        <v>0</v>
      </c>
      <c r="O54" s="352">
        <f t="shared" si="11"/>
        <v>0</v>
      </c>
      <c r="P54" s="352">
        <f t="shared" si="11"/>
        <v>0</v>
      </c>
      <c r="Q54" s="352">
        <f t="shared" si="11"/>
        <v>0</v>
      </c>
    </row>
    <row r="55" spans="1:18" s="294" customFormat="1" ht="13.5" thickTop="1" x14ac:dyDescent="0.2"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</row>
    <row r="56" spans="1:18" s="294" customFormat="1" ht="14.25" x14ac:dyDescent="0.2">
      <c r="A56" s="137" t="str">
        <f>'Form 1 Cover'!A20</f>
        <v>Charter School - fill in the name of your school</v>
      </c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P56" s="3" t="str">
        <f>"Budget Fiscal Year "&amp;TEXT('Form 1 Cover'!$C$137, "mm/dd/yy")</f>
        <v>Budget Fiscal Year 2014-2015</v>
      </c>
      <c r="Q56" s="353"/>
    </row>
    <row r="57" spans="1:18" x14ac:dyDescent="0.2">
      <c r="C57" s="287"/>
    </row>
    <row r="58" spans="1:18" x14ac:dyDescent="0.2">
      <c r="A58" s="354" t="s">
        <v>589</v>
      </c>
      <c r="C58" s="355"/>
      <c r="D58" s="355"/>
      <c r="E58" s="355"/>
      <c r="F58" s="355"/>
      <c r="G58" s="356"/>
      <c r="P58" s="324"/>
    </row>
    <row r="59" spans="1:18" ht="15" x14ac:dyDescent="0.35">
      <c r="A59" s="357"/>
      <c r="C59" s="355"/>
      <c r="D59" s="358"/>
      <c r="E59" s="355"/>
      <c r="F59" s="355"/>
      <c r="G59" s="359"/>
      <c r="H59" s="324"/>
      <c r="I59" s="324"/>
      <c r="J59" s="324"/>
      <c r="P59" s="324"/>
    </row>
    <row r="60" spans="1:18" x14ac:dyDescent="0.2">
      <c r="A60" s="357"/>
      <c r="D60" s="355"/>
      <c r="E60" s="324"/>
      <c r="F60" s="324"/>
      <c r="G60" s="324"/>
      <c r="H60" s="324"/>
      <c r="I60" s="324"/>
      <c r="J60" s="324"/>
    </row>
    <row r="61" spans="1:18" x14ac:dyDescent="0.2">
      <c r="C61" s="355"/>
      <c r="D61" s="355"/>
      <c r="E61" s="355"/>
      <c r="F61" s="355"/>
      <c r="G61" s="356"/>
    </row>
    <row r="62" spans="1:18" x14ac:dyDescent="0.2">
      <c r="C62" s="355"/>
      <c r="D62" s="355"/>
      <c r="E62" s="355"/>
      <c r="F62" s="355"/>
      <c r="G62" s="356"/>
    </row>
    <row r="63" spans="1:18" x14ac:dyDescent="0.2">
      <c r="C63" s="355"/>
      <c r="D63" s="360"/>
      <c r="E63" s="355"/>
      <c r="F63" s="355"/>
      <c r="G63" s="356"/>
    </row>
    <row r="64" spans="1:18" x14ac:dyDescent="0.2">
      <c r="C64" s="355"/>
      <c r="D64" s="360"/>
      <c r="E64" s="355"/>
      <c r="F64" s="355"/>
      <c r="G64" s="356"/>
    </row>
    <row r="65" spans="3:12" x14ac:dyDescent="0.2">
      <c r="C65" s="355"/>
      <c r="D65" s="361"/>
      <c r="E65" s="355"/>
      <c r="F65" s="355"/>
      <c r="G65" s="356"/>
      <c r="L65" s="362"/>
    </row>
    <row r="66" spans="3:12" ht="15" x14ac:dyDescent="0.35">
      <c r="C66" s="355"/>
      <c r="D66" s="363"/>
      <c r="E66" s="355"/>
      <c r="F66" s="355"/>
      <c r="G66" s="356"/>
      <c r="L66" s="362"/>
    </row>
    <row r="67" spans="3:12" x14ac:dyDescent="0.2">
      <c r="C67" s="355"/>
      <c r="D67" s="360"/>
      <c r="E67" s="355"/>
      <c r="F67" s="355"/>
      <c r="G67" s="356"/>
      <c r="L67" s="362"/>
    </row>
    <row r="68" spans="3:12" x14ac:dyDescent="0.2">
      <c r="C68" s="364"/>
    </row>
    <row r="69" spans="3:12" x14ac:dyDescent="0.2">
      <c r="C69" s="287"/>
    </row>
  </sheetData>
  <sheetProtection sheet="1"/>
  <mergeCells count="3">
    <mergeCell ref="O3:O4"/>
    <mergeCell ref="P3:P4"/>
    <mergeCell ref="A48:Q48"/>
  </mergeCells>
  <phoneticPr fontId="11" type="noConversion"/>
  <conditionalFormatting sqref="C50:Q56 Q5:Q46">
    <cfRule type="cellIs" dxfId="0" priority="1" stopIfTrue="1" operator="lessThan">
      <formula>0</formula>
    </cfRule>
  </conditionalFormatting>
  <printOptions horizontalCentered="1" verticalCentered="1"/>
  <pageMargins left="0.5" right="0.25" top="0.5" bottom="0.5" header="0.5" footer="0.5"/>
  <pageSetup paperSize="5" scale="69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Instructions</vt:lpstr>
      <vt:lpstr>Form 1 Cover</vt:lpstr>
      <vt:lpstr>Form 2 Enrollment-DSA</vt:lpstr>
      <vt:lpstr>Form 3 Revenues</vt:lpstr>
      <vt:lpstr>Form 4 Expenses</vt:lpstr>
      <vt:lpstr>Form 5 Exp Summary</vt:lpstr>
      <vt:lpstr>Form 6 Proprietary-Enterprise</vt:lpstr>
      <vt:lpstr>Form 7 Debt</vt:lpstr>
      <vt:lpstr>Form 8 Tuition, Transportation</vt:lpstr>
      <vt:lpstr>FORM 9 Fund Transfers</vt:lpstr>
      <vt:lpstr>FORM 10 Lobby Expense</vt:lpstr>
      <vt:lpstr>FORM 11 Cash Flow</vt:lpstr>
      <vt:lpstr>'Form 1 Cover'!Print_Area</vt:lpstr>
      <vt:lpstr>'Form 2 Enrollment-DSA'!Print_Area</vt:lpstr>
      <vt:lpstr>'Form 4 Expenses'!Print_Area</vt:lpstr>
      <vt:lpstr>'Form 6 Proprietary-Enterprise'!Print_Area</vt:lpstr>
      <vt:lpstr>'Form 7 Debt'!Print_Area</vt:lpstr>
    </vt:vector>
  </TitlesOfParts>
  <Company>State of NV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Dept. of Taxation</dc:creator>
  <cp:lastModifiedBy>Donna Wix</cp:lastModifiedBy>
  <cp:lastPrinted>2014-03-05T21:45:57Z</cp:lastPrinted>
  <dcterms:created xsi:type="dcterms:W3CDTF">2002-08-27T23:27:13Z</dcterms:created>
  <dcterms:modified xsi:type="dcterms:W3CDTF">2014-03-26T22:17:06Z</dcterms:modified>
</cp:coreProperties>
</file>