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4"/>
  </bookViews>
  <sheets>
    <sheet name="MASTER data" sheetId="1" r:id="rId1"/>
    <sheet name="UTC" sheetId="2" r:id="rId2"/>
    <sheet name="RIL" sheetId="4" r:id="rId3"/>
    <sheet name="SEP" sheetId="5" r:id="rId4"/>
    <sheet name="LFG" sheetId="6" r:id="rId5"/>
  </sheets>
  <calcPr calcId="125725"/>
</workbook>
</file>

<file path=xl/calcChain.xml><?xml version="1.0" encoding="utf-8"?>
<calcChain xmlns="http://schemas.openxmlformats.org/spreadsheetml/2006/main">
  <c r="B7" i="6"/>
  <c r="B8"/>
  <c r="B9"/>
  <c r="B10"/>
  <c r="B11"/>
  <c r="B12"/>
  <c r="B13"/>
  <c r="B14"/>
  <c r="B6"/>
  <c r="C7" i="5"/>
  <c r="D7" s="1"/>
  <c r="E7"/>
  <c r="F7" s="1"/>
  <c r="G7"/>
  <c r="H7" s="1"/>
  <c r="I7"/>
  <c r="J7" s="1"/>
  <c r="K7"/>
  <c r="L7" s="1"/>
  <c r="M7"/>
  <c r="N7" s="1"/>
  <c r="O7"/>
  <c r="P7" s="1"/>
  <c r="Q7"/>
  <c r="R7" s="1"/>
  <c r="S7"/>
  <c r="T7" s="1"/>
  <c r="U7"/>
  <c r="V7" s="1"/>
  <c r="W7"/>
  <c r="X7" s="1"/>
  <c r="Y7"/>
  <c r="Z7" s="1"/>
  <c r="C8"/>
  <c r="D8" s="1"/>
  <c r="E8"/>
  <c r="F8" s="1"/>
  <c r="G8"/>
  <c r="H8" s="1"/>
  <c r="I8"/>
  <c r="J8" s="1"/>
  <c r="K8"/>
  <c r="L8" s="1"/>
  <c r="M8"/>
  <c r="N8" s="1"/>
  <c r="O8"/>
  <c r="P8" s="1"/>
  <c r="Q8"/>
  <c r="R8" s="1"/>
  <c r="S8"/>
  <c r="T8" s="1"/>
  <c r="U8"/>
  <c r="V8" s="1"/>
  <c r="W8"/>
  <c r="X8" s="1"/>
  <c r="Y8"/>
  <c r="Z8" s="1"/>
  <c r="C9"/>
  <c r="D9" s="1"/>
  <c r="E9"/>
  <c r="F9" s="1"/>
  <c r="G9"/>
  <c r="H9" s="1"/>
  <c r="I9"/>
  <c r="J9" s="1"/>
  <c r="K9"/>
  <c r="L9" s="1"/>
  <c r="M9"/>
  <c r="N9" s="1"/>
  <c r="O9"/>
  <c r="P9" s="1"/>
  <c r="Q9"/>
  <c r="R9" s="1"/>
  <c r="S9"/>
  <c r="T9" s="1"/>
  <c r="U9"/>
  <c r="V9" s="1"/>
  <c r="W9"/>
  <c r="X9" s="1"/>
  <c r="Y9"/>
  <c r="Z9" s="1"/>
  <c r="C10"/>
  <c r="D10" s="1"/>
  <c r="E10"/>
  <c r="F10" s="1"/>
  <c r="G10"/>
  <c r="H10" s="1"/>
  <c r="I10"/>
  <c r="J10" s="1"/>
  <c r="K10"/>
  <c r="L10" s="1"/>
  <c r="M10"/>
  <c r="N10" s="1"/>
  <c r="O10"/>
  <c r="P10" s="1"/>
  <c r="Q10"/>
  <c r="R10" s="1"/>
  <c r="S10"/>
  <c r="T10" s="1"/>
  <c r="U10"/>
  <c r="V10" s="1"/>
  <c r="W10"/>
  <c r="X10" s="1"/>
  <c r="Y10"/>
  <c r="Z10" s="1"/>
  <c r="C11"/>
  <c r="D11" s="1"/>
  <c r="E11"/>
  <c r="F11" s="1"/>
  <c r="G11"/>
  <c r="H11" s="1"/>
  <c r="I11"/>
  <c r="J11" s="1"/>
  <c r="K11"/>
  <c r="L11" s="1"/>
  <c r="M11"/>
  <c r="N11" s="1"/>
  <c r="O11"/>
  <c r="P11" s="1"/>
  <c r="Q11"/>
  <c r="R11" s="1"/>
  <c r="S11"/>
  <c r="T11" s="1"/>
  <c r="U11"/>
  <c r="V11" s="1"/>
  <c r="W11"/>
  <c r="X11" s="1"/>
  <c r="Y11"/>
  <c r="Z11" s="1"/>
  <c r="C12"/>
  <c r="D12" s="1"/>
  <c r="E12"/>
  <c r="F12" s="1"/>
  <c r="G12"/>
  <c r="H12" s="1"/>
  <c r="I12"/>
  <c r="J12" s="1"/>
  <c r="K12"/>
  <c r="L12" s="1"/>
  <c r="M12"/>
  <c r="N12" s="1"/>
  <c r="O12"/>
  <c r="P12" s="1"/>
  <c r="Q12"/>
  <c r="R12" s="1"/>
  <c r="S12"/>
  <c r="T12" s="1"/>
  <c r="U12"/>
  <c r="V12" s="1"/>
  <c r="W12"/>
  <c r="X12" s="1"/>
  <c r="Y12"/>
  <c r="Z12" s="1"/>
  <c r="C13"/>
  <c r="D13" s="1"/>
  <c r="E13"/>
  <c r="F13" s="1"/>
  <c r="G13"/>
  <c r="H13" s="1"/>
  <c r="I13"/>
  <c r="J13" s="1"/>
  <c r="K13"/>
  <c r="L13" s="1"/>
  <c r="M13"/>
  <c r="N13" s="1"/>
  <c r="O13"/>
  <c r="P13" s="1"/>
  <c r="Q13"/>
  <c r="R13" s="1"/>
  <c r="S13"/>
  <c r="T13" s="1"/>
  <c r="U13"/>
  <c r="V13" s="1"/>
  <c r="W13"/>
  <c r="X13" s="1"/>
  <c r="Y13"/>
  <c r="Z13" s="1"/>
  <c r="C14"/>
  <c r="D14" s="1"/>
  <c r="E14"/>
  <c r="F14" s="1"/>
  <c r="G14"/>
  <c r="H14" s="1"/>
  <c r="I14"/>
  <c r="J14" s="1"/>
  <c r="K14"/>
  <c r="L14" s="1"/>
  <c r="M14"/>
  <c r="N14" s="1"/>
  <c r="O14"/>
  <c r="P14" s="1"/>
  <c r="Q14"/>
  <c r="R14" s="1"/>
  <c r="S14"/>
  <c r="T14" s="1"/>
  <c r="U14"/>
  <c r="V14" s="1"/>
  <c r="W14"/>
  <c r="X14" s="1"/>
  <c r="Y14"/>
  <c r="Z14" s="1"/>
  <c r="C15"/>
  <c r="D15" s="1"/>
  <c r="E15"/>
  <c r="F15" s="1"/>
  <c r="G15"/>
  <c r="H15" s="1"/>
  <c r="I15"/>
  <c r="J15" s="1"/>
  <c r="K15"/>
  <c r="L15" s="1"/>
  <c r="M15"/>
  <c r="N15" s="1"/>
  <c r="O15"/>
  <c r="P15" s="1"/>
  <c r="Q15"/>
  <c r="R15" s="1"/>
  <c r="S15"/>
  <c r="T15" s="1"/>
  <c r="U15"/>
  <c r="V15" s="1"/>
  <c r="W15"/>
  <c r="X15" s="1"/>
  <c r="Y15"/>
  <c r="Z15" s="1"/>
  <c r="C16"/>
  <c r="D16" s="1"/>
  <c r="E16"/>
  <c r="F16" s="1"/>
  <c r="G16"/>
  <c r="H16" s="1"/>
  <c r="I16"/>
  <c r="J16" s="1"/>
  <c r="K16"/>
  <c r="L16" s="1"/>
  <c r="M16"/>
  <c r="N16" s="1"/>
  <c r="O16"/>
  <c r="P16" s="1"/>
  <c r="Q16"/>
  <c r="R16" s="1"/>
  <c r="S16"/>
  <c r="T16" s="1"/>
  <c r="U16"/>
  <c r="V16" s="1"/>
  <c r="W16"/>
  <c r="X16" s="1"/>
  <c r="Y16"/>
  <c r="Z16" s="1"/>
  <c r="C17"/>
  <c r="D17" s="1"/>
  <c r="E17"/>
  <c r="F17" s="1"/>
  <c r="G17"/>
  <c r="H17" s="1"/>
  <c r="I17"/>
  <c r="J17" s="1"/>
  <c r="K17"/>
  <c r="L17" s="1"/>
  <c r="M17"/>
  <c r="N17" s="1"/>
  <c r="O17"/>
  <c r="P17" s="1"/>
  <c r="Q17"/>
  <c r="R17" s="1"/>
  <c r="S17"/>
  <c r="T17" s="1"/>
  <c r="U17"/>
  <c r="V17" s="1"/>
  <c r="W17"/>
  <c r="X17" s="1"/>
  <c r="Y17"/>
  <c r="Z17" s="1"/>
  <c r="C18"/>
  <c r="D18" s="1"/>
  <c r="E18"/>
  <c r="F18" s="1"/>
  <c r="G18"/>
  <c r="H18" s="1"/>
  <c r="I18"/>
  <c r="J18" s="1"/>
  <c r="K18"/>
  <c r="L18" s="1"/>
  <c r="M18"/>
  <c r="N18" s="1"/>
  <c r="O18"/>
  <c r="P18" s="1"/>
  <c r="Q18"/>
  <c r="R18" s="1"/>
  <c r="S18"/>
  <c r="T18" s="1"/>
  <c r="U18"/>
  <c r="V18" s="1"/>
  <c r="W18"/>
  <c r="X18" s="1"/>
  <c r="Y18"/>
  <c r="Z18" s="1"/>
  <c r="C19"/>
  <c r="D19" s="1"/>
  <c r="E19"/>
  <c r="F19" s="1"/>
  <c r="G19"/>
  <c r="H19" s="1"/>
  <c r="I19"/>
  <c r="J19" s="1"/>
  <c r="K19"/>
  <c r="L19" s="1"/>
  <c r="M19"/>
  <c r="N19" s="1"/>
  <c r="O19"/>
  <c r="P19" s="1"/>
  <c r="Q19"/>
  <c r="R19" s="1"/>
  <c r="S19"/>
  <c r="T19" s="1"/>
  <c r="U19"/>
  <c r="V19" s="1"/>
  <c r="W19"/>
  <c r="X19" s="1"/>
  <c r="Y19"/>
  <c r="Z19" s="1"/>
  <c r="C20"/>
  <c r="D20" s="1"/>
  <c r="E20"/>
  <c r="F20" s="1"/>
  <c r="G20"/>
  <c r="H20" s="1"/>
  <c r="I20"/>
  <c r="J20" s="1"/>
  <c r="K20"/>
  <c r="L20" s="1"/>
  <c r="M20"/>
  <c r="N20" s="1"/>
  <c r="O20"/>
  <c r="P20" s="1"/>
  <c r="Q20"/>
  <c r="R20" s="1"/>
  <c r="S20"/>
  <c r="T20" s="1"/>
  <c r="U20"/>
  <c r="V20" s="1"/>
  <c r="W20"/>
  <c r="X20" s="1"/>
  <c r="Y20"/>
  <c r="Z20" s="1"/>
  <c r="C21"/>
  <c r="D21" s="1"/>
  <c r="E21"/>
  <c r="F21" s="1"/>
  <c r="G21"/>
  <c r="H21" s="1"/>
  <c r="I21"/>
  <c r="J21" s="1"/>
  <c r="K21"/>
  <c r="L21" s="1"/>
  <c r="M21"/>
  <c r="N21" s="1"/>
  <c r="O21"/>
  <c r="P21" s="1"/>
  <c r="Q21"/>
  <c r="R21" s="1"/>
  <c r="S21"/>
  <c r="T21" s="1"/>
  <c r="U21"/>
  <c r="V21" s="1"/>
  <c r="W21"/>
  <c r="X21" s="1"/>
  <c r="Y21"/>
  <c r="Z21" s="1"/>
  <c r="C22"/>
  <c r="D22" s="1"/>
  <c r="E22"/>
  <c r="F22" s="1"/>
  <c r="G22"/>
  <c r="H22" s="1"/>
  <c r="I22"/>
  <c r="J22" s="1"/>
  <c r="K22"/>
  <c r="L22" s="1"/>
  <c r="M22"/>
  <c r="N22" s="1"/>
  <c r="O22"/>
  <c r="P22" s="1"/>
  <c r="Q22"/>
  <c r="R22" s="1"/>
  <c r="S22"/>
  <c r="T22" s="1"/>
  <c r="U22"/>
  <c r="V22" s="1"/>
  <c r="W22"/>
  <c r="X22" s="1"/>
  <c r="Y22"/>
  <c r="Z22" s="1"/>
  <c r="C23"/>
  <c r="D23" s="1"/>
  <c r="E23"/>
  <c r="F23" s="1"/>
  <c r="G23"/>
  <c r="H23" s="1"/>
  <c r="I23"/>
  <c r="J23" s="1"/>
  <c r="K23"/>
  <c r="L23" s="1"/>
  <c r="M23"/>
  <c r="N23" s="1"/>
  <c r="O23"/>
  <c r="P23" s="1"/>
  <c r="Q23"/>
  <c r="R23" s="1"/>
  <c r="S23"/>
  <c r="T23" s="1"/>
  <c r="U23"/>
  <c r="V23" s="1"/>
  <c r="W23"/>
  <c r="X23" s="1"/>
  <c r="Y23"/>
  <c r="Z23" s="1"/>
  <c r="C24"/>
  <c r="D24" s="1"/>
  <c r="E24"/>
  <c r="F24" s="1"/>
  <c r="G24"/>
  <c r="H24" s="1"/>
  <c r="I24"/>
  <c r="J24" s="1"/>
  <c r="K24"/>
  <c r="L24" s="1"/>
  <c r="M24"/>
  <c r="N24" s="1"/>
  <c r="O24"/>
  <c r="P24" s="1"/>
  <c r="Q24"/>
  <c r="R24" s="1"/>
  <c r="S24"/>
  <c r="T24" s="1"/>
  <c r="U24"/>
  <c r="V24" s="1"/>
  <c r="W24"/>
  <c r="X24" s="1"/>
  <c r="Y24"/>
  <c r="Z24" s="1"/>
  <c r="C25"/>
  <c r="D25" s="1"/>
  <c r="E25"/>
  <c r="F25" s="1"/>
  <c r="G25"/>
  <c r="H25" s="1"/>
  <c r="I25"/>
  <c r="J25" s="1"/>
  <c r="K25"/>
  <c r="L25" s="1"/>
  <c r="M25"/>
  <c r="N25" s="1"/>
  <c r="O25"/>
  <c r="P25" s="1"/>
  <c r="Q25"/>
  <c r="R25" s="1"/>
  <c r="S25"/>
  <c r="T25" s="1"/>
  <c r="U25"/>
  <c r="V25" s="1"/>
  <c r="W25"/>
  <c r="X25" s="1"/>
  <c r="Y25"/>
  <c r="Z25" s="1"/>
  <c r="C26"/>
  <c r="D26" s="1"/>
  <c r="E26"/>
  <c r="F26" s="1"/>
  <c r="G26"/>
  <c r="H26" s="1"/>
  <c r="I26"/>
  <c r="J26" s="1"/>
  <c r="K26"/>
  <c r="L26" s="1"/>
  <c r="M26"/>
  <c r="N26" s="1"/>
  <c r="O26"/>
  <c r="P26" s="1"/>
  <c r="Q26"/>
  <c r="R26" s="1"/>
  <c r="S26"/>
  <c r="T26" s="1"/>
  <c r="U26"/>
  <c r="V26" s="1"/>
  <c r="W26"/>
  <c r="X26" s="1"/>
  <c r="Y26"/>
  <c r="Z26" s="1"/>
  <c r="C27"/>
  <c r="D27" s="1"/>
  <c r="E27"/>
  <c r="F27" s="1"/>
  <c r="G27"/>
  <c r="H27" s="1"/>
  <c r="I27"/>
  <c r="J27" s="1"/>
  <c r="K27"/>
  <c r="L27" s="1"/>
  <c r="M27"/>
  <c r="N27" s="1"/>
  <c r="O27"/>
  <c r="P27" s="1"/>
  <c r="Q27"/>
  <c r="R27" s="1"/>
  <c r="S27"/>
  <c r="T27" s="1"/>
  <c r="U27"/>
  <c r="V27" s="1"/>
  <c r="W27"/>
  <c r="X27" s="1"/>
  <c r="Y27"/>
  <c r="Z27" s="1"/>
  <c r="C28"/>
  <c r="D28" s="1"/>
  <c r="E28"/>
  <c r="F28" s="1"/>
  <c r="G28"/>
  <c r="H28" s="1"/>
  <c r="I28"/>
  <c r="J28" s="1"/>
  <c r="K28"/>
  <c r="L28" s="1"/>
  <c r="M28"/>
  <c r="N28" s="1"/>
  <c r="O28"/>
  <c r="P28" s="1"/>
  <c r="Q28"/>
  <c r="R28" s="1"/>
  <c r="S28"/>
  <c r="T28" s="1"/>
  <c r="U28"/>
  <c r="V28" s="1"/>
  <c r="W28"/>
  <c r="X28" s="1"/>
  <c r="Y28"/>
  <c r="Z28" s="1"/>
  <c r="C29"/>
  <c r="D29" s="1"/>
  <c r="E29"/>
  <c r="F29" s="1"/>
  <c r="G29"/>
  <c r="H29" s="1"/>
  <c r="I29"/>
  <c r="J29" s="1"/>
  <c r="K29"/>
  <c r="L29" s="1"/>
  <c r="M29"/>
  <c r="N29" s="1"/>
  <c r="O29"/>
  <c r="P29" s="1"/>
  <c r="Q29"/>
  <c r="R29" s="1"/>
  <c r="S29"/>
  <c r="T29" s="1"/>
  <c r="U29"/>
  <c r="V29" s="1"/>
  <c r="W29"/>
  <c r="X29" s="1"/>
  <c r="Y29"/>
  <c r="Z29" s="1"/>
  <c r="C30"/>
  <c r="D30" s="1"/>
  <c r="E30"/>
  <c r="F30" s="1"/>
  <c r="G30"/>
  <c r="H30" s="1"/>
  <c r="I30"/>
  <c r="J30" s="1"/>
  <c r="K30"/>
  <c r="L30" s="1"/>
  <c r="M30"/>
  <c r="N30" s="1"/>
  <c r="O30"/>
  <c r="P30" s="1"/>
  <c r="Q30"/>
  <c r="R30" s="1"/>
  <c r="S30"/>
  <c r="T30" s="1"/>
  <c r="U30"/>
  <c r="V30" s="1"/>
  <c r="W30"/>
  <c r="X30" s="1"/>
  <c r="Y30"/>
  <c r="Z30" s="1"/>
  <c r="C31"/>
  <c r="D31" s="1"/>
  <c r="E31"/>
  <c r="F31" s="1"/>
  <c r="G31"/>
  <c r="H31" s="1"/>
  <c r="I31"/>
  <c r="J31" s="1"/>
  <c r="K31"/>
  <c r="L31" s="1"/>
  <c r="M31"/>
  <c r="N31" s="1"/>
  <c r="O31"/>
  <c r="P31" s="1"/>
  <c r="Q31"/>
  <c r="R31" s="1"/>
  <c r="S31"/>
  <c r="T31" s="1"/>
  <c r="U31"/>
  <c r="V31" s="1"/>
  <c r="W31"/>
  <c r="X31" s="1"/>
  <c r="Y31"/>
  <c r="Z31" s="1"/>
  <c r="C32"/>
  <c r="D32" s="1"/>
  <c r="E32"/>
  <c r="F32" s="1"/>
  <c r="G32"/>
  <c r="H32" s="1"/>
  <c r="I32"/>
  <c r="J32" s="1"/>
  <c r="K32"/>
  <c r="L32" s="1"/>
  <c r="M32"/>
  <c r="N32" s="1"/>
  <c r="O32"/>
  <c r="P32" s="1"/>
  <c r="Q32"/>
  <c r="R32" s="1"/>
  <c r="S32"/>
  <c r="T32" s="1"/>
  <c r="U32"/>
  <c r="V32" s="1"/>
  <c r="W32"/>
  <c r="X32" s="1"/>
  <c r="Y32"/>
  <c r="Z32" s="1"/>
  <c r="C33"/>
  <c r="D33" s="1"/>
  <c r="E33"/>
  <c r="F33" s="1"/>
  <c r="G33"/>
  <c r="H33" s="1"/>
  <c r="I33"/>
  <c r="J33" s="1"/>
  <c r="K33"/>
  <c r="L33" s="1"/>
  <c r="M33"/>
  <c r="N33" s="1"/>
  <c r="O33"/>
  <c r="P33" s="1"/>
  <c r="Q33"/>
  <c r="R33" s="1"/>
  <c r="S33"/>
  <c r="T33" s="1"/>
  <c r="U33"/>
  <c r="V33" s="1"/>
  <c r="W33"/>
  <c r="X33" s="1"/>
  <c r="Y33"/>
  <c r="Z33" s="1"/>
  <c r="C34"/>
  <c r="D34" s="1"/>
  <c r="E34"/>
  <c r="F34" s="1"/>
  <c r="G34"/>
  <c r="H34" s="1"/>
  <c r="I34"/>
  <c r="J34" s="1"/>
  <c r="K34"/>
  <c r="L34" s="1"/>
  <c r="M34"/>
  <c r="N34" s="1"/>
  <c r="O34"/>
  <c r="P34" s="1"/>
  <c r="Q34"/>
  <c r="R34" s="1"/>
  <c r="S34"/>
  <c r="T34" s="1"/>
  <c r="U34"/>
  <c r="V34" s="1"/>
  <c r="W34"/>
  <c r="X34" s="1"/>
  <c r="Y34"/>
  <c r="Z34" s="1"/>
  <c r="C35"/>
  <c r="D35" s="1"/>
  <c r="E35"/>
  <c r="F35" s="1"/>
  <c r="G35"/>
  <c r="H35" s="1"/>
  <c r="I35"/>
  <c r="J35" s="1"/>
  <c r="K35"/>
  <c r="L35" s="1"/>
  <c r="M35"/>
  <c r="N35" s="1"/>
  <c r="O35"/>
  <c r="P35" s="1"/>
  <c r="Q35"/>
  <c r="R35" s="1"/>
  <c r="S35"/>
  <c r="T35" s="1"/>
  <c r="U35"/>
  <c r="V35" s="1"/>
  <c r="W35"/>
  <c r="X35" s="1"/>
  <c r="Y35"/>
  <c r="Z35" s="1"/>
  <c r="C36"/>
  <c r="D36" s="1"/>
  <c r="E36"/>
  <c r="F36" s="1"/>
  <c r="G36"/>
  <c r="H36" s="1"/>
  <c r="I36"/>
  <c r="J36" s="1"/>
  <c r="K36"/>
  <c r="L36" s="1"/>
  <c r="M36"/>
  <c r="N36" s="1"/>
  <c r="O36"/>
  <c r="P36" s="1"/>
  <c r="Q36"/>
  <c r="R36" s="1"/>
  <c r="S36"/>
  <c r="T36" s="1"/>
  <c r="U36"/>
  <c r="V36" s="1"/>
  <c r="W36"/>
  <c r="X36" s="1"/>
  <c r="Y36"/>
  <c r="Z36" s="1"/>
  <c r="C37"/>
  <c r="D37" s="1"/>
  <c r="E37"/>
  <c r="F37" s="1"/>
  <c r="G37"/>
  <c r="H37" s="1"/>
  <c r="I37"/>
  <c r="J37" s="1"/>
  <c r="K37"/>
  <c r="L37" s="1"/>
  <c r="M37"/>
  <c r="N37" s="1"/>
  <c r="O37"/>
  <c r="P37" s="1"/>
  <c r="Q37"/>
  <c r="R37" s="1"/>
  <c r="S37"/>
  <c r="T37" s="1"/>
  <c r="U37"/>
  <c r="V37" s="1"/>
  <c r="W37"/>
  <c r="X37" s="1"/>
  <c r="Y37"/>
  <c r="Z37" s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6"/>
  <c r="B6" i="4"/>
  <c r="B6" i="2"/>
  <c r="C7"/>
  <c r="D7" s="1"/>
  <c r="E7"/>
  <c r="F7" s="1"/>
  <c r="G7"/>
  <c r="H7" s="1"/>
  <c r="I7"/>
  <c r="J7" s="1"/>
  <c r="K7"/>
  <c r="L7" s="1"/>
  <c r="M7"/>
  <c r="N7" s="1"/>
  <c r="O7"/>
  <c r="P7" s="1"/>
  <c r="Q7"/>
  <c r="R7" s="1"/>
  <c r="S7"/>
  <c r="T7" s="1"/>
  <c r="U7"/>
  <c r="V7" s="1"/>
  <c r="W7"/>
  <c r="X7" s="1"/>
  <c r="Y7"/>
  <c r="Z7" s="1"/>
  <c r="C8"/>
  <c r="D8" s="1"/>
  <c r="E8"/>
  <c r="F8" s="1"/>
  <c r="G8"/>
  <c r="H8" s="1"/>
  <c r="I8"/>
  <c r="J8" s="1"/>
  <c r="K8"/>
  <c r="L8" s="1"/>
  <c r="M8"/>
  <c r="N8" s="1"/>
  <c r="O8"/>
  <c r="P8" s="1"/>
  <c r="Q8"/>
  <c r="R8" s="1"/>
  <c r="S8"/>
  <c r="T8" s="1"/>
  <c r="U8"/>
  <c r="V8" s="1"/>
  <c r="W8"/>
  <c r="X8" s="1"/>
  <c r="Y8"/>
  <c r="Z8" s="1"/>
  <c r="C9"/>
  <c r="D9" s="1"/>
  <c r="E9"/>
  <c r="F9" s="1"/>
  <c r="G9"/>
  <c r="H9" s="1"/>
  <c r="I9"/>
  <c r="J9" s="1"/>
  <c r="K9"/>
  <c r="L9" s="1"/>
  <c r="M9"/>
  <c r="N9" s="1"/>
  <c r="O9"/>
  <c r="P9" s="1"/>
  <c r="Q9"/>
  <c r="R9" s="1"/>
  <c r="S9"/>
  <c r="T9" s="1"/>
  <c r="U9"/>
  <c r="V9" s="1"/>
  <c r="W9"/>
  <c r="X9" s="1"/>
  <c r="Y9"/>
  <c r="Z9" s="1"/>
  <c r="C10"/>
  <c r="D10" s="1"/>
  <c r="E10"/>
  <c r="F10" s="1"/>
  <c r="G10"/>
  <c r="H10" s="1"/>
  <c r="I10"/>
  <c r="J10" s="1"/>
  <c r="K10"/>
  <c r="L10" s="1"/>
  <c r="M10"/>
  <c r="N10" s="1"/>
  <c r="O10"/>
  <c r="P10" s="1"/>
  <c r="Q10"/>
  <c r="R10" s="1"/>
  <c r="S10"/>
  <c r="T10" s="1"/>
  <c r="U10"/>
  <c r="V10" s="1"/>
  <c r="W10"/>
  <c r="X10" s="1"/>
  <c r="Y10"/>
  <c r="Z10" s="1"/>
  <c r="C11"/>
  <c r="D11" s="1"/>
  <c r="E11"/>
  <c r="F11" s="1"/>
  <c r="G11"/>
  <c r="H11" s="1"/>
  <c r="I11"/>
  <c r="J11" s="1"/>
  <c r="K11"/>
  <c r="L11" s="1"/>
  <c r="M11"/>
  <c r="N11" s="1"/>
  <c r="O11"/>
  <c r="P11" s="1"/>
  <c r="Q11"/>
  <c r="R11" s="1"/>
  <c r="S11"/>
  <c r="T11" s="1"/>
  <c r="U11"/>
  <c r="V11" s="1"/>
  <c r="W11"/>
  <c r="X11" s="1"/>
  <c r="Y11"/>
  <c r="Z11" s="1"/>
  <c r="C12"/>
  <c r="D12" s="1"/>
  <c r="E12"/>
  <c r="F12" s="1"/>
  <c r="G12"/>
  <c r="H12" s="1"/>
  <c r="I12"/>
  <c r="J12" s="1"/>
  <c r="K12"/>
  <c r="L12" s="1"/>
  <c r="M12"/>
  <c r="N12" s="1"/>
  <c r="O12"/>
  <c r="P12" s="1"/>
  <c r="Q12"/>
  <c r="R12" s="1"/>
  <c r="S12"/>
  <c r="T12" s="1"/>
  <c r="U12"/>
  <c r="V12" s="1"/>
  <c r="W12"/>
  <c r="X12" s="1"/>
  <c r="Y12"/>
  <c r="Z12" s="1"/>
  <c r="C13"/>
  <c r="D13" s="1"/>
  <c r="E13"/>
  <c r="F13" s="1"/>
  <c r="G13"/>
  <c r="H13" s="1"/>
  <c r="I13"/>
  <c r="J13" s="1"/>
  <c r="K13"/>
  <c r="L13" s="1"/>
  <c r="M13"/>
  <c r="N13" s="1"/>
  <c r="O13"/>
  <c r="P13" s="1"/>
  <c r="Q13"/>
  <c r="R13" s="1"/>
  <c r="S13"/>
  <c r="T13" s="1"/>
  <c r="U13"/>
  <c r="V13" s="1"/>
  <c r="W13"/>
  <c r="X13" s="1"/>
  <c r="Y13"/>
  <c r="Z13" s="1"/>
  <c r="C14"/>
  <c r="D14" s="1"/>
  <c r="E14"/>
  <c r="F14" s="1"/>
  <c r="G14"/>
  <c r="H14" s="1"/>
  <c r="I14"/>
  <c r="J14" s="1"/>
  <c r="K14"/>
  <c r="L14" s="1"/>
  <c r="M14"/>
  <c r="N14" s="1"/>
  <c r="O14"/>
  <c r="P14" s="1"/>
  <c r="Q14"/>
  <c r="R14" s="1"/>
  <c r="S14"/>
  <c r="T14" s="1"/>
  <c r="U14"/>
  <c r="V14" s="1"/>
  <c r="W14"/>
  <c r="X14" s="1"/>
  <c r="Y14"/>
  <c r="Z14" s="1"/>
  <c r="C15"/>
  <c r="D15" s="1"/>
  <c r="E15"/>
  <c r="F15" s="1"/>
  <c r="G15"/>
  <c r="H15" s="1"/>
  <c r="I15"/>
  <c r="J15" s="1"/>
  <c r="K15"/>
  <c r="L15" s="1"/>
  <c r="M15"/>
  <c r="N15" s="1"/>
  <c r="O15"/>
  <c r="P15" s="1"/>
  <c r="Q15"/>
  <c r="R15" s="1"/>
  <c r="S15"/>
  <c r="T15" s="1"/>
  <c r="U15"/>
  <c r="V15" s="1"/>
  <c r="W15"/>
  <c r="X15" s="1"/>
  <c r="Y15"/>
  <c r="Z15" s="1"/>
  <c r="C16"/>
  <c r="D16" s="1"/>
  <c r="E16"/>
  <c r="F16" s="1"/>
  <c r="G16"/>
  <c r="H16" s="1"/>
  <c r="I16"/>
  <c r="J16" s="1"/>
  <c r="K16"/>
  <c r="L16" s="1"/>
  <c r="M16"/>
  <c r="N16" s="1"/>
  <c r="O16"/>
  <c r="P16" s="1"/>
  <c r="Q16"/>
  <c r="R16" s="1"/>
  <c r="S16"/>
  <c r="T16" s="1"/>
  <c r="U16"/>
  <c r="V16" s="1"/>
  <c r="W16"/>
  <c r="X16" s="1"/>
  <c r="Y16"/>
  <c r="Z16" s="1"/>
  <c r="C17"/>
  <c r="D17" s="1"/>
  <c r="E17"/>
  <c r="F17" s="1"/>
  <c r="G17"/>
  <c r="H17" s="1"/>
  <c r="I17"/>
  <c r="J17" s="1"/>
  <c r="K17"/>
  <c r="L17" s="1"/>
  <c r="M17"/>
  <c r="N17" s="1"/>
  <c r="O17"/>
  <c r="P17" s="1"/>
  <c r="Q17"/>
  <c r="R17" s="1"/>
  <c r="S17"/>
  <c r="T17" s="1"/>
  <c r="U17"/>
  <c r="V17" s="1"/>
  <c r="W17"/>
  <c r="X17" s="1"/>
  <c r="Y17"/>
  <c r="Z17" s="1"/>
  <c r="C18"/>
  <c r="D18" s="1"/>
  <c r="E18"/>
  <c r="F18" s="1"/>
  <c r="G18"/>
  <c r="H18" s="1"/>
  <c r="I18"/>
  <c r="J18" s="1"/>
  <c r="K18"/>
  <c r="L18" s="1"/>
  <c r="M18"/>
  <c r="N18" s="1"/>
  <c r="O18"/>
  <c r="P18" s="1"/>
  <c r="Q18"/>
  <c r="R18" s="1"/>
  <c r="S18"/>
  <c r="T18" s="1"/>
  <c r="U18"/>
  <c r="V18" s="1"/>
  <c r="W18"/>
  <c r="X18" s="1"/>
  <c r="Y18"/>
  <c r="Z18" s="1"/>
  <c r="C19"/>
  <c r="D19" s="1"/>
  <c r="E19"/>
  <c r="F19" s="1"/>
  <c r="G19"/>
  <c r="H19" s="1"/>
  <c r="I19"/>
  <c r="J19" s="1"/>
  <c r="K19"/>
  <c r="L19" s="1"/>
  <c r="M19"/>
  <c r="N19" s="1"/>
  <c r="O19"/>
  <c r="P19" s="1"/>
  <c r="Q19"/>
  <c r="R19" s="1"/>
  <c r="S19"/>
  <c r="T19" s="1"/>
  <c r="U19"/>
  <c r="V19" s="1"/>
  <c r="W19"/>
  <c r="X19" s="1"/>
  <c r="Y19"/>
  <c r="Z19" s="1"/>
  <c r="C20"/>
  <c r="D20" s="1"/>
  <c r="E20"/>
  <c r="F20" s="1"/>
  <c r="G20"/>
  <c r="H20" s="1"/>
  <c r="I20"/>
  <c r="J20" s="1"/>
  <c r="K20"/>
  <c r="L20" s="1"/>
  <c r="M20"/>
  <c r="N20" s="1"/>
  <c r="O20"/>
  <c r="P20" s="1"/>
  <c r="Q20"/>
  <c r="R20" s="1"/>
  <c r="S20"/>
  <c r="T20" s="1"/>
  <c r="U20"/>
  <c r="V20" s="1"/>
  <c r="W20"/>
  <c r="X20" s="1"/>
  <c r="Y20"/>
  <c r="Z20" s="1"/>
  <c r="C21"/>
  <c r="D21" s="1"/>
  <c r="E21"/>
  <c r="F21" s="1"/>
  <c r="G21"/>
  <c r="H21" s="1"/>
  <c r="I21"/>
  <c r="J21" s="1"/>
  <c r="K21"/>
  <c r="L21" s="1"/>
  <c r="M21"/>
  <c r="N21" s="1"/>
  <c r="O21"/>
  <c r="P21" s="1"/>
  <c r="Q21"/>
  <c r="R21" s="1"/>
  <c r="S21"/>
  <c r="T21" s="1"/>
  <c r="U21"/>
  <c r="V21" s="1"/>
  <c r="W21"/>
  <c r="X21" s="1"/>
  <c r="Y21"/>
  <c r="Z21" s="1"/>
  <c r="C22"/>
  <c r="D22" s="1"/>
  <c r="E22"/>
  <c r="F22" s="1"/>
  <c r="G22"/>
  <c r="H22" s="1"/>
  <c r="I22"/>
  <c r="J22" s="1"/>
  <c r="K22"/>
  <c r="L22" s="1"/>
  <c r="M22"/>
  <c r="N22" s="1"/>
  <c r="O22"/>
  <c r="P22" s="1"/>
  <c r="Q22"/>
  <c r="R22" s="1"/>
  <c r="S22"/>
  <c r="T22" s="1"/>
  <c r="U22"/>
  <c r="V22" s="1"/>
  <c r="W22"/>
  <c r="X22" s="1"/>
  <c r="Y22"/>
  <c r="Z22" s="1"/>
  <c r="C23"/>
  <c r="D23" s="1"/>
  <c r="E23"/>
  <c r="F23" s="1"/>
  <c r="G23"/>
  <c r="H23" s="1"/>
  <c r="I23"/>
  <c r="J23" s="1"/>
  <c r="K23"/>
  <c r="L23" s="1"/>
  <c r="M23"/>
  <c r="N23" s="1"/>
  <c r="O23"/>
  <c r="P23" s="1"/>
  <c r="Q23"/>
  <c r="R23" s="1"/>
  <c r="S23"/>
  <c r="T23" s="1"/>
  <c r="U23"/>
  <c r="V23" s="1"/>
  <c r="W23"/>
  <c r="X23" s="1"/>
  <c r="Y23"/>
  <c r="Z23" s="1"/>
  <c r="C24"/>
  <c r="D24" s="1"/>
  <c r="E24"/>
  <c r="F24" s="1"/>
  <c r="G24"/>
  <c r="H24" s="1"/>
  <c r="I24"/>
  <c r="J24" s="1"/>
  <c r="K24"/>
  <c r="L24" s="1"/>
  <c r="M24"/>
  <c r="N24" s="1"/>
  <c r="O24"/>
  <c r="P24" s="1"/>
  <c r="Q24"/>
  <c r="R24" s="1"/>
  <c r="S24"/>
  <c r="T24" s="1"/>
  <c r="U24"/>
  <c r="V24" s="1"/>
  <c r="W24"/>
  <c r="X24" s="1"/>
  <c r="Y24"/>
  <c r="Z24" s="1"/>
  <c r="C25"/>
  <c r="D25" s="1"/>
  <c r="E25"/>
  <c r="F25" s="1"/>
  <c r="G25"/>
  <c r="H25" s="1"/>
  <c r="I25"/>
  <c r="J25" s="1"/>
  <c r="K25"/>
  <c r="L25" s="1"/>
  <c r="M25"/>
  <c r="N25" s="1"/>
  <c r="O25"/>
  <c r="P25" s="1"/>
  <c r="Q25"/>
  <c r="R25" s="1"/>
  <c r="S25"/>
  <c r="T25" s="1"/>
  <c r="U25"/>
  <c r="V25" s="1"/>
  <c r="W25"/>
  <c r="X25" s="1"/>
  <c r="Y25"/>
  <c r="Z25" s="1"/>
  <c r="C26"/>
  <c r="D26" s="1"/>
  <c r="E26"/>
  <c r="F26" s="1"/>
  <c r="G26"/>
  <c r="H26" s="1"/>
  <c r="I26"/>
  <c r="J26" s="1"/>
  <c r="K26"/>
  <c r="L26" s="1"/>
  <c r="M26"/>
  <c r="N26" s="1"/>
  <c r="O26"/>
  <c r="P26" s="1"/>
  <c r="Q26"/>
  <c r="R26" s="1"/>
  <c r="S26"/>
  <c r="T26" s="1"/>
  <c r="U26"/>
  <c r="V26" s="1"/>
  <c r="W26"/>
  <c r="X26" s="1"/>
  <c r="Y26"/>
  <c r="Z26" s="1"/>
  <c r="C27"/>
  <c r="D27" s="1"/>
  <c r="E27"/>
  <c r="F27" s="1"/>
  <c r="G27"/>
  <c r="H27" s="1"/>
  <c r="I27"/>
  <c r="J27" s="1"/>
  <c r="K27"/>
  <c r="L27" s="1"/>
  <c r="M27"/>
  <c r="N27" s="1"/>
  <c r="O27"/>
  <c r="P27" s="1"/>
  <c r="Q27"/>
  <c r="R27" s="1"/>
  <c r="S27"/>
  <c r="T27" s="1"/>
  <c r="U27"/>
  <c r="V27" s="1"/>
  <c r="W27"/>
  <c r="X27" s="1"/>
  <c r="Y27"/>
  <c r="Z27" s="1"/>
  <c r="C28"/>
  <c r="D28" s="1"/>
  <c r="E28"/>
  <c r="F28" s="1"/>
  <c r="G28"/>
  <c r="H28" s="1"/>
  <c r="I28"/>
  <c r="J28" s="1"/>
  <c r="K28"/>
  <c r="L28" s="1"/>
  <c r="M28"/>
  <c r="N28" s="1"/>
  <c r="O28"/>
  <c r="P28" s="1"/>
  <c r="Q28"/>
  <c r="R28" s="1"/>
  <c r="S28"/>
  <c r="T28" s="1"/>
  <c r="U28"/>
  <c r="V28" s="1"/>
  <c r="W28"/>
  <c r="X28" s="1"/>
  <c r="Y28"/>
  <c r="Z28" s="1"/>
  <c r="C29"/>
  <c r="D29" s="1"/>
  <c r="E29"/>
  <c r="F29" s="1"/>
  <c r="G29"/>
  <c r="H29" s="1"/>
  <c r="I29"/>
  <c r="J29" s="1"/>
  <c r="K29"/>
  <c r="L29" s="1"/>
  <c r="M29"/>
  <c r="N29" s="1"/>
  <c r="O29"/>
  <c r="P29" s="1"/>
  <c r="Q29"/>
  <c r="R29" s="1"/>
  <c r="S29"/>
  <c r="T29" s="1"/>
  <c r="U29"/>
  <c r="V29" s="1"/>
  <c r="W29"/>
  <c r="X29" s="1"/>
  <c r="Y29"/>
  <c r="Z29" s="1"/>
  <c r="C30"/>
  <c r="D30" s="1"/>
  <c r="E30"/>
  <c r="F30" s="1"/>
  <c r="G30"/>
  <c r="H30" s="1"/>
  <c r="I30"/>
  <c r="J30" s="1"/>
  <c r="K30"/>
  <c r="L30" s="1"/>
  <c r="M30"/>
  <c r="N30" s="1"/>
  <c r="O30"/>
  <c r="P30" s="1"/>
  <c r="Q30"/>
  <c r="R30" s="1"/>
  <c r="S30"/>
  <c r="T30" s="1"/>
  <c r="U30"/>
  <c r="V30" s="1"/>
  <c r="W30"/>
  <c r="X30" s="1"/>
  <c r="Y30"/>
  <c r="Z30" s="1"/>
  <c r="C31"/>
  <c r="D31" s="1"/>
  <c r="E31"/>
  <c r="F31" s="1"/>
  <c r="G31"/>
  <c r="H31" s="1"/>
  <c r="I31"/>
  <c r="J31" s="1"/>
  <c r="K31"/>
  <c r="L31" s="1"/>
  <c r="M31"/>
  <c r="N31" s="1"/>
  <c r="O31"/>
  <c r="P31" s="1"/>
  <c r="Q31"/>
  <c r="R31" s="1"/>
  <c r="S31"/>
  <c r="T31" s="1"/>
  <c r="U31"/>
  <c r="V31" s="1"/>
  <c r="W31"/>
  <c r="X31" s="1"/>
  <c r="Y31"/>
  <c r="Z31" s="1"/>
  <c r="C32"/>
  <c r="D32" s="1"/>
  <c r="E32"/>
  <c r="F32" s="1"/>
  <c r="G32"/>
  <c r="H32" s="1"/>
  <c r="I32"/>
  <c r="J32" s="1"/>
  <c r="K32"/>
  <c r="L32" s="1"/>
  <c r="M32"/>
  <c r="N32" s="1"/>
  <c r="O32"/>
  <c r="P32" s="1"/>
  <c r="Q32"/>
  <c r="R32" s="1"/>
  <c r="S32"/>
  <c r="T32" s="1"/>
  <c r="U32"/>
  <c r="V32" s="1"/>
  <c r="W32"/>
  <c r="X32" s="1"/>
  <c r="Y32"/>
  <c r="Z32" s="1"/>
  <c r="C33"/>
  <c r="D33" s="1"/>
  <c r="E33"/>
  <c r="F33" s="1"/>
  <c r="G33"/>
  <c r="H33" s="1"/>
  <c r="I33"/>
  <c r="J33" s="1"/>
  <c r="K33"/>
  <c r="L33" s="1"/>
  <c r="M33"/>
  <c r="N33" s="1"/>
  <c r="O33"/>
  <c r="P33" s="1"/>
  <c r="Q33"/>
  <c r="R33" s="1"/>
  <c r="S33"/>
  <c r="T33" s="1"/>
  <c r="U33"/>
  <c r="V33" s="1"/>
  <c r="W33"/>
  <c r="X33" s="1"/>
  <c r="Y33"/>
  <c r="Z33" s="1"/>
  <c r="C34"/>
  <c r="D34" s="1"/>
  <c r="E34"/>
  <c r="F34" s="1"/>
  <c r="G34"/>
  <c r="H34" s="1"/>
  <c r="I34"/>
  <c r="J34" s="1"/>
  <c r="K34"/>
  <c r="L34" s="1"/>
  <c r="M34"/>
  <c r="N34" s="1"/>
  <c r="O34"/>
  <c r="P34" s="1"/>
  <c r="Q34"/>
  <c r="R34" s="1"/>
  <c r="S34"/>
  <c r="T34" s="1"/>
  <c r="U34"/>
  <c r="V34" s="1"/>
  <c r="W34"/>
  <c r="X34" s="1"/>
  <c r="Y34"/>
  <c r="Z34" s="1"/>
  <c r="C35"/>
  <c r="D35" s="1"/>
  <c r="E35"/>
  <c r="F35" s="1"/>
  <c r="G35"/>
  <c r="H35" s="1"/>
  <c r="I35"/>
  <c r="J35" s="1"/>
  <c r="K35"/>
  <c r="L35" s="1"/>
  <c r="M35"/>
  <c r="N35" s="1"/>
  <c r="O35"/>
  <c r="P35" s="1"/>
  <c r="Q35"/>
  <c r="R35" s="1"/>
  <c r="S35"/>
  <c r="T35" s="1"/>
  <c r="U35"/>
  <c r="V35" s="1"/>
  <c r="W35"/>
  <c r="X35" s="1"/>
  <c r="Y35"/>
  <c r="Z35" s="1"/>
  <c r="C36"/>
  <c r="D36" s="1"/>
  <c r="E36"/>
  <c r="F36" s="1"/>
  <c r="G36"/>
  <c r="H36" s="1"/>
  <c r="I36"/>
  <c r="J36" s="1"/>
  <c r="K36"/>
  <c r="L36" s="1"/>
  <c r="M36"/>
  <c r="N36" s="1"/>
  <c r="O36"/>
  <c r="P36" s="1"/>
  <c r="Q36"/>
  <c r="R36" s="1"/>
  <c r="S36"/>
  <c r="T36" s="1"/>
  <c r="U36"/>
  <c r="V36" s="1"/>
  <c r="W36"/>
  <c r="X36" s="1"/>
  <c r="Y36"/>
  <c r="Z36" s="1"/>
  <c r="C37"/>
  <c r="D37" s="1"/>
  <c r="E37"/>
  <c r="F37" s="1"/>
  <c r="G37"/>
  <c r="H37" s="1"/>
  <c r="I37"/>
  <c r="J37" s="1"/>
  <c r="K37"/>
  <c r="L37" s="1"/>
  <c r="M37"/>
  <c r="N37" s="1"/>
  <c r="O37"/>
  <c r="P37" s="1"/>
  <c r="Q37"/>
  <c r="R37" s="1"/>
  <c r="S37"/>
  <c r="T37" s="1"/>
  <c r="U37"/>
  <c r="V37" s="1"/>
  <c r="W37"/>
  <c r="X37" s="1"/>
  <c r="Y37"/>
  <c r="Z37" s="1"/>
  <c r="P6"/>
  <c r="C7" i="4"/>
  <c r="D7" s="1"/>
  <c r="E7"/>
  <c r="F7" s="1"/>
  <c r="G7"/>
  <c r="H7" s="1"/>
  <c r="I7"/>
  <c r="J7" s="1"/>
  <c r="K7"/>
  <c r="L7" s="1"/>
  <c r="M7"/>
  <c r="N7" s="1"/>
  <c r="O7"/>
  <c r="P7" s="1"/>
  <c r="Q7"/>
  <c r="R7" s="1"/>
  <c r="S7"/>
  <c r="T7" s="1"/>
  <c r="U7"/>
  <c r="V7" s="1"/>
  <c r="W7"/>
  <c r="X7" s="1"/>
  <c r="Y7"/>
  <c r="Z7" s="1"/>
  <c r="C8"/>
  <c r="D8" s="1"/>
  <c r="E8"/>
  <c r="F8" s="1"/>
  <c r="G8"/>
  <c r="H8" s="1"/>
  <c r="I8"/>
  <c r="J8" s="1"/>
  <c r="K8"/>
  <c r="L8" s="1"/>
  <c r="M8"/>
  <c r="N8" s="1"/>
  <c r="O8"/>
  <c r="P8" s="1"/>
  <c r="Q8"/>
  <c r="R8" s="1"/>
  <c r="S8"/>
  <c r="T8" s="1"/>
  <c r="U8"/>
  <c r="V8" s="1"/>
  <c r="W8"/>
  <c r="X8" s="1"/>
  <c r="Y8"/>
  <c r="Z8" s="1"/>
  <c r="C9"/>
  <c r="D9" s="1"/>
  <c r="E9"/>
  <c r="F9" s="1"/>
  <c r="G9"/>
  <c r="H9" s="1"/>
  <c r="I9"/>
  <c r="J9" s="1"/>
  <c r="K9"/>
  <c r="L9" s="1"/>
  <c r="M9"/>
  <c r="N9" s="1"/>
  <c r="O9"/>
  <c r="P9" s="1"/>
  <c r="Q9"/>
  <c r="R9" s="1"/>
  <c r="S9"/>
  <c r="T9" s="1"/>
  <c r="U9"/>
  <c r="V9" s="1"/>
  <c r="W9"/>
  <c r="X9" s="1"/>
  <c r="Y9"/>
  <c r="Z9" s="1"/>
  <c r="C10"/>
  <c r="D10" s="1"/>
  <c r="E10"/>
  <c r="F10" s="1"/>
  <c r="G10"/>
  <c r="H10" s="1"/>
  <c r="I10"/>
  <c r="J10" s="1"/>
  <c r="K10"/>
  <c r="L10" s="1"/>
  <c r="M10"/>
  <c r="N10" s="1"/>
  <c r="O10"/>
  <c r="P10" s="1"/>
  <c r="Q10"/>
  <c r="R10" s="1"/>
  <c r="S10"/>
  <c r="T10" s="1"/>
  <c r="U10"/>
  <c r="V10" s="1"/>
  <c r="W10"/>
  <c r="X10" s="1"/>
  <c r="Y10"/>
  <c r="Z10" s="1"/>
  <c r="C11"/>
  <c r="D11" s="1"/>
  <c r="E11"/>
  <c r="F11" s="1"/>
  <c r="G11"/>
  <c r="H11" s="1"/>
  <c r="I11"/>
  <c r="J11" s="1"/>
  <c r="K11"/>
  <c r="L11" s="1"/>
  <c r="M11"/>
  <c r="N11" s="1"/>
  <c r="O11"/>
  <c r="P11" s="1"/>
  <c r="Q11"/>
  <c r="R11" s="1"/>
  <c r="S11"/>
  <c r="T11" s="1"/>
  <c r="U11"/>
  <c r="V11" s="1"/>
  <c r="W11"/>
  <c r="X11" s="1"/>
  <c r="Y11"/>
  <c r="Z11" s="1"/>
  <c r="C12"/>
  <c r="D12" s="1"/>
  <c r="E12"/>
  <c r="F12" s="1"/>
  <c r="G12"/>
  <c r="H12" s="1"/>
  <c r="I12"/>
  <c r="J12" s="1"/>
  <c r="K12"/>
  <c r="L12" s="1"/>
  <c r="M12"/>
  <c r="N12" s="1"/>
  <c r="O12"/>
  <c r="P12" s="1"/>
  <c r="Q12"/>
  <c r="R12" s="1"/>
  <c r="S12"/>
  <c r="T12" s="1"/>
  <c r="U12"/>
  <c r="V12" s="1"/>
  <c r="W12"/>
  <c r="X12" s="1"/>
  <c r="Y12"/>
  <c r="Z12" s="1"/>
  <c r="C13"/>
  <c r="D13" s="1"/>
  <c r="E13"/>
  <c r="F13" s="1"/>
  <c r="G13"/>
  <c r="H13" s="1"/>
  <c r="I13"/>
  <c r="J13" s="1"/>
  <c r="K13"/>
  <c r="L13" s="1"/>
  <c r="M13"/>
  <c r="N13" s="1"/>
  <c r="O13"/>
  <c r="P13" s="1"/>
  <c r="Q13"/>
  <c r="R13" s="1"/>
  <c r="S13"/>
  <c r="T13" s="1"/>
  <c r="U13"/>
  <c r="V13" s="1"/>
  <c r="W13"/>
  <c r="X13" s="1"/>
  <c r="Y13"/>
  <c r="Z13" s="1"/>
  <c r="C14"/>
  <c r="D14" s="1"/>
  <c r="E14"/>
  <c r="F14" s="1"/>
  <c r="G14"/>
  <c r="H14" s="1"/>
  <c r="I14"/>
  <c r="J14" s="1"/>
  <c r="K14"/>
  <c r="L14" s="1"/>
  <c r="M14"/>
  <c r="N14" s="1"/>
  <c r="O14"/>
  <c r="P14" s="1"/>
  <c r="Q14"/>
  <c r="R14" s="1"/>
  <c r="S14"/>
  <c r="T14" s="1"/>
  <c r="U14"/>
  <c r="V14" s="1"/>
  <c r="W14"/>
  <c r="X14" s="1"/>
  <c r="Y14"/>
  <c r="Z14" s="1"/>
  <c r="C15"/>
  <c r="D15" s="1"/>
  <c r="E15"/>
  <c r="F15" s="1"/>
  <c r="G15"/>
  <c r="H15" s="1"/>
  <c r="I15"/>
  <c r="J15" s="1"/>
  <c r="K15"/>
  <c r="L15" s="1"/>
  <c r="M15"/>
  <c r="N15" s="1"/>
  <c r="O15"/>
  <c r="P15" s="1"/>
  <c r="Q15"/>
  <c r="R15" s="1"/>
  <c r="S15"/>
  <c r="T15" s="1"/>
  <c r="U15"/>
  <c r="V15" s="1"/>
  <c r="W15"/>
  <c r="X15" s="1"/>
  <c r="Y15"/>
  <c r="Z15" s="1"/>
  <c r="C16"/>
  <c r="D16" s="1"/>
  <c r="E16"/>
  <c r="F16" s="1"/>
  <c r="G16"/>
  <c r="H16" s="1"/>
  <c r="I16"/>
  <c r="J16" s="1"/>
  <c r="K16"/>
  <c r="L16" s="1"/>
  <c r="M16"/>
  <c r="N16" s="1"/>
  <c r="O16"/>
  <c r="P16" s="1"/>
  <c r="Q16"/>
  <c r="R16" s="1"/>
  <c r="S16"/>
  <c r="T16" s="1"/>
  <c r="U16"/>
  <c r="V16" s="1"/>
  <c r="W16"/>
  <c r="X16" s="1"/>
  <c r="Y16"/>
  <c r="Z16" s="1"/>
  <c r="C17"/>
  <c r="D17" s="1"/>
  <c r="E17"/>
  <c r="F17" s="1"/>
  <c r="G17"/>
  <c r="H17" s="1"/>
  <c r="I17"/>
  <c r="J17" s="1"/>
  <c r="K17"/>
  <c r="L17" s="1"/>
  <c r="M17"/>
  <c r="N17" s="1"/>
  <c r="O17"/>
  <c r="P17" s="1"/>
  <c r="Q17"/>
  <c r="R17" s="1"/>
  <c r="S17"/>
  <c r="T17" s="1"/>
  <c r="U17"/>
  <c r="V17" s="1"/>
  <c r="W17"/>
  <c r="X17" s="1"/>
  <c r="Y17"/>
  <c r="Z17" s="1"/>
  <c r="C18"/>
  <c r="D18" s="1"/>
  <c r="E18"/>
  <c r="F18" s="1"/>
  <c r="G18"/>
  <c r="H18" s="1"/>
  <c r="I18"/>
  <c r="J18" s="1"/>
  <c r="K18"/>
  <c r="L18" s="1"/>
  <c r="M18"/>
  <c r="N18" s="1"/>
  <c r="O18"/>
  <c r="P18" s="1"/>
  <c r="Q18"/>
  <c r="R18" s="1"/>
  <c r="S18"/>
  <c r="T18" s="1"/>
  <c r="U18"/>
  <c r="V18" s="1"/>
  <c r="W18"/>
  <c r="X18" s="1"/>
  <c r="Y18"/>
  <c r="Z18" s="1"/>
  <c r="C19"/>
  <c r="D19" s="1"/>
  <c r="E19"/>
  <c r="F19" s="1"/>
  <c r="G19"/>
  <c r="H19" s="1"/>
  <c r="I19"/>
  <c r="J19" s="1"/>
  <c r="K19"/>
  <c r="L19" s="1"/>
  <c r="M19"/>
  <c r="N19" s="1"/>
  <c r="O19"/>
  <c r="P19" s="1"/>
  <c r="Q19"/>
  <c r="R19" s="1"/>
  <c r="S19"/>
  <c r="T19" s="1"/>
  <c r="U19"/>
  <c r="V19" s="1"/>
  <c r="W19"/>
  <c r="X19" s="1"/>
  <c r="Y19"/>
  <c r="Z19" s="1"/>
  <c r="C20"/>
  <c r="D20" s="1"/>
  <c r="E20"/>
  <c r="F20" s="1"/>
  <c r="G20"/>
  <c r="H20" s="1"/>
  <c r="I20"/>
  <c r="J20" s="1"/>
  <c r="K20"/>
  <c r="L20" s="1"/>
  <c r="M20"/>
  <c r="N20" s="1"/>
  <c r="O20"/>
  <c r="P20" s="1"/>
  <c r="Q20"/>
  <c r="R20" s="1"/>
  <c r="S20"/>
  <c r="T20" s="1"/>
  <c r="U20"/>
  <c r="V20" s="1"/>
  <c r="W20"/>
  <c r="X20" s="1"/>
  <c r="Y20"/>
  <c r="Z20" s="1"/>
  <c r="C21"/>
  <c r="D21" s="1"/>
  <c r="E21"/>
  <c r="F21" s="1"/>
  <c r="G21"/>
  <c r="H21" s="1"/>
  <c r="I21"/>
  <c r="J21" s="1"/>
  <c r="K21"/>
  <c r="L21" s="1"/>
  <c r="M21"/>
  <c r="N21" s="1"/>
  <c r="O21"/>
  <c r="P21" s="1"/>
  <c r="Q21"/>
  <c r="R21" s="1"/>
  <c r="S21"/>
  <c r="T21" s="1"/>
  <c r="U21"/>
  <c r="V21" s="1"/>
  <c r="W21"/>
  <c r="X21" s="1"/>
  <c r="Y21"/>
  <c r="Z21" s="1"/>
  <c r="C22"/>
  <c r="D22" s="1"/>
  <c r="E22"/>
  <c r="F22" s="1"/>
  <c r="G22"/>
  <c r="H22" s="1"/>
  <c r="I22"/>
  <c r="J22" s="1"/>
  <c r="K22"/>
  <c r="L22" s="1"/>
  <c r="M22"/>
  <c r="N22" s="1"/>
  <c r="O22"/>
  <c r="P22" s="1"/>
  <c r="Q22"/>
  <c r="R22" s="1"/>
  <c r="S22"/>
  <c r="T22" s="1"/>
  <c r="U22"/>
  <c r="V22" s="1"/>
  <c r="W22"/>
  <c r="X22" s="1"/>
  <c r="Y22"/>
  <c r="Z22" s="1"/>
  <c r="C23"/>
  <c r="D23" s="1"/>
  <c r="E23"/>
  <c r="F23" s="1"/>
  <c r="G23"/>
  <c r="H23" s="1"/>
  <c r="I23"/>
  <c r="J23" s="1"/>
  <c r="K23"/>
  <c r="L23" s="1"/>
  <c r="M23"/>
  <c r="N23" s="1"/>
  <c r="O23"/>
  <c r="P23" s="1"/>
  <c r="Q23"/>
  <c r="R23" s="1"/>
  <c r="S23"/>
  <c r="T23" s="1"/>
  <c r="U23"/>
  <c r="V23" s="1"/>
  <c r="W23"/>
  <c r="X23" s="1"/>
  <c r="Y23"/>
  <c r="Z23" s="1"/>
  <c r="C24"/>
  <c r="D24" s="1"/>
  <c r="E24"/>
  <c r="F24" s="1"/>
  <c r="G24"/>
  <c r="H24" s="1"/>
  <c r="I24"/>
  <c r="J24" s="1"/>
  <c r="K24"/>
  <c r="L24" s="1"/>
  <c r="M24"/>
  <c r="N24" s="1"/>
  <c r="O24"/>
  <c r="P24" s="1"/>
  <c r="Q24"/>
  <c r="R24" s="1"/>
  <c r="S24"/>
  <c r="T24" s="1"/>
  <c r="U24"/>
  <c r="V24" s="1"/>
  <c r="W24"/>
  <c r="X24" s="1"/>
  <c r="Y24"/>
  <c r="Z24" s="1"/>
  <c r="C25"/>
  <c r="D25" s="1"/>
  <c r="E25"/>
  <c r="F25" s="1"/>
  <c r="G25"/>
  <c r="H25" s="1"/>
  <c r="I25"/>
  <c r="J25" s="1"/>
  <c r="K25"/>
  <c r="L25" s="1"/>
  <c r="M25"/>
  <c r="N25" s="1"/>
  <c r="O25"/>
  <c r="P25" s="1"/>
  <c r="Q25"/>
  <c r="R25" s="1"/>
  <c r="S25"/>
  <c r="T25" s="1"/>
  <c r="U25"/>
  <c r="V25" s="1"/>
  <c r="W25"/>
  <c r="X25" s="1"/>
  <c r="Y25"/>
  <c r="Z25" s="1"/>
  <c r="C26"/>
  <c r="D26" s="1"/>
  <c r="E26"/>
  <c r="F26" s="1"/>
  <c r="G26"/>
  <c r="H26" s="1"/>
  <c r="I26"/>
  <c r="J26" s="1"/>
  <c r="K26"/>
  <c r="L26" s="1"/>
  <c r="M26"/>
  <c r="N26" s="1"/>
  <c r="O26"/>
  <c r="P26" s="1"/>
  <c r="Q26"/>
  <c r="R26" s="1"/>
  <c r="S26"/>
  <c r="T26" s="1"/>
  <c r="U26"/>
  <c r="V26" s="1"/>
  <c r="W26"/>
  <c r="X26" s="1"/>
  <c r="Y26"/>
  <c r="Z26" s="1"/>
  <c r="C27"/>
  <c r="D27" s="1"/>
  <c r="E27"/>
  <c r="F27" s="1"/>
  <c r="G27"/>
  <c r="H27" s="1"/>
  <c r="I27"/>
  <c r="J27" s="1"/>
  <c r="K27"/>
  <c r="L27" s="1"/>
  <c r="M27"/>
  <c r="N27" s="1"/>
  <c r="O27"/>
  <c r="P27" s="1"/>
  <c r="Q27"/>
  <c r="R27" s="1"/>
  <c r="S27"/>
  <c r="T27" s="1"/>
  <c r="U27"/>
  <c r="V27" s="1"/>
  <c r="W27"/>
  <c r="X27" s="1"/>
  <c r="Y27"/>
  <c r="Z27" s="1"/>
  <c r="C28"/>
  <c r="D28" s="1"/>
  <c r="E28"/>
  <c r="F28" s="1"/>
  <c r="G28"/>
  <c r="H28" s="1"/>
  <c r="I28"/>
  <c r="J28" s="1"/>
  <c r="K28"/>
  <c r="L28" s="1"/>
  <c r="M28"/>
  <c r="N28" s="1"/>
  <c r="O28"/>
  <c r="P28" s="1"/>
  <c r="Q28"/>
  <c r="R28" s="1"/>
  <c r="S28"/>
  <c r="T28" s="1"/>
  <c r="U28"/>
  <c r="V28" s="1"/>
  <c r="W28"/>
  <c r="X28" s="1"/>
  <c r="Y28"/>
  <c r="Z28" s="1"/>
  <c r="C29"/>
  <c r="D29" s="1"/>
  <c r="E29"/>
  <c r="F29" s="1"/>
  <c r="G29"/>
  <c r="H29" s="1"/>
  <c r="I29"/>
  <c r="J29" s="1"/>
  <c r="K29"/>
  <c r="L29" s="1"/>
  <c r="M29"/>
  <c r="N29" s="1"/>
  <c r="O29"/>
  <c r="P29" s="1"/>
  <c r="Q29"/>
  <c r="R29" s="1"/>
  <c r="S29"/>
  <c r="T29" s="1"/>
  <c r="U29"/>
  <c r="V29" s="1"/>
  <c r="W29"/>
  <c r="X29" s="1"/>
  <c r="Y29"/>
  <c r="Z29" s="1"/>
  <c r="C30"/>
  <c r="D30" s="1"/>
  <c r="E30"/>
  <c r="F30" s="1"/>
  <c r="G30"/>
  <c r="H30" s="1"/>
  <c r="I30"/>
  <c r="J30" s="1"/>
  <c r="K30"/>
  <c r="L30" s="1"/>
  <c r="M30"/>
  <c r="N30" s="1"/>
  <c r="O30"/>
  <c r="P30" s="1"/>
  <c r="Q30"/>
  <c r="R30" s="1"/>
  <c r="S30"/>
  <c r="T30" s="1"/>
  <c r="U30"/>
  <c r="V30" s="1"/>
  <c r="W30"/>
  <c r="X30" s="1"/>
  <c r="Y30"/>
  <c r="Z30" s="1"/>
  <c r="C31"/>
  <c r="D31" s="1"/>
  <c r="E31"/>
  <c r="F31" s="1"/>
  <c r="G31"/>
  <c r="H31" s="1"/>
  <c r="I31"/>
  <c r="J31" s="1"/>
  <c r="K31"/>
  <c r="L31" s="1"/>
  <c r="M31"/>
  <c r="N31" s="1"/>
  <c r="O31"/>
  <c r="P31" s="1"/>
  <c r="Q31"/>
  <c r="R31" s="1"/>
  <c r="S31"/>
  <c r="T31" s="1"/>
  <c r="U31"/>
  <c r="V31" s="1"/>
  <c r="W31"/>
  <c r="X31" s="1"/>
  <c r="Y31"/>
  <c r="Z31" s="1"/>
  <c r="C32"/>
  <c r="D32" s="1"/>
  <c r="E32"/>
  <c r="F32" s="1"/>
  <c r="G32"/>
  <c r="H32" s="1"/>
  <c r="I32"/>
  <c r="J32" s="1"/>
  <c r="K32"/>
  <c r="L32" s="1"/>
  <c r="M32"/>
  <c r="N32" s="1"/>
  <c r="O32"/>
  <c r="P32" s="1"/>
  <c r="Q32"/>
  <c r="R32" s="1"/>
  <c r="S32"/>
  <c r="T32" s="1"/>
  <c r="U32"/>
  <c r="V32" s="1"/>
  <c r="W32"/>
  <c r="X32" s="1"/>
  <c r="Y32"/>
  <c r="Z32" s="1"/>
  <c r="C33"/>
  <c r="D33" s="1"/>
  <c r="E33"/>
  <c r="F33" s="1"/>
  <c r="G33"/>
  <c r="H33" s="1"/>
  <c r="I33"/>
  <c r="J33" s="1"/>
  <c r="K33"/>
  <c r="L33" s="1"/>
  <c r="M33"/>
  <c r="N33" s="1"/>
  <c r="O33"/>
  <c r="P33" s="1"/>
  <c r="Q33"/>
  <c r="R33" s="1"/>
  <c r="S33"/>
  <c r="T33" s="1"/>
  <c r="U33"/>
  <c r="V33" s="1"/>
  <c r="W33"/>
  <c r="X33" s="1"/>
  <c r="Y33"/>
  <c r="Z33" s="1"/>
  <c r="C34"/>
  <c r="D34" s="1"/>
  <c r="E34"/>
  <c r="F34" s="1"/>
  <c r="G34"/>
  <c r="H34" s="1"/>
  <c r="I34"/>
  <c r="J34" s="1"/>
  <c r="K34"/>
  <c r="L34" s="1"/>
  <c r="M34"/>
  <c r="N34" s="1"/>
  <c r="O34"/>
  <c r="P34" s="1"/>
  <c r="Q34"/>
  <c r="R34" s="1"/>
  <c r="S34"/>
  <c r="T34" s="1"/>
  <c r="U34"/>
  <c r="V34" s="1"/>
  <c r="W34"/>
  <c r="X34" s="1"/>
  <c r="Y34"/>
  <c r="Z34" s="1"/>
  <c r="C35"/>
  <c r="D35" s="1"/>
  <c r="E35"/>
  <c r="F35" s="1"/>
  <c r="G35"/>
  <c r="H35" s="1"/>
  <c r="I35"/>
  <c r="J35" s="1"/>
  <c r="K35"/>
  <c r="L35" s="1"/>
  <c r="M35"/>
  <c r="N35" s="1"/>
  <c r="O35"/>
  <c r="P35" s="1"/>
  <c r="Q35"/>
  <c r="R35" s="1"/>
  <c r="S35"/>
  <c r="T35" s="1"/>
  <c r="U35"/>
  <c r="V35" s="1"/>
  <c r="W35"/>
  <c r="X35" s="1"/>
  <c r="Y35"/>
  <c r="Z35" s="1"/>
  <c r="C36"/>
  <c r="D36" s="1"/>
  <c r="E36"/>
  <c r="F36" s="1"/>
  <c r="G36"/>
  <c r="H36" s="1"/>
  <c r="I36"/>
  <c r="J36" s="1"/>
  <c r="K36"/>
  <c r="L36" s="1"/>
  <c r="M36"/>
  <c r="N36" s="1"/>
  <c r="O36"/>
  <c r="P36" s="1"/>
  <c r="Q36"/>
  <c r="R36" s="1"/>
  <c r="S36"/>
  <c r="T36" s="1"/>
  <c r="U36"/>
  <c r="V36" s="1"/>
  <c r="W36"/>
  <c r="X36" s="1"/>
  <c r="Y36"/>
  <c r="Z36" s="1"/>
  <c r="C37"/>
  <c r="D37" s="1"/>
  <c r="E37"/>
  <c r="F37" s="1"/>
  <c r="G37"/>
  <c r="H37" s="1"/>
  <c r="I37"/>
  <c r="J37" s="1"/>
  <c r="K37"/>
  <c r="L37" s="1"/>
  <c r="M37"/>
  <c r="N37" s="1"/>
  <c r="O37"/>
  <c r="P37" s="1"/>
  <c r="Q37"/>
  <c r="R37" s="1"/>
  <c r="S37"/>
  <c r="T37" s="1"/>
  <c r="U37"/>
  <c r="V37" s="1"/>
  <c r="W37"/>
  <c r="X37" s="1"/>
  <c r="Y37"/>
  <c r="Z37" s="1"/>
  <c r="Y6" i="2"/>
  <c r="Z6" s="1"/>
  <c r="W6"/>
  <c r="X6" s="1"/>
  <c r="U6"/>
  <c r="V6" s="1"/>
  <c r="S6"/>
  <c r="T6" s="1"/>
  <c r="Q6"/>
  <c r="R6" s="1"/>
  <c r="O6"/>
  <c r="M6"/>
  <c r="N6" s="1"/>
  <c r="K6"/>
  <c r="L6" s="1"/>
  <c r="I6"/>
  <c r="J6" s="1"/>
  <c r="G6"/>
  <c r="H6" s="1"/>
  <c r="E6"/>
  <c r="F6" s="1"/>
  <c r="C6"/>
  <c r="D6" s="1"/>
  <c r="Y6" i="4"/>
  <c r="Z6" s="1"/>
  <c r="W6"/>
  <c r="X6" s="1"/>
  <c r="U6"/>
  <c r="V6" s="1"/>
  <c r="S6"/>
  <c r="T6" s="1"/>
  <c r="Q6"/>
  <c r="R6" s="1"/>
  <c r="O6"/>
  <c r="P6" s="1"/>
  <c r="M6"/>
  <c r="N6" s="1"/>
  <c r="K6"/>
  <c r="L6" s="1"/>
  <c r="I6"/>
  <c r="J6" s="1"/>
  <c r="G6"/>
  <c r="H6" s="1"/>
  <c r="E6"/>
  <c r="F6" s="1"/>
  <c r="C6"/>
  <c r="D6" s="1"/>
  <c r="Y6" i="5"/>
  <c r="Z6" s="1"/>
  <c r="W6"/>
  <c r="X6" s="1"/>
  <c r="U6"/>
  <c r="V6" s="1"/>
  <c r="S6"/>
  <c r="T6" s="1"/>
  <c r="Q6"/>
  <c r="R6" s="1"/>
  <c r="O6"/>
  <c r="P6" s="1"/>
  <c r="M6"/>
  <c r="N6" s="1"/>
  <c r="K6"/>
  <c r="L6" s="1"/>
  <c r="I6"/>
  <c r="J6" s="1"/>
  <c r="G6"/>
  <c r="H6" s="1"/>
  <c r="E6"/>
  <c r="F6" s="1"/>
  <c r="C6"/>
  <c r="D6" s="1"/>
  <c r="C7" i="6"/>
  <c r="D7" s="1"/>
  <c r="E7"/>
  <c r="F7" s="1"/>
  <c r="G7"/>
  <c r="H7" s="1"/>
  <c r="I7"/>
  <c r="J7" s="1"/>
  <c r="K7"/>
  <c r="L7" s="1"/>
  <c r="M7"/>
  <c r="N7" s="1"/>
  <c r="O7"/>
  <c r="P7" s="1"/>
  <c r="Q7"/>
  <c r="R7" s="1"/>
  <c r="S7"/>
  <c r="T7" s="1"/>
  <c r="U7"/>
  <c r="V7" s="1"/>
  <c r="W7"/>
  <c r="X7" s="1"/>
  <c r="Y7"/>
  <c r="Z7" s="1"/>
  <c r="C8"/>
  <c r="D8" s="1"/>
  <c r="E8"/>
  <c r="F8" s="1"/>
  <c r="G8"/>
  <c r="H8" s="1"/>
  <c r="I8"/>
  <c r="J8" s="1"/>
  <c r="K8"/>
  <c r="L8" s="1"/>
  <c r="M8"/>
  <c r="N8" s="1"/>
  <c r="O8"/>
  <c r="P8" s="1"/>
  <c r="Q8"/>
  <c r="R8" s="1"/>
  <c r="S8"/>
  <c r="T8" s="1"/>
  <c r="U8"/>
  <c r="V8" s="1"/>
  <c r="W8"/>
  <c r="X8" s="1"/>
  <c r="Y8"/>
  <c r="Z8" s="1"/>
  <c r="C9"/>
  <c r="D9" s="1"/>
  <c r="E9"/>
  <c r="F9" s="1"/>
  <c r="G9"/>
  <c r="H9" s="1"/>
  <c r="I9"/>
  <c r="J9" s="1"/>
  <c r="K9"/>
  <c r="L9" s="1"/>
  <c r="M9"/>
  <c r="N9" s="1"/>
  <c r="O9"/>
  <c r="P9" s="1"/>
  <c r="Q9"/>
  <c r="R9" s="1"/>
  <c r="S9"/>
  <c r="T9" s="1"/>
  <c r="U9"/>
  <c r="V9" s="1"/>
  <c r="W9"/>
  <c r="X9" s="1"/>
  <c r="Y9"/>
  <c r="Z9" s="1"/>
  <c r="C10"/>
  <c r="D10" s="1"/>
  <c r="E10"/>
  <c r="F10" s="1"/>
  <c r="G10"/>
  <c r="H10" s="1"/>
  <c r="I10"/>
  <c r="J10" s="1"/>
  <c r="K10"/>
  <c r="L10" s="1"/>
  <c r="M10"/>
  <c r="N10" s="1"/>
  <c r="O10"/>
  <c r="P10" s="1"/>
  <c r="Q10"/>
  <c r="R10" s="1"/>
  <c r="S10"/>
  <c r="T10" s="1"/>
  <c r="U10"/>
  <c r="V10" s="1"/>
  <c r="W10"/>
  <c r="X10" s="1"/>
  <c r="Y10"/>
  <c r="Z10" s="1"/>
  <c r="C11"/>
  <c r="D11" s="1"/>
  <c r="E11"/>
  <c r="F11" s="1"/>
  <c r="G11"/>
  <c r="H11" s="1"/>
  <c r="I11"/>
  <c r="J11" s="1"/>
  <c r="K11"/>
  <c r="L11" s="1"/>
  <c r="M11"/>
  <c r="N11" s="1"/>
  <c r="O11"/>
  <c r="P11" s="1"/>
  <c r="Q11"/>
  <c r="R11" s="1"/>
  <c r="S11"/>
  <c r="T11" s="1"/>
  <c r="U11"/>
  <c r="V11" s="1"/>
  <c r="W11"/>
  <c r="X11" s="1"/>
  <c r="Y11"/>
  <c r="Z11" s="1"/>
  <c r="C12"/>
  <c r="D12" s="1"/>
  <c r="E12"/>
  <c r="F12" s="1"/>
  <c r="G12"/>
  <c r="H12" s="1"/>
  <c r="I12"/>
  <c r="K12"/>
  <c r="L12" s="1"/>
  <c r="M12"/>
  <c r="N12" s="1"/>
  <c r="O12"/>
  <c r="P12" s="1"/>
  <c r="Q12"/>
  <c r="R12" s="1"/>
  <c r="S12"/>
  <c r="T12" s="1"/>
  <c r="U12"/>
  <c r="V12" s="1"/>
  <c r="W12"/>
  <c r="X12" s="1"/>
  <c r="Y12"/>
  <c r="Z12" s="1"/>
  <c r="C13"/>
  <c r="D13" s="1"/>
  <c r="E13"/>
  <c r="G13"/>
  <c r="H13" s="1"/>
  <c r="I13"/>
  <c r="J13" s="1"/>
  <c r="K13"/>
  <c r="L13" s="1"/>
  <c r="M13"/>
  <c r="N13" s="1"/>
  <c r="O13"/>
  <c r="P13" s="1"/>
  <c r="Q13"/>
  <c r="R13" s="1"/>
  <c r="S13"/>
  <c r="T13" s="1"/>
  <c r="U13"/>
  <c r="V13" s="1"/>
  <c r="W13"/>
  <c r="X13" s="1"/>
  <c r="Y13"/>
  <c r="Z13" s="1"/>
  <c r="C14"/>
  <c r="D14" s="1"/>
  <c r="E14"/>
  <c r="F14" s="1"/>
  <c r="G14"/>
  <c r="H14" s="1"/>
  <c r="I14"/>
  <c r="J14" s="1"/>
  <c r="K14"/>
  <c r="L14" s="1"/>
  <c r="M14"/>
  <c r="N14" s="1"/>
  <c r="O14"/>
  <c r="P14" s="1"/>
  <c r="Q14"/>
  <c r="R14" s="1"/>
  <c r="S14"/>
  <c r="T14" s="1"/>
  <c r="U14"/>
  <c r="V14" s="1"/>
  <c r="W14"/>
  <c r="X14" s="1"/>
  <c r="Y14"/>
  <c r="Z14" s="1"/>
  <c r="C15"/>
  <c r="D15" s="1"/>
  <c r="E15"/>
  <c r="G15"/>
  <c r="H15" s="1"/>
  <c r="I15"/>
  <c r="J15" s="1"/>
  <c r="K15"/>
  <c r="L15" s="1"/>
  <c r="M15"/>
  <c r="N15" s="1"/>
  <c r="O15"/>
  <c r="P15" s="1"/>
  <c r="Q15"/>
  <c r="R15" s="1"/>
  <c r="S15"/>
  <c r="T15" s="1"/>
  <c r="U15"/>
  <c r="V15" s="1"/>
  <c r="W15"/>
  <c r="X15" s="1"/>
  <c r="Y15"/>
  <c r="Z15" s="1"/>
  <c r="C16"/>
  <c r="D16" s="1"/>
  <c r="E16"/>
  <c r="F16" s="1"/>
  <c r="G16"/>
  <c r="H16" s="1"/>
  <c r="I16"/>
  <c r="J16" s="1"/>
  <c r="K16"/>
  <c r="L16" s="1"/>
  <c r="M16"/>
  <c r="O16"/>
  <c r="P16" s="1"/>
  <c r="Q16"/>
  <c r="R16" s="1"/>
  <c r="S16"/>
  <c r="T16" s="1"/>
  <c r="U16"/>
  <c r="W16"/>
  <c r="X16" s="1"/>
  <c r="Y16"/>
  <c r="Z16" s="1"/>
  <c r="C17"/>
  <c r="D17" s="1"/>
  <c r="E17"/>
  <c r="F17" s="1"/>
  <c r="G17"/>
  <c r="H17" s="1"/>
  <c r="I17"/>
  <c r="J17" s="1"/>
  <c r="K17"/>
  <c r="L17" s="1"/>
  <c r="M17"/>
  <c r="N17" s="1"/>
  <c r="O17"/>
  <c r="P17" s="1"/>
  <c r="Q17"/>
  <c r="R17" s="1"/>
  <c r="S17"/>
  <c r="T17" s="1"/>
  <c r="U17"/>
  <c r="V17" s="1"/>
  <c r="W17"/>
  <c r="X17" s="1"/>
  <c r="Y17"/>
  <c r="Z17" s="1"/>
  <c r="C18"/>
  <c r="D18" s="1"/>
  <c r="E18"/>
  <c r="F18" s="1"/>
  <c r="G18"/>
  <c r="I18"/>
  <c r="J18" s="1"/>
  <c r="K18"/>
  <c r="L18" s="1"/>
  <c r="M18"/>
  <c r="N18" s="1"/>
  <c r="O18"/>
  <c r="P18" s="1"/>
  <c r="Q18"/>
  <c r="R18" s="1"/>
  <c r="S18"/>
  <c r="T18" s="1"/>
  <c r="U18"/>
  <c r="V18" s="1"/>
  <c r="W18"/>
  <c r="X18" s="1"/>
  <c r="Y18"/>
  <c r="Z18" s="1"/>
  <c r="C19"/>
  <c r="D19" s="1"/>
  <c r="E19"/>
  <c r="F19" s="1"/>
  <c r="G19"/>
  <c r="H19" s="1"/>
  <c r="I19"/>
  <c r="J19" s="1"/>
  <c r="K19"/>
  <c r="L19" s="1"/>
  <c r="M19"/>
  <c r="N19" s="1"/>
  <c r="O19"/>
  <c r="P19" s="1"/>
  <c r="Q19"/>
  <c r="R19" s="1"/>
  <c r="S19"/>
  <c r="T19" s="1"/>
  <c r="U19"/>
  <c r="W19"/>
  <c r="X19" s="1"/>
  <c r="Y19"/>
  <c r="Z19" s="1"/>
  <c r="C20"/>
  <c r="D20" s="1"/>
  <c r="E20"/>
  <c r="G20"/>
  <c r="H20" s="1"/>
  <c r="I20"/>
  <c r="J20" s="1"/>
  <c r="K20"/>
  <c r="L20" s="1"/>
  <c r="M20"/>
  <c r="O20"/>
  <c r="P20" s="1"/>
  <c r="Q20"/>
  <c r="R20" s="1"/>
  <c r="S20"/>
  <c r="T20" s="1"/>
  <c r="U20"/>
  <c r="W20"/>
  <c r="X20" s="1"/>
  <c r="Y20"/>
  <c r="Z20" s="1"/>
  <c r="C21"/>
  <c r="D21" s="1"/>
  <c r="E21"/>
  <c r="G21"/>
  <c r="H21" s="1"/>
  <c r="I21"/>
  <c r="J21" s="1"/>
  <c r="K21"/>
  <c r="L21" s="1"/>
  <c r="M21"/>
  <c r="N21" s="1"/>
  <c r="O21"/>
  <c r="P21" s="1"/>
  <c r="Q21"/>
  <c r="R21" s="1"/>
  <c r="S21"/>
  <c r="T21" s="1"/>
  <c r="U21"/>
  <c r="V21" s="1"/>
  <c r="W21"/>
  <c r="Y21"/>
  <c r="Z21" s="1"/>
  <c r="C22"/>
  <c r="D22" s="1"/>
  <c r="E22"/>
  <c r="F22" s="1"/>
  <c r="G22"/>
  <c r="H22" s="1"/>
  <c r="I22"/>
  <c r="J22" s="1"/>
  <c r="K22"/>
  <c r="L22" s="1"/>
  <c r="M22"/>
  <c r="N22" s="1"/>
  <c r="O22"/>
  <c r="P22" s="1"/>
  <c r="Q22"/>
  <c r="R22" s="1"/>
  <c r="S22"/>
  <c r="T22" s="1"/>
  <c r="U22"/>
  <c r="V22" s="1"/>
  <c r="W22"/>
  <c r="X22" s="1"/>
  <c r="Y22"/>
  <c r="Z22" s="1"/>
  <c r="C23"/>
  <c r="D23" s="1"/>
  <c r="E23"/>
  <c r="F23" s="1"/>
  <c r="G23"/>
  <c r="H23" s="1"/>
  <c r="I23"/>
  <c r="J23" s="1"/>
  <c r="K23"/>
  <c r="L23" s="1"/>
  <c r="M23"/>
  <c r="O23"/>
  <c r="P23" s="1"/>
  <c r="Q23"/>
  <c r="R23" s="1"/>
  <c r="S23"/>
  <c r="T23" s="1"/>
  <c r="U23"/>
  <c r="V23" s="1"/>
  <c r="W23"/>
  <c r="X23" s="1"/>
  <c r="Y23"/>
  <c r="Z23" s="1"/>
  <c r="C24"/>
  <c r="D24" s="1"/>
  <c r="E24"/>
  <c r="F24" s="1"/>
  <c r="G24"/>
  <c r="H24" s="1"/>
  <c r="I24"/>
  <c r="J24" s="1"/>
  <c r="K24"/>
  <c r="L24" s="1"/>
  <c r="M24"/>
  <c r="N24" s="1"/>
  <c r="O24"/>
  <c r="P24" s="1"/>
  <c r="Q24"/>
  <c r="R24" s="1"/>
  <c r="S24"/>
  <c r="T24" s="1"/>
  <c r="U24"/>
  <c r="V24" s="1"/>
  <c r="W24"/>
  <c r="X24" s="1"/>
  <c r="Y24"/>
  <c r="Z24" s="1"/>
  <c r="C25"/>
  <c r="D25" s="1"/>
  <c r="E25"/>
  <c r="F25" s="1"/>
  <c r="G25"/>
  <c r="H25" s="1"/>
  <c r="I25"/>
  <c r="J25" s="1"/>
  <c r="K25"/>
  <c r="L25" s="1"/>
  <c r="M25"/>
  <c r="N25" s="1"/>
  <c r="O25"/>
  <c r="P25" s="1"/>
  <c r="Q25"/>
  <c r="R25" s="1"/>
  <c r="S25"/>
  <c r="T25" s="1"/>
  <c r="U25"/>
  <c r="W25"/>
  <c r="X25" s="1"/>
  <c r="Y25"/>
  <c r="Z25" s="1"/>
  <c r="C26"/>
  <c r="D26" s="1"/>
  <c r="E26"/>
  <c r="F26" s="1"/>
  <c r="G26"/>
  <c r="H26" s="1"/>
  <c r="I26"/>
  <c r="J26" s="1"/>
  <c r="K26"/>
  <c r="M26"/>
  <c r="N26" s="1"/>
  <c r="O26"/>
  <c r="P26" s="1"/>
  <c r="Q26"/>
  <c r="R26" s="1"/>
  <c r="S26"/>
  <c r="T26" s="1"/>
  <c r="U26"/>
  <c r="V26" s="1"/>
  <c r="W26"/>
  <c r="X26" s="1"/>
  <c r="Y26"/>
  <c r="C27"/>
  <c r="D27" s="1"/>
  <c r="E27"/>
  <c r="G27"/>
  <c r="H27" s="1"/>
  <c r="I27"/>
  <c r="J27" s="1"/>
  <c r="K27"/>
  <c r="L27" s="1"/>
  <c r="M27"/>
  <c r="O27"/>
  <c r="P27" s="1"/>
  <c r="Q27"/>
  <c r="R27" s="1"/>
  <c r="S27"/>
  <c r="T27" s="1"/>
  <c r="U27"/>
  <c r="V27" s="1"/>
  <c r="W27"/>
  <c r="X27" s="1"/>
  <c r="Y27"/>
  <c r="Z27" s="1"/>
  <c r="C28"/>
  <c r="D28" s="1"/>
  <c r="E28"/>
  <c r="F28" s="1"/>
  <c r="G28"/>
  <c r="H28" s="1"/>
  <c r="I28"/>
  <c r="J28" s="1"/>
  <c r="K28"/>
  <c r="L28" s="1"/>
  <c r="M28"/>
  <c r="N28" s="1"/>
  <c r="O28"/>
  <c r="P28" s="1"/>
  <c r="Q28"/>
  <c r="R28" s="1"/>
  <c r="S28"/>
  <c r="T28" s="1"/>
  <c r="U28"/>
  <c r="V28" s="1"/>
  <c r="W28"/>
  <c r="X28" s="1"/>
  <c r="Y28"/>
  <c r="Z28" s="1"/>
  <c r="C29"/>
  <c r="D29" s="1"/>
  <c r="E29"/>
  <c r="G29"/>
  <c r="H29" s="1"/>
  <c r="I29"/>
  <c r="J29" s="1"/>
  <c r="K29"/>
  <c r="L29" s="1"/>
  <c r="M29"/>
  <c r="N29" s="1"/>
  <c r="O29"/>
  <c r="P29" s="1"/>
  <c r="Q29"/>
  <c r="S29"/>
  <c r="T29" s="1"/>
  <c r="U29"/>
  <c r="V29" s="1"/>
  <c r="W29"/>
  <c r="X29" s="1"/>
  <c r="Y29"/>
  <c r="Z29" s="1"/>
  <c r="C30"/>
  <c r="D30" s="1"/>
  <c r="E30"/>
  <c r="F30" s="1"/>
  <c r="G30"/>
  <c r="H30" s="1"/>
  <c r="I30"/>
  <c r="J30" s="1"/>
  <c r="K30"/>
  <c r="L30" s="1"/>
  <c r="M30"/>
  <c r="N30" s="1"/>
  <c r="O30"/>
  <c r="P30" s="1"/>
  <c r="Q30"/>
  <c r="R30" s="1"/>
  <c r="S30"/>
  <c r="T30" s="1"/>
  <c r="U30"/>
  <c r="V30" s="1"/>
  <c r="W30"/>
  <c r="X30" s="1"/>
  <c r="Y30"/>
  <c r="C31"/>
  <c r="D31" s="1"/>
  <c r="E31"/>
  <c r="F31" s="1"/>
  <c r="G31"/>
  <c r="H31" s="1"/>
  <c r="I31"/>
  <c r="J31" s="1"/>
  <c r="K31"/>
  <c r="L31" s="1"/>
  <c r="M31"/>
  <c r="O31"/>
  <c r="P31" s="1"/>
  <c r="Q31"/>
  <c r="R31" s="1"/>
  <c r="S31"/>
  <c r="T31" s="1"/>
  <c r="U31"/>
  <c r="V31" s="1"/>
  <c r="W31"/>
  <c r="X31" s="1"/>
  <c r="Y31"/>
  <c r="Z31" s="1"/>
  <c r="C32"/>
  <c r="D32" s="1"/>
  <c r="E32"/>
  <c r="F32" s="1"/>
  <c r="G32"/>
  <c r="H32" s="1"/>
  <c r="I32"/>
  <c r="J32" s="1"/>
  <c r="K32"/>
  <c r="L32" s="1"/>
  <c r="M32"/>
  <c r="N32" s="1"/>
  <c r="O32"/>
  <c r="P32" s="1"/>
  <c r="Q32"/>
  <c r="S32"/>
  <c r="T32" s="1"/>
  <c r="U32"/>
  <c r="V32" s="1"/>
  <c r="W32"/>
  <c r="X32" s="1"/>
  <c r="Y32"/>
  <c r="Z32" s="1"/>
  <c r="C33"/>
  <c r="D33" s="1"/>
  <c r="E33"/>
  <c r="F33" s="1"/>
  <c r="G33"/>
  <c r="H33" s="1"/>
  <c r="I33"/>
  <c r="J33" s="1"/>
  <c r="K33"/>
  <c r="L33" s="1"/>
  <c r="M33"/>
  <c r="N33" s="1"/>
  <c r="O33"/>
  <c r="P33" s="1"/>
  <c r="Q33"/>
  <c r="R33" s="1"/>
  <c r="S33"/>
  <c r="T33" s="1"/>
  <c r="U33"/>
  <c r="W33"/>
  <c r="X33" s="1"/>
  <c r="Y33"/>
  <c r="Z33" s="1"/>
  <c r="C34"/>
  <c r="D34" s="1"/>
  <c r="E34"/>
  <c r="F34" s="1"/>
  <c r="G34"/>
  <c r="H34" s="1"/>
  <c r="I34"/>
  <c r="J34" s="1"/>
  <c r="K34"/>
  <c r="L34" s="1"/>
  <c r="M34"/>
  <c r="N34" s="1"/>
  <c r="O34"/>
  <c r="P34" s="1"/>
  <c r="Q34"/>
  <c r="R34" s="1"/>
  <c r="S34"/>
  <c r="T34" s="1"/>
  <c r="U34"/>
  <c r="W34"/>
  <c r="X34" s="1"/>
  <c r="Y34"/>
  <c r="Z34" s="1"/>
  <c r="C35"/>
  <c r="D35" s="1"/>
  <c r="E35"/>
  <c r="F35" s="1"/>
  <c r="G35"/>
  <c r="H35" s="1"/>
  <c r="I35"/>
  <c r="J35" s="1"/>
  <c r="K35"/>
  <c r="L35" s="1"/>
  <c r="M35"/>
  <c r="N35" s="1"/>
  <c r="O35"/>
  <c r="P35" s="1"/>
  <c r="Q35"/>
  <c r="R35" s="1"/>
  <c r="S35"/>
  <c r="T35" s="1"/>
  <c r="U35"/>
  <c r="V35" s="1"/>
  <c r="W35"/>
  <c r="X35" s="1"/>
  <c r="Y35"/>
  <c r="Z35" s="1"/>
  <c r="Z6"/>
  <c r="Y6"/>
  <c r="W6"/>
  <c r="X6" s="1"/>
  <c r="V6"/>
  <c r="U6"/>
  <c r="S6"/>
  <c r="T6" s="1"/>
  <c r="Q6"/>
  <c r="R6" s="1"/>
  <c r="O6"/>
  <c r="P6" s="1"/>
  <c r="M6"/>
  <c r="N6" s="1"/>
  <c r="K6"/>
  <c r="L6" s="1"/>
  <c r="I6"/>
  <c r="J6" s="1"/>
  <c r="G6"/>
  <c r="H6" s="1"/>
  <c r="E6"/>
  <c r="F6" s="1"/>
  <c r="C6"/>
  <c r="D6" s="1"/>
  <c r="J12"/>
  <c r="F13"/>
  <c r="F15"/>
  <c r="V16"/>
  <c r="N16"/>
  <c r="H18"/>
  <c r="V19"/>
  <c r="N20"/>
  <c r="V20"/>
  <c r="F20"/>
  <c r="F21"/>
  <c r="X21"/>
  <c r="N23"/>
  <c r="V25"/>
  <c r="Z26"/>
  <c r="L26"/>
  <c r="N27"/>
  <c r="F27"/>
  <c r="R29"/>
  <c r="F29"/>
  <c r="Z30"/>
  <c r="N31"/>
  <c r="R32"/>
  <c r="V33"/>
  <c r="V34"/>
</calcChain>
</file>

<file path=xl/sharedStrings.xml><?xml version="1.0" encoding="utf-8"?>
<sst xmlns="http://schemas.openxmlformats.org/spreadsheetml/2006/main" count="163" uniqueCount="26">
  <si>
    <t>S.NO.</t>
  </si>
  <si>
    <t xml:space="preserve">ITEM DECRIPTION </t>
  </si>
  <si>
    <t xml:space="preserve">UNIT RATE
(RS.) </t>
  </si>
  <si>
    <t>PETRON</t>
  </si>
  <si>
    <t>ULTRA TECH CEMENT -RAVAN</t>
  </si>
  <si>
    <t>MASTER SUMMARY SHEET</t>
  </si>
  <si>
    <t xml:space="preserve">DATE </t>
  </si>
  <si>
    <t>RELIANCE INDUSTRIES LIMITED -SATNA</t>
  </si>
  <si>
    <t>SEPCO -CHATISHGARH</t>
  </si>
  <si>
    <t xml:space="preserve">LAFARGE- CHITORGARH </t>
  </si>
  <si>
    <t xml:space="preserve">220AMP CHANGE OVER SWITCH FRONT HANDLE MAKE  L &amp;T  </t>
  </si>
  <si>
    <t>DATE</t>
  </si>
  <si>
    <t>RELIANCE 
- SATNA</t>
  </si>
  <si>
    <t xml:space="preserve">ULTRATECH CEMENT
- RAVAN
 </t>
  </si>
  <si>
    <t>DATE - 21.3.12</t>
  </si>
  <si>
    <t>SEPCO
-CHATISGARH CHAMPA</t>
  </si>
  <si>
    <t>LAFARGE
 -CHATISGARH</t>
  </si>
  <si>
    <t>LFG</t>
  </si>
  <si>
    <t>RIL</t>
  </si>
  <si>
    <t>dd</t>
  </si>
  <si>
    <t>sf</t>
  </si>
  <si>
    <t>f</t>
  </si>
  <si>
    <t>jhjuh</t>
  </si>
  <si>
    <t>klk</t>
  </si>
  <si>
    <t>SEP</t>
  </si>
  <si>
    <t>UTC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</si>
</sst>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[$-14009]mmm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5" borderId="12" xfId="0" applyFont="1" applyFill="1" applyBorder="1"/>
    <xf numFmtId="0" fontId="1" fillId="5" borderId="13" xfId="0" applyFont="1" applyFill="1" applyBorder="1"/>
    <xf numFmtId="0" fontId="1" fillId="5" borderId="8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8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wrapText="1"/>
    </xf>
    <xf numFmtId="0" fontId="1" fillId="5" borderId="17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1" fillId="6" borderId="1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2" fillId="6" borderId="18" xfId="0" applyFont="1" applyFill="1" applyBorder="1"/>
    <xf numFmtId="0" fontId="0" fillId="6" borderId="19" xfId="0" applyFill="1" applyBorder="1"/>
    <xf numFmtId="0" fontId="0" fillId="6" borderId="20" xfId="0" applyFill="1" applyBorder="1"/>
    <xf numFmtId="0" fontId="2" fillId="6" borderId="21" xfId="0" applyFont="1" applyFill="1" applyBorder="1"/>
    <xf numFmtId="0" fontId="2" fillId="6" borderId="0" xfId="0" applyFont="1" applyFill="1" applyBorder="1"/>
    <xf numFmtId="0" fontId="0" fillId="6" borderId="0" xfId="0" applyFill="1" applyBorder="1"/>
    <xf numFmtId="0" fontId="0" fillId="6" borderId="22" xfId="0" applyFill="1" applyBorder="1"/>
    <xf numFmtId="0" fontId="2" fillId="6" borderId="23" xfId="0" applyFont="1" applyFill="1" applyBorder="1"/>
    <xf numFmtId="0" fontId="2" fillId="6" borderId="24" xfId="0" applyFont="1" applyFill="1" applyBorder="1"/>
    <xf numFmtId="0" fontId="0" fillId="6" borderId="24" xfId="0" applyFill="1" applyBorder="1"/>
    <xf numFmtId="0" fontId="0" fillId="6" borderId="25" xfId="0" applyFill="1" applyBorder="1"/>
    <xf numFmtId="0" fontId="1" fillId="6" borderId="26" xfId="0" applyFont="1" applyFill="1" applyBorder="1"/>
    <xf numFmtId="0" fontId="1" fillId="6" borderId="17" xfId="0" applyFont="1" applyFill="1" applyBorder="1" applyAlignment="1">
      <alignment horizontal="center"/>
    </xf>
    <xf numFmtId="0" fontId="1" fillId="7" borderId="0" xfId="0" applyFont="1" applyFill="1"/>
    <xf numFmtId="0" fontId="0" fillId="7" borderId="0" xfId="0" applyFill="1"/>
    <xf numFmtId="0" fontId="3" fillId="2" borderId="1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0" fillId="0" borderId="6" xfId="0" applyBorder="1" applyAlignment="1"/>
    <xf numFmtId="0" fontId="0" fillId="0" borderId="28" xfId="0" applyBorder="1"/>
    <xf numFmtId="0" fontId="3" fillId="2" borderId="29" xfId="0" applyFont="1" applyFill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" fillId="2" borderId="8" xfId="0" applyFont="1" applyFill="1" applyBorder="1" applyAlignment="1"/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9" xfId="0" applyFont="1" applyFill="1" applyBorder="1"/>
    <xf numFmtId="0" fontId="3" fillId="2" borderId="36" xfId="0" applyFont="1" applyFill="1" applyBorder="1" applyAlignment="1">
      <alignment horizontal="center"/>
    </xf>
    <xf numFmtId="0" fontId="3" fillId="2" borderId="16" xfId="0" applyFont="1" applyFill="1" applyBorder="1" applyAlignment="1"/>
    <xf numFmtId="0" fontId="0" fillId="0" borderId="10" xfId="0" applyBorder="1" applyAlignment="1">
      <alignment horizontal="center"/>
    </xf>
    <xf numFmtId="164" fontId="0" fillId="0" borderId="14" xfId="0" applyNumberFormat="1" applyBorder="1"/>
    <xf numFmtId="164" fontId="0" fillId="0" borderId="15" xfId="0" applyNumberFormat="1" applyBorder="1" applyAlignment="1">
      <alignment horizontal="center"/>
    </xf>
    <xf numFmtId="0" fontId="0" fillId="0" borderId="30" xfId="0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0" xfId="0" applyBorder="1" applyAlignment="1"/>
    <xf numFmtId="165" fontId="1" fillId="3" borderId="4" xfId="0" applyNumberFormat="1" applyFon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0" fontId="1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C17" sqref="C17"/>
    </sheetView>
  </sheetViews>
  <sheetFormatPr defaultRowHeight="15"/>
  <cols>
    <col min="1" max="2" width="7.140625" customWidth="1"/>
    <col min="3" max="3" width="58.7109375" customWidth="1"/>
    <col min="4" max="4" width="12.28515625" customWidth="1"/>
    <col min="5" max="5" width="13.28515625" customWidth="1"/>
    <col min="6" max="6" width="20.42578125" customWidth="1"/>
    <col min="7" max="7" width="17.140625" customWidth="1"/>
    <col min="8" max="8" width="16.85546875" customWidth="1"/>
    <col min="9" max="9" width="19.7109375" customWidth="1"/>
  </cols>
  <sheetData>
    <row r="1" spans="1:9" ht="18.75">
      <c r="A1" s="51" t="s">
        <v>3</v>
      </c>
      <c r="B1" s="86"/>
      <c r="C1" s="52"/>
      <c r="D1" s="52"/>
      <c r="E1" s="52"/>
      <c r="F1" s="52"/>
      <c r="G1" s="52"/>
      <c r="H1" s="52"/>
      <c r="I1" s="53"/>
    </row>
    <row r="2" spans="1:9" ht="18.75">
      <c r="A2" s="54" t="s">
        <v>5</v>
      </c>
      <c r="B2" s="55"/>
      <c r="C2" s="55"/>
      <c r="D2" s="55"/>
      <c r="E2" s="55"/>
      <c r="F2" s="56"/>
      <c r="G2" s="56"/>
      <c r="H2" s="56"/>
      <c r="I2" s="57"/>
    </row>
    <row r="3" spans="1:9" ht="19.5" thickBot="1">
      <c r="A3" s="58"/>
      <c r="B3" s="59"/>
      <c r="C3" s="59"/>
      <c r="D3" s="59"/>
      <c r="E3" s="59"/>
      <c r="F3" s="60"/>
      <c r="G3" s="60"/>
      <c r="H3" s="60"/>
      <c r="I3" s="61"/>
    </row>
    <row r="4" spans="1:9" ht="32.25" customHeight="1" thickBot="1">
      <c r="A4" s="64" t="s">
        <v>14</v>
      </c>
      <c r="B4" s="64"/>
      <c r="C4" s="65"/>
      <c r="D4" s="65"/>
      <c r="E4" s="65"/>
      <c r="F4" s="65"/>
      <c r="G4" s="65"/>
      <c r="H4" s="65"/>
      <c r="I4" s="65"/>
    </row>
    <row r="5" spans="1:9" ht="45">
      <c r="A5" s="66" t="s">
        <v>0</v>
      </c>
      <c r="B5" s="87"/>
      <c r="C5" s="67" t="s">
        <v>1</v>
      </c>
      <c r="D5" s="84"/>
      <c r="E5" s="76" t="s">
        <v>6</v>
      </c>
      <c r="F5" s="70" t="s">
        <v>13</v>
      </c>
      <c r="G5" s="70" t="s">
        <v>12</v>
      </c>
      <c r="H5" s="70" t="s">
        <v>15</v>
      </c>
      <c r="I5" s="73" t="s">
        <v>16</v>
      </c>
    </row>
    <row r="6" spans="1:9" ht="30.75" thickBot="1">
      <c r="A6" s="79"/>
      <c r="B6" s="88"/>
      <c r="C6" s="80"/>
      <c r="D6" s="85"/>
      <c r="E6" s="81"/>
      <c r="F6" s="82" t="s">
        <v>2</v>
      </c>
      <c r="G6" s="82" t="s">
        <v>2</v>
      </c>
      <c r="H6" s="82" t="s">
        <v>2</v>
      </c>
      <c r="I6" s="83" t="s">
        <v>2</v>
      </c>
    </row>
    <row r="7" spans="1:9">
      <c r="A7" s="15">
        <v>1</v>
      </c>
      <c r="B7" s="89" t="s">
        <v>17</v>
      </c>
      <c r="C7" s="16" t="s">
        <v>10</v>
      </c>
      <c r="D7" s="9"/>
      <c r="E7" s="91">
        <v>40941</v>
      </c>
      <c r="F7" s="77"/>
      <c r="G7" s="77"/>
      <c r="H7" s="77"/>
      <c r="I7" s="78">
        <v>2345</v>
      </c>
    </row>
    <row r="8" spans="1:9">
      <c r="A8" s="10">
        <v>2</v>
      </c>
      <c r="B8" s="89" t="s">
        <v>17</v>
      </c>
      <c r="C8" s="1" t="s">
        <v>19</v>
      </c>
      <c r="D8" s="4"/>
      <c r="E8" s="91">
        <v>40941</v>
      </c>
      <c r="F8" s="71"/>
      <c r="G8" s="71"/>
      <c r="H8" s="71">
        <v>345</v>
      </c>
      <c r="I8" s="74"/>
    </row>
    <row r="9" spans="1:9">
      <c r="A9" s="10">
        <v>3</v>
      </c>
      <c r="B9" s="89" t="s">
        <v>24</v>
      </c>
      <c r="C9" s="1" t="s">
        <v>20</v>
      </c>
      <c r="D9" s="4"/>
      <c r="E9" s="91">
        <v>40941</v>
      </c>
      <c r="F9" s="71"/>
      <c r="G9" s="71">
        <v>654</v>
      </c>
      <c r="H9" s="71"/>
      <c r="I9" s="74"/>
    </row>
    <row r="10" spans="1:9">
      <c r="A10" s="10"/>
      <c r="B10" s="89" t="s">
        <v>18</v>
      </c>
      <c r="C10" s="1" t="s">
        <v>21</v>
      </c>
      <c r="D10" s="4"/>
      <c r="E10" s="91">
        <v>40941</v>
      </c>
      <c r="F10" s="71">
        <v>324</v>
      </c>
      <c r="G10" s="71"/>
      <c r="H10" s="71"/>
      <c r="I10" s="74"/>
    </row>
    <row r="11" spans="1:9">
      <c r="A11" s="10"/>
      <c r="B11" s="89" t="s">
        <v>18</v>
      </c>
      <c r="C11" s="1" t="s">
        <v>22</v>
      </c>
      <c r="D11" s="4"/>
      <c r="E11" s="91">
        <v>40970</v>
      </c>
      <c r="F11" s="71"/>
      <c r="G11" s="71"/>
      <c r="H11" s="71"/>
      <c r="I11" s="74">
        <v>2355</v>
      </c>
    </row>
    <row r="12" spans="1:9">
      <c r="A12" s="10"/>
      <c r="B12" s="89" t="s">
        <v>17</v>
      </c>
      <c r="C12" s="1" t="s">
        <v>23</v>
      </c>
      <c r="D12" s="4"/>
      <c r="E12" s="91">
        <v>40941</v>
      </c>
      <c r="F12" s="71"/>
      <c r="G12" s="71"/>
      <c r="H12" s="71"/>
      <c r="I12" s="74">
        <v>3332</v>
      </c>
    </row>
    <row r="13" spans="1:9">
      <c r="A13" s="10"/>
      <c r="B13" s="89" t="s">
        <v>25</v>
      </c>
      <c r="C13" s="1"/>
      <c r="D13" s="4"/>
      <c r="E13" s="91"/>
      <c r="F13" s="71"/>
      <c r="G13" s="71"/>
      <c r="H13" s="71"/>
      <c r="I13" s="74"/>
    </row>
    <row r="14" spans="1:9">
      <c r="A14" s="10"/>
      <c r="B14" s="89"/>
      <c r="C14" s="1"/>
      <c r="D14" s="4"/>
      <c r="E14" s="91"/>
      <c r="F14" s="71"/>
      <c r="G14" s="71"/>
      <c r="H14" s="71"/>
      <c r="I14" s="74"/>
    </row>
    <row r="15" spans="1:9">
      <c r="A15" s="10"/>
      <c r="B15" s="89"/>
      <c r="C15" s="1"/>
      <c r="D15" s="4"/>
      <c r="E15" s="91"/>
      <c r="F15" s="71"/>
      <c r="G15" s="71"/>
      <c r="H15" s="71"/>
      <c r="I15" s="74"/>
    </row>
    <row r="16" spans="1:9">
      <c r="A16" s="10"/>
      <c r="B16" s="89"/>
      <c r="C16" s="1"/>
      <c r="D16" s="4"/>
      <c r="E16" s="91"/>
      <c r="F16" s="71"/>
      <c r="G16" s="71"/>
      <c r="H16" s="71"/>
      <c r="I16" s="74"/>
    </row>
    <row r="17" spans="1:9">
      <c r="A17" s="10"/>
      <c r="B17" s="89"/>
      <c r="C17" s="1"/>
      <c r="D17" s="4"/>
      <c r="E17" s="91"/>
      <c r="F17" s="71"/>
      <c r="G17" s="71"/>
      <c r="H17" s="71"/>
      <c r="I17" s="74"/>
    </row>
    <row r="18" spans="1:9">
      <c r="A18" s="10"/>
      <c r="B18" s="89"/>
      <c r="C18" s="1"/>
      <c r="D18" s="4"/>
      <c r="E18" s="91"/>
      <c r="F18" s="71"/>
      <c r="G18" s="71"/>
      <c r="H18" s="71"/>
      <c r="I18" s="74"/>
    </row>
    <row r="19" spans="1:9">
      <c r="A19" s="10"/>
      <c r="B19" s="89"/>
      <c r="C19" s="1"/>
      <c r="D19" s="4"/>
      <c r="E19" s="91"/>
      <c r="F19" s="71"/>
      <c r="G19" s="71"/>
      <c r="H19" s="71"/>
      <c r="I19" s="74"/>
    </row>
    <row r="20" spans="1:9">
      <c r="A20" s="10"/>
      <c r="B20" s="89"/>
      <c r="C20" s="1"/>
      <c r="D20" s="4"/>
      <c r="E20" s="91"/>
      <c r="F20" s="94"/>
      <c r="G20" s="92"/>
      <c r="H20" s="92"/>
      <c r="I20" s="93"/>
    </row>
    <row r="21" spans="1:9">
      <c r="A21" s="10"/>
      <c r="B21" s="89"/>
      <c r="C21" s="1"/>
      <c r="D21" s="4"/>
      <c r="E21" s="91"/>
      <c r="F21" s="71"/>
      <c r="G21" s="71"/>
      <c r="H21" s="71"/>
      <c r="I21" s="74"/>
    </row>
    <row r="22" spans="1:9">
      <c r="A22" s="10"/>
      <c r="B22" s="89"/>
      <c r="C22" s="1"/>
      <c r="D22" s="4"/>
      <c r="E22" s="91"/>
      <c r="F22" s="71"/>
      <c r="G22" s="71"/>
      <c r="H22" s="71"/>
      <c r="I22" s="74"/>
    </row>
    <row r="23" spans="1:9">
      <c r="A23" s="10"/>
      <c r="B23" s="89"/>
      <c r="C23" s="1"/>
      <c r="D23" s="4"/>
      <c r="E23" s="91"/>
      <c r="F23" s="71"/>
      <c r="G23" s="71"/>
      <c r="H23" s="71"/>
      <c r="I23" s="74"/>
    </row>
    <row r="24" spans="1:9">
      <c r="A24" s="10"/>
      <c r="B24" s="89"/>
      <c r="C24" s="1"/>
      <c r="D24" s="4"/>
      <c r="E24" s="91"/>
      <c r="F24" s="71"/>
      <c r="G24" s="71"/>
      <c r="H24" s="71"/>
      <c r="I24" s="74"/>
    </row>
    <row r="25" spans="1:9">
      <c r="A25" s="10"/>
      <c r="B25" s="89"/>
      <c r="C25" s="1"/>
      <c r="D25" s="4"/>
      <c r="E25" s="91"/>
      <c r="F25" s="71"/>
      <c r="G25" s="71"/>
      <c r="H25" s="71"/>
      <c r="I25" s="74"/>
    </row>
    <row r="26" spans="1:9">
      <c r="A26" s="10"/>
      <c r="B26" s="89"/>
      <c r="C26" s="1"/>
      <c r="D26" s="4"/>
      <c r="E26" s="91"/>
      <c r="F26" s="71"/>
      <c r="G26" s="71"/>
      <c r="H26" s="71"/>
      <c r="I26" s="74"/>
    </row>
    <row r="27" spans="1:9">
      <c r="A27" s="10"/>
      <c r="B27" s="89"/>
      <c r="C27" s="1"/>
      <c r="D27" s="4"/>
      <c r="E27" s="91"/>
      <c r="F27" s="71"/>
      <c r="G27" s="71"/>
      <c r="H27" s="71"/>
      <c r="I27" s="74"/>
    </row>
    <row r="28" spans="1:9">
      <c r="A28" s="10"/>
      <c r="B28" s="89"/>
      <c r="C28" s="1"/>
      <c r="D28" s="4"/>
      <c r="E28" s="91"/>
      <c r="F28" s="71"/>
      <c r="G28" s="71"/>
      <c r="H28" s="71"/>
      <c r="I28" s="74"/>
    </row>
    <row r="29" spans="1:9">
      <c r="A29" s="10"/>
      <c r="B29" s="89"/>
      <c r="C29" s="1"/>
      <c r="D29" s="4"/>
      <c r="E29" s="91"/>
      <c r="F29" s="71"/>
      <c r="G29" s="71"/>
      <c r="H29" s="71"/>
      <c r="I29" s="74"/>
    </row>
    <row r="30" spans="1:9">
      <c r="A30" s="10"/>
      <c r="B30" s="89"/>
      <c r="C30" s="1"/>
      <c r="D30" s="4"/>
      <c r="E30" s="91"/>
      <c r="F30" s="71"/>
      <c r="G30" s="71"/>
      <c r="H30" s="71"/>
      <c r="I30" s="74"/>
    </row>
    <row r="31" spans="1:9">
      <c r="A31" s="10"/>
      <c r="B31" s="89"/>
      <c r="C31" s="1"/>
      <c r="D31" s="4"/>
      <c r="E31" s="91"/>
      <c r="F31" s="71"/>
      <c r="G31" s="71"/>
      <c r="H31" s="71"/>
      <c r="I31" s="74"/>
    </row>
    <row r="32" spans="1:9">
      <c r="A32" s="10"/>
      <c r="B32" s="89"/>
      <c r="C32" s="1"/>
      <c r="D32" s="4"/>
      <c r="E32" s="91"/>
      <c r="F32" s="71"/>
      <c r="G32" s="71"/>
      <c r="H32" s="71"/>
      <c r="I32" s="74"/>
    </row>
    <row r="33" spans="1:9">
      <c r="A33" s="10"/>
      <c r="B33" s="89"/>
      <c r="C33" s="1"/>
      <c r="D33" s="4"/>
      <c r="E33" s="91"/>
      <c r="F33" s="71"/>
      <c r="G33" s="71"/>
      <c r="H33" s="71"/>
      <c r="I33" s="74"/>
    </row>
    <row r="34" spans="1:9">
      <c r="A34" s="68"/>
      <c r="B34" s="89"/>
      <c r="C34" s="1"/>
      <c r="D34" s="4"/>
      <c r="E34" s="91"/>
      <c r="F34" s="71"/>
      <c r="G34" s="71"/>
      <c r="H34" s="71"/>
      <c r="I34" s="74"/>
    </row>
    <row r="35" spans="1:9">
      <c r="A35" s="68"/>
      <c r="B35" s="89"/>
      <c r="C35" s="1"/>
      <c r="D35" s="4"/>
      <c r="E35" s="91"/>
      <c r="F35" s="71"/>
      <c r="G35" s="71"/>
      <c r="H35" s="71"/>
      <c r="I35" s="74"/>
    </row>
    <row r="36" spans="1:9">
      <c r="A36" s="5"/>
      <c r="B36" s="89"/>
      <c r="C36" s="1"/>
      <c r="D36" s="4"/>
      <c r="E36" s="91"/>
      <c r="F36" s="71"/>
      <c r="G36" s="71"/>
      <c r="H36" s="71"/>
      <c r="I36" s="74"/>
    </row>
    <row r="37" spans="1:9">
      <c r="A37" s="5"/>
      <c r="B37" s="89"/>
      <c r="C37" s="1"/>
      <c r="D37" s="4"/>
      <c r="E37" s="91"/>
      <c r="F37" s="71"/>
      <c r="G37" s="71"/>
      <c r="H37" s="71"/>
      <c r="I37" s="74"/>
    </row>
    <row r="38" spans="1:9">
      <c r="A38" s="5"/>
      <c r="B38" s="89"/>
      <c r="C38" s="1"/>
      <c r="D38" s="4"/>
      <c r="E38" s="91"/>
      <c r="F38" s="71"/>
      <c r="G38" s="71"/>
      <c r="H38" s="71"/>
      <c r="I38" s="74"/>
    </row>
    <row r="39" spans="1:9" ht="15.75" thickBot="1">
      <c r="A39" s="7"/>
      <c r="B39" s="89"/>
      <c r="C39" s="69"/>
      <c r="D39" s="24"/>
      <c r="E39" s="91"/>
      <c r="F39" s="72"/>
      <c r="G39" s="72"/>
      <c r="H39" s="72"/>
      <c r="I39" s="75"/>
    </row>
  </sheetData>
  <dataValidations count="1">
    <dataValidation type="list" allowBlank="1" showInputMessage="1" showErrorMessage="1" sqref="B7:B39">
      <formula1>"LFG,SEP,RIL,UTC"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7"/>
  <sheetViews>
    <sheetView workbookViewId="0">
      <pane xSplit="2" ySplit="3" topLeftCell="V4" activePane="bottomRight" state="frozen"/>
      <selection pane="topRight" activeCell="C1" sqref="C1"/>
      <selection pane="bottomLeft" activeCell="A4" sqref="A4"/>
      <selection pane="bottomRight" activeCell="AA3" sqref="C3:AX3"/>
    </sheetView>
  </sheetViews>
  <sheetFormatPr defaultRowHeight="15"/>
  <cols>
    <col min="1" max="1" width="7.28515625" customWidth="1"/>
    <col min="2" max="2" width="36.140625" customWidth="1"/>
    <col min="3" max="3" width="12.5703125" customWidth="1"/>
    <col min="4" max="4" width="11.7109375" customWidth="1"/>
    <col min="5" max="5" width="10.42578125" bestFit="1" customWidth="1"/>
    <col min="11" max="11" width="11.140625" customWidth="1"/>
    <col min="12" max="12" width="10.42578125" customWidth="1"/>
    <col min="13" max="13" width="11.42578125" customWidth="1"/>
    <col min="14" max="14" width="12" customWidth="1"/>
  </cols>
  <sheetData>
    <row r="1" spans="1:50" ht="18.75">
      <c r="A1" s="2" t="s">
        <v>3</v>
      </c>
    </row>
    <row r="2" spans="1:50" ht="18.75">
      <c r="A2" s="2" t="s">
        <v>4</v>
      </c>
      <c r="B2" s="2"/>
    </row>
    <row r="3" spans="1:50" ht="19.5" thickBot="1">
      <c r="A3" s="2"/>
      <c r="B3" s="2"/>
      <c r="C3" s="97">
        <v>2011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>
        <v>2012</v>
      </c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50">
      <c r="A4" s="35" t="s">
        <v>0</v>
      </c>
      <c r="B4" s="62" t="s">
        <v>1</v>
      </c>
      <c r="C4" s="95">
        <v>40544</v>
      </c>
      <c r="D4" s="96"/>
      <c r="E4" s="95">
        <v>40576</v>
      </c>
      <c r="F4" s="96"/>
      <c r="G4" s="95">
        <v>40608</v>
      </c>
      <c r="H4" s="96"/>
      <c r="I4" s="95">
        <v>40640</v>
      </c>
      <c r="J4" s="96"/>
      <c r="K4" s="95">
        <v>40672</v>
      </c>
      <c r="L4" s="96"/>
      <c r="M4" s="95">
        <v>40704</v>
      </c>
      <c r="N4" s="96"/>
      <c r="O4" s="95">
        <v>40736</v>
      </c>
      <c r="P4" s="96"/>
      <c r="Q4" s="95">
        <v>40768</v>
      </c>
      <c r="R4" s="96"/>
      <c r="S4" s="95">
        <v>40800</v>
      </c>
      <c r="T4" s="96"/>
      <c r="U4" s="95">
        <v>40832</v>
      </c>
      <c r="V4" s="96"/>
      <c r="W4" s="95">
        <v>40864</v>
      </c>
      <c r="X4" s="96"/>
      <c r="Y4" s="95">
        <v>40896</v>
      </c>
      <c r="Z4" s="96"/>
      <c r="AA4" s="95">
        <v>40544</v>
      </c>
      <c r="AB4" s="96"/>
      <c r="AC4" s="95">
        <v>40576</v>
      </c>
      <c r="AD4" s="96"/>
      <c r="AE4" s="95">
        <v>40608</v>
      </c>
      <c r="AF4" s="96"/>
      <c r="AG4" s="95">
        <v>40640</v>
      </c>
      <c r="AH4" s="96"/>
      <c r="AI4" s="95">
        <v>40672</v>
      </c>
      <c r="AJ4" s="96"/>
      <c r="AK4" s="95">
        <v>40704</v>
      </c>
      <c r="AL4" s="96"/>
      <c r="AM4" s="95">
        <v>40736</v>
      </c>
      <c r="AN4" s="96"/>
      <c r="AO4" s="95">
        <v>40768</v>
      </c>
      <c r="AP4" s="96"/>
      <c r="AQ4" s="95">
        <v>40800</v>
      </c>
      <c r="AR4" s="96"/>
      <c r="AS4" s="95">
        <v>40832</v>
      </c>
      <c r="AT4" s="96"/>
      <c r="AU4" s="95">
        <v>40864</v>
      </c>
      <c r="AV4" s="96"/>
      <c r="AW4" s="95">
        <v>40896</v>
      </c>
      <c r="AX4" s="96"/>
    </row>
    <row r="5" spans="1:50" ht="42.75" customHeight="1" thickBot="1">
      <c r="A5" s="36"/>
      <c r="B5" s="63"/>
      <c r="C5" s="37" t="s">
        <v>11</v>
      </c>
      <c r="D5" s="48" t="s">
        <v>2</v>
      </c>
      <c r="E5" s="36" t="s">
        <v>11</v>
      </c>
      <c r="F5" s="48" t="s">
        <v>2</v>
      </c>
      <c r="G5" s="36" t="s">
        <v>11</v>
      </c>
      <c r="H5" s="48" t="s">
        <v>2</v>
      </c>
      <c r="I5" s="36" t="s">
        <v>11</v>
      </c>
      <c r="J5" s="48" t="s">
        <v>2</v>
      </c>
      <c r="K5" s="36" t="s">
        <v>11</v>
      </c>
      <c r="L5" s="48" t="s">
        <v>2</v>
      </c>
      <c r="M5" s="36" t="s">
        <v>11</v>
      </c>
      <c r="N5" s="48" t="s">
        <v>2</v>
      </c>
      <c r="O5" s="36" t="s">
        <v>11</v>
      </c>
      <c r="P5" s="48" t="s">
        <v>2</v>
      </c>
      <c r="Q5" s="36" t="s">
        <v>11</v>
      </c>
      <c r="R5" s="48" t="s">
        <v>2</v>
      </c>
      <c r="S5" s="36" t="s">
        <v>11</v>
      </c>
      <c r="T5" s="48" t="s">
        <v>2</v>
      </c>
      <c r="U5" s="37" t="s">
        <v>11</v>
      </c>
      <c r="V5" s="49" t="s">
        <v>2</v>
      </c>
      <c r="W5" s="50" t="s">
        <v>11</v>
      </c>
      <c r="X5" s="48" t="s">
        <v>2</v>
      </c>
      <c r="Y5" s="50" t="s">
        <v>11</v>
      </c>
      <c r="Z5" s="48" t="s">
        <v>2</v>
      </c>
      <c r="AA5" s="37" t="s">
        <v>11</v>
      </c>
      <c r="AB5" s="48" t="s">
        <v>2</v>
      </c>
      <c r="AC5" s="36" t="s">
        <v>11</v>
      </c>
      <c r="AD5" s="48" t="s">
        <v>2</v>
      </c>
      <c r="AE5" s="36" t="s">
        <v>11</v>
      </c>
      <c r="AF5" s="48" t="s">
        <v>2</v>
      </c>
      <c r="AG5" s="36" t="s">
        <v>11</v>
      </c>
      <c r="AH5" s="48" t="s">
        <v>2</v>
      </c>
      <c r="AI5" s="36" t="s">
        <v>11</v>
      </c>
      <c r="AJ5" s="48" t="s">
        <v>2</v>
      </c>
      <c r="AK5" s="36" t="s">
        <v>11</v>
      </c>
      <c r="AL5" s="48" t="s">
        <v>2</v>
      </c>
      <c r="AM5" s="36" t="s">
        <v>11</v>
      </c>
      <c r="AN5" s="48" t="s">
        <v>2</v>
      </c>
      <c r="AO5" s="36" t="s">
        <v>11</v>
      </c>
      <c r="AP5" s="48" t="s">
        <v>2</v>
      </c>
      <c r="AQ5" s="36" t="s">
        <v>11</v>
      </c>
      <c r="AR5" s="48" t="s">
        <v>2</v>
      </c>
      <c r="AS5" s="37" t="s">
        <v>11</v>
      </c>
      <c r="AT5" s="49" t="s">
        <v>2</v>
      </c>
      <c r="AU5" s="50" t="s">
        <v>11</v>
      </c>
      <c r="AV5" s="48" t="s">
        <v>2</v>
      </c>
      <c r="AW5" s="50" t="s">
        <v>11</v>
      </c>
      <c r="AX5" s="48" t="s">
        <v>2</v>
      </c>
    </row>
    <row r="6" spans="1:50" ht="28.5" customHeight="1">
      <c r="A6" s="15">
        <v>1</v>
      </c>
      <c r="B6" s="16">
        <f>IF('MASTER data'!B7="UTC",'MASTER data'!C7,0)</f>
        <v>0</v>
      </c>
      <c r="C6" s="90" t="str">
        <f>IF('MASTER data'!$B7="UTC",IF(MONTH('MASTER data'!$E7)=MONTH(C$4),'MASTER data'!$E7,""),"")</f>
        <v/>
      </c>
      <c r="D6" s="16" t="str">
        <f>IF(C6='MASTER data'!$E7,'MASTER data'!$H7,"")</f>
        <v/>
      </c>
      <c r="E6" s="90" t="str">
        <f>IF('MASTER data'!$B7="UTC",IF(MONTH('MASTER data'!$E7)=MONTH(E$4),'MASTER data'!$E7,""),"")</f>
        <v/>
      </c>
      <c r="F6" s="16" t="str">
        <f>IF(E6='MASTER data'!$E7,'MASTER data'!$H7,"")</f>
        <v/>
      </c>
      <c r="G6" s="90" t="str">
        <f>IF('MASTER data'!$B7="UTC",IF(MONTH('MASTER data'!$E7)=MONTH(G$4),'MASTER data'!$E7,""),"")</f>
        <v/>
      </c>
      <c r="H6" s="16" t="str">
        <f>IF(G6='MASTER data'!$E7,'MASTER data'!$H7,"")</f>
        <v/>
      </c>
      <c r="I6" s="90" t="str">
        <f>IF('MASTER data'!$B7="UTC",IF(MONTH('MASTER data'!$E7)=MONTH(I$4),'MASTER data'!$E7,""),"")</f>
        <v/>
      </c>
      <c r="J6" s="16" t="str">
        <f>IF(I6='MASTER data'!$E7,'MASTER data'!$H7,"")</f>
        <v/>
      </c>
      <c r="K6" s="90" t="str">
        <f>IF('MASTER data'!$B7="UTC",IF(MONTH('MASTER data'!$E7)=MONTH(K$4),'MASTER data'!$E7,""),"")</f>
        <v/>
      </c>
      <c r="L6" s="16" t="str">
        <f>IF(K6='MASTER data'!$E7,'MASTER data'!$H7,"")</f>
        <v/>
      </c>
      <c r="M6" s="90" t="str">
        <f>IF('MASTER data'!$B7="UTC",IF(MONTH('MASTER data'!$E7)=MONTH(M$4),'MASTER data'!$E7,""),"")</f>
        <v/>
      </c>
      <c r="N6" s="16" t="str">
        <f>IF(M6='MASTER data'!$E7,'MASTER data'!$H7,"")</f>
        <v/>
      </c>
      <c r="O6" s="90" t="str">
        <f>IF('MASTER data'!$B7="UTC",IF(MONTH('MASTER data'!$E7)=MONTH(O$4),'MASTER data'!$E7,""),"")</f>
        <v/>
      </c>
      <c r="P6" s="16" t="str">
        <f>IF(O6='MASTER data'!$E7,'MASTER data'!$H7,"")</f>
        <v/>
      </c>
      <c r="Q6" s="90" t="str">
        <f>IF('MASTER data'!$B7="UTC",IF(MONTH('MASTER data'!$E7)=MONTH(Q$4),'MASTER data'!$E7,""),"")</f>
        <v/>
      </c>
      <c r="R6" s="16" t="str">
        <f>IF(Q6='MASTER data'!$E7,'MASTER data'!$H7,"")</f>
        <v/>
      </c>
      <c r="S6" s="90" t="str">
        <f>IF('MASTER data'!$B7="UTC",IF(MONTH('MASTER data'!$E7)=MONTH(S$4),'MASTER data'!$E7,""),"")</f>
        <v/>
      </c>
      <c r="T6" s="16" t="str">
        <f>IF(S6='MASTER data'!$E7,'MASTER data'!$H7,"")</f>
        <v/>
      </c>
      <c r="U6" s="90" t="str">
        <f>IF('MASTER data'!$B7="UTC",IF(MONTH('MASTER data'!$E7)=MONTH(U$4),'MASTER data'!$E7,""),"")</f>
        <v/>
      </c>
      <c r="V6" s="16" t="str">
        <f>IF(U6='MASTER data'!$E7,'MASTER data'!$H7,"")</f>
        <v/>
      </c>
      <c r="W6" s="90" t="str">
        <f>IF('MASTER data'!$B7="UTC",IF(MONTH('MASTER data'!$E7)=MONTH(W$4),'MASTER data'!$E7,""),"")</f>
        <v/>
      </c>
      <c r="X6" s="16" t="str">
        <f>IF(W6='MASTER data'!$E7,'MASTER data'!$H7,"")</f>
        <v/>
      </c>
      <c r="Y6" s="90" t="str">
        <f>IF('MASTER data'!$B7="UTC",IF(MONTH('MASTER data'!$E7)=MONTH(Y$4),'MASTER data'!$E7,""),"")</f>
        <v/>
      </c>
      <c r="Z6" s="16" t="str">
        <f>IF(Y6='MASTER data'!$E7,'MASTER data'!$H7,"")</f>
        <v/>
      </c>
    </row>
    <row r="7" spans="1:50">
      <c r="A7" s="5"/>
      <c r="B7" s="4"/>
      <c r="C7" s="90" t="str">
        <f>IF('MASTER data'!$B8="UTC",IF(MONTH('MASTER data'!$E8)=MONTH(C$4),'MASTER data'!$E8,""),"")</f>
        <v/>
      </c>
      <c r="D7" s="16" t="str">
        <f>IF(C7='MASTER data'!$E8,'MASTER data'!$H8,"")</f>
        <v/>
      </c>
      <c r="E7" s="90" t="str">
        <f>IF('MASTER data'!$B8="UTC",IF(MONTH('MASTER data'!$E8)=MONTH(E$4),'MASTER data'!$E8,""),"")</f>
        <v/>
      </c>
      <c r="F7" s="16" t="str">
        <f>IF(E7='MASTER data'!$E8,'MASTER data'!$H8,"")</f>
        <v/>
      </c>
      <c r="G7" s="90" t="str">
        <f>IF('MASTER data'!$B8="UTC",IF(MONTH('MASTER data'!$E8)=MONTH(G$4),'MASTER data'!$E8,""),"")</f>
        <v/>
      </c>
      <c r="H7" s="16" t="str">
        <f>IF(G7='MASTER data'!$E8,'MASTER data'!$H8,"")</f>
        <v/>
      </c>
      <c r="I7" s="90" t="str">
        <f>IF('MASTER data'!$B8="UTC",IF(MONTH('MASTER data'!$E8)=MONTH(I$4),'MASTER data'!$E8,""),"")</f>
        <v/>
      </c>
      <c r="J7" s="16" t="str">
        <f>IF(I7='MASTER data'!$E8,'MASTER data'!$H8,"")</f>
        <v/>
      </c>
      <c r="K7" s="90" t="str">
        <f>IF('MASTER data'!$B8="UTC",IF(MONTH('MASTER data'!$E8)=MONTH(K$4),'MASTER data'!$E8,""),"")</f>
        <v/>
      </c>
      <c r="L7" s="16" t="str">
        <f>IF(K7='MASTER data'!$E8,'MASTER data'!$H8,"")</f>
        <v/>
      </c>
      <c r="M7" s="90" t="str">
        <f>IF('MASTER data'!$B8="UTC",IF(MONTH('MASTER data'!$E8)=MONTH(M$4),'MASTER data'!$E8,""),"")</f>
        <v/>
      </c>
      <c r="N7" s="16" t="str">
        <f>IF(M7='MASTER data'!$E8,'MASTER data'!$H8,"")</f>
        <v/>
      </c>
      <c r="O7" s="90" t="str">
        <f>IF('MASTER data'!$B8="UTC",IF(MONTH('MASTER data'!$E8)=MONTH(O$4),'MASTER data'!$E8,""),"")</f>
        <v/>
      </c>
      <c r="P7" s="16" t="str">
        <f>IF(O7='MASTER data'!$E8,'MASTER data'!$H8,"")</f>
        <v/>
      </c>
      <c r="Q7" s="90" t="str">
        <f>IF('MASTER data'!$B8="UTC",IF(MONTH('MASTER data'!$E8)=MONTH(Q$4),'MASTER data'!$E8,""),"")</f>
        <v/>
      </c>
      <c r="R7" s="16" t="str">
        <f>IF(Q7='MASTER data'!$E8,'MASTER data'!$H8,"")</f>
        <v/>
      </c>
      <c r="S7" s="90" t="str">
        <f>IF('MASTER data'!$B8="UTC",IF(MONTH('MASTER data'!$E8)=MONTH(S$4),'MASTER data'!$E8,""),"")</f>
        <v/>
      </c>
      <c r="T7" s="16" t="str">
        <f>IF(S7='MASTER data'!$E8,'MASTER data'!$H8,"")</f>
        <v/>
      </c>
      <c r="U7" s="90" t="str">
        <f>IF('MASTER data'!$B8="UTC",IF(MONTH('MASTER data'!$E8)=MONTH(U$4),'MASTER data'!$E8,""),"")</f>
        <v/>
      </c>
      <c r="V7" s="16" t="str">
        <f>IF(U7='MASTER data'!$E8,'MASTER data'!$H8,"")</f>
        <v/>
      </c>
      <c r="W7" s="90" t="str">
        <f>IF('MASTER data'!$B8="UTC",IF(MONTH('MASTER data'!$E8)=MONTH(W$4),'MASTER data'!$E8,""),"")</f>
        <v/>
      </c>
      <c r="X7" s="16" t="str">
        <f>IF(W7='MASTER data'!$E8,'MASTER data'!$H8,"")</f>
        <v/>
      </c>
      <c r="Y7" s="90" t="str">
        <f>IF('MASTER data'!$B8="UTC",IF(MONTH('MASTER data'!$E8)=MONTH(Y$4),'MASTER data'!$E8,""),"")</f>
        <v/>
      </c>
      <c r="Z7" s="16" t="str">
        <f>IF(Y7='MASTER data'!$E8,'MASTER data'!$H8,"")</f>
        <v/>
      </c>
    </row>
    <row r="8" spans="1:50">
      <c r="A8" s="5"/>
      <c r="B8" s="4"/>
      <c r="C8" s="90" t="str">
        <f>IF('MASTER data'!$B9="UTC",IF(MONTH('MASTER data'!$E9)=MONTH(C$4),'MASTER data'!$E9,""),"")</f>
        <v/>
      </c>
      <c r="D8" s="16" t="str">
        <f>IF(C8='MASTER data'!$E9,'MASTER data'!$H9,"")</f>
        <v/>
      </c>
      <c r="E8" s="90" t="str">
        <f>IF('MASTER data'!$B9="UTC",IF(MONTH('MASTER data'!$E9)=MONTH(E$4),'MASTER data'!$E9,""),"")</f>
        <v/>
      </c>
      <c r="F8" s="16" t="str">
        <f>IF(E8='MASTER data'!$E9,'MASTER data'!$H9,"")</f>
        <v/>
      </c>
      <c r="G8" s="90" t="str">
        <f>IF('MASTER data'!$B9="UTC",IF(MONTH('MASTER data'!$E9)=MONTH(G$4),'MASTER data'!$E9,""),"")</f>
        <v/>
      </c>
      <c r="H8" s="16" t="str">
        <f>IF(G8='MASTER data'!$E9,'MASTER data'!$H9,"")</f>
        <v/>
      </c>
      <c r="I8" s="90" t="str">
        <f>IF('MASTER data'!$B9="UTC",IF(MONTH('MASTER data'!$E9)=MONTH(I$4),'MASTER data'!$E9,""),"")</f>
        <v/>
      </c>
      <c r="J8" s="16" t="str">
        <f>IF(I8='MASTER data'!$E9,'MASTER data'!$H9,"")</f>
        <v/>
      </c>
      <c r="K8" s="90" t="str">
        <f>IF('MASTER data'!$B9="UTC",IF(MONTH('MASTER data'!$E9)=MONTH(K$4),'MASTER data'!$E9,""),"")</f>
        <v/>
      </c>
      <c r="L8" s="16" t="str">
        <f>IF(K8='MASTER data'!$E9,'MASTER data'!$H9,"")</f>
        <v/>
      </c>
      <c r="M8" s="90" t="str">
        <f>IF('MASTER data'!$B9="UTC",IF(MONTH('MASTER data'!$E9)=MONTH(M$4),'MASTER data'!$E9,""),"")</f>
        <v/>
      </c>
      <c r="N8" s="16" t="str">
        <f>IF(M8='MASTER data'!$E9,'MASTER data'!$H9,"")</f>
        <v/>
      </c>
      <c r="O8" s="90" t="str">
        <f>IF('MASTER data'!$B9="UTC",IF(MONTH('MASTER data'!$E9)=MONTH(O$4),'MASTER data'!$E9,""),"")</f>
        <v/>
      </c>
      <c r="P8" s="16" t="str">
        <f>IF(O8='MASTER data'!$E9,'MASTER data'!$H9,"")</f>
        <v/>
      </c>
      <c r="Q8" s="90" t="str">
        <f>IF('MASTER data'!$B9="UTC",IF(MONTH('MASTER data'!$E9)=MONTH(Q$4),'MASTER data'!$E9,""),"")</f>
        <v/>
      </c>
      <c r="R8" s="16" t="str">
        <f>IF(Q8='MASTER data'!$E9,'MASTER data'!$H9,"")</f>
        <v/>
      </c>
      <c r="S8" s="90" t="str">
        <f>IF('MASTER data'!$B9="UTC",IF(MONTH('MASTER data'!$E9)=MONTH(S$4),'MASTER data'!$E9,""),"")</f>
        <v/>
      </c>
      <c r="T8" s="16" t="str">
        <f>IF(S8='MASTER data'!$E9,'MASTER data'!$H9,"")</f>
        <v/>
      </c>
      <c r="U8" s="90" t="str">
        <f>IF('MASTER data'!$B9="UTC",IF(MONTH('MASTER data'!$E9)=MONTH(U$4),'MASTER data'!$E9,""),"")</f>
        <v/>
      </c>
      <c r="V8" s="16" t="str">
        <f>IF(U8='MASTER data'!$E9,'MASTER data'!$H9,"")</f>
        <v/>
      </c>
      <c r="W8" s="90" t="str">
        <f>IF('MASTER data'!$B9="UTC",IF(MONTH('MASTER data'!$E9)=MONTH(W$4),'MASTER data'!$E9,""),"")</f>
        <v/>
      </c>
      <c r="X8" s="16" t="str">
        <f>IF(W8='MASTER data'!$E9,'MASTER data'!$H9,"")</f>
        <v/>
      </c>
      <c r="Y8" s="90" t="str">
        <f>IF('MASTER data'!$B9="UTC",IF(MONTH('MASTER data'!$E9)=MONTH(Y$4),'MASTER data'!$E9,""),"")</f>
        <v/>
      </c>
      <c r="Z8" s="16" t="str">
        <f>IF(Y8='MASTER data'!$E9,'MASTER data'!$H9,"")</f>
        <v/>
      </c>
    </row>
    <row r="9" spans="1:50">
      <c r="A9" s="5"/>
      <c r="B9" s="4"/>
      <c r="C9" s="90" t="str">
        <f>IF('MASTER data'!$B10="UTC",IF(MONTH('MASTER data'!$E10)=MONTH(C$4),'MASTER data'!$E10,""),"")</f>
        <v/>
      </c>
      <c r="D9" s="16" t="str">
        <f>IF(C9='MASTER data'!$E10,'MASTER data'!$H10,"")</f>
        <v/>
      </c>
      <c r="E9" s="90" t="str">
        <f>IF('MASTER data'!$B10="UTC",IF(MONTH('MASTER data'!$E10)=MONTH(E$4),'MASTER data'!$E10,""),"")</f>
        <v/>
      </c>
      <c r="F9" s="16" t="str">
        <f>IF(E9='MASTER data'!$E10,'MASTER data'!$H10,"")</f>
        <v/>
      </c>
      <c r="G9" s="90" t="str">
        <f>IF('MASTER data'!$B10="UTC",IF(MONTH('MASTER data'!$E10)=MONTH(G$4),'MASTER data'!$E10,""),"")</f>
        <v/>
      </c>
      <c r="H9" s="16" t="str">
        <f>IF(G9='MASTER data'!$E10,'MASTER data'!$H10,"")</f>
        <v/>
      </c>
      <c r="I9" s="90" t="str">
        <f>IF('MASTER data'!$B10="UTC",IF(MONTH('MASTER data'!$E10)=MONTH(I$4),'MASTER data'!$E10,""),"")</f>
        <v/>
      </c>
      <c r="J9" s="16" t="str">
        <f>IF(I9='MASTER data'!$E10,'MASTER data'!$H10,"")</f>
        <v/>
      </c>
      <c r="K9" s="90" t="str">
        <f>IF('MASTER data'!$B10="UTC",IF(MONTH('MASTER data'!$E10)=MONTH(K$4),'MASTER data'!$E10,""),"")</f>
        <v/>
      </c>
      <c r="L9" s="16" t="str">
        <f>IF(K9='MASTER data'!$E10,'MASTER data'!$H10,"")</f>
        <v/>
      </c>
      <c r="M9" s="90" t="str">
        <f>IF('MASTER data'!$B10="UTC",IF(MONTH('MASTER data'!$E10)=MONTH(M$4),'MASTER data'!$E10,""),"")</f>
        <v/>
      </c>
      <c r="N9" s="16" t="str">
        <f>IF(M9='MASTER data'!$E10,'MASTER data'!$H10,"")</f>
        <v/>
      </c>
      <c r="O9" s="90" t="str">
        <f>IF('MASTER data'!$B10="UTC",IF(MONTH('MASTER data'!$E10)=MONTH(O$4),'MASTER data'!$E10,""),"")</f>
        <v/>
      </c>
      <c r="P9" s="16" t="str">
        <f>IF(O9='MASTER data'!$E10,'MASTER data'!$H10,"")</f>
        <v/>
      </c>
      <c r="Q9" s="90" t="str">
        <f>IF('MASTER data'!$B10="UTC",IF(MONTH('MASTER data'!$E10)=MONTH(Q$4),'MASTER data'!$E10,""),"")</f>
        <v/>
      </c>
      <c r="R9" s="16" t="str">
        <f>IF(Q9='MASTER data'!$E10,'MASTER data'!$H10,"")</f>
        <v/>
      </c>
      <c r="S9" s="90" t="str">
        <f>IF('MASTER data'!$B10="UTC",IF(MONTH('MASTER data'!$E10)=MONTH(S$4),'MASTER data'!$E10,""),"")</f>
        <v/>
      </c>
      <c r="T9" s="16" t="str">
        <f>IF(S9='MASTER data'!$E10,'MASTER data'!$H10,"")</f>
        <v/>
      </c>
      <c r="U9" s="90" t="str">
        <f>IF('MASTER data'!$B10="UTC",IF(MONTH('MASTER data'!$E10)=MONTH(U$4),'MASTER data'!$E10,""),"")</f>
        <v/>
      </c>
      <c r="V9" s="16" t="str">
        <f>IF(U9='MASTER data'!$E10,'MASTER data'!$H10,"")</f>
        <v/>
      </c>
      <c r="W9" s="90" t="str">
        <f>IF('MASTER data'!$B10="UTC",IF(MONTH('MASTER data'!$E10)=MONTH(W$4),'MASTER data'!$E10,""),"")</f>
        <v/>
      </c>
      <c r="X9" s="16" t="str">
        <f>IF(W9='MASTER data'!$E10,'MASTER data'!$H10,"")</f>
        <v/>
      </c>
      <c r="Y9" s="90" t="str">
        <f>IF('MASTER data'!$B10="UTC",IF(MONTH('MASTER data'!$E10)=MONTH(Y$4),'MASTER data'!$E10,""),"")</f>
        <v/>
      </c>
      <c r="Z9" s="16" t="str">
        <f>IF(Y9='MASTER data'!$E10,'MASTER data'!$H10,"")</f>
        <v/>
      </c>
    </row>
    <row r="10" spans="1:50">
      <c r="A10" s="5"/>
      <c r="B10" s="4"/>
      <c r="C10" s="90" t="str">
        <f>IF('MASTER data'!$B11="UTC",IF(MONTH('MASTER data'!$E11)=MONTH(C$4),'MASTER data'!$E11,""),"")</f>
        <v/>
      </c>
      <c r="D10" s="16" t="str">
        <f>IF(C10='MASTER data'!$E11,'MASTER data'!$H11,"")</f>
        <v/>
      </c>
      <c r="E10" s="90" t="str">
        <f>IF('MASTER data'!$B11="UTC",IF(MONTH('MASTER data'!$E11)=MONTH(E$4),'MASTER data'!$E11,""),"")</f>
        <v/>
      </c>
      <c r="F10" s="16" t="str">
        <f>IF(E10='MASTER data'!$E11,'MASTER data'!$H11,"")</f>
        <v/>
      </c>
      <c r="G10" s="90" t="str">
        <f>IF('MASTER data'!$B11="UTC",IF(MONTH('MASTER data'!$E11)=MONTH(G$4),'MASTER data'!$E11,""),"")</f>
        <v/>
      </c>
      <c r="H10" s="16" t="str">
        <f>IF(G10='MASTER data'!$E11,'MASTER data'!$H11,"")</f>
        <v/>
      </c>
      <c r="I10" s="90" t="str">
        <f>IF('MASTER data'!$B11="UTC",IF(MONTH('MASTER data'!$E11)=MONTH(I$4),'MASTER data'!$E11,""),"")</f>
        <v/>
      </c>
      <c r="J10" s="16" t="str">
        <f>IF(I10='MASTER data'!$E11,'MASTER data'!$H11,"")</f>
        <v/>
      </c>
      <c r="K10" s="90" t="str">
        <f>IF('MASTER data'!$B11="UTC",IF(MONTH('MASTER data'!$E11)=MONTH(K$4),'MASTER data'!$E11,""),"")</f>
        <v/>
      </c>
      <c r="L10" s="16" t="str">
        <f>IF(K10='MASTER data'!$E11,'MASTER data'!$H11,"")</f>
        <v/>
      </c>
      <c r="M10" s="90" t="str">
        <f>IF('MASTER data'!$B11="UTC",IF(MONTH('MASTER data'!$E11)=MONTH(M$4),'MASTER data'!$E11,""),"")</f>
        <v/>
      </c>
      <c r="N10" s="16" t="str">
        <f>IF(M10='MASTER data'!$E11,'MASTER data'!$H11,"")</f>
        <v/>
      </c>
      <c r="O10" s="90" t="str">
        <f>IF('MASTER data'!$B11="UTC",IF(MONTH('MASTER data'!$E11)=MONTH(O$4),'MASTER data'!$E11,""),"")</f>
        <v/>
      </c>
      <c r="P10" s="16" t="str">
        <f>IF(O10='MASTER data'!$E11,'MASTER data'!$H11,"")</f>
        <v/>
      </c>
      <c r="Q10" s="90" t="str">
        <f>IF('MASTER data'!$B11="UTC",IF(MONTH('MASTER data'!$E11)=MONTH(Q$4),'MASTER data'!$E11,""),"")</f>
        <v/>
      </c>
      <c r="R10" s="16" t="str">
        <f>IF(Q10='MASTER data'!$E11,'MASTER data'!$H11,"")</f>
        <v/>
      </c>
      <c r="S10" s="90" t="str">
        <f>IF('MASTER data'!$B11="UTC",IF(MONTH('MASTER data'!$E11)=MONTH(S$4),'MASTER data'!$E11,""),"")</f>
        <v/>
      </c>
      <c r="T10" s="16" t="str">
        <f>IF(S10='MASTER data'!$E11,'MASTER data'!$H11,"")</f>
        <v/>
      </c>
      <c r="U10" s="90" t="str">
        <f>IF('MASTER data'!$B11="UTC",IF(MONTH('MASTER data'!$E11)=MONTH(U$4),'MASTER data'!$E11,""),"")</f>
        <v/>
      </c>
      <c r="V10" s="16" t="str">
        <f>IF(U10='MASTER data'!$E11,'MASTER data'!$H11,"")</f>
        <v/>
      </c>
      <c r="W10" s="90" t="str">
        <f>IF('MASTER data'!$B11="UTC",IF(MONTH('MASTER data'!$E11)=MONTH(W$4),'MASTER data'!$E11,""),"")</f>
        <v/>
      </c>
      <c r="X10" s="16" t="str">
        <f>IF(W10='MASTER data'!$E11,'MASTER data'!$H11,"")</f>
        <v/>
      </c>
      <c r="Y10" s="90" t="str">
        <f>IF('MASTER data'!$B11="UTC",IF(MONTH('MASTER data'!$E11)=MONTH(Y$4),'MASTER data'!$E11,""),"")</f>
        <v/>
      </c>
      <c r="Z10" s="16" t="str">
        <f>IF(Y10='MASTER data'!$E11,'MASTER data'!$H11,"")</f>
        <v/>
      </c>
    </row>
    <row r="11" spans="1:50">
      <c r="A11" s="5"/>
      <c r="B11" s="4"/>
      <c r="C11" s="90" t="str">
        <f>IF('MASTER data'!$B12="UTC",IF(MONTH('MASTER data'!$E12)=MONTH(C$4),'MASTER data'!$E12,""),"")</f>
        <v/>
      </c>
      <c r="D11" s="16" t="str">
        <f>IF(C11='MASTER data'!$E12,'MASTER data'!$H12,"")</f>
        <v/>
      </c>
      <c r="E11" s="90" t="str">
        <f>IF('MASTER data'!$B12="UTC",IF(MONTH('MASTER data'!$E12)=MONTH(E$4),'MASTER data'!$E12,""),"")</f>
        <v/>
      </c>
      <c r="F11" s="16" t="str">
        <f>IF(E11='MASTER data'!$E12,'MASTER data'!$H12,"")</f>
        <v/>
      </c>
      <c r="G11" s="90" t="str">
        <f>IF('MASTER data'!$B12="UTC",IF(MONTH('MASTER data'!$E12)=MONTH(G$4),'MASTER data'!$E12,""),"")</f>
        <v/>
      </c>
      <c r="H11" s="16" t="str">
        <f>IF(G11='MASTER data'!$E12,'MASTER data'!$H12,"")</f>
        <v/>
      </c>
      <c r="I11" s="90" t="str">
        <f>IF('MASTER data'!$B12="UTC",IF(MONTH('MASTER data'!$E12)=MONTH(I$4),'MASTER data'!$E12,""),"")</f>
        <v/>
      </c>
      <c r="J11" s="16" t="str">
        <f>IF(I11='MASTER data'!$E12,'MASTER data'!$H12,"")</f>
        <v/>
      </c>
      <c r="K11" s="90" t="str">
        <f>IF('MASTER data'!$B12="UTC",IF(MONTH('MASTER data'!$E12)=MONTH(K$4),'MASTER data'!$E12,""),"")</f>
        <v/>
      </c>
      <c r="L11" s="16" t="str">
        <f>IF(K11='MASTER data'!$E12,'MASTER data'!$H12,"")</f>
        <v/>
      </c>
      <c r="M11" s="90" t="str">
        <f>IF('MASTER data'!$B12="UTC",IF(MONTH('MASTER data'!$E12)=MONTH(M$4),'MASTER data'!$E12,""),"")</f>
        <v/>
      </c>
      <c r="N11" s="16" t="str">
        <f>IF(M11='MASTER data'!$E12,'MASTER data'!$H12,"")</f>
        <v/>
      </c>
      <c r="O11" s="90" t="str">
        <f>IF('MASTER data'!$B12="UTC",IF(MONTH('MASTER data'!$E12)=MONTH(O$4),'MASTER data'!$E12,""),"")</f>
        <v/>
      </c>
      <c r="P11" s="16" t="str">
        <f>IF(O11='MASTER data'!$E12,'MASTER data'!$H12,"")</f>
        <v/>
      </c>
      <c r="Q11" s="90" t="str">
        <f>IF('MASTER data'!$B12="UTC",IF(MONTH('MASTER data'!$E12)=MONTH(Q$4),'MASTER data'!$E12,""),"")</f>
        <v/>
      </c>
      <c r="R11" s="16" t="str">
        <f>IF(Q11='MASTER data'!$E12,'MASTER data'!$H12,"")</f>
        <v/>
      </c>
      <c r="S11" s="90" t="str">
        <f>IF('MASTER data'!$B12="UTC",IF(MONTH('MASTER data'!$E12)=MONTH(S$4),'MASTER data'!$E12,""),"")</f>
        <v/>
      </c>
      <c r="T11" s="16" t="str">
        <f>IF(S11='MASTER data'!$E12,'MASTER data'!$H12,"")</f>
        <v/>
      </c>
      <c r="U11" s="90" t="str">
        <f>IF('MASTER data'!$B12="UTC",IF(MONTH('MASTER data'!$E12)=MONTH(U$4),'MASTER data'!$E12,""),"")</f>
        <v/>
      </c>
      <c r="V11" s="16" t="str">
        <f>IF(U11='MASTER data'!$E12,'MASTER data'!$H12,"")</f>
        <v/>
      </c>
      <c r="W11" s="90" t="str">
        <f>IF('MASTER data'!$B12="UTC",IF(MONTH('MASTER data'!$E12)=MONTH(W$4),'MASTER data'!$E12,""),"")</f>
        <v/>
      </c>
      <c r="X11" s="16" t="str">
        <f>IF(W11='MASTER data'!$E12,'MASTER data'!$H12,"")</f>
        <v/>
      </c>
      <c r="Y11" s="90" t="str">
        <f>IF('MASTER data'!$B12="UTC",IF(MONTH('MASTER data'!$E12)=MONTH(Y$4),'MASTER data'!$E12,""),"")</f>
        <v/>
      </c>
      <c r="Z11" s="16" t="str">
        <f>IF(Y11='MASTER data'!$E12,'MASTER data'!$H12,"")</f>
        <v/>
      </c>
    </row>
    <row r="12" spans="1:50">
      <c r="A12" s="5"/>
      <c r="B12" s="4"/>
      <c r="C12" s="90">
        <f>IF('MASTER data'!$B13="UTC",IF(MONTH('MASTER data'!$E13)=MONTH(C$4),'MASTER data'!$E13,""),"")</f>
        <v>0</v>
      </c>
      <c r="D12" s="16">
        <f>IF(C12='MASTER data'!$E13,'MASTER data'!$H13,"")</f>
        <v>0</v>
      </c>
      <c r="E12" s="90" t="str">
        <f>IF('MASTER data'!$B13="UTC",IF(MONTH('MASTER data'!$E13)=MONTH(E$4),'MASTER data'!$E13,""),"")</f>
        <v/>
      </c>
      <c r="F12" s="16">
        <f>IF(E12='MASTER data'!$E13,'MASTER data'!$H13,"")</f>
        <v>0</v>
      </c>
      <c r="G12" s="90" t="str">
        <f>IF('MASTER data'!$B13="UTC",IF(MONTH('MASTER data'!$E13)=MONTH(G$4),'MASTER data'!$E13,""),"")</f>
        <v/>
      </c>
      <c r="H12" s="16">
        <f>IF(G12='MASTER data'!$E13,'MASTER data'!$H13,"")</f>
        <v>0</v>
      </c>
      <c r="I12" s="90" t="str">
        <f>IF('MASTER data'!$B13="UTC",IF(MONTH('MASTER data'!$E13)=MONTH(I$4),'MASTER data'!$E13,""),"")</f>
        <v/>
      </c>
      <c r="J12" s="16">
        <f>IF(I12='MASTER data'!$E13,'MASTER data'!$H13,"")</f>
        <v>0</v>
      </c>
      <c r="K12" s="90" t="str">
        <f>IF('MASTER data'!$B13="UTC",IF(MONTH('MASTER data'!$E13)=MONTH(K$4),'MASTER data'!$E13,""),"")</f>
        <v/>
      </c>
      <c r="L12" s="16">
        <f>IF(K12='MASTER data'!$E13,'MASTER data'!$H13,"")</f>
        <v>0</v>
      </c>
      <c r="M12" s="90" t="str">
        <f>IF('MASTER data'!$B13="UTC",IF(MONTH('MASTER data'!$E13)=MONTH(M$4),'MASTER data'!$E13,""),"")</f>
        <v/>
      </c>
      <c r="N12" s="16">
        <f>IF(M12='MASTER data'!$E13,'MASTER data'!$H13,"")</f>
        <v>0</v>
      </c>
      <c r="O12" s="90" t="str">
        <f>IF('MASTER data'!$B13="UTC",IF(MONTH('MASTER data'!$E13)=MONTH(O$4),'MASTER data'!$E13,""),"")</f>
        <v/>
      </c>
      <c r="P12" s="16">
        <f>IF(O12='MASTER data'!$E13,'MASTER data'!$H13,"")</f>
        <v>0</v>
      </c>
      <c r="Q12" s="90" t="str">
        <f>IF('MASTER data'!$B13="UTC",IF(MONTH('MASTER data'!$E13)=MONTH(Q$4),'MASTER data'!$E13,""),"")</f>
        <v/>
      </c>
      <c r="R12" s="16">
        <f>IF(Q12='MASTER data'!$E13,'MASTER data'!$H13,"")</f>
        <v>0</v>
      </c>
      <c r="S12" s="90" t="str">
        <f>IF('MASTER data'!$B13="UTC",IF(MONTH('MASTER data'!$E13)=MONTH(S$4),'MASTER data'!$E13,""),"")</f>
        <v/>
      </c>
      <c r="T12" s="16">
        <f>IF(S12='MASTER data'!$E13,'MASTER data'!$H13,"")</f>
        <v>0</v>
      </c>
      <c r="U12" s="90" t="str">
        <f>IF('MASTER data'!$B13="UTC",IF(MONTH('MASTER data'!$E13)=MONTH(U$4),'MASTER data'!$E13,""),"")</f>
        <v/>
      </c>
      <c r="V12" s="16">
        <f>IF(U12='MASTER data'!$E13,'MASTER data'!$H13,"")</f>
        <v>0</v>
      </c>
      <c r="W12" s="90" t="str">
        <f>IF('MASTER data'!$B13="UTC",IF(MONTH('MASTER data'!$E13)=MONTH(W$4),'MASTER data'!$E13,""),"")</f>
        <v/>
      </c>
      <c r="X12" s="16">
        <f>IF(W12='MASTER data'!$E13,'MASTER data'!$H13,"")</f>
        <v>0</v>
      </c>
      <c r="Y12" s="90" t="str">
        <f>IF('MASTER data'!$B13="UTC",IF(MONTH('MASTER data'!$E13)=MONTH(Y$4),'MASTER data'!$E13,""),"")</f>
        <v/>
      </c>
      <c r="Z12" s="16">
        <f>IF(Y12='MASTER data'!$E13,'MASTER data'!$H13,"")</f>
        <v>0</v>
      </c>
    </row>
    <row r="13" spans="1:50">
      <c r="A13" s="5"/>
      <c r="B13" s="4"/>
      <c r="C13" s="90" t="str">
        <f>IF('MASTER data'!$B14="UTC",IF(MONTH('MASTER data'!$E14)=MONTH(C$4),'MASTER data'!$E14,""),"")</f>
        <v/>
      </c>
      <c r="D13" s="16">
        <f>IF(C13='MASTER data'!$E14,'MASTER data'!$H14,"")</f>
        <v>0</v>
      </c>
      <c r="E13" s="90" t="str">
        <f>IF('MASTER data'!$B14="UTC",IF(MONTH('MASTER data'!$E14)=MONTH(E$4),'MASTER data'!$E14,""),"")</f>
        <v/>
      </c>
      <c r="F13" s="16">
        <f>IF(E13='MASTER data'!$E14,'MASTER data'!$H14,"")</f>
        <v>0</v>
      </c>
      <c r="G13" s="90" t="str">
        <f>IF('MASTER data'!$B14="UTC",IF(MONTH('MASTER data'!$E14)=MONTH(G$4),'MASTER data'!$E14,""),"")</f>
        <v/>
      </c>
      <c r="H13" s="16">
        <f>IF(G13='MASTER data'!$E14,'MASTER data'!$H14,"")</f>
        <v>0</v>
      </c>
      <c r="I13" s="90" t="str">
        <f>IF('MASTER data'!$B14="UTC",IF(MONTH('MASTER data'!$E14)=MONTH(I$4),'MASTER data'!$E14,""),"")</f>
        <v/>
      </c>
      <c r="J13" s="16">
        <f>IF(I13='MASTER data'!$E14,'MASTER data'!$H14,"")</f>
        <v>0</v>
      </c>
      <c r="K13" s="90" t="str">
        <f>IF('MASTER data'!$B14="UTC",IF(MONTH('MASTER data'!$E14)=MONTH(K$4),'MASTER data'!$E14,""),"")</f>
        <v/>
      </c>
      <c r="L13" s="16">
        <f>IF(K13='MASTER data'!$E14,'MASTER data'!$H14,"")</f>
        <v>0</v>
      </c>
      <c r="M13" s="90" t="str">
        <f>IF('MASTER data'!$B14="UTC",IF(MONTH('MASTER data'!$E14)=MONTH(M$4),'MASTER data'!$E14,""),"")</f>
        <v/>
      </c>
      <c r="N13" s="16">
        <f>IF(M13='MASTER data'!$E14,'MASTER data'!$H14,"")</f>
        <v>0</v>
      </c>
      <c r="O13" s="90" t="str">
        <f>IF('MASTER data'!$B14="UTC",IF(MONTH('MASTER data'!$E14)=MONTH(O$4),'MASTER data'!$E14,""),"")</f>
        <v/>
      </c>
      <c r="P13" s="16">
        <f>IF(O13='MASTER data'!$E14,'MASTER data'!$H14,"")</f>
        <v>0</v>
      </c>
      <c r="Q13" s="90" t="str">
        <f>IF('MASTER data'!$B14="UTC",IF(MONTH('MASTER data'!$E14)=MONTH(Q$4),'MASTER data'!$E14,""),"")</f>
        <v/>
      </c>
      <c r="R13" s="16">
        <f>IF(Q13='MASTER data'!$E14,'MASTER data'!$H14,"")</f>
        <v>0</v>
      </c>
      <c r="S13" s="90" t="str">
        <f>IF('MASTER data'!$B14="UTC",IF(MONTH('MASTER data'!$E14)=MONTH(S$4),'MASTER data'!$E14,""),"")</f>
        <v/>
      </c>
      <c r="T13" s="16">
        <f>IF(S13='MASTER data'!$E14,'MASTER data'!$H14,"")</f>
        <v>0</v>
      </c>
      <c r="U13" s="90" t="str">
        <f>IF('MASTER data'!$B14="UTC",IF(MONTH('MASTER data'!$E14)=MONTH(U$4),'MASTER data'!$E14,""),"")</f>
        <v/>
      </c>
      <c r="V13" s="16">
        <f>IF(U13='MASTER data'!$E14,'MASTER data'!$H14,"")</f>
        <v>0</v>
      </c>
      <c r="W13" s="90" t="str">
        <f>IF('MASTER data'!$B14="UTC",IF(MONTH('MASTER data'!$E14)=MONTH(W$4),'MASTER data'!$E14,""),"")</f>
        <v/>
      </c>
      <c r="X13" s="16">
        <f>IF(W13='MASTER data'!$E14,'MASTER data'!$H14,"")</f>
        <v>0</v>
      </c>
      <c r="Y13" s="90" t="str">
        <f>IF('MASTER data'!$B14="UTC",IF(MONTH('MASTER data'!$E14)=MONTH(Y$4),'MASTER data'!$E14,""),"")</f>
        <v/>
      </c>
      <c r="Z13" s="16">
        <f>IF(Y13='MASTER data'!$E14,'MASTER data'!$H14,"")</f>
        <v>0</v>
      </c>
    </row>
    <row r="14" spans="1:50">
      <c r="A14" s="5"/>
      <c r="B14" s="4"/>
      <c r="C14" s="90" t="str">
        <f>IF('MASTER data'!$B15="UTC",IF(MONTH('MASTER data'!$E15)=MONTH(C$4),'MASTER data'!$E15,""),"")</f>
        <v/>
      </c>
      <c r="D14" s="16">
        <f>IF(C14='MASTER data'!$E15,'MASTER data'!$H15,"")</f>
        <v>0</v>
      </c>
      <c r="E14" s="90" t="str">
        <f>IF('MASTER data'!$B15="UTC",IF(MONTH('MASTER data'!$E15)=MONTH(E$4),'MASTER data'!$E15,""),"")</f>
        <v/>
      </c>
      <c r="F14" s="16">
        <f>IF(E14='MASTER data'!$E15,'MASTER data'!$H15,"")</f>
        <v>0</v>
      </c>
      <c r="G14" s="90" t="str">
        <f>IF('MASTER data'!$B15="UTC",IF(MONTH('MASTER data'!$E15)=MONTH(G$4),'MASTER data'!$E15,""),"")</f>
        <v/>
      </c>
      <c r="H14" s="16">
        <f>IF(G14='MASTER data'!$E15,'MASTER data'!$H15,"")</f>
        <v>0</v>
      </c>
      <c r="I14" s="90" t="str">
        <f>IF('MASTER data'!$B15="UTC",IF(MONTH('MASTER data'!$E15)=MONTH(I$4),'MASTER data'!$E15,""),"")</f>
        <v/>
      </c>
      <c r="J14" s="16">
        <f>IF(I14='MASTER data'!$E15,'MASTER data'!$H15,"")</f>
        <v>0</v>
      </c>
      <c r="K14" s="90" t="str">
        <f>IF('MASTER data'!$B15="UTC",IF(MONTH('MASTER data'!$E15)=MONTH(K$4),'MASTER data'!$E15,""),"")</f>
        <v/>
      </c>
      <c r="L14" s="16">
        <f>IF(K14='MASTER data'!$E15,'MASTER data'!$H15,"")</f>
        <v>0</v>
      </c>
      <c r="M14" s="90" t="str">
        <f>IF('MASTER data'!$B15="UTC",IF(MONTH('MASTER data'!$E15)=MONTH(M$4),'MASTER data'!$E15,""),"")</f>
        <v/>
      </c>
      <c r="N14" s="16">
        <f>IF(M14='MASTER data'!$E15,'MASTER data'!$H15,"")</f>
        <v>0</v>
      </c>
      <c r="O14" s="90" t="str">
        <f>IF('MASTER data'!$B15="UTC",IF(MONTH('MASTER data'!$E15)=MONTH(O$4),'MASTER data'!$E15,""),"")</f>
        <v/>
      </c>
      <c r="P14" s="16">
        <f>IF(O14='MASTER data'!$E15,'MASTER data'!$H15,"")</f>
        <v>0</v>
      </c>
      <c r="Q14" s="90" t="str">
        <f>IF('MASTER data'!$B15="UTC",IF(MONTH('MASTER data'!$E15)=MONTH(Q$4),'MASTER data'!$E15,""),"")</f>
        <v/>
      </c>
      <c r="R14" s="16">
        <f>IF(Q14='MASTER data'!$E15,'MASTER data'!$H15,"")</f>
        <v>0</v>
      </c>
      <c r="S14" s="90" t="str">
        <f>IF('MASTER data'!$B15="UTC",IF(MONTH('MASTER data'!$E15)=MONTH(S$4),'MASTER data'!$E15,""),"")</f>
        <v/>
      </c>
      <c r="T14" s="16">
        <f>IF(S14='MASTER data'!$E15,'MASTER data'!$H15,"")</f>
        <v>0</v>
      </c>
      <c r="U14" s="90" t="str">
        <f>IF('MASTER data'!$B15="UTC",IF(MONTH('MASTER data'!$E15)=MONTH(U$4),'MASTER data'!$E15,""),"")</f>
        <v/>
      </c>
      <c r="V14" s="16">
        <f>IF(U14='MASTER data'!$E15,'MASTER data'!$H15,"")</f>
        <v>0</v>
      </c>
      <c r="W14" s="90" t="str">
        <f>IF('MASTER data'!$B15="UTC",IF(MONTH('MASTER data'!$E15)=MONTH(W$4),'MASTER data'!$E15,""),"")</f>
        <v/>
      </c>
      <c r="X14" s="16">
        <f>IF(W14='MASTER data'!$E15,'MASTER data'!$H15,"")</f>
        <v>0</v>
      </c>
      <c r="Y14" s="90" t="str">
        <f>IF('MASTER data'!$B15="UTC",IF(MONTH('MASTER data'!$E15)=MONTH(Y$4),'MASTER data'!$E15,""),"")</f>
        <v/>
      </c>
      <c r="Z14" s="16">
        <f>IF(Y14='MASTER data'!$E15,'MASTER data'!$H15,"")</f>
        <v>0</v>
      </c>
    </row>
    <row r="15" spans="1:50">
      <c r="A15" s="5"/>
      <c r="B15" s="4"/>
      <c r="C15" s="90" t="str">
        <f>IF('MASTER data'!$B16="UTC",IF(MONTH('MASTER data'!$E16)=MONTH(C$4),'MASTER data'!$E16,""),"")</f>
        <v/>
      </c>
      <c r="D15" s="16">
        <f>IF(C15='MASTER data'!$E16,'MASTER data'!$H16,"")</f>
        <v>0</v>
      </c>
      <c r="E15" s="90" t="str">
        <f>IF('MASTER data'!$B16="UTC",IF(MONTH('MASTER data'!$E16)=MONTH(E$4),'MASTER data'!$E16,""),"")</f>
        <v/>
      </c>
      <c r="F15" s="16">
        <f>IF(E15='MASTER data'!$E16,'MASTER data'!$H16,"")</f>
        <v>0</v>
      </c>
      <c r="G15" s="90" t="str">
        <f>IF('MASTER data'!$B16="UTC",IF(MONTH('MASTER data'!$E16)=MONTH(G$4),'MASTER data'!$E16,""),"")</f>
        <v/>
      </c>
      <c r="H15" s="16">
        <f>IF(G15='MASTER data'!$E16,'MASTER data'!$H16,"")</f>
        <v>0</v>
      </c>
      <c r="I15" s="90" t="str">
        <f>IF('MASTER data'!$B16="UTC",IF(MONTH('MASTER data'!$E16)=MONTH(I$4),'MASTER data'!$E16,""),"")</f>
        <v/>
      </c>
      <c r="J15" s="16">
        <f>IF(I15='MASTER data'!$E16,'MASTER data'!$H16,"")</f>
        <v>0</v>
      </c>
      <c r="K15" s="90" t="str">
        <f>IF('MASTER data'!$B16="UTC",IF(MONTH('MASTER data'!$E16)=MONTH(K$4),'MASTER data'!$E16,""),"")</f>
        <v/>
      </c>
      <c r="L15" s="16">
        <f>IF(K15='MASTER data'!$E16,'MASTER data'!$H16,"")</f>
        <v>0</v>
      </c>
      <c r="M15" s="90" t="str">
        <f>IF('MASTER data'!$B16="UTC",IF(MONTH('MASTER data'!$E16)=MONTH(M$4),'MASTER data'!$E16,""),"")</f>
        <v/>
      </c>
      <c r="N15" s="16">
        <f>IF(M15='MASTER data'!$E16,'MASTER data'!$H16,"")</f>
        <v>0</v>
      </c>
      <c r="O15" s="90" t="str">
        <f>IF('MASTER data'!$B16="UTC",IF(MONTH('MASTER data'!$E16)=MONTH(O$4),'MASTER data'!$E16,""),"")</f>
        <v/>
      </c>
      <c r="P15" s="16">
        <f>IF(O15='MASTER data'!$E16,'MASTER data'!$H16,"")</f>
        <v>0</v>
      </c>
      <c r="Q15" s="90" t="str">
        <f>IF('MASTER data'!$B16="UTC",IF(MONTH('MASTER data'!$E16)=MONTH(Q$4),'MASTER data'!$E16,""),"")</f>
        <v/>
      </c>
      <c r="R15" s="16">
        <f>IF(Q15='MASTER data'!$E16,'MASTER data'!$H16,"")</f>
        <v>0</v>
      </c>
      <c r="S15" s="90" t="str">
        <f>IF('MASTER data'!$B16="UTC",IF(MONTH('MASTER data'!$E16)=MONTH(S$4),'MASTER data'!$E16,""),"")</f>
        <v/>
      </c>
      <c r="T15" s="16">
        <f>IF(S15='MASTER data'!$E16,'MASTER data'!$H16,"")</f>
        <v>0</v>
      </c>
      <c r="U15" s="90" t="str">
        <f>IF('MASTER data'!$B16="UTC",IF(MONTH('MASTER data'!$E16)=MONTH(U$4),'MASTER data'!$E16,""),"")</f>
        <v/>
      </c>
      <c r="V15" s="16">
        <f>IF(U15='MASTER data'!$E16,'MASTER data'!$H16,"")</f>
        <v>0</v>
      </c>
      <c r="W15" s="90" t="str">
        <f>IF('MASTER data'!$B16="UTC",IF(MONTH('MASTER data'!$E16)=MONTH(W$4),'MASTER data'!$E16,""),"")</f>
        <v/>
      </c>
      <c r="X15" s="16">
        <f>IF(W15='MASTER data'!$E16,'MASTER data'!$H16,"")</f>
        <v>0</v>
      </c>
      <c r="Y15" s="90" t="str">
        <f>IF('MASTER data'!$B16="UTC",IF(MONTH('MASTER data'!$E16)=MONTH(Y$4),'MASTER data'!$E16,""),"")</f>
        <v/>
      </c>
      <c r="Z15" s="16">
        <f>IF(Y15='MASTER data'!$E16,'MASTER data'!$H16,"")</f>
        <v>0</v>
      </c>
    </row>
    <row r="16" spans="1:50">
      <c r="A16" s="5"/>
      <c r="B16" s="4"/>
      <c r="C16" s="90" t="str">
        <f>IF('MASTER data'!$B17="UTC",IF(MONTH('MASTER data'!$E17)=MONTH(C$4),'MASTER data'!$E17,""),"")</f>
        <v/>
      </c>
      <c r="D16" s="16">
        <f>IF(C16='MASTER data'!$E17,'MASTER data'!$H17,"")</f>
        <v>0</v>
      </c>
      <c r="E16" s="90" t="str">
        <f>IF('MASTER data'!$B17="UTC",IF(MONTH('MASTER data'!$E17)=MONTH(E$4),'MASTER data'!$E17,""),"")</f>
        <v/>
      </c>
      <c r="F16" s="16">
        <f>IF(E16='MASTER data'!$E17,'MASTER data'!$H17,"")</f>
        <v>0</v>
      </c>
      <c r="G16" s="90" t="str">
        <f>IF('MASTER data'!$B17="UTC",IF(MONTH('MASTER data'!$E17)=MONTH(G$4),'MASTER data'!$E17,""),"")</f>
        <v/>
      </c>
      <c r="H16" s="16">
        <f>IF(G16='MASTER data'!$E17,'MASTER data'!$H17,"")</f>
        <v>0</v>
      </c>
      <c r="I16" s="90" t="str">
        <f>IF('MASTER data'!$B17="UTC",IF(MONTH('MASTER data'!$E17)=MONTH(I$4),'MASTER data'!$E17,""),"")</f>
        <v/>
      </c>
      <c r="J16" s="16">
        <f>IF(I16='MASTER data'!$E17,'MASTER data'!$H17,"")</f>
        <v>0</v>
      </c>
      <c r="K16" s="90" t="str">
        <f>IF('MASTER data'!$B17="UTC",IF(MONTH('MASTER data'!$E17)=MONTH(K$4),'MASTER data'!$E17,""),"")</f>
        <v/>
      </c>
      <c r="L16" s="16">
        <f>IF(K16='MASTER data'!$E17,'MASTER data'!$H17,"")</f>
        <v>0</v>
      </c>
      <c r="M16" s="90" t="str">
        <f>IF('MASTER data'!$B17="UTC",IF(MONTH('MASTER data'!$E17)=MONTH(M$4),'MASTER data'!$E17,""),"")</f>
        <v/>
      </c>
      <c r="N16" s="16">
        <f>IF(M16='MASTER data'!$E17,'MASTER data'!$H17,"")</f>
        <v>0</v>
      </c>
      <c r="O16" s="90" t="str">
        <f>IF('MASTER data'!$B17="UTC",IF(MONTH('MASTER data'!$E17)=MONTH(O$4),'MASTER data'!$E17,""),"")</f>
        <v/>
      </c>
      <c r="P16" s="16">
        <f>IF(O16='MASTER data'!$E17,'MASTER data'!$H17,"")</f>
        <v>0</v>
      </c>
      <c r="Q16" s="90" t="str">
        <f>IF('MASTER data'!$B17="UTC",IF(MONTH('MASTER data'!$E17)=MONTH(Q$4),'MASTER data'!$E17,""),"")</f>
        <v/>
      </c>
      <c r="R16" s="16">
        <f>IF(Q16='MASTER data'!$E17,'MASTER data'!$H17,"")</f>
        <v>0</v>
      </c>
      <c r="S16" s="90" t="str">
        <f>IF('MASTER data'!$B17="UTC",IF(MONTH('MASTER data'!$E17)=MONTH(S$4),'MASTER data'!$E17,""),"")</f>
        <v/>
      </c>
      <c r="T16" s="16">
        <f>IF(S16='MASTER data'!$E17,'MASTER data'!$H17,"")</f>
        <v>0</v>
      </c>
      <c r="U16" s="90" t="str">
        <f>IF('MASTER data'!$B17="UTC",IF(MONTH('MASTER data'!$E17)=MONTH(U$4),'MASTER data'!$E17,""),"")</f>
        <v/>
      </c>
      <c r="V16" s="16">
        <f>IF(U16='MASTER data'!$E17,'MASTER data'!$H17,"")</f>
        <v>0</v>
      </c>
      <c r="W16" s="90" t="str">
        <f>IF('MASTER data'!$B17="UTC",IF(MONTH('MASTER data'!$E17)=MONTH(W$4),'MASTER data'!$E17,""),"")</f>
        <v/>
      </c>
      <c r="X16" s="16">
        <f>IF(W16='MASTER data'!$E17,'MASTER data'!$H17,"")</f>
        <v>0</v>
      </c>
      <c r="Y16" s="90" t="str">
        <f>IF('MASTER data'!$B17="UTC",IF(MONTH('MASTER data'!$E17)=MONTH(Y$4),'MASTER data'!$E17,""),"")</f>
        <v/>
      </c>
      <c r="Z16" s="16">
        <f>IF(Y16='MASTER data'!$E17,'MASTER data'!$H17,"")</f>
        <v>0</v>
      </c>
    </row>
    <row r="17" spans="1:26">
      <c r="A17" s="5"/>
      <c r="B17" s="4"/>
      <c r="C17" s="90" t="str">
        <f>IF('MASTER data'!$B18="UTC",IF(MONTH('MASTER data'!$E18)=MONTH(C$4),'MASTER data'!$E18,""),"")</f>
        <v/>
      </c>
      <c r="D17" s="16">
        <f>IF(C17='MASTER data'!$E18,'MASTER data'!$H18,"")</f>
        <v>0</v>
      </c>
      <c r="E17" s="90" t="str">
        <f>IF('MASTER data'!$B18="UTC",IF(MONTH('MASTER data'!$E18)=MONTH(E$4),'MASTER data'!$E18,""),"")</f>
        <v/>
      </c>
      <c r="F17" s="16">
        <f>IF(E17='MASTER data'!$E18,'MASTER data'!$H18,"")</f>
        <v>0</v>
      </c>
      <c r="G17" s="90" t="str">
        <f>IF('MASTER data'!$B18="UTC",IF(MONTH('MASTER data'!$E18)=MONTH(G$4),'MASTER data'!$E18,""),"")</f>
        <v/>
      </c>
      <c r="H17" s="16">
        <f>IF(G17='MASTER data'!$E18,'MASTER data'!$H18,"")</f>
        <v>0</v>
      </c>
      <c r="I17" s="90" t="str">
        <f>IF('MASTER data'!$B18="UTC",IF(MONTH('MASTER data'!$E18)=MONTH(I$4),'MASTER data'!$E18,""),"")</f>
        <v/>
      </c>
      <c r="J17" s="16">
        <f>IF(I17='MASTER data'!$E18,'MASTER data'!$H18,"")</f>
        <v>0</v>
      </c>
      <c r="K17" s="90" t="str">
        <f>IF('MASTER data'!$B18="UTC",IF(MONTH('MASTER data'!$E18)=MONTH(K$4),'MASTER data'!$E18,""),"")</f>
        <v/>
      </c>
      <c r="L17" s="16">
        <f>IF(K17='MASTER data'!$E18,'MASTER data'!$H18,"")</f>
        <v>0</v>
      </c>
      <c r="M17" s="90" t="str">
        <f>IF('MASTER data'!$B18="UTC",IF(MONTH('MASTER data'!$E18)=MONTH(M$4),'MASTER data'!$E18,""),"")</f>
        <v/>
      </c>
      <c r="N17" s="16">
        <f>IF(M17='MASTER data'!$E18,'MASTER data'!$H18,"")</f>
        <v>0</v>
      </c>
      <c r="O17" s="90" t="str">
        <f>IF('MASTER data'!$B18="UTC",IF(MONTH('MASTER data'!$E18)=MONTH(O$4),'MASTER data'!$E18,""),"")</f>
        <v/>
      </c>
      <c r="P17" s="16">
        <f>IF(O17='MASTER data'!$E18,'MASTER data'!$H18,"")</f>
        <v>0</v>
      </c>
      <c r="Q17" s="90" t="str">
        <f>IF('MASTER data'!$B18="UTC",IF(MONTH('MASTER data'!$E18)=MONTH(Q$4),'MASTER data'!$E18,""),"")</f>
        <v/>
      </c>
      <c r="R17" s="16">
        <f>IF(Q17='MASTER data'!$E18,'MASTER data'!$H18,"")</f>
        <v>0</v>
      </c>
      <c r="S17" s="90" t="str">
        <f>IF('MASTER data'!$B18="UTC",IF(MONTH('MASTER data'!$E18)=MONTH(S$4),'MASTER data'!$E18,""),"")</f>
        <v/>
      </c>
      <c r="T17" s="16">
        <f>IF(S17='MASTER data'!$E18,'MASTER data'!$H18,"")</f>
        <v>0</v>
      </c>
      <c r="U17" s="90" t="str">
        <f>IF('MASTER data'!$B18="UTC",IF(MONTH('MASTER data'!$E18)=MONTH(U$4),'MASTER data'!$E18,""),"")</f>
        <v/>
      </c>
      <c r="V17" s="16">
        <f>IF(U17='MASTER data'!$E18,'MASTER data'!$H18,"")</f>
        <v>0</v>
      </c>
      <c r="W17" s="90" t="str">
        <f>IF('MASTER data'!$B18="UTC",IF(MONTH('MASTER data'!$E18)=MONTH(W$4),'MASTER data'!$E18,""),"")</f>
        <v/>
      </c>
      <c r="X17" s="16">
        <f>IF(W17='MASTER data'!$E18,'MASTER data'!$H18,"")</f>
        <v>0</v>
      </c>
      <c r="Y17" s="90" t="str">
        <f>IF('MASTER data'!$B18="UTC",IF(MONTH('MASTER data'!$E18)=MONTH(Y$4),'MASTER data'!$E18,""),"")</f>
        <v/>
      </c>
      <c r="Z17" s="16">
        <f>IF(Y17='MASTER data'!$E18,'MASTER data'!$H18,"")</f>
        <v>0</v>
      </c>
    </row>
    <row r="18" spans="1:26">
      <c r="A18" s="5"/>
      <c r="B18" s="4"/>
      <c r="C18" s="90" t="str">
        <f>IF('MASTER data'!$B19="UTC",IF(MONTH('MASTER data'!$E19)=MONTH(C$4),'MASTER data'!$E19,""),"")</f>
        <v/>
      </c>
      <c r="D18" s="16">
        <f>IF(C18='MASTER data'!$E19,'MASTER data'!$H19,"")</f>
        <v>0</v>
      </c>
      <c r="E18" s="90" t="str">
        <f>IF('MASTER data'!$B19="UTC",IF(MONTH('MASTER data'!$E19)=MONTH(E$4),'MASTER data'!$E19,""),"")</f>
        <v/>
      </c>
      <c r="F18" s="16">
        <f>IF(E18='MASTER data'!$E19,'MASTER data'!$H19,"")</f>
        <v>0</v>
      </c>
      <c r="G18" s="90" t="str">
        <f>IF('MASTER data'!$B19="UTC",IF(MONTH('MASTER data'!$E19)=MONTH(G$4),'MASTER data'!$E19,""),"")</f>
        <v/>
      </c>
      <c r="H18" s="16">
        <f>IF(G18='MASTER data'!$E19,'MASTER data'!$H19,"")</f>
        <v>0</v>
      </c>
      <c r="I18" s="90" t="str">
        <f>IF('MASTER data'!$B19="UTC",IF(MONTH('MASTER data'!$E19)=MONTH(I$4),'MASTER data'!$E19,""),"")</f>
        <v/>
      </c>
      <c r="J18" s="16">
        <f>IF(I18='MASTER data'!$E19,'MASTER data'!$H19,"")</f>
        <v>0</v>
      </c>
      <c r="K18" s="90" t="str">
        <f>IF('MASTER data'!$B19="UTC",IF(MONTH('MASTER data'!$E19)=MONTH(K$4),'MASTER data'!$E19,""),"")</f>
        <v/>
      </c>
      <c r="L18" s="16">
        <f>IF(K18='MASTER data'!$E19,'MASTER data'!$H19,"")</f>
        <v>0</v>
      </c>
      <c r="M18" s="90" t="str">
        <f>IF('MASTER data'!$B19="UTC",IF(MONTH('MASTER data'!$E19)=MONTH(M$4),'MASTER data'!$E19,""),"")</f>
        <v/>
      </c>
      <c r="N18" s="16">
        <f>IF(M18='MASTER data'!$E19,'MASTER data'!$H19,"")</f>
        <v>0</v>
      </c>
      <c r="O18" s="90" t="str">
        <f>IF('MASTER data'!$B19="UTC",IF(MONTH('MASTER data'!$E19)=MONTH(O$4),'MASTER data'!$E19,""),"")</f>
        <v/>
      </c>
      <c r="P18" s="16">
        <f>IF(O18='MASTER data'!$E19,'MASTER data'!$H19,"")</f>
        <v>0</v>
      </c>
      <c r="Q18" s="90" t="str">
        <f>IF('MASTER data'!$B19="UTC",IF(MONTH('MASTER data'!$E19)=MONTH(Q$4),'MASTER data'!$E19,""),"")</f>
        <v/>
      </c>
      <c r="R18" s="16">
        <f>IF(Q18='MASTER data'!$E19,'MASTER data'!$H19,"")</f>
        <v>0</v>
      </c>
      <c r="S18" s="90" t="str">
        <f>IF('MASTER data'!$B19="UTC",IF(MONTH('MASTER data'!$E19)=MONTH(S$4),'MASTER data'!$E19,""),"")</f>
        <v/>
      </c>
      <c r="T18" s="16">
        <f>IF(S18='MASTER data'!$E19,'MASTER data'!$H19,"")</f>
        <v>0</v>
      </c>
      <c r="U18" s="90" t="str">
        <f>IF('MASTER data'!$B19="UTC",IF(MONTH('MASTER data'!$E19)=MONTH(U$4),'MASTER data'!$E19,""),"")</f>
        <v/>
      </c>
      <c r="V18" s="16">
        <f>IF(U18='MASTER data'!$E19,'MASTER data'!$H19,"")</f>
        <v>0</v>
      </c>
      <c r="W18" s="90" t="str">
        <f>IF('MASTER data'!$B19="UTC",IF(MONTH('MASTER data'!$E19)=MONTH(W$4),'MASTER data'!$E19,""),"")</f>
        <v/>
      </c>
      <c r="X18" s="16">
        <f>IF(W18='MASTER data'!$E19,'MASTER data'!$H19,"")</f>
        <v>0</v>
      </c>
      <c r="Y18" s="90" t="str">
        <f>IF('MASTER data'!$B19="UTC",IF(MONTH('MASTER data'!$E19)=MONTH(Y$4),'MASTER data'!$E19,""),"")</f>
        <v/>
      </c>
      <c r="Z18" s="16">
        <f>IF(Y18='MASTER data'!$E19,'MASTER data'!$H19,"")</f>
        <v>0</v>
      </c>
    </row>
    <row r="19" spans="1:26">
      <c r="A19" s="5"/>
      <c r="B19" s="4"/>
      <c r="C19" s="90" t="str">
        <f>IF('MASTER data'!$B20="UTC",IF(MONTH('MASTER data'!$E20)=MONTH(C$4),'MASTER data'!$E20,""),"")</f>
        <v/>
      </c>
      <c r="D19" s="16">
        <f>IF(C19='MASTER data'!$E20,'MASTER data'!$H20,"")</f>
        <v>0</v>
      </c>
      <c r="E19" s="90" t="str">
        <f>IF('MASTER data'!$B20="UTC",IF(MONTH('MASTER data'!$E20)=MONTH(E$4),'MASTER data'!$E20,""),"")</f>
        <v/>
      </c>
      <c r="F19" s="16">
        <f>IF(E19='MASTER data'!$E20,'MASTER data'!$H20,"")</f>
        <v>0</v>
      </c>
      <c r="G19" s="90" t="str">
        <f>IF('MASTER data'!$B20="UTC",IF(MONTH('MASTER data'!$E20)=MONTH(G$4),'MASTER data'!$E20,""),"")</f>
        <v/>
      </c>
      <c r="H19" s="16">
        <f>IF(G19='MASTER data'!$E20,'MASTER data'!$H20,"")</f>
        <v>0</v>
      </c>
      <c r="I19" s="90" t="str">
        <f>IF('MASTER data'!$B20="UTC",IF(MONTH('MASTER data'!$E20)=MONTH(I$4),'MASTER data'!$E20,""),"")</f>
        <v/>
      </c>
      <c r="J19" s="16">
        <f>IF(I19='MASTER data'!$E20,'MASTER data'!$H20,"")</f>
        <v>0</v>
      </c>
      <c r="K19" s="90" t="str">
        <f>IF('MASTER data'!$B20="UTC",IF(MONTH('MASTER data'!$E20)=MONTH(K$4),'MASTER data'!$E20,""),"")</f>
        <v/>
      </c>
      <c r="L19" s="16">
        <f>IF(K19='MASTER data'!$E20,'MASTER data'!$H20,"")</f>
        <v>0</v>
      </c>
      <c r="M19" s="90" t="str">
        <f>IF('MASTER data'!$B20="UTC",IF(MONTH('MASTER data'!$E20)=MONTH(M$4),'MASTER data'!$E20,""),"")</f>
        <v/>
      </c>
      <c r="N19" s="16">
        <f>IF(M19='MASTER data'!$E20,'MASTER data'!$H20,"")</f>
        <v>0</v>
      </c>
      <c r="O19" s="90" t="str">
        <f>IF('MASTER data'!$B20="UTC",IF(MONTH('MASTER data'!$E20)=MONTH(O$4),'MASTER data'!$E20,""),"")</f>
        <v/>
      </c>
      <c r="P19" s="16">
        <f>IF(O19='MASTER data'!$E20,'MASTER data'!$H20,"")</f>
        <v>0</v>
      </c>
      <c r="Q19" s="90" t="str">
        <f>IF('MASTER data'!$B20="UTC",IF(MONTH('MASTER data'!$E20)=MONTH(Q$4),'MASTER data'!$E20,""),"")</f>
        <v/>
      </c>
      <c r="R19" s="16">
        <f>IF(Q19='MASTER data'!$E20,'MASTER data'!$H20,"")</f>
        <v>0</v>
      </c>
      <c r="S19" s="90" t="str">
        <f>IF('MASTER data'!$B20="UTC",IF(MONTH('MASTER data'!$E20)=MONTH(S$4),'MASTER data'!$E20,""),"")</f>
        <v/>
      </c>
      <c r="T19" s="16">
        <f>IF(S19='MASTER data'!$E20,'MASTER data'!$H20,"")</f>
        <v>0</v>
      </c>
      <c r="U19" s="90" t="str">
        <f>IF('MASTER data'!$B20="UTC",IF(MONTH('MASTER data'!$E20)=MONTH(U$4),'MASTER data'!$E20,""),"")</f>
        <v/>
      </c>
      <c r="V19" s="16">
        <f>IF(U19='MASTER data'!$E20,'MASTER data'!$H20,"")</f>
        <v>0</v>
      </c>
      <c r="W19" s="90" t="str">
        <f>IF('MASTER data'!$B20="UTC",IF(MONTH('MASTER data'!$E20)=MONTH(W$4),'MASTER data'!$E20,""),"")</f>
        <v/>
      </c>
      <c r="X19" s="16">
        <f>IF(W19='MASTER data'!$E20,'MASTER data'!$H20,"")</f>
        <v>0</v>
      </c>
      <c r="Y19" s="90" t="str">
        <f>IF('MASTER data'!$B20="UTC",IF(MONTH('MASTER data'!$E20)=MONTH(Y$4),'MASTER data'!$E20,""),"")</f>
        <v/>
      </c>
      <c r="Z19" s="16">
        <f>IF(Y19='MASTER data'!$E20,'MASTER data'!$H20,"")</f>
        <v>0</v>
      </c>
    </row>
    <row r="20" spans="1:26">
      <c r="A20" s="5"/>
      <c r="B20" s="4"/>
      <c r="C20" s="90" t="str">
        <f>IF('MASTER data'!$B21="UTC",IF(MONTH('MASTER data'!$E21)=MONTH(C$4),'MASTER data'!$E21,""),"")</f>
        <v/>
      </c>
      <c r="D20" s="16">
        <f>IF(C20='MASTER data'!$E21,'MASTER data'!$H21,"")</f>
        <v>0</v>
      </c>
      <c r="E20" s="90" t="str">
        <f>IF('MASTER data'!$B21="UTC",IF(MONTH('MASTER data'!$E21)=MONTH(E$4),'MASTER data'!$E21,""),"")</f>
        <v/>
      </c>
      <c r="F20" s="16">
        <f>IF(E20='MASTER data'!$E21,'MASTER data'!$H21,"")</f>
        <v>0</v>
      </c>
      <c r="G20" s="90" t="str">
        <f>IF('MASTER data'!$B21="UTC",IF(MONTH('MASTER data'!$E21)=MONTH(G$4),'MASTER data'!$E21,""),"")</f>
        <v/>
      </c>
      <c r="H20" s="16">
        <f>IF(G20='MASTER data'!$E21,'MASTER data'!$H21,"")</f>
        <v>0</v>
      </c>
      <c r="I20" s="90" t="str">
        <f>IF('MASTER data'!$B21="UTC",IF(MONTH('MASTER data'!$E21)=MONTH(I$4),'MASTER data'!$E21,""),"")</f>
        <v/>
      </c>
      <c r="J20" s="16">
        <f>IF(I20='MASTER data'!$E21,'MASTER data'!$H21,"")</f>
        <v>0</v>
      </c>
      <c r="K20" s="90" t="str">
        <f>IF('MASTER data'!$B21="UTC",IF(MONTH('MASTER data'!$E21)=MONTH(K$4),'MASTER data'!$E21,""),"")</f>
        <v/>
      </c>
      <c r="L20" s="16">
        <f>IF(K20='MASTER data'!$E21,'MASTER data'!$H21,"")</f>
        <v>0</v>
      </c>
      <c r="M20" s="90" t="str">
        <f>IF('MASTER data'!$B21="UTC",IF(MONTH('MASTER data'!$E21)=MONTH(M$4),'MASTER data'!$E21,""),"")</f>
        <v/>
      </c>
      <c r="N20" s="16">
        <f>IF(M20='MASTER data'!$E21,'MASTER data'!$H21,"")</f>
        <v>0</v>
      </c>
      <c r="O20" s="90" t="str">
        <f>IF('MASTER data'!$B21="UTC",IF(MONTH('MASTER data'!$E21)=MONTH(O$4),'MASTER data'!$E21,""),"")</f>
        <v/>
      </c>
      <c r="P20" s="16">
        <f>IF(O20='MASTER data'!$E21,'MASTER data'!$H21,"")</f>
        <v>0</v>
      </c>
      <c r="Q20" s="90" t="str">
        <f>IF('MASTER data'!$B21="UTC",IF(MONTH('MASTER data'!$E21)=MONTH(Q$4),'MASTER data'!$E21,""),"")</f>
        <v/>
      </c>
      <c r="R20" s="16">
        <f>IF(Q20='MASTER data'!$E21,'MASTER data'!$H21,"")</f>
        <v>0</v>
      </c>
      <c r="S20" s="90" t="str">
        <f>IF('MASTER data'!$B21="UTC",IF(MONTH('MASTER data'!$E21)=MONTH(S$4),'MASTER data'!$E21,""),"")</f>
        <v/>
      </c>
      <c r="T20" s="16">
        <f>IF(S20='MASTER data'!$E21,'MASTER data'!$H21,"")</f>
        <v>0</v>
      </c>
      <c r="U20" s="90" t="str">
        <f>IF('MASTER data'!$B21="UTC",IF(MONTH('MASTER data'!$E21)=MONTH(U$4),'MASTER data'!$E21,""),"")</f>
        <v/>
      </c>
      <c r="V20" s="16">
        <f>IF(U20='MASTER data'!$E21,'MASTER data'!$H21,"")</f>
        <v>0</v>
      </c>
      <c r="W20" s="90" t="str">
        <f>IF('MASTER data'!$B21="UTC",IF(MONTH('MASTER data'!$E21)=MONTH(W$4),'MASTER data'!$E21,""),"")</f>
        <v/>
      </c>
      <c r="X20" s="16">
        <f>IF(W20='MASTER data'!$E21,'MASTER data'!$H21,"")</f>
        <v>0</v>
      </c>
      <c r="Y20" s="90" t="str">
        <f>IF('MASTER data'!$B21="UTC",IF(MONTH('MASTER data'!$E21)=MONTH(Y$4),'MASTER data'!$E21,""),"")</f>
        <v/>
      </c>
      <c r="Z20" s="16">
        <f>IF(Y20='MASTER data'!$E21,'MASTER data'!$H21,"")</f>
        <v>0</v>
      </c>
    </row>
    <row r="21" spans="1:26">
      <c r="A21" s="5"/>
      <c r="B21" s="4"/>
      <c r="C21" s="90" t="str">
        <f>IF('MASTER data'!$B22="UTC",IF(MONTH('MASTER data'!$E22)=MONTH(C$4),'MASTER data'!$E22,""),"")</f>
        <v/>
      </c>
      <c r="D21" s="16">
        <f>IF(C21='MASTER data'!$E22,'MASTER data'!$H22,"")</f>
        <v>0</v>
      </c>
      <c r="E21" s="90" t="str">
        <f>IF('MASTER data'!$B22="UTC",IF(MONTH('MASTER data'!$E22)=MONTH(E$4),'MASTER data'!$E22,""),"")</f>
        <v/>
      </c>
      <c r="F21" s="16">
        <f>IF(E21='MASTER data'!$E22,'MASTER data'!$H22,"")</f>
        <v>0</v>
      </c>
      <c r="G21" s="90" t="str">
        <f>IF('MASTER data'!$B22="UTC",IF(MONTH('MASTER data'!$E22)=MONTH(G$4),'MASTER data'!$E22,""),"")</f>
        <v/>
      </c>
      <c r="H21" s="16">
        <f>IF(G21='MASTER data'!$E22,'MASTER data'!$H22,"")</f>
        <v>0</v>
      </c>
      <c r="I21" s="90" t="str">
        <f>IF('MASTER data'!$B22="UTC",IF(MONTH('MASTER data'!$E22)=MONTH(I$4),'MASTER data'!$E22,""),"")</f>
        <v/>
      </c>
      <c r="J21" s="16">
        <f>IF(I21='MASTER data'!$E22,'MASTER data'!$H22,"")</f>
        <v>0</v>
      </c>
      <c r="K21" s="90" t="str">
        <f>IF('MASTER data'!$B22="UTC",IF(MONTH('MASTER data'!$E22)=MONTH(K$4),'MASTER data'!$E22,""),"")</f>
        <v/>
      </c>
      <c r="L21" s="16">
        <f>IF(K21='MASTER data'!$E22,'MASTER data'!$H22,"")</f>
        <v>0</v>
      </c>
      <c r="M21" s="90" t="str">
        <f>IF('MASTER data'!$B22="UTC",IF(MONTH('MASTER data'!$E22)=MONTH(M$4),'MASTER data'!$E22,""),"")</f>
        <v/>
      </c>
      <c r="N21" s="16">
        <f>IF(M21='MASTER data'!$E22,'MASTER data'!$H22,"")</f>
        <v>0</v>
      </c>
      <c r="O21" s="90" t="str">
        <f>IF('MASTER data'!$B22="UTC",IF(MONTH('MASTER data'!$E22)=MONTH(O$4),'MASTER data'!$E22,""),"")</f>
        <v/>
      </c>
      <c r="P21" s="16">
        <f>IF(O21='MASTER data'!$E22,'MASTER data'!$H22,"")</f>
        <v>0</v>
      </c>
      <c r="Q21" s="90" t="str">
        <f>IF('MASTER data'!$B22="UTC",IF(MONTH('MASTER data'!$E22)=MONTH(Q$4),'MASTER data'!$E22,""),"")</f>
        <v/>
      </c>
      <c r="R21" s="16">
        <f>IF(Q21='MASTER data'!$E22,'MASTER data'!$H22,"")</f>
        <v>0</v>
      </c>
      <c r="S21" s="90" t="str">
        <f>IF('MASTER data'!$B22="UTC",IF(MONTH('MASTER data'!$E22)=MONTH(S$4),'MASTER data'!$E22,""),"")</f>
        <v/>
      </c>
      <c r="T21" s="16">
        <f>IF(S21='MASTER data'!$E22,'MASTER data'!$H22,"")</f>
        <v>0</v>
      </c>
      <c r="U21" s="90" t="str">
        <f>IF('MASTER data'!$B22="UTC",IF(MONTH('MASTER data'!$E22)=MONTH(U$4),'MASTER data'!$E22,""),"")</f>
        <v/>
      </c>
      <c r="V21" s="16">
        <f>IF(U21='MASTER data'!$E22,'MASTER data'!$H22,"")</f>
        <v>0</v>
      </c>
      <c r="W21" s="90" t="str">
        <f>IF('MASTER data'!$B22="UTC",IF(MONTH('MASTER data'!$E22)=MONTH(W$4),'MASTER data'!$E22,""),"")</f>
        <v/>
      </c>
      <c r="X21" s="16">
        <f>IF(W21='MASTER data'!$E22,'MASTER data'!$H22,"")</f>
        <v>0</v>
      </c>
      <c r="Y21" s="90" t="str">
        <f>IF('MASTER data'!$B22="UTC",IF(MONTH('MASTER data'!$E22)=MONTH(Y$4),'MASTER data'!$E22,""),"")</f>
        <v/>
      </c>
      <c r="Z21" s="16">
        <f>IF(Y21='MASTER data'!$E22,'MASTER data'!$H22,"")</f>
        <v>0</v>
      </c>
    </row>
    <row r="22" spans="1:26">
      <c r="A22" s="5"/>
      <c r="B22" s="4"/>
      <c r="C22" s="90" t="str">
        <f>IF('MASTER data'!$B23="UTC",IF(MONTH('MASTER data'!$E23)=MONTH(C$4),'MASTER data'!$E23,""),"")</f>
        <v/>
      </c>
      <c r="D22" s="16">
        <f>IF(C22='MASTER data'!$E23,'MASTER data'!$H23,"")</f>
        <v>0</v>
      </c>
      <c r="E22" s="90" t="str">
        <f>IF('MASTER data'!$B23="UTC",IF(MONTH('MASTER data'!$E23)=MONTH(E$4),'MASTER data'!$E23,""),"")</f>
        <v/>
      </c>
      <c r="F22" s="16">
        <f>IF(E22='MASTER data'!$E23,'MASTER data'!$H23,"")</f>
        <v>0</v>
      </c>
      <c r="G22" s="90" t="str">
        <f>IF('MASTER data'!$B23="UTC",IF(MONTH('MASTER data'!$E23)=MONTH(G$4),'MASTER data'!$E23,""),"")</f>
        <v/>
      </c>
      <c r="H22" s="16">
        <f>IF(G22='MASTER data'!$E23,'MASTER data'!$H23,"")</f>
        <v>0</v>
      </c>
      <c r="I22" s="90" t="str">
        <f>IF('MASTER data'!$B23="UTC",IF(MONTH('MASTER data'!$E23)=MONTH(I$4),'MASTER data'!$E23,""),"")</f>
        <v/>
      </c>
      <c r="J22" s="16">
        <f>IF(I22='MASTER data'!$E23,'MASTER data'!$H23,"")</f>
        <v>0</v>
      </c>
      <c r="K22" s="90" t="str">
        <f>IF('MASTER data'!$B23="UTC",IF(MONTH('MASTER data'!$E23)=MONTH(K$4),'MASTER data'!$E23,""),"")</f>
        <v/>
      </c>
      <c r="L22" s="16">
        <f>IF(K22='MASTER data'!$E23,'MASTER data'!$H23,"")</f>
        <v>0</v>
      </c>
      <c r="M22" s="90" t="str">
        <f>IF('MASTER data'!$B23="UTC",IF(MONTH('MASTER data'!$E23)=MONTH(M$4),'MASTER data'!$E23,""),"")</f>
        <v/>
      </c>
      <c r="N22" s="16">
        <f>IF(M22='MASTER data'!$E23,'MASTER data'!$H23,"")</f>
        <v>0</v>
      </c>
      <c r="O22" s="90" t="str">
        <f>IF('MASTER data'!$B23="UTC",IF(MONTH('MASTER data'!$E23)=MONTH(O$4),'MASTER data'!$E23,""),"")</f>
        <v/>
      </c>
      <c r="P22" s="16">
        <f>IF(O22='MASTER data'!$E23,'MASTER data'!$H23,"")</f>
        <v>0</v>
      </c>
      <c r="Q22" s="90" t="str">
        <f>IF('MASTER data'!$B23="UTC",IF(MONTH('MASTER data'!$E23)=MONTH(Q$4),'MASTER data'!$E23,""),"")</f>
        <v/>
      </c>
      <c r="R22" s="16">
        <f>IF(Q22='MASTER data'!$E23,'MASTER data'!$H23,"")</f>
        <v>0</v>
      </c>
      <c r="S22" s="90" t="str">
        <f>IF('MASTER data'!$B23="UTC",IF(MONTH('MASTER data'!$E23)=MONTH(S$4),'MASTER data'!$E23,""),"")</f>
        <v/>
      </c>
      <c r="T22" s="16">
        <f>IF(S22='MASTER data'!$E23,'MASTER data'!$H23,"")</f>
        <v>0</v>
      </c>
      <c r="U22" s="90" t="str">
        <f>IF('MASTER data'!$B23="UTC",IF(MONTH('MASTER data'!$E23)=MONTH(U$4),'MASTER data'!$E23,""),"")</f>
        <v/>
      </c>
      <c r="V22" s="16">
        <f>IF(U22='MASTER data'!$E23,'MASTER data'!$H23,"")</f>
        <v>0</v>
      </c>
      <c r="W22" s="90" t="str">
        <f>IF('MASTER data'!$B23="UTC",IF(MONTH('MASTER data'!$E23)=MONTH(W$4),'MASTER data'!$E23,""),"")</f>
        <v/>
      </c>
      <c r="X22" s="16">
        <f>IF(W22='MASTER data'!$E23,'MASTER data'!$H23,"")</f>
        <v>0</v>
      </c>
      <c r="Y22" s="90" t="str">
        <f>IF('MASTER data'!$B23="UTC",IF(MONTH('MASTER data'!$E23)=MONTH(Y$4),'MASTER data'!$E23,""),"")</f>
        <v/>
      </c>
      <c r="Z22" s="16">
        <f>IF(Y22='MASTER data'!$E23,'MASTER data'!$H23,"")</f>
        <v>0</v>
      </c>
    </row>
    <row r="23" spans="1:26">
      <c r="A23" s="5"/>
      <c r="B23" s="4"/>
      <c r="C23" s="90" t="str">
        <f>IF('MASTER data'!$B24="UTC",IF(MONTH('MASTER data'!$E24)=MONTH(C$4),'MASTER data'!$E24,""),"")</f>
        <v/>
      </c>
      <c r="D23" s="16">
        <f>IF(C23='MASTER data'!$E24,'MASTER data'!$H24,"")</f>
        <v>0</v>
      </c>
      <c r="E23" s="90" t="str">
        <f>IF('MASTER data'!$B24="UTC",IF(MONTH('MASTER data'!$E24)=MONTH(E$4),'MASTER data'!$E24,""),"")</f>
        <v/>
      </c>
      <c r="F23" s="16">
        <f>IF(E23='MASTER data'!$E24,'MASTER data'!$H24,"")</f>
        <v>0</v>
      </c>
      <c r="G23" s="90" t="str">
        <f>IF('MASTER data'!$B24="UTC",IF(MONTH('MASTER data'!$E24)=MONTH(G$4),'MASTER data'!$E24,""),"")</f>
        <v/>
      </c>
      <c r="H23" s="16">
        <f>IF(G23='MASTER data'!$E24,'MASTER data'!$H24,"")</f>
        <v>0</v>
      </c>
      <c r="I23" s="90" t="str">
        <f>IF('MASTER data'!$B24="UTC",IF(MONTH('MASTER data'!$E24)=MONTH(I$4),'MASTER data'!$E24,""),"")</f>
        <v/>
      </c>
      <c r="J23" s="16">
        <f>IF(I23='MASTER data'!$E24,'MASTER data'!$H24,"")</f>
        <v>0</v>
      </c>
      <c r="K23" s="90" t="str">
        <f>IF('MASTER data'!$B24="UTC",IF(MONTH('MASTER data'!$E24)=MONTH(K$4),'MASTER data'!$E24,""),"")</f>
        <v/>
      </c>
      <c r="L23" s="16">
        <f>IF(K23='MASTER data'!$E24,'MASTER data'!$H24,"")</f>
        <v>0</v>
      </c>
      <c r="M23" s="90" t="str">
        <f>IF('MASTER data'!$B24="UTC",IF(MONTH('MASTER data'!$E24)=MONTH(M$4),'MASTER data'!$E24,""),"")</f>
        <v/>
      </c>
      <c r="N23" s="16">
        <f>IF(M23='MASTER data'!$E24,'MASTER data'!$H24,"")</f>
        <v>0</v>
      </c>
      <c r="O23" s="90" t="str">
        <f>IF('MASTER data'!$B24="UTC",IF(MONTH('MASTER data'!$E24)=MONTH(O$4),'MASTER data'!$E24,""),"")</f>
        <v/>
      </c>
      <c r="P23" s="16">
        <f>IF(O23='MASTER data'!$E24,'MASTER data'!$H24,"")</f>
        <v>0</v>
      </c>
      <c r="Q23" s="90" t="str">
        <f>IF('MASTER data'!$B24="UTC",IF(MONTH('MASTER data'!$E24)=MONTH(Q$4),'MASTER data'!$E24,""),"")</f>
        <v/>
      </c>
      <c r="R23" s="16">
        <f>IF(Q23='MASTER data'!$E24,'MASTER data'!$H24,"")</f>
        <v>0</v>
      </c>
      <c r="S23" s="90" t="str">
        <f>IF('MASTER data'!$B24="UTC",IF(MONTH('MASTER data'!$E24)=MONTH(S$4),'MASTER data'!$E24,""),"")</f>
        <v/>
      </c>
      <c r="T23" s="16">
        <f>IF(S23='MASTER data'!$E24,'MASTER data'!$H24,"")</f>
        <v>0</v>
      </c>
      <c r="U23" s="90" t="str">
        <f>IF('MASTER data'!$B24="UTC",IF(MONTH('MASTER data'!$E24)=MONTH(U$4),'MASTER data'!$E24,""),"")</f>
        <v/>
      </c>
      <c r="V23" s="16">
        <f>IF(U23='MASTER data'!$E24,'MASTER data'!$H24,"")</f>
        <v>0</v>
      </c>
      <c r="W23" s="90" t="str">
        <f>IF('MASTER data'!$B24="UTC",IF(MONTH('MASTER data'!$E24)=MONTH(W$4),'MASTER data'!$E24,""),"")</f>
        <v/>
      </c>
      <c r="X23" s="16">
        <f>IF(W23='MASTER data'!$E24,'MASTER data'!$H24,"")</f>
        <v>0</v>
      </c>
      <c r="Y23" s="90" t="str">
        <f>IF('MASTER data'!$B24="UTC",IF(MONTH('MASTER data'!$E24)=MONTH(Y$4),'MASTER data'!$E24,""),"")</f>
        <v/>
      </c>
      <c r="Z23" s="16">
        <f>IF(Y23='MASTER data'!$E24,'MASTER data'!$H24,"")</f>
        <v>0</v>
      </c>
    </row>
    <row r="24" spans="1:26">
      <c r="A24" s="5"/>
      <c r="B24" s="4"/>
      <c r="C24" s="90" t="str">
        <f>IF('MASTER data'!$B25="UTC",IF(MONTH('MASTER data'!$E25)=MONTH(C$4),'MASTER data'!$E25,""),"")</f>
        <v/>
      </c>
      <c r="D24" s="16">
        <f>IF(C24='MASTER data'!$E25,'MASTER data'!$H25,"")</f>
        <v>0</v>
      </c>
      <c r="E24" s="90" t="str">
        <f>IF('MASTER data'!$B25="UTC",IF(MONTH('MASTER data'!$E25)=MONTH(E$4),'MASTER data'!$E25,""),"")</f>
        <v/>
      </c>
      <c r="F24" s="16">
        <f>IF(E24='MASTER data'!$E25,'MASTER data'!$H25,"")</f>
        <v>0</v>
      </c>
      <c r="G24" s="90" t="str">
        <f>IF('MASTER data'!$B25="UTC",IF(MONTH('MASTER data'!$E25)=MONTH(G$4),'MASTER data'!$E25,""),"")</f>
        <v/>
      </c>
      <c r="H24" s="16">
        <f>IF(G24='MASTER data'!$E25,'MASTER data'!$H25,"")</f>
        <v>0</v>
      </c>
      <c r="I24" s="90" t="str">
        <f>IF('MASTER data'!$B25="UTC",IF(MONTH('MASTER data'!$E25)=MONTH(I$4),'MASTER data'!$E25,""),"")</f>
        <v/>
      </c>
      <c r="J24" s="16">
        <f>IF(I24='MASTER data'!$E25,'MASTER data'!$H25,"")</f>
        <v>0</v>
      </c>
      <c r="K24" s="90" t="str">
        <f>IF('MASTER data'!$B25="UTC",IF(MONTH('MASTER data'!$E25)=MONTH(K$4),'MASTER data'!$E25,""),"")</f>
        <v/>
      </c>
      <c r="L24" s="16">
        <f>IF(K24='MASTER data'!$E25,'MASTER data'!$H25,"")</f>
        <v>0</v>
      </c>
      <c r="M24" s="90" t="str">
        <f>IF('MASTER data'!$B25="UTC",IF(MONTH('MASTER data'!$E25)=MONTH(M$4),'MASTER data'!$E25,""),"")</f>
        <v/>
      </c>
      <c r="N24" s="16">
        <f>IF(M24='MASTER data'!$E25,'MASTER data'!$H25,"")</f>
        <v>0</v>
      </c>
      <c r="O24" s="90" t="str">
        <f>IF('MASTER data'!$B25="UTC",IF(MONTH('MASTER data'!$E25)=MONTH(O$4),'MASTER data'!$E25,""),"")</f>
        <v/>
      </c>
      <c r="P24" s="16">
        <f>IF(O24='MASTER data'!$E25,'MASTER data'!$H25,"")</f>
        <v>0</v>
      </c>
      <c r="Q24" s="90" t="str">
        <f>IF('MASTER data'!$B25="UTC",IF(MONTH('MASTER data'!$E25)=MONTH(Q$4),'MASTER data'!$E25,""),"")</f>
        <v/>
      </c>
      <c r="R24" s="16">
        <f>IF(Q24='MASTER data'!$E25,'MASTER data'!$H25,"")</f>
        <v>0</v>
      </c>
      <c r="S24" s="90" t="str">
        <f>IF('MASTER data'!$B25="UTC",IF(MONTH('MASTER data'!$E25)=MONTH(S$4),'MASTER data'!$E25,""),"")</f>
        <v/>
      </c>
      <c r="T24" s="16">
        <f>IF(S24='MASTER data'!$E25,'MASTER data'!$H25,"")</f>
        <v>0</v>
      </c>
      <c r="U24" s="90" t="str">
        <f>IF('MASTER data'!$B25="UTC",IF(MONTH('MASTER data'!$E25)=MONTH(U$4),'MASTER data'!$E25,""),"")</f>
        <v/>
      </c>
      <c r="V24" s="16">
        <f>IF(U24='MASTER data'!$E25,'MASTER data'!$H25,"")</f>
        <v>0</v>
      </c>
      <c r="W24" s="90" t="str">
        <f>IF('MASTER data'!$B25="UTC",IF(MONTH('MASTER data'!$E25)=MONTH(W$4),'MASTER data'!$E25,""),"")</f>
        <v/>
      </c>
      <c r="X24" s="16">
        <f>IF(W24='MASTER data'!$E25,'MASTER data'!$H25,"")</f>
        <v>0</v>
      </c>
      <c r="Y24" s="90" t="str">
        <f>IF('MASTER data'!$B25="UTC",IF(MONTH('MASTER data'!$E25)=MONTH(Y$4),'MASTER data'!$E25,""),"")</f>
        <v/>
      </c>
      <c r="Z24" s="16">
        <f>IF(Y24='MASTER data'!$E25,'MASTER data'!$H25,"")</f>
        <v>0</v>
      </c>
    </row>
    <row r="25" spans="1:26">
      <c r="A25" s="5"/>
      <c r="B25" s="4"/>
      <c r="C25" s="90" t="str">
        <f>IF('MASTER data'!$B26="UTC",IF(MONTH('MASTER data'!$E26)=MONTH(C$4),'MASTER data'!$E26,""),"")</f>
        <v/>
      </c>
      <c r="D25" s="16">
        <f>IF(C25='MASTER data'!$E26,'MASTER data'!$H26,"")</f>
        <v>0</v>
      </c>
      <c r="E25" s="90" t="str">
        <f>IF('MASTER data'!$B26="UTC",IF(MONTH('MASTER data'!$E26)=MONTH(E$4),'MASTER data'!$E26,""),"")</f>
        <v/>
      </c>
      <c r="F25" s="16">
        <f>IF(E25='MASTER data'!$E26,'MASTER data'!$H26,"")</f>
        <v>0</v>
      </c>
      <c r="G25" s="90" t="str">
        <f>IF('MASTER data'!$B26="UTC",IF(MONTH('MASTER data'!$E26)=MONTH(G$4),'MASTER data'!$E26,""),"")</f>
        <v/>
      </c>
      <c r="H25" s="16">
        <f>IF(G25='MASTER data'!$E26,'MASTER data'!$H26,"")</f>
        <v>0</v>
      </c>
      <c r="I25" s="90" t="str">
        <f>IF('MASTER data'!$B26="UTC",IF(MONTH('MASTER data'!$E26)=MONTH(I$4),'MASTER data'!$E26,""),"")</f>
        <v/>
      </c>
      <c r="J25" s="16">
        <f>IF(I25='MASTER data'!$E26,'MASTER data'!$H26,"")</f>
        <v>0</v>
      </c>
      <c r="K25" s="90" t="str">
        <f>IF('MASTER data'!$B26="UTC",IF(MONTH('MASTER data'!$E26)=MONTH(K$4),'MASTER data'!$E26,""),"")</f>
        <v/>
      </c>
      <c r="L25" s="16">
        <f>IF(K25='MASTER data'!$E26,'MASTER data'!$H26,"")</f>
        <v>0</v>
      </c>
      <c r="M25" s="90" t="str">
        <f>IF('MASTER data'!$B26="UTC",IF(MONTH('MASTER data'!$E26)=MONTH(M$4),'MASTER data'!$E26,""),"")</f>
        <v/>
      </c>
      <c r="N25" s="16">
        <f>IF(M25='MASTER data'!$E26,'MASTER data'!$H26,"")</f>
        <v>0</v>
      </c>
      <c r="O25" s="90" t="str">
        <f>IF('MASTER data'!$B26="UTC",IF(MONTH('MASTER data'!$E26)=MONTH(O$4),'MASTER data'!$E26,""),"")</f>
        <v/>
      </c>
      <c r="P25" s="16">
        <f>IF(O25='MASTER data'!$E26,'MASTER data'!$H26,"")</f>
        <v>0</v>
      </c>
      <c r="Q25" s="90" t="str">
        <f>IF('MASTER data'!$B26="UTC",IF(MONTH('MASTER data'!$E26)=MONTH(Q$4),'MASTER data'!$E26,""),"")</f>
        <v/>
      </c>
      <c r="R25" s="16">
        <f>IF(Q25='MASTER data'!$E26,'MASTER data'!$H26,"")</f>
        <v>0</v>
      </c>
      <c r="S25" s="90" t="str">
        <f>IF('MASTER data'!$B26="UTC",IF(MONTH('MASTER data'!$E26)=MONTH(S$4),'MASTER data'!$E26,""),"")</f>
        <v/>
      </c>
      <c r="T25" s="16">
        <f>IF(S25='MASTER data'!$E26,'MASTER data'!$H26,"")</f>
        <v>0</v>
      </c>
      <c r="U25" s="90" t="str">
        <f>IF('MASTER data'!$B26="UTC",IF(MONTH('MASTER data'!$E26)=MONTH(U$4),'MASTER data'!$E26,""),"")</f>
        <v/>
      </c>
      <c r="V25" s="16">
        <f>IF(U25='MASTER data'!$E26,'MASTER data'!$H26,"")</f>
        <v>0</v>
      </c>
      <c r="W25" s="90" t="str">
        <f>IF('MASTER data'!$B26="UTC",IF(MONTH('MASTER data'!$E26)=MONTH(W$4),'MASTER data'!$E26,""),"")</f>
        <v/>
      </c>
      <c r="X25" s="16">
        <f>IF(W25='MASTER data'!$E26,'MASTER data'!$H26,"")</f>
        <v>0</v>
      </c>
      <c r="Y25" s="90" t="str">
        <f>IF('MASTER data'!$B26="UTC",IF(MONTH('MASTER data'!$E26)=MONTH(Y$4),'MASTER data'!$E26,""),"")</f>
        <v/>
      </c>
      <c r="Z25" s="16">
        <f>IF(Y25='MASTER data'!$E26,'MASTER data'!$H26,"")</f>
        <v>0</v>
      </c>
    </row>
    <row r="26" spans="1:26">
      <c r="A26" s="5"/>
      <c r="B26" s="4"/>
      <c r="C26" s="90" t="str">
        <f>IF('MASTER data'!$B27="UTC",IF(MONTH('MASTER data'!$E27)=MONTH(C$4),'MASTER data'!$E27,""),"")</f>
        <v/>
      </c>
      <c r="D26" s="16">
        <f>IF(C26='MASTER data'!$E27,'MASTER data'!$H27,"")</f>
        <v>0</v>
      </c>
      <c r="E26" s="90" t="str">
        <f>IF('MASTER data'!$B27="UTC",IF(MONTH('MASTER data'!$E27)=MONTH(E$4),'MASTER data'!$E27,""),"")</f>
        <v/>
      </c>
      <c r="F26" s="16">
        <f>IF(E26='MASTER data'!$E27,'MASTER data'!$H27,"")</f>
        <v>0</v>
      </c>
      <c r="G26" s="90" t="str">
        <f>IF('MASTER data'!$B27="UTC",IF(MONTH('MASTER data'!$E27)=MONTH(G$4),'MASTER data'!$E27,""),"")</f>
        <v/>
      </c>
      <c r="H26" s="16">
        <f>IF(G26='MASTER data'!$E27,'MASTER data'!$H27,"")</f>
        <v>0</v>
      </c>
      <c r="I26" s="90" t="str">
        <f>IF('MASTER data'!$B27="UTC",IF(MONTH('MASTER data'!$E27)=MONTH(I$4),'MASTER data'!$E27,""),"")</f>
        <v/>
      </c>
      <c r="J26" s="16">
        <f>IF(I26='MASTER data'!$E27,'MASTER data'!$H27,"")</f>
        <v>0</v>
      </c>
      <c r="K26" s="90" t="str">
        <f>IF('MASTER data'!$B27="UTC",IF(MONTH('MASTER data'!$E27)=MONTH(K$4),'MASTER data'!$E27,""),"")</f>
        <v/>
      </c>
      <c r="L26" s="16">
        <f>IF(K26='MASTER data'!$E27,'MASTER data'!$H27,"")</f>
        <v>0</v>
      </c>
      <c r="M26" s="90" t="str">
        <f>IF('MASTER data'!$B27="UTC",IF(MONTH('MASTER data'!$E27)=MONTH(M$4),'MASTER data'!$E27,""),"")</f>
        <v/>
      </c>
      <c r="N26" s="16">
        <f>IF(M26='MASTER data'!$E27,'MASTER data'!$H27,"")</f>
        <v>0</v>
      </c>
      <c r="O26" s="90" t="str">
        <f>IF('MASTER data'!$B27="UTC",IF(MONTH('MASTER data'!$E27)=MONTH(O$4),'MASTER data'!$E27,""),"")</f>
        <v/>
      </c>
      <c r="P26" s="16">
        <f>IF(O26='MASTER data'!$E27,'MASTER data'!$H27,"")</f>
        <v>0</v>
      </c>
      <c r="Q26" s="90" t="str">
        <f>IF('MASTER data'!$B27="UTC",IF(MONTH('MASTER data'!$E27)=MONTH(Q$4),'MASTER data'!$E27,""),"")</f>
        <v/>
      </c>
      <c r="R26" s="16">
        <f>IF(Q26='MASTER data'!$E27,'MASTER data'!$H27,"")</f>
        <v>0</v>
      </c>
      <c r="S26" s="90" t="str">
        <f>IF('MASTER data'!$B27="UTC",IF(MONTH('MASTER data'!$E27)=MONTH(S$4),'MASTER data'!$E27,""),"")</f>
        <v/>
      </c>
      <c r="T26" s="16">
        <f>IF(S26='MASTER data'!$E27,'MASTER data'!$H27,"")</f>
        <v>0</v>
      </c>
      <c r="U26" s="90" t="str">
        <f>IF('MASTER data'!$B27="UTC",IF(MONTH('MASTER data'!$E27)=MONTH(U$4),'MASTER data'!$E27,""),"")</f>
        <v/>
      </c>
      <c r="V26" s="16">
        <f>IF(U26='MASTER data'!$E27,'MASTER data'!$H27,"")</f>
        <v>0</v>
      </c>
      <c r="W26" s="90" t="str">
        <f>IF('MASTER data'!$B27="UTC",IF(MONTH('MASTER data'!$E27)=MONTH(W$4),'MASTER data'!$E27,""),"")</f>
        <v/>
      </c>
      <c r="X26" s="16">
        <f>IF(W26='MASTER data'!$E27,'MASTER data'!$H27,"")</f>
        <v>0</v>
      </c>
      <c r="Y26" s="90" t="str">
        <f>IF('MASTER data'!$B27="UTC",IF(MONTH('MASTER data'!$E27)=MONTH(Y$4),'MASTER data'!$E27,""),"")</f>
        <v/>
      </c>
      <c r="Z26" s="16">
        <f>IF(Y26='MASTER data'!$E27,'MASTER data'!$H27,"")</f>
        <v>0</v>
      </c>
    </row>
    <row r="27" spans="1:26">
      <c r="A27" s="5"/>
      <c r="B27" s="4"/>
      <c r="C27" s="90" t="str">
        <f>IF('MASTER data'!$B28="UTC",IF(MONTH('MASTER data'!$E28)=MONTH(C$4),'MASTER data'!$E28,""),"")</f>
        <v/>
      </c>
      <c r="D27" s="16">
        <f>IF(C27='MASTER data'!$E28,'MASTER data'!$H28,"")</f>
        <v>0</v>
      </c>
      <c r="E27" s="90" t="str">
        <f>IF('MASTER data'!$B28="UTC",IF(MONTH('MASTER data'!$E28)=MONTH(E$4),'MASTER data'!$E28,""),"")</f>
        <v/>
      </c>
      <c r="F27" s="16">
        <f>IF(E27='MASTER data'!$E28,'MASTER data'!$H28,"")</f>
        <v>0</v>
      </c>
      <c r="G27" s="90" t="str">
        <f>IF('MASTER data'!$B28="UTC",IF(MONTH('MASTER data'!$E28)=MONTH(G$4),'MASTER data'!$E28,""),"")</f>
        <v/>
      </c>
      <c r="H27" s="16">
        <f>IF(G27='MASTER data'!$E28,'MASTER data'!$H28,"")</f>
        <v>0</v>
      </c>
      <c r="I27" s="90" t="str">
        <f>IF('MASTER data'!$B28="UTC",IF(MONTH('MASTER data'!$E28)=MONTH(I$4),'MASTER data'!$E28,""),"")</f>
        <v/>
      </c>
      <c r="J27" s="16">
        <f>IF(I27='MASTER data'!$E28,'MASTER data'!$H28,"")</f>
        <v>0</v>
      </c>
      <c r="K27" s="90" t="str">
        <f>IF('MASTER data'!$B28="UTC",IF(MONTH('MASTER data'!$E28)=MONTH(K$4),'MASTER data'!$E28,""),"")</f>
        <v/>
      </c>
      <c r="L27" s="16">
        <f>IF(K27='MASTER data'!$E28,'MASTER data'!$H28,"")</f>
        <v>0</v>
      </c>
      <c r="M27" s="90" t="str">
        <f>IF('MASTER data'!$B28="UTC",IF(MONTH('MASTER data'!$E28)=MONTH(M$4),'MASTER data'!$E28,""),"")</f>
        <v/>
      </c>
      <c r="N27" s="16">
        <f>IF(M27='MASTER data'!$E28,'MASTER data'!$H28,"")</f>
        <v>0</v>
      </c>
      <c r="O27" s="90" t="str">
        <f>IF('MASTER data'!$B28="UTC",IF(MONTH('MASTER data'!$E28)=MONTH(O$4),'MASTER data'!$E28,""),"")</f>
        <v/>
      </c>
      <c r="P27" s="16">
        <f>IF(O27='MASTER data'!$E28,'MASTER data'!$H28,"")</f>
        <v>0</v>
      </c>
      <c r="Q27" s="90" t="str">
        <f>IF('MASTER data'!$B28="UTC",IF(MONTH('MASTER data'!$E28)=MONTH(Q$4),'MASTER data'!$E28,""),"")</f>
        <v/>
      </c>
      <c r="R27" s="16">
        <f>IF(Q27='MASTER data'!$E28,'MASTER data'!$H28,"")</f>
        <v>0</v>
      </c>
      <c r="S27" s="90" t="str">
        <f>IF('MASTER data'!$B28="UTC",IF(MONTH('MASTER data'!$E28)=MONTH(S$4),'MASTER data'!$E28,""),"")</f>
        <v/>
      </c>
      <c r="T27" s="16">
        <f>IF(S27='MASTER data'!$E28,'MASTER data'!$H28,"")</f>
        <v>0</v>
      </c>
      <c r="U27" s="90" t="str">
        <f>IF('MASTER data'!$B28="UTC",IF(MONTH('MASTER data'!$E28)=MONTH(U$4),'MASTER data'!$E28,""),"")</f>
        <v/>
      </c>
      <c r="V27" s="16">
        <f>IF(U27='MASTER data'!$E28,'MASTER data'!$H28,"")</f>
        <v>0</v>
      </c>
      <c r="W27" s="90" t="str">
        <f>IF('MASTER data'!$B28="UTC",IF(MONTH('MASTER data'!$E28)=MONTH(W$4),'MASTER data'!$E28,""),"")</f>
        <v/>
      </c>
      <c r="X27" s="16">
        <f>IF(W27='MASTER data'!$E28,'MASTER data'!$H28,"")</f>
        <v>0</v>
      </c>
      <c r="Y27" s="90" t="str">
        <f>IF('MASTER data'!$B28="UTC",IF(MONTH('MASTER data'!$E28)=MONTH(Y$4),'MASTER data'!$E28,""),"")</f>
        <v/>
      </c>
      <c r="Z27" s="16">
        <f>IF(Y27='MASTER data'!$E28,'MASTER data'!$H28,"")</f>
        <v>0</v>
      </c>
    </row>
    <row r="28" spans="1:26">
      <c r="A28" s="5"/>
      <c r="B28" s="4"/>
      <c r="C28" s="90" t="str">
        <f>IF('MASTER data'!$B29="UTC",IF(MONTH('MASTER data'!$E29)=MONTH(C$4),'MASTER data'!$E29,""),"")</f>
        <v/>
      </c>
      <c r="D28" s="16">
        <f>IF(C28='MASTER data'!$E29,'MASTER data'!$H29,"")</f>
        <v>0</v>
      </c>
      <c r="E28" s="90" t="str">
        <f>IF('MASTER data'!$B29="UTC",IF(MONTH('MASTER data'!$E29)=MONTH(E$4),'MASTER data'!$E29,""),"")</f>
        <v/>
      </c>
      <c r="F28" s="16">
        <f>IF(E28='MASTER data'!$E29,'MASTER data'!$H29,"")</f>
        <v>0</v>
      </c>
      <c r="G28" s="90" t="str">
        <f>IF('MASTER data'!$B29="UTC",IF(MONTH('MASTER data'!$E29)=MONTH(G$4),'MASTER data'!$E29,""),"")</f>
        <v/>
      </c>
      <c r="H28" s="16">
        <f>IF(G28='MASTER data'!$E29,'MASTER data'!$H29,"")</f>
        <v>0</v>
      </c>
      <c r="I28" s="90" t="str">
        <f>IF('MASTER data'!$B29="UTC",IF(MONTH('MASTER data'!$E29)=MONTH(I$4),'MASTER data'!$E29,""),"")</f>
        <v/>
      </c>
      <c r="J28" s="16">
        <f>IF(I28='MASTER data'!$E29,'MASTER data'!$H29,"")</f>
        <v>0</v>
      </c>
      <c r="K28" s="90" t="str">
        <f>IF('MASTER data'!$B29="UTC",IF(MONTH('MASTER data'!$E29)=MONTH(K$4),'MASTER data'!$E29,""),"")</f>
        <v/>
      </c>
      <c r="L28" s="16">
        <f>IF(K28='MASTER data'!$E29,'MASTER data'!$H29,"")</f>
        <v>0</v>
      </c>
      <c r="M28" s="90" t="str">
        <f>IF('MASTER data'!$B29="UTC",IF(MONTH('MASTER data'!$E29)=MONTH(M$4),'MASTER data'!$E29,""),"")</f>
        <v/>
      </c>
      <c r="N28" s="16">
        <f>IF(M28='MASTER data'!$E29,'MASTER data'!$H29,"")</f>
        <v>0</v>
      </c>
      <c r="O28" s="90" t="str">
        <f>IF('MASTER data'!$B29="UTC",IF(MONTH('MASTER data'!$E29)=MONTH(O$4),'MASTER data'!$E29,""),"")</f>
        <v/>
      </c>
      <c r="P28" s="16">
        <f>IF(O28='MASTER data'!$E29,'MASTER data'!$H29,"")</f>
        <v>0</v>
      </c>
      <c r="Q28" s="90" t="str">
        <f>IF('MASTER data'!$B29="UTC",IF(MONTH('MASTER data'!$E29)=MONTH(Q$4),'MASTER data'!$E29,""),"")</f>
        <v/>
      </c>
      <c r="R28" s="16">
        <f>IF(Q28='MASTER data'!$E29,'MASTER data'!$H29,"")</f>
        <v>0</v>
      </c>
      <c r="S28" s="90" t="str">
        <f>IF('MASTER data'!$B29="UTC",IF(MONTH('MASTER data'!$E29)=MONTH(S$4),'MASTER data'!$E29,""),"")</f>
        <v/>
      </c>
      <c r="T28" s="16">
        <f>IF(S28='MASTER data'!$E29,'MASTER data'!$H29,"")</f>
        <v>0</v>
      </c>
      <c r="U28" s="90" t="str">
        <f>IF('MASTER data'!$B29="UTC",IF(MONTH('MASTER data'!$E29)=MONTH(U$4),'MASTER data'!$E29,""),"")</f>
        <v/>
      </c>
      <c r="V28" s="16">
        <f>IF(U28='MASTER data'!$E29,'MASTER data'!$H29,"")</f>
        <v>0</v>
      </c>
      <c r="W28" s="90" t="str">
        <f>IF('MASTER data'!$B29="UTC",IF(MONTH('MASTER data'!$E29)=MONTH(W$4),'MASTER data'!$E29,""),"")</f>
        <v/>
      </c>
      <c r="X28" s="16">
        <f>IF(W28='MASTER data'!$E29,'MASTER data'!$H29,"")</f>
        <v>0</v>
      </c>
      <c r="Y28" s="90" t="str">
        <f>IF('MASTER data'!$B29="UTC",IF(MONTH('MASTER data'!$E29)=MONTH(Y$4),'MASTER data'!$E29,""),"")</f>
        <v/>
      </c>
      <c r="Z28" s="16">
        <f>IF(Y28='MASTER data'!$E29,'MASTER data'!$H29,"")</f>
        <v>0</v>
      </c>
    </row>
    <row r="29" spans="1:26">
      <c r="A29" s="5"/>
      <c r="B29" s="4"/>
      <c r="C29" s="90" t="str">
        <f>IF('MASTER data'!$B30="UTC",IF(MONTH('MASTER data'!$E30)=MONTH(C$4),'MASTER data'!$E30,""),"")</f>
        <v/>
      </c>
      <c r="D29" s="16">
        <f>IF(C29='MASTER data'!$E30,'MASTER data'!$H30,"")</f>
        <v>0</v>
      </c>
      <c r="E29" s="90" t="str">
        <f>IF('MASTER data'!$B30="UTC",IF(MONTH('MASTER data'!$E30)=MONTH(E$4),'MASTER data'!$E30,""),"")</f>
        <v/>
      </c>
      <c r="F29" s="16">
        <f>IF(E29='MASTER data'!$E30,'MASTER data'!$H30,"")</f>
        <v>0</v>
      </c>
      <c r="G29" s="90" t="str">
        <f>IF('MASTER data'!$B30="UTC",IF(MONTH('MASTER data'!$E30)=MONTH(G$4),'MASTER data'!$E30,""),"")</f>
        <v/>
      </c>
      <c r="H29" s="16">
        <f>IF(G29='MASTER data'!$E30,'MASTER data'!$H30,"")</f>
        <v>0</v>
      </c>
      <c r="I29" s="90" t="str">
        <f>IF('MASTER data'!$B30="UTC",IF(MONTH('MASTER data'!$E30)=MONTH(I$4),'MASTER data'!$E30,""),"")</f>
        <v/>
      </c>
      <c r="J29" s="16">
        <f>IF(I29='MASTER data'!$E30,'MASTER data'!$H30,"")</f>
        <v>0</v>
      </c>
      <c r="K29" s="90" t="str">
        <f>IF('MASTER data'!$B30="UTC",IF(MONTH('MASTER data'!$E30)=MONTH(K$4),'MASTER data'!$E30,""),"")</f>
        <v/>
      </c>
      <c r="L29" s="16">
        <f>IF(K29='MASTER data'!$E30,'MASTER data'!$H30,"")</f>
        <v>0</v>
      </c>
      <c r="M29" s="90" t="str">
        <f>IF('MASTER data'!$B30="UTC",IF(MONTH('MASTER data'!$E30)=MONTH(M$4),'MASTER data'!$E30,""),"")</f>
        <v/>
      </c>
      <c r="N29" s="16">
        <f>IF(M29='MASTER data'!$E30,'MASTER data'!$H30,"")</f>
        <v>0</v>
      </c>
      <c r="O29" s="90" t="str">
        <f>IF('MASTER data'!$B30="UTC",IF(MONTH('MASTER data'!$E30)=MONTH(O$4),'MASTER data'!$E30,""),"")</f>
        <v/>
      </c>
      <c r="P29" s="16">
        <f>IF(O29='MASTER data'!$E30,'MASTER data'!$H30,"")</f>
        <v>0</v>
      </c>
      <c r="Q29" s="90" t="str">
        <f>IF('MASTER data'!$B30="UTC",IF(MONTH('MASTER data'!$E30)=MONTH(Q$4),'MASTER data'!$E30,""),"")</f>
        <v/>
      </c>
      <c r="R29" s="16">
        <f>IF(Q29='MASTER data'!$E30,'MASTER data'!$H30,"")</f>
        <v>0</v>
      </c>
      <c r="S29" s="90" t="str">
        <f>IF('MASTER data'!$B30="UTC",IF(MONTH('MASTER data'!$E30)=MONTH(S$4),'MASTER data'!$E30,""),"")</f>
        <v/>
      </c>
      <c r="T29" s="16">
        <f>IF(S29='MASTER data'!$E30,'MASTER data'!$H30,"")</f>
        <v>0</v>
      </c>
      <c r="U29" s="90" t="str">
        <f>IF('MASTER data'!$B30="UTC",IF(MONTH('MASTER data'!$E30)=MONTH(U$4),'MASTER data'!$E30,""),"")</f>
        <v/>
      </c>
      <c r="V29" s="16">
        <f>IF(U29='MASTER data'!$E30,'MASTER data'!$H30,"")</f>
        <v>0</v>
      </c>
      <c r="W29" s="90" t="str">
        <f>IF('MASTER data'!$B30="UTC",IF(MONTH('MASTER data'!$E30)=MONTH(W$4),'MASTER data'!$E30,""),"")</f>
        <v/>
      </c>
      <c r="X29" s="16">
        <f>IF(W29='MASTER data'!$E30,'MASTER data'!$H30,"")</f>
        <v>0</v>
      </c>
      <c r="Y29" s="90" t="str">
        <f>IF('MASTER data'!$B30="UTC",IF(MONTH('MASTER data'!$E30)=MONTH(Y$4),'MASTER data'!$E30,""),"")</f>
        <v/>
      </c>
      <c r="Z29" s="16">
        <f>IF(Y29='MASTER data'!$E30,'MASTER data'!$H30,"")</f>
        <v>0</v>
      </c>
    </row>
    <row r="30" spans="1:26">
      <c r="A30" s="5"/>
      <c r="B30" s="4"/>
      <c r="C30" s="90" t="str">
        <f>IF('MASTER data'!$B31="UTC",IF(MONTH('MASTER data'!$E31)=MONTH(C$4),'MASTER data'!$E31,""),"")</f>
        <v/>
      </c>
      <c r="D30" s="16">
        <f>IF(C30='MASTER data'!$E31,'MASTER data'!$H31,"")</f>
        <v>0</v>
      </c>
      <c r="E30" s="90" t="str">
        <f>IF('MASTER data'!$B31="UTC",IF(MONTH('MASTER data'!$E31)=MONTH(E$4),'MASTER data'!$E31,""),"")</f>
        <v/>
      </c>
      <c r="F30" s="16">
        <f>IF(E30='MASTER data'!$E31,'MASTER data'!$H31,"")</f>
        <v>0</v>
      </c>
      <c r="G30" s="90" t="str">
        <f>IF('MASTER data'!$B31="UTC",IF(MONTH('MASTER data'!$E31)=MONTH(G$4),'MASTER data'!$E31,""),"")</f>
        <v/>
      </c>
      <c r="H30" s="16">
        <f>IF(G30='MASTER data'!$E31,'MASTER data'!$H31,"")</f>
        <v>0</v>
      </c>
      <c r="I30" s="90" t="str">
        <f>IF('MASTER data'!$B31="UTC",IF(MONTH('MASTER data'!$E31)=MONTH(I$4),'MASTER data'!$E31,""),"")</f>
        <v/>
      </c>
      <c r="J30" s="16">
        <f>IF(I30='MASTER data'!$E31,'MASTER data'!$H31,"")</f>
        <v>0</v>
      </c>
      <c r="K30" s="90" t="str">
        <f>IF('MASTER data'!$B31="UTC",IF(MONTH('MASTER data'!$E31)=MONTH(K$4),'MASTER data'!$E31,""),"")</f>
        <v/>
      </c>
      <c r="L30" s="16">
        <f>IF(K30='MASTER data'!$E31,'MASTER data'!$H31,"")</f>
        <v>0</v>
      </c>
      <c r="M30" s="90" t="str">
        <f>IF('MASTER data'!$B31="UTC",IF(MONTH('MASTER data'!$E31)=MONTH(M$4),'MASTER data'!$E31,""),"")</f>
        <v/>
      </c>
      <c r="N30" s="16">
        <f>IF(M30='MASTER data'!$E31,'MASTER data'!$H31,"")</f>
        <v>0</v>
      </c>
      <c r="O30" s="90" t="str">
        <f>IF('MASTER data'!$B31="UTC",IF(MONTH('MASTER data'!$E31)=MONTH(O$4),'MASTER data'!$E31,""),"")</f>
        <v/>
      </c>
      <c r="P30" s="16">
        <f>IF(O30='MASTER data'!$E31,'MASTER data'!$H31,"")</f>
        <v>0</v>
      </c>
      <c r="Q30" s="90" t="str">
        <f>IF('MASTER data'!$B31="UTC",IF(MONTH('MASTER data'!$E31)=MONTH(Q$4),'MASTER data'!$E31,""),"")</f>
        <v/>
      </c>
      <c r="R30" s="16">
        <f>IF(Q30='MASTER data'!$E31,'MASTER data'!$H31,"")</f>
        <v>0</v>
      </c>
      <c r="S30" s="90" t="str">
        <f>IF('MASTER data'!$B31="UTC",IF(MONTH('MASTER data'!$E31)=MONTH(S$4),'MASTER data'!$E31,""),"")</f>
        <v/>
      </c>
      <c r="T30" s="16">
        <f>IF(S30='MASTER data'!$E31,'MASTER data'!$H31,"")</f>
        <v>0</v>
      </c>
      <c r="U30" s="90" t="str">
        <f>IF('MASTER data'!$B31="UTC",IF(MONTH('MASTER data'!$E31)=MONTH(U$4),'MASTER data'!$E31,""),"")</f>
        <v/>
      </c>
      <c r="V30" s="16">
        <f>IF(U30='MASTER data'!$E31,'MASTER data'!$H31,"")</f>
        <v>0</v>
      </c>
      <c r="W30" s="90" t="str">
        <f>IF('MASTER data'!$B31="UTC",IF(MONTH('MASTER data'!$E31)=MONTH(W$4),'MASTER data'!$E31,""),"")</f>
        <v/>
      </c>
      <c r="X30" s="16">
        <f>IF(W30='MASTER data'!$E31,'MASTER data'!$H31,"")</f>
        <v>0</v>
      </c>
      <c r="Y30" s="90" t="str">
        <f>IF('MASTER data'!$B31="UTC",IF(MONTH('MASTER data'!$E31)=MONTH(Y$4),'MASTER data'!$E31,""),"")</f>
        <v/>
      </c>
      <c r="Z30" s="16">
        <f>IF(Y30='MASTER data'!$E31,'MASTER data'!$H31,"")</f>
        <v>0</v>
      </c>
    </row>
    <row r="31" spans="1:26">
      <c r="A31" s="5"/>
      <c r="B31" s="4"/>
      <c r="C31" s="90" t="str">
        <f>IF('MASTER data'!$B32="UTC",IF(MONTH('MASTER data'!$E32)=MONTH(C$4),'MASTER data'!$E32,""),"")</f>
        <v/>
      </c>
      <c r="D31" s="16">
        <f>IF(C31='MASTER data'!$E32,'MASTER data'!$H32,"")</f>
        <v>0</v>
      </c>
      <c r="E31" s="90" t="str">
        <f>IF('MASTER data'!$B32="UTC",IF(MONTH('MASTER data'!$E32)=MONTH(E$4),'MASTER data'!$E32,""),"")</f>
        <v/>
      </c>
      <c r="F31" s="16">
        <f>IF(E31='MASTER data'!$E32,'MASTER data'!$H32,"")</f>
        <v>0</v>
      </c>
      <c r="G31" s="90" t="str">
        <f>IF('MASTER data'!$B32="UTC",IF(MONTH('MASTER data'!$E32)=MONTH(G$4),'MASTER data'!$E32,""),"")</f>
        <v/>
      </c>
      <c r="H31" s="16">
        <f>IF(G31='MASTER data'!$E32,'MASTER data'!$H32,"")</f>
        <v>0</v>
      </c>
      <c r="I31" s="90" t="str">
        <f>IF('MASTER data'!$B32="UTC",IF(MONTH('MASTER data'!$E32)=MONTH(I$4),'MASTER data'!$E32,""),"")</f>
        <v/>
      </c>
      <c r="J31" s="16">
        <f>IF(I31='MASTER data'!$E32,'MASTER data'!$H32,"")</f>
        <v>0</v>
      </c>
      <c r="K31" s="90" t="str">
        <f>IF('MASTER data'!$B32="UTC",IF(MONTH('MASTER data'!$E32)=MONTH(K$4),'MASTER data'!$E32,""),"")</f>
        <v/>
      </c>
      <c r="L31" s="16">
        <f>IF(K31='MASTER data'!$E32,'MASTER data'!$H32,"")</f>
        <v>0</v>
      </c>
      <c r="M31" s="90" t="str">
        <f>IF('MASTER data'!$B32="UTC",IF(MONTH('MASTER data'!$E32)=MONTH(M$4),'MASTER data'!$E32,""),"")</f>
        <v/>
      </c>
      <c r="N31" s="16">
        <f>IF(M31='MASTER data'!$E32,'MASTER data'!$H32,"")</f>
        <v>0</v>
      </c>
      <c r="O31" s="90" t="str">
        <f>IF('MASTER data'!$B32="UTC",IF(MONTH('MASTER data'!$E32)=MONTH(O$4),'MASTER data'!$E32,""),"")</f>
        <v/>
      </c>
      <c r="P31" s="16">
        <f>IF(O31='MASTER data'!$E32,'MASTER data'!$H32,"")</f>
        <v>0</v>
      </c>
      <c r="Q31" s="90" t="str">
        <f>IF('MASTER data'!$B32="UTC",IF(MONTH('MASTER data'!$E32)=MONTH(Q$4),'MASTER data'!$E32,""),"")</f>
        <v/>
      </c>
      <c r="R31" s="16">
        <f>IF(Q31='MASTER data'!$E32,'MASTER data'!$H32,"")</f>
        <v>0</v>
      </c>
      <c r="S31" s="90" t="str">
        <f>IF('MASTER data'!$B32="UTC",IF(MONTH('MASTER data'!$E32)=MONTH(S$4),'MASTER data'!$E32,""),"")</f>
        <v/>
      </c>
      <c r="T31" s="16">
        <f>IF(S31='MASTER data'!$E32,'MASTER data'!$H32,"")</f>
        <v>0</v>
      </c>
      <c r="U31" s="90" t="str">
        <f>IF('MASTER data'!$B32="UTC",IF(MONTH('MASTER data'!$E32)=MONTH(U$4),'MASTER data'!$E32,""),"")</f>
        <v/>
      </c>
      <c r="V31" s="16">
        <f>IF(U31='MASTER data'!$E32,'MASTER data'!$H32,"")</f>
        <v>0</v>
      </c>
      <c r="W31" s="90" t="str">
        <f>IF('MASTER data'!$B32="UTC",IF(MONTH('MASTER data'!$E32)=MONTH(W$4),'MASTER data'!$E32,""),"")</f>
        <v/>
      </c>
      <c r="X31" s="16">
        <f>IF(W31='MASTER data'!$E32,'MASTER data'!$H32,"")</f>
        <v>0</v>
      </c>
      <c r="Y31" s="90" t="str">
        <f>IF('MASTER data'!$B32="UTC",IF(MONTH('MASTER data'!$E32)=MONTH(Y$4),'MASTER data'!$E32,""),"")</f>
        <v/>
      </c>
      <c r="Z31" s="16">
        <f>IF(Y31='MASTER data'!$E32,'MASTER data'!$H32,"")</f>
        <v>0</v>
      </c>
    </row>
    <row r="32" spans="1:26">
      <c r="A32" s="5"/>
      <c r="B32" s="4"/>
      <c r="C32" s="90" t="str">
        <f>IF('MASTER data'!$B33="UTC",IF(MONTH('MASTER data'!$E33)=MONTH(C$4),'MASTER data'!$E33,""),"")</f>
        <v/>
      </c>
      <c r="D32" s="16">
        <f>IF(C32='MASTER data'!$E33,'MASTER data'!$H33,"")</f>
        <v>0</v>
      </c>
      <c r="E32" s="90" t="str">
        <f>IF('MASTER data'!$B33="UTC",IF(MONTH('MASTER data'!$E33)=MONTH(E$4),'MASTER data'!$E33,""),"")</f>
        <v/>
      </c>
      <c r="F32" s="16">
        <f>IF(E32='MASTER data'!$E33,'MASTER data'!$H33,"")</f>
        <v>0</v>
      </c>
      <c r="G32" s="90" t="str">
        <f>IF('MASTER data'!$B33="UTC",IF(MONTH('MASTER data'!$E33)=MONTH(G$4),'MASTER data'!$E33,""),"")</f>
        <v/>
      </c>
      <c r="H32" s="16">
        <f>IF(G32='MASTER data'!$E33,'MASTER data'!$H33,"")</f>
        <v>0</v>
      </c>
      <c r="I32" s="90" t="str">
        <f>IF('MASTER data'!$B33="UTC",IF(MONTH('MASTER data'!$E33)=MONTH(I$4),'MASTER data'!$E33,""),"")</f>
        <v/>
      </c>
      <c r="J32" s="16">
        <f>IF(I32='MASTER data'!$E33,'MASTER data'!$H33,"")</f>
        <v>0</v>
      </c>
      <c r="K32" s="90" t="str">
        <f>IF('MASTER data'!$B33="UTC",IF(MONTH('MASTER data'!$E33)=MONTH(K$4),'MASTER data'!$E33,""),"")</f>
        <v/>
      </c>
      <c r="L32" s="16">
        <f>IF(K32='MASTER data'!$E33,'MASTER data'!$H33,"")</f>
        <v>0</v>
      </c>
      <c r="M32" s="90" t="str">
        <f>IF('MASTER data'!$B33="UTC",IF(MONTH('MASTER data'!$E33)=MONTH(M$4),'MASTER data'!$E33,""),"")</f>
        <v/>
      </c>
      <c r="N32" s="16">
        <f>IF(M32='MASTER data'!$E33,'MASTER data'!$H33,"")</f>
        <v>0</v>
      </c>
      <c r="O32" s="90" t="str">
        <f>IF('MASTER data'!$B33="UTC",IF(MONTH('MASTER data'!$E33)=MONTH(O$4),'MASTER data'!$E33,""),"")</f>
        <v/>
      </c>
      <c r="P32" s="16">
        <f>IF(O32='MASTER data'!$E33,'MASTER data'!$H33,"")</f>
        <v>0</v>
      </c>
      <c r="Q32" s="90" t="str">
        <f>IF('MASTER data'!$B33="UTC",IF(MONTH('MASTER data'!$E33)=MONTH(Q$4),'MASTER data'!$E33,""),"")</f>
        <v/>
      </c>
      <c r="R32" s="16">
        <f>IF(Q32='MASTER data'!$E33,'MASTER data'!$H33,"")</f>
        <v>0</v>
      </c>
      <c r="S32" s="90" t="str">
        <f>IF('MASTER data'!$B33="UTC",IF(MONTH('MASTER data'!$E33)=MONTH(S$4),'MASTER data'!$E33,""),"")</f>
        <v/>
      </c>
      <c r="T32" s="16">
        <f>IF(S32='MASTER data'!$E33,'MASTER data'!$H33,"")</f>
        <v>0</v>
      </c>
      <c r="U32" s="90" t="str">
        <f>IF('MASTER data'!$B33="UTC",IF(MONTH('MASTER data'!$E33)=MONTH(U$4),'MASTER data'!$E33,""),"")</f>
        <v/>
      </c>
      <c r="V32" s="16">
        <f>IF(U32='MASTER data'!$E33,'MASTER data'!$H33,"")</f>
        <v>0</v>
      </c>
      <c r="W32" s="90" t="str">
        <f>IF('MASTER data'!$B33="UTC",IF(MONTH('MASTER data'!$E33)=MONTH(W$4),'MASTER data'!$E33,""),"")</f>
        <v/>
      </c>
      <c r="X32" s="16">
        <f>IF(W32='MASTER data'!$E33,'MASTER data'!$H33,"")</f>
        <v>0</v>
      </c>
      <c r="Y32" s="90" t="str">
        <f>IF('MASTER data'!$B33="UTC",IF(MONTH('MASTER data'!$E33)=MONTH(Y$4),'MASTER data'!$E33,""),"")</f>
        <v/>
      </c>
      <c r="Z32" s="16">
        <f>IF(Y32='MASTER data'!$E33,'MASTER data'!$H33,"")</f>
        <v>0</v>
      </c>
    </row>
    <row r="33" spans="1:26">
      <c r="A33" s="5"/>
      <c r="B33" s="4"/>
      <c r="C33" s="90" t="str">
        <f>IF('MASTER data'!$B34="UTC",IF(MONTH('MASTER data'!$E34)=MONTH(C$4),'MASTER data'!$E34,""),"")</f>
        <v/>
      </c>
      <c r="D33" s="16">
        <f>IF(C33='MASTER data'!$E34,'MASTER data'!$H34,"")</f>
        <v>0</v>
      </c>
      <c r="E33" s="90" t="str">
        <f>IF('MASTER data'!$B34="UTC",IF(MONTH('MASTER data'!$E34)=MONTH(E$4),'MASTER data'!$E34,""),"")</f>
        <v/>
      </c>
      <c r="F33" s="16">
        <f>IF(E33='MASTER data'!$E34,'MASTER data'!$H34,"")</f>
        <v>0</v>
      </c>
      <c r="G33" s="90" t="str">
        <f>IF('MASTER data'!$B34="UTC",IF(MONTH('MASTER data'!$E34)=MONTH(G$4),'MASTER data'!$E34,""),"")</f>
        <v/>
      </c>
      <c r="H33" s="16">
        <f>IF(G33='MASTER data'!$E34,'MASTER data'!$H34,"")</f>
        <v>0</v>
      </c>
      <c r="I33" s="90" t="str">
        <f>IF('MASTER data'!$B34="UTC",IF(MONTH('MASTER data'!$E34)=MONTH(I$4),'MASTER data'!$E34,""),"")</f>
        <v/>
      </c>
      <c r="J33" s="16">
        <f>IF(I33='MASTER data'!$E34,'MASTER data'!$H34,"")</f>
        <v>0</v>
      </c>
      <c r="K33" s="90" t="str">
        <f>IF('MASTER data'!$B34="UTC",IF(MONTH('MASTER data'!$E34)=MONTH(K$4),'MASTER data'!$E34,""),"")</f>
        <v/>
      </c>
      <c r="L33" s="16">
        <f>IF(K33='MASTER data'!$E34,'MASTER data'!$H34,"")</f>
        <v>0</v>
      </c>
      <c r="M33" s="90" t="str">
        <f>IF('MASTER data'!$B34="UTC",IF(MONTH('MASTER data'!$E34)=MONTH(M$4),'MASTER data'!$E34,""),"")</f>
        <v/>
      </c>
      <c r="N33" s="16">
        <f>IF(M33='MASTER data'!$E34,'MASTER data'!$H34,"")</f>
        <v>0</v>
      </c>
      <c r="O33" s="90" t="str">
        <f>IF('MASTER data'!$B34="UTC",IF(MONTH('MASTER data'!$E34)=MONTH(O$4),'MASTER data'!$E34,""),"")</f>
        <v/>
      </c>
      <c r="P33" s="16">
        <f>IF(O33='MASTER data'!$E34,'MASTER data'!$H34,"")</f>
        <v>0</v>
      </c>
      <c r="Q33" s="90" t="str">
        <f>IF('MASTER data'!$B34="UTC",IF(MONTH('MASTER data'!$E34)=MONTH(Q$4),'MASTER data'!$E34,""),"")</f>
        <v/>
      </c>
      <c r="R33" s="16">
        <f>IF(Q33='MASTER data'!$E34,'MASTER data'!$H34,"")</f>
        <v>0</v>
      </c>
      <c r="S33" s="90" t="str">
        <f>IF('MASTER data'!$B34="UTC",IF(MONTH('MASTER data'!$E34)=MONTH(S$4),'MASTER data'!$E34,""),"")</f>
        <v/>
      </c>
      <c r="T33" s="16">
        <f>IF(S33='MASTER data'!$E34,'MASTER data'!$H34,"")</f>
        <v>0</v>
      </c>
      <c r="U33" s="90" t="str">
        <f>IF('MASTER data'!$B34="UTC",IF(MONTH('MASTER data'!$E34)=MONTH(U$4),'MASTER data'!$E34,""),"")</f>
        <v/>
      </c>
      <c r="V33" s="16">
        <f>IF(U33='MASTER data'!$E34,'MASTER data'!$H34,"")</f>
        <v>0</v>
      </c>
      <c r="W33" s="90" t="str">
        <f>IF('MASTER data'!$B34="UTC",IF(MONTH('MASTER data'!$E34)=MONTH(W$4),'MASTER data'!$E34,""),"")</f>
        <v/>
      </c>
      <c r="X33" s="16">
        <f>IF(W33='MASTER data'!$E34,'MASTER data'!$H34,"")</f>
        <v>0</v>
      </c>
      <c r="Y33" s="90" t="str">
        <f>IF('MASTER data'!$B34="UTC",IF(MONTH('MASTER data'!$E34)=MONTH(Y$4),'MASTER data'!$E34,""),"")</f>
        <v/>
      </c>
      <c r="Z33" s="16">
        <f>IF(Y33='MASTER data'!$E34,'MASTER data'!$H34,"")</f>
        <v>0</v>
      </c>
    </row>
    <row r="34" spans="1:26">
      <c r="A34" s="5"/>
      <c r="B34" s="4"/>
      <c r="C34" s="90" t="str">
        <f>IF('MASTER data'!$B35="UTC",IF(MONTH('MASTER data'!$E35)=MONTH(C$4),'MASTER data'!$E35,""),"")</f>
        <v/>
      </c>
      <c r="D34" s="16">
        <f>IF(C34='MASTER data'!$E35,'MASTER data'!$H35,"")</f>
        <v>0</v>
      </c>
      <c r="E34" s="90" t="str">
        <f>IF('MASTER data'!$B35="UTC",IF(MONTH('MASTER data'!$E35)=MONTH(E$4),'MASTER data'!$E35,""),"")</f>
        <v/>
      </c>
      <c r="F34" s="16">
        <f>IF(E34='MASTER data'!$E35,'MASTER data'!$H35,"")</f>
        <v>0</v>
      </c>
      <c r="G34" s="90" t="str">
        <f>IF('MASTER data'!$B35="UTC",IF(MONTH('MASTER data'!$E35)=MONTH(G$4),'MASTER data'!$E35,""),"")</f>
        <v/>
      </c>
      <c r="H34" s="16">
        <f>IF(G34='MASTER data'!$E35,'MASTER data'!$H35,"")</f>
        <v>0</v>
      </c>
      <c r="I34" s="90" t="str">
        <f>IF('MASTER data'!$B35="UTC",IF(MONTH('MASTER data'!$E35)=MONTH(I$4),'MASTER data'!$E35,""),"")</f>
        <v/>
      </c>
      <c r="J34" s="16">
        <f>IF(I34='MASTER data'!$E35,'MASTER data'!$H35,"")</f>
        <v>0</v>
      </c>
      <c r="K34" s="90" t="str">
        <f>IF('MASTER data'!$B35="UTC",IF(MONTH('MASTER data'!$E35)=MONTH(K$4),'MASTER data'!$E35,""),"")</f>
        <v/>
      </c>
      <c r="L34" s="16">
        <f>IF(K34='MASTER data'!$E35,'MASTER data'!$H35,"")</f>
        <v>0</v>
      </c>
      <c r="M34" s="90" t="str">
        <f>IF('MASTER data'!$B35="UTC",IF(MONTH('MASTER data'!$E35)=MONTH(M$4),'MASTER data'!$E35,""),"")</f>
        <v/>
      </c>
      <c r="N34" s="16">
        <f>IF(M34='MASTER data'!$E35,'MASTER data'!$H35,"")</f>
        <v>0</v>
      </c>
      <c r="O34" s="90" t="str">
        <f>IF('MASTER data'!$B35="UTC",IF(MONTH('MASTER data'!$E35)=MONTH(O$4),'MASTER data'!$E35,""),"")</f>
        <v/>
      </c>
      <c r="P34" s="16">
        <f>IF(O34='MASTER data'!$E35,'MASTER data'!$H35,"")</f>
        <v>0</v>
      </c>
      <c r="Q34" s="90" t="str">
        <f>IF('MASTER data'!$B35="UTC",IF(MONTH('MASTER data'!$E35)=MONTH(Q$4),'MASTER data'!$E35,""),"")</f>
        <v/>
      </c>
      <c r="R34" s="16">
        <f>IF(Q34='MASTER data'!$E35,'MASTER data'!$H35,"")</f>
        <v>0</v>
      </c>
      <c r="S34" s="90" t="str">
        <f>IF('MASTER data'!$B35="UTC",IF(MONTH('MASTER data'!$E35)=MONTH(S$4),'MASTER data'!$E35,""),"")</f>
        <v/>
      </c>
      <c r="T34" s="16">
        <f>IF(S34='MASTER data'!$E35,'MASTER data'!$H35,"")</f>
        <v>0</v>
      </c>
      <c r="U34" s="90" t="str">
        <f>IF('MASTER data'!$B35="UTC",IF(MONTH('MASTER data'!$E35)=MONTH(U$4),'MASTER data'!$E35,""),"")</f>
        <v/>
      </c>
      <c r="V34" s="16">
        <f>IF(U34='MASTER data'!$E35,'MASTER data'!$H35,"")</f>
        <v>0</v>
      </c>
      <c r="W34" s="90" t="str">
        <f>IF('MASTER data'!$B35="UTC",IF(MONTH('MASTER data'!$E35)=MONTH(W$4),'MASTER data'!$E35,""),"")</f>
        <v/>
      </c>
      <c r="X34" s="16">
        <f>IF(W34='MASTER data'!$E35,'MASTER data'!$H35,"")</f>
        <v>0</v>
      </c>
      <c r="Y34" s="90" t="str">
        <f>IF('MASTER data'!$B35="UTC",IF(MONTH('MASTER data'!$E35)=MONTH(Y$4),'MASTER data'!$E35,""),"")</f>
        <v/>
      </c>
      <c r="Z34" s="16">
        <f>IF(Y34='MASTER data'!$E35,'MASTER data'!$H35,"")</f>
        <v>0</v>
      </c>
    </row>
    <row r="35" spans="1:26">
      <c r="A35" s="5"/>
      <c r="B35" s="4"/>
      <c r="C35" s="90" t="str">
        <f>IF('MASTER data'!$B36="UTC",IF(MONTH('MASTER data'!$E36)=MONTH(C$4),'MASTER data'!$E36,""),"")</f>
        <v/>
      </c>
      <c r="D35" s="16">
        <f>IF(C35='MASTER data'!$E36,'MASTER data'!$H36,"")</f>
        <v>0</v>
      </c>
      <c r="E35" s="90" t="str">
        <f>IF('MASTER data'!$B36="UTC",IF(MONTH('MASTER data'!$E36)=MONTH(E$4),'MASTER data'!$E36,""),"")</f>
        <v/>
      </c>
      <c r="F35" s="16">
        <f>IF(E35='MASTER data'!$E36,'MASTER data'!$H36,"")</f>
        <v>0</v>
      </c>
      <c r="G35" s="90" t="str">
        <f>IF('MASTER data'!$B36="UTC",IF(MONTH('MASTER data'!$E36)=MONTH(G$4),'MASTER data'!$E36,""),"")</f>
        <v/>
      </c>
      <c r="H35" s="16">
        <f>IF(G35='MASTER data'!$E36,'MASTER data'!$H36,"")</f>
        <v>0</v>
      </c>
      <c r="I35" s="90" t="str">
        <f>IF('MASTER data'!$B36="UTC",IF(MONTH('MASTER data'!$E36)=MONTH(I$4),'MASTER data'!$E36,""),"")</f>
        <v/>
      </c>
      <c r="J35" s="16">
        <f>IF(I35='MASTER data'!$E36,'MASTER data'!$H36,"")</f>
        <v>0</v>
      </c>
      <c r="K35" s="90" t="str">
        <f>IF('MASTER data'!$B36="UTC",IF(MONTH('MASTER data'!$E36)=MONTH(K$4),'MASTER data'!$E36,""),"")</f>
        <v/>
      </c>
      <c r="L35" s="16">
        <f>IF(K35='MASTER data'!$E36,'MASTER data'!$H36,"")</f>
        <v>0</v>
      </c>
      <c r="M35" s="90" t="str">
        <f>IF('MASTER data'!$B36="UTC",IF(MONTH('MASTER data'!$E36)=MONTH(M$4),'MASTER data'!$E36,""),"")</f>
        <v/>
      </c>
      <c r="N35" s="16">
        <f>IF(M35='MASTER data'!$E36,'MASTER data'!$H36,"")</f>
        <v>0</v>
      </c>
      <c r="O35" s="90" t="str">
        <f>IF('MASTER data'!$B36="UTC",IF(MONTH('MASTER data'!$E36)=MONTH(O$4),'MASTER data'!$E36,""),"")</f>
        <v/>
      </c>
      <c r="P35" s="16">
        <f>IF(O35='MASTER data'!$E36,'MASTER data'!$H36,"")</f>
        <v>0</v>
      </c>
      <c r="Q35" s="90" t="str">
        <f>IF('MASTER data'!$B36="UTC",IF(MONTH('MASTER data'!$E36)=MONTH(Q$4),'MASTER data'!$E36,""),"")</f>
        <v/>
      </c>
      <c r="R35" s="16">
        <f>IF(Q35='MASTER data'!$E36,'MASTER data'!$H36,"")</f>
        <v>0</v>
      </c>
      <c r="S35" s="90" t="str">
        <f>IF('MASTER data'!$B36="UTC",IF(MONTH('MASTER data'!$E36)=MONTH(S$4),'MASTER data'!$E36,""),"")</f>
        <v/>
      </c>
      <c r="T35" s="16">
        <f>IF(S35='MASTER data'!$E36,'MASTER data'!$H36,"")</f>
        <v>0</v>
      </c>
      <c r="U35" s="90" t="str">
        <f>IF('MASTER data'!$B36="UTC",IF(MONTH('MASTER data'!$E36)=MONTH(U$4),'MASTER data'!$E36,""),"")</f>
        <v/>
      </c>
      <c r="V35" s="16">
        <f>IF(U35='MASTER data'!$E36,'MASTER data'!$H36,"")</f>
        <v>0</v>
      </c>
      <c r="W35" s="90" t="str">
        <f>IF('MASTER data'!$B36="UTC",IF(MONTH('MASTER data'!$E36)=MONTH(W$4),'MASTER data'!$E36,""),"")</f>
        <v/>
      </c>
      <c r="X35" s="16">
        <f>IF(W35='MASTER data'!$E36,'MASTER data'!$H36,"")</f>
        <v>0</v>
      </c>
      <c r="Y35" s="90" t="str">
        <f>IF('MASTER data'!$B36="UTC",IF(MONTH('MASTER data'!$E36)=MONTH(Y$4),'MASTER data'!$E36,""),"")</f>
        <v/>
      </c>
      <c r="Z35" s="16">
        <f>IF(Y35='MASTER data'!$E36,'MASTER data'!$H36,"")</f>
        <v>0</v>
      </c>
    </row>
    <row r="36" spans="1:26">
      <c r="A36" s="5"/>
      <c r="B36" s="4"/>
      <c r="C36" s="90" t="str">
        <f>IF('MASTER data'!$B37="UTC",IF(MONTH('MASTER data'!$E37)=MONTH(C$4),'MASTER data'!$E37,""),"")</f>
        <v/>
      </c>
      <c r="D36" s="16">
        <f>IF(C36='MASTER data'!$E37,'MASTER data'!$H37,"")</f>
        <v>0</v>
      </c>
      <c r="E36" s="90" t="str">
        <f>IF('MASTER data'!$B37="UTC",IF(MONTH('MASTER data'!$E37)=MONTH(E$4),'MASTER data'!$E37,""),"")</f>
        <v/>
      </c>
      <c r="F36" s="16">
        <f>IF(E36='MASTER data'!$E37,'MASTER data'!$H37,"")</f>
        <v>0</v>
      </c>
      <c r="G36" s="90" t="str">
        <f>IF('MASTER data'!$B37="UTC",IF(MONTH('MASTER data'!$E37)=MONTH(G$4),'MASTER data'!$E37,""),"")</f>
        <v/>
      </c>
      <c r="H36" s="16">
        <f>IF(G36='MASTER data'!$E37,'MASTER data'!$H37,"")</f>
        <v>0</v>
      </c>
      <c r="I36" s="90" t="str">
        <f>IF('MASTER data'!$B37="UTC",IF(MONTH('MASTER data'!$E37)=MONTH(I$4),'MASTER data'!$E37,""),"")</f>
        <v/>
      </c>
      <c r="J36" s="16">
        <f>IF(I36='MASTER data'!$E37,'MASTER data'!$H37,"")</f>
        <v>0</v>
      </c>
      <c r="K36" s="90" t="str">
        <f>IF('MASTER data'!$B37="UTC",IF(MONTH('MASTER data'!$E37)=MONTH(K$4),'MASTER data'!$E37,""),"")</f>
        <v/>
      </c>
      <c r="L36" s="16">
        <f>IF(K36='MASTER data'!$E37,'MASTER data'!$H37,"")</f>
        <v>0</v>
      </c>
      <c r="M36" s="90" t="str">
        <f>IF('MASTER data'!$B37="UTC",IF(MONTH('MASTER data'!$E37)=MONTH(M$4),'MASTER data'!$E37,""),"")</f>
        <v/>
      </c>
      <c r="N36" s="16">
        <f>IF(M36='MASTER data'!$E37,'MASTER data'!$H37,"")</f>
        <v>0</v>
      </c>
      <c r="O36" s="90" t="str">
        <f>IF('MASTER data'!$B37="UTC",IF(MONTH('MASTER data'!$E37)=MONTH(O$4),'MASTER data'!$E37,""),"")</f>
        <v/>
      </c>
      <c r="P36" s="16">
        <f>IF(O36='MASTER data'!$E37,'MASTER data'!$H37,"")</f>
        <v>0</v>
      </c>
      <c r="Q36" s="90" t="str">
        <f>IF('MASTER data'!$B37="UTC",IF(MONTH('MASTER data'!$E37)=MONTH(Q$4),'MASTER data'!$E37,""),"")</f>
        <v/>
      </c>
      <c r="R36" s="16">
        <f>IF(Q36='MASTER data'!$E37,'MASTER data'!$H37,"")</f>
        <v>0</v>
      </c>
      <c r="S36" s="90" t="str">
        <f>IF('MASTER data'!$B37="UTC",IF(MONTH('MASTER data'!$E37)=MONTH(S$4),'MASTER data'!$E37,""),"")</f>
        <v/>
      </c>
      <c r="T36" s="16">
        <f>IF(S36='MASTER data'!$E37,'MASTER data'!$H37,"")</f>
        <v>0</v>
      </c>
      <c r="U36" s="90" t="str">
        <f>IF('MASTER data'!$B37="UTC",IF(MONTH('MASTER data'!$E37)=MONTH(U$4),'MASTER data'!$E37,""),"")</f>
        <v/>
      </c>
      <c r="V36" s="16">
        <f>IF(U36='MASTER data'!$E37,'MASTER data'!$H37,"")</f>
        <v>0</v>
      </c>
      <c r="W36" s="90" t="str">
        <f>IF('MASTER data'!$B37="UTC",IF(MONTH('MASTER data'!$E37)=MONTH(W$4),'MASTER data'!$E37,""),"")</f>
        <v/>
      </c>
      <c r="X36" s="16">
        <f>IF(W36='MASTER data'!$E37,'MASTER data'!$H37,"")</f>
        <v>0</v>
      </c>
      <c r="Y36" s="90" t="str">
        <f>IF('MASTER data'!$B37="UTC",IF(MONTH('MASTER data'!$E37)=MONTH(Y$4),'MASTER data'!$E37,""),"")</f>
        <v/>
      </c>
      <c r="Z36" s="16">
        <f>IF(Y36='MASTER data'!$E37,'MASTER data'!$H37,"")</f>
        <v>0</v>
      </c>
    </row>
    <row r="37" spans="1:26" ht="15.75" thickBot="1">
      <c r="A37" s="7"/>
      <c r="B37" s="24"/>
      <c r="C37" s="90" t="str">
        <f>IF('MASTER data'!$B38="UTC",IF(MONTH('MASTER data'!$E38)=MONTH(C$4),'MASTER data'!$E38,""),"")</f>
        <v/>
      </c>
      <c r="D37" s="16">
        <f>IF(C37='MASTER data'!$E38,'MASTER data'!$H38,"")</f>
        <v>0</v>
      </c>
      <c r="E37" s="90" t="str">
        <f>IF('MASTER data'!$B38="UTC",IF(MONTH('MASTER data'!$E38)=MONTH(E$4),'MASTER data'!$E38,""),"")</f>
        <v/>
      </c>
      <c r="F37" s="16">
        <f>IF(E37='MASTER data'!$E38,'MASTER data'!$H38,"")</f>
        <v>0</v>
      </c>
      <c r="G37" s="90" t="str">
        <f>IF('MASTER data'!$B38="UTC",IF(MONTH('MASTER data'!$E38)=MONTH(G$4),'MASTER data'!$E38,""),"")</f>
        <v/>
      </c>
      <c r="H37" s="16">
        <f>IF(G37='MASTER data'!$E38,'MASTER data'!$H38,"")</f>
        <v>0</v>
      </c>
      <c r="I37" s="90" t="str">
        <f>IF('MASTER data'!$B38="UTC",IF(MONTH('MASTER data'!$E38)=MONTH(I$4),'MASTER data'!$E38,""),"")</f>
        <v/>
      </c>
      <c r="J37" s="16">
        <f>IF(I37='MASTER data'!$E38,'MASTER data'!$H38,"")</f>
        <v>0</v>
      </c>
      <c r="K37" s="90" t="str">
        <f>IF('MASTER data'!$B38="UTC",IF(MONTH('MASTER data'!$E38)=MONTH(K$4),'MASTER data'!$E38,""),"")</f>
        <v/>
      </c>
      <c r="L37" s="16">
        <f>IF(K37='MASTER data'!$E38,'MASTER data'!$H38,"")</f>
        <v>0</v>
      </c>
      <c r="M37" s="90" t="str">
        <f>IF('MASTER data'!$B38="UTC",IF(MONTH('MASTER data'!$E38)=MONTH(M$4),'MASTER data'!$E38,""),"")</f>
        <v/>
      </c>
      <c r="N37" s="16">
        <f>IF(M37='MASTER data'!$E38,'MASTER data'!$H38,"")</f>
        <v>0</v>
      </c>
      <c r="O37" s="90" t="str">
        <f>IF('MASTER data'!$B38="UTC",IF(MONTH('MASTER data'!$E38)=MONTH(O$4),'MASTER data'!$E38,""),"")</f>
        <v/>
      </c>
      <c r="P37" s="16">
        <f>IF(O37='MASTER data'!$E38,'MASTER data'!$H38,"")</f>
        <v>0</v>
      </c>
      <c r="Q37" s="90" t="str">
        <f>IF('MASTER data'!$B38="UTC",IF(MONTH('MASTER data'!$E38)=MONTH(Q$4),'MASTER data'!$E38,""),"")</f>
        <v/>
      </c>
      <c r="R37" s="16">
        <f>IF(Q37='MASTER data'!$E38,'MASTER data'!$H38,"")</f>
        <v>0</v>
      </c>
      <c r="S37" s="90" t="str">
        <f>IF('MASTER data'!$B38="UTC",IF(MONTH('MASTER data'!$E38)=MONTH(S$4),'MASTER data'!$E38,""),"")</f>
        <v/>
      </c>
      <c r="T37" s="16">
        <f>IF(S37='MASTER data'!$E38,'MASTER data'!$H38,"")</f>
        <v>0</v>
      </c>
      <c r="U37" s="90" t="str">
        <f>IF('MASTER data'!$B38="UTC",IF(MONTH('MASTER data'!$E38)=MONTH(U$4),'MASTER data'!$E38,""),"")</f>
        <v/>
      </c>
      <c r="V37" s="16">
        <f>IF(U37='MASTER data'!$E38,'MASTER data'!$H38,"")</f>
        <v>0</v>
      </c>
      <c r="W37" s="90" t="str">
        <f>IF('MASTER data'!$B38="UTC",IF(MONTH('MASTER data'!$E38)=MONTH(W$4),'MASTER data'!$E38,""),"")</f>
        <v/>
      </c>
      <c r="X37" s="16">
        <f>IF(W37='MASTER data'!$E38,'MASTER data'!$H38,"")</f>
        <v>0</v>
      </c>
      <c r="Y37" s="90" t="str">
        <f>IF('MASTER data'!$B38="UTC",IF(MONTH('MASTER data'!$E38)=MONTH(Y$4),'MASTER data'!$E38,""),"")</f>
        <v/>
      </c>
      <c r="Z37" s="16">
        <f>IF(Y37='MASTER data'!$E38,'MASTER data'!$H38,"")</f>
        <v>0</v>
      </c>
    </row>
  </sheetData>
  <mergeCells count="26">
    <mergeCell ref="C3:Z3"/>
    <mergeCell ref="AA3:AX3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Y4:Z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:AX3"/>
    </sheetView>
  </sheetViews>
  <sheetFormatPr defaultRowHeight="15"/>
  <cols>
    <col min="1" max="1" width="7.28515625" customWidth="1"/>
    <col min="2" max="2" width="34" customWidth="1"/>
    <col min="3" max="3" width="12.5703125" customWidth="1"/>
    <col min="4" max="4" width="11.7109375" customWidth="1"/>
    <col min="5" max="5" width="10.42578125" bestFit="1" customWidth="1"/>
    <col min="11" max="11" width="11.140625" customWidth="1"/>
    <col min="12" max="12" width="10.42578125" customWidth="1"/>
    <col min="13" max="13" width="11.42578125" customWidth="1"/>
    <col min="14" max="14" width="12" customWidth="1"/>
  </cols>
  <sheetData>
    <row r="1" spans="1:50" ht="18.75">
      <c r="A1" s="2" t="s">
        <v>3</v>
      </c>
    </row>
    <row r="2" spans="1:50" ht="18.75">
      <c r="A2" s="2" t="s">
        <v>7</v>
      </c>
      <c r="B2" s="2"/>
    </row>
    <row r="3" spans="1:50" ht="19.5" thickBot="1">
      <c r="A3" s="2"/>
      <c r="B3" s="2"/>
      <c r="C3" s="97">
        <v>2011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>
        <v>2012</v>
      </c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50">
      <c r="A4" s="31" t="s">
        <v>0</v>
      </c>
      <c r="B4" s="32" t="s">
        <v>1</v>
      </c>
      <c r="C4" s="95">
        <v>40544</v>
      </c>
      <c r="D4" s="96"/>
      <c r="E4" s="95">
        <v>40576</v>
      </c>
      <c r="F4" s="96"/>
      <c r="G4" s="95">
        <v>40608</v>
      </c>
      <c r="H4" s="96"/>
      <c r="I4" s="95">
        <v>40640</v>
      </c>
      <c r="J4" s="96"/>
      <c r="K4" s="95">
        <v>40672</v>
      </c>
      <c r="L4" s="96"/>
      <c r="M4" s="95">
        <v>40704</v>
      </c>
      <c r="N4" s="96"/>
      <c r="O4" s="95">
        <v>40736</v>
      </c>
      <c r="P4" s="96"/>
      <c r="Q4" s="95">
        <v>40768</v>
      </c>
      <c r="R4" s="96"/>
      <c r="S4" s="95">
        <v>40800</v>
      </c>
      <c r="T4" s="96"/>
      <c r="U4" s="95">
        <v>40832</v>
      </c>
      <c r="V4" s="96"/>
      <c r="W4" s="95">
        <v>40864</v>
      </c>
      <c r="X4" s="96"/>
      <c r="Y4" s="95">
        <v>40896</v>
      </c>
      <c r="Z4" s="96"/>
    </row>
    <row r="5" spans="1:50" ht="56.25" customHeight="1" thickBot="1">
      <c r="A5" s="33"/>
      <c r="B5" s="44"/>
      <c r="C5" s="33" t="s">
        <v>11</v>
      </c>
      <c r="D5" s="45" t="s">
        <v>2</v>
      </c>
      <c r="E5" s="33" t="s">
        <v>11</v>
      </c>
      <c r="F5" s="45" t="s">
        <v>2</v>
      </c>
      <c r="G5" s="33" t="s">
        <v>11</v>
      </c>
      <c r="H5" s="45" t="s">
        <v>2</v>
      </c>
      <c r="I5" s="33" t="s">
        <v>11</v>
      </c>
      <c r="J5" s="45" t="s">
        <v>2</v>
      </c>
      <c r="K5" s="33" t="s">
        <v>11</v>
      </c>
      <c r="L5" s="45" t="s">
        <v>2</v>
      </c>
      <c r="M5" s="33" t="s">
        <v>11</v>
      </c>
      <c r="N5" s="45" t="s">
        <v>2</v>
      </c>
      <c r="O5" s="33" t="s">
        <v>11</v>
      </c>
      <c r="P5" s="45" t="s">
        <v>2</v>
      </c>
      <c r="Q5" s="33" t="s">
        <v>11</v>
      </c>
      <c r="R5" s="45" t="s">
        <v>2</v>
      </c>
      <c r="S5" s="33" t="s">
        <v>11</v>
      </c>
      <c r="T5" s="45" t="s">
        <v>2</v>
      </c>
      <c r="U5" s="34" t="s">
        <v>11</v>
      </c>
      <c r="V5" s="46" t="s">
        <v>2</v>
      </c>
      <c r="W5" s="47" t="s">
        <v>11</v>
      </c>
      <c r="X5" s="45" t="s">
        <v>2</v>
      </c>
      <c r="Y5" s="47" t="s">
        <v>11</v>
      </c>
      <c r="Z5" s="45" t="s">
        <v>2</v>
      </c>
    </row>
    <row r="6" spans="1:50" ht="28.5" customHeight="1">
      <c r="A6" s="15">
        <v>1</v>
      </c>
      <c r="B6" s="16">
        <f>IF('MASTER data'!B7="rilG",'MASTER data'!C7,0)</f>
        <v>0</v>
      </c>
      <c r="C6" s="90" t="str">
        <f>IF('MASTER data'!$B7="RIL",IF(MONTH('MASTER data'!$E7)=MONTH(C$4),'MASTER data'!$E7,""),"")</f>
        <v/>
      </c>
      <c r="D6" s="16" t="str">
        <f>IF(C6='MASTER data'!$E7,'MASTER data'!$G7,"")</f>
        <v/>
      </c>
      <c r="E6" s="90" t="str">
        <f>IF('MASTER data'!$B7="RIL",IF(MONTH('MASTER data'!$E7)=MONTH(E$4),'MASTER data'!$E7,""),"")</f>
        <v/>
      </c>
      <c r="F6" s="16" t="str">
        <f>IF(E6='MASTER data'!$E7,'MASTER data'!$G7,"")</f>
        <v/>
      </c>
      <c r="G6" s="90" t="str">
        <f>IF('MASTER data'!$B7="RIL",IF(MONTH('MASTER data'!$E7)=MONTH(G$4),'MASTER data'!$E7,""),"")</f>
        <v/>
      </c>
      <c r="H6" s="16" t="str">
        <f>IF(G6='MASTER data'!$E7,'MASTER data'!$G7,"")</f>
        <v/>
      </c>
      <c r="I6" s="90" t="str">
        <f>IF('MASTER data'!$B7="RIL",IF(MONTH('MASTER data'!$E7)=MONTH(I$4),'MASTER data'!$E7,""),"")</f>
        <v/>
      </c>
      <c r="J6" s="16" t="str">
        <f>IF(I6='MASTER data'!$E7,'MASTER data'!$G7,"")</f>
        <v/>
      </c>
      <c r="K6" s="90" t="str">
        <f>IF('MASTER data'!$B7="RIL",IF(MONTH('MASTER data'!$E7)=MONTH(K$4),'MASTER data'!$E7,""),"")</f>
        <v/>
      </c>
      <c r="L6" s="16" t="str">
        <f>IF(K6='MASTER data'!$E7,'MASTER data'!$G7,"")</f>
        <v/>
      </c>
      <c r="M6" s="90" t="str">
        <f>IF('MASTER data'!$B7="RIL",IF(MONTH('MASTER data'!$E7)=MONTH(M$4),'MASTER data'!$E7,""),"")</f>
        <v/>
      </c>
      <c r="N6" s="16" t="str">
        <f>IF(M6='MASTER data'!$E7,'MASTER data'!$G7,"")</f>
        <v/>
      </c>
      <c r="O6" s="90" t="str">
        <f>IF('MASTER data'!$B7="RIL",IF(MONTH('MASTER data'!$E7)=MONTH(O$4),'MASTER data'!$E7,""),"")</f>
        <v/>
      </c>
      <c r="P6" s="16" t="str">
        <f>IF(O6='MASTER data'!$E7,'MASTER data'!$G7,"")</f>
        <v/>
      </c>
      <c r="Q6" s="90" t="str">
        <f>IF('MASTER data'!$B7="RIL",IF(MONTH('MASTER data'!$E7)=MONTH(Q$4),'MASTER data'!$E7,""),"")</f>
        <v/>
      </c>
      <c r="R6" s="16" t="str">
        <f>IF(Q6='MASTER data'!$E7,'MASTER data'!$G7,"")</f>
        <v/>
      </c>
      <c r="S6" s="90" t="str">
        <f>IF('MASTER data'!$B7="RIL",IF(MONTH('MASTER data'!$E7)=MONTH(S$4),'MASTER data'!$E7,""),"")</f>
        <v/>
      </c>
      <c r="T6" s="16" t="str">
        <f>IF(S6='MASTER data'!$E7,'MASTER data'!$G7,"")</f>
        <v/>
      </c>
      <c r="U6" s="90" t="str">
        <f>IF('MASTER data'!$B7="RIL",IF(MONTH('MASTER data'!$E7)=MONTH(U$4),'MASTER data'!$E7,""),"")</f>
        <v/>
      </c>
      <c r="V6" s="16" t="str">
        <f>IF(U6='MASTER data'!$E7,'MASTER data'!$G7,"")</f>
        <v/>
      </c>
      <c r="W6" s="90" t="str">
        <f>IF('MASTER data'!$B7="RIL",IF(MONTH('MASTER data'!$E7)=MONTH(W$4),'MASTER data'!$E7,""),"")</f>
        <v/>
      </c>
      <c r="X6" s="16" t="str">
        <f>IF(W6='MASTER data'!$E7,'MASTER data'!$G7,"")</f>
        <v/>
      </c>
      <c r="Y6" s="90" t="str">
        <f>IF('MASTER data'!$B7="RIL",IF(MONTH('MASTER data'!$E7)=MONTH(Y$4),'MASTER data'!$E7,""),"")</f>
        <v/>
      </c>
      <c r="Z6" s="16" t="str">
        <f>IF(Y6='MASTER data'!$E7,'MASTER data'!$G7,"")</f>
        <v/>
      </c>
    </row>
    <row r="7" spans="1:50">
      <c r="A7" s="5"/>
      <c r="B7" s="6"/>
      <c r="C7" s="90" t="str">
        <f>IF('MASTER data'!$B8="RIL",IF(MONTH('MASTER data'!$E8)=MONTH(C$4),'MASTER data'!$E8,""),"")</f>
        <v/>
      </c>
      <c r="D7" s="16" t="str">
        <f>IF(C7='MASTER data'!$E8,'MASTER data'!$G8,"")</f>
        <v/>
      </c>
      <c r="E7" s="90" t="str">
        <f>IF('MASTER data'!$B8="RIL",IF(MONTH('MASTER data'!$E8)=MONTH(E$4),'MASTER data'!$E8,""),"")</f>
        <v/>
      </c>
      <c r="F7" s="16" t="str">
        <f>IF(E7='MASTER data'!$E8,'MASTER data'!$G8,"")</f>
        <v/>
      </c>
      <c r="G7" s="90" t="str">
        <f>IF('MASTER data'!$B8="RIL",IF(MONTH('MASTER data'!$E8)=MONTH(G$4),'MASTER data'!$E8,""),"")</f>
        <v/>
      </c>
      <c r="H7" s="16" t="str">
        <f>IF(G7='MASTER data'!$E8,'MASTER data'!$G8,"")</f>
        <v/>
      </c>
      <c r="I7" s="90" t="str">
        <f>IF('MASTER data'!$B8="RIL",IF(MONTH('MASTER data'!$E8)=MONTH(I$4),'MASTER data'!$E8,""),"")</f>
        <v/>
      </c>
      <c r="J7" s="16" t="str">
        <f>IF(I7='MASTER data'!$E8,'MASTER data'!$G8,"")</f>
        <v/>
      </c>
      <c r="K7" s="90" t="str">
        <f>IF('MASTER data'!$B8="RIL",IF(MONTH('MASTER data'!$E8)=MONTH(K$4),'MASTER data'!$E8,""),"")</f>
        <v/>
      </c>
      <c r="L7" s="16" t="str">
        <f>IF(K7='MASTER data'!$E8,'MASTER data'!$G8,"")</f>
        <v/>
      </c>
      <c r="M7" s="90" t="str">
        <f>IF('MASTER data'!$B8="RIL",IF(MONTH('MASTER data'!$E8)=MONTH(M$4),'MASTER data'!$E8,""),"")</f>
        <v/>
      </c>
      <c r="N7" s="16" t="str">
        <f>IF(M7='MASTER data'!$E8,'MASTER data'!$G8,"")</f>
        <v/>
      </c>
      <c r="O7" s="90" t="str">
        <f>IF('MASTER data'!$B8="RIL",IF(MONTH('MASTER data'!$E8)=MONTH(O$4),'MASTER data'!$E8,""),"")</f>
        <v/>
      </c>
      <c r="P7" s="16" t="str">
        <f>IF(O7='MASTER data'!$E8,'MASTER data'!$G8,"")</f>
        <v/>
      </c>
      <c r="Q7" s="90" t="str">
        <f>IF('MASTER data'!$B8="RIL",IF(MONTH('MASTER data'!$E8)=MONTH(Q$4),'MASTER data'!$E8,""),"")</f>
        <v/>
      </c>
      <c r="R7" s="16" t="str">
        <f>IF(Q7='MASTER data'!$E8,'MASTER data'!$G8,"")</f>
        <v/>
      </c>
      <c r="S7" s="90" t="str">
        <f>IF('MASTER data'!$B8="RIL",IF(MONTH('MASTER data'!$E8)=MONTH(S$4),'MASTER data'!$E8,""),"")</f>
        <v/>
      </c>
      <c r="T7" s="16" t="str">
        <f>IF(S7='MASTER data'!$E8,'MASTER data'!$G8,"")</f>
        <v/>
      </c>
      <c r="U7" s="90" t="str">
        <f>IF('MASTER data'!$B8="RIL",IF(MONTH('MASTER data'!$E8)=MONTH(U$4),'MASTER data'!$E8,""),"")</f>
        <v/>
      </c>
      <c r="V7" s="16" t="str">
        <f>IF(U7='MASTER data'!$E8,'MASTER data'!$G8,"")</f>
        <v/>
      </c>
      <c r="W7" s="90" t="str">
        <f>IF('MASTER data'!$B8="RIL",IF(MONTH('MASTER data'!$E8)=MONTH(W$4),'MASTER data'!$E8,""),"")</f>
        <v/>
      </c>
      <c r="X7" s="16" t="str">
        <f>IF(W7='MASTER data'!$E8,'MASTER data'!$G8,"")</f>
        <v/>
      </c>
      <c r="Y7" s="90" t="str">
        <f>IF('MASTER data'!$B8="RIL",IF(MONTH('MASTER data'!$E8)=MONTH(Y$4),'MASTER data'!$E8,""),"")</f>
        <v/>
      </c>
      <c r="Z7" s="16" t="str">
        <f>IF(Y7='MASTER data'!$E8,'MASTER data'!$G8,"")</f>
        <v/>
      </c>
    </row>
    <row r="8" spans="1:50">
      <c r="A8" s="5"/>
      <c r="B8" s="6"/>
      <c r="C8" s="90" t="str">
        <f>IF('MASTER data'!$B9="RIL",IF(MONTH('MASTER data'!$E9)=MONTH(C$4),'MASTER data'!$E9,""),"")</f>
        <v/>
      </c>
      <c r="D8" s="16" t="str">
        <f>IF(C8='MASTER data'!$E9,'MASTER data'!$G9,"")</f>
        <v/>
      </c>
      <c r="E8" s="90" t="str">
        <f>IF('MASTER data'!$B9="RIL",IF(MONTH('MASTER data'!$E9)=MONTH(E$4),'MASTER data'!$E9,""),"")</f>
        <v/>
      </c>
      <c r="F8" s="16" t="str">
        <f>IF(E8='MASTER data'!$E9,'MASTER data'!$G9,"")</f>
        <v/>
      </c>
      <c r="G8" s="90" t="str">
        <f>IF('MASTER data'!$B9="RIL",IF(MONTH('MASTER data'!$E9)=MONTH(G$4),'MASTER data'!$E9,""),"")</f>
        <v/>
      </c>
      <c r="H8" s="16" t="str">
        <f>IF(G8='MASTER data'!$E9,'MASTER data'!$G9,"")</f>
        <v/>
      </c>
      <c r="I8" s="90" t="str">
        <f>IF('MASTER data'!$B9="RIL",IF(MONTH('MASTER data'!$E9)=MONTH(I$4),'MASTER data'!$E9,""),"")</f>
        <v/>
      </c>
      <c r="J8" s="16" t="str">
        <f>IF(I8='MASTER data'!$E9,'MASTER data'!$G9,"")</f>
        <v/>
      </c>
      <c r="K8" s="90" t="str">
        <f>IF('MASTER data'!$B9="RIL",IF(MONTH('MASTER data'!$E9)=MONTH(K$4),'MASTER data'!$E9,""),"")</f>
        <v/>
      </c>
      <c r="L8" s="16" t="str">
        <f>IF(K8='MASTER data'!$E9,'MASTER data'!$G9,"")</f>
        <v/>
      </c>
      <c r="M8" s="90" t="str">
        <f>IF('MASTER data'!$B9="RIL",IF(MONTH('MASTER data'!$E9)=MONTH(M$4),'MASTER data'!$E9,""),"")</f>
        <v/>
      </c>
      <c r="N8" s="16" t="str">
        <f>IF(M8='MASTER data'!$E9,'MASTER data'!$G9,"")</f>
        <v/>
      </c>
      <c r="O8" s="90" t="str">
        <f>IF('MASTER data'!$B9="RIL",IF(MONTH('MASTER data'!$E9)=MONTH(O$4),'MASTER data'!$E9,""),"")</f>
        <v/>
      </c>
      <c r="P8" s="16" t="str">
        <f>IF(O8='MASTER data'!$E9,'MASTER data'!$G9,"")</f>
        <v/>
      </c>
      <c r="Q8" s="90" t="str">
        <f>IF('MASTER data'!$B9="RIL",IF(MONTH('MASTER data'!$E9)=MONTH(Q$4),'MASTER data'!$E9,""),"")</f>
        <v/>
      </c>
      <c r="R8" s="16" t="str">
        <f>IF(Q8='MASTER data'!$E9,'MASTER data'!$G9,"")</f>
        <v/>
      </c>
      <c r="S8" s="90" t="str">
        <f>IF('MASTER data'!$B9="RIL",IF(MONTH('MASTER data'!$E9)=MONTH(S$4),'MASTER data'!$E9,""),"")</f>
        <v/>
      </c>
      <c r="T8" s="16" t="str">
        <f>IF(S8='MASTER data'!$E9,'MASTER data'!$G9,"")</f>
        <v/>
      </c>
      <c r="U8" s="90" t="str">
        <f>IF('MASTER data'!$B9="RIL",IF(MONTH('MASTER data'!$E9)=MONTH(U$4),'MASTER data'!$E9,""),"")</f>
        <v/>
      </c>
      <c r="V8" s="16" t="str">
        <f>IF(U8='MASTER data'!$E9,'MASTER data'!$G9,"")</f>
        <v/>
      </c>
      <c r="W8" s="90" t="str">
        <f>IF('MASTER data'!$B9="RIL",IF(MONTH('MASTER data'!$E9)=MONTH(W$4),'MASTER data'!$E9,""),"")</f>
        <v/>
      </c>
      <c r="X8" s="16" t="str">
        <f>IF(W8='MASTER data'!$E9,'MASTER data'!$G9,"")</f>
        <v/>
      </c>
      <c r="Y8" s="90" t="str">
        <f>IF('MASTER data'!$B9="RIL",IF(MONTH('MASTER data'!$E9)=MONTH(Y$4),'MASTER data'!$E9,""),"")</f>
        <v/>
      </c>
      <c r="Z8" s="16" t="str">
        <f>IF(Y8='MASTER data'!$E9,'MASTER data'!$G9,"")</f>
        <v/>
      </c>
    </row>
    <row r="9" spans="1:50">
      <c r="A9" s="5"/>
      <c r="B9" s="6"/>
      <c r="C9" s="90" t="str">
        <f>IF('MASTER data'!$B10="RIL",IF(MONTH('MASTER data'!$E10)=MONTH(C$4),'MASTER data'!$E10,""),"")</f>
        <v/>
      </c>
      <c r="D9" s="16" t="str">
        <f>IF(C9='MASTER data'!$E10,'MASTER data'!$G10,"")</f>
        <v/>
      </c>
      <c r="E9" s="90">
        <f>IF('MASTER data'!$B10="RIL",IF(MONTH('MASTER data'!$E10)=MONTH(E$4),'MASTER data'!$E10,""),"")</f>
        <v>40941</v>
      </c>
      <c r="F9" s="16">
        <f>IF(E9='MASTER data'!$E10,'MASTER data'!$G10,"")</f>
        <v>0</v>
      </c>
      <c r="G9" s="90" t="str">
        <f>IF('MASTER data'!$B10="RIL",IF(MONTH('MASTER data'!$E10)=MONTH(G$4),'MASTER data'!$E10,""),"")</f>
        <v/>
      </c>
      <c r="H9" s="16" t="str">
        <f>IF(G9='MASTER data'!$E10,'MASTER data'!$G10,"")</f>
        <v/>
      </c>
      <c r="I9" s="90" t="str">
        <f>IF('MASTER data'!$B10="RIL",IF(MONTH('MASTER data'!$E10)=MONTH(I$4),'MASTER data'!$E10,""),"")</f>
        <v/>
      </c>
      <c r="J9" s="16" t="str">
        <f>IF(I9='MASTER data'!$E10,'MASTER data'!$G10,"")</f>
        <v/>
      </c>
      <c r="K9" s="90" t="str">
        <f>IF('MASTER data'!$B10="RIL",IF(MONTH('MASTER data'!$E10)=MONTH(K$4),'MASTER data'!$E10,""),"")</f>
        <v/>
      </c>
      <c r="L9" s="16" t="str">
        <f>IF(K9='MASTER data'!$E10,'MASTER data'!$G10,"")</f>
        <v/>
      </c>
      <c r="M9" s="90" t="str">
        <f>IF('MASTER data'!$B10="RIL",IF(MONTH('MASTER data'!$E10)=MONTH(M$4),'MASTER data'!$E10,""),"")</f>
        <v/>
      </c>
      <c r="N9" s="16" t="str">
        <f>IF(M9='MASTER data'!$E10,'MASTER data'!$G10,"")</f>
        <v/>
      </c>
      <c r="O9" s="90" t="str">
        <f>IF('MASTER data'!$B10="RIL",IF(MONTH('MASTER data'!$E10)=MONTH(O$4),'MASTER data'!$E10,""),"")</f>
        <v/>
      </c>
      <c r="P9" s="16" t="str">
        <f>IF(O9='MASTER data'!$E10,'MASTER data'!$G10,"")</f>
        <v/>
      </c>
      <c r="Q9" s="90" t="str">
        <f>IF('MASTER data'!$B10="RIL",IF(MONTH('MASTER data'!$E10)=MONTH(Q$4),'MASTER data'!$E10,""),"")</f>
        <v/>
      </c>
      <c r="R9" s="16" t="str">
        <f>IF(Q9='MASTER data'!$E10,'MASTER data'!$G10,"")</f>
        <v/>
      </c>
      <c r="S9" s="90" t="str">
        <f>IF('MASTER data'!$B10="RIL",IF(MONTH('MASTER data'!$E10)=MONTH(S$4),'MASTER data'!$E10,""),"")</f>
        <v/>
      </c>
      <c r="T9" s="16" t="str">
        <f>IF(S9='MASTER data'!$E10,'MASTER data'!$G10,"")</f>
        <v/>
      </c>
      <c r="U9" s="90" t="str">
        <f>IF('MASTER data'!$B10="RIL",IF(MONTH('MASTER data'!$E10)=MONTH(U$4),'MASTER data'!$E10,""),"")</f>
        <v/>
      </c>
      <c r="V9" s="16" t="str">
        <f>IF(U9='MASTER data'!$E10,'MASTER data'!$G10,"")</f>
        <v/>
      </c>
      <c r="W9" s="90" t="str">
        <f>IF('MASTER data'!$B10="RIL",IF(MONTH('MASTER data'!$E10)=MONTH(W$4),'MASTER data'!$E10,""),"")</f>
        <v/>
      </c>
      <c r="X9" s="16" t="str">
        <f>IF(W9='MASTER data'!$E10,'MASTER data'!$G10,"")</f>
        <v/>
      </c>
      <c r="Y9" s="90" t="str">
        <f>IF('MASTER data'!$B10="RIL",IF(MONTH('MASTER data'!$E10)=MONTH(Y$4),'MASTER data'!$E10,""),"")</f>
        <v/>
      </c>
      <c r="Z9" s="16" t="str">
        <f>IF(Y9='MASTER data'!$E10,'MASTER data'!$G10,"")</f>
        <v/>
      </c>
    </row>
    <row r="10" spans="1:50">
      <c r="A10" s="5"/>
      <c r="B10" s="6"/>
      <c r="C10" s="90" t="str">
        <f>IF('MASTER data'!$B11="RIL",IF(MONTH('MASTER data'!$E11)=MONTH(C$4),'MASTER data'!$E11,""),"")</f>
        <v/>
      </c>
      <c r="D10" s="16" t="str">
        <f>IF(C10='MASTER data'!$E11,'MASTER data'!$G11,"")</f>
        <v/>
      </c>
      <c r="E10" s="90" t="str">
        <f>IF('MASTER data'!$B11="RIL",IF(MONTH('MASTER data'!$E11)=MONTH(E$4),'MASTER data'!$E11,""),"")</f>
        <v/>
      </c>
      <c r="F10" s="16" t="str">
        <f>IF(E10='MASTER data'!$E11,'MASTER data'!$G11,"")</f>
        <v/>
      </c>
      <c r="G10" s="90">
        <f>IF('MASTER data'!$B11="RIL",IF(MONTH('MASTER data'!$E11)=MONTH(G$4),'MASTER data'!$E11,""),"")</f>
        <v>40970</v>
      </c>
      <c r="H10" s="16">
        <f>IF(G10='MASTER data'!$E11,'MASTER data'!$G11,"")</f>
        <v>0</v>
      </c>
      <c r="I10" s="90" t="str">
        <f>IF('MASTER data'!$B11="RIL",IF(MONTH('MASTER data'!$E11)=MONTH(I$4),'MASTER data'!$E11,""),"")</f>
        <v/>
      </c>
      <c r="J10" s="16" t="str">
        <f>IF(I10='MASTER data'!$E11,'MASTER data'!$G11,"")</f>
        <v/>
      </c>
      <c r="K10" s="90" t="str">
        <f>IF('MASTER data'!$B11="RIL",IF(MONTH('MASTER data'!$E11)=MONTH(K$4),'MASTER data'!$E11,""),"")</f>
        <v/>
      </c>
      <c r="L10" s="16" t="str">
        <f>IF(K10='MASTER data'!$E11,'MASTER data'!$G11,"")</f>
        <v/>
      </c>
      <c r="M10" s="90" t="str">
        <f>IF('MASTER data'!$B11="RIL",IF(MONTH('MASTER data'!$E11)=MONTH(M$4),'MASTER data'!$E11,""),"")</f>
        <v/>
      </c>
      <c r="N10" s="16" t="str">
        <f>IF(M10='MASTER data'!$E11,'MASTER data'!$G11,"")</f>
        <v/>
      </c>
      <c r="O10" s="90" t="str">
        <f>IF('MASTER data'!$B11="RIL",IF(MONTH('MASTER data'!$E11)=MONTH(O$4),'MASTER data'!$E11,""),"")</f>
        <v/>
      </c>
      <c r="P10" s="16" t="str">
        <f>IF(O10='MASTER data'!$E11,'MASTER data'!$G11,"")</f>
        <v/>
      </c>
      <c r="Q10" s="90" t="str">
        <f>IF('MASTER data'!$B11="RIL",IF(MONTH('MASTER data'!$E11)=MONTH(Q$4),'MASTER data'!$E11,""),"")</f>
        <v/>
      </c>
      <c r="R10" s="16" t="str">
        <f>IF(Q10='MASTER data'!$E11,'MASTER data'!$G11,"")</f>
        <v/>
      </c>
      <c r="S10" s="90" t="str">
        <f>IF('MASTER data'!$B11="RIL",IF(MONTH('MASTER data'!$E11)=MONTH(S$4),'MASTER data'!$E11,""),"")</f>
        <v/>
      </c>
      <c r="T10" s="16" t="str">
        <f>IF(S10='MASTER data'!$E11,'MASTER data'!$G11,"")</f>
        <v/>
      </c>
      <c r="U10" s="90" t="str">
        <f>IF('MASTER data'!$B11="RIL",IF(MONTH('MASTER data'!$E11)=MONTH(U$4),'MASTER data'!$E11,""),"")</f>
        <v/>
      </c>
      <c r="V10" s="16" t="str">
        <f>IF(U10='MASTER data'!$E11,'MASTER data'!$G11,"")</f>
        <v/>
      </c>
      <c r="W10" s="90" t="str">
        <f>IF('MASTER data'!$B11="RIL",IF(MONTH('MASTER data'!$E11)=MONTH(W$4),'MASTER data'!$E11,""),"")</f>
        <v/>
      </c>
      <c r="X10" s="16" t="str">
        <f>IF(W10='MASTER data'!$E11,'MASTER data'!$G11,"")</f>
        <v/>
      </c>
      <c r="Y10" s="90" t="str">
        <f>IF('MASTER data'!$B11="RIL",IF(MONTH('MASTER data'!$E11)=MONTH(Y$4),'MASTER data'!$E11,""),"")</f>
        <v/>
      </c>
      <c r="Z10" s="16" t="str">
        <f>IF(Y10='MASTER data'!$E11,'MASTER data'!$G11,"")</f>
        <v/>
      </c>
    </row>
    <row r="11" spans="1:50">
      <c r="A11" s="5"/>
      <c r="B11" s="6"/>
      <c r="C11" s="90" t="str">
        <f>IF('MASTER data'!$B12="RIL",IF(MONTH('MASTER data'!$E12)=MONTH(C$4),'MASTER data'!$E12,""),"")</f>
        <v/>
      </c>
      <c r="D11" s="16" t="str">
        <f>IF(C11='MASTER data'!$E12,'MASTER data'!$G12,"")</f>
        <v/>
      </c>
      <c r="E11" s="90" t="str">
        <f>IF('MASTER data'!$B12="RIL",IF(MONTH('MASTER data'!$E12)=MONTH(E$4),'MASTER data'!$E12,""),"")</f>
        <v/>
      </c>
      <c r="F11" s="16" t="str">
        <f>IF(E11='MASTER data'!$E12,'MASTER data'!$G12,"")</f>
        <v/>
      </c>
      <c r="G11" s="90" t="str">
        <f>IF('MASTER data'!$B12="RIL",IF(MONTH('MASTER data'!$E12)=MONTH(G$4),'MASTER data'!$E12,""),"")</f>
        <v/>
      </c>
      <c r="H11" s="16" t="str">
        <f>IF(G11='MASTER data'!$E12,'MASTER data'!$G12,"")</f>
        <v/>
      </c>
      <c r="I11" s="90" t="str">
        <f>IF('MASTER data'!$B12="RIL",IF(MONTH('MASTER data'!$E12)=MONTH(I$4),'MASTER data'!$E12,""),"")</f>
        <v/>
      </c>
      <c r="J11" s="16" t="str">
        <f>IF(I11='MASTER data'!$E12,'MASTER data'!$G12,"")</f>
        <v/>
      </c>
      <c r="K11" s="90" t="str">
        <f>IF('MASTER data'!$B12="RIL",IF(MONTH('MASTER data'!$E12)=MONTH(K$4),'MASTER data'!$E12,""),"")</f>
        <v/>
      </c>
      <c r="L11" s="16" t="str">
        <f>IF(K11='MASTER data'!$E12,'MASTER data'!$G12,"")</f>
        <v/>
      </c>
      <c r="M11" s="90" t="str">
        <f>IF('MASTER data'!$B12="RIL",IF(MONTH('MASTER data'!$E12)=MONTH(M$4),'MASTER data'!$E12,""),"")</f>
        <v/>
      </c>
      <c r="N11" s="16" t="str">
        <f>IF(M11='MASTER data'!$E12,'MASTER data'!$G12,"")</f>
        <v/>
      </c>
      <c r="O11" s="90" t="str">
        <f>IF('MASTER data'!$B12="RIL",IF(MONTH('MASTER data'!$E12)=MONTH(O$4),'MASTER data'!$E12,""),"")</f>
        <v/>
      </c>
      <c r="P11" s="16" t="str">
        <f>IF(O11='MASTER data'!$E12,'MASTER data'!$G12,"")</f>
        <v/>
      </c>
      <c r="Q11" s="90" t="str">
        <f>IF('MASTER data'!$B12="RIL",IF(MONTH('MASTER data'!$E12)=MONTH(Q$4),'MASTER data'!$E12,""),"")</f>
        <v/>
      </c>
      <c r="R11" s="16" t="str">
        <f>IF(Q11='MASTER data'!$E12,'MASTER data'!$G12,"")</f>
        <v/>
      </c>
      <c r="S11" s="90" t="str">
        <f>IF('MASTER data'!$B12="RIL",IF(MONTH('MASTER data'!$E12)=MONTH(S$4),'MASTER data'!$E12,""),"")</f>
        <v/>
      </c>
      <c r="T11" s="16" t="str">
        <f>IF(S11='MASTER data'!$E12,'MASTER data'!$G12,"")</f>
        <v/>
      </c>
      <c r="U11" s="90" t="str">
        <f>IF('MASTER data'!$B12="RIL",IF(MONTH('MASTER data'!$E12)=MONTH(U$4),'MASTER data'!$E12,""),"")</f>
        <v/>
      </c>
      <c r="V11" s="16" t="str">
        <f>IF(U11='MASTER data'!$E12,'MASTER data'!$G12,"")</f>
        <v/>
      </c>
      <c r="W11" s="90" t="str">
        <f>IF('MASTER data'!$B12="RIL",IF(MONTH('MASTER data'!$E12)=MONTH(W$4),'MASTER data'!$E12,""),"")</f>
        <v/>
      </c>
      <c r="X11" s="16" t="str">
        <f>IF(W11='MASTER data'!$E12,'MASTER data'!$G12,"")</f>
        <v/>
      </c>
      <c r="Y11" s="90" t="str">
        <f>IF('MASTER data'!$B12="RIL",IF(MONTH('MASTER data'!$E12)=MONTH(Y$4),'MASTER data'!$E12,""),"")</f>
        <v/>
      </c>
      <c r="Z11" s="16" t="str">
        <f>IF(Y11='MASTER data'!$E12,'MASTER data'!$G12,"")</f>
        <v/>
      </c>
    </row>
    <row r="12" spans="1:50">
      <c r="A12" s="5"/>
      <c r="B12" s="6"/>
      <c r="C12" s="90" t="str">
        <f>IF('MASTER data'!$B13="RIL",IF(MONTH('MASTER data'!$E13)=MONTH(C$4),'MASTER data'!$E13,""),"")</f>
        <v/>
      </c>
      <c r="D12" s="16">
        <f>IF(C12='MASTER data'!$E13,'MASTER data'!$G13,"")</f>
        <v>0</v>
      </c>
      <c r="E12" s="90" t="str">
        <f>IF('MASTER data'!$B13="RIL",IF(MONTH('MASTER data'!$E13)=MONTH(E$4),'MASTER data'!$E13,""),"")</f>
        <v/>
      </c>
      <c r="F12" s="16">
        <f>IF(E12='MASTER data'!$E13,'MASTER data'!$G13,"")</f>
        <v>0</v>
      </c>
      <c r="G12" s="90" t="str">
        <f>IF('MASTER data'!$B13="RIL",IF(MONTH('MASTER data'!$E13)=MONTH(G$4),'MASTER data'!$E13,""),"")</f>
        <v/>
      </c>
      <c r="H12" s="16">
        <f>IF(G12='MASTER data'!$E13,'MASTER data'!$G13,"")</f>
        <v>0</v>
      </c>
      <c r="I12" s="90" t="str">
        <f>IF('MASTER data'!$B13="RIL",IF(MONTH('MASTER data'!$E13)=MONTH(I$4),'MASTER data'!$E13,""),"")</f>
        <v/>
      </c>
      <c r="J12" s="16">
        <f>IF(I12='MASTER data'!$E13,'MASTER data'!$G13,"")</f>
        <v>0</v>
      </c>
      <c r="K12" s="90" t="str">
        <f>IF('MASTER data'!$B13="RIL",IF(MONTH('MASTER data'!$E13)=MONTH(K$4),'MASTER data'!$E13,""),"")</f>
        <v/>
      </c>
      <c r="L12" s="16">
        <f>IF(K12='MASTER data'!$E13,'MASTER data'!$G13,"")</f>
        <v>0</v>
      </c>
      <c r="M12" s="90" t="str">
        <f>IF('MASTER data'!$B13="RIL",IF(MONTH('MASTER data'!$E13)=MONTH(M$4),'MASTER data'!$E13,""),"")</f>
        <v/>
      </c>
      <c r="N12" s="16">
        <f>IF(M12='MASTER data'!$E13,'MASTER data'!$G13,"")</f>
        <v>0</v>
      </c>
      <c r="O12" s="90" t="str">
        <f>IF('MASTER data'!$B13="RIL",IF(MONTH('MASTER data'!$E13)=MONTH(O$4),'MASTER data'!$E13,""),"")</f>
        <v/>
      </c>
      <c r="P12" s="16">
        <f>IF(O12='MASTER data'!$E13,'MASTER data'!$G13,"")</f>
        <v>0</v>
      </c>
      <c r="Q12" s="90" t="str">
        <f>IF('MASTER data'!$B13="RIL",IF(MONTH('MASTER data'!$E13)=MONTH(Q$4),'MASTER data'!$E13,""),"")</f>
        <v/>
      </c>
      <c r="R12" s="16">
        <f>IF(Q12='MASTER data'!$E13,'MASTER data'!$G13,"")</f>
        <v>0</v>
      </c>
      <c r="S12" s="90" t="str">
        <f>IF('MASTER data'!$B13="RIL",IF(MONTH('MASTER data'!$E13)=MONTH(S$4),'MASTER data'!$E13,""),"")</f>
        <v/>
      </c>
      <c r="T12" s="16">
        <f>IF(S12='MASTER data'!$E13,'MASTER data'!$G13,"")</f>
        <v>0</v>
      </c>
      <c r="U12" s="90" t="str">
        <f>IF('MASTER data'!$B13="RIL",IF(MONTH('MASTER data'!$E13)=MONTH(U$4),'MASTER data'!$E13,""),"")</f>
        <v/>
      </c>
      <c r="V12" s="16">
        <f>IF(U12='MASTER data'!$E13,'MASTER data'!$G13,"")</f>
        <v>0</v>
      </c>
      <c r="W12" s="90" t="str">
        <f>IF('MASTER data'!$B13="RIL",IF(MONTH('MASTER data'!$E13)=MONTH(W$4),'MASTER data'!$E13,""),"")</f>
        <v/>
      </c>
      <c r="X12" s="16">
        <f>IF(W12='MASTER data'!$E13,'MASTER data'!$G13,"")</f>
        <v>0</v>
      </c>
      <c r="Y12" s="90" t="str">
        <f>IF('MASTER data'!$B13="RIL",IF(MONTH('MASTER data'!$E13)=MONTH(Y$4),'MASTER data'!$E13,""),"")</f>
        <v/>
      </c>
      <c r="Z12" s="16">
        <f>IF(Y12='MASTER data'!$E13,'MASTER data'!$G13,"")</f>
        <v>0</v>
      </c>
    </row>
    <row r="13" spans="1:50">
      <c r="A13" s="5"/>
      <c r="B13" s="6"/>
      <c r="C13" s="90" t="str">
        <f>IF('MASTER data'!$B14="RIL",IF(MONTH('MASTER data'!$E14)=MONTH(C$4),'MASTER data'!$E14,""),"")</f>
        <v/>
      </c>
      <c r="D13" s="16">
        <f>IF(C13='MASTER data'!$E14,'MASTER data'!$G14,"")</f>
        <v>0</v>
      </c>
      <c r="E13" s="90" t="str">
        <f>IF('MASTER data'!$B14="RIL",IF(MONTH('MASTER data'!$E14)=MONTH(E$4),'MASTER data'!$E14,""),"")</f>
        <v/>
      </c>
      <c r="F13" s="16">
        <f>IF(E13='MASTER data'!$E14,'MASTER data'!$G14,"")</f>
        <v>0</v>
      </c>
      <c r="G13" s="90" t="str">
        <f>IF('MASTER data'!$B14="RIL",IF(MONTH('MASTER data'!$E14)=MONTH(G$4),'MASTER data'!$E14,""),"")</f>
        <v/>
      </c>
      <c r="H13" s="16">
        <f>IF(G13='MASTER data'!$E14,'MASTER data'!$G14,"")</f>
        <v>0</v>
      </c>
      <c r="I13" s="90" t="str">
        <f>IF('MASTER data'!$B14="RIL",IF(MONTH('MASTER data'!$E14)=MONTH(I$4),'MASTER data'!$E14,""),"")</f>
        <v/>
      </c>
      <c r="J13" s="16">
        <f>IF(I13='MASTER data'!$E14,'MASTER data'!$G14,"")</f>
        <v>0</v>
      </c>
      <c r="K13" s="90" t="str">
        <f>IF('MASTER data'!$B14="RIL",IF(MONTH('MASTER data'!$E14)=MONTH(K$4),'MASTER data'!$E14,""),"")</f>
        <v/>
      </c>
      <c r="L13" s="16">
        <f>IF(K13='MASTER data'!$E14,'MASTER data'!$G14,"")</f>
        <v>0</v>
      </c>
      <c r="M13" s="90" t="str">
        <f>IF('MASTER data'!$B14="RIL",IF(MONTH('MASTER data'!$E14)=MONTH(M$4),'MASTER data'!$E14,""),"")</f>
        <v/>
      </c>
      <c r="N13" s="16">
        <f>IF(M13='MASTER data'!$E14,'MASTER data'!$G14,"")</f>
        <v>0</v>
      </c>
      <c r="O13" s="90" t="str">
        <f>IF('MASTER data'!$B14="RIL",IF(MONTH('MASTER data'!$E14)=MONTH(O$4),'MASTER data'!$E14,""),"")</f>
        <v/>
      </c>
      <c r="P13" s="16">
        <f>IF(O13='MASTER data'!$E14,'MASTER data'!$G14,"")</f>
        <v>0</v>
      </c>
      <c r="Q13" s="90" t="str">
        <f>IF('MASTER data'!$B14="RIL",IF(MONTH('MASTER data'!$E14)=MONTH(Q$4),'MASTER data'!$E14,""),"")</f>
        <v/>
      </c>
      <c r="R13" s="16">
        <f>IF(Q13='MASTER data'!$E14,'MASTER data'!$G14,"")</f>
        <v>0</v>
      </c>
      <c r="S13" s="90" t="str">
        <f>IF('MASTER data'!$B14="RIL",IF(MONTH('MASTER data'!$E14)=MONTH(S$4),'MASTER data'!$E14,""),"")</f>
        <v/>
      </c>
      <c r="T13" s="16">
        <f>IF(S13='MASTER data'!$E14,'MASTER data'!$G14,"")</f>
        <v>0</v>
      </c>
      <c r="U13" s="90" t="str">
        <f>IF('MASTER data'!$B14="RIL",IF(MONTH('MASTER data'!$E14)=MONTH(U$4),'MASTER data'!$E14,""),"")</f>
        <v/>
      </c>
      <c r="V13" s="16">
        <f>IF(U13='MASTER data'!$E14,'MASTER data'!$G14,"")</f>
        <v>0</v>
      </c>
      <c r="W13" s="90" t="str">
        <f>IF('MASTER data'!$B14="RIL",IF(MONTH('MASTER data'!$E14)=MONTH(W$4),'MASTER data'!$E14,""),"")</f>
        <v/>
      </c>
      <c r="X13" s="16">
        <f>IF(W13='MASTER data'!$E14,'MASTER data'!$G14,"")</f>
        <v>0</v>
      </c>
      <c r="Y13" s="90" t="str">
        <f>IF('MASTER data'!$B14="RIL",IF(MONTH('MASTER data'!$E14)=MONTH(Y$4),'MASTER data'!$E14,""),"")</f>
        <v/>
      </c>
      <c r="Z13" s="16">
        <f>IF(Y13='MASTER data'!$E14,'MASTER data'!$G14,"")</f>
        <v>0</v>
      </c>
    </row>
    <row r="14" spans="1:50">
      <c r="A14" s="5"/>
      <c r="B14" s="6"/>
      <c r="C14" s="90" t="str">
        <f>IF('MASTER data'!$B15="RIL",IF(MONTH('MASTER data'!$E15)=MONTH(C$4),'MASTER data'!$E15,""),"")</f>
        <v/>
      </c>
      <c r="D14" s="16">
        <f>IF(C14='MASTER data'!$E15,'MASTER data'!$G15,"")</f>
        <v>0</v>
      </c>
      <c r="E14" s="90" t="str">
        <f>IF('MASTER data'!$B15="RIL",IF(MONTH('MASTER data'!$E15)=MONTH(E$4),'MASTER data'!$E15,""),"")</f>
        <v/>
      </c>
      <c r="F14" s="16">
        <f>IF(E14='MASTER data'!$E15,'MASTER data'!$G15,"")</f>
        <v>0</v>
      </c>
      <c r="G14" s="90" t="str">
        <f>IF('MASTER data'!$B15="RIL",IF(MONTH('MASTER data'!$E15)=MONTH(G$4),'MASTER data'!$E15,""),"")</f>
        <v/>
      </c>
      <c r="H14" s="16">
        <f>IF(G14='MASTER data'!$E15,'MASTER data'!$G15,"")</f>
        <v>0</v>
      </c>
      <c r="I14" s="90" t="str">
        <f>IF('MASTER data'!$B15="RIL",IF(MONTH('MASTER data'!$E15)=MONTH(I$4),'MASTER data'!$E15,""),"")</f>
        <v/>
      </c>
      <c r="J14" s="16">
        <f>IF(I14='MASTER data'!$E15,'MASTER data'!$G15,"")</f>
        <v>0</v>
      </c>
      <c r="K14" s="90" t="str">
        <f>IF('MASTER data'!$B15="RIL",IF(MONTH('MASTER data'!$E15)=MONTH(K$4),'MASTER data'!$E15,""),"")</f>
        <v/>
      </c>
      <c r="L14" s="16">
        <f>IF(K14='MASTER data'!$E15,'MASTER data'!$G15,"")</f>
        <v>0</v>
      </c>
      <c r="M14" s="90" t="str">
        <f>IF('MASTER data'!$B15="RIL",IF(MONTH('MASTER data'!$E15)=MONTH(M$4),'MASTER data'!$E15,""),"")</f>
        <v/>
      </c>
      <c r="N14" s="16">
        <f>IF(M14='MASTER data'!$E15,'MASTER data'!$G15,"")</f>
        <v>0</v>
      </c>
      <c r="O14" s="90" t="str">
        <f>IF('MASTER data'!$B15="RIL",IF(MONTH('MASTER data'!$E15)=MONTH(O$4),'MASTER data'!$E15,""),"")</f>
        <v/>
      </c>
      <c r="P14" s="16">
        <f>IF(O14='MASTER data'!$E15,'MASTER data'!$G15,"")</f>
        <v>0</v>
      </c>
      <c r="Q14" s="90" t="str">
        <f>IF('MASTER data'!$B15="RIL",IF(MONTH('MASTER data'!$E15)=MONTH(Q$4),'MASTER data'!$E15,""),"")</f>
        <v/>
      </c>
      <c r="R14" s="16">
        <f>IF(Q14='MASTER data'!$E15,'MASTER data'!$G15,"")</f>
        <v>0</v>
      </c>
      <c r="S14" s="90" t="str">
        <f>IF('MASTER data'!$B15="RIL",IF(MONTH('MASTER data'!$E15)=MONTH(S$4),'MASTER data'!$E15,""),"")</f>
        <v/>
      </c>
      <c r="T14" s="16">
        <f>IF(S14='MASTER data'!$E15,'MASTER data'!$G15,"")</f>
        <v>0</v>
      </c>
      <c r="U14" s="90" t="str">
        <f>IF('MASTER data'!$B15="RIL",IF(MONTH('MASTER data'!$E15)=MONTH(U$4),'MASTER data'!$E15,""),"")</f>
        <v/>
      </c>
      <c r="V14" s="16">
        <f>IF(U14='MASTER data'!$E15,'MASTER data'!$G15,"")</f>
        <v>0</v>
      </c>
      <c r="W14" s="90" t="str">
        <f>IF('MASTER data'!$B15="RIL",IF(MONTH('MASTER data'!$E15)=MONTH(W$4),'MASTER data'!$E15,""),"")</f>
        <v/>
      </c>
      <c r="X14" s="16">
        <f>IF(W14='MASTER data'!$E15,'MASTER data'!$G15,"")</f>
        <v>0</v>
      </c>
      <c r="Y14" s="90" t="str">
        <f>IF('MASTER data'!$B15="RIL",IF(MONTH('MASTER data'!$E15)=MONTH(Y$4),'MASTER data'!$E15,""),"")</f>
        <v/>
      </c>
      <c r="Z14" s="16">
        <f>IF(Y14='MASTER data'!$E15,'MASTER data'!$G15,"")</f>
        <v>0</v>
      </c>
    </row>
    <row r="15" spans="1:50">
      <c r="A15" s="5"/>
      <c r="B15" s="6"/>
      <c r="C15" s="90" t="str">
        <f>IF('MASTER data'!$B16="RIL",IF(MONTH('MASTER data'!$E16)=MONTH(C$4),'MASTER data'!$E16,""),"")</f>
        <v/>
      </c>
      <c r="D15" s="16">
        <f>IF(C15='MASTER data'!$E16,'MASTER data'!$G16,"")</f>
        <v>0</v>
      </c>
      <c r="E15" s="90" t="str">
        <f>IF('MASTER data'!$B16="RIL",IF(MONTH('MASTER data'!$E16)=MONTH(E$4),'MASTER data'!$E16,""),"")</f>
        <v/>
      </c>
      <c r="F15" s="16">
        <f>IF(E15='MASTER data'!$E16,'MASTER data'!$G16,"")</f>
        <v>0</v>
      </c>
      <c r="G15" s="90" t="str">
        <f>IF('MASTER data'!$B16="RIL",IF(MONTH('MASTER data'!$E16)=MONTH(G$4),'MASTER data'!$E16,""),"")</f>
        <v/>
      </c>
      <c r="H15" s="16">
        <f>IF(G15='MASTER data'!$E16,'MASTER data'!$G16,"")</f>
        <v>0</v>
      </c>
      <c r="I15" s="90" t="str">
        <f>IF('MASTER data'!$B16="RIL",IF(MONTH('MASTER data'!$E16)=MONTH(I$4),'MASTER data'!$E16,""),"")</f>
        <v/>
      </c>
      <c r="J15" s="16">
        <f>IF(I15='MASTER data'!$E16,'MASTER data'!$G16,"")</f>
        <v>0</v>
      </c>
      <c r="K15" s="90" t="str">
        <f>IF('MASTER data'!$B16="RIL",IF(MONTH('MASTER data'!$E16)=MONTH(K$4),'MASTER data'!$E16,""),"")</f>
        <v/>
      </c>
      <c r="L15" s="16">
        <f>IF(K15='MASTER data'!$E16,'MASTER data'!$G16,"")</f>
        <v>0</v>
      </c>
      <c r="M15" s="90" t="str">
        <f>IF('MASTER data'!$B16="RIL",IF(MONTH('MASTER data'!$E16)=MONTH(M$4),'MASTER data'!$E16,""),"")</f>
        <v/>
      </c>
      <c r="N15" s="16">
        <f>IF(M15='MASTER data'!$E16,'MASTER data'!$G16,"")</f>
        <v>0</v>
      </c>
      <c r="O15" s="90" t="str">
        <f>IF('MASTER data'!$B16="RIL",IF(MONTH('MASTER data'!$E16)=MONTH(O$4),'MASTER data'!$E16,""),"")</f>
        <v/>
      </c>
      <c r="P15" s="16">
        <f>IF(O15='MASTER data'!$E16,'MASTER data'!$G16,"")</f>
        <v>0</v>
      </c>
      <c r="Q15" s="90" t="str">
        <f>IF('MASTER data'!$B16="RIL",IF(MONTH('MASTER data'!$E16)=MONTH(Q$4),'MASTER data'!$E16,""),"")</f>
        <v/>
      </c>
      <c r="R15" s="16">
        <f>IF(Q15='MASTER data'!$E16,'MASTER data'!$G16,"")</f>
        <v>0</v>
      </c>
      <c r="S15" s="90" t="str">
        <f>IF('MASTER data'!$B16="RIL",IF(MONTH('MASTER data'!$E16)=MONTH(S$4),'MASTER data'!$E16,""),"")</f>
        <v/>
      </c>
      <c r="T15" s="16">
        <f>IF(S15='MASTER data'!$E16,'MASTER data'!$G16,"")</f>
        <v>0</v>
      </c>
      <c r="U15" s="90" t="str">
        <f>IF('MASTER data'!$B16="RIL",IF(MONTH('MASTER data'!$E16)=MONTH(U$4),'MASTER data'!$E16,""),"")</f>
        <v/>
      </c>
      <c r="V15" s="16">
        <f>IF(U15='MASTER data'!$E16,'MASTER data'!$G16,"")</f>
        <v>0</v>
      </c>
      <c r="W15" s="90" t="str">
        <f>IF('MASTER data'!$B16="RIL",IF(MONTH('MASTER data'!$E16)=MONTH(W$4),'MASTER data'!$E16,""),"")</f>
        <v/>
      </c>
      <c r="X15" s="16">
        <f>IF(W15='MASTER data'!$E16,'MASTER data'!$G16,"")</f>
        <v>0</v>
      </c>
      <c r="Y15" s="90" t="str">
        <f>IF('MASTER data'!$B16="RIL",IF(MONTH('MASTER data'!$E16)=MONTH(Y$4),'MASTER data'!$E16,""),"")</f>
        <v/>
      </c>
      <c r="Z15" s="16">
        <f>IF(Y15='MASTER data'!$E16,'MASTER data'!$G16,"")</f>
        <v>0</v>
      </c>
    </row>
    <row r="16" spans="1:50">
      <c r="A16" s="5"/>
      <c r="B16" s="6"/>
      <c r="C16" s="90" t="str">
        <f>IF('MASTER data'!$B17="RIL",IF(MONTH('MASTER data'!$E17)=MONTH(C$4),'MASTER data'!$E17,""),"")</f>
        <v/>
      </c>
      <c r="D16" s="16">
        <f>IF(C16='MASTER data'!$E17,'MASTER data'!$G17,"")</f>
        <v>0</v>
      </c>
      <c r="E16" s="90" t="str">
        <f>IF('MASTER data'!$B17="RIL",IF(MONTH('MASTER data'!$E17)=MONTH(E$4),'MASTER data'!$E17,""),"")</f>
        <v/>
      </c>
      <c r="F16" s="16">
        <f>IF(E16='MASTER data'!$E17,'MASTER data'!$G17,"")</f>
        <v>0</v>
      </c>
      <c r="G16" s="90" t="str">
        <f>IF('MASTER data'!$B17="RIL",IF(MONTH('MASTER data'!$E17)=MONTH(G$4),'MASTER data'!$E17,""),"")</f>
        <v/>
      </c>
      <c r="H16" s="16">
        <f>IF(G16='MASTER data'!$E17,'MASTER data'!$G17,"")</f>
        <v>0</v>
      </c>
      <c r="I16" s="90" t="str">
        <f>IF('MASTER data'!$B17="RIL",IF(MONTH('MASTER data'!$E17)=MONTH(I$4),'MASTER data'!$E17,""),"")</f>
        <v/>
      </c>
      <c r="J16" s="16">
        <f>IF(I16='MASTER data'!$E17,'MASTER data'!$G17,"")</f>
        <v>0</v>
      </c>
      <c r="K16" s="90" t="str">
        <f>IF('MASTER data'!$B17="RIL",IF(MONTH('MASTER data'!$E17)=MONTH(K$4),'MASTER data'!$E17,""),"")</f>
        <v/>
      </c>
      <c r="L16" s="16">
        <f>IF(K16='MASTER data'!$E17,'MASTER data'!$G17,"")</f>
        <v>0</v>
      </c>
      <c r="M16" s="90" t="str">
        <f>IF('MASTER data'!$B17="RIL",IF(MONTH('MASTER data'!$E17)=MONTH(M$4),'MASTER data'!$E17,""),"")</f>
        <v/>
      </c>
      <c r="N16" s="16">
        <f>IF(M16='MASTER data'!$E17,'MASTER data'!$G17,"")</f>
        <v>0</v>
      </c>
      <c r="O16" s="90" t="str">
        <f>IF('MASTER data'!$B17="RIL",IF(MONTH('MASTER data'!$E17)=MONTH(O$4),'MASTER data'!$E17,""),"")</f>
        <v/>
      </c>
      <c r="P16" s="16">
        <f>IF(O16='MASTER data'!$E17,'MASTER data'!$G17,"")</f>
        <v>0</v>
      </c>
      <c r="Q16" s="90" t="str">
        <f>IF('MASTER data'!$B17="RIL",IF(MONTH('MASTER data'!$E17)=MONTH(Q$4),'MASTER data'!$E17,""),"")</f>
        <v/>
      </c>
      <c r="R16" s="16">
        <f>IF(Q16='MASTER data'!$E17,'MASTER data'!$G17,"")</f>
        <v>0</v>
      </c>
      <c r="S16" s="90" t="str">
        <f>IF('MASTER data'!$B17="RIL",IF(MONTH('MASTER data'!$E17)=MONTH(S$4),'MASTER data'!$E17,""),"")</f>
        <v/>
      </c>
      <c r="T16" s="16">
        <f>IF(S16='MASTER data'!$E17,'MASTER data'!$G17,"")</f>
        <v>0</v>
      </c>
      <c r="U16" s="90" t="str">
        <f>IF('MASTER data'!$B17="RIL",IF(MONTH('MASTER data'!$E17)=MONTH(U$4),'MASTER data'!$E17,""),"")</f>
        <v/>
      </c>
      <c r="V16" s="16">
        <f>IF(U16='MASTER data'!$E17,'MASTER data'!$G17,"")</f>
        <v>0</v>
      </c>
      <c r="W16" s="90" t="str">
        <f>IF('MASTER data'!$B17="RIL",IF(MONTH('MASTER data'!$E17)=MONTH(W$4),'MASTER data'!$E17,""),"")</f>
        <v/>
      </c>
      <c r="X16" s="16">
        <f>IF(W16='MASTER data'!$E17,'MASTER data'!$G17,"")</f>
        <v>0</v>
      </c>
      <c r="Y16" s="90" t="str">
        <f>IF('MASTER data'!$B17="RIL",IF(MONTH('MASTER data'!$E17)=MONTH(Y$4),'MASTER data'!$E17,""),"")</f>
        <v/>
      </c>
      <c r="Z16" s="16">
        <f>IF(Y16='MASTER data'!$E17,'MASTER data'!$G17,"")</f>
        <v>0</v>
      </c>
    </row>
    <row r="17" spans="1:26">
      <c r="A17" s="5"/>
      <c r="B17" s="6"/>
      <c r="C17" s="90" t="str">
        <f>IF('MASTER data'!$B18="RIL",IF(MONTH('MASTER data'!$E18)=MONTH(C$4),'MASTER data'!$E18,""),"")</f>
        <v/>
      </c>
      <c r="D17" s="16">
        <f>IF(C17='MASTER data'!$E18,'MASTER data'!$G18,"")</f>
        <v>0</v>
      </c>
      <c r="E17" s="90" t="str">
        <f>IF('MASTER data'!$B18="RIL",IF(MONTH('MASTER data'!$E18)=MONTH(E$4),'MASTER data'!$E18,""),"")</f>
        <v/>
      </c>
      <c r="F17" s="16">
        <f>IF(E17='MASTER data'!$E18,'MASTER data'!$G18,"")</f>
        <v>0</v>
      </c>
      <c r="G17" s="90" t="str">
        <f>IF('MASTER data'!$B18="RIL",IF(MONTH('MASTER data'!$E18)=MONTH(G$4),'MASTER data'!$E18,""),"")</f>
        <v/>
      </c>
      <c r="H17" s="16">
        <f>IF(G17='MASTER data'!$E18,'MASTER data'!$G18,"")</f>
        <v>0</v>
      </c>
      <c r="I17" s="90" t="str">
        <f>IF('MASTER data'!$B18="RIL",IF(MONTH('MASTER data'!$E18)=MONTH(I$4),'MASTER data'!$E18,""),"")</f>
        <v/>
      </c>
      <c r="J17" s="16">
        <f>IF(I17='MASTER data'!$E18,'MASTER data'!$G18,"")</f>
        <v>0</v>
      </c>
      <c r="K17" s="90" t="str">
        <f>IF('MASTER data'!$B18="RIL",IF(MONTH('MASTER data'!$E18)=MONTH(K$4),'MASTER data'!$E18,""),"")</f>
        <v/>
      </c>
      <c r="L17" s="16">
        <f>IF(K17='MASTER data'!$E18,'MASTER data'!$G18,"")</f>
        <v>0</v>
      </c>
      <c r="M17" s="90" t="str">
        <f>IF('MASTER data'!$B18="RIL",IF(MONTH('MASTER data'!$E18)=MONTH(M$4),'MASTER data'!$E18,""),"")</f>
        <v/>
      </c>
      <c r="N17" s="16">
        <f>IF(M17='MASTER data'!$E18,'MASTER data'!$G18,"")</f>
        <v>0</v>
      </c>
      <c r="O17" s="90" t="str">
        <f>IF('MASTER data'!$B18="RIL",IF(MONTH('MASTER data'!$E18)=MONTH(O$4),'MASTER data'!$E18,""),"")</f>
        <v/>
      </c>
      <c r="P17" s="16">
        <f>IF(O17='MASTER data'!$E18,'MASTER data'!$G18,"")</f>
        <v>0</v>
      </c>
      <c r="Q17" s="90" t="str">
        <f>IF('MASTER data'!$B18="RIL",IF(MONTH('MASTER data'!$E18)=MONTH(Q$4),'MASTER data'!$E18,""),"")</f>
        <v/>
      </c>
      <c r="R17" s="16">
        <f>IF(Q17='MASTER data'!$E18,'MASTER data'!$G18,"")</f>
        <v>0</v>
      </c>
      <c r="S17" s="90" t="str">
        <f>IF('MASTER data'!$B18="RIL",IF(MONTH('MASTER data'!$E18)=MONTH(S$4),'MASTER data'!$E18,""),"")</f>
        <v/>
      </c>
      <c r="T17" s="16">
        <f>IF(S17='MASTER data'!$E18,'MASTER data'!$G18,"")</f>
        <v>0</v>
      </c>
      <c r="U17" s="90" t="str">
        <f>IF('MASTER data'!$B18="RIL",IF(MONTH('MASTER data'!$E18)=MONTH(U$4),'MASTER data'!$E18,""),"")</f>
        <v/>
      </c>
      <c r="V17" s="16">
        <f>IF(U17='MASTER data'!$E18,'MASTER data'!$G18,"")</f>
        <v>0</v>
      </c>
      <c r="W17" s="90" t="str">
        <f>IF('MASTER data'!$B18="RIL",IF(MONTH('MASTER data'!$E18)=MONTH(W$4),'MASTER data'!$E18,""),"")</f>
        <v/>
      </c>
      <c r="X17" s="16">
        <f>IF(W17='MASTER data'!$E18,'MASTER data'!$G18,"")</f>
        <v>0</v>
      </c>
      <c r="Y17" s="90" t="str">
        <f>IF('MASTER data'!$B18="RIL",IF(MONTH('MASTER data'!$E18)=MONTH(Y$4),'MASTER data'!$E18,""),"")</f>
        <v/>
      </c>
      <c r="Z17" s="16">
        <f>IF(Y17='MASTER data'!$E18,'MASTER data'!$G18,"")</f>
        <v>0</v>
      </c>
    </row>
    <row r="18" spans="1:26">
      <c r="A18" s="5"/>
      <c r="B18" s="6"/>
      <c r="C18" s="90" t="str">
        <f>IF('MASTER data'!$B19="RIL",IF(MONTH('MASTER data'!$E19)=MONTH(C$4),'MASTER data'!$E19,""),"")</f>
        <v/>
      </c>
      <c r="D18" s="16">
        <f>IF(C18='MASTER data'!$E19,'MASTER data'!$G19,"")</f>
        <v>0</v>
      </c>
      <c r="E18" s="90" t="str">
        <f>IF('MASTER data'!$B19="RIL",IF(MONTH('MASTER data'!$E19)=MONTH(E$4),'MASTER data'!$E19,""),"")</f>
        <v/>
      </c>
      <c r="F18" s="16">
        <f>IF(E18='MASTER data'!$E19,'MASTER data'!$G19,"")</f>
        <v>0</v>
      </c>
      <c r="G18" s="90" t="str">
        <f>IF('MASTER data'!$B19="RIL",IF(MONTH('MASTER data'!$E19)=MONTH(G$4),'MASTER data'!$E19,""),"")</f>
        <v/>
      </c>
      <c r="H18" s="16">
        <f>IF(G18='MASTER data'!$E19,'MASTER data'!$G19,"")</f>
        <v>0</v>
      </c>
      <c r="I18" s="90" t="str">
        <f>IF('MASTER data'!$B19="RIL",IF(MONTH('MASTER data'!$E19)=MONTH(I$4),'MASTER data'!$E19,""),"")</f>
        <v/>
      </c>
      <c r="J18" s="16">
        <f>IF(I18='MASTER data'!$E19,'MASTER data'!$G19,"")</f>
        <v>0</v>
      </c>
      <c r="K18" s="90" t="str">
        <f>IF('MASTER data'!$B19="RIL",IF(MONTH('MASTER data'!$E19)=MONTH(K$4),'MASTER data'!$E19,""),"")</f>
        <v/>
      </c>
      <c r="L18" s="16">
        <f>IF(K18='MASTER data'!$E19,'MASTER data'!$G19,"")</f>
        <v>0</v>
      </c>
      <c r="M18" s="90" t="str">
        <f>IF('MASTER data'!$B19="RIL",IF(MONTH('MASTER data'!$E19)=MONTH(M$4),'MASTER data'!$E19,""),"")</f>
        <v/>
      </c>
      <c r="N18" s="16">
        <f>IF(M18='MASTER data'!$E19,'MASTER data'!$G19,"")</f>
        <v>0</v>
      </c>
      <c r="O18" s="90" t="str">
        <f>IF('MASTER data'!$B19="RIL",IF(MONTH('MASTER data'!$E19)=MONTH(O$4),'MASTER data'!$E19,""),"")</f>
        <v/>
      </c>
      <c r="P18" s="16">
        <f>IF(O18='MASTER data'!$E19,'MASTER data'!$G19,"")</f>
        <v>0</v>
      </c>
      <c r="Q18" s="90" t="str">
        <f>IF('MASTER data'!$B19="RIL",IF(MONTH('MASTER data'!$E19)=MONTH(Q$4),'MASTER data'!$E19,""),"")</f>
        <v/>
      </c>
      <c r="R18" s="16">
        <f>IF(Q18='MASTER data'!$E19,'MASTER data'!$G19,"")</f>
        <v>0</v>
      </c>
      <c r="S18" s="90" t="str">
        <f>IF('MASTER data'!$B19="RIL",IF(MONTH('MASTER data'!$E19)=MONTH(S$4),'MASTER data'!$E19,""),"")</f>
        <v/>
      </c>
      <c r="T18" s="16">
        <f>IF(S18='MASTER data'!$E19,'MASTER data'!$G19,"")</f>
        <v>0</v>
      </c>
      <c r="U18" s="90" t="str">
        <f>IF('MASTER data'!$B19="RIL",IF(MONTH('MASTER data'!$E19)=MONTH(U$4),'MASTER data'!$E19,""),"")</f>
        <v/>
      </c>
      <c r="V18" s="16">
        <f>IF(U18='MASTER data'!$E19,'MASTER data'!$G19,"")</f>
        <v>0</v>
      </c>
      <c r="W18" s="90" t="str">
        <f>IF('MASTER data'!$B19="RIL",IF(MONTH('MASTER data'!$E19)=MONTH(W$4),'MASTER data'!$E19,""),"")</f>
        <v/>
      </c>
      <c r="X18" s="16">
        <f>IF(W18='MASTER data'!$E19,'MASTER data'!$G19,"")</f>
        <v>0</v>
      </c>
      <c r="Y18" s="90" t="str">
        <f>IF('MASTER data'!$B19="RIL",IF(MONTH('MASTER data'!$E19)=MONTH(Y$4),'MASTER data'!$E19,""),"")</f>
        <v/>
      </c>
      <c r="Z18" s="16">
        <f>IF(Y18='MASTER data'!$E19,'MASTER data'!$G19,"")</f>
        <v>0</v>
      </c>
    </row>
    <row r="19" spans="1:26">
      <c r="A19" s="5"/>
      <c r="B19" s="6"/>
      <c r="C19" s="90" t="str">
        <f>IF('MASTER data'!$B20="RIL",IF(MONTH('MASTER data'!$E20)=MONTH(C$4),'MASTER data'!$E20,""),"")</f>
        <v/>
      </c>
      <c r="D19" s="16">
        <f>IF(C19='MASTER data'!$E20,'MASTER data'!$G20,"")</f>
        <v>0</v>
      </c>
      <c r="E19" s="90" t="str">
        <f>IF('MASTER data'!$B20="RIL",IF(MONTH('MASTER data'!$E20)=MONTH(E$4),'MASTER data'!$E20,""),"")</f>
        <v/>
      </c>
      <c r="F19" s="16">
        <f>IF(E19='MASTER data'!$E20,'MASTER data'!$G20,"")</f>
        <v>0</v>
      </c>
      <c r="G19" s="90" t="str">
        <f>IF('MASTER data'!$B20="RIL",IF(MONTH('MASTER data'!$E20)=MONTH(G$4),'MASTER data'!$E20,""),"")</f>
        <v/>
      </c>
      <c r="H19" s="16">
        <f>IF(G19='MASTER data'!$E20,'MASTER data'!$G20,"")</f>
        <v>0</v>
      </c>
      <c r="I19" s="90" t="str">
        <f>IF('MASTER data'!$B20="RIL",IF(MONTH('MASTER data'!$E20)=MONTH(I$4),'MASTER data'!$E20,""),"")</f>
        <v/>
      </c>
      <c r="J19" s="16">
        <f>IF(I19='MASTER data'!$E20,'MASTER data'!$G20,"")</f>
        <v>0</v>
      </c>
      <c r="K19" s="90" t="str">
        <f>IF('MASTER data'!$B20="RIL",IF(MONTH('MASTER data'!$E20)=MONTH(K$4),'MASTER data'!$E20,""),"")</f>
        <v/>
      </c>
      <c r="L19" s="16">
        <f>IF(K19='MASTER data'!$E20,'MASTER data'!$G20,"")</f>
        <v>0</v>
      </c>
      <c r="M19" s="90" t="str">
        <f>IF('MASTER data'!$B20="RIL",IF(MONTH('MASTER data'!$E20)=MONTH(M$4),'MASTER data'!$E20,""),"")</f>
        <v/>
      </c>
      <c r="N19" s="16">
        <f>IF(M19='MASTER data'!$E20,'MASTER data'!$G20,"")</f>
        <v>0</v>
      </c>
      <c r="O19" s="90" t="str">
        <f>IF('MASTER data'!$B20="RIL",IF(MONTH('MASTER data'!$E20)=MONTH(O$4),'MASTER data'!$E20,""),"")</f>
        <v/>
      </c>
      <c r="P19" s="16">
        <f>IF(O19='MASTER data'!$E20,'MASTER data'!$G20,"")</f>
        <v>0</v>
      </c>
      <c r="Q19" s="90" t="str">
        <f>IF('MASTER data'!$B20="RIL",IF(MONTH('MASTER data'!$E20)=MONTH(Q$4),'MASTER data'!$E20,""),"")</f>
        <v/>
      </c>
      <c r="R19" s="16">
        <f>IF(Q19='MASTER data'!$E20,'MASTER data'!$G20,"")</f>
        <v>0</v>
      </c>
      <c r="S19" s="90" t="str">
        <f>IF('MASTER data'!$B20="RIL",IF(MONTH('MASTER data'!$E20)=MONTH(S$4),'MASTER data'!$E20,""),"")</f>
        <v/>
      </c>
      <c r="T19" s="16">
        <f>IF(S19='MASTER data'!$E20,'MASTER data'!$G20,"")</f>
        <v>0</v>
      </c>
      <c r="U19" s="90" t="str">
        <f>IF('MASTER data'!$B20="RIL",IF(MONTH('MASTER data'!$E20)=MONTH(U$4),'MASTER data'!$E20,""),"")</f>
        <v/>
      </c>
      <c r="V19" s="16">
        <f>IF(U19='MASTER data'!$E20,'MASTER data'!$G20,"")</f>
        <v>0</v>
      </c>
      <c r="W19" s="90" t="str">
        <f>IF('MASTER data'!$B20="RIL",IF(MONTH('MASTER data'!$E20)=MONTH(W$4),'MASTER data'!$E20,""),"")</f>
        <v/>
      </c>
      <c r="X19" s="16">
        <f>IF(W19='MASTER data'!$E20,'MASTER data'!$G20,"")</f>
        <v>0</v>
      </c>
      <c r="Y19" s="90" t="str">
        <f>IF('MASTER data'!$B20="RIL",IF(MONTH('MASTER data'!$E20)=MONTH(Y$4),'MASTER data'!$E20,""),"")</f>
        <v/>
      </c>
      <c r="Z19" s="16">
        <f>IF(Y19='MASTER data'!$E20,'MASTER data'!$G20,"")</f>
        <v>0</v>
      </c>
    </row>
    <row r="20" spans="1:26">
      <c r="A20" s="5"/>
      <c r="B20" s="6"/>
      <c r="C20" s="90" t="str">
        <f>IF('MASTER data'!$B21="RIL",IF(MONTH('MASTER data'!$E21)=MONTH(C$4),'MASTER data'!$E21,""),"")</f>
        <v/>
      </c>
      <c r="D20" s="16">
        <f>IF(C20='MASTER data'!$E21,'MASTER data'!$G21,"")</f>
        <v>0</v>
      </c>
      <c r="E20" s="90" t="str">
        <f>IF('MASTER data'!$B21="RIL",IF(MONTH('MASTER data'!$E21)=MONTH(E$4),'MASTER data'!$E21,""),"")</f>
        <v/>
      </c>
      <c r="F20" s="16">
        <f>IF(E20='MASTER data'!$E21,'MASTER data'!$G21,"")</f>
        <v>0</v>
      </c>
      <c r="G20" s="90" t="str">
        <f>IF('MASTER data'!$B21="RIL",IF(MONTH('MASTER data'!$E21)=MONTH(G$4),'MASTER data'!$E21,""),"")</f>
        <v/>
      </c>
      <c r="H20" s="16">
        <f>IF(G20='MASTER data'!$E21,'MASTER data'!$G21,"")</f>
        <v>0</v>
      </c>
      <c r="I20" s="90" t="str">
        <f>IF('MASTER data'!$B21="RIL",IF(MONTH('MASTER data'!$E21)=MONTH(I$4),'MASTER data'!$E21,""),"")</f>
        <v/>
      </c>
      <c r="J20" s="16">
        <f>IF(I20='MASTER data'!$E21,'MASTER data'!$G21,"")</f>
        <v>0</v>
      </c>
      <c r="K20" s="90" t="str">
        <f>IF('MASTER data'!$B21="RIL",IF(MONTH('MASTER data'!$E21)=MONTH(K$4),'MASTER data'!$E21,""),"")</f>
        <v/>
      </c>
      <c r="L20" s="16">
        <f>IF(K20='MASTER data'!$E21,'MASTER data'!$G21,"")</f>
        <v>0</v>
      </c>
      <c r="M20" s="90" t="str">
        <f>IF('MASTER data'!$B21="RIL",IF(MONTH('MASTER data'!$E21)=MONTH(M$4),'MASTER data'!$E21,""),"")</f>
        <v/>
      </c>
      <c r="N20" s="16">
        <f>IF(M20='MASTER data'!$E21,'MASTER data'!$G21,"")</f>
        <v>0</v>
      </c>
      <c r="O20" s="90" t="str">
        <f>IF('MASTER data'!$B21="RIL",IF(MONTH('MASTER data'!$E21)=MONTH(O$4),'MASTER data'!$E21,""),"")</f>
        <v/>
      </c>
      <c r="P20" s="16">
        <f>IF(O20='MASTER data'!$E21,'MASTER data'!$G21,"")</f>
        <v>0</v>
      </c>
      <c r="Q20" s="90" t="str">
        <f>IF('MASTER data'!$B21="RIL",IF(MONTH('MASTER data'!$E21)=MONTH(Q$4),'MASTER data'!$E21,""),"")</f>
        <v/>
      </c>
      <c r="R20" s="16">
        <f>IF(Q20='MASTER data'!$E21,'MASTER data'!$G21,"")</f>
        <v>0</v>
      </c>
      <c r="S20" s="90" t="str">
        <f>IF('MASTER data'!$B21="RIL",IF(MONTH('MASTER data'!$E21)=MONTH(S$4),'MASTER data'!$E21,""),"")</f>
        <v/>
      </c>
      <c r="T20" s="16">
        <f>IF(S20='MASTER data'!$E21,'MASTER data'!$G21,"")</f>
        <v>0</v>
      </c>
      <c r="U20" s="90" t="str">
        <f>IF('MASTER data'!$B21="RIL",IF(MONTH('MASTER data'!$E21)=MONTH(U$4),'MASTER data'!$E21,""),"")</f>
        <v/>
      </c>
      <c r="V20" s="16">
        <f>IF(U20='MASTER data'!$E21,'MASTER data'!$G21,"")</f>
        <v>0</v>
      </c>
      <c r="W20" s="90" t="str">
        <f>IF('MASTER data'!$B21="RIL",IF(MONTH('MASTER data'!$E21)=MONTH(W$4),'MASTER data'!$E21,""),"")</f>
        <v/>
      </c>
      <c r="X20" s="16">
        <f>IF(W20='MASTER data'!$E21,'MASTER data'!$G21,"")</f>
        <v>0</v>
      </c>
      <c r="Y20" s="90" t="str">
        <f>IF('MASTER data'!$B21="RIL",IF(MONTH('MASTER data'!$E21)=MONTH(Y$4),'MASTER data'!$E21,""),"")</f>
        <v/>
      </c>
      <c r="Z20" s="16">
        <f>IF(Y20='MASTER data'!$E21,'MASTER data'!$G21,"")</f>
        <v>0</v>
      </c>
    </row>
    <row r="21" spans="1:26">
      <c r="A21" s="5"/>
      <c r="B21" s="6"/>
      <c r="C21" s="90" t="str">
        <f>IF('MASTER data'!$B22="RIL",IF(MONTH('MASTER data'!$E22)=MONTH(C$4),'MASTER data'!$E22,""),"")</f>
        <v/>
      </c>
      <c r="D21" s="16">
        <f>IF(C21='MASTER data'!$E22,'MASTER data'!$G22,"")</f>
        <v>0</v>
      </c>
      <c r="E21" s="90" t="str">
        <f>IF('MASTER data'!$B22="RIL",IF(MONTH('MASTER data'!$E22)=MONTH(E$4),'MASTER data'!$E22,""),"")</f>
        <v/>
      </c>
      <c r="F21" s="16">
        <f>IF(E21='MASTER data'!$E22,'MASTER data'!$G22,"")</f>
        <v>0</v>
      </c>
      <c r="G21" s="90" t="str">
        <f>IF('MASTER data'!$B22="RIL",IF(MONTH('MASTER data'!$E22)=MONTH(G$4),'MASTER data'!$E22,""),"")</f>
        <v/>
      </c>
      <c r="H21" s="16">
        <f>IF(G21='MASTER data'!$E22,'MASTER data'!$G22,"")</f>
        <v>0</v>
      </c>
      <c r="I21" s="90" t="str">
        <f>IF('MASTER data'!$B22="RIL",IF(MONTH('MASTER data'!$E22)=MONTH(I$4),'MASTER data'!$E22,""),"")</f>
        <v/>
      </c>
      <c r="J21" s="16">
        <f>IF(I21='MASTER data'!$E22,'MASTER data'!$G22,"")</f>
        <v>0</v>
      </c>
      <c r="K21" s="90" t="str">
        <f>IF('MASTER data'!$B22="RIL",IF(MONTH('MASTER data'!$E22)=MONTH(K$4),'MASTER data'!$E22,""),"")</f>
        <v/>
      </c>
      <c r="L21" s="16">
        <f>IF(K21='MASTER data'!$E22,'MASTER data'!$G22,"")</f>
        <v>0</v>
      </c>
      <c r="M21" s="90" t="str">
        <f>IF('MASTER data'!$B22="RIL",IF(MONTH('MASTER data'!$E22)=MONTH(M$4),'MASTER data'!$E22,""),"")</f>
        <v/>
      </c>
      <c r="N21" s="16">
        <f>IF(M21='MASTER data'!$E22,'MASTER data'!$G22,"")</f>
        <v>0</v>
      </c>
      <c r="O21" s="90" t="str">
        <f>IF('MASTER data'!$B22="RIL",IF(MONTH('MASTER data'!$E22)=MONTH(O$4),'MASTER data'!$E22,""),"")</f>
        <v/>
      </c>
      <c r="P21" s="16">
        <f>IF(O21='MASTER data'!$E22,'MASTER data'!$G22,"")</f>
        <v>0</v>
      </c>
      <c r="Q21" s="90" t="str">
        <f>IF('MASTER data'!$B22="RIL",IF(MONTH('MASTER data'!$E22)=MONTH(Q$4),'MASTER data'!$E22,""),"")</f>
        <v/>
      </c>
      <c r="R21" s="16">
        <f>IF(Q21='MASTER data'!$E22,'MASTER data'!$G22,"")</f>
        <v>0</v>
      </c>
      <c r="S21" s="90" t="str">
        <f>IF('MASTER data'!$B22="RIL",IF(MONTH('MASTER data'!$E22)=MONTH(S$4),'MASTER data'!$E22,""),"")</f>
        <v/>
      </c>
      <c r="T21" s="16">
        <f>IF(S21='MASTER data'!$E22,'MASTER data'!$G22,"")</f>
        <v>0</v>
      </c>
      <c r="U21" s="90" t="str">
        <f>IF('MASTER data'!$B22="RIL",IF(MONTH('MASTER data'!$E22)=MONTH(U$4),'MASTER data'!$E22,""),"")</f>
        <v/>
      </c>
      <c r="V21" s="16">
        <f>IF(U21='MASTER data'!$E22,'MASTER data'!$G22,"")</f>
        <v>0</v>
      </c>
      <c r="W21" s="90" t="str">
        <f>IF('MASTER data'!$B22="RIL",IF(MONTH('MASTER data'!$E22)=MONTH(W$4),'MASTER data'!$E22,""),"")</f>
        <v/>
      </c>
      <c r="X21" s="16">
        <f>IF(W21='MASTER data'!$E22,'MASTER data'!$G22,"")</f>
        <v>0</v>
      </c>
      <c r="Y21" s="90" t="str">
        <f>IF('MASTER data'!$B22="RIL",IF(MONTH('MASTER data'!$E22)=MONTH(Y$4),'MASTER data'!$E22,""),"")</f>
        <v/>
      </c>
      <c r="Z21" s="16">
        <f>IF(Y21='MASTER data'!$E22,'MASTER data'!$G22,"")</f>
        <v>0</v>
      </c>
    </row>
    <row r="22" spans="1:26">
      <c r="A22" s="5"/>
      <c r="B22" s="6"/>
      <c r="C22" s="90" t="str">
        <f>IF('MASTER data'!$B23="RIL",IF(MONTH('MASTER data'!$E23)=MONTH(C$4),'MASTER data'!$E23,""),"")</f>
        <v/>
      </c>
      <c r="D22" s="16">
        <f>IF(C22='MASTER data'!$E23,'MASTER data'!$G23,"")</f>
        <v>0</v>
      </c>
      <c r="E22" s="90" t="str">
        <f>IF('MASTER data'!$B23="RIL",IF(MONTH('MASTER data'!$E23)=MONTH(E$4),'MASTER data'!$E23,""),"")</f>
        <v/>
      </c>
      <c r="F22" s="16">
        <f>IF(E22='MASTER data'!$E23,'MASTER data'!$G23,"")</f>
        <v>0</v>
      </c>
      <c r="G22" s="90" t="str">
        <f>IF('MASTER data'!$B23="RIL",IF(MONTH('MASTER data'!$E23)=MONTH(G$4),'MASTER data'!$E23,""),"")</f>
        <v/>
      </c>
      <c r="H22" s="16">
        <f>IF(G22='MASTER data'!$E23,'MASTER data'!$G23,"")</f>
        <v>0</v>
      </c>
      <c r="I22" s="90" t="str">
        <f>IF('MASTER data'!$B23="RIL",IF(MONTH('MASTER data'!$E23)=MONTH(I$4),'MASTER data'!$E23,""),"")</f>
        <v/>
      </c>
      <c r="J22" s="16">
        <f>IF(I22='MASTER data'!$E23,'MASTER data'!$G23,"")</f>
        <v>0</v>
      </c>
      <c r="K22" s="90" t="str">
        <f>IF('MASTER data'!$B23="RIL",IF(MONTH('MASTER data'!$E23)=MONTH(K$4),'MASTER data'!$E23,""),"")</f>
        <v/>
      </c>
      <c r="L22" s="16">
        <f>IF(K22='MASTER data'!$E23,'MASTER data'!$G23,"")</f>
        <v>0</v>
      </c>
      <c r="M22" s="90" t="str">
        <f>IF('MASTER data'!$B23="RIL",IF(MONTH('MASTER data'!$E23)=MONTH(M$4),'MASTER data'!$E23,""),"")</f>
        <v/>
      </c>
      <c r="N22" s="16">
        <f>IF(M22='MASTER data'!$E23,'MASTER data'!$G23,"")</f>
        <v>0</v>
      </c>
      <c r="O22" s="90" t="str">
        <f>IF('MASTER data'!$B23="RIL",IF(MONTH('MASTER data'!$E23)=MONTH(O$4),'MASTER data'!$E23,""),"")</f>
        <v/>
      </c>
      <c r="P22" s="16">
        <f>IF(O22='MASTER data'!$E23,'MASTER data'!$G23,"")</f>
        <v>0</v>
      </c>
      <c r="Q22" s="90" t="str">
        <f>IF('MASTER data'!$B23="RIL",IF(MONTH('MASTER data'!$E23)=MONTH(Q$4),'MASTER data'!$E23,""),"")</f>
        <v/>
      </c>
      <c r="R22" s="16">
        <f>IF(Q22='MASTER data'!$E23,'MASTER data'!$G23,"")</f>
        <v>0</v>
      </c>
      <c r="S22" s="90" t="str">
        <f>IF('MASTER data'!$B23="RIL",IF(MONTH('MASTER data'!$E23)=MONTH(S$4),'MASTER data'!$E23,""),"")</f>
        <v/>
      </c>
      <c r="T22" s="16">
        <f>IF(S22='MASTER data'!$E23,'MASTER data'!$G23,"")</f>
        <v>0</v>
      </c>
      <c r="U22" s="90" t="str">
        <f>IF('MASTER data'!$B23="RIL",IF(MONTH('MASTER data'!$E23)=MONTH(U$4),'MASTER data'!$E23,""),"")</f>
        <v/>
      </c>
      <c r="V22" s="16">
        <f>IF(U22='MASTER data'!$E23,'MASTER data'!$G23,"")</f>
        <v>0</v>
      </c>
      <c r="W22" s="90" t="str">
        <f>IF('MASTER data'!$B23="RIL",IF(MONTH('MASTER data'!$E23)=MONTH(W$4),'MASTER data'!$E23,""),"")</f>
        <v/>
      </c>
      <c r="X22" s="16">
        <f>IF(W22='MASTER data'!$E23,'MASTER data'!$G23,"")</f>
        <v>0</v>
      </c>
      <c r="Y22" s="90" t="str">
        <f>IF('MASTER data'!$B23="RIL",IF(MONTH('MASTER data'!$E23)=MONTH(Y$4),'MASTER data'!$E23,""),"")</f>
        <v/>
      </c>
      <c r="Z22" s="16">
        <f>IF(Y22='MASTER data'!$E23,'MASTER data'!$G23,"")</f>
        <v>0</v>
      </c>
    </row>
    <row r="23" spans="1:26">
      <c r="A23" s="5"/>
      <c r="B23" s="6"/>
      <c r="C23" s="90" t="str">
        <f>IF('MASTER data'!$B24="RIL",IF(MONTH('MASTER data'!$E24)=MONTH(C$4),'MASTER data'!$E24,""),"")</f>
        <v/>
      </c>
      <c r="D23" s="16">
        <f>IF(C23='MASTER data'!$E24,'MASTER data'!$G24,"")</f>
        <v>0</v>
      </c>
      <c r="E23" s="90" t="str">
        <f>IF('MASTER data'!$B24="RIL",IF(MONTH('MASTER data'!$E24)=MONTH(E$4),'MASTER data'!$E24,""),"")</f>
        <v/>
      </c>
      <c r="F23" s="16">
        <f>IF(E23='MASTER data'!$E24,'MASTER data'!$G24,"")</f>
        <v>0</v>
      </c>
      <c r="G23" s="90" t="str">
        <f>IF('MASTER data'!$B24="RIL",IF(MONTH('MASTER data'!$E24)=MONTH(G$4),'MASTER data'!$E24,""),"")</f>
        <v/>
      </c>
      <c r="H23" s="16">
        <f>IF(G23='MASTER data'!$E24,'MASTER data'!$G24,"")</f>
        <v>0</v>
      </c>
      <c r="I23" s="90" t="str">
        <f>IF('MASTER data'!$B24="RIL",IF(MONTH('MASTER data'!$E24)=MONTH(I$4),'MASTER data'!$E24,""),"")</f>
        <v/>
      </c>
      <c r="J23" s="16">
        <f>IF(I23='MASTER data'!$E24,'MASTER data'!$G24,"")</f>
        <v>0</v>
      </c>
      <c r="K23" s="90" t="str">
        <f>IF('MASTER data'!$B24="RIL",IF(MONTH('MASTER data'!$E24)=MONTH(K$4),'MASTER data'!$E24,""),"")</f>
        <v/>
      </c>
      <c r="L23" s="16">
        <f>IF(K23='MASTER data'!$E24,'MASTER data'!$G24,"")</f>
        <v>0</v>
      </c>
      <c r="M23" s="90" t="str">
        <f>IF('MASTER data'!$B24="RIL",IF(MONTH('MASTER data'!$E24)=MONTH(M$4),'MASTER data'!$E24,""),"")</f>
        <v/>
      </c>
      <c r="N23" s="16">
        <f>IF(M23='MASTER data'!$E24,'MASTER data'!$G24,"")</f>
        <v>0</v>
      </c>
      <c r="O23" s="90" t="str">
        <f>IF('MASTER data'!$B24="RIL",IF(MONTH('MASTER data'!$E24)=MONTH(O$4),'MASTER data'!$E24,""),"")</f>
        <v/>
      </c>
      <c r="P23" s="16">
        <f>IF(O23='MASTER data'!$E24,'MASTER data'!$G24,"")</f>
        <v>0</v>
      </c>
      <c r="Q23" s="90" t="str">
        <f>IF('MASTER data'!$B24="RIL",IF(MONTH('MASTER data'!$E24)=MONTH(Q$4),'MASTER data'!$E24,""),"")</f>
        <v/>
      </c>
      <c r="R23" s="16">
        <f>IF(Q23='MASTER data'!$E24,'MASTER data'!$G24,"")</f>
        <v>0</v>
      </c>
      <c r="S23" s="90" t="str">
        <f>IF('MASTER data'!$B24="RIL",IF(MONTH('MASTER data'!$E24)=MONTH(S$4),'MASTER data'!$E24,""),"")</f>
        <v/>
      </c>
      <c r="T23" s="16">
        <f>IF(S23='MASTER data'!$E24,'MASTER data'!$G24,"")</f>
        <v>0</v>
      </c>
      <c r="U23" s="90" t="str">
        <f>IF('MASTER data'!$B24="RIL",IF(MONTH('MASTER data'!$E24)=MONTH(U$4),'MASTER data'!$E24,""),"")</f>
        <v/>
      </c>
      <c r="V23" s="16">
        <f>IF(U23='MASTER data'!$E24,'MASTER data'!$G24,"")</f>
        <v>0</v>
      </c>
      <c r="W23" s="90" t="str">
        <f>IF('MASTER data'!$B24="RIL",IF(MONTH('MASTER data'!$E24)=MONTH(W$4),'MASTER data'!$E24,""),"")</f>
        <v/>
      </c>
      <c r="X23" s="16">
        <f>IF(W23='MASTER data'!$E24,'MASTER data'!$G24,"")</f>
        <v>0</v>
      </c>
      <c r="Y23" s="90" t="str">
        <f>IF('MASTER data'!$B24="RIL",IF(MONTH('MASTER data'!$E24)=MONTH(Y$4),'MASTER data'!$E24,""),"")</f>
        <v/>
      </c>
      <c r="Z23" s="16">
        <f>IF(Y23='MASTER data'!$E24,'MASTER data'!$G24,"")</f>
        <v>0</v>
      </c>
    </row>
    <row r="24" spans="1:26">
      <c r="A24" s="5"/>
      <c r="B24" s="6"/>
      <c r="C24" s="90" t="str">
        <f>IF('MASTER data'!$B25="RIL",IF(MONTH('MASTER data'!$E25)=MONTH(C$4),'MASTER data'!$E25,""),"")</f>
        <v/>
      </c>
      <c r="D24" s="16">
        <f>IF(C24='MASTER data'!$E25,'MASTER data'!$G25,"")</f>
        <v>0</v>
      </c>
      <c r="E24" s="90" t="str">
        <f>IF('MASTER data'!$B25="RIL",IF(MONTH('MASTER data'!$E25)=MONTH(E$4),'MASTER data'!$E25,""),"")</f>
        <v/>
      </c>
      <c r="F24" s="16">
        <f>IF(E24='MASTER data'!$E25,'MASTER data'!$G25,"")</f>
        <v>0</v>
      </c>
      <c r="G24" s="90" t="str">
        <f>IF('MASTER data'!$B25="RIL",IF(MONTH('MASTER data'!$E25)=MONTH(G$4),'MASTER data'!$E25,""),"")</f>
        <v/>
      </c>
      <c r="H24" s="16">
        <f>IF(G24='MASTER data'!$E25,'MASTER data'!$G25,"")</f>
        <v>0</v>
      </c>
      <c r="I24" s="90" t="str">
        <f>IF('MASTER data'!$B25="RIL",IF(MONTH('MASTER data'!$E25)=MONTH(I$4),'MASTER data'!$E25,""),"")</f>
        <v/>
      </c>
      <c r="J24" s="16">
        <f>IF(I24='MASTER data'!$E25,'MASTER data'!$G25,"")</f>
        <v>0</v>
      </c>
      <c r="K24" s="90" t="str">
        <f>IF('MASTER data'!$B25="RIL",IF(MONTH('MASTER data'!$E25)=MONTH(K$4),'MASTER data'!$E25,""),"")</f>
        <v/>
      </c>
      <c r="L24" s="16">
        <f>IF(K24='MASTER data'!$E25,'MASTER data'!$G25,"")</f>
        <v>0</v>
      </c>
      <c r="M24" s="90" t="str">
        <f>IF('MASTER data'!$B25="RIL",IF(MONTH('MASTER data'!$E25)=MONTH(M$4),'MASTER data'!$E25,""),"")</f>
        <v/>
      </c>
      <c r="N24" s="16">
        <f>IF(M24='MASTER data'!$E25,'MASTER data'!$G25,"")</f>
        <v>0</v>
      </c>
      <c r="O24" s="90" t="str">
        <f>IF('MASTER data'!$B25="RIL",IF(MONTH('MASTER data'!$E25)=MONTH(O$4),'MASTER data'!$E25,""),"")</f>
        <v/>
      </c>
      <c r="P24" s="16">
        <f>IF(O24='MASTER data'!$E25,'MASTER data'!$G25,"")</f>
        <v>0</v>
      </c>
      <c r="Q24" s="90" t="str">
        <f>IF('MASTER data'!$B25="RIL",IF(MONTH('MASTER data'!$E25)=MONTH(Q$4),'MASTER data'!$E25,""),"")</f>
        <v/>
      </c>
      <c r="R24" s="16">
        <f>IF(Q24='MASTER data'!$E25,'MASTER data'!$G25,"")</f>
        <v>0</v>
      </c>
      <c r="S24" s="90" t="str">
        <f>IF('MASTER data'!$B25="RIL",IF(MONTH('MASTER data'!$E25)=MONTH(S$4),'MASTER data'!$E25,""),"")</f>
        <v/>
      </c>
      <c r="T24" s="16">
        <f>IF(S24='MASTER data'!$E25,'MASTER data'!$G25,"")</f>
        <v>0</v>
      </c>
      <c r="U24" s="90" t="str">
        <f>IF('MASTER data'!$B25="RIL",IF(MONTH('MASTER data'!$E25)=MONTH(U$4),'MASTER data'!$E25,""),"")</f>
        <v/>
      </c>
      <c r="V24" s="16">
        <f>IF(U24='MASTER data'!$E25,'MASTER data'!$G25,"")</f>
        <v>0</v>
      </c>
      <c r="W24" s="90" t="str">
        <f>IF('MASTER data'!$B25="RIL",IF(MONTH('MASTER data'!$E25)=MONTH(W$4),'MASTER data'!$E25,""),"")</f>
        <v/>
      </c>
      <c r="X24" s="16">
        <f>IF(W24='MASTER data'!$E25,'MASTER data'!$G25,"")</f>
        <v>0</v>
      </c>
      <c r="Y24" s="90" t="str">
        <f>IF('MASTER data'!$B25="RIL",IF(MONTH('MASTER data'!$E25)=MONTH(Y$4),'MASTER data'!$E25,""),"")</f>
        <v/>
      </c>
      <c r="Z24" s="16">
        <f>IF(Y24='MASTER data'!$E25,'MASTER data'!$G25,"")</f>
        <v>0</v>
      </c>
    </row>
    <row r="25" spans="1:26">
      <c r="A25" s="5"/>
      <c r="B25" s="6"/>
      <c r="C25" s="90" t="str">
        <f>IF('MASTER data'!$B26="RIL",IF(MONTH('MASTER data'!$E26)=MONTH(C$4),'MASTER data'!$E26,""),"")</f>
        <v/>
      </c>
      <c r="D25" s="16">
        <f>IF(C25='MASTER data'!$E26,'MASTER data'!$G26,"")</f>
        <v>0</v>
      </c>
      <c r="E25" s="90" t="str">
        <f>IF('MASTER data'!$B26="RIL",IF(MONTH('MASTER data'!$E26)=MONTH(E$4),'MASTER data'!$E26,""),"")</f>
        <v/>
      </c>
      <c r="F25" s="16">
        <f>IF(E25='MASTER data'!$E26,'MASTER data'!$G26,"")</f>
        <v>0</v>
      </c>
      <c r="G25" s="90" t="str">
        <f>IF('MASTER data'!$B26="RIL",IF(MONTH('MASTER data'!$E26)=MONTH(G$4),'MASTER data'!$E26,""),"")</f>
        <v/>
      </c>
      <c r="H25" s="16">
        <f>IF(G25='MASTER data'!$E26,'MASTER data'!$G26,"")</f>
        <v>0</v>
      </c>
      <c r="I25" s="90" t="str">
        <f>IF('MASTER data'!$B26="RIL",IF(MONTH('MASTER data'!$E26)=MONTH(I$4),'MASTER data'!$E26,""),"")</f>
        <v/>
      </c>
      <c r="J25" s="16">
        <f>IF(I25='MASTER data'!$E26,'MASTER data'!$G26,"")</f>
        <v>0</v>
      </c>
      <c r="K25" s="90" t="str">
        <f>IF('MASTER data'!$B26="RIL",IF(MONTH('MASTER data'!$E26)=MONTH(K$4),'MASTER data'!$E26,""),"")</f>
        <v/>
      </c>
      <c r="L25" s="16">
        <f>IF(K25='MASTER data'!$E26,'MASTER data'!$G26,"")</f>
        <v>0</v>
      </c>
      <c r="M25" s="90" t="str">
        <f>IF('MASTER data'!$B26="RIL",IF(MONTH('MASTER data'!$E26)=MONTH(M$4),'MASTER data'!$E26,""),"")</f>
        <v/>
      </c>
      <c r="N25" s="16">
        <f>IF(M25='MASTER data'!$E26,'MASTER data'!$G26,"")</f>
        <v>0</v>
      </c>
      <c r="O25" s="90" t="str">
        <f>IF('MASTER data'!$B26="RIL",IF(MONTH('MASTER data'!$E26)=MONTH(O$4),'MASTER data'!$E26,""),"")</f>
        <v/>
      </c>
      <c r="P25" s="16">
        <f>IF(O25='MASTER data'!$E26,'MASTER data'!$G26,"")</f>
        <v>0</v>
      </c>
      <c r="Q25" s="90" t="str">
        <f>IF('MASTER data'!$B26="RIL",IF(MONTH('MASTER data'!$E26)=MONTH(Q$4),'MASTER data'!$E26,""),"")</f>
        <v/>
      </c>
      <c r="R25" s="16">
        <f>IF(Q25='MASTER data'!$E26,'MASTER data'!$G26,"")</f>
        <v>0</v>
      </c>
      <c r="S25" s="90" t="str">
        <f>IF('MASTER data'!$B26="RIL",IF(MONTH('MASTER data'!$E26)=MONTH(S$4),'MASTER data'!$E26,""),"")</f>
        <v/>
      </c>
      <c r="T25" s="16">
        <f>IF(S25='MASTER data'!$E26,'MASTER data'!$G26,"")</f>
        <v>0</v>
      </c>
      <c r="U25" s="90" t="str">
        <f>IF('MASTER data'!$B26="RIL",IF(MONTH('MASTER data'!$E26)=MONTH(U$4),'MASTER data'!$E26,""),"")</f>
        <v/>
      </c>
      <c r="V25" s="16">
        <f>IF(U25='MASTER data'!$E26,'MASTER data'!$G26,"")</f>
        <v>0</v>
      </c>
      <c r="W25" s="90" t="str">
        <f>IF('MASTER data'!$B26="RIL",IF(MONTH('MASTER data'!$E26)=MONTH(W$4),'MASTER data'!$E26,""),"")</f>
        <v/>
      </c>
      <c r="X25" s="16">
        <f>IF(W25='MASTER data'!$E26,'MASTER data'!$G26,"")</f>
        <v>0</v>
      </c>
      <c r="Y25" s="90" t="str">
        <f>IF('MASTER data'!$B26="RIL",IF(MONTH('MASTER data'!$E26)=MONTH(Y$4),'MASTER data'!$E26,""),"")</f>
        <v/>
      </c>
      <c r="Z25" s="16">
        <f>IF(Y25='MASTER data'!$E26,'MASTER data'!$G26,"")</f>
        <v>0</v>
      </c>
    </row>
    <row r="26" spans="1:26">
      <c r="A26" s="5"/>
      <c r="B26" s="6"/>
      <c r="C26" s="90" t="str">
        <f>IF('MASTER data'!$B27="RIL",IF(MONTH('MASTER data'!$E27)=MONTH(C$4),'MASTER data'!$E27,""),"")</f>
        <v/>
      </c>
      <c r="D26" s="16">
        <f>IF(C26='MASTER data'!$E27,'MASTER data'!$G27,"")</f>
        <v>0</v>
      </c>
      <c r="E26" s="90" t="str">
        <f>IF('MASTER data'!$B27="RIL",IF(MONTH('MASTER data'!$E27)=MONTH(E$4),'MASTER data'!$E27,""),"")</f>
        <v/>
      </c>
      <c r="F26" s="16">
        <f>IF(E26='MASTER data'!$E27,'MASTER data'!$G27,"")</f>
        <v>0</v>
      </c>
      <c r="G26" s="90" t="str">
        <f>IF('MASTER data'!$B27="RIL",IF(MONTH('MASTER data'!$E27)=MONTH(G$4),'MASTER data'!$E27,""),"")</f>
        <v/>
      </c>
      <c r="H26" s="16">
        <f>IF(G26='MASTER data'!$E27,'MASTER data'!$G27,"")</f>
        <v>0</v>
      </c>
      <c r="I26" s="90" t="str">
        <f>IF('MASTER data'!$B27="RIL",IF(MONTH('MASTER data'!$E27)=MONTH(I$4),'MASTER data'!$E27,""),"")</f>
        <v/>
      </c>
      <c r="J26" s="16">
        <f>IF(I26='MASTER data'!$E27,'MASTER data'!$G27,"")</f>
        <v>0</v>
      </c>
      <c r="K26" s="90" t="str">
        <f>IF('MASTER data'!$B27="RIL",IF(MONTH('MASTER data'!$E27)=MONTH(K$4),'MASTER data'!$E27,""),"")</f>
        <v/>
      </c>
      <c r="L26" s="16">
        <f>IF(K26='MASTER data'!$E27,'MASTER data'!$G27,"")</f>
        <v>0</v>
      </c>
      <c r="M26" s="90" t="str">
        <f>IF('MASTER data'!$B27="RIL",IF(MONTH('MASTER data'!$E27)=MONTH(M$4),'MASTER data'!$E27,""),"")</f>
        <v/>
      </c>
      <c r="N26" s="16">
        <f>IF(M26='MASTER data'!$E27,'MASTER data'!$G27,"")</f>
        <v>0</v>
      </c>
      <c r="O26" s="90" t="str">
        <f>IF('MASTER data'!$B27="RIL",IF(MONTH('MASTER data'!$E27)=MONTH(O$4),'MASTER data'!$E27,""),"")</f>
        <v/>
      </c>
      <c r="P26" s="16">
        <f>IF(O26='MASTER data'!$E27,'MASTER data'!$G27,"")</f>
        <v>0</v>
      </c>
      <c r="Q26" s="90" t="str">
        <f>IF('MASTER data'!$B27="RIL",IF(MONTH('MASTER data'!$E27)=MONTH(Q$4),'MASTER data'!$E27,""),"")</f>
        <v/>
      </c>
      <c r="R26" s="16">
        <f>IF(Q26='MASTER data'!$E27,'MASTER data'!$G27,"")</f>
        <v>0</v>
      </c>
      <c r="S26" s="90" t="str">
        <f>IF('MASTER data'!$B27="RIL",IF(MONTH('MASTER data'!$E27)=MONTH(S$4),'MASTER data'!$E27,""),"")</f>
        <v/>
      </c>
      <c r="T26" s="16">
        <f>IF(S26='MASTER data'!$E27,'MASTER data'!$G27,"")</f>
        <v>0</v>
      </c>
      <c r="U26" s="90" t="str">
        <f>IF('MASTER data'!$B27="RIL",IF(MONTH('MASTER data'!$E27)=MONTH(U$4),'MASTER data'!$E27,""),"")</f>
        <v/>
      </c>
      <c r="V26" s="16">
        <f>IF(U26='MASTER data'!$E27,'MASTER data'!$G27,"")</f>
        <v>0</v>
      </c>
      <c r="W26" s="90" t="str">
        <f>IF('MASTER data'!$B27="RIL",IF(MONTH('MASTER data'!$E27)=MONTH(W$4),'MASTER data'!$E27,""),"")</f>
        <v/>
      </c>
      <c r="X26" s="16">
        <f>IF(W26='MASTER data'!$E27,'MASTER data'!$G27,"")</f>
        <v>0</v>
      </c>
      <c r="Y26" s="90" t="str">
        <f>IF('MASTER data'!$B27="RIL",IF(MONTH('MASTER data'!$E27)=MONTH(Y$4),'MASTER data'!$E27,""),"")</f>
        <v/>
      </c>
      <c r="Z26" s="16">
        <f>IF(Y26='MASTER data'!$E27,'MASTER data'!$G27,"")</f>
        <v>0</v>
      </c>
    </row>
    <row r="27" spans="1:26">
      <c r="A27" s="5"/>
      <c r="B27" s="6"/>
      <c r="C27" s="90" t="str">
        <f>IF('MASTER data'!$B28="RIL",IF(MONTH('MASTER data'!$E28)=MONTH(C$4),'MASTER data'!$E28,""),"")</f>
        <v/>
      </c>
      <c r="D27" s="16">
        <f>IF(C27='MASTER data'!$E28,'MASTER data'!$G28,"")</f>
        <v>0</v>
      </c>
      <c r="E27" s="90" t="str">
        <f>IF('MASTER data'!$B28="RIL",IF(MONTH('MASTER data'!$E28)=MONTH(E$4),'MASTER data'!$E28,""),"")</f>
        <v/>
      </c>
      <c r="F27" s="16">
        <f>IF(E27='MASTER data'!$E28,'MASTER data'!$G28,"")</f>
        <v>0</v>
      </c>
      <c r="G27" s="90" t="str">
        <f>IF('MASTER data'!$B28="RIL",IF(MONTH('MASTER data'!$E28)=MONTH(G$4),'MASTER data'!$E28,""),"")</f>
        <v/>
      </c>
      <c r="H27" s="16">
        <f>IF(G27='MASTER data'!$E28,'MASTER data'!$G28,"")</f>
        <v>0</v>
      </c>
      <c r="I27" s="90" t="str">
        <f>IF('MASTER data'!$B28="RIL",IF(MONTH('MASTER data'!$E28)=MONTH(I$4),'MASTER data'!$E28,""),"")</f>
        <v/>
      </c>
      <c r="J27" s="16">
        <f>IF(I27='MASTER data'!$E28,'MASTER data'!$G28,"")</f>
        <v>0</v>
      </c>
      <c r="K27" s="90" t="str">
        <f>IF('MASTER data'!$B28="RIL",IF(MONTH('MASTER data'!$E28)=MONTH(K$4),'MASTER data'!$E28,""),"")</f>
        <v/>
      </c>
      <c r="L27" s="16">
        <f>IF(K27='MASTER data'!$E28,'MASTER data'!$G28,"")</f>
        <v>0</v>
      </c>
      <c r="M27" s="90" t="str">
        <f>IF('MASTER data'!$B28="RIL",IF(MONTH('MASTER data'!$E28)=MONTH(M$4),'MASTER data'!$E28,""),"")</f>
        <v/>
      </c>
      <c r="N27" s="16">
        <f>IF(M27='MASTER data'!$E28,'MASTER data'!$G28,"")</f>
        <v>0</v>
      </c>
      <c r="O27" s="90" t="str">
        <f>IF('MASTER data'!$B28="RIL",IF(MONTH('MASTER data'!$E28)=MONTH(O$4),'MASTER data'!$E28,""),"")</f>
        <v/>
      </c>
      <c r="P27" s="16">
        <f>IF(O27='MASTER data'!$E28,'MASTER data'!$G28,"")</f>
        <v>0</v>
      </c>
      <c r="Q27" s="90" t="str">
        <f>IF('MASTER data'!$B28="RIL",IF(MONTH('MASTER data'!$E28)=MONTH(Q$4),'MASTER data'!$E28,""),"")</f>
        <v/>
      </c>
      <c r="R27" s="16">
        <f>IF(Q27='MASTER data'!$E28,'MASTER data'!$G28,"")</f>
        <v>0</v>
      </c>
      <c r="S27" s="90" t="str">
        <f>IF('MASTER data'!$B28="RIL",IF(MONTH('MASTER data'!$E28)=MONTH(S$4),'MASTER data'!$E28,""),"")</f>
        <v/>
      </c>
      <c r="T27" s="16">
        <f>IF(S27='MASTER data'!$E28,'MASTER data'!$G28,"")</f>
        <v>0</v>
      </c>
      <c r="U27" s="90" t="str">
        <f>IF('MASTER data'!$B28="RIL",IF(MONTH('MASTER data'!$E28)=MONTH(U$4),'MASTER data'!$E28,""),"")</f>
        <v/>
      </c>
      <c r="V27" s="16">
        <f>IF(U27='MASTER data'!$E28,'MASTER data'!$G28,"")</f>
        <v>0</v>
      </c>
      <c r="W27" s="90" t="str">
        <f>IF('MASTER data'!$B28="RIL",IF(MONTH('MASTER data'!$E28)=MONTH(W$4),'MASTER data'!$E28,""),"")</f>
        <v/>
      </c>
      <c r="X27" s="16">
        <f>IF(W27='MASTER data'!$E28,'MASTER data'!$G28,"")</f>
        <v>0</v>
      </c>
      <c r="Y27" s="90" t="str">
        <f>IF('MASTER data'!$B28="RIL",IF(MONTH('MASTER data'!$E28)=MONTH(Y$4),'MASTER data'!$E28,""),"")</f>
        <v/>
      </c>
      <c r="Z27" s="16">
        <f>IF(Y27='MASTER data'!$E28,'MASTER data'!$G28,"")</f>
        <v>0</v>
      </c>
    </row>
    <row r="28" spans="1:26">
      <c r="A28" s="5"/>
      <c r="B28" s="6"/>
      <c r="C28" s="90" t="str">
        <f>IF('MASTER data'!$B29="RIL",IF(MONTH('MASTER data'!$E29)=MONTH(C$4),'MASTER data'!$E29,""),"")</f>
        <v/>
      </c>
      <c r="D28" s="16">
        <f>IF(C28='MASTER data'!$E29,'MASTER data'!$G29,"")</f>
        <v>0</v>
      </c>
      <c r="E28" s="90" t="str">
        <f>IF('MASTER data'!$B29="RIL",IF(MONTH('MASTER data'!$E29)=MONTH(E$4),'MASTER data'!$E29,""),"")</f>
        <v/>
      </c>
      <c r="F28" s="16">
        <f>IF(E28='MASTER data'!$E29,'MASTER data'!$G29,"")</f>
        <v>0</v>
      </c>
      <c r="G28" s="90" t="str">
        <f>IF('MASTER data'!$B29="RIL",IF(MONTH('MASTER data'!$E29)=MONTH(G$4),'MASTER data'!$E29,""),"")</f>
        <v/>
      </c>
      <c r="H28" s="16">
        <f>IF(G28='MASTER data'!$E29,'MASTER data'!$G29,"")</f>
        <v>0</v>
      </c>
      <c r="I28" s="90" t="str">
        <f>IF('MASTER data'!$B29="RIL",IF(MONTH('MASTER data'!$E29)=MONTH(I$4),'MASTER data'!$E29,""),"")</f>
        <v/>
      </c>
      <c r="J28" s="16">
        <f>IF(I28='MASTER data'!$E29,'MASTER data'!$G29,"")</f>
        <v>0</v>
      </c>
      <c r="K28" s="90" t="str">
        <f>IF('MASTER data'!$B29="RIL",IF(MONTH('MASTER data'!$E29)=MONTH(K$4),'MASTER data'!$E29,""),"")</f>
        <v/>
      </c>
      <c r="L28" s="16">
        <f>IF(K28='MASTER data'!$E29,'MASTER data'!$G29,"")</f>
        <v>0</v>
      </c>
      <c r="M28" s="90" t="str">
        <f>IF('MASTER data'!$B29="RIL",IF(MONTH('MASTER data'!$E29)=MONTH(M$4),'MASTER data'!$E29,""),"")</f>
        <v/>
      </c>
      <c r="N28" s="16">
        <f>IF(M28='MASTER data'!$E29,'MASTER data'!$G29,"")</f>
        <v>0</v>
      </c>
      <c r="O28" s="90" t="str">
        <f>IF('MASTER data'!$B29="RIL",IF(MONTH('MASTER data'!$E29)=MONTH(O$4),'MASTER data'!$E29,""),"")</f>
        <v/>
      </c>
      <c r="P28" s="16">
        <f>IF(O28='MASTER data'!$E29,'MASTER data'!$G29,"")</f>
        <v>0</v>
      </c>
      <c r="Q28" s="90" t="str">
        <f>IF('MASTER data'!$B29="RIL",IF(MONTH('MASTER data'!$E29)=MONTH(Q$4),'MASTER data'!$E29,""),"")</f>
        <v/>
      </c>
      <c r="R28" s="16">
        <f>IF(Q28='MASTER data'!$E29,'MASTER data'!$G29,"")</f>
        <v>0</v>
      </c>
      <c r="S28" s="90" t="str">
        <f>IF('MASTER data'!$B29="RIL",IF(MONTH('MASTER data'!$E29)=MONTH(S$4),'MASTER data'!$E29,""),"")</f>
        <v/>
      </c>
      <c r="T28" s="16">
        <f>IF(S28='MASTER data'!$E29,'MASTER data'!$G29,"")</f>
        <v>0</v>
      </c>
      <c r="U28" s="90" t="str">
        <f>IF('MASTER data'!$B29="RIL",IF(MONTH('MASTER data'!$E29)=MONTH(U$4),'MASTER data'!$E29,""),"")</f>
        <v/>
      </c>
      <c r="V28" s="16">
        <f>IF(U28='MASTER data'!$E29,'MASTER data'!$G29,"")</f>
        <v>0</v>
      </c>
      <c r="W28" s="90" t="str">
        <f>IF('MASTER data'!$B29="RIL",IF(MONTH('MASTER data'!$E29)=MONTH(W$4),'MASTER data'!$E29,""),"")</f>
        <v/>
      </c>
      <c r="X28" s="16">
        <f>IF(W28='MASTER data'!$E29,'MASTER data'!$G29,"")</f>
        <v>0</v>
      </c>
      <c r="Y28" s="90" t="str">
        <f>IF('MASTER data'!$B29="RIL",IF(MONTH('MASTER data'!$E29)=MONTH(Y$4),'MASTER data'!$E29,""),"")</f>
        <v/>
      </c>
      <c r="Z28" s="16">
        <f>IF(Y28='MASTER data'!$E29,'MASTER data'!$G29,"")</f>
        <v>0</v>
      </c>
    </row>
    <row r="29" spans="1:26">
      <c r="A29" s="5"/>
      <c r="B29" s="6"/>
      <c r="C29" s="90" t="str">
        <f>IF('MASTER data'!$B30="RIL",IF(MONTH('MASTER data'!$E30)=MONTH(C$4),'MASTER data'!$E30,""),"")</f>
        <v/>
      </c>
      <c r="D29" s="16">
        <f>IF(C29='MASTER data'!$E30,'MASTER data'!$G30,"")</f>
        <v>0</v>
      </c>
      <c r="E29" s="90" t="str">
        <f>IF('MASTER data'!$B30="RIL",IF(MONTH('MASTER data'!$E30)=MONTH(E$4),'MASTER data'!$E30,""),"")</f>
        <v/>
      </c>
      <c r="F29" s="16">
        <f>IF(E29='MASTER data'!$E30,'MASTER data'!$G30,"")</f>
        <v>0</v>
      </c>
      <c r="G29" s="90" t="str">
        <f>IF('MASTER data'!$B30="RIL",IF(MONTH('MASTER data'!$E30)=MONTH(G$4),'MASTER data'!$E30,""),"")</f>
        <v/>
      </c>
      <c r="H29" s="16">
        <f>IF(G29='MASTER data'!$E30,'MASTER data'!$G30,"")</f>
        <v>0</v>
      </c>
      <c r="I29" s="90" t="str">
        <f>IF('MASTER data'!$B30="RIL",IF(MONTH('MASTER data'!$E30)=MONTH(I$4),'MASTER data'!$E30,""),"")</f>
        <v/>
      </c>
      <c r="J29" s="16">
        <f>IF(I29='MASTER data'!$E30,'MASTER data'!$G30,"")</f>
        <v>0</v>
      </c>
      <c r="K29" s="90" t="str">
        <f>IF('MASTER data'!$B30="RIL",IF(MONTH('MASTER data'!$E30)=MONTH(K$4),'MASTER data'!$E30,""),"")</f>
        <v/>
      </c>
      <c r="L29" s="16">
        <f>IF(K29='MASTER data'!$E30,'MASTER data'!$G30,"")</f>
        <v>0</v>
      </c>
      <c r="M29" s="90" t="str">
        <f>IF('MASTER data'!$B30="RIL",IF(MONTH('MASTER data'!$E30)=MONTH(M$4),'MASTER data'!$E30,""),"")</f>
        <v/>
      </c>
      <c r="N29" s="16">
        <f>IF(M29='MASTER data'!$E30,'MASTER data'!$G30,"")</f>
        <v>0</v>
      </c>
      <c r="O29" s="90" t="str">
        <f>IF('MASTER data'!$B30="RIL",IF(MONTH('MASTER data'!$E30)=MONTH(O$4),'MASTER data'!$E30,""),"")</f>
        <v/>
      </c>
      <c r="P29" s="16">
        <f>IF(O29='MASTER data'!$E30,'MASTER data'!$G30,"")</f>
        <v>0</v>
      </c>
      <c r="Q29" s="90" t="str">
        <f>IF('MASTER data'!$B30="RIL",IF(MONTH('MASTER data'!$E30)=MONTH(Q$4),'MASTER data'!$E30,""),"")</f>
        <v/>
      </c>
      <c r="R29" s="16">
        <f>IF(Q29='MASTER data'!$E30,'MASTER data'!$G30,"")</f>
        <v>0</v>
      </c>
      <c r="S29" s="90" t="str">
        <f>IF('MASTER data'!$B30="RIL",IF(MONTH('MASTER data'!$E30)=MONTH(S$4),'MASTER data'!$E30,""),"")</f>
        <v/>
      </c>
      <c r="T29" s="16">
        <f>IF(S29='MASTER data'!$E30,'MASTER data'!$G30,"")</f>
        <v>0</v>
      </c>
      <c r="U29" s="90" t="str">
        <f>IF('MASTER data'!$B30="RIL",IF(MONTH('MASTER data'!$E30)=MONTH(U$4),'MASTER data'!$E30,""),"")</f>
        <v/>
      </c>
      <c r="V29" s="16">
        <f>IF(U29='MASTER data'!$E30,'MASTER data'!$G30,"")</f>
        <v>0</v>
      </c>
      <c r="W29" s="90" t="str">
        <f>IF('MASTER data'!$B30="RIL",IF(MONTH('MASTER data'!$E30)=MONTH(W$4),'MASTER data'!$E30,""),"")</f>
        <v/>
      </c>
      <c r="X29" s="16">
        <f>IF(W29='MASTER data'!$E30,'MASTER data'!$G30,"")</f>
        <v>0</v>
      </c>
      <c r="Y29" s="90" t="str">
        <f>IF('MASTER data'!$B30="RIL",IF(MONTH('MASTER data'!$E30)=MONTH(Y$4),'MASTER data'!$E30,""),"")</f>
        <v/>
      </c>
      <c r="Z29" s="16">
        <f>IF(Y29='MASTER data'!$E30,'MASTER data'!$G30,"")</f>
        <v>0</v>
      </c>
    </row>
    <row r="30" spans="1:26">
      <c r="A30" s="5"/>
      <c r="B30" s="6"/>
      <c r="C30" s="90" t="str">
        <f>IF('MASTER data'!$B31="RIL",IF(MONTH('MASTER data'!$E31)=MONTH(C$4),'MASTER data'!$E31,""),"")</f>
        <v/>
      </c>
      <c r="D30" s="16">
        <f>IF(C30='MASTER data'!$E31,'MASTER data'!$G31,"")</f>
        <v>0</v>
      </c>
      <c r="E30" s="90" t="str">
        <f>IF('MASTER data'!$B31="RIL",IF(MONTH('MASTER data'!$E31)=MONTH(E$4),'MASTER data'!$E31,""),"")</f>
        <v/>
      </c>
      <c r="F30" s="16">
        <f>IF(E30='MASTER data'!$E31,'MASTER data'!$G31,"")</f>
        <v>0</v>
      </c>
      <c r="G30" s="90" t="str">
        <f>IF('MASTER data'!$B31="RIL",IF(MONTH('MASTER data'!$E31)=MONTH(G$4),'MASTER data'!$E31,""),"")</f>
        <v/>
      </c>
      <c r="H30" s="16">
        <f>IF(G30='MASTER data'!$E31,'MASTER data'!$G31,"")</f>
        <v>0</v>
      </c>
      <c r="I30" s="90" t="str">
        <f>IF('MASTER data'!$B31="RIL",IF(MONTH('MASTER data'!$E31)=MONTH(I$4),'MASTER data'!$E31,""),"")</f>
        <v/>
      </c>
      <c r="J30" s="16">
        <f>IF(I30='MASTER data'!$E31,'MASTER data'!$G31,"")</f>
        <v>0</v>
      </c>
      <c r="K30" s="90" t="str">
        <f>IF('MASTER data'!$B31="RIL",IF(MONTH('MASTER data'!$E31)=MONTH(K$4),'MASTER data'!$E31,""),"")</f>
        <v/>
      </c>
      <c r="L30" s="16">
        <f>IF(K30='MASTER data'!$E31,'MASTER data'!$G31,"")</f>
        <v>0</v>
      </c>
      <c r="M30" s="90" t="str">
        <f>IF('MASTER data'!$B31="RIL",IF(MONTH('MASTER data'!$E31)=MONTH(M$4),'MASTER data'!$E31,""),"")</f>
        <v/>
      </c>
      <c r="N30" s="16">
        <f>IF(M30='MASTER data'!$E31,'MASTER data'!$G31,"")</f>
        <v>0</v>
      </c>
      <c r="O30" s="90" t="str">
        <f>IF('MASTER data'!$B31="RIL",IF(MONTH('MASTER data'!$E31)=MONTH(O$4),'MASTER data'!$E31,""),"")</f>
        <v/>
      </c>
      <c r="P30" s="16">
        <f>IF(O30='MASTER data'!$E31,'MASTER data'!$G31,"")</f>
        <v>0</v>
      </c>
      <c r="Q30" s="90" t="str">
        <f>IF('MASTER data'!$B31="RIL",IF(MONTH('MASTER data'!$E31)=MONTH(Q$4),'MASTER data'!$E31,""),"")</f>
        <v/>
      </c>
      <c r="R30" s="16">
        <f>IF(Q30='MASTER data'!$E31,'MASTER data'!$G31,"")</f>
        <v>0</v>
      </c>
      <c r="S30" s="90" t="str">
        <f>IF('MASTER data'!$B31="RIL",IF(MONTH('MASTER data'!$E31)=MONTH(S$4),'MASTER data'!$E31,""),"")</f>
        <v/>
      </c>
      <c r="T30" s="16">
        <f>IF(S30='MASTER data'!$E31,'MASTER data'!$G31,"")</f>
        <v>0</v>
      </c>
      <c r="U30" s="90" t="str">
        <f>IF('MASTER data'!$B31="RIL",IF(MONTH('MASTER data'!$E31)=MONTH(U$4),'MASTER data'!$E31,""),"")</f>
        <v/>
      </c>
      <c r="V30" s="16">
        <f>IF(U30='MASTER data'!$E31,'MASTER data'!$G31,"")</f>
        <v>0</v>
      </c>
      <c r="W30" s="90" t="str">
        <f>IF('MASTER data'!$B31="RIL",IF(MONTH('MASTER data'!$E31)=MONTH(W$4),'MASTER data'!$E31,""),"")</f>
        <v/>
      </c>
      <c r="X30" s="16">
        <f>IF(W30='MASTER data'!$E31,'MASTER data'!$G31,"")</f>
        <v>0</v>
      </c>
      <c r="Y30" s="90" t="str">
        <f>IF('MASTER data'!$B31="RIL",IF(MONTH('MASTER data'!$E31)=MONTH(Y$4),'MASTER data'!$E31,""),"")</f>
        <v/>
      </c>
      <c r="Z30" s="16">
        <f>IF(Y30='MASTER data'!$E31,'MASTER data'!$G31,"")</f>
        <v>0</v>
      </c>
    </row>
    <row r="31" spans="1:26">
      <c r="A31" s="5"/>
      <c r="B31" s="6"/>
      <c r="C31" s="90" t="str">
        <f>IF('MASTER data'!$B32="RIL",IF(MONTH('MASTER data'!$E32)=MONTH(C$4),'MASTER data'!$E32,""),"")</f>
        <v/>
      </c>
      <c r="D31" s="16">
        <f>IF(C31='MASTER data'!$E32,'MASTER data'!$G32,"")</f>
        <v>0</v>
      </c>
      <c r="E31" s="90" t="str">
        <f>IF('MASTER data'!$B32="RIL",IF(MONTH('MASTER data'!$E32)=MONTH(E$4),'MASTER data'!$E32,""),"")</f>
        <v/>
      </c>
      <c r="F31" s="16">
        <f>IF(E31='MASTER data'!$E32,'MASTER data'!$G32,"")</f>
        <v>0</v>
      </c>
      <c r="G31" s="90" t="str">
        <f>IF('MASTER data'!$B32="RIL",IF(MONTH('MASTER data'!$E32)=MONTH(G$4),'MASTER data'!$E32,""),"")</f>
        <v/>
      </c>
      <c r="H31" s="16">
        <f>IF(G31='MASTER data'!$E32,'MASTER data'!$G32,"")</f>
        <v>0</v>
      </c>
      <c r="I31" s="90" t="str">
        <f>IF('MASTER data'!$B32="RIL",IF(MONTH('MASTER data'!$E32)=MONTH(I$4),'MASTER data'!$E32,""),"")</f>
        <v/>
      </c>
      <c r="J31" s="16">
        <f>IF(I31='MASTER data'!$E32,'MASTER data'!$G32,"")</f>
        <v>0</v>
      </c>
      <c r="K31" s="90" t="str">
        <f>IF('MASTER data'!$B32="RIL",IF(MONTH('MASTER data'!$E32)=MONTH(K$4),'MASTER data'!$E32,""),"")</f>
        <v/>
      </c>
      <c r="L31" s="16">
        <f>IF(K31='MASTER data'!$E32,'MASTER data'!$G32,"")</f>
        <v>0</v>
      </c>
      <c r="M31" s="90" t="str">
        <f>IF('MASTER data'!$B32="RIL",IF(MONTH('MASTER data'!$E32)=MONTH(M$4),'MASTER data'!$E32,""),"")</f>
        <v/>
      </c>
      <c r="N31" s="16">
        <f>IF(M31='MASTER data'!$E32,'MASTER data'!$G32,"")</f>
        <v>0</v>
      </c>
      <c r="O31" s="90" t="str">
        <f>IF('MASTER data'!$B32="RIL",IF(MONTH('MASTER data'!$E32)=MONTH(O$4),'MASTER data'!$E32,""),"")</f>
        <v/>
      </c>
      <c r="P31" s="16">
        <f>IF(O31='MASTER data'!$E32,'MASTER data'!$G32,"")</f>
        <v>0</v>
      </c>
      <c r="Q31" s="90" t="str">
        <f>IF('MASTER data'!$B32="RIL",IF(MONTH('MASTER data'!$E32)=MONTH(Q$4),'MASTER data'!$E32,""),"")</f>
        <v/>
      </c>
      <c r="R31" s="16">
        <f>IF(Q31='MASTER data'!$E32,'MASTER data'!$G32,"")</f>
        <v>0</v>
      </c>
      <c r="S31" s="90" t="str">
        <f>IF('MASTER data'!$B32="RIL",IF(MONTH('MASTER data'!$E32)=MONTH(S$4),'MASTER data'!$E32,""),"")</f>
        <v/>
      </c>
      <c r="T31" s="16">
        <f>IF(S31='MASTER data'!$E32,'MASTER data'!$G32,"")</f>
        <v>0</v>
      </c>
      <c r="U31" s="90" t="str">
        <f>IF('MASTER data'!$B32="RIL",IF(MONTH('MASTER data'!$E32)=MONTH(U$4),'MASTER data'!$E32,""),"")</f>
        <v/>
      </c>
      <c r="V31" s="16">
        <f>IF(U31='MASTER data'!$E32,'MASTER data'!$G32,"")</f>
        <v>0</v>
      </c>
      <c r="W31" s="90" t="str">
        <f>IF('MASTER data'!$B32="RIL",IF(MONTH('MASTER data'!$E32)=MONTH(W$4),'MASTER data'!$E32,""),"")</f>
        <v/>
      </c>
      <c r="X31" s="16">
        <f>IF(W31='MASTER data'!$E32,'MASTER data'!$G32,"")</f>
        <v>0</v>
      </c>
      <c r="Y31" s="90" t="str">
        <f>IF('MASTER data'!$B32="RIL",IF(MONTH('MASTER data'!$E32)=MONTH(Y$4),'MASTER data'!$E32,""),"")</f>
        <v/>
      </c>
      <c r="Z31" s="16">
        <f>IF(Y31='MASTER data'!$E32,'MASTER data'!$G32,"")</f>
        <v>0</v>
      </c>
    </row>
    <row r="32" spans="1:26">
      <c r="A32" s="5"/>
      <c r="B32" s="6"/>
      <c r="C32" s="90" t="str">
        <f>IF('MASTER data'!$B33="RIL",IF(MONTH('MASTER data'!$E33)=MONTH(C$4),'MASTER data'!$E33,""),"")</f>
        <v/>
      </c>
      <c r="D32" s="16">
        <f>IF(C32='MASTER data'!$E33,'MASTER data'!$G33,"")</f>
        <v>0</v>
      </c>
      <c r="E32" s="90" t="str">
        <f>IF('MASTER data'!$B33="RIL",IF(MONTH('MASTER data'!$E33)=MONTH(E$4),'MASTER data'!$E33,""),"")</f>
        <v/>
      </c>
      <c r="F32" s="16">
        <f>IF(E32='MASTER data'!$E33,'MASTER data'!$G33,"")</f>
        <v>0</v>
      </c>
      <c r="G32" s="90" t="str">
        <f>IF('MASTER data'!$B33="RIL",IF(MONTH('MASTER data'!$E33)=MONTH(G$4),'MASTER data'!$E33,""),"")</f>
        <v/>
      </c>
      <c r="H32" s="16">
        <f>IF(G32='MASTER data'!$E33,'MASTER data'!$G33,"")</f>
        <v>0</v>
      </c>
      <c r="I32" s="90" t="str">
        <f>IF('MASTER data'!$B33="RIL",IF(MONTH('MASTER data'!$E33)=MONTH(I$4),'MASTER data'!$E33,""),"")</f>
        <v/>
      </c>
      <c r="J32" s="16">
        <f>IF(I32='MASTER data'!$E33,'MASTER data'!$G33,"")</f>
        <v>0</v>
      </c>
      <c r="K32" s="90" t="str">
        <f>IF('MASTER data'!$B33="RIL",IF(MONTH('MASTER data'!$E33)=MONTH(K$4),'MASTER data'!$E33,""),"")</f>
        <v/>
      </c>
      <c r="L32" s="16">
        <f>IF(K32='MASTER data'!$E33,'MASTER data'!$G33,"")</f>
        <v>0</v>
      </c>
      <c r="M32" s="90" t="str">
        <f>IF('MASTER data'!$B33="RIL",IF(MONTH('MASTER data'!$E33)=MONTH(M$4),'MASTER data'!$E33,""),"")</f>
        <v/>
      </c>
      <c r="N32" s="16">
        <f>IF(M32='MASTER data'!$E33,'MASTER data'!$G33,"")</f>
        <v>0</v>
      </c>
      <c r="O32" s="90" t="str">
        <f>IF('MASTER data'!$B33="RIL",IF(MONTH('MASTER data'!$E33)=MONTH(O$4),'MASTER data'!$E33,""),"")</f>
        <v/>
      </c>
      <c r="P32" s="16">
        <f>IF(O32='MASTER data'!$E33,'MASTER data'!$G33,"")</f>
        <v>0</v>
      </c>
      <c r="Q32" s="90" t="str">
        <f>IF('MASTER data'!$B33="RIL",IF(MONTH('MASTER data'!$E33)=MONTH(Q$4),'MASTER data'!$E33,""),"")</f>
        <v/>
      </c>
      <c r="R32" s="16">
        <f>IF(Q32='MASTER data'!$E33,'MASTER data'!$G33,"")</f>
        <v>0</v>
      </c>
      <c r="S32" s="90" t="str">
        <f>IF('MASTER data'!$B33="RIL",IF(MONTH('MASTER data'!$E33)=MONTH(S$4),'MASTER data'!$E33,""),"")</f>
        <v/>
      </c>
      <c r="T32" s="16">
        <f>IF(S32='MASTER data'!$E33,'MASTER data'!$G33,"")</f>
        <v>0</v>
      </c>
      <c r="U32" s="90" t="str">
        <f>IF('MASTER data'!$B33="RIL",IF(MONTH('MASTER data'!$E33)=MONTH(U$4),'MASTER data'!$E33,""),"")</f>
        <v/>
      </c>
      <c r="V32" s="16">
        <f>IF(U32='MASTER data'!$E33,'MASTER data'!$G33,"")</f>
        <v>0</v>
      </c>
      <c r="W32" s="90" t="str">
        <f>IF('MASTER data'!$B33="RIL",IF(MONTH('MASTER data'!$E33)=MONTH(W$4),'MASTER data'!$E33,""),"")</f>
        <v/>
      </c>
      <c r="X32" s="16">
        <f>IF(W32='MASTER data'!$E33,'MASTER data'!$G33,"")</f>
        <v>0</v>
      </c>
      <c r="Y32" s="90" t="str">
        <f>IF('MASTER data'!$B33="RIL",IF(MONTH('MASTER data'!$E33)=MONTH(Y$4),'MASTER data'!$E33,""),"")</f>
        <v/>
      </c>
      <c r="Z32" s="16">
        <f>IF(Y32='MASTER data'!$E33,'MASTER data'!$G33,"")</f>
        <v>0</v>
      </c>
    </row>
    <row r="33" spans="1:26">
      <c r="A33" s="5"/>
      <c r="B33" s="6"/>
      <c r="C33" s="90" t="str">
        <f>IF('MASTER data'!$B34="RIL",IF(MONTH('MASTER data'!$E34)=MONTH(C$4),'MASTER data'!$E34,""),"")</f>
        <v/>
      </c>
      <c r="D33" s="16">
        <f>IF(C33='MASTER data'!$E34,'MASTER data'!$G34,"")</f>
        <v>0</v>
      </c>
      <c r="E33" s="90" t="str">
        <f>IF('MASTER data'!$B34="RIL",IF(MONTH('MASTER data'!$E34)=MONTH(E$4),'MASTER data'!$E34,""),"")</f>
        <v/>
      </c>
      <c r="F33" s="16">
        <f>IF(E33='MASTER data'!$E34,'MASTER data'!$G34,"")</f>
        <v>0</v>
      </c>
      <c r="G33" s="90" t="str">
        <f>IF('MASTER data'!$B34="RIL",IF(MONTH('MASTER data'!$E34)=MONTH(G$4),'MASTER data'!$E34,""),"")</f>
        <v/>
      </c>
      <c r="H33" s="16">
        <f>IF(G33='MASTER data'!$E34,'MASTER data'!$G34,"")</f>
        <v>0</v>
      </c>
      <c r="I33" s="90" t="str">
        <f>IF('MASTER data'!$B34="RIL",IF(MONTH('MASTER data'!$E34)=MONTH(I$4),'MASTER data'!$E34,""),"")</f>
        <v/>
      </c>
      <c r="J33" s="16">
        <f>IF(I33='MASTER data'!$E34,'MASTER data'!$G34,"")</f>
        <v>0</v>
      </c>
      <c r="K33" s="90" t="str">
        <f>IF('MASTER data'!$B34="RIL",IF(MONTH('MASTER data'!$E34)=MONTH(K$4),'MASTER data'!$E34,""),"")</f>
        <v/>
      </c>
      <c r="L33" s="16">
        <f>IF(K33='MASTER data'!$E34,'MASTER data'!$G34,"")</f>
        <v>0</v>
      </c>
      <c r="M33" s="90" t="str">
        <f>IF('MASTER data'!$B34="RIL",IF(MONTH('MASTER data'!$E34)=MONTH(M$4),'MASTER data'!$E34,""),"")</f>
        <v/>
      </c>
      <c r="N33" s="16">
        <f>IF(M33='MASTER data'!$E34,'MASTER data'!$G34,"")</f>
        <v>0</v>
      </c>
      <c r="O33" s="90" t="str">
        <f>IF('MASTER data'!$B34="RIL",IF(MONTH('MASTER data'!$E34)=MONTH(O$4),'MASTER data'!$E34,""),"")</f>
        <v/>
      </c>
      <c r="P33" s="16">
        <f>IF(O33='MASTER data'!$E34,'MASTER data'!$G34,"")</f>
        <v>0</v>
      </c>
      <c r="Q33" s="90" t="str">
        <f>IF('MASTER data'!$B34="RIL",IF(MONTH('MASTER data'!$E34)=MONTH(Q$4),'MASTER data'!$E34,""),"")</f>
        <v/>
      </c>
      <c r="R33" s="16">
        <f>IF(Q33='MASTER data'!$E34,'MASTER data'!$G34,"")</f>
        <v>0</v>
      </c>
      <c r="S33" s="90" t="str">
        <f>IF('MASTER data'!$B34="RIL",IF(MONTH('MASTER data'!$E34)=MONTH(S$4),'MASTER data'!$E34,""),"")</f>
        <v/>
      </c>
      <c r="T33" s="16">
        <f>IF(S33='MASTER data'!$E34,'MASTER data'!$G34,"")</f>
        <v>0</v>
      </c>
      <c r="U33" s="90" t="str">
        <f>IF('MASTER data'!$B34="RIL",IF(MONTH('MASTER data'!$E34)=MONTH(U$4),'MASTER data'!$E34,""),"")</f>
        <v/>
      </c>
      <c r="V33" s="16">
        <f>IF(U33='MASTER data'!$E34,'MASTER data'!$G34,"")</f>
        <v>0</v>
      </c>
      <c r="W33" s="90" t="str">
        <f>IF('MASTER data'!$B34="RIL",IF(MONTH('MASTER data'!$E34)=MONTH(W$4),'MASTER data'!$E34,""),"")</f>
        <v/>
      </c>
      <c r="X33" s="16">
        <f>IF(W33='MASTER data'!$E34,'MASTER data'!$G34,"")</f>
        <v>0</v>
      </c>
      <c r="Y33" s="90" t="str">
        <f>IF('MASTER data'!$B34="RIL",IF(MONTH('MASTER data'!$E34)=MONTH(Y$4),'MASTER data'!$E34,""),"")</f>
        <v/>
      </c>
      <c r="Z33" s="16">
        <f>IF(Y33='MASTER data'!$E34,'MASTER data'!$G34,"")</f>
        <v>0</v>
      </c>
    </row>
    <row r="34" spans="1:26">
      <c r="A34" s="5"/>
      <c r="B34" s="6"/>
      <c r="C34" s="90" t="str">
        <f>IF('MASTER data'!$B35="RIL",IF(MONTH('MASTER data'!$E35)=MONTH(C$4),'MASTER data'!$E35,""),"")</f>
        <v/>
      </c>
      <c r="D34" s="16">
        <f>IF(C34='MASTER data'!$E35,'MASTER data'!$G35,"")</f>
        <v>0</v>
      </c>
      <c r="E34" s="90" t="str">
        <f>IF('MASTER data'!$B35="RIL",IF(MONTH('MASTER data'!$E35)=MONTH(E$4),'MASTER data'!$E35,""),"")</f>
        <v/>
      </c>
      <c r="F34" s="16">
        <f>IF(E34='MASTER data'!$E35,'MASTER data'!$G35,"")</f>
        <v>0</v>
      </c>
      <c r="G34" s="90" t="str">
        <f>IF('MASTER data'!$B35="RIL",IF(MONTH('MASTER data'!$E35)=MONTH(G$4),'MASTER data'!$E35,""),"")</f>
        <v/>
      </c>
      <c r="H34" s="16">
        <f>IF(G34='MASTER data'!$E35,'MASTER data'!$G35,"")</f>
        <v>0</v>
      </c>
      <c r="I34" s="90" t="str">
        <f>IF('MASTER data'!$B35="RIL",IF(MONTH('MASTER data'!$E35)=MONTH(I$4),'MASTER data'!$E35,""),"")</f>
        <v/>
      </c>
      <c r="J34" s="16">
        <f>IF(I34='MASTER data'!$E35,'MASTER data'!$G35,"")</f>
        <v>0</v>
      </c>
      <c r="K34" s="90" t="str">
        <f>IF('MASTER data'!$B35="RIL",IF(MONTH('MASTER data'!$E35)=MONTH(K$4),'MASTER data'!$E35,""),"")</f>
        <v/>
      </c>
      <c r="L34" s="16">
        <f>IF(K34='MASTER data'!$E35,'MASTER data'!$G35,"")</f>
        <v>0</v>
      </c>
      <c r="M34" s="90" t="str">
        <f>IF('MASTER data'!$B35="RIL",IF(MONTH('MASTER data'!$E35)=MONTH(M$4),'MASTER data'!$E35,""),"")</f>
        <v/>
      </c>
      <c r="N34" s="16">
        <f>IF(M34='MASTER data'!$E35,'MASTER data'!$G35,"")</f>
        <v>0</v>
      </c>
      <c r="O34" s="90" t="str">
        <f>IF('MASTER data'!$B35="RIL",IF(MONTH('MASTER data'!$E35)=MONTH(O$4),'MASTER data'!$E35,""),"")</f>
        <v/>
      </c>
      <c r="P34" s="16">
        <f>IF(O34='MASTER data'!$E35,'MASTER data'!$G35,"")</f>
        <v>0</v>
      </c>
      <c r="Q34" s="90" t="str">
        <f>IF('MASTER data'!$B35="RIL",IF(MONTH('MASTER data'!$E35)=MONTH(Q$4),'MASTER data'!$E35,""),"")</f>
        <v/>
      </c>
      <c r="R34" s="16">
        <f>IF(Q34='MASTER data'!$E35,'MASTER data'!$G35,"")</f>
        <v>0</v>
      </c>
      <c r="S34" s="90" t="str">
        <f>IF('MASTER data'!$B35="RIL",IF(MONTH('MASTER data'!$E35)=MONTH(S$4),'MASTER data'!$E35,""),"")</f>
        <v/>
      </c>
      <c r="T34" s="16">
        <f>IF(S34='MASTER data'!$E35,'MASTER data'!$G35,"")</f>
        <v>0</v>
      </c>
      <c r="U34" s="90" t="str">
        <f>IF('MASTER data'!$B35="RIL",IF(MONTH('MASTER data'!$E35)=MONTH(U$4),'MASTER data'!$E35,""),"")</f>
        <v/>
      </c>
      <c r="V34" s="16">
        <f>IF(U34='MASTER data'!$E35,'MASTER data'!$G35,"")</f>
        <v>0</v>
      </c>
      <c r="W34" s="90" t="str">
        <f>IF('MASTER data'!$B35="RIL",IF(MONTH('MASTER data'!$E35)=MONTH(W$4),'MASTER data'!$E35,""),"")</f>
        <v/>
      </c>
      <c r="X34" s="16">
        <f>IF(W34='MASTER data'!$E35,'MASTER data'!$G35,"")</f>
        <v>0</v>
      </c>
      <c r="Y34" s="90" t="str">
        <f>IF('MASTER data'!$B35="RIL",IF(MONTH('MASTER data'!$E35)=MONTH(Y$4),'MASTER data'!$E35,""),"")</f>
        <v/>
      </c>
      <c r="Z34" s="16">
        <f>IF(Y34='MASTER data'!$E35,'MASTER data'!$G35,"")</f>
        <v>0</v>
      </c>
    </row>
    <row r="35" spans="1:26">
      <c r="A35" s="5"/>
      <c r="B35" s="6"/>
      <c r="C35" s="90" t="str">
        <f>IF('MASTER data'!$B36="RIL",IF(MONTH('MASTER data'!$E36)=MONTH(C$4),'MASTER data'!$E36,""),"")</f>
        <v/>
      </c>
      <c r="D35" s="16">
        <f>IF(C35='MASTER data'!$E36,'MASTER data'!$G36,"")</f>
        <v>0</v>
      </c>
      <c r="E35" s="90" t="str">
        <f>IF('MASTER data'!$B36="RIL",IF(MONTH('MASTER data'!$E36)=MONTH(E$4),'MASTER data'!$E36,""),"")</f>
        <v/>
      </c>
      <c r="F35" s="16">
        <f>IF(E35='MASTER data'!$E36,'MASTER data'!$G36,"")</f>
        <v>0</v>
      </c>
      <c r="G35" s="90" t="str">
        <f>IF('MASTER data'!$B36="RIL",IF(MONTH('MASTER data'!$E36)=MONTH(G$4),'MASTER data'!$E36,""),"")</f>
        <v/>
      </c>
      <c r="H35" s="16">
        <f>IF(G35='MASTER data'!$E36,'MASTER data'!$G36,"")</f>
        <v>0</v>
      </c>
      <c r="I35" s="90" t="str">
        <f>IF('MASTER data'!$B36="RIL",IF(MONTH('MASTER data'!$E36)=MONTH(I$4),'MASTER data'!$E36,""),"")</f>
        <v/>
      </c>
      <c r="J35" s="16">
        <f>IF(I35='MASTER data'!$E36,'MASTER data'!$G36,"")</f>
        <v>0</v>
      </c>
      <c r="K35" s="90" t="str">
        <f>IF('MASTER data'!$B36="RIL",IF(MONTH('MASTER data'!$E36)=MONTH(K$4),'MASTER data'!$E36,""),"")</f>
        <v/>
      </c>
      <c r="L35" s="16">
        <f>IF(K35='MASTER data'!$E36,'MASTER data'!$G36,"")</f>
        <v>0</v>
      </c>
      <c r="M35" s="90" t="str">
        <f>IF('MASTER data'!$B36="RIL",IF(MONTH('MASTER data'!$E36)=MONTH(M$4),'MASTER data'!$E36,""),"")</f>
        <v/>
      </c>
      <c r="N35" s="16">
        <f>IF(M35='MASTER data'!$E36,'MASTER data'!$G36,"")</f>
        <v>0</v>
      </c>
      <c r="O35" s="90" t="str">
        <f>IF('MASTER data'!$B36="RIL",IF(MONTH('MASTER data'!$E36)=MONTH(O$4),'MASTER data'!$E36,""),"")</f>
        <v/>
      </c>
      <c r="P35" s="16">
        <f>IF(O35='MASTER data'!$E36,'MASTER data'!$G36,"")</f>
        <v>0</v>
      </c>
      <c r="Q35" s="90" t="str">
        <f>IF('MASTER data'!$B36="RIL",IF(MONTH('MASTER data'!$E36)=MONTH(Q$4),'MASTER data'!$E36,""),"")</f>
        <v/>
      </c>
      <c r="R35" s="16">
        <f>IF(Q35='MASTER data'!$E36,'MASTER data'!$G36,"")</f>
        <v>0</v>
      </c>
      <c r="S35" s="90" t="str">
        <f>IF('MASTER data'!$B36="RIL",IF(MONTH('MASTER data'!$E36)=MONTH(S$4),'MASTER data'!$E36,""),"")</f>
        <v/>
      </c>
      <c r="T35" s="16">
        <f>IF(S35='MASTER data'!$E36,'MASTER data'!$G36,"")</f>
        <v>0</v>
      </c>
      <c r="U35" s="90" t="str">
        <f>IF('MASTER data'!$B36="RIL",IF(MONTH('MASTER data'!$E36)=MONTH(U$4),'MASTER data'!$E36,""),"")</f>
        <v/>
      </c>
      <c r="V35" s="16">
        <f>IF(U35='MASTER data'!$E36,'MASTER data'!$G36,"")</f>
        <v>0</v>
      </c>
      <c r="W35" s="90" t="str">
        <f>IF('MASTER data'!$B36="RIL",IF(MONTH('MASTER data'!$E36)=MONTH(W$4),'MASTER data'!$E36,""),"")</f>
        <v/>
      </c>
      <c r="X35" s="16">
        <f>IF(W35='MASTER data'!$E36,'MASTER data'!$G36,"")</f>
        <v>0</v>
      </c>
      <c r="Y35" s="90" t="str">
        <f>IF('MASTER data'!$B36="RIL",IF(MONTH('MASTER data'!$E36)=MONTH(Y$4),'MASTER data'!$E36,""),"")</f>
        <v/>
      </c>
      <c r="Z35" s="16">
        <f>IF(Y35='MASTER data'!$E36,'MASTER data'!$G36,"")</f>
        <v>0</v>
      </c>
    </row>
    <row r="36" spans="1:26">
      <c r="A36" s="5"/>
      <c r="B36" s="6"/>
      <c r="C36" s="90" t="str">
        <f>IF('MASTER data'!$B37="RIL",IF(MONTH('MASTER data'!$E37)=MONTH(C$4),'MASTER data'!$E37,""),"")</f>
        <v/>
      </c>
      <c r="D36" s="16">
        <f>IF(C36='MASTER data'!$E37,'MASTER data'!$G37,"")</f>
        <v>0</v>
      </c>
      <c r="E36" s="90" t="str">
        <f>IF('MASTER data'!$B37="RIL",IF(MONTH('MASTER data'!$E37)=MONTH(E$4),'MASTER data'!$E37,""),"")</f>
        <v/>
      </c>
      <c r="F36" s="16">
        <f>IF(E36='MASTER data'!$E37,'MASTER data'!$G37,"")</f>
        <v>0</v>
      </c>
      <c r="G36" s="90" t="str">
        <f>IF('MASTER data'!$B37="RIL",IF(MONTH('MASTER data'!$E37)=MONTH(G$4),'MASTER data'!$E37,""),"")</f>
        <v/>
      </c>
      <c r="H36" s="16">
        <f>IF(G36='MASTER data'!$E37,'MASTER data'!$G37,"")</f>
        <v>0</v>
      </c>
      <c r="I36" s="90" t="str">
        <f>IF('MASTER data'!$B37="RIL",IF(MONTH('MASTER data'!$E37)=MONTH(I$4),'MASTER data'!$E37,""),"")</f>
        <v/>
      </c>
      <c r="J36" s="16">
        <f>IF(I36='MASTER data'!$E37,'MASTER data'!$G37,"")</f>
        <v>0</v>
      </c>
      <c r="K36" s="90" t="str">
        <f>IF('MASTER data'!$B37="RIL",IF(MONTH('MASTER data'!$E37)=MONTH(K$4),'MASTER data'!$E37,""),"")</f>
        <v/>
      </c>
      <c r="L36" s="16">
        <f>IF(K36='MASTER data'!$E37,'MASTER data'!$G37,"")</f>
        <v>0</v>
      </c>
      <c r="M36" s="90" t="str">
        <f>IF('MASTER data'!$B37="RIL",IF(MONTH('MASTER data'!$E37)=MONTH(M$4),'MASTER data'!$E37,""),"")</f>
        <v/>
      </c>
      <c r="N36" s="16">
        <f>IF(M36='MASTER data'!$E37,'MASTER data'!$G37,"")</f>
        <v>0</v>
      </c>
      <c r="O36" s="90" t="str">
        <f>IF('MASTER data'!$B37="RIL",IF(MONTH('MASTER data'!$E37)=MONTH(O$4),'MASTER data'!$E37,""),"")</f>
        <v/>
      </c>
      <c r="P36" s="16">
        <f>IF(O36='MASTER data'!$E37,'MASTER data'!$G37,"")</f>
        <v>0</v>
      </c>
      <c r="Q36" s="90" t="str">
        <f>IF('MASTER data'!$B37="RIL",IF(MONTH('MASTER data'!$E37)=MONTH(Q$4),'MASTER data'!$E37,""),"")</f>
        <v/>
      </c>
      <c r="R36" s="16">
        <f>IF(Q36='MASTER data'!$E37,'MASTER data'!$G37,"")</f>
        <v>0</v>
      </c>
      <c r="S36" s="90" t="str">
        <f>IF('MASTER data'!$B37="RIL",IF(MONTH('MASTER data'!$E37)=MONTH(S$4),'MASTER data'!$E37,""),"")</f>
        <v/>
      </c>
      <c r="T36" s="16">
        <f>IF(S36='MASTER data'!$E37,'MASTER data'!$G37,"")</f>
        <v>0</v>
      </c>
      <c r="U36" s="90" t="str">
        <f>IF('MASTER data'!$B37="RIL",IF(MONTH('MASTER data'!$E37)=MONTH(U$4),'MASTER data'!$E37,""),"")</f>
        <v/>
      </c>
      <c r="V36" s="16">
        <f>IF(U36='MASTER data'!$E37,'MASTER data'!$G37,"")</f>
        <v>0</v>
      </c>
      <c r="W36" s="90" t="str">
        <f>IF('MASTER data'!$B37="RIL",IF(MONTH('MASTER data'!$E37)=MONTH(W$4),'MASTER data'!$E37,""),"")</f>
        <v/>
      </c>
      <c r="X36" s="16">
        <f>IF(W36='MASTER data'!$E37,'MASTER data'!$G37,"")</f>
        <v>0</v>
      </c>
      <c r="Y36" s="90" t="str">
        <f>IF('MASTER data'!$B37="RIL",IF(MONTH('MASTER data'!$E37)=MONTH(Y$4),'MASTER data'!$E37,""),"")</f>
        <v/>
      </c>
      <c r="Z36" s="16">
        <f>IF(Y36='MASTER data'!$E37,'MASTER data'!$G37,"")</f>
        <v>0</v>
      </c>
    </row>
    <row r="37" spans="1:26" ht="15.75" thickBot="1">
      <c r="A37" s="7"/>
      <c r="B37" s="8"/>
      <c r="C37" s="90" t="str">
        <f>IF('MASTER data'!$B38="RIL",IF(MONTH('MASTER data'!$E38)=MONTH(C$4),'MASTER data'!$E38,""),"")</f>
        <v/>
      </c>
      <c r="D37" s="16">
        <f>IF(C37='MASTER data'!$E38,'MASTER data'!$G38,"")</f>
        <v>0</v>
      </c>
      <c r="E37" s="90" t="str">
        <f>IF('MASTER data'!$B38="RIL",IF(MONTH('MASTER data'!$E38)=MONTH(E$4),'MASTER data'!$E38,""),"")</f>
        <v/>
      </c>
      <c r="F37" s="16">
        <f>IF(E37='MASTER data'!$E38,'MASTER data'!$G38,"")</f>
        <v>0</v>
      </c>
      <c r="G37" s="90" t="str">
        <f>IF('MASTER data'!$B38="RIL",IF(MONTH('MASTER data'!$E38)=MONTH(G$4),'MASTER data'!$E38,""),"")</f>
        <v/>
      </c>
      <c r="H37" s="16">
        <f>IF(G37='MASTER data'!$E38,'MASTER data'!$G38,"")</f>
        <v>0</v>
      </c>
      <c r="I37" s="90" t="str">
        <f>IF('MASTER data'!$B38="RIL",IF(MONTH('MASTER data'!$E38)=MONTH(I$4),'MASTER data'!$E38,""),"")</f>
        <v/>
      </c>
      <c r="J37" s="16">
        <f>IF(I37='MASTER data'!$E38,'MASTER data'!$G38,"")</f>
        <v>0</v>
      </c>
      <c r="K37" s="90" t="str">
        <f>IF('MASTER data'!$B38="RIL",IF(MONTH('MASTER data'!$E38)=MONTH(K$4),'MASTER data'!$E38,""),"")</f>
        <v/>
      </c>
      <c r="L37" s="16">
        <f>IF(K37='MASTER data'!$E38,'MASTER data'!$G38,"")</f>
        <v>0</v>
      </c>
      <c r="M37" s="90" t="str">
        <f>IF('MASTER data'!$B38="RIL",IF(MONTH('MASTER data'!$E38)=MONTH(M$4),'MASTER data'!$E38,""),"")</f>
        <v/>
      </c>
      <c r="N37" s="16">
        <f>IF(M37='MASTER data'!$E38,'MASTER data'!$G38,"")</f>
        <v>0</v>
      </c>
      <c r="O37" s="90" t="str">
        <f>IF('MASTER data'!$B38="RIL",IF(MONTH('MASTER data'!$E38)=MONTH(O$4),'MASTER data'!$E38,""),"")</f>
        <v/>
      </c>
      <c r="P37" s="16">
        <f>IF(O37='MASTER data'!$E38,'MASTER data'!$G38,"")</f>
        <v>0</v>
      </c>
      <c r="Q37" s="90" t="str">
        <f>IF('MASTER data'!$B38="RIL",IF(MONTH('MASTER data'!$E38)=MONTH(Q$4),'MASTER data'!$E38,""),"")</f>
        <v/>
      </c>
      <c r="R37" s="16">
        <f>IF(Q37='MASTER data'!$E38,'MASTER data'!$G38,"")</f>
        <v>0</v>
      </c>
      <c r="S37" s="90" t="str">
        <f>IF('MASTER data'!$B38="RIL",IF(MONTH('MASTER data'!$E38)=MONTH(S$4),'MASTER data'!$E38,""),"")</f>
        <v/>
      </c>
      <c r="T37" s="16">
        <f>IF(S37='MASTER data'!$E38,'MASTER data'!$G38,"")</f>
        <v>0</v>
      </c>
      <c r="U37" s="90" t="str">
        <f>IF('MASTER data'!$B38="RIL",IF(MONTH('MASTER data'!$E38)=MONTH(U$4),'MASTER data'!$E38,""),"")</f>
        <v/>
      </c>
      <c r="V37" s="16">
        <f>IF(U37='MASTER data'!$E38,'MASTER data'!$G38,"")</f>
        <v>0</v>
      </c>
      <c r="W37" s="90" t="str">
        <f>IF('MASTER data'!$B38="RIL",IF(MONTH('MASTER data'!$E38)=MONTH(W$4),'MASTER data'!$E38,""),"")</f>
        <v/>
      </c>
      <c r="X37" s="16">
        <f>IF(W37='MASTER data'!$E38,'MASTER data'!$G38,"")</f>
        <v>0</v>
      </c>
      <c r="Y37" s="90" t="str">
        <f>IF('MASTER data'!$B38="RIL",IF(MONTH('MASTER data'!$E38)=MONTH(Y$4),'MASTER data'!$E38,""),"")</f>
        <v/>
      </c>
      <c r="Z37" s="16">
        <f>IF(Y37='MASTER data'!$E38,'MASTER data'!$G38,"")</f>
        <v>0</v>
      </c>
    </row>
  </sheetData>
  <mergeCells count="14">
    <mergeCell ref="C3:Z3"/>
    <mergeCell ref="AA3:AX3"/>
    <mergeCell ref="Y4:Z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7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C3" sqref="C3:AX3"/>
    </sheetView>
  </sheetViews>
  <sheetFormatPr defaultRowHeight="15"/>
  <cols>
    <col min="1" max="1" width="7.28515625" customWidth="1"/>
    <col min="2" max="2" width="54.5703125" customWidth="1"/>
    <col min="3" max="3" width="12.5703125" customWidth="1"/>
    <col min="4" max="4" width="11.7109375" customWidth="1"/>
    <col min="5" max="5" width="10.42578125" bestFit="1" customWidth="1"/>
    <col min="11" max="11" width="11.140625" customWidth="1"/>
    <col min="12" max="12" width="10.42578125" customWidth="1"/>
    <col min="13" max="13" width="11.42578125" customWidth="1"/>
    <col min="14" max="14" width="12" customWidth="1"/>
  </cols>
  <sheetData>
    <row r="1" spans="1:50" ht="18.75">
      <c r="A1" s="2" t="s">
        <v>3</v>
      </c>
    </row>
    <row r="2" spans="1:50" ht="18.75">
      <c r="A2" s="2" t="s">
        <v>8</v>
      </c>
      <c r="B2" s="2"/>
    </row>
    <row r="3" spans="1:50" ht="19.5" thickBot="1">
      <c r="A3" s="2"/>
      <c r="B3" s="2"/>
      <c r="C3" s="97">
        <v>2011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>
        <v>2012</v>
      </c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50">
      <c r="A4" s="25" t="s">
        <v>0</v>
      </c>
      <c r="B4" s="26" t="s">
        <v>1</v>
      </c>
      <c r="C4" s="95">
        <v>40544</v>
      </c>
      <c r="D4" s="96"/>
      <c r="E4" s="95">
        <v>40576</v>
      </c>
      <c r="F4" s="96"/>
      <c r="G4" s="95">
        <v>40608</v>
      </c>
      <c r="H4" s="96"/>
      <c r="I4" s="95">
        <v>40640</v>
      </c>
      <c r="J4" s="96"/>
      <c r="K4" s="95">
        <v>40672</v>
      </c>
      <c r="L4" s="96"/>
      <c r="M4" s="95">
        <v>40704</v>
      </c>
      <c r="N4" s="96"/>
      <c r="O4" s="95">
        <v>40736</v>
      </c>
      <c r="P4" s="96"/>
      <c r="Q4" s="95">
        <v>40768</v>
      </c>
      <c r="R4" s="96"/>
      <c r="S4" s="95">
        <v>40800</v>
      </c>
      <c r="T4" s="96"/>
      <c r="U4" s="95">
        <v>40832</v>
      </c>
      <c r="V4" s="96"/>
      <c r="W4" s="95">
        <v>40864</v>
      </c>
      <c r="X4" s="96"/>
      <c r="Y4" s="95">
        <v>40896</v>
      </c>
      <c r="Z4" s="96"/>
    </row>
    <row r="5" spans="1:50" ht="45.75" customHeight="1" thickBot="1">
      <c r="A5" s="27"/>
      <c r="B5" s="28"/>
      <c r="C5" s="29" t="s">
        <v>11</v>
      </c>
      <c r="D5" s="41" t="s">
        <v>2</v>
      </c>
      <c r="E5" s="29" t="s">
        <v>11</v>
      </c>
      <c r="F5" s="41" t="s">
        <v>2</v>
      </c>
      <c r="G5" s="29" t="s">
        <v>11</v>
      </c>
      <c r="H5" s="41" t="s">
        <v>2</v>
      </c>
      <c r="I5" s="29" t="s">
        <v>11</v>
      </c>
      <c r="J5" s="41" t="s">
        <v>2</v>
      </c>
      <c r="K5" s="29" t="s">
        <v>11</v>
      </c>
      <c r="L5" s="41" t="s">
        <v>2</v>
      </c>
      <c r="M5" s="29" t="s">
        <v>11</v>
      </c>
      <c r="N5" s="41" t="s">
        <v>2</v>
      </c>
      <c r="O5" s="29" t="s">
        <v>11</v>
      </c>
      <c r="P5" s="41" t="s">
        <v>2</v>
      </c>
      <c r="Q5" s="29" t="s">
        <v>11</v>
      </c>
      <c r="R5" s="41" t="s">
        <v>2</v>
      </c>
      <c r="S5" s="29" t="s">
        <v>11</v>
      </c>
      <c r="T5" s="41" t="s">
        <v>2</v>
      </c>
      <c r="U5" s="30" t="s">
        <v>11</v>
      </c>
      <c r="V5" s="42" t="s">
        <v>2</v>
      </c>
      <c r="W5" s="43" t="s">
        <v>11</v>
      </c>
      <c r="X5" s="41" t="s">
        <v>2</v>
      </c>
      <c r="Y5" s="43" t="s">
        <v>11</v>
      </c>
      <c r="Z5" s="41" t="s">
        <v>2</v>
      </c>
    </row>
    <row r="6" spans="1:50" ht="28.5" customHeight="1">
      <c r="A6" s="15">
        <v>1</v>
      </c>
      <c r="B6" s="16">
        <f>IF('MASTER data'!B7="sep",'MASTER data'!C7,0)</f>
        <v>0</v>
      </c>
      <c r="C6" s="90" t="str">
        <f>IF('MASTER data'!$B7="SEP",IF(MONTH('MASTER data'!$E7)=MONTH(C$4),'MASTER data'!$E7,""),"")</f>
        <v/>
      </c>
      <c r="D6" s="16" t="str">
        <f>IF(C6='MASTER data'!$E7,'MASTER data'!$H7,"")</f>
        <v/>
      </c>
      <c r="E6" s="90" t="str">
        <f>IF('MASTER data'!$B7="SEP",IF(MONTH('MASTER data'!$E7)=MONTH(E$4),'MASTER data'!$E7,""),"")</f>
        <v/>
      </c>
      <c r="F6" s="16" t="str">
        <f>IF(E6='MASTER data'!$E7,'MASTER data'!$H7,"")</f>
        <v/>
      </c>
      <c r="G6" s="90" t="str">
        <f>IF('MASTER data'!$B7="SEP",IF(MONTH('MASTER data'!$E7)=MONTH(G$4),'MASTER data'!$E7,""),"")</f>
        <v/>
      </c>
      <c r="H6" s="16" t="str">
        <f>IF(G6='MASTER data'!$E7,'MASTER data'!$H7,"")</f>
        <v/>
      </c>
      <c r="I6" s="90" t="str">
        <f>IF('MASTER data'!$B7="SEP",IF(MONTH('MASTER data'!$E7)=MONTH(I$4),'MASTER data'!$E7,""),"")</f>
        <v/>
      </c>
      <c r="J6" s="16" t="str">
        <f>IF(I6='MASTER data'!$E7,'MASTER data'!$H7,"")</f>
        <v/>
      </c>
      <c r="K6" s="90" t="str">
        <f>IF('MASTER data'!$B7="SEP",IF(MONTH('MASTER data'!$E7)=MONTH(K$4),'MASTER data'!$E7,""),"")</f>
        <v/>
      </c>
      <c r="L6" s="16" t="str">
        <f>IF(K6='MASTER data'!$E7,'MASTER data'!$H7,"")</f>
        <v/>
      </c>
      <c r="M6" s="90" t="str">
        <f>IF('MASTER data'!$B7="SEP",IF(MONTH('MASTER data'!$E7)=MONTH(M$4),'MASTER data'!$E7,""),"")</f>
        <v/>
      </c>
      <c r="N6" s="16" t="str">
        <f>IF(M6='MASTER data'!$E7,'MASTER data'!$H7,"")</f>
        <v/>
      </c>
      <c r="O6" s="90" t="str">
        <f>IF('MASTER data'!$B7="SEP",IF(MONTH('MASTER data'!$E7)=MONTH(O$4),'MASTER data'!$E7,""),"")</f>
        <v/>
      </c>
      <c r="P6" s="16" t="str">
        <f>IF(O6='MASTER data'!$E7,'MASTER data'!$H7,"")</f>
        <v/>
      </c>
      <c r="Q6" s="90" t="str">
        <f>IF('MASTER data'!$B7="SEP",IF(MONTH('MASTER data'!$E7)=MONTH(Q$4),'MASTER data'!$E7,""),"")</f>
        <v/>
      </c>
      <c r="R6" s="16" t="str">
        <f>IF(Q6='MASTER data'!$E7,'MASTER data'!$H7,"")</f>
        <v/>
      </c>
      <c r="S6" s="90" t="str">
        <f>IF('MASTER data'!$B7="SEP",IF(MONTH('MASTER data'!$E7)=MONTH(S$4),'MASTER data'!$E7,""),"")</f>
        <v/>
      </c>
      <c r="T6" s="16" t="str">
        <f>IF(S6='MASTER data'!$E7,'MASTER data'!$H7,"")</f>
        <v/>
      </c>
      <c r="U6" s="90" t="str">
        <f>IF('MASTER data'!$B7="SEP",IF(MONTH('MASTER data'!$E7)=MONTH(U$4),'MASTER data'!$E7,""),"")</f>
        <v/>
      </c>
      <c r="V6" s="16" t="str">
        <f>IF(U6='MASTER data'!$E7,'MASTER data'!$H7,"")</f>
        <v/>
      </c>
      <c r="W6" s="90" t="str">
        <f>IF('MASTER data'!$B7="SEP",IF(MONTH('MASTER data'!$E7)=MONTH(W$4),'MASTER data'!$E7,""),"")</f>
        <v/>
      </c>
      <c r="X6" s="16" t="str">
        <f>IF(W6='MASTER data'!$E7,'MASTER data'!$H7,"")</f>
        <v/>
      </c>
      <c r="Y6" s="90" t="str">
        <f>IF('MASTER data'!$B7="SEP",IF(MONTH('MASTER data'!$E7)=MONTH(Y$4),'MASTER data'!$E7,""),"")</f>
        <v/>
      </c>
      <c r="Z6" s="16" t="str">
        <f>IF(Y6='MASTER data'!$E7,'MASTER data'!$H7,"")</f>
        <v/>
      </c>
    </row>
    <row r="7" spans="1:50">
      <c r="A7" s="5"/>
      <c r="B7" s="16">
        <f>IF('MASTER data'!B8="sep",'MASTER data'!C8,0)</f>
        <v>0</v>
      </c>
      <c r="C7" s="90" t="str">
        <f>IF('MASTER data'!$B8="SEP",IF(MONTH('MASTER data'!$E8)=MONTH(C$4),'MASTER data'!$E8,""),"")</f>
        <v/>
      </c>
      <c r="D7" s="16" t="str">
        <f>IF(C7='MASTER data'!$E8,'MASTER data'!$H8,"")</f>
        <v/>
      </c>
      <c r="E7" s="90" t="str">
        <f>IF('MASTER data'!$B8="SEP",IF(MONTH('MASTER data'!$E8)=MONTH(E$4),'MASTER data'!$E8,""),"")</f>
        <v/>
      </c>
      <c r="F7" s="16" t="str">
        <f>IF(E7='MASTER data'!$E8,'MASTER data'!$H8,"")</f>
        <v/>
      </c>
      <c r="G7" s="90" t="str">
        <f>IF('MASTER data'!$B8="SEP",IF(MONTH('MASTER data'!$E8)=MONTH(G$4),'MASTER data'!$E8,""),"")</f>
        <v/>
      </c>
      <c r="H7" s="16" t="str">
        <f>IF(G7='MASTER data'!$E8,'MASTER data'!$H8,"")</f>
        <v/>
      </c>
      <c r="I7" s="90" t="str">
        <f>IF('MASTER data'!$B8="SEP",IF(MONTH('MASTER data'!$E8)=MONTH(I$4),'MASTER data'!$E8,""),"")</f>
        <v/>
      </c>
      <c r="J7" s="16" t="str">
        <f>IF(I7='MASTER data'!$E8,'MASTER data'!$H8,"")</f>
        <v/>
      </c>
      <c r="K7" s="90" t="str">
        <f>IF('MASTER data'!$B8="SEP",IF(MONTH('MASTER data'!$E8)=MONTH(K$4),'MASTER data'!$E8,""),"")</f>
        <v/>
      </c>
      <c r="L7" s="16" t="str">
        <f>IF(K7='MASTER data'!$E8,'MASTER data'!$H8,"")</f>
        <v/>
      </c>
      <c r="M7" s="90" t="str">
        <f>IF('MASTER data'!$B8="SEP",IF(MONTH('MASTER data'!$E8)=MONTH(M$4),'MASTER data'!$E8,""),"")</f>
        <v/>
      </c>
      <c r="N7" s="16" t="str">
        <f>IF(M7='MASTER data'!$E8,'MASTER data'!$H8,"")</f>
        <v/>
      </c>
      <c r="O7" s="90" t="str">
        <f>IF('MASTER data'!$B8="SEP",IF(MONTH('MASTER data'!$E8)=MONTH(O$4),'MASTER data'!$E8,""),"")</f>
        <v/>
      </c>
      <c r="P7" s="16" t="str">
        <f>IF(O7='MASTER data'!$E8,'MASTER data'!$H8,"")</f>
        <v/>
      </c>
      <c r="Q7" s="90" t="str">
        <f>IF('MASTER data'!$B8="SEP",IF(MONTH('MASTER data'!$E8)=MONTH(Q$4),'MASTER data'!$E8,""),"")</f>
        <v/>
      </c>
      <c r="R7" s="16" t="str">
        <f>IF(Q7='MASTER data'!$E8,'MASTER data'!$H8,"")</f>
        <v/>
      </c>
      <c r="S7" s="90" t="str">
        <f>IF('MASTER data'!$B8="SEP",IF(MONTH('MASTER data'!$E8)=MONTH(S$4),'MASTER data'!$E8,""),"")</f>
        <v/>
      </c>
      <c r="T7" s="16" t="str">
        <f>IF(S7='MASTER data'!$E8,'MASTER data'!$H8,"")</f>
        <v/>
      </c>
      <c r="U7" s="90" t="str">
        <f>IF('MASTER data'!$B8="SEP",IF(MONTH('MASTER data'!$E8)=MONTH(U$4),'MASTER data'!$E8,""),"")</f>
        <v/>
      </c>
      <c r="V7" s="16" t="str">
        <f>IF(U7='MASTER data'!$E8,'MASTER data'!$H8,"")</f>
        <v/>
      </c>
      <c r="W7" s="90" t="str">
        <f>IF('MASTER data'!$B8="SEP",IF(MONTH('MASTER data'!$E8)=MONTH(W$4),'MASTER data'!$E8,""),"")</f>
        <v/>
      </c>
      <c r="X7" s="16" t="str">
        <f>IF(W7='MASTER data'!$E8,'MASTER data'!$H8,"")</f>
        <v/>
      </c>
      <c r="Y7" s="90" t="str">
        <f>IF('MASTER data'!$B8="SEP",IF(MONTH('MASTER data'!$E8)=MONTH(Y$4),'MASTER data'!$E8,""),"")</f>
        <v/>
      </c>
      <c r="Z7" s="16" t="str">
        <f>IF(Y7='MASTER data'!$E8,'MASTER data'!$H8,"")</f>
        <v/>
      </c>
    </row>
    <row r="8" spans="1:50">
      <c r="A8" s="5"/>
      <c r="B8" s="16" t="str">
        <f>IF('MASTER data'!B9="sep",'MASTER data'!C9,0)</f>
        <v>sf</v>
      </c>
      <c r="C8" s="90" t="str">
        <f>IF('MASTER data'!$B9="SEP",IF(MONTH('MASTER data'!$E9)=MONTH(C$4),'MASTER data'!$E9,""),"")</f>
        <v/>
      </c>
      <c r="D8" s="16" t="str">
        <f>IF(C8='MASTER data'!$E9,'MASTER data'!$H9,"")</f>
        <v/>
      </c>
      <c r="E8" s="90">
        <f>IF('MASTER data'!$B9="SEP",IF(MONTH('MASTER data'!$E9)=MONTH(E$4),'MASTER data'!$E9,""),"")</f>
        <v>40941</v>
      </c>
      <c r="F8" s="16">
        <f>IF(E8='MASTER data'!$E9,'MASTER data'!$H9,"")</f>
        <v>0</v>
      </c>
      <c r="G8" s="90" t="str">
        <f>IF('MASTER data'!$B9="SEP",IF(MONTH('MASTER data'!$E9)=MONTH(G$4),'MASTER data'!$E9,""),"")</f>
        <v/>
      </c>
      <c r="H8" s="16" t="str">
        <f>IF(G8='MASTER data'!$E9,'MASTER data'!$H9,"")</f>
        <v/>
      </c>
      <c r="I8" s="90" t="str">
        <f>IF('MASTER data'!$B9="SEP",IF(MONTH('MASTER data'!$E9)=MONTH(I$4),'MASTER data'!$E9,""),"")</f>
        <v/>
      </c>
      <c r="J8" s="16" t="str">
        <f>IF(I8='MASTER data'!$E9,'MASTER data'!$H9,"")</f>
        <v/>
      </c>
      <c r="K8" s="90" t="str">
        <f>IF('MASTER data'!$B9="SEP",IF(MONTH('MASTER data'!$E9)=MONTH(K$4),'MASTER data'!$E9,""),"")</f>
        <v/>
      </c>
      <c r="L8" s="16" t="str">
        <f>IF(K8='MASTER data'!$E9,'MASTER data'!$H9,"")</f>
        <v/>
      </c>
      <c r="M8" s="90" t="str">
        <f>IF('MASTER data'!$B9="SEP",IF(MONTH('MASTER data'!$E9)=MONTH(M$4),'MASTER data'!$E9,""),"")</f>
        <v/>
      </c>
      <c r="N8" s="16" t="str">
        <f>IF(M8='MASTER data'!$E9,'MASTER data'!$H9,"")</f>
        <v/>
      </c>
      <c r="O8" s="90" t="str">
        <f>IF('MASTER data'!$B9="SEP",IF(MONTH('MASTER data'!$E9)=MONTH(O$4),'MASTER data'!$E9,""),"")</f>
        <v/>
      </c>
      <c r="P8" s="16" t="str">
        <f>IF(O8='MASTER data'!$E9,'MASTER data'!$H9,"")</f>
        <v/>
      </c>
      <c r="Q8" s="90" t="str">
        <f>IF('MASTER data'!$B9="SEP",IF(MONTH('MASTER data'!$E9)=MONTH(Q$4),'MASTER data'!$E9,""),"")</f>
        <v/>
      </c>
      <c r="R8" s="16" t="str">
        <f>IF(Q8='MASTER data'!$E9,'MASTER data'!$H9,"")</f>
        <v/>
      </c>
      <c r="S8" s="90" t="str">
        <f>IF('MASTER data'!$B9="SEP",IF(MONTH('MASTER data'!$E9)=MONTH(S$4),'MASTER data'!$E9,""),"")</f>
        <v/>
      </c>
      <c r="T8" s="16" t="str">
        <f>IF(S8='MASTER data'!$E9,'MASTER data'!$H9,"")</f>
        <v/>
      </c>
      <c r="U8" s="90" t="str">
        <f>IF('MASTER data'!$B9="SEP",IF(MONTH('MASTER data'!$E9)=MONTH(U$4),'MASTER data'!$E9,""),"")</f>
        <v/>
      </c>
      <c r="V8" s="16" t="str">
        <f>IF(U8='MASTER data'!$E9,'MASTER data'!$H9,"")</f>
        <v/>
      </c>
      <c r="W8" s="90" t="str">
        <f>IF('MASTER data'!$B9="SEP",IF(MONTH('MASTER data'!$E9)=MONTH(W$4),'MASTER data'!$E9,""),"")</f>
        <v/>
      </c>
      <c r="X8" s="16" t="str">
        <f>IF(W8='MASTER data'!$E9,'MASTER data'!$H9,"")</f>
        <v/>
      </c>
      <c r="Y8" s="90" t="str">
        <f>IF('MASTER data'!$B9="SEP",IF(MONTH('MASTER data'!$E9)=MONTH(Y$4),'MASTER data'!$E9,""),"")</f>
        <v/>
      </c>
      <c r="Z8" s="16" t="str">
        <f>IF(Y8='MASTER data'!$E9,'MASTER data'!$H9,"")</f>
        <v/>
      </c>
    </row>
    <row r="9" spans="1:50">
      <c r="A9" s="5"/>
      <c r="B9" s="16">
        <f>IF('MASTER data'!B10="sep",'MASTER data'!C10,0)</f>
        <v>0</v>
      </c>
      <c r="C9" s="90" t="str">
        <f>IF('MASTER data'!$B10="SEP",IF(MONTH('MASTER data'!$E10)=MONTH(C$4),'MASTER data'!$E10,""),"")</f>
        <v/>
      </c>
      <c r="D9" s="16" t="str">
        <f>IF(C9='MASTER data'!$E10,'MASTER data'!$H10,"")</f>
        <v/>
      </c>
      <c r="E9" s="90" t="str">
        <f>IF('MASTER data'!$B10="SEP",IF(MONTH('MASTER data'!$E10)=MONTH(E$4),'MASTER data'!$E10,""),"")</f>
        <v/>
      </c>
      <c r="F9" s="16" t="str">
        <f>IF(E9='MASTER data'!$E10,'MASTER data'!$H10,"")</f>
        <v/>
      </c>
      <c r="G9" s="90" t="str">
        <f>IF('MASTER data'!$B10="SEP",IF(MONTH('MASTER data'!$E10)=MONTH(G$4),'MASTER data'!$E10,""),"")</f>
        <v/>
      </c>
      <c r="H9" s="16" t="str">
        <f>IF(G9='MASTER data'!$E10,'MASTER data'!$H10,"")</f>
        <v/>
      </c>
      <c r="I9" s="90" t="str">
        <f>IF('MASTER data'!$B10="SEP",IF(MONTH('MASTER data'!$E10)=MONTH(I$4),'MASTER data'!$E10,""),"")</f>
        <v/>
      </c>
      <c r="J9" s="16" t="str">
        <f>IF(I9='MASTER data'!$E10,'MASTER data'!$H10,"")</f>
        <v/>
      </c>
      <c r="K9" s="90" t="str">
        <f>IF('MASTER data'!$B10="SEP",IF(MONTH('MASTER data'!$E10)=MONTH(K$4),'MASTER data'!$E10,""),"")</f>
        <v/>
      </c>
      <c r="L9" s="16" t="str">
        <f>IF(K9='MASTER data'!$E10,'MASTER data'!$H10,"")</f>
        <v/>
      </c>
      <c r="M9" s="90" t="str">
        <f>IF('MASTER data'!$B10="SEP",IF(MONTH('MASTER data'!$E10)=MONTH(M$4),'MASTER data'!$E10,""),"")</f>
        <v/>
      </c>
      <c r="N9" s="16" t="str">
        <f>IF(M9='MASTER data'!$E10,'MASTER data'!$H10,"")</f>
        <v/>
      </c>
      <c r="O9" s="90" t="str">
        <f>IF('MASTER data'!$B10="SEP",IF(MONTH('MASTER data'!$E10)=MONTH(O$4),'MASTER data'!$E10,""),"")</f>
        <v/>
      </c>
      <c r="P9" s="16" t="str">
        <f>IF(O9='MASTER data'!$E10,'MASTER data'!$H10,"")</f>
        <v/>
      </c>
      <c r="Q9" s="90" t="str">
        <f>IF('MASTER data'!$B10="SEP",IF(MONTH('MASTER data'!$E10)=MONTH(Q$4),'MASTER data'!$E10,""),"")</f>
        <v/>
      </c>
      <c r="R9" s="16" t="str">
        <f>IF(Q9='MASTER data'!$E10,'MASTER data'!$H10,"")</f>
        <v/>
      </c>
      <c r="S9" s="90" t="str">
        <f>IF('MASTER data'!$B10="SEP",IF(MONTH('MASTER data'!$E10)=MONTH(S$4),'MASTER data'!$E10,""),"")</f>
        <v/>
      </c>
      <c r="T9" s="16" t="str">
        <f>IF(S9='MASTER data'!$E10,'MASTER data'!$H10,"")</f>
        <v/>
      </c>
      <c r="U9" s="90" t="str">
        <f>IF('MASTER data'!$B10="SEP",IF(MONTH('MASTER data'!$E10)=MONTH(U$4),'MASTER data'!$E10,""),"")</f>
        <v/>
      </c>
      <c r="V9" s="16" t="str">
        <f>IF(U9='MASTER data'!$E10,'MASTER data'!$H10,"")</f>
        <v/>
      </c>
      <c r="W9" s="90" t="str">
        <f>IF('MASTER data'!$B10="SEP",IF(MONTH('MASTER data'!$E10)=MONTH(W$4),'MASTER data'!$E10,""),"")</f>
        <v/>
      </c>
      <c r="X9" s="16" t="str">
        <f>IF(W9='MASTER data'!$E10,'MASTER data'!$H10,"")</f>
        <v/>
      </c>
      <c r="Y9" s="90" t="str">
        <f>IF('MASTER data'!$B10="SEP",IF(MONTH('MASTER data'!$E10)=MONTH(Y$4),'MASTER data'!$E10,""),"")</f>
        <v/>
      </c>
      <c r="Z9" s="16" t="str">
        <f>IF(Y9='MASTER data'!$E10,'MASTER data'!$H10,"")</f>
        <v/>
      </c>
    </row>
    <row r="10" spans="1:50">
      <c r="A10" s="5"/>
      <c r="B10" s="16">
        <f>IF('MASTER data'!B11="sep",'MASTER data'!C11,0)</f>
        <v>0</v>
      </c>
      <c r="C10" s="90" t="str">
        <f>IF('MASTER data'!$B11="SEP",IF(MONTH('MASTER data'!$E11)=MONTH(C$4),'MASTER data'!$E11,""),"")</f>
        <v/>
      </c>
      <c r="D10" s="16" t="str">
        <f>IF(C10='MASTER data'!$E11,'MASTER data'!$H11,"")</f>
        <v/>
      </c>
      <c r="E10" s="90" t="str">
        <f>IF('MASTER data'!$B11="SEP",IF(MONTH('MASTER data'!$E11)=MONTH(E$4),'MASTER data'!$E11,""),"")</f>
        <v/>
      </c>
      <c r="F10" s="16" t="str">
        <f>IF(E10='MASTER data'!$E11,'MASTER data'!$H11,"")</f>
        <v/>
      </c>
      <c r="G10" s="90" t="str">
        <f>IF('MASTER data'!$B11="SEP",IF(MONTH('MASTER data'!$E11)=MONTH(G$4),'MASTER data'!$E11,""),"")</f>
        <v/>
      </c>
      <c r="H10" s="16" t="str">
        <f>IF(G10='MASTER data'!$E11,'MASTER data'!$H11,"")</f>
        <v/>
      </c>
      <c r="I10" s="90" t="str">
        <f>IF('MASTER data'!$B11="SEP",IF(MONTH('MASTER data'!$E11)=MONTH(I$4),'MASTER data'!$E11,""),"")</f>
        <v/>
      </c>
      <c r="J10" s="16" t="str">
        <f>IF(I10='MASTER data'!$E11,'MASTER data'!$H11,"")</f>
        <v/>
      </c>
      <c r="K10" s="90" t="str">
        <f>IF('MASTER data'!$B11="SEP",IF(MONTH('MASTER data'!$E11)=MONTH(K$4),'MASTER data'!$E11,""),"")</f>
        <v/>
      </c>
      <c r="L10" s="16" t="str">
        <f>IF(K10='MASTER data'!$E11,'MASTER data'!$H11,"")</f>
        <v/>
      </c>
      <c r="M10" s="90" t="str">
        <f>IF('MASTER data'!$B11="SEP",IF(MONTH('MASTER data'!$E11)=MONTH(M$4),'MASTER data'!$E11,""),"")</f>
        <v/>
      </c>
      <c r="N10" s="16" t="str">
        <f>IF(M10='MASTER data'!$E11,'MASTER data'!$H11,"")</f>
        <v/>
      </c>
      <c r="O10" s="90" t="str">
        <f>IF('MASTER data'!$B11="SEP",IF(MONTH('MASTER data'!$E11)=MONTH(O$4),'MASTER data'!$E11,""),"")</f>
        <v/>
      </c>
      <c r="P10" s="16" t="str">
        <f>IF(O10='MASTER data'!$E11,'MASTER data'!$H11,"")</f>
        <v/>
      </c>
      <c r="Q10" s="90" t="str">
        <f>IF('MASTER data'!$B11="SEP",IF(MONTH('MASTER data'!$E11)=MONTH(Q$4),'MASTER data'!$E11,""),"")</f>
        <v/>
      </c>
      <c r="R10" s="16" t="str">
        <f>IF(Q10='MASTER data'!$E11,'MASTER data'!$H11,"")</f>
        <v/>
      </c>
      <c r="S10" s="90" t="str">
        <f>IF('MASTER data'!$B11="SEP",IF(MONTH('MASTER data'!$E11)=MONTH(S$4),'MASTER data'!$E11,""),"")</f>
        <v/>
      </c>
      <c r="T10" s="16" t="str">
        <f>IF(S10='MASTER data'!$E11,'MASTER data'!$H11,"")</f>
        <v/>
      </c>
      <c r="U10" s="90" t="str">
        <f>IF('MASTER data'!$B11="SEP",IF(MONTH('MASTER data'!$E11)=MONTH(U$4),'MASTER data'!$E11,""),"")</f>
        <v/>
      </c>
      <c r="V10" s="16" t="str">
        <f>IF(U10='MASTER data'!$E11,'MASTER data'!$H11,"")</f>
        <v/>
      </c>
      <c r="W10" s="90" t="str">
        <f>IF('MASTER data'!$B11="SEP",IF(MONTH('MASTER data'!$E11)=MONTH(W$4),'MASTER data'!$E11,""),"")</f>
        <v/>
      </c>
      <c r="X10" s="16" t="str">
        <f>IF(W10='MASTER data'!$E11,'MASTER data'!$H11,"")</f>
        <v/>
      </c>
      <c r="Y10" s="90" t="str">
        <f>IF('MASTER data'!$B11="SEP",IF(MONTH('MASTER data'!$E11)=MONTH(Y$4),'MASTER data'!$E11,""),"")</f>
        <v/>
      </c>
      <c r="Z10" s="16" t="str">
        <f>IF(Y10='MASTER data'!$E11,'MASTER data'!$H11,"")</f>
        <v/>
      </c>
    </row>
    <row r="11" spans="1:50">
      <c r="A11" s="5"/>
      <c r="B11" s="16">
        <f>IF('MASTER data'!B12="sep",'MASTER data'!C12,0)</f>
        <v>0</v>
      </c>
      <c r="C11" s="90" t="str">
        <f>IF('MASTER data'!$B12="SEP",IF(MONTH('MASTER data'!$E12)=MONTH(C$4),'MASTER data'!$E12,""),"")</f>
        <v/>
      </c>
      <c r="D11" s="16" t="str">
        <f>IF(C11='MASTER data'!$E12,'MASTER data'!$H12,"")</f>
        <v/>
      </c>
      <c r="E11" s="90" t="str">
        <f>IF('MASTER data'!$B12="SEP",IF(MONTH('MASTER data'!$E12)=MONTH(E$4),'MASTER data'!$E12,""),"")</f>
        <v/>
      </c>
      <c r="F11" s="16" t="str">
        <f>IF(E11='MASTER data'!$E12,'MASTER data'!$H12,"")</f>
        <v/>
      </c>
      <c r="G11" s="90" t="str">
        <f>IF('MASTER data'!$B12="SEP",IF(MONTH('MASTER data'!$E12)=MONTH(G$4),'MASTER data'!$E12,""),"")</f>
        <v/>
      </c>
      <c r="H11" s="16" t="str">
        <f>IF(G11='MASTER data'!$E12,'MASTER data'!$H12,"")</f>
        <v/>
      </c>
      <c r="I11" s="90" t="str">
        <f>IF('MASTER data'!$B12="SEP",IF(MONTH('MASTER data'!$E12)=MONTH(I$4),'MASTER data'!$E12,""),"")</f>
        <v/>
      </c>
      <c r="J11" s="16" t="str">
        <f>IF(I11='MASTER data'!$E12,'MASTER data'!$H12,"")</f>
        <v/>
      </c>
      <c r="K11" s="90" t="str">
        <f>IF('MASTER data'!$B12="SEP",IF(MONTH('MASTER data'!$E12)=MONTH(K$4),'MASTER data'!$E12,""),"")</f>
        <v/>
      </c>
      <c r="L11" s="16" t="str">
        <f>IF(K11='MASTER data'!$E12,'MASTER data'!$H12,"")</f>
        <v/>
      </c>
      <c r="M11" s="90" t="str">
        <f>IF('MASTER data'!$B12="SEP",IF(MONTH('MASTER data'!$E12)=MONTH(M$4),'MASTER data'!$E12,""),"")</f>
        <v/>
      </c>
      <c r="N11" s="16" t="str">
        <f>IF(M11='MASTER data'!$E12,'MASTER data'!$H12,"")</f>
        <v/>
      </c>
      <c r="O11" s="90" t="str">
        <f>IF('MASTER data'!$B12="SEP",IF(MONTH('MASTER data'!$E12)=MONTH(O$4),'MASTER data'!$E12,""),"")</f>
        <v/>
      </c>
      <c r="P11" s="16" t="str">
        <f>IF(O11='MASTER data'!$E12,'MASTER data'!$H12,"")</f>
        <v/>
      </c>
      <c r="Q11" s="90" t="str">
        <f>IF('MASTER data'!$B12="SEP",IF(MONTH('MASTER data'!$E12)=MONTH(Q$4),'MASTER data'!$E12,""),"")</f>
        <v/>
      </c>
      <c r="R11" s="16" t="str">
        <f>IF(Q11='MASTER data'!$E12,'MASTER data'!$H12,"")</f>
        <v/>
      </c>
      <c r="S11" s="90" t="str">
        <f>IF('MASTER data'!$B12="SEP",IF(MONTH('MASTER data'!$E12)=MONTH(S$4),'MASTER data'!$E12,""),"")</f>
        <v/>
      </c>
      <c r="T11" s="16" t="str">
        <f>IF(S11='MASTER data'!$E12,'MASTER data'!$H12,"")</f>
        <v/>
      </c>
      <c r="U11" s="90" t="str">
        <f>IF('MASTER data'!$B12="SEP",IF(MONTH('MASTER data'!$E12)=MONTH(U$4),'MASTER data'!$E12,""),"")</f>
        <v/>
      </c>
      <c r="V11" s="16" t="str">
        <f>IF(U11='MASTER data'!$E12,'MASTER data'!$H12,"")</f>
        <v/>
      </c>
      <c r="W11" s="90" t="str">
        <f>IF('MASTER data'!$B12="SEP",IF(MONTH('MASTER data'!$E12)=MONTH(W$4),'MASTER data'!$E12,""),"")</f>
        <v/>
      </c>
      <c r="X11" s="16" t="str">
        <f>IF(W11='MASTER data'!$E12,'MASTER data'!$H12,"")</f>
        <v/>
      </c>
      <c r="Y11" s="90" t="str">
        <f>IF('MASTER data'!$B12="SEP",IF(MONTH('MASTER data'!$E12)=MONTH(Y$4),'MASTER data'!$E12,""),"")</f>
        <v/>
      </c>
      <c r="Z11" s="16" t="str">
        <f>IF(Y11='MASTER data'!$E12,'MASTER data'!$H12,"")</f>
        <v/>
      </c>
    </row>
    <row r="12" spans="1:50">
      <c r="A12" s="5"/>
      <c r="B12" s="16">
        <f>IF('MASTER data'!B13="sep",'MASTER data'!C13,0)</f>
        <v>0</v>
      </c>
      <c r="C12" s="90" t="str">
        <f>IF('MASTER data'!$B13="SEP",IF(MONTH('MASTER data'!$E13)=MONTH(C$4),'MASTER data'!$E13,""),"")</f>
        <v/>
      </c>
      <c r="D12" s="16">
        <f>IF(C12='MASTER data'!$E13,'MASTER data'!$H13,"")</f>
        <v>0</v>
      </c>
      <c r="E12" s="90" t="str">
        <f>IF('MASTER data'!$B13="SEP",IF(MONTH('MASTER data'!$E13)=MONTH(E$4),'MASTER data'!$E13,""),"")</f>
        <v/>
      </c>
      <c r="F12" s="16">
        <f>IF(E12='MASTER data'!$E13,'MASTER data'!$H13,"")</f>
        <v>0</v>
      </c>
      <c r="G12" s="90" t="str">
        <f>IF('MASTER data'!$B13="SEP",IF(MONTH('MASTER data'!$E13)=MONTH(G$4),'MASTER data'!$E13,""),"")</f>
        <v/>
      </c>
      <c r="H12" s="16">
        <f>IF(G12='MASTER data'!$E13,'MASTER data'!$H13,"")</f>
        <v>0</v>
      </c>
      <c r="I12" s="90" t="str">
        <f>IF('MASTER data'!$B13="SEP",IF(MONTH('MASTER data'!$E13)=MONTH(I$4),'MASTER data'!$E13,""),"")</f>
        <v/>
      </c>
      <c r="J12" s="16">
        <f>IF(I12='MASTER data'!$E13,'MASTER data'!$H13,"")</f>
        <v>0</v>
      </c>
      <c r="K12" s="90" t="str">
        <f>IF('MASTER data'!$B13="SEP",IF(MONTH('MASTER data'!$E13)=MONTH(K$4),'MASTER data'!$E13,""),"")</f>
        <v/>
      </c>
      <c r="L12" s="16">
        <f>IF(K12='MASTER data'!$E13,'MASTER data'!$H13,"")</f>
        <v>0</v>
      </c>
      <c r="M12" s="90" t="str">
        <f>IF('MASTER data'!$B13="SEP",IF(MONTH('MASTER data'!$E13)=MONTH(M$4),'MASTER data'!$E13,""),"")</f>
        <v/>
      </c>
      <c r="N12" s="16">
        <f>IF(M12='MASTER data'!$E13,'MASTER data'!$H13,"")</f>
        <v>0</v>
      </c>
      <c r="O12" s="90" t="str">
        <f>IF('MASTER data'!$B13="SEP",IF(MONTH('MASTER data'!$E13)=MONTH(O$4),'MASTER data'!$E13,""),"")</f>
        <v/>
      </c>
      <c r="P12" s="16">
        <f>IF(O12='MASTER data'!$E13,'MASTER data'!$H13,"")</f>
        <v>0</v>
      </c>
      <c r="Q12" s="90" t="str">
        <f>IF('MASTER data'!$B13="SEP",IF(MONTH('MASTER data'!$E13)=MONTH(Q$4),'MASTER data'!$E13,""),"")</f>
        <v/>
      </c>
      <c r="R12" s="16">
        <f>IF(Q12='MASTER data'!$E13,'MASTER data'!$H13,"")</f>
        <v>0</v>
      </c>
      <c r="S12" s="90" t="str">
        <f>IF('MASTER data'!$B13="SEP",IF(MONTH('MASTER data'!$E13)=MONTH(S$4),'MASTER data'!$E13,""),"")</f>
        <v/>
      </c>
      <c r="T12" s="16">
        <f>IF(S12='MASTER data'!$E13,'MASTER data'!$H13,"")</f>
        <v>0</v>
      </c>
      <c r="U12" s="90" t="str">
        <f>IF('MASTER data'!$B13="SEP",IF(MONTH('MASTER data'!$E13)=MONTH(U$4),'MASTER data'!$E13,""),"")</f>
        <v/>
      </c>
      <c r="V12" s="16">
        <f>IF(U12='MASTER data'!$E13,'MASTER data'!$H13,"")</f>
        <v>0</v>
      </c>
      <c r="W12" s="90" t="str">
        <f>IF('MASTER data'!$B13="SEP",IF(MONTH('MASTER data'!$E13)=MONTH(W$4),'MASTER data'!$E13,""),"")</f>
        <v/>
      </c>
      <c r="X12" s="16">
        <f>IF(W12='MASTER data'!$E13,'MASTER data'!$H13,"")</f>
        <v>0</v>
      </c>
      <c r="Y12" s="90" t="str">
        <f>IF('MASTER data'!$B13="SEP",IF(MONTH('MASTER data'!$E13)=MONTH(Y$4),'MASTER data'!$E13,""),"")</f>
        <v/>
      </c>
      <c r="Z12" s="16">
        <f>IF(Y12='MASTER data'!$E13,'MASTER data'!$H13,"")</f>
        <v>0</v>
      </c>
    </row>
    <row r="13" spans="1:50">
      <c r="A13" s="5"/>
      <c r="B13" s="16">
        <f>IF('MASTER data'!B14="sep",'MASTER data'!C14,0)</f>
        <v>0</v>
      </c>
      <c r="C13" s="90" t="str">
        <f>IF('MASTER data'!$B14="SEP",IF(MONTH('MASTER data'!$E14)=MONTH(C$4),'MASTER data'!$E14,""),"")</f>
        <v/>
      </c>
      <c r="D13" s="16">
        <f>IF(C13='MASTER data'!$E14,'MASTER data'!$H14,"")</f>
        <v>0</v>
      </c>
      <c r="E13" s="90" t="str">
        <f>IF('MASTER data'!$B14="SEP",IF(MONTH('MASTER data'!$E14)=MONTH(E$4),'MASTER data'!$E14,""),"")</f>
        <v/>
      </c>
      <c r="F13" s="16">
        <f>IF(E13='MASTER data'!$E14,'MASTER data'!$H14,"")</f>
        <v>0</v>
      </c>
      <c r="G13" s="90" t="str">
        <f>IF('MASTER data'!$B14="SEP",IF(MONTH('MASTER data'!$E14)=MONTH(G$4),'MASTER data'!$E14,""),"")</f>
        <v/>
      </c>
      <c r="H13" s="16">
        <f>IF(G13='MASTER data'!$E14,'MASTER data'!$H14,"")</f>
        <v>0</v>
      </c>
      <c r="I13" s="90" t="str">
        <f>IF('MASTER data'!$B14="SEP",IF(MONTH('MASTER data'!$E14)=MONTH(I$4),'MASTER data'!$E14,""),"")</f>
        <v/>
      </c>
      <c r="J13" s="16">
        <f>IF(I13='MASTER data'!$E14,'MASTER data'!$H14,"")</f>
        <v>0</v>
      </c>
      <c r="K13" s="90" t="str">
        <f>IF('MASTER data'!$B14="SEP",IF(MONTH('MASTER data'!$E14)=MONTH(K$4),'MASTER data'!$E14,""),"")</f>
        <v/>
      </c>
      <c r="L13" s="16">
        <f>IF(K13='MASTER data'!$E14,'MASTER data'!$H14,"")</f>
        <v>0</v>
      </c>
      <c r="M13" s="90" t="str">
        <f>IF('MASTER data'!$B14="SEP",IF(MONTH('MASTER data'!$E14)=MONTH(M$4),'MASTER data'!$E14,""),"")</f>
        <v/>
      </c>
      <c r="N13" s="16">
        <f>IF(M13='MASTER data'!$E14,'MASTER data'!$H14,"")</f>
        <v>0</v>
      </c>
      <c r="O13" s="90" t="str">
        <f>IF('MASTER data'!$B14="SEP",IF(MONTH('MASTER data'!$E14)=MONTH(O$4),'MASTER data'!$E14,""),"")</f>
        <v/>
      </c>
      <c r="P13" s="16">
        <f>IF(O13='MASTER data'!$E14,'MASTER data'!$H14,"")</f>
        <v>0</v>
      </c>
      <c r="Q13" s="90" t="str">
        <f>IF('MASTER data'!$B14="SEP",IF(MONTH('MASTER data'!$E14)=MONTH(Q$4),'MASTER data'!$E14,""),"")</f>
        <v/>
      </c>
      <c r="R13" s="16">
        <f>IF(Q13='MASTER data'!$E14,'MASTER data'!$H14,"")</f>
        <v>0</v>
      </c>
      <c r="S13" s="90" t="str">
        <f>IF('MASTER data'!$B14="SEP",IF(MONTH('MASTER data'!$E14)=MONTH(S$4),'MASTER data'!$E14,""),"")</f>
        <v/>
      </c>
      <c r="T13" s="16">
        <f>IF(S13='MASTER data'!$E14,'MASTER data'!$H14,"")</f>
        <v>0</v>
      </c>
      <c r="U13" s="90" t="str">
        <f>IF('MASTER data'!$B14="SEP",IF(MONTH('MASTER data'!$E14)=MONTH(U$4),'MASTER data'!$E14,""),"")</f>
        <v/>
      </c>
      <c r="V13" s="16">
        <f>IF(U13='MASTER data'!$E14,'MASTER data'!$H14,"")</f>
        <v>0</v>
      </c>
      <c r="W13" s="90" t="str">
        <f>IF('MASTER data'!$B14="SEP",IF(MONTH('MASTER data'!$E14)=MONTH(W$4),'MASTER data'!$E14,""),"")</f>
        <v/>
      </c>
      <c r="X13" s="16">
        <f>IF(W13='MASTER data'!$E14,'MASTER data'!$H14,"")</f>
        <v>0</v>
      </c>
      <c r="Y13" s="90" t="str">
        <f>IF('MASTER data'!$B14="SEP",IF(MONTH('MASTER data'!$E14)=MONTH(Y$4),'MASTER data'!$E14,""),"")</f>
        <v/>
      </c>
      <c r="Z13" s="16">
        <f>IF(Y13='MASTER data'!$E14,'MASTER data'!$H14,"")</f>
        <v>0</v>
      </c>
    </row>
    <row r="14" spans="1:50">
      <c r="A14" s="5"/>
      <c r="B14" s="16">
        <f>IF('MASTER data'!B15="sep",'MASTER data'!C15,0)</f>
        <v>0</v>
      </c>
      <c r="C14" s="90" t="str">
        <f>IF('MASTER data'!$B15="SEP",IF(MONTH('MASTER data'!$E15)=MONTH(C$4),'MASTER data'!$E15,""),"")</f>
        <v/>
      </c>
      <c r="D14" s="16">
        <f>IF(C14='MASTER data'!$E15,'MASTER data'!$H15,"")</f>
        <v>0</v>
      </c>
      <c r="E14" s="90" t="str">
        <f>IF('MASTER data'!$B15="SEP",IF(MONTH('MASTER data'!$E15)=MONTH(E$4),'MASTER data'!$E15,""),"")</f>
        <v/>
      </c>
      <c r="F14" s="16">
        <f>IF(E14='MASTER data'!$E15,'MASTER data'!$H15,"")</f>
        <v>0</v>
      </c>
      <c r="G14" s="90" t="str">
        <f>IF('MASTER data'!$B15="SEP",IF(MONTH('MASTER data'!$E15)=MONTH(G$4),'MASTER data'!$E15,""),"")</f>
        <v/>
      </c>
      <c r="H14" s="16">
        <f>IF(G14='MASTER data'!$E15,'MASTER data'!$H15,"")</f>
        <v>0</v>
      </c>
      <c r="I14" s="90" t="str">
        <f>IF('MASTER data'!$B15="SEP",IF(MONTH('MASTER data'!$E15)=MONTH(I$4),'MASTER data'!$E15,""),"")</f>
        <v/>
      </c>
      <c r="J14" s="16">
        <f>IF(I14='MASTER data'!$E15,'MASTER data'!$H15,"")</f>
        <v>0</v>
      </c>
      <c r="K14" s="90" t="str">
        <f>IF('MASTER data'!$B15="SEP",IF(MONTH('MASTER data'!$E15)=MONTH(K$4),'MASTER data'!$E15,""),"")</f>
        <v/>
      </c>
      <c r="L14" s="16">
        <f>IF(K14='MASTER data'!$E15,'MASTER data'!$H15,"")</f>
        <v>0</v>
      </c>
      <c r="M14" s="90" t="str">
        <f>IF('MASTER data'!$B15="SEP",IF(MONTH('MASTER data'!$E15)=MONTH(M$4),'MASTER data'!$E15,""),"")</f>
        <v/>
      </c>
      <c r="N14" s="16">
        <f>IF(M14='MASTER data'!$E15,'MASTER data'!$H15,"")</f>
        <v>0</v>
      </c>
      <c r="O14" s="90" t="str">
        <f>IF('MASTER data'!$B15="SEP",IF(MONTH('MASTER data'!$E15)=MONTH(O$4),'MASTER data'!$E15,""),"")</f>
        <v/>
      </c>
      <c r="P14" s="16">
        <f>IF(O14='MASTER data'!$E15,'MASTER data'!$H15,"")</f>
        <v>0</v>
      </c>
      <c r="Q14" s="90" t="str">
        <f>IF('MASTER data'!$B15="SEP",IF(MONTH('MASTER data'!$E15)=MONTH(Q$4),'MASTER data'!$E15,""),"")</f>
        <v/>
      </c>
      <c r="R14" s="16">
        <f>IF(Q14='MASTER data'!$E15,'MASTER data'!$H15,"")</f>
        <v>0</v>
      </c>
      <c r="S14" s="90" t="str">
        <f>IF('MASTER data'!$B15="SEP",IF(MONTH('MASTER data'!$E15)=MONTH(S$4),'MASTER data'!$E15,""),"")</f>
        <v/>
      </c>
      <c r="T14" s="16">
        <f>IF(S14='MASTER data'!$E15,'MASTER data'!$H15,"")</f>
        <v>0</v>
      </c>
      <c r="U14" s="90" t="str">
        <f>IF('MASTER data'!$B15="SEP",IF(MONTH('MASTER data'!$E15)=MONTH(U$4),'MASTER data'!$E15,""),"")</f>
        <v/>
      </c>
      <c r="V14" s="16">
        <f>IF(U14='MASTER data'!$E15,'MASTER data'!$H15,"")</f>
        <v>0</v>
      </c>
      <c r="W14" s="90" t="str">
        <f>IF('MASTER data'!$B15="SEP",IF(MONTH('MASTER data'!$E15)=MONTH(W$4),'MASTER data'!$E15,""),"")</f>
        <v/>
      </c>
      <c r="X14" s="16">
        <f>IF(W14='MASTER data'!$E15,'MASTER data'!$H15,"")</f>
        <v>0</v>
      </c>
      <c r="Y14" s="90" t="str">
        <f>IF('MASTER data'!$B15="SEP",IF(MONTH('MASTER data'!$E15)=MONTH(Y$4),'MASTER data'!$E15,""),"")</f>
        <v/>
      </c>
      <c r="Z14" s="16">
        <f>IF(Y14='MASTER data'!$E15,'MASTER data'!$H15,"")</f>
        <v>0</v>
      </c>
    </row>
    <row r="15" spans="1:50">
      <c r="A15" s="5"/>
      <c r="B15" s="16">
        <f>IF('MASTER data'!B16="sep",'MASTER data'!C16,0)</f>
        <v>0</v>
      </c>
      <c r="C15" s="90" t="str">
        <f>IF('MASTER data'!$B16="SEP",IF(MONTH('MASTER data'!$E16)=MONTH(C$4),'MASTER data'!$E16,""),"")</f>
        <v/>
      </c>
      <c r="D15" s="16">
        <f>IF(C15='MASTER data'!$E16,'MASTER data'!$H16,"")</f>
        <v>0</v>
      </c>
      <c r="E15" s="90" t="str">
        <f>IF('MASTER data'!$B16="SEP",IF(MONTH('MASTER data'!$E16)=MONTH(E$4),'MASTER data'!$E16,""),"")</f>
        <v/>
      </c>
      <c r="F15" s="16">
        <f>IF(E15='MASTER data'!$E16,'MASTER data'!$H16,"")</f>
        <v>0</v>
      </c>
      <c r="G15" s="90" t="str">
        <f>IF('MASTER data'!$B16="SEP",IF(MONTH('MASTER data'!$E16)=MONTH(G$4),'MASTER data'!$E16,""),"")</f>
        <v/>
      </c>
      <c r="H15" s="16">
        <f>IF(G15='MASTER data'!$E16,'MASTER data'!$H16,"")</f>
        <v>0</v>
      </c>
      <c r="I15" s="90" t="str">
        <f>IF('MASTER data'!$B16="SEP",IF(MONTH('MASTER data'!$E16)=MONTH(I$4),'MASTER data'!$E16,""),"")</f>
        <v/>
      </c>
      <c r="J15" s="16">
        <f>IF(I15='MASTER data'!$E16,'MASTER data'!$H16,"")</f>
        <v>0</v>
      </c>
      <c r="K15" s="90" t="str">
        <f>IF('MASTER data'!$B16="SEP",IF(MONTH('MASTER data'!$E16)=MONTH(K$4),'MASTER data'!$E16,""),"")</f>
        <v/>
      </c>
      <c r="L15" s="16">
        <f>IF(K15='MASTER data'!$E16,'MASTER data'!$H16,"")</f>
        <v>0</v>
      </c>
      <c r="M15" s="90" t="str">
        <f>IF('MASTER data'!$B16="SEP",IF(MONTH('MASTER data'!$E16)=MONTH(M$4),'MASTER data'!$E16,""),"")</f>
        <v/>
      </c>
      <c r="N15" s="16">
        <f>IF(M15='MASTER data'!$E16,'MASTER data'!$H16,"")</f>
        <v>0</v>
      </c>
      <c r="O15" s="90" t="str">
        <f>IF('MASTER data'!$B16="SEP",IF(MONTH('MASTER data'!$E16)=MONTH(O$4),'MASTER data'!$E16,""),"")</f>
        <v/>
      </c>
      <c r="P15" s="16">
        <f>IF(O15='MASTER data'!$E16,'MASTER data'!$H16,"")</f>
        <v>0</v>
      </c>
      <c r="Q15" s="90" t="str">
        <f>IF('MASTER data'!$B16="SEP",IF(MONTH('MASTER data'!$E16)=MONTH(Q$4),'MASTER data'!$E16,""),"")</f>
        <v/>
      </c>
      <c r="R15" s="16">
        <f>IF(Q15='MASTER data'!$E16,'MASTER data'!$H16,"")</f>
        <v>0</v>
      </c>
      <c r="S15" s="90" t="str">
        <f>IF('MASTER data'!$B16="SEP",IF(MONTH('MASTER data'!$E16)=MONTH(S$4),'MASTER data'!$E16,""),"")</f>
        <v/>
      </c>
      <c r="T15" s="16">
        <f>IF(S15='MASTER data'!$E16,'MASTER data'!$H16,"")</f>
        <v>0</v>
      </c>
      <c r="U15" s="90" t="str">
        <f>IF('MASTER data'!$B16="SEP",IF(MONTH('MASTER data'!$E16)=MONTH(U$4),'MASTER data'!$E16,""),"")</f>
        <v/>
      </c>
      <c r="V15" s="16">
        <f>IF(U15='MASTER data'!$E16,'MASTER data'!$H16,"")</f>
        <v>0</v>
      </c>
      <c r="W15" s="90" t="str">
        <f>IF('MASTER data'!$B16="SEP",IF(MONTH('MASTER data'!$E16)=MONTH(W$4),'MASTER data'!$E16,""),"")</f>
        <v/>
      </c>
      <c r="X15" s="16">
        <f>IF(W15='MASTER data'!$E16,'MASTER data'!$H16,"")</f>
        <v>0</v>
      </c>
      <c r="Y15" s="90" t="str">
        <f>IF('MASTER data'!$B16="SEP",IF(MONTH('MASTER data'!$E16)=MONTH(Y$4),'MASTER data'!$E16,""),"")</f>
        <v/>
      </c>
      <c r="Z15" s="16">
        <f>IF(Y15='MASTER data'!$E16,'MASTER data'!$H16,"")</f>
        <v>0</v>
      </c>
    </row>
    <row r="16" spans="1:50">
      <c r="A16" s="5"/>
      <c r="B16" s="16">
        <f>IF('MASTER data'!B17="sep",'MASTER data'!C17,0)</f>
        <v>0</v>
      </c>
      <c r="C16" s="90" t="str">
        <f>IF('MASTER data'!$B17="SEP",IF(MONTH('MASTER data'!$E17)=MONTH(C$4),'MASTER data'!$E17,""),"")</f>
        <v/>
      </c>
      <c r="D16" s="16">
        <f>IF(C16='MASTER data'!$E17,'MASTER data'!$H17,"")</f>
        <v>0</v>
      </c>
      <c r="E16" s="90" t="str">
        <f>IF('MASTER data'!$B17="SEP",IF(MONTH('MASTER data'!$E17)=MONTH(E$4),'MASTER data'!$E17,""),"")</f>
        <v/>
      </c>
      <c r="F16" s="16">
        <f>IF(E16='MASTER data'!$E17,'MASTER data'!$H17,"")</f>
        <v>0</v>
      </c>
      <c r="G16" s="90" t="str">
        <f>IF('MASTER data'!$B17="SEP",IF(MONTH('MASTER data'!$E17)=MONTH(G$4),'MASTER data'!$E17,""),"")</f>
        <v/>
      </c>
      <c r="H16" s="16">
        <f>IF(G16='MASTER data'!$E17,'MASTER data'!$H17,"")</f>
        <v>0</v>
      </c>
      <c r="I16" s="90" t="str">
        <f>IF('MASTER data'!$B17="SEP",IF(MONTH('MASTER data'!$E17)=MONTH(I$4),'MASTER data'!$E17,""),"")</f>
        <v/>
      </c>
      <c r="J16" s="16">
        <f>IF(I16='MASTER data'!$E17,'MASTER data'!$H17,"")</f>
        <v>0</v>
      </c>
      <c r="K16" s="90" t="str">
        <f>IF('MASTER data'!$B17="SEP",IF(MONTH('MASTER data'!$E17)=MONTH(K$4),'MASTER data'!$E17,""),"")</f>
        <v/>
      </c>
      <c r="L16" s="16">
        <f>IF(K16='MASTER data'!$E17,'MASTER data'!$H17,"")</f>
        <v>0</v>
      </c>
      <c r="M16" s="90" t="str">
        <f>IF('MASTER data'!$B17="SEP",IF(MONTH('MASTER data'!$E17)=MONTH(M$4),'MASTER data'!$E17,""),"")</f>
        <v/>
      </c>
      <c r="N16" s="16">
        <f>IF(M16='MASTER data'!$E17,'MASTER data'!$H17,"")</f>
        <v>0</v>
      </c>
      <c r="O16" s="90" t="str">
        <f>IF('MASTER data'!$B17="SEP",IF(MONTH('MASTER data'!$E17)=MONTH(O$4),'MASTER data'!$E17,""),"")</f>
        <v/>
      </c>
      <c r="P16" s="16">
        <f>IF(O16='MASTER data'!$E17,'MASTER data'!$H17,"")</f>
        <v>0</v>
      </c>
      <c r="Q16" s="90" t="str">
        <f>IF('MASTER data'!$B17="SEP",IF(MONTH('MASTER data'!$E17)=MONTH(Q$4),'MASTER data'!$E17,""),"")</f>
        <v/>
      </c>
      <c r="R16" s="16">
        <f>IF(Q16='MASTER data'!$E17,'MASTER data'!$H17,"")</f>
        <v>0</v>
      </c>
      <c r="S16" s="90" t="str">
        <f>IF('MASTER data'!$B17="SEP",IF(MONTH('MASTER data'!$E17)=MONTH(S$4),'MASTER data'!$E17,""),"")</f>
        <v/>
      </c>
      <c r="T16" s="16">
        <f>IF(S16='MASTER data'!$E17,'MASTER data'!$H17,"")</f>
        <v>0</v>
      </c>
      <c r="U16" s="90" t="str">
        <f>IF('MASTER data'!$B17="SEP",IF(MONTH('MASTER data'!$E17)=MONTH(U$4),'MASTER data'!$E17,""),"")</f>
        <v/>
      </c>
      <c r="V16" s="16">
        <f>IF(U16='MASTER data'!$E17,'MASTER data'!$H17,"")</f>
        <v>0</v>
      </c>
      <c r="W16" s="90" t="str">
        <f>IF('MASTER data'!$B17="SEP",IF(MONTH('MASTER data'!$E17)=MONTH(W$4),'MASTER data'!$E17,""),"")</f>
        <v/>
      </c>
      <c r="X16" s="16">
        <f>IF(W16='MASTER data'!$E17,'MASTER data'!$H17,"")</f>
        <v>0</v>
      </c>
      <c r="Y16" s="90" t="str">
        <f>IF('MASTER data'!$B17="SEP",IF(MONTH('MASTER data'!$E17)=MONTH(Y$4),'MASTER data'!$E17,""),"")</f>
        <v/>
      </c>
      <c r="Z16" s="16">
        <f>IF(Y16='MASTER data'!$E17,'MASTER data'!$H17,"")</f>
        <v>0</v>
      </c>
    </row>
    <row r="17" spans="1:26">
      <c r="A17" s="5"/>
      <c r="B17" s="16">
        <f>IF('MASTER data'!B18="sep",'MASTER data'!C18,0)</f>
        <v>0</v>
      </c>
      <c r="C17" s="90" t="str">
        <f>IF('MASTER data'!$B18="SEP",IF(MONTH('MASTER data'!$E18)=MONTH(C$4),'MASTER data'!$E18,""),"")</f>
        <v/>
      </c>
      <c r="D17" s="16">
        <f>IF(C17='MASTER data'!$E18,'MASTER data'!$H18,"")</f>
        <v>0</v>
      </c>
      <c r="E17" s="90" t="str">
        <f>IF('MASTER data'!$B18="SEP",IF(MONTH('MASTER data'!$E18)=MONTH(E$4),'MASTER data'!$E18,""),"")</f>
        <v/>
      </c>
      <c r="F17" s="16">
        <f>IF(E17='MASTER data'!$E18,'MASTER data'!$H18,"")</f>
        <v>0</v>
      </c>
      <c r="G17" s="90" t="str">
        <f>IF('MASTER data'!$B18="SEP",IF(MONTH('MASTER data'!$E18)=MONTH(G$4),'MASTER data'!$E18,""),"")</f>
        <v/>
      </c>
      <c r="H17" s="16">
        <f>IF(G17='MASTER data'!$E18,'MASTER data'!$H18,"")</f>
        <v>0</v>
      </c>
      <c r="I17" s="90" t="str">
        <f>IF('MASTER data'!$B18="SEP",IF(MONTH('MASTER data'!$E18)=MONTH(I$4),'MASTER data'!$E18,""),"")</f>
        <v/>
      </c>
      <c r="J17" s="16">
        <f>IF(I17='MASTER data'!$E18,'MASTER data'!$H18,"")</f>
        <v>0</v>
      </c>
      <c r="K17" s="90" t="str">
        <f>IF('MASTER data'!$B18="SEP",IF(MONTH('MASTER data'!$E18)=MONTH(K$4),'MASTER data'!$E18,""),"")</f>
        <v/>
      </c>
      <c r="L17" s="16">
        <f>IF(K17='MASTER data'!$E18,'MASTER data'!$H18,"")</f>
        <v>0</v>
      </c>
      <c r="M17" s="90" t="str">
        <f>IF('MASTER data'!$B18="SEP",IF(MONTH('MASTER data'!$E18)=MONTH(M$4),'MASTER data'!$E18,""),"")</f>
        <v/>
      </c>
      <c r="N17" s="16">
        <f>IF(M17='MASTER data'!$E18,'MASTER data'!$H18,"")</f>
        <v>0</v>
      </c>
      <c r="O17" s="90" t="str">
        <f>IF('MASTER data'!$B18="SEP",IF(MONTH('MASTER data'!$E18)=MONTH(O$4),'MASTER data'!$E18,""),"")</f>
        <v/>
      </c>
      <c r="P17" s="16">
        <f>IF(O17='MASTER data'!$E18,'MASTER data'!$H18,"")</f>
        <v>0</v>
      </c>
      <c r="Q17" s="90" t="str">
        <f>IF('MASTER data'!$B18="SEP",IF(MONTH('MASTER data'!$E18)=MONTH(Q$4),'MASTER data'!$E18,""),"")</f>
        <v/>
      </c>
      <c r="R17" s="16">
        <f>IF(Q17='MASTER data'!$E18,'MASTER data'!$H18,"")</f>
        <v>0</v>
      </c>
      <c r="S17" s="90" t="str">
        <f>IF('MASTER data'!$B18="SEP",IF(MONTH('MASTER data'!$E18)=MONTH(S$4),'MASTER data'!$E18,""),"")</f>
        <v/>
      </c>
      <c r="T17" s="16">
        <f>IF(S17='MASTER data'!$E18,'MASTER data'!$H18,"")</f>
        <v>0</v>
      </c>
      <c r="U17" s="90" t="str">
        <f>IF('MASTER data'!$B18="SEP",IF(MONTH('MASTER data'!$E18)=MONTH(U$4),'MASTER data'!$E18,""),"")</f>
        <v/>
      </c>
      <c r="V17" s="16">
        <f>IF(U17='MASTER data'!$E18,'MASTER data'!$H18,"")</f>
        <v>0</v>
      </c>
      <c r="W17" s="90" t="str">
        <f>IF('MASTER data'!$B18="SEP",IF(MONTH('MASTER data'!$E18)=MONTH(W$4),'MASTER data'!$E18,""),"")</f>
        <v/>
      </c>
      <c r="X17" s="16">
        <f>IF(W17='MASTER data'!$E18,'MASTER data'!$H18,"")</f>
        <v>0</v>
      </c>
      <c r="Y17" s="90" t="str">
        <f>IF('MASTER data'!$B18="SEP",IF(MONTH('MASTER data'!$E18)=MONTH(Y$4),'MASTER data'!$E18,""),"")</f>
        <v/>
      </c>
      <c r="Z17" s="16">
        <f>IF(Y17='MASTER data'!$E18,'MASTER data'!$H18,"")</f>
        <v>0</v>
      </c>
    </row>
    <row r="18" spans="1:26">
      <c r="A18" s="5"/>
      <c r="B18" s="16">
        <f>IF('MASTER data'!B19="sep",'MASTER data'!C19,0)</f>
        <v>0</v>
      </c>
      <c r="C18" s="90" t="str">
        <f>IF('MASTER data'!$B19="SEP",IF(MONTH('MASTER data'!$E19)=MONTH(C$4),'MASTER data'!$E19,""),"")</f>
        <v/>
      </c>
      <c r="D18" s="16">
        <f>IF(C18='MASTER data'!$E19,'MASTER data'!$H19,"")</f>
        <v>0</v>
      </c>
      <c r="E18" s="90" t="str">
        <f>IF('MASTER data'!$B19="SEP",IF(MONTH('MASTER data'!$E19)=MONTH(E$4),'MASTER data'!$E19,""),"")</f>
        <v/>
      </c>
      <c r="F18" s="16">
        <f>IF(E18='MASTER data'!$E19,'MASTER data'!$H19,"")</f>
        <v>0</v>
      </c>
      <c r="G18" s="90" t="str">
        <f>IF('MASTER data'!$B19="SEP",IF(MONTH('MASTER data'!$E19)=MONTH(G$4),'MASTER data'!$E19,""),"")</f>
        <v/>
      </c>
      <c r="H18" s="16">
        <f>IF(G18='MASTER data'!$E19,'MASTER data'!$H19,"")</f>
        <v>0</v>
      </c>
      <c r="I18" s="90" t="str">
        <f>IF('MASTER data'!$B19="SEP",IF(MONTH('MASTER data'!$E19)=MONTH(I$4),'MASTER data'!$E19,""),"")</f>
        <v/>
      </c>
      <c r="J18" s="16">
        <f>IF(I18='MASTER data'!$E19,'MASTER data'!$H19,"")</f>
        <v>0</v>
      </c>
      <c r="K18" s="90" t="str">
        <f>IF('MASTER data'!$B19="SEP",IF(MONTH('MASTER data'!$E19)=MONTH(K$4),'MASTER data'!$E19,""),"")</f>
        <v/>
      </c>
      <c r="L18" s="16">
        <f>IF(K18='MASTER data'!$E19,'MASTER data'!$H19,"")</f>
        <v>0</v>
      </c>
      <c r="M18" s="90" t="str">
        <f>IF('MASTER data'!$B19="SEP",IF(MONTH('MASTER data'!$E19)=MONTH(M$4),'MASTER data'!$E19,""),"")</f>
        <v/>
      </c>
      <c r="N18" s="16">
        <f>IF(M18='MASTER data'!$E19,'MASTER data'!$H19,"")</f>
        <v>0</v>
      </c>
      <c r="O18" s="90" t="str">
        <f>IF('MASTER data'!$B19="SEP",IF(MONTH('MASTER data'!$E19)=MONTH(O$4),'MASTER data'!$E19,""),"")</f>
        <v/>
      </c>
      <c r="P18" s="16">
        <f>IF(O18='MASTER data'!$E19,'MASTER data'!$H19,"")</f>
        <v>0</v>
      </c>
      <c r="Q18" s="90" t="str">
        <f>IF('MASTER data'!$B19="SEP",IF(MONTH('MASTER data'!$E19)=MONTH(Q$4),'MASTER data'!$E19,""),"")</f>
        <v/>
      </c>
      <c r="R18" s="16">
        <f>IF(Q18='MASTER data'!$E19,'MASTER data'!$H19,"")</f>
        <v>0</v>
      </c>
      <c r="S18" s="90" t="str">
        <f>IF('MASTER data'!$B19="SEP",IF(MONTH('MASTER data'!$E19)=MONTH(S$4),'MASTER data'!$E19,""),"")</f>
        <v/>
      </c>
      <c r="T18" s="16">
        <f>IF(S18='MASTER data'!$E19,'MASTER data'!$H19,"")</f>
        <v>0</v>
      </c>
      <c r="U18" s="90" t="str">
        <f>IF('MASTER data'!$B19="SEP",IF(MONTH('MASTER data'!$E19)=MONTH(U$4),'MASTER data'!$E19,""),"")</f>
        <v/>
      </c>
      <c r="V18" s="16">
        <f>IF(U18='MASTER data'!$E19,'MASTER data'!$H19,"")</f>
        <v>0</v>
      </c>
      <c r="W18" s="90" t="str">
        <f>IF('MASTER data'!$B19="SEP",IF(MONTH('MASTER data'!$E19)=MONTH(W$4),'MASTER data'!$E19,""),"")</f>
        <v/>
      </c>
      <c r="X18" s="16">
        <f>IF(W18='MASTER data'!$E19,'MASTER data'!$H19,"")</f>
        <v>0</v>
      </c>
      <c r="Y18" s="90" t="str">
        <f>IF('MASTER data'!$B19="SEP",IF(MONTH('MASTER data'!$E19)=MONTH(Y$4),'MASTER data'!$E19,""),"")</f>
        <v/>
      </c>
      <c r="Z18" s="16">
        <f>IF(Y18='MASTER data'!$E19,'MASTER data'!$H19,"")</f>
        <v>0</v>
      </c>
    </row>
    <row r="19" spans="1:26">
      <c r="A19" s="5"/>
      <c r="B19" s="16">
        <f>IF('MASTER data'!B20="sep",'MASTER data'!C20,0)</f>
        <v>0</v>
      </c>
      <c r="C19" s="90" t="str">
        <f>IF('MASTER data'!$B20="SEP",IF(MONTH('MASTER data'!$E20)=MONTH(C$4),'MASTER data'!$E20,""),"")</f>
        <v/>
      </c>
      <c r="D19" s="16">
        <f>IF(C19='MASTER data'!$E20,'MASTER data'!$H20,"")</f>
        <v>0</v>
      </c>
      <c r="E19" s="90" t="str">
        <f>IF('MASTER data'!$B20="SEP",IF(MONTH('MASTER data'!$E20)=MONTH(E$4),'MASTER data'!$E20,""),"")</f>
        <v/>
      </c>
      <c r="F19" s="16">
        <f>IF(E19='MASTER data'!$E20,'MASTER data'!$H20,"")</f>
        <v>0</v>
      </c>
      <c r="G19" s="90" t="str">
        <f>IF('MASTER data'!$B20="SEP",IF(MONTH('MASTER data'!$E20)=MONTH(G$4),'MASTER data'!$E20,""),"")</f>
        <v/>
      </c>
      <c r="H19" s="16">
        <f>IF(G19='MASTER data'!$E20,'MASTER data'!$H20,"")</f>
        <v>0</v>
      </c>
      <c r="I19" s="90" t="str">
        <f>IF('MASTER data'!$B20="SEP",IF(MONTH('MASTER data'!$E20)=MONTH(I$4),'MASTER data'!$E20,""),"")</f>
        <v/>
      </c>
      <c r="J19" s="16">
        <f>IF(I19='MASTER data'!$E20,'MASTER data'!$H20,"")</f>
        <v>0</v>
      </c>
      <c r="K19" s="90" t="str">
        <f>IF('MASTER data'!$B20="SEP",IF(MONTH('MASTER data'!$E20)=MONTH(K$4),'MASTER data'!$E20,""),"")</f>
        <v/>
      </c>
      <c r="L19" s="16">
        <f>IF(K19='MASTER data'!$E20,'MASTER data'!$H20,"")</f>
        <v>0</v>
      </c>
      <c r="M19" s="90" t="str">
        <f>IF('MASTER data'!$B20="SEP",IF(MONTH('MASTER data'!$E20)=MONTH(M$4),'MASTER data'!$E20,""),"")</f>
        <v/>
      </c>
      <c r="N19" s="16">
        <f>IF(M19='MASTER data'!$E20,'MASTER data'!$H20,"")</f>
        <v>0</v>
      </c>
      <c r="O19" s="90" t="str">
        <f>IF('MASTER data'!$B20="SEP",IF(MONTH('MASTER data'!$E20)=MONTH(O$4),'MASTER data'!$E20,""),"")</f>
        <v/>
      </c>
      <c r="P19" s="16">
        <f>IF(O19='MASTER data'!$E20,'MASTER data'!$H20,"")</f>
        <v>0</v>
      </c>
      <c r="Q19" s="90" t="str">
        <f>IF('MASTER data'!$B20="SEP",IF(MONTH('MASTER data'!$E20)=MONTH(Q$4),'MASTER data'!$E20,""),"")</f>
        <v/>
      </c>
      <c r="R19" s="16">
        <f>IF(Q19='MASTER data'!$E20,'MASTER data'!$H20,"")</f>
        <v>0</v>
      </c>
      <c r="S19" s="90" t="str">
        <f>IF('MASTER data'!$B20="SEP",IF(MONTH('MASTER data'!$E20)=MONTH(S$4),'MASTER data'!$E20,""),"")</f>
        <v/>
      </c>
      <c r="T19" s="16">
        <f>IF(S19='MASTER data'!$E20,'MASTER data'!$H20,"")</f>
        <v>0</v>
      </c>
      <c r="U19" s="90" t="str">
        <f>IF('MASTER data'!$B20="SEP",IF(MONTH('MASTER data'!$E20)=MONTH(U$4),'MASTER data'!$E20,""),"")</f>
        <v/>
      </c>
      <c r="V19" s="16">
        <f>IF(U19='MASTER data'!$E20,'MASTER data'!$H20,"")</f>
        <v>0</v>
      </c>
      <c r="W19" s="90" t="str">
        <f>IF('MASTER data'!$B20="SEP",IF(MONTH('MASTER data'!$E20)=MONTH(W$4),'MASTER data'!$E20,""),"")</f>
        <v/>
      </c>
      <c r="X19" s="16">
        <f>IF(W19='MASTER data'!$E20,'MASTER data'!$H20,"")</f>
        <v>0</v>
      </c>
      <c r="Y19" s="90" t="str">
        <f>IF('MASTER data'!$B20="SEP",IF(MONTH('MASTER data'!$E20)=MONTH(Y$4),'MASTER data'!$E20,""),"")</f>
        <v/>
      </c>
      <c r="Z19" s="16">
        <f>IF(Y19='MASTER data'!$E20,'MASTER data'!$H20,"")</f>
        <v>0</v>
      </c>
    </row>
    <row r="20" spans="1:26">
      <c r="A20" s="5"/>
      <c r="B20" s="16">
        <f>IF('MASTER data'!B21="sep",'MASTER data'!C21,0)</f>
        <v>0</v>
      </c>
      <c r="C20" s="90" t="str">
        <f>IF('MASTER data'!$B21="SEP",IF(MONTH('MASTER data'!$E21)=MONTH(C$4),'MASTER data'!$E21,""),"")</f>
        <v/>
      </c>
      <c r="D20" s="16">
        <f>IF(C20='MASTER data'!$E21,'MASTER data'!$H21,"")</f>
        <v>0</v>
      </c>
      <c r="E20" s="90" t="str">
        <f>IF('MASTER data'!$B21="SEP",IF(MONTH('MASTER data'!$E21)=MONTH(E$4),'MASTER data'!$E21,""),"")</f>
        <v/>
      </c>
      <c r="F20" s="16">
        <f>IF(E20='MASTER data'!$E21,'MASTER data'!$H21,"")</f>
        <v>0</v>
      </c>
      <c r="G20" s="90" t="str">
        <f>IF('MASTER data'!$B21="SEP",IF(MONTH('MASTER data'!$E21)=MONTH(G$4),'MASTER data'!$E21,""),"")</f>
        <v/>
      </c>
      <c r="H20" s="16">
        <f>IF(G20='MASTER data'!$E21,'MASTER data'!$H21,"")</f>
        <v>0</v>
      </c>
      <c r="I20" s="90" t="str">
        <f>IF('MASTER data'!$B21="SEP",IF(MONTH('MASTER data'!$E21)=MONTH(I$4),'MASTER data'!$E21,""),"")</f>
        <v/>
      </c>
      <c r="J20" s="16">
        <f>IF(I20='MASTER data'!$E21,'MASTER data'!$H21,"")</f>
        <v>0</v>
      </c>
      <c r="K20" s="90" t="str">
        <f>IF('MASTER data'!$B21="SEP",IF(MONTH('MASTER data'!$E21)=MONTH(K$4),'MASTER data'!$E21,""),"")</f>
        <v/>
      </c>
      <c r="L20" s="16">
        <f>IF(K20='MASTER data'!$E21,'MASTER data'!$H21,"")</f>
        <v>0</v>
      </c>
      <c r="M20" s="90" t="str">
        <f>IF('MASTER data'!$B21="SEP",IF(MONTH('MASTER data'!$E21)=MONTH(M$4),'MASTER data'!$E21,""),"")</f>
        <v/>
      </c>
      <c r="N20" s="16">
        <f>IF(M20='MASTER data'!$E21,'MASTER data'!$H21,"")</f>
        <v>0</v>
      </c>
      <c r="O20" s="90" t="str">
        <f>IF('MASTER data'!$B21="SEP",IF(MONTH('MASTER data'!$E21)=MONTH(O$4),'MASTER data'!$E21,""),"")</f>
        <v/>
      </c>
      <c r="P20" s="16">
        <f>IF(O20='MASTER data'!$E21,'MASTER data'!$H21,"")</f>
        <v>0</v>
      </c>
      <c r="Q20" s="90" t="str">
        <f>IF('MASTER data'!$B21="SEP",IF(MONTH('MASTER data'!$E21)=MONTH(Q$4),'MASTER data'!$E21,""),"")</f>
        <v/>
      </c>
      <c r="R20" s="16">
        <f>IF(Q20='MASTER data'!$E21,'MASTER data'!$H21,"")</f>
        <v>0</v>
      </c>
      <c r="S20" s="90" t="str">
        <f>IF('MASTER data'!$B21="SEP",IF(MONTH('MASTER data'!$E21)=MONTH(S$4),'MASTER data'!$E21,""),"")</f>
        <v/>
      </c>
      <c r="T20" s="16">
        <f>IF(S20='MASTER data'!$E21,'MASTER data'!$H21,"")</f>
        <v>0</v>
      </c>
      <c r="U20" s="90" t="str">
        <f>IF('MASTER data'!$B21="SEP",IF(MONTH('MASTER data'!$E21)=MONTH(U$4),'MASTER data'!$E21,""),"")</f>
        <v/>
      </c>
      <c r="V20" s="16">
        <f>IF(U20='MASTER data'!$E21,'MASTER data'!$H21,"")</f>
        <v>0</v>
      </c>
      <c r="W20" s="90" t="str">
        <f>IF('MASTER data'!$B21="SEP",IF(MONTH('MASTER data'!$E21)=MONTH(W$4),'MASTER data'!$E21,""),"")</f>
        <v/>
      </c>
      <c r="X20" s="16">
        <f>IF(W20='MASTER data'!$E21,'MASTER data'!$H21,"")</f>
        <v>0</v>
      </c>
      <c r="Y20" s="90" t="str">
        <f>IF('MASTER data'!$B21="SEP",IF(MONTH('MASTER data'!$E21)=MONTH(Y$4),'MASTER data'!$E21,""),"")</f>
        <v/>
      </c>
      <c r="Z20" s="16">
        <f>IF(Y20='MASTER data'!$E21,'MASTER data'!$H21,"")</f>
        <v>0</v>
      </c>
    </row>
    <row r="21" spans="1:26">
      <c r="A21" s="5"/>
      <c r="B21" s="16">
        <f>IF('MASTER data'!B22="sep",'MASTER data'!C22,0)</f>
        <v>0</v>
      </c>
      <c r="C21" s="90" t="str">
        <f>IF('MASTER data'!$B22="SEP",IF(MONTH('MASTER data'!$E22)=MONTH(C$4),'MASTER data'!$E22,""),"")</f>
        <v/>
      </c>
      <c r="D21" s="16">
        <f>IF(C21='MASTER data'!$E22,'MASTER data'!$H22,"")</f>
        <v>0</v>
      </c>
      <c r="E21" s="90" t="str">
        <f>IF('MASTER data'!$B22="SEP",IF(MONTH('MASTER data'!$E22)=MONTH(E$4),'MASTER data'!$E22,""),"")</f>
        <v/>
      </c>
      <c r="F21" s="16">
        <f>IF(E21='MASTER data'!$E22,'MASTER data'!$H22,"")</f>
        <v>0</v>
      </c>
      <c r="G21" s="90" t="str">
        <f>IF('MASTER data'!$B22="SEP",IF(MONTH('MASTER data'!$E22)=MONTH(G$4),'MASTER data'!$E22,""),"")</f>
        <v/>
      </c>
      <c r="H21" s="16">
        <f>IF(G21='MASTER data'!$E22,'MASTER data'!$H22,"")</f>
        <v>0</v>
      </c>
      <c r="I21" s="90" t="str">
        <f>IF('MASTER data'!$B22="SEP",IF(MONTH('MASTER data'!$E22)=MONTH(I$4),'MASTER data'!$E22,""),"")</f>
        <v/>
      </c>
      <c r="J21" s="16">
        <f>IF(I21='MASTER data'!$E22,'MASTER data'!$H22,"")</f>
        <v>0</v>
      </c>
      <c r="K21" s="90" t="str">
        <f>IF('MASTER data'!$B22="SEP",IF(MONTH('MASTER data'!$E22)=MONTH(K$4),'MASTER data'!$E22,""),"")</f>
        <v/>
      </c>
      <c r="L21" s="16">
        <f>IF(K21='MASTER data'!$E22,'MASTER data'!$H22,"")</f>
        <v>0</v>
      </c>
      <c r="M21" s="90" t="str">
        <f>IF('MASTER data'!$B22="SEP",IF(MONTH('MASTER data'!$E22)=MONTH(M$4),'MASTER data'!$E22,""),"")</f>
        <v/>
      </c>
      <c r="N21" s="16">
        <f>IF(M21='MASTER data'!$E22,'MASTER data'!$H22,"")</f>
        <v>0</v>
      </c>
      <c r="O21" s="90" t="str">
        <f>IF('MASTER data'!$B22="SEP",IF(MONTH('MASTER data'!$E22)=MONTH(O$4),'MASTER data'!$E22,""),"")</f>
        <v/>
      </c>
      <c r="P21" s="16">
        <f>IF(O21='MASTER data'!$E22,'MASTER data'!$H22,"")</f>
        <v>0</v>
      </c>
      <c r="Q21" s="90" t="str">
        <f>IF('MASTER data'!$B22="SEP",IF(MONTH('MASTER data'!$E22)=MONTH(Q$4),'MASTER data'!$E22,""),"")</f>
        <v/>
      </c>
      <c r="R21" s="16">
        <f>IF(Q21='MASTER data'!$E22,'MASTER data'!$H22,"")</f>
        <v>0</v>
      </c>
      <c r="S21" s="90" t="str">
        <f>IF('MASTER data'!$B22="SEP",IF(MONTH('MASTER data'!$E22)=MONTH(S$4),'MASTER data'!$E22,""),"")</f>
        <v/>
      </c>
      <c r="T21" s="16">
        <f>IF(S21='MASTER data'!$E22,'MASTER data'!$H22,"")</f>
        <v>0</v>
      </c>
      <c r="U21" s="90" t="str">
        <f>IF('MASTER data'!$B22="SEP",IF(MONTH('MASTER data'!$E22)=MONTH(U$4),'MASTER data'!$E22,""),"")</f>
        <v/>
      </c>
      <c r="V21" s="16">
        <f>IF(U21='MASTER data'!$E22,'MASTER data'!$H22,"")</f>
        <v>0</v>
      </c>
      <c r="W21" s="90" t="str">
        <f>IF('MASTER data'!$B22="SEP",IF(MONTH('MASTER data'!$E22)=MONTH(W$4),'MASTER data'!$E22,""),"")</f>
        <v/>
      </c>
      <c r="X21" s="16">
        <f>IF(W21='MASTER data'!$E22,'MASTER data'!$H22,"")</f>
        <v>0</v>
      </c>
      <c r="Y21" s="90" t="str">
        <f>IF('MASTER data'!$B22="SEP",IF(MONTH('MASTER data'!$E22)=MONTH(Y$4),'MASTER data'!$E22,""),"")</f>
        <v/>
      </c>
      <c r="Z21" s="16">
        <f>IF(Y21='MASTER data'!$E22,'MASTER data'!$H22,"")</f>
        <v>0</v>
      </c>
    </row>
    <row r="22" spans="1:26">
      <c r="A22" s="5"/>
      <c r="B22" s="16">
        <f>IF('MASTER data'!B23="sep",'MASTER data'!C23,0)</f>
        <v>0</v>
      </c>
      <c r="C22" s="90" t="str">
        <f>IF('MASTER data'!$B23="SEP",IF(MONTH('MASTER data'!$E23)=MONTH(C$4),'MASTER data'!$E23,""),"")</f>
        <v/>
      </c>
      <c r="D22" s="16">
        <f>IF(C22='MASTER data'!$E23,'MASTER data'!$H23,"")</f>
        <v>0</v>
      </c>
      <c r="E22" s="90" t="str">
        <f>IF('MASTER data'!$B23="SEP",IF(MONTH('MASTER data'!$E23)=MONTH(E$4),'MASTER data'!$E23,""),"")</f>
        <v/>
      </c>
      <c r="F22" s="16">
        <f>IF(E22='MASTER data'!$E23,'MASTER data'!$H23,"")</f>
        <v>0</v>
      </c>
      <c r="G22" s="90" t="str">
        <f>IF('MASTER data'!$B23="SEP",IF(MONTH('MASTER data'!$E23)=MONTH(G$4),'MASTER data'!$E23,""),"")</f>
        <v/>
      </c>
      <c r="H22" s="16">
        <f>IF(G22='MASTER data'!$E23,'MASTER data'!$H23,"")</f>
        <v>0</v>
      </c>
      <c r="I22" s="90" t="str">
        <f>IF('MASTER data'!$B23="SEP",IF(MONTH('MASTER data'!$E23)=MONTH(I$4),'MASTER data'!$E23,""),"")</f>
        <v/>
      </c>
      <c r="J22" s="16">
        <f>IF(I22='MASTER data'!$E23,'MASTER data'!$H23,"")</f>
        <v>0</v>
      </c>
      <c r="K22" s="90" t="str">
        <f>IF('MASTER data'!$B23="SEP",IF(MONTH('MASTER data'!$E23)=MONTH(K$4),'MASTER data'!$E23,""),"")</f>
        <v/>
      </c>
      <c r="L22" s="16">
        <f>IF(K22='MASTER data'!$E23,'MASTER data'!$H23,"")</f>
        <v>0</v>
      </c>
      <c r="M22" s="90" t="str">
        <f>IF('MASTER data'!$B23="SEP",IF(MONTH('MASTER data'!$E23)=MONTH(M$4),'MASTER data'!$E23,""),"")</f>
        <v/>
      </c>
      <c r="N22" s="16">
        <f>IF(M22='MASTER data'!$E23,'MASTER data'!$H23,"")</f>
        <v>0</v>
      </c>
      <c r="O22" s="90" t="str">
        <f>IF('MASTER data'!$B23="SEP",IF(MONTH('MASTER data'!$E23)=MONTH(O$4),'MASTER data'!$E23,""),"")</f>
        <v/>
      </c>
      <c r="P22" s="16">
        <f>IF(O22='MASTER data'!$E23,'MASTER data'!$H23,"")</f>
        <v>0</v>
      </c>
      <c r="Q22" s="90" t="str">
        <f>IF('MASTER data'!$B23="SEP",IF(MONTH('MASTER data'!$E23)=MONTH(Q$4),'MASTER data'!$E23,""),"")</f>
        <v/>
      </c>
      <c r="R22" s="16">
        <f>IF(Q22='MASTER data'!$E23,'MASTER data'!$H23,"")</f>
        <v>0</v>
      </c>
      <c r="S22" s="90" t="str">
        <f>IF('MASTER data'!$B23="SEP",IF(MONTH('MASTER data'!$E23)=MONTH(S$4),'MASTER data'!$E23,""),"")</f>
        <v/>
      </c>
      <c r="T22" s="16">
        <f>IF(S22='MASTER data'!$E23,'MASTER data'!$H23,"")</f>
        <v>0</v>
      </c>
      <c r="U22" s="90" t="str">
        <f>IF('MASTER data'!$B23="SEP",IF(MONTH('MASTER data'!$E23)=MONTH(U$4),'MASTER data'!$E23,""),"")</f>
        <v/>
      </c>
      <c r="V22" s="16">
        <f>IF(U22='MASTER data'!$E23,'MASTER data'!$H23,"")</f>
        <v>0</v>
      </c>
      <c r="W22" s="90" t="str">
        <f>IF('MASTER data'!$B23="SEP",IF(MONTH('MASTER data'!$E23)=MONTH(W$4),'MASTER data'!$E23,""),"")</f>
        <v/>
      </c>
      <c r="X22" s="16">
        <f>IF(W22='MASTER data'!$E23,'MASTER data'!$H23,"")</f>
        <v>0</v>
      </c>
      <c r="Y22" s="90" t="str">
        <f>IF('MASTER data'!$B23="SEP",IF(MONTH('MASTER data'!$E23)=MONTH(Y$4),'MASTER data'!$E23,""),"")</f>
        <v/>
      </c>
      <c r="Z22" s="16">
        <f>IF(Y22='MASTER data'!$E23,'MASTER data'!$H23,"")</f>
        <v>0</v>
      </c>
    </row>
    <row r="23" spans="1:26">
      <c r="A23" s="5"/>
      <c r="B23" s="16">
        <f>IF('MASTER data'!B24="sep",'MASTER data'!C24,0)</f>
        <v>0</v>
      </c>
      <c r="C23" s="90" t="str">
        <f>IF('MASTER data'!$B24="SEP",IF(MONTH('MASTER data'!$E24)=MONTH(C$4),'MASTER data'!$E24,""),"")</f>
        <v/>
      </c>
      <c r="D23" s="16">
        <f>IF(C23='MASTER data'!$E24,'MASTER data'!$H24,"")</f>
        <v>0</v>
      </c>
      <c r="E23" s="90" t="str">
        <f>IF('MASTER data'!$B24="SEP",IF(MONTH('MASTER data'!$E24)=MONTH(E$4),'MASTER data'!$E24,""),"")</f>
        <v/>
      </c>
      <c r="F23" s="16">
        <f>IF(E23='MASTER data'!$E24,'MASTER data'!$H24,"")</f>
        <v>0</v>
      </c>
      <c r="G23" s="90" t="str">
        <f>IF('MASTER data'!$B24="SEP",IF(MONTH('MASTER data'!$E24)=MONTH(G$4),'MASTER data'!$E24,""),"")</f>
        <v/>
      </c>
      <c r="H23" s="16">
        <f>IF(G23='MASTER data'!$E24,'MASTER data'!$H24,"")</f>
        <v>0</v>
      </c>
      <c r="I23" s="90" t="str">
        <f>IF('MASTER data'!$B24="SEP",IF(MONTH('MASTER data'!$E24)=MONTH(I$4),'MASTER data'!$E24,""),"")</f>
        <v/>
      </c>
      <c r="J23" s="16">
        <f>IF(I23='MASTER data'!$E24,'MASTER data'!$H24,"")</f>
        <v>0</v>
      </c>
      <c r="K23" s="90" t="str">
        <f>IF('MASTER data'!$B24="SEP",IF(MONTH('MASTER data'!$E24)=MONTH(K$4),'MASTER data'!$E24,""),"")</f>
        <v/>
      </c>
      <c r="L23" s="16">
        <f>IF(K23='MASTER data'!$E24,'MASTER data'!$H24,"")</f>
        <v>0</v>
      </c>
      <c r="M23" s="90" t="str">
        <f>IF('MASTER data'!$B24="SEP",IF(MONTH('MASTER data'!$E24)=MONTH(M$4),'MASTER data'!$E24,""),"")</f>
        <v/>
      </c>
      <c r="N23" s="16">
        <f>IF(M23='MASTER data'!$E24,'MASTER data'!$H24,"")</f>
        <v>0</v>
      </c>
      <c r="O23" s="90" t="str">
        <f>IF('MASTER data'!$B24="SEP",IF(MONTH('MASTER data'!$E24)=MONTH(O$4),'MASTER data'!$E24,""),"")</f>
        <v/>
      </c>
      <c r="P23" s="16">
        <f>IF(O23='MASTER data'!$E24,'MASTER data'!$H24,"")</f>
        <v>0</v>
      </c>
      <c r="Q23" s="90" t="str">
        <f>IF('MASTER data'!$B24="SEP",IF(MONTH('MASTER data'!$E24)=MONTH(Q$4),'MASTER data'!$E24,""),"")</f>
        <v/>
      </c>
      <c r="R23" s="16">
        <f>IF(Q23='MASTER data'!$E24,'MASTER data'!$H24,"")</f>
        <v>0</v>
      </c>
      <c r="S23" s="90" t="str">
        <f>IF('MASTER data'!$B24="SEP",IF(MONTH('MASTER data'!$E24)=MONTH(S$4),'MASTER data'!$E24,""),"")</f>
        <v/>
      </c>
      <c r="T23" s="16">
        <f>IF(S23='MASTER data'!$E24,'MASTER data'!$H24,"")</f>
        <v>0</v>
      </c>
      <c r="U23" s="90" t="str">
        <f>IF('MASTER data'!$B24="SEP",IF(MONTH('MASTER data'!$E24)=MONTH(U$4),'MASTER data'!$E24,""),"")</f>
        <v/>
      </c>
      <c r="V23" s="16">
        <f>IF(U23='MASTER data'!$E24,'MASTER data'!$H24,"")</f>
        <v>0</v>
      </c>
      <c r="W23" s="90" t="str">
        <f>IF('MASTER data'!$B24="SEP",IF(MONTH('MASTER data'!$E24)=MONTH(W$4),'MASTER data'!$E24,""),"")</f>
        <v/>
      </c>
      <c r="X23" s="16">
        <f>IF(W23='MASTER data'!$E24,'MASTER data'!$H24,"")</f>
        <v>0</v>
      </c>
      <c r="Y23" s="90" t="str">
        <f>IF('MASTER data'!$B24="SEP",IF(MONTH('MASTER data'!$E24)=MONTH(Y$4),'MASTER data'!$E24,""),"")</f>
        <v/>
      </c>
      <c r="Z23" s="16">
        <f>IF(Y23='MASTER data'!$E24,'MASTER data'!$H24,"")</f>
        <v>0</v>
      </c>
    </row>
    <row r="24" spans="1:26">
      <c r="A24" s="5"/>
      <c r="B24" s="16">
        <f>IF('MASTER data'!B25="sep",'MASTER data'!C25,0)</f>
        <v>0</v>
      </c>
      <c r="C24" s="90" t="str">
        <f>IF('MASTER data'!$B25="SEP",IF(MONTH('MASTER data'!$E25)=MONTH(C$4),'MASTER data'!$E25,""),"")</f>
        <v/>
      </c>
      <c r="D24" s="16">
        <f>IF(C24='MASTER data'!$E25,'MASTER data'!$H25,"")</f>
        <v>0</v>
      </c>
      <c r="E24" s="90" t="str">
        <f>IF('MASTER data'!$B25="SEP",IF(MONTH('MASTER data'!$E25)=MONTH(E$4),'MASTER data'!$E25,""),"")</f>
        <v/>
      </c>
      <c r="F24" s="16">
        <f>IF(E24='MASTER data'!$E25,'MASTER data'!$H25,"")</f>
        <v>0</v>
      </c>
      <c r="G24" s="90" t="str">
        <f>IF('MASTER data'!$B25="SEP",IF(MONTH('MASTER data'!$E25)=MONTH(G$4),'MASTER data'!$E25,""),"")</f>
        <v/>
      </c>
      <c r="H24" s="16">
        <f>IF(G24='MASTER data'!$E25,'MASTER data'!$H25,"")</f>
        <v>0</v>
      </c>
      <c r="I24" s="90" t="str">
        <f>IF('MASTER data'!$B25="SEP",IF(MONTH('MASTER data'!$E25)=MONTH(I$4),'MASTER data'!$E25,""),"")</f>
        <v/>
      </c>
      <c r="J24" s="16">
        <f>IF(I24='MASTER data'!$E25,'MASTER data'!$H25,"")</f>
        <v>0</v>
      </c>
      <c r="K24" s="90" t="str">
        <f>IF('MASTER data'!$B25="SEP",IF(MONTH('MASTER data'!$E25)=MONTH(K$4),'MASTER data'!$E25,""),"")</f>
        <v/>
      </c>
      <c r="L24" s="16">
        <f>IF(K24='MASTER data'!$E25,'MASTER data'!$H25,"")</f>
        <v>0</v>
      </c>
      <c r="M24" s="90" t="str">
        <f>IF('MASTER data'!$B25="SEP",IF(MONTH('MASTER data'!$E25)=MONTH(M$4),'MASTER data'!$E25,""),"")</f>
        <v/>
      </c>
      <c r="N24" s="16">
        <f>IF(M24='MASTER data'!$E25,'MASTER data'!$H25,"")</f>
        <v>0</v>
      </c>
      <c r="O24" s="90" t="str">
        <f>IF('MASTER data'!$B25="SEP",IF(MONTH('MASTER data'!$E25)=MONTH(O$4),'MASTER data'!$E25,""),"")</f>
        <v/>
      </c>
      <c r="P24" s="16">
        <f>IF(O24='MASTER data'!$E25,'MASTER data'!$H25,"")</f>
        <v>0</v>
      </c>
      <c r="Q24" s="90" t="str">
        <f>IF('MASTER data'!$B25="SEP",IF(MONTH('MASTER data'!$E25)=MONTH(Q$4),'MASTER data'!$E25,""),"")</f>
        <v/>
      </c>
      <c r="R24" s="16">
        <f>IF(Q24='MASTER data'!$E25,'MASTER data'!$H25,"")</f>
        <v>0</v>
      </c>
      <c r="S24" s="90" t="str">
        <f>IF('MASTER data'!$B25="SEP",IF(MONTH('MASTER data'!$E25)=MONTH(S$4),'MASTER data'!$E25,""),"")</f>
        <v/>
      </c>
      <c r="T24" s="16">
        <f>IF(S24='MASTER data'!$E25,'MASTER data'!$H25,"")</f>
        <v>0</v>
      </c>
      <c r="U24" s="90" t="str">
        <f>IF('MASTER data'!$B25="SEP",IF(MONTH('MASTER data'!$E25)=MONTH(U$4),'MASTER data'!$E25,""),"")</f>
        <v/>
      </c>
      <c r="V24" s="16">
        <f>IF(U24='MASTER data'!$E25,'MASTER data'!$H25,"")</f>
        <v>0</v>
      </c>
      <c r="W24" s="90" t="str">
        <f>IF('MASTER data'!$B25="SEP",IF(MONTH('MASTER data'!$E25)=MONTH(W$4),'MASTER data'!$E25,""),"")</f>
        <v/>
      </c>
      <c r="X24" s="16">
        <f>IF(W24='MASTER data'!$E25,'MASTER data'!$H25,"")</f>
        <v>0</v>
      </c>
      <c r="Y24" s="90" t="str">
        <f>IF('MASTER data'!$B25="SEP",IF(MONTH('MASTER data'!$E25)=MONTH(Y$4),'MASTER data'!$E25,""),"")</f>
        <v/>
      </c>
      <c r="Z24" s="16">
        <f>IF(Y24='MASTER data'!$E25,'MASTER data'!$H25,"")</f>
        <v>0</v>
      </c>
    </row>
    <row r="25" spans="1:26">
      <c r="A25" s="5"/>
      <c r="B25" s="16">
        <f>IF('MASTER data'!B26="sep",'MASTER data'!C26,0)</f>
        <v>0</v>
      </c>
      <c r="C25" s="90" t="str">
        <f>IF('MASTER data'!$B26="SEP",IF(MONTH('MASTER data'!$E26)=MONTH(C$4),'MASTER data'!$E26,""),"")</f>
        <v/>
      </c>
      <c r="D25" s="16">
        <f>IF(C25='MASTER data'!$E26,'MASTER data'!$H26,"")</f>
        <v>0</v>
      </c>
      <c r="E25" s="90" t="str">
        <f>IF('MASTER data'!$B26="SEP",IF(MONTH('MASTER data'!$E26)=MONTH(E$4),'MASTER data'!$E26,""),"")</f>
        <v/>
      </c>
      <c r="F25" s="16">
        <f>IF(E25='MASTER data'!$E26,'MASTER data'!$H26,"")</f>
        <v>0</v>
      </c>
      <c r="G25" s="90" t="str">
        <f>IF('MASTER data'!$B26="SEP",IF(MONTH('MASTER data'!$E26)=MONTH(G$4),'MASTER data'!$E26,""),"")</f>
        <v/>
      </c>
      <c r="H25" s="16">
        <f>IF(G25='MASTER data'!$E26,'MASTER data'!$H26,"")</f>
        <v>0</v>
      </c>
      <c r="I25" s="90" t="str">
        <f>IF('MASTER data'!$B26="SEP",IF(MONTH('MASTER data'!$E26)=MONTH(I$4),'MASTER data'!$E26,""),"")</f>
        <v/>
      </c>
      <c r="J25" s="16">
        <f>IF(I25='MASTER data'!$E26,'MASTER data'!$H26,"")</f>
        <v>0</v>
      </c>
      <c r="K25" s="90" t="str">
        <f>IF('MASTER data'!$B26="SEP",IF(MONTH('MASTER data'!$E26)=MONTH(K$4),'MASTER data'!$E26,""),"")</f>
        <v/>
      </c>
      <c r="L25" s="16">
        <f>IF(K25='MASTER data'!$E26,'MASTER data'!$H26,"")</f>
        <v>0</v>
      </c>
      <c r="M25" s="90" t="str">
        <f>IF('MASTER data'!$B26="SEP",IF(MONTH('MASTER data'!$E26)=MONTH(M$4),'MASTER data'!$E26,""),"")</f>
        <v/>
      </c>
      <c r="N25" s="16">
        <f>IF(M25='MASTER data'!$E26,'MASTER data'!$H26,"")</f>
        <v>0</v>
      </c>
      <c r="O25" s="90" t="str">
        <f>IF('MASTER data'!$B26="SEP",IF(MONTH('MASTER data'!$E26)=MONTH(O$4),'MASTER data'!$E26,""),"")</f>
        <v/>
      </c>
      <c r="P25" s="16">
        <f>IF(O25='MASTER data'!$E26,'MASTER data'!$H26,"")</f>
        <v>0</v>
      </c>
      <c r="Q25" s="90" t="str">
        <f>IF('MASTER data'!$B26="SEP",IF(MONTH('MASTER data'!$E26)=MONTH(Q$4),'MASTER data'!$E26,""),"")</f>
        <v/>
      </c>
      <c r="R25" s="16">
        <f>IF(Q25='MASTER data'!$E26,'MASTER data'!$H26,"")</f>
        <v>0</v>
      </c>
      <c r="S25" s="90" t="str">
        <f>IF('MASTER data'!$B26="SEP",IF(MONTH('MASTER data'!$E26)=MONTH(S$4),'MASTER data'!$E26,""),"")</f>
        <v/>
      </c>
      <c r="T25" s="16">
        <f>IF(S25='MASTER data'!$E26,'MASTER data'!$H26,"")</f>
        <v>0</v>
      </c>
      <c r="U25" s="90" t="str">
        <f>IF('MASTER data'!$B26="SEP",IF(MONTH('MASTER data'!$E26)=MONTH(U$4),'MASTER data'!$E26,""),"")</f>
        <v/>
      </c>
      <c r="V25" s="16">
        <f>IF(U25='MASTER data'!$E26,'MASTER data'!$H26,"")</f>
        <v>0</v>
      </c>
      <c r="W25" s="90" t="str">
        <f>IF('MASTER data'!$B26="SEP",IF(MONTH('MASTER data'!$E26)=MONTH(W$4),'MASTER data'!$E26,""),"")</f>
        <v/>
      </c>
      <c r="X25" s="16">
        <f>IF(W25='MASTER data'!$E26,'MASTER data'!$H26,"")</f>
        <v>0</v>
      </c>
      <c r="Y25" s="90" t="str">
        <f>IF('MASTER data'!$B26="SEP",IF(MONTH('MASTER data'!$E26)=MONTH(Y$4),'MASTER data'!$E26,""),"")</f>
        <v/>
      </c>
      <c r="Z25" s="16">
        <f>IF(Y25='MASTER data'!$E26,'MASTER data'!$H26,"")</f>
        <v>0</v>
      </c>
    </row>
    <row r="26" spans="1:26">
      <c r="A26" s="5"/>
      <c r="B26" s="16">
        <f>IF('MASTER data'!B27="sep",'MASTER data'!C27,0)</f>
        <v>0</v>
      </c>
      <c r="C26" s="90" t="str">
        <f>IF('MASTER data'!$B27="SEP",IF(MONTH('MASTER data'!$E27)=MONTH(C$4),'MASTER data'!$E27,""),"")</f>
        <v/>
      </c>
      <c r="D26" s="16">
        <f>IF(C26='MASTER data'!$E27,'MASTER data'!$H27,"")</f>
        <v>0</v>
      </c>
      <c r="E26" s="90" t="str">
        <f>IF('MASTER data'!$B27="SEP",IF(MONTH('MASTER data'!$E27)=MONTH(E$4),'MASTER data'!$E27,""),"")</f>
        <v/>
      </c>
      <c r="F26" s="16">
        <f>IF(E26='MASTER data'!$E27,'MASTER data'!$H27,"")</f>
        <v>0</v>
      </c>
      <c r="G26" s="90" t="str">
        <f>IF('MASTER data'!$B27="SEP",IF(MONTH('MASTER data'!$E27)=MONTH(G$4),'MASTER data'!$E27,""),"")</f>
        <v/>
      </c>
      <c r="H26" s="16">
        <f>IF(G26='MASTER data'!$E27,'MASTER data'!$H27,"")</f>
        <v>0</v>
      </c>
      <c r="I26" s="90" t="str">
        <f>IF('MASTER data'!$B27="SEP",IF(MONTH('MASTER data'!$E27)=MONTH(I$4),'MASTER data'!$E27,""),"")</f>
        <v/>
      </c>
      <c r="J26" s="16">
        <f>IF(I26='MASTER data'!$E27,'MASTER data'!$H27,"")</f>
        <v>0</v>
      </c>
      <c r="K26" s="90" t="str">
        <f>IF('MASTER data'!$B27="SEP",IF(MONTH('MASTER data'!$E27)=MONTH(K$4),'MASTER data'!$E27,""),"")</f>
        <v/>
      </c>
      <c r="L26" s="16">
        <f>IF(K26='MASTER data'!$E27,'MASTER data'!$H27,"")</f>
        <v>0</v>
      </c>
      <c r="M26" s="90" t="str">
        <f>IF('MASTER data'!$B27="SEP",IF(MONTH('MASTER data'!$E27)=MONTH(M$4),'MASTER data'!$E27,""),"")</f>
        <v/>
      </c>
      <c r="N26" s="16">
        <f>IF(M26='MASTER data'!$E27,'MASTER data'!$H27,"")</f>
        <v>0</v>
      </c>
      <c r="O26" s="90" t="str">
        <f>IF('MASTER data'!$B27="SEP",IF(MONTH('MASTER data'!$E27)=MONTH(O$4),'MASTER data'!$E27,""),"")</f>
        <v/>
      </c>
      <c r="P26" s="16">
        <f>IF(O26='MASTER data'!$E27,'MASTER data'!$H27,"")</f>
        <v>0</v>
      </c>
      <c r="Q26" s="90" t="str">
        <f>IF('MASTER data'!$B27="SEP",IF(MONTH('MASTER data'!$E27)=MONTH(Q$4),'MASTER data'!$E27,""),"")</f>
        <v/>
      </c>
      <c r="R26" s="16">
        <f>IF(Q26='MASTER data'!$E27,'MASTER data'!$H27,"")</f>
        <v>0</v>
      </c>
      <c r="S26" s="90" t="str">
        <f>IF('MASTER data'!$B27="SEP",IF(MONTH('MASTER data'!$E27)=MONTH(S$4),'MASTER data'!$E27,""),"")</f>
        <v/>
      </c>
      <c r="T26" s="16">
        <f>IF(S26='MASTER data'!$E27,'MASTER data'!$H27,"")</f>
        <v>0</v>
      </c>
      <c r="U26" s="90" t="str">
        <f>IF('MASTER data'!$B27="SEP",IF(MONTH('MASTER data'!$E27)=MONTH(U$4),'MASTER data'!$E27,""),"")</f>
        <v/>
      </c>
      <c r="V26" s="16">
        <f>IF(U26='MASTER data'!$E27,'MASTER data'!$H27,"")</f>
        <v>0</v>
      </c>
      <c r="W26" s="90" t="str">
        <f>IF('MASTER data'!$B27="SEP",IF(MONTH('MASTER data'!$E27)=MONTH(W$4),'MASTER data'!$E27,""),"")</f>
        <v/>
      </c>
      <c r="X26" s="16">
        <f>IF(W26='MASTER data'!$E27,'MASTER data'!$H27,"")</f>
        <v>0</v>
      </c>
      <c r="Y26" s="90" t="str">
        <f>IF('MASTER data'!$B27="SEP",IF(MONTH('MASTER data'!$E27)=MONTH(Y$4),'MASTER data'!$E27,""),"")</f>
        <v/>
      </c>
      <c r="Z26" s="16">
        <f>IF(Y26='MASTER data'!$E27,'MASTER data'!$H27,"")</f>
        <v>0</v>
      </c>
    </row>
    <row r="27" spans="1:26">
      <c r="A27" s="5"/>
      <c r="B27" s="16">
        <f>IF('MASTER data'!B28="sep",'MASTER data'!C28,0)</f>
        <v>0</v>
      </c>
      <c r="C27" s="90" t="str">
        <f>IF('MASTER data'!$B28="SEP",IF(MONTH('MASTER data'!$E28)=MONTH(C$4),'MASTER data'!$E28,""),"")</f>
        <v/>
      </c>
      <c r="D27" s="16">
        <f>IF(C27='MASTER data'!$E28,'MASTER data'!$H28,"")</f>
        <v>0</v>
      </c>
      <c r="E27" s="90" t="str">
        <f>IF('MASTER data'!$B28="SEP",IF(MONTH('MASTER data'!$E28)=MONTH(E$4),'MASTER data'!$E28,""),"")</f>
        <v/>
      </c>
      <c r="F27" s="16">
        <f>IF(E27='MASTER data'!$E28,'MASTER data'!$H28,"")</f>
        <v>0</v>
      </c>
      <c r="G27" s="90" t="str">
        <f>IF('MASTER data'!$B28="SEP",IF(MONTH('MASTER data'!$E28)=MONTH(G$4),'MASTER data'!$E28,""),"")</f>
        <v/>
      </c>
      <c r="H27" s="16">
        <f>IF(G27='MASTER data'!$E28,'MASTER data'!$H28,"")</f>
        <v>0</v>
      </c>
      <c r="I27" s="90" t="str">
        <f>IF('MASTER data'!$B28="SEP",IF(MONTH('MASTER data'!$E28)=MONTH(I$4),'MASTER data'!$E28,""),"")</f>
        <v/>
      </c>
      <c r="J27" s="16">
        <f>IF(I27='MASTER data'!$E28,'MASTER data'!$H28,"")</f>
        <v>0</v>
      </c>
      <c r="K27" s="90" t="str">
        <f>IF('MASTER data'!$B28="SEP",IF(MONTH('MASTER data'!$E28)=MONTH(K$4),'MASTER data'!$E28,""),"")</f>
        <v/>
      </c>
      <c r="L27" s="16">
        <f>IF(K27='MASTER data'!$E28,'MASTER data'!$H28,"")</f>
        <v>0</v>
      </c>
      <c r="M27" s="90" t="str">
        <f>IF('MASTER data'!$B28="SEP",IF(MONTH('MASTER data'!$E28)=MONTH(M$4),'MASTER data'!$E28,""),"")</f>
        <v/>
      </c>
      <c r="N27" s="16">
        <f>IF(M27='MASTER data'!$E28,'MASTER data'!$H28,"")</f>
        <v>0</v>
      </c>
      <c r="O27" s="90" t="str">
        <f>IF('MASTER data'!$B28="SEP",IF(MONTH('MASTER data'!$E28)=MONTH(O$4),'MASTER data'!$E28,""),"")</f>
        <v/>
      </c>
      <c r="P27" s="16">
        <f>IF(O27='MASTER data'!$E28,'MASTER data'!$H28,"")</f>
        <v>0</v>
      </c>
      <c r="Q27" s="90" t="str">
        <f>IF('MASTER data'!$B28="SEP",IF(MONTH('MASTER data'!$E28)=MONTH(Q$4),'MASTER data'!$E28,""),"")</f>
        <v/>
      </c>
      <c r="R27" s="16">
        <f>IF(Q27='MASTER data'!$E28,'MASTER data'!$H28,"")</f>
        <v>0</v>
      </c>
      <c r="S27" s="90" t="str">
        <f>IF('MASTER data'!$B28="SEP",IF(MONTH('MASTER data'!$E28)=MONTH(S$4),'MASTER data'!$E28,""),"")</f>
        <v/>
      </c>
      <c r="T27" s="16">
        <f>IF(S27='MASTER data'!$E28,'MASTER data'!$H28,"")</f>
        <v>0</v>
      </c>
      <c r="U27" s="90" t="str">
        <f>IF('MASTER data'!$B28="SEP",IF(MONTH('MASTER data'!$E28)=MONTH(U$4),'MASTER data'!$E28,""),"")</f>
        <v/>
      </c>
      <c r="V27" s="16">
        <f>IF(U27='MASTER data'!$E28,'MASTER data'!$H28,"")</f>
        <v>0</v>
      </c>
      <c r="W27" s="90" t="str">
        <f>IF('MASTER data'!$B28="SEP",IF(MONTH('MASTER data'!$E28)=MONTH(W$4),'MASTER data'!$E28,""),"")</f>
        <v/>
      </c>
      <c r="X27" s="16">
        <f>IF(W27='MASTER data'!$E28,'MASTER data'!$H28,"")</f>
        <v>0</v>
      </c>
      <c r="Y27" s="90" t="str">
        <f>IF('MASTER data'!$B28="SEP",IF(MONTH('MASTER data'!$E28)=MONTH(Y$4),'MASTER data'!$E28,""),"")</f>
        <v/>
      </c>
      <c r="Z27" s="16">
        <f>IF(Y27='MASTER data'!$E28,'MASTER data'!$H28,"")</f>
        <v>0</v>
      </c>
    </row>
    <row r="28" spans="1:26">
      <c r="A28" s="5"/>
      <c r="B28" s="16">
        <f>IF('MASTER data'!B29="sep",'MASTER data'!C29,0)</f>
        <v>0</v>
      </c>
      <c r="C28" s="90" t="str">
        <f>IF('MASTER data'!$B29="SEP",IF(MONTH('MASTER data'!$E29)=MONTH(C$4),'MASTER data'!$E29,""),"")</f>
        <v/>
      </c>
      <c r="D28" s="16">
        <f>IF(C28='MASTER data'!$E29,'MASTER data'!$H29,"")</f>
        <v>0</v>
      </c>
      <c r="E28" s="90" t="str">
        <f>IF('MASTER data'!$B29="SEP",IF(MONTH('MASTER data'!$E29)=MONTH(E$4),'MASTER data'!$E29,""),"")</f>
        <v/>
      </c>
      <c r="F28" s="16">
        <f>IF(E28='MASTER data'!$E29,'MASTER data'!$H29,"")</f>
        <v>0</v>
      </c>
      <c r="G28" s="90" t="str">
        <f>IF('MASTER data'!$B29="SEP",IF(MONTH('MASTER data'!$E29)=MONTH(G$4),'MASTER data'!$E29,""),"")</f>
        <v/>
      </c>
      <c r="H28" s="16">
        <f>IF(G28='MASTER data'!$E29,'MASTER data'!$H29,"")</f>
        <v>0</v>
      </c>
      <c r="I28" s="90" t="str">
        <f>IF('MASTER data'!$B29="SEP",IF(MONTH('MASTER data'!$E29)=MONTH(I$4),'MASTER data'!$E29,""),"")</f>
        <v/>
      </c>
      <c r="J28" s="16">
        <f>IF(I28='MASTER data'!$E29,'MASTER data'!$H29,"")</f>
        <v>0</v>
      </c>
      <c r="K28" s="90" t="str">
        <f>IF('MASTER data'!$B29="SEP",IF(MONTH('MASTER data'!$E29)=MONTH(K$4),'MASTER data'!$E29,""),"")</f>
        <v/>
      </c>
      <c r="L28" s="16">
        <f>IF(K28='MASTER data'!$E29,'MASTER data'!$H29,"")</f>
        <v>0</v>
      </c>
      <c r="M28" s="90" t="str">
        <f>IF('MASTER data'!$B29="SEP",IF(MONTH('MASTER data'!$E29)=MONTH(M$4),'MASTER data'!$E29,""),"")</f>
        <v/>
      </c>
      <c r="N28" s="16">
        <f>IF(M28='MASTER data'!$E29,'MASTER data'!$H29,"")</f>
        <v>0</v>
      </c>
      <c r="O28" s="90" t="str">
        <f>IF('MASTER data'!$B29="SEP",IF(MONTH('MASTER data'!$E29)=MONTH(O$4),'MASTER data'!$E29,""),"")</f>
        <v/>
      </c>
      <c r="P28" s="16">
        <f>IF(O28='MASTER data'!$E29,'MASTER data'!$H29,"")</f>
        <v>0</v>
      </c>
      <c r="Q28" s="90" t="str">
        <f>IF('MASTER data'!$B29="SEP",IF(MONTH('MASTER data'!$E29)=MONTH(Q$4),'MASTER data'!$E29,""),"")</f>
        <v/>
      </c>
      <c r="R28" s="16">
        <f>IF(Q28='MASTER data'!$E29,'MASTER data'!$H29,"")</f>
        <v>0</v>
      </c>
      <c r="S28" s="90" t="str">
        <f>IF('MASTER data'!$B29="SEP",IF(MONTH('MASTER data'!$E29)=MONTH(S$4),'MASTER data'!$E29,""),"")</f>
        <v/>
      </c>
      <c r="T28" s="16">
        <f>IF(S28='MASTER data'!$E29,'MASTER data'!$H29,"")</f>
        <v>0</v>
      </c>
      <c r="U28" s="90" t="str">
        <f>IF('MASTER data'!$B29="SEP",IF(MONTH('MASTER data'!$E29)=MONTH(U$4),'MASTER data'!$E29,""),"")</f>
        <v/>
      </c>
      <c r="V28" s="16">
        <f>IF(U28='MASTER data'!$E29,'MASTER data'!$H29,"")</f>
        <v>0</v>
      </c>
      <c r="W28" s="90" t="str">
        <f>IF('MASTER data'!$B29="SEP",IF(MONTH('MASTER data'!$E29)=MONTH(W$4),'MASTER data'!$E29,""),"")</f>
        <v/>
      </c>
      <c r="X28" s="16">
        <f>IF(W28='MASTER data'!$E29,'MASTER data'!$H29,"")</f>
        <v>0</v>
      </c>
      <c r="Y28" s="90" t="str">
        <f>IF('MASTER data'!$B29="SEP",IF(MONTH('MASTER data'!$E29)=MONTH(Y$4),'MASTER data'!$E29,""),"")</f>
        <v/>
      </c>
      <c r="Z28" s="16">
        <f>IF(Y28='MASTER data'!$E29,'MASTER data'!$H29,"")</f>
        <v>0</v>
      </c>
    </row>
    <row r="29" spans="1:26">
      <c r="A29" s="5"/>
      <c r="B29" s="6"/>
      <c r="C29" s="90" t="str">
        <f>IF('MASTER data'!$B30="SEP",IF(MONTH('MASTER data'!$E30)=MONTH(C$4),'MASTER data'!$E30,""),"")</f>
        <v/>
      </c>
      <c r="D29" s="16">
        <f>IF(C29='MASTER data'!$E30,'MASTER data'!$H30,"")</f>
        <v>0</v>
      </c>
      <c r="E29" s="90" t="str">
        <f>IF('MASTER data'!$B30="SEP",IF(MONTH('MASTER data'!$E30)=MONTH(E$4),'MASTER data'!$E30,""),"")</f>
        <v/>
      </c>
      <c r="F29" s="16">
        <f>IF(E29='MASTER data'!$E30,'MASTER data'!$H30,"")</f>
        <v>0</v>
      </c>
      <c r="G29" s="90" t="str">
        <f>IF('MASTER data'!$B30="SEP",IF(MONTH('MASTER data'!$E30)=MONTH(G$4),'MASTER data'!$E30,""),"")</f>
        <v/>
      </c>
      <c r="H29" s="16">
        <f>IF(G29='MASTER data'!$E30,'MASTER data'!$H30,"")</f>
        <v>0</v>
      </c>
      <c r="I29" s="90" t="str">
        <f>IF('MASTER data'!$B30="SEP",IF(MONTH('MASTER data'!$E30)=MONTH(I$4),'MASTER data'!$E30,""),"")</f>
        <v/>
      </c>
      <c r="J29" s="16">
        <f>IF(I29='MASTER data'!$E30,'MASTER data'!$H30,"")</f>
        <v>0</v>
      </c>
      <c r="K29" s="90" t="str">
        <f>IF('MASTER data'!$B30="SEP",IF(MONTH('MASTER data'!$E30)=MONTH(K$4),'MASTER data'!$E30,""),"")</f>
        <v/>
      </c>
      <c r="L29" s="16">
        <f>IF(K29='MASTER data'!$E30,'MASTER data'!$H30,"")</f>
        <v>0</v>
      </c>
      <c r="M29" s="90" t="str">
        <f>IF('MASTER data'!$B30="SEP",IF(MONTH('MASTER data'!$E30)=MONTH(M$4),'MASTER data'!$E30,""),"")</f>
        <v/>
      </c>
      <c r="N29" s="16">
        <f>IF(M29='MASTER data'!$E30,'MASTER data'!$H30,"")</f>
        <v>0</v>
      </c>
      <c r="O29" s="90" t="str">
        <f>IF('MASTER data'!$B30="SEP",IF(MONTH('MASTER data'!$E30)=MONTH(O$4),'MASTER data'!$E30,""),"")</f>
        <v/>
      </c>
      <c r="P29" s="16">
        <f>IF(O29='MASTER data'!$E30,'MASTER data'!$H30,"")</f>
        <v>0</v>
      </c>
      <c r="Q29" s="90" t="str">
        <f>IF('MASTER data'!$B30="SEP",IF(MONTH('MASTER data'!$E30)=MONTH(Q$4),'MASTER data'!$E30,""),"")</f>
        <v/>
      </c>
      <c r="R29" s="16">
        <f>IF(Q29='MASTER data'!$E30,'MASTER data'!$H30,"")</f>
        <v>0</v>
      </c>
      <c r="S29" s="90" t="str">
        <f>IF('MASTER data'!$B30="SEP",IF(MONTH('MASTER data'!$E30)=MONTH(S$4),'MASTER data'!$E30,""),"")</f>
        <v/>
      </c>
      <c r="T29" s="16">
        <f>IF(S29='MASTER data'!$E30,'MASTER data'!$H30,"")</f>
        <v>0</v>
      </c>
      <c r="U29" s="90" t="str">
        <f>IF('MASTER data'!$B30="SEP",IF(MONTH('MASTER data'!$E30)=MONTH(U$4),'MASTER data'!$E30,""),"")</f>
        <v/>
      </c>
      <c r="V29" s="16">
        <f>IF(U29='MASTER data'!$E30,'MASTER data'!$H30,"")</f>
        <v>0</v>
      </c>
      <c r="W29" s="90" t="str">
        <f>IF('MASTER data'!$B30="SEP",IF(MONTH('MASTER data'!$E30)=MONTH(W$4),'MASTER data'!$E30,""),"")</f>
        <v/>
      </c>
      <c r="X29" s="16">
        <f>IF(W29='MASTER data'!$E30,'MASTER data'!$H30,"")</f>
        <v>0</v>
      </c>
      <c r="Y29" s="90" t="str">
        <f>IF('MASTER data'!$B30="SEP",IF(MONTH('MASTER data'!$E30)=MONTH(Y$4),'MASTER data'!$E30,""),"")</f>
        <v/>
      </c>
      <c r="Z29" s="16">
        <f>IF(Y29='MASTER data'!$E30,'MASTER data'!$H30,"")</f>
        <v>0</v>
      </c>
    </row>
    <row r="30" spans="1:26">
      <c r="A30" s="5"/>
      <c r="B30" s="6"/>
      <c r="C30" s="90" t="str">
        <f>IF('MASTER data'!$B31="SEP",IF(MONTH('MASTER data'!$E31)=MONTH(C$4),'MASTER data'!$E31,""),"")</f>
        <v/>
      </c>
      <c r="D30" s="16">
        <f>IF(C30='MASTER data'!$E31,'MASTER data'!$H31,"")</f>
        <v>0</v>
      </c>
      <c r="E30" s="90" t="str">
        <f>IF('MASTER data'!$B31="SEP",IF(MONTH('MASTER data'!$E31)=MONTH(E$4),'MASTER data'!$E31,""),"")</f>
        <v/>
      </c>
      <c r="F30" s="16">
        <f>IF(E30='MASTER data'!$E31,'MASTER data'!$H31,"")</f>
        <v>0</v>
      </c>
      <c r="G30" s="90" t="str">
        <f>IF('MASTER data'!$B31="SEP",IF(MONTH('MASTER data'!$E31)=MONTH(G$4),'MASTER data'!$E31,""),"")</f>
        <v/>
      </c>
      <c r="H30" s="16">
        <f>IF(G30='MASTER data'!$E31,'MASTER data'!$H31,"")</f>
        <v>0</v>
      </c>
      <c r="I30" s="90" t="str">
        <f>IF('MASTER data'!$B31="SEP",IF(MONTH('MASTER data'!$E31)=MONTH(I$4),'MASTER data'!$E31,""),"")</f>
        <v/>
      </c>
      <c r="J30" s="16">
        <f>IF(I30='MASTER data'!$E31,'MASTER data'!$H31,"")</f>
        <v>0</v>
      </c>
      <c r="K30" s="90" t="str">
        <f>IF('MASTER data'!$B31="SEP",IF(MONTH('MASTER data'!$E31)=MONTH(K$4),'MASTER data'!$E31,""),"")</f>
        <v/>
      </c>
      <c r="L30" s="16">
        <f>IF(K30='MASTER data'!$E31,'MASTER data'!$H31,"")</f>
        <v>0</v>
      </c>
      <c r="M30" s="90" t="str">
        <f>IF('MASTER data'!$B31="SEP",IF(MONTH('MASTER data'!$E31)=MONTH(M$4),'MASTER data'!$E31,""),"")</f>
        <v/>
      </c>
      <c r="N30" s="16">
        <f>IF(M30='MASTER data'!$E31,'MASTER data'!$H31,"")</f>
        <v>0</v>
      </c>
      <c r="O30" s="90" t="str">
        <f>IF('MASTER data'!$B31="SEP",IF(MONTH('MASTER data'!$E31)=MONTH(O$4),'MASTER data'!$E31,""),"")</f>
        <v/>
      </c>
      <c r="P30" s="16">
        <f>IF(O30='MASTER data'!$E31,'MASTER data'!$H31,"")</f>
        <v>0</v>
      </c>
      <c r="Q30" s="90" t="str">
        <f>IF('MASTER data'!$B31="SEP",IF(MONTH('MASTER data'!$E31)=MONTH(Q$4),'MASTER data'!$E31,""),"")</f>
        <v/>
      </c>
      <c r="R30" s="16">
        <f>IF(Q30='MASTER data'!$E31,'MASTER data'!$H31,"")</f>
        <v>0</v>
      </c>
      <c r="S30" s="90" t="str">
        <f>IF('MASTER data'!$B31="SEP",IF(MONTH('MASTER data'!$E31)=MONTH(S$4),'MASTER data'!$E31,""),"")</f>
        <v/>
      </c>
      <c r="T30" s="16">
        <f>IF(S30='MASTER data'!$E31,'MASTER data'!$H31,"")</f>
        <v>0</v>
      </c>
      <c r="U30" s="90" t="str">
        <f>IF('MASTER data'!$B31="SEP",IF(MONTH('MASTER data'!$E31)=MONTH(U$4),'MASTER data'!$E31,""),"")</f>
        <v/>
      </c>
      <c r="V30" s="16">
        <f>IF(U30='MASTER data'!$E31,'MASTER data'!$H31,"")</f>
        <v>0</v>
      </c>
      <c r="W30" s="90" t="str">
        <f>IF('MASTER data'!$B31="SEP",IF(MONTH('MASTER data'!$E31)=MONTH(W$4),'MASTER data'!$E31,""),"")</f>
        <v/>
      </c>
      <c r="X30" s="16">
        <f>IF(W30='MASTER data'!$E31,'MASTER data'!$H31,"")</f>
        <v>0</v>
      </c>
      <c r="Y30" s="90" t="str">
        <f>IF('MASTER data'!$B31="SEP",IF(MONTH('MASTER data'!$E31)=MONTH(Y$4),'MASTER data'!$E31,""),"")</f>
        <v/>
      </c>
      <c r="Z30" s="16">
        <f>IF(Y30='MASTER data'!$E31,'MASTER data'!$H31,"")</f>
        <v>0</v>
      </c>
    </row>
    <row r="31" spans="1:26">
      <c r="A31" s="5"/>
      <c r="B31" s="6"/>
      <c r="C31" s="90" t="str">
        <f>IF('MASTER data'!$B32="SEP",IF(MONTH('MASTER data'!$E32)=MONTH(C$4),'MASTER data'!$E32,""),"")</f>
        <v/>
      </c>
      <c r="D31" s="16">
        <f>IF(C31='MASTER data'!$E32,'MASTER data'!$H32,"")</f>
        <v>0</v>
      </c>
      <c r="E31" s="90" t="str">
        <f>IF('MASTER data'!$B32="SEP",IF(MONTH('MASTER data'!$E32)=MONTH(E$4),'MASTER data'!$E32,""),"")</f>
        <v/>
      </c>
      <c r="F31" s="16">
        <f>IF(E31='MASTER data'!$E32,'MASTER data'!$H32,"")</f>
        <v>0</v>
      </c>
      <c r="G31" s="90" t="str">
        <f>IF('MASTER data'!$B32="SEP",IF(MONTH('MASTER data'!$E32)=MONTH(G$4),'MASTER data'!$E32,""),"")</f>
        <v/>
      </c>
      <c r="H31" s="16">
        <f>IF(G31='MASTER data'!$E32,'MASTER data'!$H32,"")</f>
        <v>0</v>
      </c>
      <c r="I31" s="90" t="str">
        <f>IF('MASTER data'!$B32="SEP",IF(MONTH('MASTER data'!$E32)=MONTH(I$4),'MASTER data'!$E32,""),"")</f>
        <v/>
      </c>
      <c r="J31" s="16">
        <f>IF(I31='MASTER data'!$E32,'MASTER data'!$H32,"")</f>
        <v>0</v>
      </c>
      <c r="K31" s="90" t="str">
        <f>IF('MASTER data'!$B32="SEP",IF(MONTH('MASTER data'!$E32)=MONTH(K$4),'MASTER data'!$E32,""),"")</f>
        <v/>
      </c>
      <c r="L31" s="16">
        <f>IF(K31='MASTER data'!$E32,'MASTER data'!$H32,"")</f>
        <v>0</v>
      </c>
      <c r="M31" s="90" t="str">
        <f>IF('MASTER data'!$B32="SEP",IF(MONTH('MASTER data'!$E32)=MONTH(M$4),'MASTER data'!$E32,""),"")</f>
        <v/>
      </c>
      <c r="N31" s="16">
        <f>IF(M31='MASTER data'!$E32,'MASTER data'!$H32,"")</f>
        <v>0</v>
      </c>
      <c r="O31" s="90" t="str">
        <f>IF('MASTER data'!$B32="SEP",IF(MONTH('MASTER data'!$E32)=MONTH(O$4),'MASTER data'!$E32,""),"")</f>
        <v/>
      </c>
      <c r="P31" s="16">
        <f>IF(O31='MASTER data'!$E32,'MASTER data'!$H32,"")</f>
        <v>0</v>
      </c>
      <c r="Q31" s="90" t="str">
        <f>IF('MASTER data'!$B32="SEP",IF(MONTH('MASTER data'!$E32)=MONTH(Q$4),'MASTER data'!$E32,""),"")</f>
        <v/>
      </c>
      <c r="R31" s="16">
        <f>IF(Q31='MASTER data'!$E32,'MASTER data'!$H32,"")</f>
        <v>0</v>
      </c>
      <c r="S31" s="90" t="str">
        <f>IF('MASTER data'!$B32="SEP",IF(MONTH('MASTER data'!$E32)=MONTH(S$4),'MASTER data'!$E32,""),"")</f>
        <v/>
      </c>
      <c r="T31" s="16">
        <f>IF(S31='MASTER data'!$E32,'MASTER data'!$H32,"")</f>
        <v>0</v>
      </c>
      <c r="U31" s="90" t="str">
        <f>IF('MASTER data'!$B32="SEP",IF(MONTH('MASTER data'!$E32)=MONTH(U$4),'MASTER data'!$E32,""),"")</f>
        <v/>
      </c>
      <c r="V31" s="16">
        <f>IF(U31='MASTER data'!$E32,'MASTER data'!$H32,"")</f>
        <v>0</v>
      </c>
      <c r="W31" s="90" t="str">
        <f>IF('MASTER data'!$B32="SEP",IF(MONTH('MASTER data'!$E32)=MONTH(W$4),'MASTER data'!$E32,""),"")</f>
        <v/>
      </c>
      <c r="X31" s="16">
        <f>IF(W31='MASTER data'!$E32,'MASTER data'!$H32,"")</f>
        <v>0</v>
      </c>
      <c r="Y31" s="90" t="str">
        <f>IF('MASTER data'!$B32="SEP",IF(MONTH('MASTER data'!$E32)=MONTH(Y$4),'MASTER data'!$E32,""),"")</f>
        <v/>
      </c>
      <c r="Z31" s="16">
        <f>IF(Y31='MASTER data'!$E32,'MASTER data'!$H32,"")</f>
        <v>0</v>
      </c>
    </row>
    <row r="32" spans="1:26">
      <c r="A32" s="5"/>
      <c r="B32" s="6"/>
      <c r="C32" s="90" t="str">
        <f>IF('MASTER data'!$B33="SEP",IF(MONTH('MASTER data'!$E33)=MONTH(C$4),'MASTER data'!$E33,""),"")</f>
        <v/>
      </c>
      <c r="D32" s="16">
        <f>IF(C32='MASTER data'!$E33,'MASTER data'!$H33,"")</f>
        <v>0</v>
      </c>
      <c r="E32" s="90" t="str">
        <f>IF('MASTER data'!$B33="SEP",IF(MONTH('MASTER data'!$E33)=MONTH(E$4),'MASTER data'!$E33,""),"")</f>
        <v/>
      </c>
      <c r="F32" s="16">
        <f>IF(E32='MASTER data'!$E33,'MASTER data'!$H33,"")</f>
        <v>0</v>
      </c>
      <c r="G32" s="90" t="str">
        <f>IF('MASTER data'!$B33="SEP",IF(MONTH('MASTER data'!$E33)=MONTH(G$4),'MASTER data'!$E33,""),"")</f>
        <v/>
      </c>
      <c r="H32" s="16">
        <f>IF(G32='MASTER data'!$E33,'MASTER data'!$H33,"")</f>
        <v>0</v>
      </c>
      <c r="I32" s="90" t="str">
        <f>IF('MASTER data'!$B33="SEP",IF(MONTH('MASTER data'!$E33)=MONTH(I$4),'MASTER data'!$E33,""),"")</f>
        <v/>
      </c>
      <c r="J32" s="16">
        <f>IF(I32='MASTER data'!$E33,'MASTER data'!$H33,"")</f>
        <v>0</v>
      </c>
      <c r="K32" s="90" t="str">
        <f>IF('MASTER data'!$B33="SEP",IF(MONTH('MASTER data'!$E33)=MONTH(K$4),'MASTER data'!$E33,""),"")</f>
        <v/>
      </c>
      <c r="L32" s="16">
        <f>IF(K32='MASTER data'!$E33,'MASTER data'!$H33,"")</f>
        <v>0</v>
      </c>
      <c r="M32" s="90" t="str">
        <f>IF('MASTER data'!$B33="SEP",IF(MONTH('MASTER data'!$E33)=MONTH(M$4),'MASTER data'!$E33,""),"")</f>
        <v/>
      </c>
      <c r="N32" s="16">
        <f>IF(M32='MASTER data'!$E33,'MASTER data'!$H33,"")</f>
        <v>0</v>
      </c>
      <c r="O32" s="90" t="str">
        <f>IF('MASTER data'!$B33="SEP",IF(MONTH('MASTER data'!$E33)=MONTH(O$4),'MASTER data'!$E33,""),"")</f>
        <v/>
      </c>
      <c r="P32" s="16">
        <f>IF(O32='MASTER data'!$E33,'MASTER data'!$H33,"")</f>
        <v>0</v>
      </c>
      <c r="Q32" s="90" t="str">
        <f>IF('MASTER data'!$B33="SEP",IF(MONTH('MASTER data'!$E33)=MONTH(Q$4),'MASTER data'!$E33,""),"")</f>
        <v/>
      </c>
      <c r="R32" s="16">
        <f>IF(Q32='MASTER data'!$E33,'MASTER data'!$H33,"")</f>
        <v>0</v>
      </c>
      <c r="S32" s="90" t="str">
        <f>IF('MASTER data'!$B33="SEP",IF(MONTH('MASTER data'!$E33)=MONTH(S$4),'MASTER data'!$E33,""),"")</f>
        <v/>
      </c>
      <c r="T32" s="16">
        <f>IF(S32='MASTER data'!$E33,'MASTER data'!$H33,"")</f>
        <v>0</v>
      </c>
      <c r="U32" s="90" t="str">
        <f>IF('MASTER data'!$B33="SEP",IF(MONTH('MASTER data'!$E33)=MONTH(U$4),'MASTER data'!$E33,""),"")</f>
        <v/>
      </c>
      <c r="V32" s="16">
        <f>IF(U32='MASTER data'!$E33,'MASTER data'!$H33,"")</f>
        <v>0</v>
      </c>
      <c r="W32" s="90" t="str">
        <f>IF('MASTER data'!$B33="SEP",IF(MONTH('MASTER data'!$E33)=MONTH(W$4),'MASTER data'!$E33,""),"")</f>
        <v/>
      </c>
      <c r="X32" s="16">
        <f>IF(W32='MASTER data'!$E33,'MASTER data'!$H33,"")</f>
        <v>0</v>
      </c>
      <c r="Y32" s="90" t="str">
        <f>IF('MASTER data'!$B33="SEP",IF(MONTH('MASTER data'!$E33)=MONTH(Y$4),'MASTER data'!$E33,""),"")</f>
        <v/>
      </c>
      <c r="Z32" s="16">
        <f>IF(Y32='MASTER data'!$E33,'MASTER data'!$H33,"")</f>
        <v>0</v>
      </c>
    </row>
    <row r="33" spans="1:26">
      <c r="A33" s="5"/>
      <c r="B33" s="6"/>
      <c r="C33" s="90" t="str">
        <f>IF('MASTER data'!$B34="SEP",IF(MONTH('MASTER data'!$E34)=MONTH(C$4),'MASTER data'!$E34,""),"")</f>
        <v/>
      </c>
      <c r="D33" s="16">
        <f>IF(C33='MASTER data'!$E34,'MASTER data'!$H34,"")</f>
        <v>0</v>
      </c>
      <c r="E33" s="90" t="str">
        <f>IF('MASTER data'!$B34="SEP",IF(MONTH('MASTER data'!$E34)=MONTH(E$4),'MASTER data'!$E34,""),"")</f>
        <v/>
      </c>
      <c r="F33" s="16">
        <f>IF(E33='MASTER data'!$E34,'MASTER data'!$H34,"")</f>
        <v>0</v>
      </c>
      <c r="G33" s="90" t="str">
        <f>IF('MASTER data'!$B34="SEP",IF(MONTH('MASTER data'!$E34)=MONTH(G$4),'MASTER data'!$E34,""),"")</f>
        <v/>
      </c>
      <c r="H33" s="16">
        <f>IF(G33='MASTER data'!$E34,'MASTER data'!$H34,"")</f>
        <v>0</v>
      </c>
      <c r="I33" s="90" t="str">
        <f>IF('MASTER data'!$B34="SEP",IF(MONTH('MASTER data'!$E34)=MONTH(I$4),'MASTER data'!$E34,""),"")</f>
        <v/>
      </c>
      <c r="J33" s="16">
        <f>IF(I33='MASTER data'!$E34,'MASTER data'!$H34,"")</f>
        <v>0</v>
      </c>
      <c r="K33" s="90" t="str">
        <f>IF('MASTER data'!$B34="SEP",IF(MONTH('MASTER data'!$E34)=MONTH(K$4),'MASTER data'!$E34,""),"")</f>
        <v/>
      </c>
      <c r="L33" s="16">
        <f>IF(K33='MASTER data'!$E34,'MASTER data'!$H34,"")</f>
        <v>0</v>
      </c>
      <c r="M33" s="90" t="str">
        <f>IF('MASTER data'!$B34="SEP",IF(MONTH('MASTER data'!$E34)=MONTH(M$4),'MASTER data'!$E34,""),"")</f>
        <v/>
      </c>
      <c r="N33" s="16">
        <f>IF(M33='MASTER data'!$E34,'MASTER data'!$H34,"")</f>
        <v>0</v>
      </c>
      <c r="O33" s="90" t="str">
        <f>IF('MASTER data'!$B34="SEP",IF(MONTH('MASTER data'!$E34)=MONTH(O$4),'MASTER data'!$E34,""),"")</f>
        <v/>
      </c>
      <c r="P33" s="16">
        <f>IF(O33='MASTER data'!$E34,'MASTER data'!$H34,"")</f>
        <v>0</v>
      </c>
      <c r="Q33" s="90" t="str">
        <f>IF('MASTER data'!$B34="SEP",IF(MONTH('MASTER data'!$E34)=MONTH(Q$4),'MASTER data'!$E34,""),"")</f>
        <v/>
      </c>
      <c r="R33" s="16">
        <f>IF(Q33='MASTER data'!$E34,'MASTER data'!$H34,"")</f>
        <v>0</v>
      </c>
      <c r="S33" s="90" t="str">
        <f>IF('MASTER data'!$B34="SEP",IF(MONTH('MASTER data'!$E34)=MONTH(S$4),'MASTER data'!$E34,""),"")</f>
        <v/>
      </c>
      <c r="T33" s="16">
        <f>IF(S33='MASTER data'!$E34,'MASTER data'!$H34,"")</f>
        <v>0</v>
      </c>
      <c r="U33" s="90" t="str">
        <f>IF('MASTER data'!$B34="SEP",IF(MONTH('MASTER data'!$E34)=MONTH(U$4),'MASTER data'!$E34,""),"")</f>
        <v/>
      </c>
      <c r="V33" s="16">
        <f>IF(U33='MASTER data'!$E34,'MASTER data'!$H34,"")</f>
        <v>0</v>
      </c>
      <c r="W33" s="90" t="str">
        <f>IF('MASTER data'!$B34="SEP",IF(MONTH('MASTER data'!$E34)=MONTH(W$4),'MASTER data'!$E34,""),"")</f>
        <v/>
      </c>
      <c r="X33" s="16">
        <f>IF(W33='MASTER data'!$E34,'MASTER data'!$H34,"")</f>
        <v>0</v>
      </c>
      <c r="Y33" s="90" t="str">
        <f>IF('MASTER data'!$B34="SEP",IF(MONTH('MASTER data'!$E34)=MONTH(Y$4),'MASTER data'!$E34,""),"")</f>
        <v/>
      </c>
      <c r="Z33" s="16">
        <f>IF(Y33='MASTER data'!$E34,'MASTER data'!$H34,"")</f>
        <v>0</v>
      </c>
    </row>
    <row r="34" spans="1:26">
      <c r="A34" s="5"/>
      <c r="B34" s="6"/>
      <c r="C34" s="90" t="str">
        <f>IF('MASTER data'!$B35="SEP",IF(MONTH('MASTER data'!$E35)=MONTH(C$4),'MASTER data'!$E35,""),"")</f>
        <v/>
      </c>
      <c r="D34" s="16">
        <f>IF(C34='MASTER data'!$E35,'MASTER data'!$H35,"")</f>
        <v>0</v>
      </c>
      <c r="E34" s="90" t="str">
        <f>IF('MASTER data'!$B35="SEP",IF(MONTH('MASTER data'!$E35)=MONTH(E$4),'MASTER data'!$E35,""),"")</f>
        <v/>
      </c>
      <c r="F34" s="16">
        <f>IF(E34='MASTER data'!$E35,'MASTER data'!$H35,"")</f>
        <v>0</v>
      </c>
      <c r="G34" s="90" t="str">
        <f>IF('MASTER data'!$B35="SEP",IF(MONTH('MASTER data'!$E35)=MONTH(G$4),'MASTER data'!$E35,""),"")</f>
        <v/>
      </c>
      <c r="H34" s="16">
        <f>IF(G34='MASTER data'!$E35,'MASTER data'!$H35,"")</f>
        <v>0</v>
      </c>
      <c r="I34" s="90" t="str">
        <f>IF('MASTER data'!$B35="SEP",IF(MONTH('MASTER data'!$E35)=MONTH(I$4),'MASTER data'!$E35,""),"")</f>
        <v/>
      </c>
      <c r="J34" s="16">
        <f>IF(I34='MASTER data'!$E35,'MASTER data'!$H35,"")</f>
        <v>0</v>
      </c>
      <c r="K34" s="90" t="str">
        <f>IF('MASTER data'!$B35="SEP",IF(MONTH('MASTER data'!$E35)=MONTH(K$4),'MASTER data'!$E35,""),"")</f>
        <v/>
      </c>
      <c r="L34" s="16">
        <f>IF(K34='MASTER data'!$E35,'MASTER data'!$H35,"")</f>
        <v>0</v>
      </c>
      <c r="M34" s="90" t="str">
        <f>IF('MASTER data'!$B35="SEP",IF(MONTH('MASTER data'!$E35)=MONTH(M$4),'MASTER data'!$E35,""),"")</f>
        <v/>
      </c>
      <c r="N34" s="16">
        <f>IF(M34='MASTER data'!$E35,'MASTER data'!$H35,"")</f>
        <v>0</v>
      </c>
      <c r="O34" s="90" t="str">
        <f>IF('MASTER data'!$B35="SEP",IF(MONTH('MASTER data'!$E35)=MONTH(O$4),'MASTER data'!$E35,""),"")</f>
        <v/>
      </c>
      <c r="P34" s="16">
        <f>IF(O34='MASTER data'!$E35,'MASTER data'!$H35,"")</f>
        <v>0</v>
      </c>
      <c r="Q34" s="90" t="str">
        <f>IF('MASTER data'!$B35="SEP",IF(MONTH('MASTER data'!$E35)=MONTH(Q$4),'MASTER data'!$E35,""),"")</f>
        <v/>
      </c>
      <c r="R34" s="16">
        <f>IF(Q34='MASTER data'!$E35,'MASTER data'!$H35,"")</f>
        <v>0</v>
      </c>
      <c r="S34" s="90" t="str">
        <f>IF('MASTER data'!$B35="SEP",IF(MONTH('MASTER data'!$E35)=MONTH(S$4),'MASTER data'!$E35,""),"")</f>
        <v/>
      </c>
      <c r="T34" s="16">
        <f>IF(S34='MASTER data'!$E35,'MASTER data'!$H35,"")</f>
        <v>0</v>
      </c>
      <c r="U34" s="90" t="str">
        <f>IF('MASTER data'!$B35="SEP",IF(MONTH('MASTER data'!$E35)=MONTH(U$4),'MASTER data'!$E35,""),"")</f>
        <v/>
      </c>
      <c r="V34" s="16">
        <f>IF(U34='MASTER data'!$E35,'MASTER data'!$H35,"")</f>
        <v>0</v>
      </c>
      <c r="W34" s="90" t="str">
        <f>IF('MASTER data'!$B35="SEP",IF(MONTH('MASTER data'!$E35)=MONTH(W$4),'MASTER data'!$E35,""),"")</f>
        <v/>
      </c>
      <c r="X34" s="16">
        <f>IF(W34='MASTER data'!$E35,'MASTER data'!$H35,"")</f>
        <v>0</v>
      </c>
      <c r="Y34" s="90" t="str">
        <f>IF('MASTER data'!$B35="SEP",IF(MONTH('MASTER data'!$E35)=MONTH(Y$4),'MASTER data'!$E35,""),"")</f>
        <v/>
      </c>
      <c r="Z34" s="16">
        <f>IF(Y34='MASTER data'!$E35,'MASTER data'!$H35,"")</f>
        <v>0</v>
      </c>
    </row>
    <row r="35" spans="1:26">
      <c r="A35" s="5"/>
      <c r="B35" s="6"/>
      <c r="C35" s="90" t="str">
        <f>IF('MASTER data'!$B36="SEP",IF(MONTH('MASTER data'!$E36)=MONTH(C$4),'MASTER data'!$E36,""),"")</f>
        <v/>
      </c>
      <c r="D35" s="16">
        <f>IF(C35='MASTER data'!$E36,'MASTER data'!$H36,"")</f>
        <v>0</v>
      </c>
      <c r="E35" s="90" t="str">
        <f>IF('MASTER data'!$B36="SEP",IF(MONTH('MASTER data'!$E36)=MONTH(E$4),'MASTER data'!$E36,""),"")</f>
        <v/>
      </c>
      <c r="F35" s="16">
        <f>IF(E35='MASTER data'!$E36,'MASTER data'!$H36,"")</f>
        <v>0</v>
      </c>
      <c r="G35" s="90" t="str">
        <f>IF('MASTER data'!$B36="SEP",IF(MONTH('MASTER data'!$E36)=MONTH(G$4),'MASTER data'!$E36,""),"")</f>
        <v/>
      </c>
      <c r="H35" s="16">
        <f>IF(G35='MASTER data'!$E36,'MASTER data'!$H36,"")</f>
        <v>0</v>
      </c>
      <c r="I35" s="90" t="str">
        <f>IF('MASTER data'!$B36="SEP",IF(MONTH('MASTER data'!$E36)=MONTH(I$4),'MASTER data'!$E36,""),"")</f>
        <v/>
      </c>
      <c r="J35" s="16">
        <f>IF(I35='MASTER data'!$E36,'MASTER data'!$H36,"")</f>
        <v>0</v>
      </c>
      <c r="K35" s="90" t="str">
        <f>IF('MASTER data'!$B36="SEP",IF(MONTH('MASTER data'!$E36)=MONTH(K$4),'MASTER data'!$E36,""),"")</f>
        <v/>
      </c>
      <c r="L35" s="16">
        <f>IF(K35='MASTER data'!$E36,'MASTER data'!$H36,"")</f>
        <v>0</v>
      </c>
      <c r="M35" s="90" t="str">
        <f>IF('MASTER data'!$B36="SEP",IF(MONTH('MASTER data'!$E36)=MONTH(M$4),'MASTER data'!$E36,""),"")</f>
        <v/>
      </c>
      <c r="N35" s="16">
        <f>IF(M35='MASTER data'!$E36,'MASTER data'!$H36,"")</f>
        <v>0</v>
      </c>
      <c r="O35" s="90" t="str">
        <f>IF('MASTER data'!$B36="SEP",IF(MONTH('MASTER data'!$E36)=MONTH(O$4),'MASTER data'!$E36,""),"")</f>
        <v/>
      </c>
      <c r="P35" s="16">
        <f>IF(O35='MASTER data'!$E36,'MASTER data'!$H36,"")</f>
        <v>0</v>
      </c>
      <c r="Q35" s="90" t="str">
        <f>IF('MASTER data'!$B36="SEP",IF(MONTH('MASTER data'!$E36)=MONTH(Q$4),'MASTER data'!$E36,""),"")</f>
        <v/>
      </c>
      <c r="R35" s="16">
        <f>IF(Q35='MASTER data'!$E36,'MASTER data'!$H36,"")</f>
        <v>0</v>
      </c>
      <c r="S35" s="90" t="str">
        <f>IF('MASTER data'!$B36="SEP",IF(MONTH('MASTER data'!$E36)=MONTH(S$4),'MASTER data'!$E36,""),"")</f>
        <v/>
      </c>
      <c r="T35" s="16">
        <f>IF(S35='MASTER data'!$E36,'MASTER data'!$H36,"")</f>
        <v>0</v>
      </c>
      <c r="U35" s="90" t="str">
        <f>IF('MASTER data'!$B36="SEP",IF(MONTH('MASTER data'!$E36)=MONTH(U$4),'MASTER data'!$E36,""),"")</f>
        <v/>
      </c>
      <c r="V35" s="16">
        <f>IF(U35='MASTER data'!$E36,'MASTER data'!$H36,"")</f>
        <v>0</v>
      </c>
      <c r="W35" s="90" t="str">
        <f>IF('MASTER data'!$B36="SEP",IF(MONTH('MASTER data'!$E36)=MONTH(W$4),'MASTER data'!$E36,""),"")</f>
        <v/>
      </c>
      <c r="X35" s="16">
        <f>IF(W35='MASTER data'!$E36,'MASTER data'!$H36,"")</f>
        <v>0</v>
      </c>
      <c r="Y35" s="90" t="str">
        <f>IF('MASTER data'!$B36="SEP",IF(MONTH('MASTER data'!$E36)=MONTH(Y$4),'MASTER data'!$E36,""),"")</f>
        <v/>
      </c>
      <c r="Z35" s="16">
        <f>IF(Y35='MASTER data'!$E36,'MASTER data'!$H36,"")</f>
        <v>0</v>
      </c>
    </row>
    <row r="36" spans="1:26">
      <c r="A36" s="5"/>
      <c r="B36" s="6"/>
      <c r="C36" s="90" t="str">
        <f>IF('MASTER data'!$B37="SEP",IF(MONTH('MASTER data'!$E37)=MONTH(C$4),'MASTER data'!$E37,""),"")</f>
        <v/>
      </c>
      <c r="D36" s="16">
        <f>IF(C36='MASTER data'!$E37,'MASTER data'!$H37,"")</f>
        <v>0</v>
      </c>
      <c r="E36" s="90" t="str">
        <f>IF('MASTER data'!$B37="SEP",IF(MONTH('MASTER data'!$E37)=MONTH(E$4),'MASTER data'!$E37,""),"")</f>
        <v/>
      </c>
      <c r="F36" s="16">
        <f>IF(E36='MASTER data'!$E37,'MASTER data'!$H37,"")</f>
        <v>0</v>
      </c>
      <c r="G36" s="90" t="str">
        <f>IF('MASTER data'!$B37="SEP",IF(MONTH('MASTER data'!$E37)=MONTH(G$4),'MASTER data'!$E37,""),"")</f>
        <v/>
      </c>
      <c r="H36" s="16">
        <f>IF(G36='MASTER data'!$E37,'MASTER data'!$H37,"")</f>
        <v>0</v>
      </c>
      <c r="I36" s="90" t="str">
        <f>IF('MASTER data'!$B37="SEP",IF(MONTH('MASTER data'!$E37)=MONTH(I$4),'MASTER data'!$E37,""),"")</f>
        <v/>
      </c>
      <c r="J36" s="16">
        <f>IF(I36='MASTER data'!$E37,'MASTER data'!$H37,"")</f>
        <v>0</v>
      </c>
      <c r="K36" s="90" t="str">
        <f>IF('MASTER data'!$B37="SEP",IF(MONTH('MASTER data'!$E37)=MONTH(K$4),'MASTER data'!$E37,""),"")</f>
        <v/>
      </c>
      <c r="L36" s="16">
        <f>IF(K36='MASTER data'!$E37,'MASTER data'!$H37,"")</f>
        <v>0</v>
      </c>
      <c r="M36" s="90" t="str">
        <f>IF('MASTER data'!$B37="SEP",IF(MONTH('MASTER data'!$E37)=MONTH(M$4),'MASTER data'!$E37,""),"")</f>
        <v/>
      </c>
      <c r="N36" s="16">
        <f>IF(M36='MASTER data'!$E37,'MASTER data'!$H37,"")</f>
        <v>0</v>
      </c>
      <c r="O36" s="90" t="str">
        <f>IF('MASTER data'!$B37="SEP",IF(MONTH('MASTER data'!$E37)=MONTH(O$4),'MASTER data'!$E37,""),"")</f>
        <v/>
      </c>
      <c r="P36" s="16">
        <f>IF(O36='MASTER data'!$E37,'MASTER data'!$H37,"")</f>
        <v>0</v>
      </c>
      <c r="Q36" s="90" t="str">
        <f>IF('MASTER data'!$B37="SEP",IF(MONTH('MASTER data'!$E37)=MONTH(Q$4),'MASTER data'!$E37,""),"")</f>
        <v/>
      </c>
      <c r="R36" s="16">
        <f>IF(Q36='MASTER data'!$E37,'MASTER data'!$H37,"")</f>
        <v>0</v>
      </c>
      <c r="S36" s="90" t="str">
        <f>IF('MASTER data'!$B37="SEP",IF(MONTH('MASTER data'!$E37)=MONTH(S$4),'MASTER data'!$E37,""),"")</f>
        <v/>
      </c>
      <c r="T36" s="16">
        <f>IF(S36='MASTER data'!$E37,'MASTER data'!$H37,"")</f>
        <v>0</v>
      </c>
      <c r="U36" s="90" t="str">
        <f>IF('MASTER data'!$B37="SEP",IF(MONTH('MASTER data'!$E37)=MONTH(U$4),'MASTER data'!$E37,""),"")</f>
        <v/>
      </c>
      <c r="V36" s="16">
        <f>IF(U36='MASTER data'!$E37,'MASTER data'!$H37,"")</f>
        <v>0</v>
      </c>
      <c r="W36" s="90" t="str">
        <f>IF('MASTER data'!$B37="SEP",IF(MONTH('MASTER data'!$E37)=MONTH(W$4),'MASTER data'!$E37,""),"")</f>
        <v/>
      </c>
      <c r="X36" s="16">
        <f>IF(W36='MASTER data'!$E37,'MASTER data'!$H37,"")</f>
        <v>0</v>
      </c>
      <c r="Y36" s="90" t="str">
        <f>IF('MASTER data'!$B37="SEP",IF(MONTH('MASTER data'!$E37)=MONTH(Y$4),'MASTER data'!$E37,""),"")</f>
        <v/>
      </c>
      <c r="Z36" s="16">
        <f>IF(Y36='MASTER data'!$E37,'MASTER data'!$H37,"")</f>
        <v>0</v>
      </c>
    </row>
    <row r="37" spans="1:26" ht="15.75" thickBot="1">
      <c r="A37" s="7"/>
      <c r="B37" s="8"/>
      <c r="C37" s="90" t="str">
        <f>IF('MASTER data'!$B38="SEP",IF(MONTH('MASTER data'!$E38)=MONTH(C$4),'MASTER data'!$E38,""),"")</f>
        <v/>
      </c>
      <c r="D37" s="16">
        <f>IF(C37='MASTER data'!$E38,'MASTER data'!$H38,"")</f>
        <v>0</v>
      </c>
      <c r="E37" s="90" t="str">
        <f>IF('MASTER data'!$B38="SEP",IF(MONTH('MASTER data'!$E38)=MONTH(E$4),'MASTER data'!$E38,""),"")</f>
        <v/>
      </c>
      <c r="F37" s="16">
        <f>IF(E37='MASTER data'!$E38,'MASTER data'!$H38,"")</f>
        <v>0</v>
      </c>
      <c r="G37" s="90" t="str">
        <f>IF('MASTER data'!$B38="SEP",IF(MONTH('MASTER data'!$E38)=MONTH(G$4),'MASTER data'!$E38,""),"")</f>
        <v/>
      </c>
      <c r="H37" s="16">
        <f>IF(G37='MASTER data'!$E38,'MASTER data'!$H38,"")</f>
        <v>0</v>
      </c>
      <c r="I37" s="90" t="str">
        <f>IF('MASTER data'!$B38="SEP",IF(MONTH('MASTER data'!$E38)=MONTH(I$4),'MASTER data'!$E38,""),"")</f>
        <v/>
      </c>
      <c r="J37" s="16">
        <f>IF(I37='MASTER data'!$E38,'MASTER data'!$H38,"")</f>
        <v>0</v>
      </c>
      <c r="K37" s="90" t="str">
        <f>IF('MASTER data'!$B38="SEP",IF(MONTH('MASTER data'!$E38)=MONTH(K$4),'MASTER data'!$E38,""),"")</f>
        <v/>
      </c>
      <c r="L37" s="16">
        <f>IF(K37='MASTER data'!$E38,'MASTER data'!$H38,"")</f>
        <v>0</v>
      </c>
      <c r="M37" s="90" t="str">
        <f>IF('MASTER data'!$B38="SEP",IF(MONTH('MASTER data'!$E38)=MONTH(M$4),'MASTER data'!$E38,""),"")</f>
        <v/>
      </c>
      <c r="N37" s="16">
        <f>IF(M37='MASTER data'!$E38,'MASTER data'!$H38,"")</f>
        <v>0</v>
      </c>
      <c r="O37" s="90" t="str">
        <f>IF('MASTER data'!$B38="SEP",IF(MONTH('MASTER data'!$E38)=MONTH(O$4),'MASTER data'!$E38,""),"")</f>
        <v/>
      </c>
      <c r="P37" s="16">
        <f>IF(O37='MASTER data'!$E38,'MASTER data'!$H38,"")</f>
        <v>0</v>
      </c>
      <c r="Q37" s="90" t="str">
        <f>IF('MASTER data'!$B38="SEP",IF(MONTH('MASTER data'!$E38)=MONTH(Q$4),'MASTER data'!$E38,""),"")</f>
        <v/>
      </c>
      <c r="R37" s="16">
        <f>IF(Q37='MASTER data'!$E38,'MASTER data'!$H38,"")</f>
        <v>0</v>
      </c>
      <c r="S37" s="90" t="str">
        <f>IF('MASTER data'!$B38="SEP",IF(MONTH('MASTER data'!$E38)=MONTH(S$4),'MASTER data'!$E38,""),"")</f>
        <v/>
      </c>
      <c r="T37" s="16">
        <f>IF(S37='MASTER data'!$E38,'MASTER data'!$H38,"")</f>
        <v>0</v>
      </c>
      <c r="U37" s="90" t="str">
        <f>IF('MASTER data'!$B38="SEP",IF(MONTH('MASTER data'!$E38)=MONTH(U$4),'MASTER data'!$E38,""),"")</f>
        <v/>
      </c>
      <c r="V37" s="16">
        <f>IF(U37='MASTER data'!$E38,'MASTER data'!$H38,"")</f>
        <v>0</v>
      </c>
      <c r="W37" s="90" t="str">
        <f>IF('MASTER data'!$B38="SEP",IF(MONTH('MASTER data'!$E38)=MONTH(W$4),'MASTER data'!$E38,""),"")</f>
        <v/>
      </c>
      <c r="X37" s="16">
        <f>IF(W37='MASTER data'!$E38,'MASTER data'!$H38,"")</f>
        <v>0</v>
      </c>
      <c r="Y37" s="90" t="str">
        <f>IF('MASTER data'!$B38="SEP",IF(MONTH('MASTER data'!$E38)=MONTH(Y$4),'MASTER data'!$E38,""),"")</f>
        <v/>
      </c>
      <c r="Z37" s="16">
        <f>IF(Y37='MASTER data'!$E38,'MASTER data'!$H38,"")</f>
        <v>0</v>
      </c>
    </row>
  </sheetData>
  <mergeCells count="14">
    <mergeCell ref="C3:Z3"/>
    <mergeCell ref="AA3:AX3"/>
    <mergeCell ref="Y4:Z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7"/>
  <sheetViews>
    <sheetView tabSelected="1" zoomScale="70" zoomScaleNormal="7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E11" sqref="E11"/>
    </sheetView>
  </sheetViews>
  <sheetFormatPr defaultRowHeight="15"/>
  <cols>
    <col min="1" max="1" width="7.28515625" customWidth="1"/>
    <col min="2" max="2" width="53.5703125" customWidth="1"/>
    <col min="3" max="3" width="13.5703125" customWidth="1"/>
    <col min="4" max="5" width="12.5703125" customWidth="1"/>
    <col min="6" max="6" width="11.7109375" customWidth="1"/>
    <col min="7" max="7" width="14.28515625" customWidth="1"/>
    <col min="8" max="8" width="13.7109375" customWidth="1"/>
    <col min="9" max="9" width="12.5703125" customWidth="1"/>
    <col min="10" max="10" width="13.7109375" customWidth="1"/>
    <col min="11" max="11" width="12" customWidth="1"/>
    <col min="12" max="12" width="11.7109375" customWidth="1"/>
    <col min="13" max="13" width="14.7109375" customWidth="1"/>
    <col min="14" max="14" width="11.28515625" customWidth="1"/>
    <col min="20" max="21" width="11.140625" customWidth="1"/>
    <col min="22" max="23" width="10.42578125" customWidth="1"/>
    <col min="24" max="25" width="11.42578125" customWidth="1"/>
    <col min="26" max="26" width="12" customWidth="1"/>
  </cols>
  <sheetData>
    <row r="1" spans="1:50" ht="18.75">
      <c r="A1" s="2" t="s">
        <v>3</v>
      </c>
    </row>
    <row r="2" spans="1:50" ht="18.75">
      <c r="A2" s="2" t="s">
        <v>9</v>
      </c>
      <c r="B2" s="2"/>
      <c r="C2" s="2"/>
    </row>
    <row r="3" spans="1:50" ht="15.75" thickBot="1">
      <c r="C3" s="97">
        <v>2011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>
        <v>2012</v>
      </c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</row>
    <row r="4" spans="1:50" ht="29.25" customHeight="1">
      <c r="A4" s="17" t="s">
        <v>0</v>
      </c>
      <c r="B4" s="18" t="s">
        <v>1</v>
      </c>
      <c r="C4" s="95">
        <v>40544</v>
      </c>
      <c r="D4" s="96"/>
      <c r="E4" s="95">
        <v>40576</v>
      </c>
      <c r="F4" s="96"/>
      <c r="G4" s="95">
        <v>40608</v>
      </c>
      <c r="H4" s="96"/>
      <c r="I4" s="95">
        <v>40640</v>
      </c>
      <c r="J4" s="96"/>
      <c r="K4" s="95">
        <v>40672</v>
      </c>
      <c r="L4" s="96"/>
      <c r="M4" s="95">
        <v>40704</v>
      </c>
      <c r="N4" s="96"/>
      <c r="O4" s="95">
        <v>40736</v>
      </c>
      <c r="P4" s="96"/>
      <c r="Q4" s="95">
        <v>40768</v>
      </c>
      <c r="R4" s="96"/>
      <c r="S4" s="95">
        <v>40800</v>
      </c>
      <c r="T4" s="96"/>
      <c r="U4" s="95">
        <v>40832</v>
      </c>
      <c r="V4" s="96"/>
      <c r="W4" s="95">
        <v>40864</v>
      </c>
      <c r="X4" s="96"/>
      <c r="Y4" s="95">
        <v>40896</v>
      </c>
      <c r="Z4" s="96"/>
    </row>
    <row r="5" spans="1:50" ht="28.5" customHeight="1" thickBot="1">
      <c r="A5" s="19"/>
      <c r="B5" s="20"/>
      <c r="C5" s="21" t="s">
        <v>11</v>
      </c>
      <c r="D5" s="38" t="s">
        <v>2</v>
      </c>
      <c r="E5" s="21" t="s">
        <v>11</v>
      </c>
      <c r="F5" s="38" t="s">
        <v>2</v>
      </c>
      <c r="G5" s="21" t="s">
        <v>11</v>
      </c>
      <c r="H5" s="38" t="s">
        <v>2</v>
      </c>
      <c r="I5" s="21" t="s">
        <v>11</v>
      </c>
      <c r="J5" s="38" t="s">
        <v>2</v>
      </c>
      <c r="K5" s="21" t="s">
        <v>11</v>
      </c>
      <c r="L5" s="38" t="s">
        <v>2</v>
      </c>
      <c r="M5" s="21" t="s">
        <v>11</v>
      </c>
      <c r="N5" s="38" t="s">
        <v>2</v>
      </c>
      <c r="O5" s="21" t="s">
        <v>11</v>
      </c>
      <c r="P5" s="38" t="s">
        <v>2</v>
      </c>
      <c r="Q5" s="21" t="s">
        <v>11</v>
      </c>
      <c r="R5" s="38" t="s">
        <v>2</v>
      </c>
      <c r="S5" s="21" t="s">
        <v>11</v>
      </c>
      <c r="T5" s="38" t="s">
        <v>2</v>
      </c>
      <c r="U5" s="22" t="s">
        <v>11</v>
      </c>
      <c r="V5" s="39" t="s">
        <v>2</v>
      </c>
      <c r="W5" s="40" t="s">
        <v>11</v>
      </c>
      <c r="X5" s="38" t="s">
        <v>2</v>
      </c>
      <c r="Y5" s="40" t="s">
        <v>11</v>
      </c>
      <c r="Z5" s="38" t="s">
        <v>2</v>
      </c>
    </row>
    <row r="6" spans="1:50">
      <c r="A6" s="15">
        <v>1</v>
      </c>
      <c r="B6" s="16" t="str">
        <f>IF('MASTER data'!B7="LFG",'MASTER data'!C7,"")</f>
        <v xml:space="preserve">220AMP CHANGE OVER SWITCH FRONT HANDLE MAKE  L &amp;T  </v>
      </c>
      <c r="C6" s="90" t="str">
        <f>IF('MASTER data'!$B7="LFG",IF(MONTH('MASTER data'!$E7)=MONTH(C$4),'MASTER data'!$E7,""),"")</f>
        <v/>
      </c>
      <c r="D6" s="16" t="str">
        <f>IF(C6='MASTER data'!$E7,'MASTER data'!$I7,"")</f>
        <v/>
      </c>
      <c r="E6" s="90">
        <f>IF('MASTER data'!$B7="LFG",IF(MONTH('MASTER data'!$E7)=MONTH(E$4),'MASTER data'!$E7,""),"")</f>
        <v>40941</v>
      </c>
      <c r="F6" s="16">
        <f>IF(E6='MASTER data'!$E7,'MASTER data'!$I7,"")</f>
        <v>2345</v>
      </c>
      <c r="G6" s="90" t="str">
        <f>IF('MASTER data'!$B7="LFG",IF(MONTH('MASTER data'!$E7)=MONTH(G$4),'MASTER data'!$E7,""),"")</f>
        <v/>
      </c>
      <c r="H6" s="16" t="str">
        <f>IF(G6='MASTER data'!$E7,'MASTER data'!$I7,"")</f>
        <v/>
      </c>
      <c r="I6" s="90" t="str">
        <f>IF('MASTER data'!$B7="LFG",IF(MONTH('MASTER data'!$E7)=MONTH(I$4),'MASTER data'!$E7,""),"")</f>
        <v/>
      </c>
      <c r="J6" s="16" t="str">
        <f>IF(I6='MASTER data'!$E7,'MASTER data'!$I7,"")</f>
        <v/>
      </c>
      <c r="K6" s="90" t="str">
        <f>IF('MASTER data'!$B7="LFG",IF(MONTH('MASTER data'!$E7)=MONTH(K$4),'MASTER data'!$E7,""),"")</f>
        <v/>
      </c>
      <c r="L6" s="16" t="str">
        <f>IF(K6='MASTER data'!$E7,'MASTER data'!$I7,"")</f>
        <v/>
      </c>
      <c r="M6" s="90" t="str">
        <f>IF('MASTER data'!$B7="LFG",IF(MONTH('MASTER data'!$E7)=MONTH(M$4),'MASTER data'!$E7,""),"")</f>
        <v/>
      </c>
      <c r="N6" s="16" t="str">
        <f>IF(M6='MASTER data'!$E7,'MASTER data'!$I7,"")</f>
        <v/>
      </c>
      <c r="O6" s="90" t="str">
        <f>IF('MASTER data'!$B7="LFG",IF(MONTH('MASTER data'!$E7)=MONTH(O$4),'MASTER data'!$E7,""),"")</f>
        <v/>
      </c>
      <c r="P6" s="16" t="str">
        <f>IF(O6='MASTER data'!$E7,'MASTER data'!$I7,"")</f>
        <v/>
      </c>
      <c r="Q6" s="90" t="str">
        <f>IF('MASTER data'!$B7="LFG",IF(MONTH('MASTER data'!$E7)=MONTH(Q$4),'MASTER data'!$E7,""),"")</f>
        <v/>
      </c>
      <c r="R6" s="16" t="str">
        <f>IF(Q6='MASTER data'!$E7,'MASTER data'!$I7,"")</f>
        <v/>
      </c>
      <c r="S6" s="90" t="str">
        <f>IF('MASTER data'!$B7="LFG",IF(MONTH('MASTER data'!$E7)=MONTH(S$4),'MASTER data'!$E7,""),"")</f>
        <v/>
      </c>
      <c r="T6" s="16" t="str">
        <f>IF(S6='MASTER data'!$E7,'MASTER data'!$I7,"")</f>
        <v/>
      </c>
      <c r="U6" s="90" t="str">
        <f>IF('MASTER data'!$B7="LFG",IF(MONTH('MASTER data'!$E7)=MONTH(U$4),'MASTER data'!$E7,""),"")</f>
        <v/>
      </c>
      <c r="V6" s="16" t="str">
        <f>IF(U6='MASTER data'!$E7,'MASTER data'!$I7,"")</f>
        <v/>
      </c>
      <c r="W6" s="90" t="str">
        <f>IF('MASTER data'!$B7="LFG",IF(MONTH('MASTER data'!$E7)=MONTH(W$4),'MASTER data'!$E7,""),"")</f>
        <v/>
      </c>
      <c r="X6" s="16" t="str">
        <f>IF(W6='MASTER data'!$E7,'MASTER data'!$I7,"")</f>
        <v/>
      </c>
      <c r="Y6" s="90" t="str">
        <f>IF('MASTER data'!$B7="LFG",IF(MONTH('MASTER data'!$E7)=MONTH(Y$4),'MASTER data'!$E7,""),"")</f>
        <v/>
      </c>
      <c r="Z6" s="16" t="str">
        <f>IF(Y6='MASTER data'!$E7,'MASTER data'!$I7,"")</f>
        <v/>
      </c>
    </row>
    <row r="7" spans="1:50">
      <c r="A7" s="5"/>
      <c r="B7" s="16" t="str">
        <f>IF('MASTER data'!B8="LFG",'MASTER data'!C8,"")</f>
        <v>dd</v>
      </c>
      <c r="C7" s="90" t="str">
        <f>IF('MASTER data'!$B8="LFG",IF(MONTH('MASTER data'!$E8)=MONTH(C$4),'MASTER data'!$E8,""),"")</f>
        <v/>
      </c>
      <c r="D7" s="16" t="str">
        <f>IF(C7='MASTER data'!$E8,'MASTER data'!$I8,"")</f>
        <v/>
      </c>
      <c r="E7" s="90">
        <f>IF('MASTER data'!$B8="LFG",IF(MONTH('MASTER data'!$E8)=MONTH(E$4),'MASTER data'!$E8,""),"")</f>
        <v>40941</v>
      </c>
      <c r="F7" s="16">
        <f>IF(E7='MASTER data'!$E8,'MASTER data'!$I8,"")</f>
        <v>0</v>
      </c>
      <c r="G7" s="90" t="str">
        <f>IF('MASTER data'!$B8="LFG",IF(MONTH('MASTER data'!$E8)=MONTH(G$4),'MASTER data'!$E8,""),"")</f>
        <v/>
      </c>
      <c r="H7" s="16" t="str">
        <f>IF(G7='MASTER data'!$E8,'MASTER data'!$I8,"")</f>
        <v/>
      </c>
      <c r="I7" s="90" t="str">
        <f>IF('MASTER data'!$B8="LFG",IF(MONTH('MASTER data'!$E8)=MONTH(I$4),'MASTER data'!$E8,""),"")</f>
        <v/>
      </c>
      <c r="J7" s="16" t="str">
        <f>IF(I7='MASTER data'!$E8,'MASTER data'!$I8,"")</f>
        <v/>
      </c>
      <c r="K7" s="90" t="str">
        <f>IF('MASTER data'!$B8="LFG",IF(MONTH('MASTER data'!$E8)=MONTH(K$4),'MASTER data'!$E8,""),"")</f>
        <v/>
      </c>
      <c r="L7" s="16" t="str">
        <f>IF(K7='MASTER data'!$E8,'MASTER data'!$I8,"")</f>
        <v/>
      </c>
      <c r="M7" s="90" t="str">
        <f>IF('MASTER data'!$B8="LFG",IF(MONTH('MASTER data'!$E8)=MONTH(M$4),'MASTER data'!$E8,""),"")</f>
        <v/>
      </c>
      <c r="N7" s="16" t="str">
        <f>IF(M7='MASTER data'!$E8,'MASTER data'!$I8,"")</f>
        <v/>
      </c>
      <c r="O7" s="90" t="str">
        <f>IF('MASTER data'!$B8="LFG",IF(MONTH('MASTER data'!$E8)=MONTH(O$4),'MASTER data'!$E8,""),"")</f>
        <v/>
      </c>
      <c r="P7" s="16" t="str">
        <f>IF(O7='MASTER data'!$E8,'MASTER data'!$I8,"")</f>
        <v/>
      </c>
      <c r="Q7" s="90" t="str">
        <f>IF('MASTER data'!$B8="LFG",IF(MONTH('MASTER data'!$E8)=MONTH(Q$4),'MASTER data'!$E8,""),"")</f>
        <v/>
      </c>
      <c r="R7" s="16" t="str">
        <f>IF(Q7='MASTER data'!$E8,'MASTER data'!$I8,"")</f>
        <v/>
      </c>
      <c r="S7" s="90" t="str">
        <f>IF('MASTER data'!$B8="LFG",IF(MONTH('MASTER data'!$E8)=MONTH(S$4),'MASTER data'!$E8,""),"")</f>
        <v/>
      </c>
      <c r="T7" s="16" t="str">
        <f>IF(S7='MASTER data'!$E8,'MASTER data'!$I8,"")</f>
        <v/>
      </c>
      <c r="U7" s="90" t="str">
        <f>IF('MASTER data'!$B8="LFG",IF(MONTH('MASTER data'!$E8)=MONTH(U$4),'MASTER data'!$E8,""),"")</f>
        <v/>
      </c>
      <c r="V7" s="16" t="str">
        <f>IF(U7='MASTER data'!$E8,'MASTER data'!$I8,"")</f>
        <v/>
      </c>
      <c r="W7" s="90" t="str">
        <f>IF('MASTER data'!$B8="LFG",IF(MONTH('MASTER data'!$E8)=MONTH(W$4),'MASTER data'!$E8,""),"")</f>
        <v/>
      </c>
      <c r="X7" s="16" t="str">
        <f>IF(W7='MASTER data'!$E8,'MASTER data'!$I8,"")</f>
        <v/>
      </c>
      <c r="Y7" s="90" t="str">
        <f>IF('MASTER data'!$B8="LFG",IF(MONTH('MASTER data'!$E8)=MONTH(Y$4),'MASTER data'!$E8,""),"")</f>
        <v/>
      </c>
      <c r="Z7" s="16" t="str">
        <f>IF(Y7='MASTER data'!$E8,'MASTER data'!$I8,"")</f>
        <v/>
      </c>
    </row>
    <row r="8" spans="1:50">
      <c r="A8" s="5"/>
      <c r="B8" s="16" t="str">
        <f>IF('MASTER data'!B9="LFG",'MASTER data'!C9,"")</f>
        <v/>
      </c>
      <c r="C8" s="90" t="str">
        <f>IF('MASTER data'!$B9="LFG",IF(MONTH('MASTER data'!$E9)=MONTH(C$4),'MASTER data'!$E9,""),"")</f>
        <v/>
      </c>
      <c r="D8" s="16" t="str">
        <f>IF(C8='MASTER data'!$E9,'MASTER data'!$I9,"")</f>
        <v/>
      </c>
      <c r="E8" s="90" t="str">
        <f>IF('MASTER data'!$B9="LFG",IF(MONTH('MASTER data'!$E9)=MONTH(E$4),'MASTER data'!$E9,""),"")</f>
        <v/>
      </c>
      <c r="F8" s="16" t="str">
        <f>IF(E8='MASTER data'!$E9,'MASTER data'!$I9,"")</f>
        <v/>
      </c>
      <c r="G8" s="90" t="str">
        <f>IF('MASTER data'!$B9="LFG",IF(MONTH('MASTER data'!$E9)=MONTH(G$4),'MASTER data'!$E9,""),"")</f>
        <v/>
      </c>
      <c r="H8" s="16" t="str">
        <f>IF(G8='MASTER data'!$E9,'MASTER data'!$I9,"")</f>
        <v/>
      </c>
      <c r="I8" s="90" t="str">
        <f>IF('MASTER data'!$B9="LFG",IF(MONTH('MASTER data'!$E9)=MONTH(I$4),'MASTER data'!$E9,""),"")</f>
        <v/>
      </c>
      <c r="J8" s="16" t="str">
        <f>IF(I8='MASTER data'!$E9,'MASTER data'!$I9,"")</f>
        <v/>
      </c>
      <c r="K8" s="90" t="str">
        <f>IF('MASTER data'!$B9="LFG",IF(MONTH('MASTER data'!$E9)=MONTH(K$4),'MASTER data'!$E9,""),"")</f>
        <v/>
      </c>
      <c r="L8" s="16" t="str">
        <f>IF(K8='MASTER data'!$E9,'MASTER data'!$I9,"")</f>
        <v/>
      </c>
      <c r="M8" s="90" t="str">
        <f>IF('MASTER data'!$B9="LFG",IF(MONTH('MASTER data'!$E9)=MONTH(M$4),'MASTER data'!$E9,""),"")</f>
        <v/>
      </c>
      <c r="N8" s="16" t="str">
        <f>IF(M8='MASTER data'!$E9,'MASTER data'!$I9,"")</f>
        <v/>
      </c>
      <c r="O8" s="90" t="str">
        <f>IF('MASTER data'!$B9="LFG",IF(MONTH('MASTER data'!$E9)=MONTH(O$4),'MASTER data'!$E9,""),"")</f>
        <v/>
      </c>
      <c r="P8" s="16" t="str">
        <f>IF(O8='MASTER data'!$E9,'MASTER data'!$I9,"")</f>
        <v/>
      </c>
      <c r="Q8" s="90" t="str">
        <f>IF('MASTER data'!$B9="LFG",IF(MONTH('MASTER data'!$E9)=MONTH(Q$4),'MASTER data'!$E9,""),"")</f>
        <v/>
      </c>
      <c r="R8" s="16" t="str">
        <f>IF(Q8='MASTER data'!$E9,'MASTER data'!$I9,"")</f>
        <v/>
      </c>
      <c r="S8" s="90" t="str">
        <f>IF('MASTER data'!$B9="LFG",IF(MONTH('MASTER data'!$E9)=MONTH(S$4),'MASTER data'!$E9,""),"")</f>
        <v/>
      </c>
      <c r="T8" s="16" t="str">
        <f>IF(S8='MASTER data'!$E9,'MASTER data'!$I9,"")</f>
        <v/>
      </c>
      <c r="U8" s="90" t="str">
        <f>IF('MASTER data'!$B9="LFG",IF(MONTH('MASTER data'!$E9)=MONTH(U$4),'MASTER data'!$E9,""),"")</f>
        <v/>
      </c>
      <c r="V8" s="16" t="str">
        <f>IF(U8='MASTER data'!$E9,'MASTER data'!$I9,"")</f>
        <v/>
      </c>
      <c r="W8" s="90" t="str">
        <f>IF('MASTER data'!$B9="LFG",IF(MONTH('MASTER data'!$E9)=MONTH(W$4),'MASTER data'!$E9,""),"")</f>
        <v/>
      </c>
      <c r="X8" s="16" t="str">
        <f>IF(W8='MASTER data'!$E9,'MASTER data'!$I9,"")</f>
        <v/>
      </c>
      <c r="Y8" s="90" t="str">
        <f>IF('MASTER data'!$B9="LFG",IF(MONTH('MASTER data'!$E9)=MONTH(Y$4),'MASTER data'!$E9,""),"")</f>
        <v/>
      </c>
      <c r="Z8" s="16" t="str">
        <f>IF(Y8='MASTER data'!$E9,'MASTER data'!$I9,"")</f>
        <v/>
      </c>
    </row>
    <row r="9" spans="1:50">
      <c r="A9" s="5"/>
      <c r="B9" s="16" t="str">
        <f>IF('MASTER data'!B10="LFG",'MASTER data'!C10,"")</f>
        <v/>
      </c>
      <c r="C9" s="90" t="str">
        <f>IF('MASTER data'!$B10="LFG",IF(MONTH('MASTER data'!$E10)=MONTH(C$4),'MASTER data'!$E10,""),"")</f>
        <v/>
      </c>
      <c r="D9" s="16" t="str">
        <f>IF(C9='MASTER data'!$E10,'MASTER data'!$I10,"")</f>
        <v/>
      </c>
      <c r="E9" s="90" t="str">
        <f>IF('MASTER data'!$B10="LFG",IF(MONTH('MASTER data'!$E10)=MONTH(E$4),'MASTER data'!$E10,""),"")</f>
        <v/>
      </c>
      <c r="F9" s="16" t="str">
        <f>IF(E9='MASTER data'!$E10,'MASTER data'!$I10,"")</f>
        <v/>
      </c>
      <c r="G9" s="90" t="str">
        <f>IF('MASTER data'!$B10="LFG",IF(MONTH('MASTER data'!$E10)=MONTH(G$4),'MASTER data'!$E10,""),"")</f>
        <v/>
      </c>
      <c r="H9" s="16" t="str">
        <f>IF(G9='MASTER data'!$E10,'MASTER data'!$I10,"")</f>
        <v/>
      </c>
      <c r="I9" s="90" t="str">
        <f>IF('MASTER data'!$B10="LFG",IF(MONTH('MASTER data'!$E10)=MONTH(I$4),'MASTER data'!$E10,""),"")</f>
        <v/>
      </c>
      <c r="J9" s="16" t="str">
        <f>IF(I9='MASTER data'!$E10,'MASTER data'!$I10,"")</f>
        <v/>
      </c>
      <c r="K9" s="90" t="str">
        <f>IF('MASTER data'!$B10="LFG",IF(MONTH('MASTER data'!$E10)=MONTH(K$4),'MASTER data'!$E10,""),"")</f>
        <v/>
      </c>
      <c r="L9" s="16" t="str">
        <f>IF(K9='MASTER data'!$E10,'MASTER data'!$I10,"")</f>
        <v/>
      </c>
      <c r="M9" s="90" t="str">
        <f>IF('MASTER data'!$B10="LFG",IF(MONTH('MASTER data'!$E10)=MONTH(M$4),'MASTER data'!$E10,""),"")</f>
        <v/>
      </c>
      <c r="N9" s="16" t="str">
        <f>IF(M9='MASTER data'!$E10,'MASTER data'!$I10,"")</f>
        <v/>
      </c>
      <c r="O9" s="90" t="str">
        <f>IF('MASTER data'!$B10="LFG",IF(MONTH('MASTER data'!$E10)=MONTH(O$4),'MASTER data'!$E10,""),"")</f>
        <v/>
      </c>
      <c r="P9" s="16" t="str">
        <f>IF(O9='MASTER data'!$E10,'MASTER data'!$I10,"")</f>
        <v/>
      </c>
      <c r="Q9" s="90" t="str">
        <f>IF('MASTER data'!$B10="LFG",IF(MONTH('MASTER data'!$E10)=MONTH(Q$4),'MASTER data'!$E10,""),"")</f>
        <v/>
      </c>
      <c r="R9" s="16" t="str">
        <f>IF(Q9='MASTER data'!$E10,'MASTER data'!$I10,"")</f>
        <v/>
      </c>
      <c r="S9" s="90" t="str">
        <f>IF('MASTER data'!$B10="LFG",IF(MONTH('MASTER data'!$E10)=MONTH(S$4),'MASTER data'!$E10,""),"")</f>
        <v/>
      </c>
      <c r="T9" s="16" t="str">
        <f>IF(S9='MASTER data'!$E10,'MASTER data'!$I10,"")</f>
        <v/>
      </c>
      <c r="U9" s="90" t="str">
        <f>IF('MASTER data'!$B10="LFG",IF(MONTH('MASTER data'!$E10)=MONTH(U$4),'MASTER data'!$E10,""),"")</f>
        <v/>
      </c>
      <c r="V9" s="16" t="str">
        <f>IF(U9='MASTER data'!$E10,'MASTER data'!$I10,"")</f>
        <v/>
      </c>
      <c r="W9" s="90" t="str">
        <f>IF('MASTER data'!$B10="LFG",IF(MONTH('MASTER data'!$E10)=MONTH(W$4),'MASTER data'!$E10,""),"")</f>
        <v/>
      </c>
      <c r="X9" s="16" t="str">
        <f>IF(W9='MASTER data'!$E10,'MASTER data'!$I10,"")</f>
        <v/>
      </c>
      <c r="Y9" s="90" t="str">
        <f>IF('MASTER data'!$B10="LFG",IF(MONTH('MASTER data'!$E10)=MONTH(Y$4),'MASTER data'!$E10,""),"")</f>
        <v/>
      </c>
      <c r="Z9" s="16" t="str">
        <f>IF(Y9='MASTER data'!$E10,'MASTER data'!$I10,"")</f>
        <v/>
      </c>
    </row>
    <row r="10" spans="1:50">
      <c r="A10" s="5"/>
      <c r="B10" s="16" t="str">
        <f>IF('MASTER data'!B11="LFG",'MASTER data'!C11,"")</f>
        <v/>
      </c>
      <c r="C10" s="90" t="str">
        <f>IF('MASTER data'!$B11="LFG",IF(MONTH('MASTER data'!$E11)=MONTH(C$4),'MASTER data'!$E11,""),"")</f>
        <v/>
      </c>
      <c r="D10" s="16" t="str">
        <f>IF(C10='MASTER data'!$E11,'MASTER data'!$I11,"")</f>
        <v/>
      </c>
      <c r="E10" s="90" t="str">
        <f>IF('MASTER data'!$B11="LFG",IF(MONTH('MASTER data'!$E11)=MONTH(E$4),'MASTER data'!$E11,""),"")</f>
        <v/>
      </c>
      <c r="F10" s="16" t="str">
        <f>IF(E10='MASTER data'!$E11,'MASTER data'!$I11,"")</f>
        <v/>
      </c>
      <c r="G10" s="90" t="str">
        <f>IF('MASTER data'!$B11="LFG",IF(MONTH('MASTER data'!$E11)=MONTH(G$4),'MASTER data'!$E11,""),"")</f>
        <v/>
      </c>
      <c r="H10" s="16" t="str">
        <f>IF(G10='MASTER data'!$E11,'MASTER data'!$I11,"")</f>
        <v/>
      </c>
      <c r="I10" s="90" t="str">
        <f>IF('MASTER data'!$B11="LFG",IF(MONTH('MASTER data'!$E11)=MONTH(I$4),'MASTER data'!$E11,""),"")</f>
        <v/>
      </c>
      <c r="J10" s="16" t="str">
        <f>IF(I10='MASTER data'!$E11,'MASTER data'!$I11,"")</f>
        <v/>
      </c>
      <c r="K10" s="90" t="str">
        <f>IF('MASTER data'!$B11="LFG",IF(MONTH('MASTER data'!$E11)=MONTH(K$4),'MASTER data'!$E11,""),"")</f>
        <v/>
      </c>
      <c r="L10" s="16" t="str">
        <f>IF(K10='MASTER data'!$E11,'MASTER data'!$I11,"")</f>
        <v/>
      </c>
      <c r="M10" s="90" t="str">
        <f>IF('MASTER data'!$B11="LFG",IF(MONTH('MASTER data'!$E11)=MONTH(M$4),'MASTER data'!$E11,""),"")</f>
        <v/>
      </c>
      <c r="N10" s="16" t="str">
        <f>IF(M10='MASTER data'!$E11,'MASTER data'!$I11,"")</f>
        <v/>
      </c>
      <c r="O10" s="90" t="str">
        <f>IF('MASTER data'!$B11="LFG",IF(MONTH('MASTER data'!$E11)=MONTH(O$4),'MASTER data'!$E11,""),"")</f>
        <v/>
      </c>
      <c r="P10" s="16" t="str">
        <f>IF(O10='MASTER data'!$E11,'MASTER data'!$I11,"")</f>
        <v/>
      </c>
      <c r="Q10" s="90" t="str">
        <f>IF('MASTER data'!$B11="LFG",IF(MONTH('MASTER data'!$E11)=MONTH(Q$4),'MASTER data'!$E11,""),"")</f>
        <v/>
      </c>
      <c r="R10" s="16" t="str">
        <f>IF(Q10='MASTER data'!$E11,'MASTER data'!$I11,"")</f>
        <v/>
      </c>
      <c r="S10" s="90" t="str">
        <f>IF('MASTER data'!$B11="LFG",IF(MONTH('MASTER data'!$E11)=MONTH(S$4),'MASTER data'!$E11,""),"")</f>
        <v/>
      </c>
      <c r="T10" s="16" t="str">
        <f>IF(S10='MASTER data'!$E11,'MASTER data'!$I11,"")</f>
        <v/>
      </c>
      <c r="U10" s="90" t="str">
        <f>IF('MASTER data'!$B11="LFG",IF(MONTH('MASTER data'!$E11)=MONTH(U$4),'MASTER data'!$E11,""),"")</f>
        <v/>
      </c>
      <c r="V10" s="16" t="str">
        <f>IF(U10='MASTER data'!$E11,'MASTER data'!$I11,"")</f>
        <v/>
      </c>
      <c r="W10" s="90" t="str">
        <f>IF('MASTER data'!$B11="LFG",IF(MONTH('MASTER data'!$E11)=MONTH(W$4),'MASTER data'!$E11,""),"")</f>
        <v/>
      </c>
      <c r="X10" s="16" t="str">
        <f>IF(W10='MASTER data'!$E11,'MASTER data'!$I11,"")</f>
        <v/>
      </c>
      <c r="Y10" s="90" t="str">
        <f>IF('MASTER data'!$B11="LFG",IF(MONTH('MASTER data'!$E11)=MONTH(Y$4),'MASTER data'!$E11,""),"")</f>
        <v/>
      </c>
      <c r="Z10" s="16" t="str">
        <f>IF(Y10='MASTER data'!$E11,'MASTER data'!$I11,"")</f>
        <v/>
      </c>
    </row>
    <row r="11" spans="1:50">
      <c r="A11" s="5"/>
      <c r="B11" s="16" t="str">
        <f>IF('MASTER data'!B12="LFG",'MASTER data'!C12,"")</f>
        <v>klk</v>
      </c>
      <c r="C11" s="90" t="str">
        <f>IF('MASTER data'!$B12="LFG",IF(MONTH('MASTER data'!$E12)=MONTH(C$4),'MASTER data'!$E12,""),"")</f>
        <v/>
      </c>
      <c r="D11" s="16" t="str">
        <f>IF(C11='MASTER data'!$E12,'MASTER data'!$I12,"")</f>
        <v/>
      </c>
      <c r="E11" s="90">
        <f>IF('MASTER data'!$B12="LFG",IF(MONTH('MASTER data'!$E12)=MONTH(E$4),'MASTER data'!$E12,""),"")</f>
        <v>40941</v>
      </c>
      <c r="F11" s="16">
        <f>IF(E11='MASTER data'!$E12,'MASTER data'!$I12,"")</f>
        <v>3332</v>
      </c>
      <c r="G11" s="90" t="str">
        <f>IF('MASTER data'!$B12="LFG",IF(MONTH('MASTER data'!$E12)=MONTH(G$4),'MASTER data'!$E12,""),"")</f>
        <v/>
      </c>
      <c r="H11" s="16" t="str">
        <f>IF(G11='MASTER data'!$E12,'MASTER data'!$I12,"")</f>
        <v/>
      </c>
      <c r="I11" s="90" t="str">
        <f>IF('MASTER data'!$B12="LFG",IF(MONTH('MASTER data'!$E12)=MONTH(I$4),'MASTER data'!$E12,""),"")</f>
        <v/>
      </c>
      <c r="J11" s="16" t="str">
        <f>IF(I11='MASTER data'!$E12,'MASTER data'!$I12,"")</f>
        <v/>
      </c>
      <c r="K11" s="90" t="str">
        <f>IF('MASTER data'!$B12="LFG",IF(MONTH('MASTER data'!$E12)=MONTH(K$4),'MASTER data'!$E12,""),"")</f>
        <v/>
      </c>
      <c r="L11" s="16" t="str">
        <f>IF(K11='MASTER data'!$E12,'MASTER data'!$I12,"")</f>
        <v/>
      </c>
      <c r="M11" s="90" t="str">
        <f>IF('MASTER data'!$B12="LFG",IF(MONTH('MASTER data'!$E12)=MONTH(M$4),'MASTER data'!$E12,""),"")</f>
        <v/>
      </c>
      <c r="N11" s="16" t="str">
        <f>IF(M11='MASTER data'!$E12,'MASTER data'!$I12,"")</f>
        <v/>
      </c>
      <c r="O11" s="90" t="str">
        <f>IF('MASTER data'!$B12="LFG",IF(MONTH('MASTER data'!$E12)=MONTH(O$4),'MASTER data'!$E12,""),"")</f>
        <v/>
      </c>
      <c r="P11" s="16" t="str">
        <f>IF(O11='MASTER data'!$E12,'MASTER data'!$I12,"")</f>
        <v/>
      </c>
      <c r="Q11" s="90" t="str">
        <f>IF('MASTER data'!$B12="LFG",IF(MONTH('MASTER data'!$E12)=MONTH(Q$4),'MASTER data'!$E12,""),"")</f>
        <v/>
      </c>
      <c r="R11" s="16" t="str">
        <f>IF(Q11='MASTER data'!$E12,'MASTER data'!$I12,"")</f>
        <v/>
      </c>
      <c r="S11" s="90" t="str">
        <f>IF('MASTER data'!$B12="LFG",IF(MONTH('MASTER data'!$E12)=MONTH(S$4),'MASTER data'!$E12,""),"")</f>
        <v/>
      </c>
      <c r="T11" s="16" t="str">
        <f>IF(S11='MASTER data'!$E12,'MASTER data'!$I12,"")</f>
        <v/>
      </c>
      <c r="U11" s="90" t="str">
        <f>IF('MASTER data'!$B12="LFG",IF(MONTH('MASTER data'!$E12)=MONTH(U$4),'MASTER data'!$E12,""),"")</f>
        <v/>
      </c>
      <c r="V11" s="16" t="str">
        <f>IF(U11='MASTER data'!$E12,'MASTER data'!$I12,"")</f>
        <v/>
      </c>
      <c r="W11" s="90" t="str">
        <f>IF('MASTER data'!$B12="LFG",IF(MONTH('MASTER data'!$E12)=MONTH(W$4),'MASTER data'!$E12,""),"")</f>
        <v/>
      </c>
      <c r="X11" s="16" t="str">
        <f>IF(W11='MASTER data'!$E12,'MASTER data'!$I12,"")</f>
        <v/>
      </c>
      <c r="Y11" s="90" t="str">
        <f>IF('MASTER data'!$B12="LFG",IF(MONTH('MASTER data'!$E12)=MONTH(Y$4),'MASTER data'!$E12,""),"")</f>
        <v/>
      </c>
      <c r="Z11" s="16" t="str">
        <f>IF(Y11='MASTER data'!$E12,'MASTER data'!$I12,"")</f>
        <v/>
      </c>
    </row>
    <row r="12" spans="1:50">
      <c r="A12" s="5"/>
      <c r="B12" s="16" t="str">
        <f>IF('MASTER data'!B13="LFG",'MASTER data'!C13,"")</f>
        <v/>
      </c>
      <c r="C12" s="90" t="str">
        <f>IF('MASTER data'!$B13="LFG",IF(MONTH('MASTER data'!$E13)=MONTH(C$4),'MASTER data'!$E13,""),"")</f>
        <v/>
      </c>
      <c r="D12" s="16">
        <f>IF(C12='MASTER data'!$E13,'MASTER data'!$I13,"")</f>
        <v>0</v>
      </c>
      <c r="E12" s="90" t="str">
        <f>IF('MASTER data'!$B13="LFG",IF(MONTH('MASTER data'!$E13)=MONTH(E$4),'MASTER data'!$E13,""),"")</f>
        <v/>
      </c>
      <c r="F12" s="16">
        <f>IF(E12='MASTER data'!$E13,'MASTER data'!$I13,"")</f>
        <v>0</v>
      </c>
      <c r="G12" s="90" t="str">
        <f>IF('MASTER data'!$B13="LFG",IF(MONTH('MASTER data'!$E13)=MONTH(G$4),'MASTER data'!$E13,""),"")</f>
        <v/>
      </c>
      <c r="H12" s="16">
        <f>IF(G12='MASTER data'!$E13,'MASTER data'!$I13,"")</f>
        <v>0</v>
      </c>
      <c r="I12" s="90" t="str">
        <f>IF('MASTER data'!$B13="LFG",IF(MONTH('MASTER data'!$E13)=MONTH(I$4),'MASTER data'!$E13,""),"")</f>
        <v/>
      </c>
      <c r="J12" s="16">
        <f>IF(I12='MASTER data'!$E13,'MASTER data'!$I13,"")</f>
        <v>0</v>
      </c>
      <c r="K12" s="90" t="str">
        <f>IF('MASTER data'!$B13="LFG",IF(MONTH('MASTER data'!$E13)=MONTH(K$4),'MASTER data'!$E13,""),"")</f>
        <v/>
      </c>
      <c r="L12" s="16">
        <f>IF(K12='MASTER data'!$E13,'MASTER data'!$I13,"")</f>
        <v>0</v>
      </c>
      <c r="M12" s="90" t="str">
        <f>IF('MASTER data'!$B13="LFG",IF(MONTH('MASTER data'!$E13)=MONTH(M$4),'MASTER data'!$E13,""),"")</f>
        <v/>
      </c>
      <c r="N12" s="16">
        <f>IF(M12='MASTER data'!$E13,'MASTER data'!$I13,"")</f>
        <v>0</v>
      </c>
      <c r="O12" s="90" t="str">
        <f>IF('MASTER data'!$B13="LFG",IF(MONTH('MASTER data'!$E13)=MONTH(O$4),'MASTER data'!$E13,""),"")</f>
        <v/>
      </c>
      <c r="P12" s="16">
        <f>IF(O12='MASTER data'!$E13,'MASTER data'!$I13,"")</f>
        <v>0</v>
      </c>
      <c r="Q12" s="90" t="str">
        <f>IF('MASTER data'!$B13="LFG",IF(MONTH('MASTER data'!$E13)=MONTH(Q$4),'MASTER data'!$E13,""),"")</f>
        <v/>
      </c>
      <c r="R12" s="16">
        <f>IF(Q12='MASTER data'!$E13,'MASTER data'!$I13,"")</f>
        <v>0</v>
      </c>
      <c r="S12" s="90" t="str">
        <f>IF('MASTER data'!$B13="LFG",IF(MONTH('MASTER data'!$E13)=MONTH(S$4),'MASTER data'!$E13,""),"")</f>
        <v/>
      </c>
      <c r="T12" s="16">
        <f>IF(S12='MASTER data'!$E13,'MASTER data'!$I13,"")</f>
        <v>0</v>
      </c>
      <c r="U12" s="90" t="str">
        <f>IF('MASTER data'!$B13="LFG",IF(MONTH('MASTER data'!$E13)=MONTH(U$4),'MASTER data'!$E13,""),"")</f>
        <v/>
      </c>
      <c r="V12" s="16">
        <f>IF(U12='MASTER data'!$E13,'MASTER data'!$I13,"")</f>
        <v>0</v>
      </c>
      <c r="W12" s="90" t="str">
        <f>IF('MASTER data'!$B13="LFG",IF(MONTH('MASTER data'!$E13)=MONTH(W$4),'MASTER data'!$E13,""),"")</f>
        <v/>
      </c>
      <c r="X12" s="16">
        <f>IF(W12='MASTER data'!$E13,'MASTER data'!$I13,"")</f>
        <v>0</v>
      </c>
      <c r="Y12" s="90" t="str">
        <f>IF('MASTER data'!$B13="LFG",IF(MONTH('MASTER data'!$E13)=MONTH(Y$4),'MASTER data'!$E13,""),"")</f>
        <v/>
      </c>
      <c r="Z12" s="16">
        <f>IF(Y12='MASTER data'!$E13,'MASTER data'!$I13,"")</f>
        <v>0</v>
      </c>
    </row>
    <row r="13" spans="1:50">
      <c r="A13" s="5"/>
      <c r="B13" s="16" t="str">
        <f>IF('MASTER data'!B14="LFG",'MASTER data'!C14,"")</f>
        <v/>
      </c>
      <c r="C13" s="90" t="str">
        <f>IF('MASTER data'!$B14="LFG",IF(MONTH('MASTER data'!$E14)=MONTH(C$4),'MASTER data'!$E14,""),"")</f>
        <v/>
      </c>
      <c r="D13" s="16">
        <f>IF(C13='MASTER data'!$E14,'MASTER data'!$I14,"")</f>
        <v>0</v>
      </c>
      <c r="E13" s="90" t="str">
        <f>IF('MASTER data'!$B14="LFG",IF(MONTH('MASTER data'!$E14)=MONTH(E$4),'MASTER data'!$E14,""),"")</f>
        <v/>
      </c>
      <c r="F13" s="16">
        <f>IF(E13='MASTER data'!$E14,'MASTER data'!$I14,"")</f>
        <v>0</v>
      </c>
      <c r="G13" s="90" t="str">
        <f>IF('MASTER data'!$B14="LFG",IF(MONTH('MASTER data'!$E14)=MONTH(G$4),'MASTER data'!$E14,""),"")</f>
        <v/>
      </c>
      <c r="H13" s="16">
        <f>IF(G13='MASTER data'!$E14,'MASTER data'!$I14,"")</f>
        <v>0</v>
      </c>
      <c r="I13" s="90" t="str">
        <f>IF('MASTER data'!$B14="LFG",IF(MONTH('MASTER data'!$E14)=MONTH(I$4),'MASTER data'!$E14,""),"")</f>
        <v/>
      </c>
      <c r="J13" s="16">
        <f>IF(I13='MASTER data'!$E14,'MASTER data'!$I14,"")</f>
        <v>0</v>
      </c>
      <c r="K13" s="90" t="str">
        <f>IF('MASTER data'!$B14="LFG",IF(MONTH('MASTER data'!$E14)=MONTH(K$4),'MASTER data'!$E14,""),"")</f>
        <v/>
      </c>
      <c r="L13" s="16">
        <f>IF(K13='MASTER data'!$E14,'MASTER data'!$I14,"")</f>
        <v>0</v>
      </c>
      <c r="M13" s="90" t="str">
        <f>IF('MASTER data'!$B14="LFG",IF(MONTH('MASTER data'!$E14)=MONTH(M$4),'MASTER data'!$E14,""),"")</f>
        <v/>
      </c>
      <c r="N13" s="16">
        <f>IF(M13='MASTER data'!$E14,'MASTER data'!$I14,"")</f>
        <v>0</v>
      </c>
      <c r="O13" s="90" t="str">
        <f>IF('MASTER data'!$B14="LFG",IF(MONTH('MASTER data'!$E14)=MONTH(O$4),'MASTER data'!$E14,""),"")</f>
        <v/>
      </c>
      <c r="P13" s="16">
        <f>IF(O13='MASTER data'!$E14,'MASTER data'!$I14,"")</f>
        <v>0</v>
      </c>
      <c r="Q13" s="90" t="str">
        <f>IF('MASTER data'!$B14="LFG",IF(MONTH('MASTER data'!$E14)=MONTH(Q$4),'MASTER data'!$E14,""),"")</f>
        <v/>
      </c>
      <c r="R13" s="16">
        <f>IF(Q13='MASTER data'!$E14,'MASTER data'!$I14,"")</f>
        <v>0</v>
      </c>
      <c r="S13" s="90" t="str">
        <f>IF('MASTER data'!$B14="LFG",IF(MONTH('MASTER data'!$E14)=MONTH(S$4),'MASTER data'!$E14,""),"")</f>
        <v/>
      </c>
      <c r="T13" s="16">
        <f>IF(S13='MASTER data'!$E14,'MASTER data'!$I14,"")</f>
        <v>0</v>
      </c>
      <c r="U13" s="90" t="str">
        <f>IF('MASTER data'!$B14="LFG",IF(MONTH('MASTER data'!$E14)=MONTH(U$4),'MASTER data'!$E14,""),"")</f>
        <v/>
      </c>
      <c r="V13" s="16">
        <f>IF(U13='MASTER data'!$E14,'MASTER data'!$I14,"")</f>
        <v>0</v>
      </c>
      <c r="W13" s="90" t="str">
        <f>IF('MASTER data'!$B14="LFG",IF(MONTH('MASTER data'!$E14)=MONTH(W$4),'MASTER data'!$E14,""),"")</f>
        <v/>
      </c>
      <c r="X13" s="16">
        <f>IF(W13='MASTER data'!$E14,'MASTER data'!$I14,"")</f>
        <v>0</v>
      </c>
      <c r="Y13" s="90" t="str">
        <f>IF('MASTER data'!$B14="LFG",IF(MONTH('MASTER data'!$E14)=MONTH(Y$4),'MASTER data'!$E14,""),"")</f>
        <v/>
      </c>
      <c r="Z13" s="16">
        <f>IF(Y13='MASTER data'!$E14,'MASTER data'!$I14,"")</f>
        <v>0</v>
      </c>
    </row>
    <row r="14" spans="1:50">
      <c r="A14" s="5"/>
      <c r="B14" s="16" t="str">
        <f>IF('MASTER data'!B15="LFG",'MASTER data'!C15,"")</f>
        <v/>
      </c>
      <c r="C14" s="90" t="str">
        <f>IF('MASTER data'!$B15="LFG",IF(MONTH('MASTER data'!$E15)=MONTH(C$4),'MASTER data'!$E15,""),"")</f>
        <v/>
      </c>
      <c r="D14" s="16">
        <f>IF(C14='MASTER data'!$E15,'MASTER data'!$I15,"")</f>
        <v>0</v>
      </c>
      <c r="E14" s="90" t="str">
        <f>IF('MASTER data'!$B15="LFG",IF(MONTH('MASTER data'!$E15)=MONTH(E$4),'MASTER data'!$E15,""),"")</f>
        <v/>
      </c>
      <c r="F14" s="16">
        <f>IF(E14='MASTER data'!$E15,'MASTER data'!$I15,"")</f>
        <v>0</v>
      </c>
      <c r="G14" s="90" t="str">
        <f>IF('MASTER data'!$B15="LFG",IF(MONTH('MASTER data'!$E15)=MONTH(G$4),'MASTER data'!$E15,""),"")</f>
        <v/>
      </c>
      <c r="H14" s="16">
        <f>IF(G14='MASTER data'!$E15,'MASTER data'!$I15,"")</f>
        <v>0</v>
      </c>
      <c r="I14" s="90" t="str">
        <f>IF('MASTER data'!$B15="LFG",IF(MONTH('MASTER data'!$E15)=MONTH(I$4),'MASTER data'!$E15,""),"")</f>
        <v/>
      </c>
      <c r="J14" s="16">
        <f>IF(I14='MASTER data'!$E15,'MASTER data'!$I15,"")</f>
        <v>0</v>
      </c>
      <c r="K14" s="90" t="str">
        <f>IF('MASTER data'!$B15="LFG",IF(MONTH('MASTER data'!$E15)=MONTH(K$4),'MASTER data'!$E15,""),"")</f>
        <v/>
      </c>
      <c r="L14" s="16">
        <f>IF(K14='MASTER data'!$E15,'MASTER data'!$I15,"")</f>
        <v>0</v>
      </c>
      <c r="M14" s="90" t="str">
        <f>IF('MASTER data'!$B15="LFG",IF(MONTH('MASTER data'!$E15)=MONTH(M$4),'MASTER data'!$E15,""),"")</f>
        <v/>
      </c>
      <c r="N14" s="16">
        <f>IF(M14='MASTER data'!$E15,'MASTER data'!$I15,"")</f>
        <v>0</v>
      </c>
      <c r="O14" s="90" t="str">
        <f>IF('MASTER data'!$B15="LFG",IF(MONTH('MASTER data'!$E15)=MONTH(O$4),'MASTER data'!$E15,""),"")</f>
        <v/>
      </c>
      <c r="P14" s="16">
        <f>IF(O14='MASTER data'!$E15,'MASTER data'!$I15,"")</f>
        <v>0</v>
      </c>
      <c r="Q14" s="90" t="str">
        <f>IF('MASTER data'!$B15="LFG",IF(MONTH('MASTER data'!$E15)=MONTH(Q$4),'MASTER data'!$E15,""),"")</f>
        <v/>
      </c>
      <c r="R14" s="16">
        <f>IF(Q14='MASTER data'!$E15,'MASTER data'!$I15,"")</f>
        <v>0</v>
      </c>
      <c r="S14" s="90" t="str">
        <f>IF('MASTER data'!$B15="LFG",IF(MONTH('MASTER data'!$E15)=MONTH(S$4),'MASTER data'!$E15,""),"")</f>
        <v/>
      </c>
      <c r="T14" s="16">
        <f>IF(S14='MASTER data'!$E15,'MASTER data'!$I15,"")</f>
        <v>0</v>
      </c>
      <c r="U14" s="90" t="str">
        <f>IF('MASTER data'!$B15="LFG",IF(MONTH('MASTER data'!$E15)=MONTH(U$4),'MASTER data'!$E15,""),"")</f>
        <v/>
      </c>
      <c r="V14" s="16">
        <f>IF(U14='MASTER data'!$E15,'MASTER data'!$I15,"")</f>
        <v>0</v>
      </c>
      <c r="W14" s="90" t="str">
        <f>IF('MASTER data'!$B15="LFG",IF(MONTH('MASTER data'!$E15)=MONTH(W$4),'MASTER data'!$E15,""),"")</f>
        <v/>
      </c>
      <c r="X14" s="16">
        <f>IF(W14='MASTER data'!$E15,'MASTER data'!$I15,"")</f>
        <v>0</v>
      </c>
      <c r="Y14" s="90" t="str">
        <f>IF('MASTER data'!$B15="LFG",IF(MONTH('MASTER data'!$E15)=MONTH(Y$4),'MASTER data'!$E15,""),"")</f>
        <v/>
      </c>
      <c r="Z14" s="16">
        <f>IF(Y14='MASTER data'!$E15,'MASTER data'!$I15,"")</f>
        <v>0</v>
      </c>
    </row>
    <row r="15" spans="1:50">
      <c r="A15" s="5"/>
      <c r="B15" s="6"/>
      <c r="C15" s="90" t="str">
        <f>IF('MASTER data'!$B16="LFG",IF(MONTH('MASTER data'!$E16)=MONTH(C$4),'MASTER data'!$E16,""),"")</f>
        <v/>
      </c>
      <c r="D15" s="16">
        <f>IF(C15='MASTER data'!$E16,'MASTER data'!$I16,"")</f>
        <v>0</v>
      </c>
      <c r="E15" s="90" t="str">
        <f>IF('MASTER data'!$B16="LFG",IF(MONTH('MASTER data'!$E16)=MONTH(E$4),'MASTER data'!$E16,""),"")</f>
        <v/>
      </c>
      <c r="F15" s="16">
        <f>IF(E15='MASTER data'!$E16,'MASTER data'!$I16,"")</f>
        <v>0</v>
      </c>
      <c r="G15" s="90" t="str">
        <f>IF('MASTER data'!$B16="LFG",IF(MONTH('MASTER data'!$E16)=MONTH(G$4),'MASTER data'!$E16,""),"")</f>
        <v/>
      </c>
      <c r="H15" s="16">
        <f>IF(G15='MASTER data'!$E16,'MASTER data'!$I16,"")</f>
        <v>0</v>
      </c>
      <c r="I15" s="90" t="str">
        <f>IF('MASTER data'!$B16="LFG",IF(MONTH('MASTER data'!$E16)=MONTH(I$4),'MASTER data'!$E16,""),"")</f>
        <v/>
      </c>
      <c r="J15" s="16">
        <f>IF(I15='MASTER data'!$E16,'MASTER data'!$I16,"")</f>
        <v>0</v>
      </c>
      <c r="K15" s="90" t="str">
        <f>IF('MASTER data'!$B16="LFG",IF(MONTH('MASTER data'!$E16)=MONTH(K$4),'MASTER data'!$E16,""),"")</f>
        <v/>
      </c>
      <c r="L15" s="16">
        <f>IF(K15='MASTER data'!$E16,'MASTER data'!$I16,"")</f>
        <v>0</v>
      </c>
      <c r="M15" s="90" t="str">
        <f>IF('MASTER data'!$B16="LFG",IF(MONTH('MASTER data'!$E16)=MONTH(M$4),'MASTER data'!$E16,""),"")</f>
        <v/>
      </c>
      <c r="N15" s="16">
        <f>IF(M15='MASTER data'!$E16,'MASTER data'!$I16,"")</f>
        <v>0</v>
      </c>
      <c r="O15" s="90" t="str">
        <f>IF('MASTER data'!$B16="LFG",IF(MONTH('MASTER data'!$E16)=MONTH(O$4),'MASTER data'!$E16,""),"")</f>
        <v/>
      </c>
      <c r="P15" s="16">
        <f>IF(O15='MASTER data'!$E16,'MASTER data'!$I16,"")</f>
        <v>0</v>
      </c>
      <c r="Q15" s="90" t="str">
        <f>IF('MASTER data'!$B16="LFG",IF(MONTH('MASTER data'!$E16)=MONTH(Q$4),'MASTER data'!$E16,""),"")</f>
        <v/>
      </c>
      <c r="R15" s="16">
        <f>IF(Q15='MASTER data'!$E16,'MASTER data'!$I16,"")</f>
        <v>0</v>
      </c>
      <c r="S15" s="90" t="str">
        <f>IF('MASTER data'!$B16="LFG",IF(MONTH('MASTER data'!$E16)=MONTH(S$4),'MASTER data'!$E16,""),"")</f>
        <v/>
      </c>
      <c r="T15" s="16">
        <f>IF(S15='MASTER data'!$E16,'MASTER data'!$I16,"")</f>
        <v>0</v>
      </c>
      <c r="U15" s="90" t="str">
        <f>IF('MASTER data'!$B16="LFG",IF(MONTH('MASTER data'!$E16)=MONTH(U$4),'MASTER data'!$E16,""),"")</f>
        <v/>
      </c>
      <c r="V15" s="16">
        <f>IF(U15='MASTER data'!$E16,'MASTER data'!$I16,"")</f>
        <v>0</v>
      </c>
      <c r="W15" s="90" t="str">
        <f>IF('MASTER data'!$B16="LFG",IF(MONTH('MASTER data'!$E16)=MONTH(W$4),'MASTER data'!$E16,""),"")</f>
        <v/>
      </c>
      <c r="X15" s="16">
        <f>IF(W15='MASTER data'!$E16,'MASTER data'!$I16,"")</f>
        <v>0</v>
      </c>
      <c r="Y15" s="90" t="str">
        <f>IF('MASTER data'!$B16="LFG",IF(MONTH('MASTER data'!$E16)=MONTH(Y$4),'MASTER data'!$E16,""),"")</f>
        <v/>
      </c>
      <c r="Z15" s="16">
        <f>IF(Y15='MASTER data'!$E16,'MASTER data'!$I16,"")</f>
        <v>0</v>
      </c>
    </row>
    <row r="16" spans="1:50">
      <c r="A16" s="5"/>
      <c r="B16" s="6"/>
      <c r="C16" s="90" t="str">
        <f>IF('MASTER data'!$B17="LFG",IF(MONTH('MASTER data'!$E17)=MONTH(C$4),'MASTER data'!$E17,""),"")</f>
        <v/>
      </c>
      <c r="D16" s="16">
        <f>IF(C16='MASTER data'!$E17,'MASTER data'!$I17,"")</f>
        <v>0</v>
      </c>
      <c r="E16" s="90" t="str">
        <f>IF('MASTER data'!$B17="LFG",IF(MONTH('MASTER data'!$E17)=MONTH(E$4),'MASTER data'!$E17,""),"")</f>
        <v/>
      </c>
      <c r="F16" s="16">
        <f>IF(E16='MASTER data'!$E17,'MASTER data'!$I17,"")</f>
        <v>0</v>
      </c>
      <c r="G16" s="90" t="str">
        <f>IF('MASTER data'!$B17="LFG",IF(MONTH('MASTER data'!$E17)=MONTH(G$4),'MASTER data'!$E17,""),"")</f>
        <v/>
      </c>
      <c r="H16" s="16">
        <f>IF(G16='MASTER data'!$E17,'MASTER data'!$I17,"")</f>
        <v>0</v>
      </c>
      <c r="I16" s="90" t="str">
        <f>IF('MASTER data'!$B17="LFG",IF(MONTH('MASTER data'!$E17)=MONTH(I$4),'MASTER data'!$E17,""),"")</f>
        <v/>
      </c>
      <c r="J16" s="16">
        <f>IF(I16='MASTER data'!$E17,'MASTER data'!$I17,"")</f>
        <v>0</v>
      </c>
      <c r="K16" s="90" t="str">
        <f>IF('MASTER data'!$B17="LFG",IF(MONTH('MASTER data'!$E17)=MONTH(K$4),'MASTER data'!$E17,""),"")</f>
        <v/>
      </c>
      <c r="L16" s="16">
        <f>IF(K16='MASTER data'!$E17,'MASTER data'!$I17,"")</f>
        <v>0</v>
      </c>
      <c r="M16" s="90" t="str">
        <f>IF('MASTER data'!$B17="LFG",IF(MONTH('MASTER data'!$E17)=MONTH(M$4),'MASTER data'!$E17,""),"")</f>
        <v/>
      </c>
      <c r="N16" s="16">
        <f>IF(M16='MASTER data'!$E17,'MASTER data'!$I17,"")</f>
        <v>0</v>
      </c>
      <c r="O16" s="90" t="str">
        <f>IF('MASTER data'!$B17="LFG",IF(MONTH('MASTER data'!$E17)=MONTH(O$4),'MASTER data'!$E17,""),"")</f>
        <v/>
      </c>
      <c r="P16" s="16">
        <f>IF(O16='MASTER data'!$E17,'MASTER data'!$I17,"")</f>
        <v>0</v>
      </c>
      <c r="Q16" s="90" t="str">
        <f>IF('MASTER data'!$B17="LFG",IF(MONTH('MASTER data'!$E17)=MONTH(Q$4),'MASTER data'!$E17,""),"")</f>
        <v/>
      </c>
      <c r="R16" s="16">
        <f>IF(Q16='MASTER data'!$E17,'MASTER data'!$I17,"")</f>
        <v>0</v>
      </c>
      <c r="S16" s="90" t="str">
        <f>IF('MASTER data'!$B17="LFG",IF(MONTH('MASTER data'!$E17)=MONTH(S$4),'MASTER data'!$E17,""),"")</f>
        <v/>
      </c>
      <c r="T16" s="16">
        <f>IF(S16='MASTER data'!$E17,'MASTER data'!$I17,"")</f>
        <v>0</v>
      </c>
      <c r="U16" s="90" t="str">
        <f>IF('MASTER data'!$B17="LFG",IF(MONTH('MASTER data'!$E17)=MONTH(U$4),'MASTER data'!$E17,""),"")</f>
        <v/>
      </c>
      <c r="V16" s="16">
        <f>IF(U16='MASTER data'!$E17,'MASTER data'!$I17,"")</f>
        <v>0</v>
      </c>
      <c r="W16" s="90" t="str">
        <f>IF('MASTER data'!$B17="LFG",IF(MONTH('MASTER data'!$E17)=MONTH(W$4),'MASTER data'!$E17,""),"")</f>
        <v/>
      </c>
      <c r="X16" s="16">
        <f>IF(W16='MASTER data'!$E17,'MASTER data'!$I17,"")</f>
        <v>0</v>
      </c>
      <c r="Y16" s="90" t="str">
        <f>IF('MASTER data'!$B17="LFG",IF(MONTH('MASTER data'!$E17)=MONTH(Y$4),'MASTER data'!$E17,""),"")</f>
        <v/>
      </c>
      <c r="Z16" s="16">
        <f>IF(Y16='MASTER data'!$E17,'MASTER data'!$I17,"")</f>
        <v>0</v>
      </c>
    </row>
    <row r="17" spans="1:26">
      <c r="A17" s="5"/>
      <c r="B17" s="6"/>
      <c r="C17" s="90" t="str">
        <f>IF('MASTER data'!$B18="LFG",IF(MONTH('MASTER data'!$E18)=MONTH(C$4),'MASTER data'!$E18,""),"")</f>
        <v/>
      </c>
      <c r="D17" s="16">
        <f>IF(C17='MASTER data'!$E18,'MASTER data'!$I18,"")</f>
        <v>0</v>
      </c>
      <c r="E17" s="90" t="str">
        <f>IF('MASTER data'!$B18="LFG",IF(MONTH('MASTER data'!$E18)=MONTH(E$4),'MASTER data'!$E18,""),"")</f>
        <v/>
      </c>
      <c r="F17" s="16">
        <f>IF(E17='MASTER data'!$E18,'MASTER data'!$I18,"")</f>
        <v>0</v>
      </c>
      <c r="G17" s="90" t="str">
        <f>IF('MASTER data'!$B18="LFG",IF(MONTH('MASTER data'!$E18)=MONTH(G$4),'MASTER data'!$E18,""),"")</f>
        <v/>
      </c>
      <c r="H17" s="16">
        <f>IF(G17='MASTER data'!$E18,'MASTER data'!$I18,"")</f>
        <v>0</v>
      </c>
      <c r="I17" s="90" t="str">
        <f>IF('MASTER data'!$B18="LFG",IF(MONTH('MASTER data'!$E18)=MONTH(I$4),'MASTER data'!$E18,""),"")</f>
        <v/>
      </c>
      <c r="J17" s="16">
        <f>IF(I17='MASTER data'!$E18,'MASTER data'!$I18,"")</f>
        <v>0</v>
      </c>
      <c r="K17" s="90" t="str">
        <f>IF('MASTER data'!$B18="LFG",IF(MONTH('MASTER data'!$E18)=MONTH(K$4),'MASTER data'!$E18,""),"")</f>
        <v/>
      </c>
      <c r="L17" s="16">
        <f>IF(K17='MASTER data'!$E18,'MASTER data'!$I18,"")</f>
        <v>0</v>
      </c>
      <c r="M17" s="90" t="str">
        <f>IF('MASTER data'!$B18="LFG",IF(MONTH('MASTER data'!$E18)=MONTH(M$4),'MASTER data'!$E18,""),"")</f>
        <v/>
      </c>
      <c r="N17" s="16">
        <f>IF(M17='MASTER data'!$E18,'MASTER data'!$I18,"")</f>
        <v>0</v>
      </c>
      <c r="O17" s="90" t="str">
        <f>IF('MASTER data'!$B18="LFG",IF(MONTH('MASTER data'!$E18)=MONTH(O$4),'MASTER data'!$E18,""),"")</f>
        <v/>
      </c>
      <c r="P17" s="16">
        <f>IF(O17='MASTER data'!$E18,'MASTER data'!$I18,"")</f>
        <v>0</v>
      </c>
      <c r="Q17" s="90" t="str">
        <f>IF('MASTER data'!$B18="LFG",IF(MONTH('MASTER data'!$E18)=MONTH(Q$4),'MASTER data'!$E18,""),"")</f>
        <v/>
      </c>
      <c r="R17" s="16">
        <f>IF(Q17='MASTER data'!$E18,'MASTER data'!$I18,"")</f>
        <v>0</v>
      </c>
      <c r="S17" s="90" t="str">
        <f>IF('MASTER data'!$B18="LFG",IF(MONTH('MASTER data'!$E18)=MONTH(S$4),'MASTER data'!$E18,""),"")</f>
        <v/>
      </c>
      <c r="T17" s="16">
        <f>IF(S17='MASTER data'!$E18,'MASTER data'!$I18,"")</f>
        <v>0</v>
      </c>
      <c r="U17" s="90" t="str">
        <f>IF('MASTER data'!$B18="LFG",IF(MONTH('MASTER data'!$E18)=MONTH(U$4),'MASTER data'!$E18,""),"")</f>
        <v/>
      </c>
      <c r="V17" s="16">
        <f>IF(U17='MASTER data'!$E18,'MASTER data'!$I18,"")</f>
        <v>0</v>
      </c>
      <c r="W17" s="90" t="str">
        <f>IF('MASTER data'!$B18="LFG",IF(MONTH('MASTER data'!$E18)=MONTH(W$4),'MASTER data'!$E18,""),"")</f>
        <v/>
      </c>
      <c r="X17" s="16">
        <f>IF(W17='MASTER data'!$E18,'MASTER data'!$I18,"")</f>
        <v>0</v>
      </c>
      <c r="Y17" s="90" t="str">
        <f>IF('MASTER data'!$B18="LFG",IF(MONTH('MASTER data'!$E18)=MONTH(Y$4),'MASTER data'!$E18,""),"")</f>
        <v/>
      </c>
      <c r="Z17" s="16">
        <f>IF(Y17='MASTER data'!$E18,'MASTER data'!$I18,"")</f>
        <v>0</v>
      </c>
    </row>
    <row r="18" spans="1:26">
      <c r="A18" s="5"/>
      <c r="B18" s="6"/>
      <c r="C18" s="90" t="str">
        <f>IF('MASTER data'!$B19="LFG",IF(MONTH('MASTER data'!$E19)=MONTH(C$4),'MASTER data'!$E19,""),"")</f>
        <v/>
      </c>
      <c r="D18" s="16">
        <f>IF(C18='MASTER data'!$E19,'MASTER data'!$I19,"")</f>
        <v>0</v>
      </c>
      <c r="E18" s="90" t="str">
        <f>IF('MASTER data'!$B19="LFG",IF(MONTH('MASTER data'!$E19)=MONTH(E$4),'MASTER data'!$E19,""),"")</f>
        <v/>
      </c>
      <c r="F18" s="16">
        <f>IF(E18='MASTER data'!$E19,'MASTER data'!$I19,"")</f>
        <v>0</v>
      </c>
      <c r="G18" s="90" t="str">
        <f>IF('MASTER data'!$B19="LFG",IF(MONTH('MASTER data'!$E19)=MONTH(G$4),'MASTER data'!$E19,""),"")</f>
        <v/>
      </c>
      <c r="H18" s="16">
        <f>IF(G18='MASTER data'!$E19,'MASTER data'!$I19,"")</f>
        <v>0</v>
      </c>
      <c r="I18" s="90" t="str">
        <f>IF('MASTER data'!$B19="LFG",IF(MONTH('MASTER data'!$E19)=MONTH(I$4),'MASTER data'!$E19,""),"")</f>
        <v/>
      </c>
      <c r="J18" s="16">
        <f>IF(I18='MASTER data'!$E19,'MASTER data'!$I19,"")</f>
        <v>0</v>
      </c>
      <c r="K18" s="90" t="str">
        <f>IF('MASTER data'!$B19="LFG",IF(MONTH('MASTER data'!$E19)=MONTH(K$4),'MASTER data'!$E19,""),"")</f>
        <v/>
      </c>
      <c r="L18" s="16">
        <f>IF(K18='MASTER data'!$E19,'MASTER data'!$I19,"")</f>
        <v>0</v>
      </c>
      <c r="M18" s="90" t="str">
        <f>IF('MASTER data'!$B19="LFG",IF(MONTH('MASTER data'!$E19)=MONTH(M$4),'MASTER data'!$E19,""),"")</f>
        <v/>
      </c>
      <c r="N18" s="16">
        <f>IF(M18='MASTER data'!$E19,'MASTER data'!$I19,"")</f>
        <v>0</v>
      </c>
      <c r="O18" s="90" t="str">
        <f>IF('MASTER data'!$B19="LFG",IF(MONTH('MASTER data'!$E19)=MONTH(O$4),'MASTER data'!$E19,""),"")</f>
        <v/>
      </c>
      <c r="P18" s="16">
        <f>IF(O18='MASTER data'!$E19,'MASTER data'!$I19,"")</f>
        <v>0</v>
      </c>
      <c r="Q18" s="90" t="str">
        <f>IF('MASTER data'!$B19="LFG",IF(MONTH('MASTER data'!$E19)=MONTH(Q$4),'MASTER data'!$E19,""),"")</f>
        <v/>
      </c>
      <c r="R18" s="16">
        <f>IF(Q18='MASTER data'!$E19,'MASTER data'!$I19,"")</f>
        <v>0</v>
      </c>
      <c r="S18" s="90" t="str">
        <f>IF('MASTER data'!$B19="LFG",IF(MONTH('MASTER data'!$E19)=MONTH(S$4),'MASTER data'!$E19,""),"")</f>
        <v/>
      </c>
      <c r="T18" s="16">
        <f>IF(S18='MASTER data'!$E19,'MASTER data'!$I19,"")</f>
        <v>0</v>
      </c>
      <c r="U18" s="90" t="str">
        <f>IF('MASTER data'!$B19="LFG",IF(MONTH('MASTER data'!$E19)=MONTH(U$4),'MASTER data'!$E19,""),"")</f>
        <v/>
      </c>
      <c r="V18" s="16">
        <f>IF(U18='MASTER data'!$E19,'MASTER data'!$I19,"")</f>
        <v>0</v>
      </c>
      <c r="W18" s="90" t="str">
        <f>IF('MASTER data'!$B19="LFG",IF(MONTH('MASTER data'!$E19)=MONTH(W$4),'MASTER data'!$E19,""),"")</f>
        <v/>
      </c>
      <c r="X18" s="16">
        <f>IF(W18='MASTER data'!$E19,'MASTER data'!$I19,"")</f>
        <v>0</v>
      </c>
      <c r="Y18" s="90" t="str">
        <f>IF('MASTER data'!$B19="LFG",IF(MONTH('MASTER data'!$E19)=MONTH(Y$4),'MASTER data'!$E19,""),"")</f>
        <v/>
      </c>
      <c r="Z18" s="16">
        <f>IF(Y18='MASTER data'!$E19,'MASTER data'!$I19,"")</f>
        <v>0</v>
      </c>
    </row>
    <row r="19" spans="1:26">
      <c r="A19" s="5"/>
      <c r="B19" s="6"/>
      <c r="C19" s="90" t="str">
        <f>IF('MASTER data'!$B20="LFG",IF(MONTH('MASTER data'!$E20)=MONTH(C$4),'MASTER data'!$E20,""),"")</f>
        <v/>
      </c>
      <c r="D19" s="16">
        <f>IF(C19='MASTER data'!$E20,'MASTER data'!$I20,"")</f>
        <v>0</v>
      </c>
      <c r="E19" s="90" t="str">
        <f>IF('MASTER data'!$B20="LFG",IF(MONTH('MASTER data'!$E20)=MONTH(E$4),'MASTER data'!$E20,""),"")</f>
        <v/>
      </c>
      <c r="F19" s="16">
        <f>IF(E19='MASTER data'!$E20,'MASTER data'!$I20,"")</f>
        <v>0</v>
      </c>
      <c r="G19" s="90" t="str">
        <f>IF('MASTER data'!$B20="LFG",IF(MONTH('MASTER data'!$E20)=MONTH(G$4),'MASTER data'!$E20,""),"")</f>
        <v/>
      </c>
      <c r="H19" s="16">
        <f>IF(G19='MASTER data'!$E20,'MASTER data'!$I20,"")</f>
        <v>0</v>
      </c>
      <c r="I19" s="90" t="str">
        <f>IF('MASTER data'!$B20="LFG",IF(MONTH('MASTER data'!$E20)=MONTH(I$4),'MASTER data'!$E20,""),"")</f>
        <v/>
      </c>
      <c r="J19" s="16">
        <f>IF(I19='MASTER data'!$E20,'MASTER data'!$I20,"")</f>
        <v>0</v>
      </c>
      <c r="K19" s="90" t="str">
        <f>IF('MASTER data'!$B20="LFG",IF(MONTH('MASTER data'!$E20)=MONTH(K$4),'MASTER data'!$E20,""),"")</f>
        <v/>
      </c>
      <c r="L19" s="16">
        <f>IF(K19='MASTER data'!$E20,'MASTER data'!$I20,"")</f>
        <v>0</v>
      </c>
      <c r="M19" s="90" t="str">
        <f>IF('MASTER data'!$B20="LFG",IF(MONTH('MASTER data'!$E20)=MONTH(M$4),'MASTER data'!$E20,""),"")</f>
        <v/>
      </c>
      <c r="N19" s="16">
        <f>IF(M19='MASTER data'!$E20,'MASTER data'!$I20,"")</f>
        <v>0</v>
      </c>
      <c r="O19" s="90" t="str">
        <f>IF('MASTER data'!$B20="LFG",IF(MONTH('MASTER data'!$E20)=MONTH(O$4),'MASTER data'!$E20,""),"")</f>
        <v/>
      </c>
      <c r="P19" s="16">
        <f>IF(O19='MASTER data'!$E20,'MASTER data'!$I20,"")</f>
        <v>0</v>
      </c>
      <c r="Q19" s="90" t="str">
        <f>IF('MASTER data'!$B20="LFG",IF(MONTH('MASTER data'!$E20)=MONTH(Q$4),'MASTER data'!$E20,""),"")</f>
        <v/>
      </c>
      <c r="R19" s="16">
        <f>IF(Q19='MASTER data'!$E20,'MASTER data'!$I20,"")</f>
        <v>0</v>
      </c>
      <c r="S19" s="90" t="str">
        <f>IF('MASTER data'!$B20="LFG",IF(MONTH('MASTER data'!$E20)=MONTH(S$4),'MASTER data'!$E20,""),"")</f>
        <v/>
      </c>
      <c r="T19" s="16">
        <f>IF(S19='MASTER data'!$E20,'MASTER data'!$I20,"")</f>
        <v>0</v>
      </c>
      <c r="U19" s="90" t="str">
        <f>IF('MASTER data'!$B20="LFG",IF(MONTH('MASTER data'!$E20)=MONTH(U$4),'MASTER data'!$E20,""),"")</f>
        <v/>
      </c>
      <c r="V19" s="16">
        <f>IF(U19='MASTER data'!$E20,'MASTER data'!$I20,"")</f>
        <v>0</v>
      </c>
      <c r="W19" s="90" t="str">
        <f>IF('MASTER data'!$B20="LFG",IF(MONTH('MASTER data'!$E20)=MONTH(W$4),'MASTER data'!$E20,""),"")</f>
        <v/>
      </c>
      <c r="X19" s="16">
        <f>IF(W19='MASTER data'!$E20,'MASTER data'!$I20,"")</f>
        <v>0</v>
      </c>
      <c r="Y19" s="90" t="str">
        <f>IF('MASTER data'!$B20="LFG",IF(MONTH('MASTER data'!$E20)=MONTH(Y$4),'MASTER data'!$E20,""),"")</f>
        <v/>
      </c>
      <c r="Z19" s="16">
        <f>IF(Y19='MASTER data'!$E20,'MASTER data'!$I20,"")</f>
        <v>0</v>
      </c>
    </row>
    <row r="20" spans="1:26">
      <c r="A20" s="5"/>
      <c r="B20" s="6"/>
      <c r="C20" s="90" t="str">
        <f>IF('MASTER data'!$B21="LFG",IF(MONTH('MASTER data'!$E21)=MONTH(C$4),'MASTER data'!$E21,""),"")</f>
        <v/>
      </c>
      <c r="D20" s="16">
        <f>IF(C20='MASTER data'!$E21,'MASTER data'!$I21,"")</f>
        <v>0</v>
      </c>
      <c r="E20" s="90" t="str">
        <f>IF('MASTER data'!$B21="LFG",IF(MONTH('MASTER data'!$E21)=MONTH(E$4),'MASTER data'!$E21,""),"")</f>
        <v/>
      </c>
      <c r="F20" s="16">
        <f>IF(E20='MASTER data'!$E21,'MASTER data'!$I21,"")</f>
        <v>0</v>
      </c>
      <c r="G20" s="90" t="str">
        <f>IF('MASTER data'!$B21="LFG",IF(MONTH('MASTER data'!$E21)=MONTH(G$4),'MASTER data'!$E21,""),"")</f>
        <v/>
      </c>
      <c r="H20" s="16">
        <f>IF(G20='MASTER data'!$E21,'MASTER data'!$I21,"")</f>
        <v>0</v>
      </c>
      <c r="I20" s="90" t="str">
        <f>IF('MASTER data'!$B21="LFG",IF(MONTH('MASTER data'!$E21)=MONTH(I$4),'MASTER data'!$E21,""),"")</f>
        <v/>
      </c>
      <c r="J20" s="16">
        <f>IF(I20='MASTER data'!$E21,'MASTER data'!$I21,"")</f>
        <v>0</v>
      </c>
      <c r="K20" s="90" t="str">
        <f>IF('MASTER data'!$B21="LFG",IF(MONTH('MASTER data'!$E21)=MONTH(K$4),'MASTER data'!$E21,""),"")</f>
        <v/>
      </c>
      <c r="L20" s="16">
        <f>IF(K20='MASTER data'!$E21,'MASTER data'!$I21,"")</f>
        <v>0</v>
      </c>
      <c r="M20" s="90" t="str">
        <f>IF('MASTER data'!$B21="LFG",IF(MONTH('MASTER data'!$E21)=MONTH(M$4),'MASTER data'!$E21,""),"")</f>
        <v/>
      </c>
      <c r="N20" s="16">
        <f>IF(M20='MASTER data'!$E21,'MASTER data'!$I21,"")</f>
        <v>0</v>
      </c>
      <c r="O20" s="90" t="str">
        <f>IF('MASTER data'!$B21="LFG",IF(MONTH('MASTER data'!$E21)=MONTH(O$4),'MASTER data'!$E21,""),"")</f>
        <v/>
      </c>
      <c r="P20" s="16">
        <f>IF(O20='MASTER data'!$E21,'MASTER data'!$I21,"")</f>
        <v>0</v>
      </c>
      <c r="Q20" s="90" t="str">
        <f>IF('MASTER data'!$B21="LFG",IF(MONTH('MASTER data'!$E21)=MONTH(Q$4),'MASTER data'!$E21,""),"")</f>
        <v/>
      </c>
      <c r="R20" s="16">
        <f>IF(Q20='MASTER data'!$E21,'MASTER data'!$I21,"")</f>
        <v>0</v>
      </c>
      <c r="S20" s="90" t="str">
        <f>IF('MASTER data'!$B21="LFG",IF(MONTH('MASTER data'!$E21)=MONTH(S$4),'MASTER data'!$E21,""),"")</f>
        <v/>
      </c>
      <c r="T20" s="16">
        <f>IF(S20='MASTER data'!$E21,'MASTER data'!$I21,"")</f>
        <v>0</v>
      </c>
      <c r="U20" s="90" t="str">
        <f>IF('MASTER data'!$B21="LFG",IF(MONTH('MASTER data'!$E21)=MONTH(U$4),'MASTER data'!$E21,""),"")</f>
        <v/>
      </c>
      <c r="V20" s="16">
        <f>IF(U20='MASTER data'!$E21,'MASTER data'!$I21,"")</f>
        <v>0</v>
      </c>
      <c r="W20" s="90" t="str">
        <f>IF('MASTER data'!$B21="LFG",IF(MONTH('MASTER data'!$E21)=MONTH(W$4),'MASTER data'!$E21,""),"")</f>
        <v/>
      </c>
      <c r="X20" s="16">
        <f>IF(W20='MASTER data'!$E21,'MASTER data'!$I21,"")</f>
        <v>0</v>
      </c>
      <c r="Y20" s="90" t="str">
        <f>IF('MASTER data'!$B21="LFG",IF(MONTH('MASTER data'!$E21)=MONTH(Y$4),'MASTER data'!$E21,""),"")</f>
        <v/>
      </c>
      <c r="Z20" s="16">
        <f>IF(Y20='MASTER data'!$E21,'MASTER data'!$I21,"")</f>
        <v>0</v>
      </c>
    </row>
    <row r="21" spans="1:26">
      <c r="A21" s="5"/>
      <c r="B21" s="6"/>
      <c r="C21" s="90" t="str">
        <f>IF('MASTER data'!$B22="LFG",IF(MONTH('MASTER data'!$E22)=MONTH(C$4),'MASTER data'!$E22,""),"")</f>
        <v/>
      </c>
      <c r="D21" s="16">
        <f>IF(C21='MASTER data'!$E22,'MASTER data'!$I22,"")</f>
        <v>0</v>
      </c>
      <c r="E21" s="90" t="str">
        <f>IF('MASTER data'!$B22="LFG",IF(MONTH('MASTER data'!$E22)=MONTH(E$4),'MASTER data'!$E22,""),"")</f>
        <v/>
      </c>
      <c r="F21" s="16">
        <f>IF(E21='MASTER data'!$E22,'MASTER data'!$I22,"")</f>
        <v>0</v>
      </c>
      <c r="G21" s="90" t="str">
        <f>IF('MASTER data'!$B22="LFG",IF(MONTH('MASTER data'!$E22)=MONTH(G$4),'MASTER data'!$E22,""),"")</f>
        <v/>
      </c>
      <c r="H21" s="16">
        <f>IF(G21='MASTER data'!$E22,'MASTER data'!$I22,"")</f>
        <v>0</v>
      </c>
      <c r="I21" s="90" t="str">
        <f>IF('MASTER data'!$B22="LFG",IF(MONTH('MASTER data'!$E22)=MONTH(I$4),'MASTER data'!$E22,""),"")</f>
        <v/>
      </c>
      <c r="J21" s="16">
        <f>IF(I21='MASTER data'!$E22,'MASTER data'!$I22,"")</f>
        <v>0</v>
      </c>
      <c r="K21" s="90" t="str">
        <f>IF('MASTER data'!$B22="LFG",IF(MONTH('MASTER data'!$E22)=MONTH(K$4),'MASTER data'!$E22,""),"")</f>
        <v/>
      </c>
      <c r="L21" s="16">
        <f>IF(K21='MASTER data'!$E22,'MASTER data'!$I22,"")</f>
        <v>0</v>
      </c>
      <c r="M21" s="90" t="str">
        <f>IF('MASTER data'!$B22="LFG",IF(MONTH('MASTER data'!$E22)=MONTH(M$4),'MASTER data'!$E22,""),"")</f>
        <v/>
      </c>
      <c r="N21" s="16">
        <f>IF(M21='MASTER data'!$E22,'MASTER data'!$I22,"")</f>
        <v>0</v>
      </c>
      <c r="O21" s="90" t="str">
        <f>IF('MASTER data'!$B22="LFG",IF(MONTH('MASTER data'!$E22)=MONTH(O$4),'MASTER data'!$E22,""),"")</f>
        <v/>
      </c>
      <c r="P21" s="16">
        <f>IF(O21='MASTER data'!$E22,'MASTER data'!$I22,"")</f>
        <v>0</v>
      </c>
      <c r="Q21" s="90" t="str">
        <f>IF('MASTER data'!$B22="LFG",IF(MONTH('MASTER data'!$E22)=MONTH(Q$4),'MASTER data'!$E22,""),"")</f>
        <v/>
      </c>
      <c r="R21" s="16">
        <f>IF(Q21='MASTER data'!$E22,'MASTER data'!$I22,"")</f>
        <v>0</v>
      </c>
      <c r="S21" s="90" t="str">
        <f>IF('MASTER data'!$B22="LFG",IF(MONTH('MASTER data'!$E22)=MONTH(S$4),'MASTER data'!$E22,""),"")</f>
        <v/>
      </c>
      <c r="T21" s="16">
        <f>IF(S21='MASTER data'!$E22,'MASTER data'!$I22,"")</f>
        <v>0</v>
      </c>
      <c r="U21" s="90" t="str">
        <f>IF('MASTER data'!$B22="LFG",IF(MONTH('MASTER data'!$E22)=MONTH(U$4),'MASTER data'!$E22,""),"")</f>
        <v/>
      </c>
      <c r="V21" s="16">
        <f>IF(U21='MASTER data'!$E22,'MASTER data'!$I22,"")</f>
        <v>0</v>
      </c>
      <c r="W21" s="90" t="str">
        <f>IF('MASTER data'!$B22="LFG",IF(MONTH('MASTER data'!$E22)=MONTH(W$4),'MASTER data'!$E22,""),"")</f>
        <v/>
      </c>
      <c r="X21" s="16">
        <f>IF(W21='MASTER data'!$E22,'MASTER data'!$I22,"")</f>
        <v>0</v>
      </c>
      <c r="Y21" s="90" t="str">
        <f>IF('MASTER data'!$B22="LFG",IF(MONTH('MASTER data'!$E22)=MONTH(Y$4),'MASTER data'!$E22,""),"")</f>
        <v/>
      </c>
      <c r="Z21" s="16">
        <f>IF(Y21='MASTER data'!$E22,'MASTER data'!$I22,"")</f>
        <v>0</v>
      </c>
    </row>
    <row r="22" spans="1:26">
      <c r="A22" s="5"/>
      <c r="B22" s="6"/>
      <c r="C22" s="90" t="str">
        <f>IF('MASTER data'!$B23="LFG",IF(MONTH('MASTER data'!$E23)=MONTH(C$4),'MASTER data'!$E23,""),"")</f>
        <v/>
      </c>
      <c r="D22" s="16">
        <f>IF(C22='MASTER data'!$E23,'MASTER data'!$I23,"")</f>
        <v>0</v>
      </c>
      <c r="E22" s="90" t="str">
        <f>IF('MASTER data'!$B23="LFG",IF(MONTH('MASTER data'!$E23)=MONTH(E$4),'MASTER data'!$E23,""),"")</f>
        <v/>
      </c>
      <c r="F22" s="16">
        <f>IF(E22='MASTER data'!$E23,'MASTER data'!$I23,"")</f>
        <v>0</v>
      </c>
      <c r="G22" s="90" t="str">
        <f>IF('MASTER data'!$B23="LFG",IF(MONTH('MASTER data'!$E23)=MONTH(G$4),'MASTER data'!$E23,""),"")</f>
        <v/>
      </c>
      <c r="H22" s="16">
        <f>IF(G22='MASTER data'!$E23,'MASTER data'!$I23,"")</f>
        <v>0</v>
      </c>
      <c r="I22" s="90" t="str">
        <f>IF('MASTER data'!$B23="LFG",IF(MONTH('MASTER data'!$E23)=MONTH(I$4),'MASTER data'!$E23,""),"")</f>
        <v/>
      </c>
      <c r="J22" s="16">
        <f>IF(I22='MASTER data'!$E23,'MASTER data'!$I23,"")</f>
        <v>0</v>
      </c>
      <c r="K22" s="90" t="str">
        <f>IF('MASTER data'!$B23="LFG",IF(MONTH('MASTER data'!$E23)=MONTH(K$4),'MASTER data'!$E23,""),"")</f>
        <v/>
      </c>
      <c r="L22" s="16">
        <f>IF(K22='MASTER data'!$E23,'MASTER data'!$I23,"")</f>
        <v>0</v>
      </c>
      <c r="M22" s="90" t="str">
        <f>IF('MASTER data'!$B23="LFG",IF(MONTH('MASTER data'!$E23)=MONTH(M$4),'MASTER data'!$E23,""),"")</f>
        <v/>
      </c>
      <c r="N22" s="16">
        <f>IF(M22='MASTER data'!$E23,'MASTER data'!$I23,"")</f>
        <v>0</v>
      </c>
      <c r="O22" s="90" t="str">
        <f>IF('MASTER data'!$B23="LFG",IF(MONTH('MASTER data'!$E23)=MONTH(O$4),'MASTER data'!$E23,""),"")</f>
        <v/>
      </c>
      <c r="P22" s="16">
        <f>IF(O22='MASTER data'!$E23,'MASTER data'!$I23,"")</f>
        <v>0</v>
      </c>
      <c r="Q22" s="90" t="str">
        <f>IF('MASTER data'!$B23="LFG",IF(MONTH('MASTER data'!$E23)=MONTH(Q$4),'MASTER data'!$E23,""),"")</f>
        <v/>
      </c>
      <c r="R22" s="16">
        <f>IF(Q22='MASTER data'!$E23,'MASTER data'!$I23,"")</f>
        <v>0</v>
      </c>
      <c r="S22" s="90" t="str">
        <f>IF('MASTER data'!$B23="LFG",IF(MONTH('MASTER data'!$E23)=MONTH(S$4),'MASTER data'!$E23,""),"")</f>
        <v/>
      </c>
      <c r="T22" s="16">
        <f>IF(S22='MASTER data'!$E23,'MASTER data'!$I23,"")</f>
        <v>0</v>
      </c>
      <c r="U22" s="90" t="str">
        <f>IF('MASTER data'!$B23="LFG",IF(MONTH('MASTER data'!$E23)=MONTH(U$4),'MASTER data'!$E23,""),"")</f>
        <v/>
      </c>
      <c r="V22" s="16">
        <f>IF(U22='MASTER data'!$E23,'MASTER data'!$I23,"")</f>
        <v>0</v>
      </c>
      <c r="W22" s="90" t="str">
        <f>IF('MASTER data'!$B23="LFG",IF(MONTH('MASTER data'!$E23)=MONTH(W$4),'MASTER data'!$E23,""),"")</f>
        <v/>
      </c>
      <c r="X22" s="16">
        <f>IF(W22='MASTER data'!$E23,'MASTER data'!$I23,"")</f>
        <v>0</v>
      </c>
      <c r="Y22" s="90" t="str">
        <f>IF('MASTER data'!$B23="LFG",IF(MONTH('MASTER data'!$E23)=MONTH(Y$4),'MASTER data'!$E23,""),"")</f>
        <v/>
      </c>
      <c r="Z22" s="16">
        <f>IF(Y22='MASTER data'!$E23,'MASTER data'!$I23,"")</f>
        <v>0</v>
      </c>
    </row>
    <row r="23" spans="1:26">
      <c r="A23" s="5"/>
      <c r="B23" s="6"/>
      <c r="C23" s="90" t="str">
        <f>IF('MASTER data'!$B24="LFG",IF(MONTH('MASTER data'!$E24)=MONTH(C$4),'MASTER data'!$E24,""),"")</f>
        <v/>
      </c>
      <c r="D23" s="16">
        <f>IF(C23='MASTER data'!$E24,'MASTER data'!$I24,"")</f>
        <v>0</v>
      </c>
      <c r="E23" s="90" t="str">
        <f>IF('MASTER data'!$B24="LFG",IF(MONTH('MASTER data'!$E24)=MONTH(E$4),'MASTER data'!$E24,""),"")</f>
        <v/>
      </c>
      <c r="F23" s="16">
        <f>IF(E23='MASTER data'!$E24,'MASTER data'!$I24,"")</f>
        <v>0</v>
      </c>
      <c r="G23" s="90" t="str">
        <f>IF('MASTER data'!$B24="LFG",IF(MONTH('MASTER data'!$E24)=MONTH(G$4),'MASTER data'!$E24,""),"")</f>
        <v/>
      </c>
      <c r="H23" s="16">
        <f>IF(G23='MASTER data'!$E24,'MASTER data'!$I24,"")</f>
        <v>0</v>
      </c>
      <c r="I23" s="90" t="str">
        <f>IF('MASTER data'!$B24="LFG",IF(MONTH('MASTER data'!$E24)=MONTH(I$4),'MASTER data'!$E24,""),"")</f>
        <v/>
      </c>
      <c r="J23" s="16">
        <f>IF(I23='MASTER data'!$E24,'MASTER data'!$I24,"")</f>
        <v>0</v>
      </c>
      <c r="K23" s="90" t="str">
        <f>IF('MASTER data'!$B24="LFG",IF(MONTH('MASTER data'!$E24)=MONTH(K$4),'MASTER data'!$E24,""),"")</f>
        <v/>
      </c>
      <c r="L23" s="16">
        <f>IF(K23='MASTER data'!$E24,'MASTER data'!$I24,"")</f>
        <v>0</v>
      </c>
      <c r="M23" s="90" t="str">
        <f>IF('MASTER data'!$B24="LFG",IF(MONTH('MASTER data'!$E24)=MONTH(M$4),'MASTER data'!$E24,""),"")</f>
        <v/>
      </c>
      <c r="N23" s="16">
        <f>IF(M23='MASTER data'!$E24,'MASTER data'!$I24,"")</f>
        <v>0</v>
      </c>
      <c r="O23" s="90" t="str">
        <f>IF('MASTER data'!$B24="LFG",IF(MONTH('MASTER data'!$E24)=MONTH(O$4),'MASTER data'!$E24,""),"")</f>
        <v/>
      </c>
      <c r="P23" s="16">
        <f>IF(O23='MASTER data'!$E24,'MASTER data'!$I24,"")</f>
        <v>0</v>
      </c>
      <c r="Q23" s="90" t="str">
        <f>IF('MASTER data'!$B24="LFG",IF(MONTH('MASTER data'!$E24)=MONTH(Q$4),'MASTER data'!$E24,""),"")</f>
        <v/>
      </c>
      <c r="R23" s="16">
        <f>IF(Q23='MASTER data'!$E24,'MASTER data'!$I24,"")</f>
        <v>0</v>
      </c>
      <c r="S23" s="90" t="str">
        <f>IF('MASTER data'!$B24="LFG",IF(MONTH('MASTER data'!$E24)=MONTH(S$4),'MASTER data'!$E24,""),"")</f>
        <v/>
      </c>
      <c r="T23" s="16">
        <f>IF(S23='MASTER data'!$E24,'MASTER data'!$I24,"")</f>
        <v>0</v>
      </c>
      <c r="U23" s="90" t="str">
        <f>IF('MASTER data'!$B24="LFG",IF(MONTH('MASTER data'!$E24)=MONTH(U$4),'MASTER data'!$E24,""),"")</f>
        <v/>
      </c>
      <c r="V23" s="16">
        <f>IF(U23='MASTER data'!$E24,'MASTER data'!$I24,"")</f>
        <v>0</v>
      </c>
      <c r="W23" s="90" t="str">
        <f>IF('MASTER data'!$B24="LFG",IF(MONTH('MASTER data'!$E24)=MONTH(W$4),'MASTER data'!$E24,""),"")</f>
        <v/>
      </c>
      <c r="X23" s="16">
        <f>IF(W23='MASTER data'!$E24,'MASTER data'!$I24,"")</f>
        <v>0</v>
      </c>
      <c r="Y23" s="90" t="str">
        <f>IF('MASTER data'!$B24="LFG",IF(MONTH('MASTER data'!$E24)=MONTH(Y$4),'MASTER data'!$E24,""),"")</f>
        <v/>
      </c>
      <c r="Z23" s="16">
        <f>IF(Y23='MASTER data'!$E24,'MASTER data'!$I24,"")</f>
        <v>0</v>
      </c>
    </row>
    <row r="24" spans="1:26">
      <c r="A24" s="5"/>
      <c r="B24" s="6"/>
      <c r="C24" s="90" t="str">
        <f>IF('MASTER data'!$B25="LFG",IF(MONTH('MASTER data'!$E25)=MONTH(C$4),'MASTER data'!$E25,""),"")</f>
        <v/>
      </c>
      <c r="D24" s="16">
        <f>IF(C24='MASTER data'!$E25,'MASTER data'!$I25,"")</f>
        <v>0</v>
      </c>
      <c r="E24" s="90" t="str">
        <f>IF('MASTER data'!$B25="LFG",IF(MONTH('MASTER data'!$E25)=MONTH(E$4),'MASTER data'!$E25,""),"")</f>
        <v/>
      </c>
      <c r="F24" s="16">
        <f>IF(E24='MASTER data'!$E25,'MASTER data'!$I25,"")</f>
        <v>0</v>
      </c>
      <c r="G24" s="90" t="str">
        <f>IF('MASTER data'!$B25="LFG",IF(MONTH('MASTER data'!$E25)=MONTH(G$4),'MASTER data'!$E25,""),"")</f>
        <v/>
      </c>
      <c r="H24" s="16">
        <f>IF(G24='MASTER data'!$E25,'MASTER data'!$I25,"")</f>
        <v>0</v>
      </c>
      <c r="I24" s="90" t="str">
        <f>IF('MASTER data'!$B25="LFG",IF(MONTH('MASTER data'!$E25)=MONTH(I$4),'MASTER data'!$E25,""),"")</f>
        <v/>
      </c>
      <c r="J24" s="16">
        <f>IF(I24='MASTER data'!$E25,'MASTER data'!$I25,"")</f>
        <v>0</v>
      </c>
      <c r="K24" s="90" t="str">
        <f>IF('MASTER data'!$B25="LFG",IF(MONTH('MASTER data'!$E25)=MONTH(K$4),'MASTER data'!$E25,""),"")</f>
        <v/>
      </c>
      <c r="L24" s="16">
        <f>IF(K24='MASTER data'!$E25,'MASTER data'!$I25,"")</f>
        <v>0</v>
      </c>
      <c r="M24" s="90" t="str">
        <f>IF('MASTER data'!$B25="LFG",IF(MONTH('MASTER data'!$E25)=MONTH(M$4),'MASTER data'!$E25,""),"")</f>
        <v/>
      </c>
      <c r="N24" s="16">
        <f>IF(M24='MASTER data'!$E25,'MASTER data'!$I25,"")</f>
        <v>0</v>
      </c>
      <c r="O24" s="90" t="str">
        <f>IF('MASTER data'!$B25="LFG",IF(MONTH('MASTER data'!$E25)=MONTH(O$4),'MASTER data'!$E25,""),"")</f>
        <v/>
      </c>
      <c r="P24" s="16">
        <f>IF(O24='MASTER data'!$E25,'MASTER data'!$I25,"")</f>
        <v>0</v>
      </c>
      <c r="Q24" s="90" t="str">
        <f>IF('MASTER data'!$B25="LFG",IF(MONTH('MASTER data'!$E25)=MONTH(Q$4),'MASTER data'!$E25,""),"")</f>
        <v/>
      </c>
      <c r="R24" s="16">
        <f>IF(Q24='MASTER data'!$E25,'MASTER data'!$I25,"")</f>
        <v>0</v>
      </c>
      <c r="S24" s="90" t="str">
        <f>IF('MASTER data'!$B25="LFG",IF(MONTH('MASTER data'!$E25)=MONTH(S$4),'MASTER data'!$E25,""),"")</f>
        <v/>
      </c>
      <c r="T24" s="16">
        <f>IF(S24='MASTER data'!$E25,'MASTER data'!$I25,"")</f>
        <v>0</v>
      </c>
      <c r="U24" s="90" t="str">
        <f>IF('MASTER data'!$B25="LFG",IF(MONTH('MASTER data'!$E25)=MONTH(U$4),'MASTER data'!$E25,""),"")</f>
        <v/>
      </c>
      <c r="V24" s="16">
        <f>IF(U24='MASTER data'!$E25,'MASTER data'!$I25,"")</f>
        <v>0</v>
      </c>
      <c r="W24" s="90" t="str">
        <f>IF('MASTER data'!$B25="LFG",IF(MONTH('MASTER data'!$E25)=MONTH(W$4),'MASTER data'!$E25,""),"")</f>
        <v/>
      </c>
      <c r="X24" s="16">
        <f>IF(W24='MASTER data'!$E25,'MASTER data'!$I25,"")</f>
        <v>0</v>
      </c>
      <c r="Y24" s="90" t="str">
        <f>IF('MASTER data'!$B25="LFG",IF(MONTH('MASTER data'!$E25)=MONTH(Y$4),'MASTER data'!$E25,""),"")</f>
        <v/>
      </c>
      <c r="Z24" s="16">
        <f>IF(Y24='MASTER data'!$E25,'MASTER data'!$I25,"")</f>
        <v>0</v>
      </c>
    </row>
    <row r="25" spans="1:26">
      <c r="A25" s="5"/>
      <c r="B25" s="6"/>
      <c r="C25" s="90" t="str">
        <f>IF('MASTER data'!$B26="LFG",IF(MONTH('MASTER data'!$E26)=MONTH(C$4),'MASTER data'!$E26,""),"")</f>
        <v/>
      </c>
      <c r="D25" s="16">
        <f>IF(C25='MASTER data'!$E26,'MASTER data'!$I26,"")</f>
        <v>0</v>
      </c>
      <c r="E25" s="90" t="str">
        <f>IF('MASTER data'!$B26="LFG",IF(MONTH('MASTER data'!$E26)=MONTH(E$4),'MASTER data'!$E26,""),"")</f>
        <v/>
      </c>
      <c r="F25" s="16">
        <f>IF(E25='MASTER data'!$E26,'MASTER data'!$I26,"")</f>
        <v>0</v>
      </c>
      <c r="G25" s="90" t="str">
        <f>IF('MASTER data'!$B26="LFG",IF(MONTH('MASTER data'!$E26)=MONTH(G$4),'MASTER data'!$E26,""),"")</f>
        <v/>
      </c>
      <c r="H25" s="16">
        <f>IF(G25='MASTER data'!$E26,'MASTER data'!$I26,"")</f>
        <v>0</v>
      </c>
      <c r="I25" s="90" t="str">
        <f>IF('MASTER data'!$B26="LFG",IF(MONTH('MASTER data'!$E26)=MONTH(I$4),'MASTER data'!$E26,""),"")</f>
        <v/>
      </c>
      <c r="J25" s="16">
        <f>IF(I25='MASTER data'!$E26,'MASTER data'!$I26,"")</f>
        <v>0</v>
      </c>
      <c r="K25" s="90" t="str">
        <f>IF('MASTER data'!$B26="LFG",IF(MONTH('MASTER data'!$E26)=MONTH(K$4),'MASTER data'!$E26,""),"")</f>
        <v/>
      </c>
      <c r="L25" s="16">
        <f>IF(K25='MASTER data'!$E26,'MASTER data'!$I26,"")</f>
        <v>0</v>
      </c>
      <c r="M25" s="90" t="str">
        <f>IF('MASTER data'!$B26="LFG",IF(MONTH('MASTER data'!$E26)=MONTH(M$4),'MASTER data'!$E26,""),"")</f>
        <v/>
      </c>
      <c r="N25" s="16">
        <f>IF(M25='MASTER data'!$E26,'MASTER data'!$I26,"")</f>
        <v>0</v>
      </c>
      <c r="O25" s="90" t="str">
        <f>IF('MASTER data'!$B26="LFG",IF(MONTH('MASTER data'!$E26)=MONTH(O$4),'MASTER data'!$E26,""),"")</f>
        <v/>
      </c>
      <c r="P25" s="16">
        <f>IF(O25='MASTER data'!$E26,'MASTER data'!$I26,"")</f>
        <v>0</v>
      </c>
      <c r="Q25" s="90" t="str">
        <f>IF('MASTER data'!$B26="LFG",IF(MONTH('MASTER data'!$E26)=MONTH(Q$4),'MASTER data'!$E26,""),"")</f>
        <v/>
      </c>
      <c r="R25" s="16">
        <f>IF(Q25='MASTER data'!$E26,'MASTER data'!$I26,"")</f>
        <v>0</v>
      </c>
      <c r="S25" s="90" t="str">
        <f>IF('MASTER data'!$B26="LFG",IF(MONTH('MASTER data'!$E26)=MONTH(S$4),'MASTER data'!$E26,""),"")</f>
        <v/>
      </c>
      <c r="T25" s="16">
        <f>IF(S25='MASTER data'!$E26,'MASTER data'!$I26,"")</f>
        <v>0</v>
      </c>
      <c r="U25" s="90" t="str">
        <f>IF('MASTER data'!$B26="LFG",IF(MONTH('MASTER data'!$E26)=MONTH(U$4),'MASTER data'!$E26,""),"")</f>
        <v/>
      </c>
      <c r="V25" s="16">
        <f>IF(U25='MASTER data'!$E26,'MASTER data'!$I26,"")</f>
        <v>0</v>
      </c>
      <c r="W25" s="90" t="str">
        <f>IF('MASTER data'!$B26="LFG",IF(MONTH('MASTER data'!$E26)=MONTH(W$4),'MASTER data'!$E26,""),"")</f>
        <v/>
      </c>
      <c r="X25" s="16">
        <f>IF(W25='MASTER data'!$E26,'MASTER data'!$I26,"")</f>
        <v>0</v>
      </c>
      <c r="Y25" s="90" t="str">
        <f>IF('MASTER data'!$B26="LFG",IF(MONTH('MASTER data'!$E26)=MONTH(Y$4),'MASTER data'!$E26,""),"")</f>
        <v/>
      </c>
      <c r="Z25" s="16">
        <f>IF(Y25='MASTER data'!$E26,'MASTER data'!$I26,"")</f>
        <v>0</v>
      </c>
    </row>
    <row r="26" spans="1:26">
      <c r="A26" s="5"/>
      <c r="B26" s="6"/>
      <c r="C26" s="90" t="str">
        <f>IF('MASTER data'!$B27="LFG",IF(MONTH('MASTER data'!$E27)=MONTH(C$4),'MASTER data'!$E27,""),"")</f>
        <v/>
      </c>
      <c r="D26" s="16">
        <f>IF(C26='MASTER data'!$E27,'MASTER data'!$I27,"")</f>
        <v>0</v>
      </c>
      <c r="E26" s="90" t="str">
        <f>IF('MASTER data'!$B27="LFG",IF(MONTH('MASTER data'!$E27)=MONTH(E$4),'MASTER data'!$E27,""),"")</f>
        <v/>
      </c>
      <c r="F26" s="16">
        <f>IF(E26='MASTER data'!$E27,'MASTER data'!$I27,"")</f>
        <v>0</v>
      </c>
      <c r="G26" s="90" t="str">
        <f>IF('MASTER data'!$B27="LFG",IF(MONTH('MASTER data'!$E27)=MONTH(G$4),'MASTER data'!$E27,""),"")</f>
        <v/>
      </c>
      <c r="H26" s="16">
        <f>IF(G26='MASTER data'!$E27,'MASTER data'!$I27,"")</f>
        <v>0</v>
      </c>
      <c r="I26" s="90" t="str">
        <f>IF('MASTER data'!$B27="LFG",IF(MONTH('MASTER data'!$E27)=MONTH(I$4),'MASTER data'!$E27,""),"")</f>
        <v/>
      </c>
      <c r="J26" s="16">
        <f>IF(I26='MASTER data'!$E27,'MASTER data'!$I27,"")</f>
        <v>0</v>
      </c>
      <c r="K26" s="90" t="str">
        <f>IF('MASTER data'!$B27="LFG",IF(MONTH('MASTER data'!$E27)=MONTH(K$4),'MASTER data'!$E27,""),"")</f>
        <v/>
      </c>
      <c r="L26" s="16">
        <f>IF(K26='MASTER data'!$E27,'MASTER data'!$I27,"")</f>
        <v>0</v>
      </c>
      <c r="M26" s="90" t="str">
        <f>IF('MASTER data'!$B27="LFG",IF(MONTH('MASTER data'!$E27)=MONTH(M$4),'MASTER data'!$E27,""),"")</f>
        <v/>
      </c>
      <c r="N26" s="16">
        <f>IF(M26='MASTER data'!$E27,'MASTER data'!$I27,"")</f>
        <v>0</v>
      </c>
      <c r="O26" s="90" t="str">
        <f>IF('MASTER data'!$B27="LFG",IF(MONTH('MASTER data'!$E27)=MONTH(O$4),'MASTER data'!$E27,""),"")</f>
        <v/>
      </c>
      <c r="P26" s="16">
        <f>IF(O26='MASTER data'!$E27,'MASTER data'!$I27,"")</f>
        <v>0</v>
      </c>
      <c r="Q26" s="90" t="str">
        <f>IF('MASTER data'!$B27="LFG",IF(MONTH('MASTER data'!$E27)=MONTH(Q$4),'MASTER data'!$E27,""),"")</f>
        <v/>
      </c>
      <c r="R26" s="16">
        <f>IF(Q26='MASTER data'!$E27,'MASTER data'!$I27,"")</f>
        <v>0</v>
      </c>
      <c r="S26" s="90" t="str">
        <f>IF('MASTER data'!$B27="LFG",IF(MONTH('MASTER data'!$E27)=MONTH(S$4),'MASTER data'!$E27,""),"")</f>
        <v/>
      </c>
      <c r="T26" s="16">
        <f>IF(S26='MASTER data'!$E27,'MASTER data'!$I27,"")</f>
        <v>0</v>
      </c>
      <c r="U26" s="90" t="str">
        <f>IF('MASTER data'!$B27="LFG",IF(MONTH('MASTER data'!$E27)=MONTH(U$4),'MASTER data'!$E27,""),"")</f>
        <v/>
      </c>
      <c r="V26" s="16">
        <f>IF(U26='MASTER data'!$E27,'MASTER data'!$I27,"")</f>
        <v>0</v>
      </c>
      <c r="W26" s="90" t="str">
        <f>IF('MASTER data'!$B27="LFG",IF(MONTH('MASTER data'!$E27)=MONTH(W$4),'MASTER data'!$E27,""),"")</f>
        <v/>
      </c>
      <c r="X26" s="16">
        <f>IF(W26='MASTER data'!$E27,'MASTER data'!$I27,"")</f>
        <v>0</v>
      </c>
      <c r="Y26" s="90" t="str">
        <f>IF('MASTER data'!$B27="LFG",IF(MONTH('MASTER data'!$E27)=MONTH(Y$4),'MASTER data'!$E27,""),"")</f>
        <v/>
      </c>
      <c r="Z26" s="16">
        <f>IF(Y26='MASTER data'!$E27,'MASTER data'!$I27,"")</f>
        <v>0</v>
      </c>
    </row>
    <row r="27" spans="1:26">
      <c r="A27" s="5"/>
      <c r="B27" s="6"/>
      <c r="C27" s="90" t="str">
        <f>IF('MASTER data'!$B28="LFG",IF(MONTH('MASTER data'!$E28)=MONTH(C$4),'MASTER data'!$E28,""),"")</f>
        <v/>
      </c>
      <c r="D27" s="16">
        <f>IF(C27='MASTER data'!$E28,'MASTER data'!$I28,"")</f>
        <v>0</v>
      </c>
      <c r="E27" s="90" t="str">
        <f>IF('MASTER data'!$B28="LFG",IF(MONTH('MASTER data'!$E28)=MONTH(E$4),'MASTER data'!$E28,""),"")</f>
        <v/>
      </c>
      <c r="F27" s="16">
        <f>IF(E27='MASTER data'!$E28,'MASTER data'!$I28,"")</f>
        <v>0</v>
      </c>
      <c r="G27" s="90" t="str">
        <f>IF('MASTER data'!$B28="LFG",IF(MONTH('MASTER data'!$E28)=MONTH(G$4),'MASTER data'!$E28,""),"")</f>
        <v/>
      </c>
      <c r="H27" s="16">
        <f>IF(G27='MASTER data'!$E28,'MASTER data'!$I28,"")</f>
        <v>0</v>
      </c>
      <c r="I27" s="90" t="str">
        <f>IF('MASTER data'!$B28="LFG",IF(MONTH('MASTER data'!$E28)=MONTH(I$4),'MASTER data'!$E28,""),"")</f>
        <v/>
      </c>
      <c r="J27" s="16">
        <f>IF(I27='MASTER data'!$E28,'MASTER data'!$I28,"")</f>
        <v>0</v>
      </c>
      <c r="K27" s="90" t="str">
        <f>IF('MASTER data'!$B28="LFG",IF(MONTH('MASTER data'!$E28)=MONTH(K$4),'MASTER data'!$E28,""),"")</f>
        <v/>
      </c>
      <c r="L27" s="16">
        <f>IF(K27='MASTER data'!$E28,'MASTER data'!$I28,"")</f>
        <v>0</v>
      </c>
      <c r="M27" s="90" t="str">
        <f>IF('MASTER data'!$B28="LFG",IF(MONTH('MASTER data'!$E28)=MONTH(M$4),'MASTER data'!$E28,""),"")</f>
        <v/>
      </c>
      <c r="N27" s="16">
        <f>IF(M27='MASTER data'!$E28,'MASTER data'!$I28,"")</f>
        <v>0</v>
      </c>
      <c r="O27" s="90" t="str">
        <f>IF('MASTER data'!$B28="LFG",IF(MONTH('MASTER data'!$E28)=MONTH(O$4),'MASTER data'!$E28,""),"")</f>
        <v/>
      </c>
      <c r="P27" s="16">
        <f>IF(O27='MASTER data'!$E28,'MASTER data'!$I28,"")</f>
        <v>0</v>
      </c>
      <c r="Q27" s="90" t="str">
        <f>IF('MASTER data'!$B28="LFG",IF(MONTH('MASTER data'!$E28)=MONTH(Q$4),'MASTER data'!$E28,""),"")</f>
        <v/>
      </c>
      <c r="R27" s="16">
        <f>IF(Q27='MASTER data'!$E28,'MASTER data'!$I28,"")</f>
        <v>0</v>
      </c>
      <c r="S27" s="90" t="str">
        <f>IF('MASTER data'!$B28="LFG",IF(MONTH('MASTER data'!$E28)=MONTH(S$4),'MASTER data'!$E28,""),"")</f>
        <v/>
      </c>
      <c r="T27" s="16">
        <f>IF(S27='MASTER data'!$E28,'MASTER data'!$I28,"")</f>
        <v>0</v>
      </c>
      <c r="U27" s="90" t="str">
        <f>IF('MASTER data'!$B28="LFG",IF(MONTH('MASTER data'!$E28)=MONTH(U$4),'MASTER data'!$E28,""),"")</f>
        <v/>
      </c>
      <c r="V27" s="16">
        <f>IF(U27='MASTER data'!$E28,'MASTER data'!$I28,"")</f>
        <v>0</v>
      </c>
      <c r="W27" s="90" t="str">
        <f>IF('MASTER data'!$B28="LFG",IF(MONTH('MASTER data'!$E28)=MONTH(W$4),'MASTER data'!$E28,""),"")</f>
        <v/>
      </c>
      <c r="X27" s="16">
        <f>IF(W27='MASTER data'!$E28,'MASTER data'!$I28,"")</f>
        <v>0</v>
      </c>
      <c r="Y27" s="90" t="str">
        <f>IF('MASTER data'!$B28="LFG",IF(MONTH('MASTER data'!$E28)=MONTH(Y$4),'MASTER data'!$E28,""),"")</f>
        <v/>
      </c>
      <c r="Z27" s="16">
        <f>IF(Y27='MASTER data'!$E28,'MASTER data'!$I28,"")</f>
        <v>0</v>
      </c>
    </row>
    <row r="28" spans="1:26">
      <c r="A28" s="5"/>
      <c r="B28" s="6"/>
      <c r="C28" s="90" t="str">
        <f>IF('MASTER data'!$B29="LFG",IF(MONTH('MASTER data'!$E29)=MONTH(C$4),'MASTER data'!$E29,""),"")</f>
        <v/>
      </c>
      <c r="D28" s="16">
        <f>IF(C28='MASTER data'!$E29,'MASTER data'!$I29,"")</f>
        <v>0</v>
      </c>
      <c r="E28" s="90" t="str">
        <f>IF('MASTER data'!$B29="LFG",IF(MONTH('MASTER data'!$E29)=MONTH(E$4),'MASTER data'!$E29,""),"")</f>
        <v/>
      </c>
      <c r="F28" s="16">
        <f>IF(E28='MASTER data'!$E29,'MASTER data'!$I29,"")</f>
        <v>0</v>
      </c>
      <c r="G28" s="90" t="str">
        <f>IF('MASTER data'!$B29="LFG",IF(MONTH('MASTER data'!$E29)=MONTH(G$4),'MASTER data'!$E29,""),"")</f>
        <v/>
      </c>
      <c r="H28" s="16">
        <f>IF(G28='MASTER data'!$E29,'MASTER data'!$I29,"")</f>
        <v>0</v>
      </c>
      <c r="I28" s="90" t="str">
        <f>IF('MASTER data'!$B29="LFG",IF(MONTH('MASTER data'!$E29)=MONTH(I$4),'MASTER data'!$E29,""),"")</f>
        <v/>
      </c>
      <c r="J28" s="16">
        <f>IF(I28='MASTER data'!$E29,'MASTER data'!$I29,"")</f>
        <v>0</v>
      </c>
      <c r="K28" s="90" t="str">
        <f>IF('MASTER data'!$B29="LFG",IF(MONTH('MASTER data'!$E29)=MONTH(K$4),'MASTER data'!$E29,""),"")</f>
        <v/>
      </c>
      <c r="L28" s="16">
        <f>IF(K28='MASTER data'!$E29,'MASTER data'!$I29,"")</f>
        <v>0</v>
      </c>
      <c r="M28" s="90" t="str">
        <f>IF('MASTER data'!$B29="LFG",IF(MONTH('MASTER data'!$E29)=MONTH(M$4),'MASTER data'!$E29,""),"")</f>
        <v/>
      </c>
      <c r="N28" s="16">
        <f>IF(M28='MASTER data'!$E29,'MASTER data'!$I29,"")</f>
        <v>0</v>
      </c>
      <c r="O28" s="90" t="str">
        <f>IF('MASTER data'!$B29="LFG",IF(MONTH('MASTER data'!$E29)=MONTH(O$4),'MASTER data'!$E29,""),"")</f>
        <v/>
      </c>
      <c r="P28" s="16">
        <f>IF(O28='MASTER data'!$E29,'MASTER data'!$I29,"")</f>
        <v>0</v>
      </c>
      <c r="Q28" s="90" t="str">
        <f>IF('MASTER data'!$B29="LFG",IF(MONTH('MASTER data'!$E29)=MONTH(Q$4),'MASTER data'!$E29,""),"")</f>
        <v/>
      </c>
      <c r="R28" s="16">
        <f>IF(Q28='MASTER data'!$E29,'MASTER data'!$I29,"")</f>
        <v>0</v>
      </c>
      <c r="S28" s="90" t="str">
        <f>IF('MASTER data'!$B29="LFG",IF(MONTH('MASTER data'!$E29)=MONTH(S$4),'MASTER data'!$E29,""),"")</f>
        <v/>
      </c>
      <c r="T28" s="16">
        <f>IF(S28='MASTER data'!$E29,'MASTER data'!$I29,"")</f>
        <v>0</v>
      </c>
      <c r="U28" s="90" t="str">
        <f>IF('MASTER data'!$B29="LFG",IF(MONTH('MASTER data'!$E29)=MONTH(U$4),'MASTER data'!$E29,""),"")</f>
        <v/>
      </c>
      <c r="V28" s="16">
        <f>IF(U28='MASTER data'!$E29,'MASTER data'!$I29,"")</f>
        <v>0</v>
      </c>
      <c r="W28" s="90" t="str">
        <f>IF('MASTER data'!$B29="LFG",IF(MONTH('MASTER data'!$E29)=MONTH(W$4),'MASTER data'!$E29,""),"")</f>
        <v/>
      </c>
      <c r="X28" s="16">
        <f>IF(W28='MASTER data'!$E29,'MASTER data'!$I29,"")</f>
        <v>0</v>
      </c>
      <c r="Y28" s="90" t="str">
        <f>IF('MASTER data'!$B29="LFG",IF(MONTH('MASTER data'!$E29)=MONTH(Y$4),'MASTER data'!$E29,""),"")</f>
        <v/>
      </c>
      <c r="Z28" s="16">
        <f>IF(Y28='MASTER data'!$E29,'MASTER data'!$I29,"")</f>
        <v>0</v>
      </c>
    </row>
    <row r="29" spans="1:26">
      <c r="A29" s="5"/>
      <c r="B29" s="6"/>
      <c r="C29" s="90" t="str">
        <f>IF('MASTER data'!$B30="LFG",IF(MONTH('MASTER data'!$E30)=MONTH(C$4),'MASTER data'!$E30,""),"")</f>
        <v/>
      </c>
      <c r="D29" s="16">
        <f>IF(C29='MASTER data'!$E30,'MASTER data'!$I30,"")</f>
        <v>0</v>
      </c>
      <c r="E29" s="90" t="str">
        <f>IF('MASTER data'!$B30="LFG",IF(MONTH('MASTER data'!$E30)=MONTH(E$4),'MASTER data'!$E30,""),"")</f>
        <v/>
      </c>
      <c r="F29" s="16">
        <f>IF(E29='MASTER data'!$E30,'MASTER data'!$I30,"")</f>
        <v>0</v>
      </c>
      <c r="G29" s="90" t="str">
        <f>IF('MASTER data'!$B30="LFG",IF(MONTH('MASTER data'!$E30)=MONTH(G$4),'MASTER data'!$E30,""),"")</f>
        <v/>
      </c>
      <c r="H29" s="16">
        <f>IF(G29='MASTER data'!$E30,'MASTER data'!$I30,"")</f>
        <v>0</v>
      </c>
      <c r="I29" s="90" t="str">
        <f>IF('MASTER data'!$B30="LFG",IF(MONTH('MASTER data'!$E30)=MONTH(I$4),'MASTER data'!$E30,""),"")</f>
        <v/>
      </c>
      <c r="J29" s="16">
        <f>IF(I29='MASTER data'!$E30,'MASTER data'!$I30,"")</f>
        <v>0</v>
      </c>
      <c r="K29" s="90" t="str">
        <f>IF('MASTER data'!$B30="LFG",IF(MONTH('MASTER data'!$E30)=MONTH(K$4),'MASTER data'!$E30,""),"")</f>
        <v/>
      </c>
      <c r="L29" s="16">
        <f>IF(K29='MASTER data'!$E30,'MASTER data'!$I30,"")</f>
        <v>0</v>
      </c>
      <c r="M29" s="90" t="str">
        <f>IF('MASTER data'!$B30="LFG",IF(MONTH('MASTER data'!$E30)=MONTH(M$4),'MASTER data'!$E30,""),"")</f>
        <v/>
      </c>
      <c r="N29" s="16">
        <f>IF(M29='MASTER data'!$E30,'MASTER data'!$I30,"")</f>
        <v>0</v>
      </c>
      <c r="O29" s="90" t="str">
        <f>IF('MASTER data'!$B30="LFG",IF(MONTH('MASTER data'!$E30)=MONTH(O$4),'MASTER data'!$E30,""),"")</f>
        <v/>
      </c>
      <c r="P29" s="16">
        <f>IF(O29='MASTER data'!$E30,'MASTER data'!$I30,"")</f>
        <v>0</v>
      </c>
      <c r="Q29" s="90" t="str">
        <f>IF('MASTER data'!$B30="LFG",IF(MONTH('MASTER data'!$E30)=MONTH(Q$4),'MASTER data'!$E30,""),"")</f>
        <v/>
      </c>
      <c r="R29" s="16">
        <f>IF(Q29='MASTER data'!$E30,'MASTER data'!$I30,"")</f>
        <v>0</v>
      </c>
      <c r="S29" s="90" t="str">
        <f>IF('MASTER data'!$B30="LFG",IF(MONTH('MASTER data'!$E30)=MONTH(S$4),'MASTER data'!$E30,""),"")</f>
        <v/>
      </c>
      <c r="T29" s="16">
        <f>IF(S29='MASTER data'!$E30,'MASTER data'!$I30,"")</f>
        <v>0</v>
      </c>
      <c r="U29" s="90" t="str">
        <f>IF('MASTER data'!$B30="LFG",IF(MONTH('MASTER data'!$E30)=MONTH(U$4),'MASTER data'!$E30,""),"")</f>
        <v/>
      </c>
      <c r="V29" s="16">
        <f>IF(U29='MASTER data'!$E30,'MASTER data'!$I30,"")</f>
        <v>0</v>
      </c>
      <c r="W29" s="90" t="str">
        <f>IF('MASTER data'!$B30="LFG",IF(MONTH('MASTER data'!$E30)=MONTH(W$4),'MASTER data'!$E30,""),"")</f>
        <v/>
      </c>
      <c r="X29" s="16">
        <f>IF(W29='MASTER data'!$E30,'MASTER data'!$I30,"")</f>
        <v>0</v>
      </c>
      <c r="Y29" s="90" t="str">
        <f>IF('MASTER data'!$B30="LFG",IF(MONTH('MASTER data'!$E30)=MONTH(Y$4),'MASTER data'!$E30,""),"")</f>
        <v/>
      </c>
      <c r="Z29" s="16">
        <f>IF(Y29='MASTER data'!$E30,'MASTER data'!$I30,"")</f>
        <v>0</v>
      </c>
    </row>
    <row r="30" spans="1:26">
      <c r="A30" s="5"/>
      <c r="B30" s="6"/>
      <c r="C30" s="90" t="str">
        <f>IF('MASTER data'!$B31="LFG",IF(MONTH('MASTER data'!$E31)=MONTH(C$4),'MASTER data'!$E31,""),"")</f>
        <v/>
      </c>
      <c r="D30" s="16">
        <f>IF(C30='MASTER data'!$E31,'MASTER data'!$I31,"")</f>
        <v>0</v>
      </c>
      <c r="E30" s="90" t="str">
        <f>IF('MASTER data'!$B31="LFG",IF(MONTH('MASTER data'!$E31)=MONTH(E$4),'MASTER data'!$E31,""),"")</f>
        <v/>
      </c>
      <c r="F30" s="16">
        <f>IF(E30='MASTER data'!$E31,'MASTER data'!$I31,"")</f>
        <v>0</v>
      </c>
      <c r="G30" s="90" t="str">
        <f>IF('MASTER data'!$B31="LFG",IF(MONTH('MASTER data'!$E31)=MONTH(G$4),'MASTER data'!$E31,""),"")</f>
        <v/>
      </c>
      <c r="H30" s="16">
        <f>IF(G30='MASTER data'!$E31,'MASTER data'!$I31,"")</f>
        <v>0</v>
      </c>
      <c r="I30" s="90" t="str">
        <f>IF('MASTER data'!$B31="LFG",IF(MONTH('MASTER data'!$E31)=MONTH(I$4),'MASTER data'!$E31,""),"")</f>
        <v/>
      </c>
      <c r="J30" s="16">
        <f>IF(I30='MASTER data'!$E31,'MASTER data'!$I31,"")</f>
        <v>0</v>
      </c>
      <c r="K30" s="90" t="str">
        <f>IF('MASTER data'!$B31="LFG",IF(MONTH('MASTER data'!$E31)=MONTH(K$4),'MASTER data'!$E31,""),"")</f>
        <v/>
      </c>
      <c r="L30" s="16">
        <f>IF(K30='MASTER data'!$E31,'MASTER data'!$I31,"")</f>
        <v>0</v>
      </c>
      <c r="M30" s="90" t="str">
        <f>IF('MASTER data'!$B31="LFG",IF(MONTH('MASTER data'!$E31)=MONTH(M$4),'MASTER data'!$E31,""),"")</f>
        <v/>
      </c>
      <c r="N30" s="16">
        <f>IF(M30='MASTER data'!$E31,'MASTER data'!$I31,"")</f>
        <v>0</v>
      </c>
      <c r="O30" s="90" t="str">
        <f>IF('MASTER data'!$B31="LFG",IF(MONTH('MASTER data'!$E31)=MONTH(O$4),'MASTER data'!$E31,""),"")</f>
        <v/>
      </c>
      <c r="P30" s="16">
        <f>IF(O30='MASTER data'!$E31,'MASTER data'!$I31,"")</f>
        <v>0</v>
      </c>
      <c r="Q30" s="90" t="str">
        <f>IF('MASTER data'!$B31="LFG",IF(MONTH('MASTER data'!$E31)=MONTH(Q$4),'MASTER data'!$E31,""),"")</f>
        <v/>
      </c>
      <c r="R30" s="16">
        <f>IF(Q30='MASTER data'!$E31,'MASTER data'!$I31,"")</f>
        <v>0</v>
      </c>
      <c r="S30" s="90" t="str">
        <f>IF('MASTER data'!$B31="LFG",IF(MONTH('MASTER data'!$E31)=MONTH(S$4),'MASTER data'!$E31,""),"")</f>
        <v/>
      </c>
      <c r="T30" s="16">
        <f>IF(S30='MASTER data'!$E31,'MASTER data'!$I31,"")</f>
        <v>0</v>
      </c>
      <c r="U30" s="90" t="str">
        <f>IF('MASTER data'!$B31="LFG",IF(MONTH('MASTER data'!$E31)=MONTH(U$4),'MASTER data'!$E31,""),"")</f>
        <v/>
      </c>
      <c r="V30" s="16">
        <f>IF(U30='MASTER data'!$E31,'MASTER data'!$I31,"")</f>
        <v>0</v>
      </c>
      <c r="W30" s="90" t="str">
        <f>IF('MASTER data'!$B31="LFG",IF(MONTH('MASTER data'!$E31)=MONTH(W$4),'MASTER data'!$E31,""),"")</f>
        <v/>
      </c>
      <c r="X30" s="16">
        <f>IF(W30='MASTER data'!$E31,'MASTER data'!$I31,"")</f>
        <v>0</v>
      </c>
      <c r="Y30" s="90" t="str">
        <f>IF('MASTER data'!$B31="LFG",IF(MONTH('MASTER data'!$E31)=MONTH(Y$4),'MASTER data'!$E31,""),"")</f>
        <v/>
      </c>
      <c r="Z30" s="16">
        <f>IF(Y30='MASTER data'!$E31,'MASTER data'!$I31,"")</f>
        <v>0</v>
      </c>
    </row>
    <row r="31" spans="1:26">
      <c r="A31" s="5"/>
      <c r="B31" s="6"/>
      <c r="C31" s="90" t="str">
        <f>IF('MASTER data'!$B32="LFG",IF(MONTH('MASTER data'!$E32)=MONTH(C$4),'MASTER data'!$E32,""),"")</f>
        <v/>
      </c>
      <c r="D31" s="16">
        <f>IF(C31='MASTER data'!$E32,'MASTER data'!$I32,"")</f>
        <v>0</v>
      </c>
      <c r="E31" s="90" t="str">
        <f>IF('MASTER data'!$B32="LFG",IF(MONTH('MASTER data'!$E32)=MONTH(E$4),'MASTER data'!$E32,""),"")</f>
        <v/>
      </c>
      <c r="F31" s="16">
        <f>IF(E31='MASTER data'!$E32,'MASTER data'!$I32,"")</f>
        <v>0</v>
      </c>
      <c r="G31" s="90" t="str">
        <f>IF('MASTER data'!$B32="LFG",IF(MONTH('MASTER data'!$E32)=MONTH(G$4),'MASTER data'!$E32,""),"")</f>
        <v/>
      </c>
      <c r="H31" s="16">
        <f>IF(G31='MASTER data'!$E32,'MASTER data'!$I32,"")</f>
        <v>0</v>
      </c>
      <c r="I31" s="90" t="str">
        <f>IF('MASTER data'!$B32="LFG",IF(MONTH('MASTER data'!$E32)=MONTH(I$4),'MASTER data'!$E32,""),"")</f>
        <v/>
      </c>
      <c r="J31" s="16">
        <f>IF(I31='MASTER data'!$E32,'MASTER data'!$I32,"")</f>
        <v>0</v>
      </c>
      <c r="K31" s="90" t="str">
        <f>IF('MASTER data'!$B32="LFG",IF(MONTH('MASTER data'!$E32)=MONTH(K$4),'MASTER data'!$E32,""),"")</f>
        <v/>
      </c>
      <c r="L31" s="16">
        <f>IF(K31='MASTER data'!$E32,'MASTER data'!$I32,"")</f>
        <v>0</v>
      </c>
      <c r="M31" s="90" t="str">
        <f>IF('MASTER data'!$B32="LFG",IF(MONTH('MASTER data'!$E32)=MONTH(M$4),'MASTER data'!$E32,""),"")</f>
        <v/>
      </c>
      <c r="N31" s="16">
        <f>IF(M31='MASTER data'!$E32,'MASTER data'!$I32,"")</f>
        <v>0</v>
      </c>
      <c r="O31" s="90" t="str">
        <f>IF('MASTER data'!$B32="LFG",IF(MONTH('MASTER data'!$E32)=MONTH(O$4),'MASTER data'!$E32,""),"")</f>
        <v/>
      </c>
      <c r="P31" s="16">
        <f>IF(O31='MASTER data'!$E32,'MASTER data'!$I32,"")</f>
        <v>0</v>
      </c>
      <c r="Q31" s="90" t="str">
        <f>IF('MASTER data'!$B32="LFG",IF(MONTH('MASTER data'!$E32)=MONTH(Q$4),'MASTER data'!$E32,""),"")</f>
        <v/>
      </c>
      <c r="R31" s="16">
        <f>IF(Q31='MASTER data'!$E32,'MASTER data'!$I32,"")</f>
        <v>0</v>
      </c>
      <c r="S31" s="90" t="str">
        <f>IF('MASTER data'!$B32="LFG",IF(MONTH('MASTER data'!$E32)=MONTH(S$4),'MASTER data'!$E32,""),"")</f>
        <v/>
      </c>
      <c r="T31" s="16">
        <f>IF(S31='MASTER data'!$E32,'MASTER data'!$I32,"")</f>
        <v>0</v>
      </c>
      <c r="U31" s="90" t="str">
        <f>IF('MASTER data'!$B32="LFG",IF(MONTH('MASTER data'!$E32)=MONTH(U$4),'MASTER data'!$E32,""),"")</f>
        <v/>
      </c>
      <c r="V31" s="16">
        <f>IF(U31='MASTER data'!$E32,'MASTER data'!$I32,"")</f>
        <v>0</v>
      </c>
      <c r="W31" s="90" t="str">
        <f>IF('MASTER data'!$B32="LFG",IF(MONTH('MASTER data'!$E32)=MONTH(W$4),'MASTER data'!$E32,""),"")</f>
        <v/>
      </c>
      <c r="X31" s="16">
        <f>IF(W31='MASTER data'!$E32,'MASTER data'!$I32,"")</f>
        <v>0</v>
      </c>
      <c r="Y31" s="90" t="str">
        <f>IF('MASTER data'!$B32="LFG",IF(MONTH('MASTER data'!$E32)=MONTH(Y$4),'MASTER data'!$E32,""),"")</f>
        <v/>
      </c>
      <c r="Z31" s="16">
        <f>IF(Y31='MASTER data'!$E32,'MASTER data'!$I32,"")</f>
        <v>0</v>
      </c>
    </row>
    <row r="32" spans="1:26">
      <c r="A32" s="5"/>
      <c r="B32" s="6"/>
      <c r="C32" s="90" t="str">
        <f>IF('MASTER data'!$B33="LFG",IF(MONTH('MASTER data'!$E33)=MONTH(C$4),'MASTER data'!$E33,""),"")</f>
        <v/>
      </c>
      <c r="D32" s="16">
        <f>IF(C32='MASTER data'!$E33,'MASTER data'!$I33,"")</f>
        <v>0</v>
      </c>
      <c r="E32" s="90" t="str">
        <f>IF('MASTER data'!$B33="LFG",IF(MONTH('MASTER data'!$E33)=MONTH(E$4),'MASTER data'!$E33,""),"")</f>
        <v/>
      </c>
      <c r="F32" s="16">
        <f>IF(E32='MASTER data'!$E33,'MASTER data'!$I33,"")</f>
        <v>0</v>
      </c>
      <c r="G32" s="90" t="str">
        <f>IF('MASTER data'!$B33="LFG",IF(MONTH('MASTER data'!$E33)=MONTH(G$4),'MASTER data'!$E33,""),"")</f>
        <v/>
      </c>
      <c r="H32" s="16">
        <f>IF(G32='MASTER data'!$E33,'MASTER data'!$I33,"")</f>
        <v>0</v>
      </c>
      <c r="I32" s="90" t="str">
        <f>IF('MASTER data'!$B33="LFG",IF(MONTH('MASTER data'!$E33)=MONTH(I$4),'MASTER data'!$E33,""),"")</f>
        <v/>
      </c>
      <c r="J32" s="16">
        <f>IF(I32='MASTER data'!$E33,'MASTER data'!$I33,"")</f>
        <v>0</v>
      </c>
      <c r="K32" s="90" t="str">
        <f>IF('MASTER data'!$B33="LFG",IF(MONTH('MASTER data'!$E33)=MONTH(K$4),'MASTER data'!$E33,""),"")</f>
        <v/>
      </c>
      <c r="L32" s="16">
        <f>IF(K32='MASTER data'!$E33,'MASTER data'!$I33,"")</f>
        <v>0</v>
      </c>
      <c r="M32" s="90" t="str">
        <f>IF('MASTER data'!$B33="LFG",IF(MONTH('MASTER data'!$E33)=MONTH(M$4),'MASTER data'!$E33,""),"")</f>
        <v/>
      </c>
      <c r="N32" s="16">
        <f>IF(M32='MASTER data'!$E33,'MASTER data'!$I33,"")</f>
        <v>0</v>
      </c>
      <c r="O32" s="90" t="str">
        <f>IF('MASTER data'!$B33="LFG",IF(MONTH('MASTER data'!$E33)=MONTH(O$4),'MASTER data'!$E33,""),"")</f>
        <v/>
      </c>
      <c r="P32" s="16">
        <f>IF(O32='MASTER data'!$E33,'MASTER data'!$I33,"")</f>
        <v>0</v>
      </c>
      <c r="Q32" s="90" t="str">
        <f>IF('MASTER data'!$B33="LFG",IF(MONTH('MASTER data'!$E33)=MONTH(Q$4),'MASTER data'!$E33,""),"")</f>
        <v/>
      </c>
      <c r="R32" s="16">
        <f>IF(Q32='MASTER data'!$E33,'MASTER data'!$I33,"")</f>
        <v>0</v>
      </c>
      <c r="S32" s="90" t="str">
        <f>IF('MASTER data'!$B33="LFG",IF(MONTH('MASTER data'!$E33)=MONTH(S$4),'MASTER data'!$E33,""),"")</f>
        <v/>
      </c>
      <c r="T32" s="16">
        <f>IF(S32='MASTER data'!$E33,'MASTER data'!$I33,"")</f>
        <v>0</v>
      </c>
      <c r="U32" s="90" t="str">
        <f>IF('MASTER data'!$B33="LFG",IF(MONTH('MASTER data'!$E33)=MONTH(U$4),'MASTER data'!$E33,""),"")</f>
        <v/>
      </c>
      <c r="V32" s="16">
        <f>IF(U32='MASTER data'!$E33,'MASTER data'!$I33,"")</f>
        <v>0</v>
      </c>
      <c r="W32" s="90" t="str">
        <f>IF('MASTER data'!$B33="LFG",IF(MONTH('MASTER data'!$E33)=MONTH(W$4),'MASTER data'!$E33,""),"")</f>
        <v/>
      </c>
      <c r="X32" s="16">
        <f>IF(W32='MASTER data'!$E33,'MASTER data'!$I33,"")</f>
        <v>0</v>
      </c>
      <c r="Y32" s="90" t="str">
        <f>IF('MASTER data'!$B33="LFG",IF(MONTH('MASTER data'!$E33)=MONTH(Y$4),'MASTER data'!$E33,""),"")</f>
        <v/>
      </c>
      <c r="Z32" s="16">
        <f>IF(Y32='MASTER data'!$E33,'MASTER data'!$I33,"")</f>
        <v>0</v>
      </c>
    </row>
    <row r="33" spans="1:26">
      <c r="A33" s="5"/>
      <c r="B33" s="6"/>
      <c r="C33" s="90" t="str">
        <f>IF('MASTER data'!$B34="LFG",IF(MONTH('MASTER data'!$E34)=MONTH(C$4),'MASTER data'!$E34,""),"")</f>
        <v/>
      </c>
      <c r="D33" s="16">
        <f>IF(C33='MASTER data'!$E34,'MASTER data'!$I34,"")</f>
        <v>0</v>
      </c>
      <c r="E33" s="90" t="str">
        <f>IF('MASTER data'!$B34="LFG",IF(MONTH('MASTER data'!$E34)=MONTH(E$4),'MASTER data'!$E34,""),"")</f>
        <v/>
      </c>
      <c r="F33" s="16">
        <f>IF(E33='MASTER data'!$E34,'MASTER data'!$I34,"")</f>
        <v>0</v>
      </c>
      <c r="G33" s="90" t="str">
        <f>IF('MASTER data'!$B34="LFG",IF(MONTH('MASTER data'!$E34)=MONTH(G$4),'MASTER data'!$E34,""),"")</f>
        <v/>
      </c>
      <c r="H33" s="16">
        <f>IF(G33='MASTER data'!$E34,'MASTER data'!$I34,"")</f>
        <v>0</v>
      </c>
      <c r="I33" s="90" t="str">
        <f>IF('MASTER data'!$B34="LFG",IF(MONTH('MASTER data'!$E34)=MONTH(I$4),'MASTER data'!$E34,""),"")</f>
        <v/>
      </c>
      <c r="J33" s="16">
        <f>IF(I33='MASTER data'!$E34,'MASTER data'!$I34,"")</f>
        <v>0</v>
      </c>
      <c r="K33" s="90" t="str">
        <f>IF('MASTER data'!$B34="LFG",IF(MONTH('MASTER data'!$E34)=MONTH(K$4),'MASTER data'!$E34,""),"")</f>
        <v/>
      </c>
      <c r="L33" s="16">
        <f>IF(K33='MASTER data'!$E34,'MASTER data'!$I34,"")</f>
        <v>0</v>
      </c>
      <c r="M33" s="90" t="str">
        <f>IF('MASTER data'!$B34="LFG",IF(MONTH('MASTER data'!$E34)=MONTH(M$4),'MASTER data'!$E34,""),"")</f>
        <v/>
      </c>
      <c r="N33" s="16">
        <f>IF(M33='MASTER data'!$E34,'MASTER data'!$I34,"")</f>
        <v>0</v>
      </c>
      <c r="O33" s="90" t="str">
        <f>IF('MASTER data'!$B34="LFG",IF(MONTH('MASTER data'!$E34)=MONTH(O$4),'MASTER data'!$E34,""),"")</f>
        <v/>
      </c>
      <c r="P33" s="16">
        <f>IF(O33='MASTER data'!$E34,'MASTER data'!$I34,"")</f>
        <v>0</v>
      </c>
      <c r="Q33" s="90" t="str">
        <f>IF('MASTER data'!$B34="LFG",IF(MONTH('MASTER data'!$E34)=MONTH(Q$4),'MASTER data'!$E34,""),"")</f>
        <v/>
      </c>
      <c r="R33" s="16">
        <f>IF(Q33='MASTER data'!$E34,'MASTER data'!$I34,"")</f>
        <v>0</v>
      </c>
      <c r="S33" s="90" t="str">
        <f>IF('MASTER data'!$B34="LFG",IF(MONTH('MASTER data'!$E34)=MONTH(S$4),'MASTER data'!$E34,""),"")</f>
        <v/>
      </c>
      <c r="T33" s="16">
        <f>IF(S33='MASTER data'!$E34,'MASTER data'!$I34,"")</f>
        <v>0</v>
      </c>
      <c r="U33" s="90" t="str">
        <f>IF('MASTER data'!$B34="LFG",IF(MONTH('MASTER data'!$E34)=MONTH(U$4),'MASTER data'!$E34,""),"")</f>
        <v/>
      </c>
      <c r="V33" s="16">
        <f>IF(U33='MASTER data'!$E34,'MASTER data'!$I34,"")</f>
        <v>0</v>
      </c>
      <c r="W33" s="90" t="str">
        <f>IF('MASTER data'!$B34="LFG",IF(MONTH('MASTER data'!$E34)=MONTH(W$4),'MASTER data'!$E34,""),"")</f>
        <v/>
      </c>
      <c r="X33" s="16">
        <f>IF(W33='MASTER data'!$E34,'MASTER data'!$I34,"")</f>
        <v>0</v>
      </c>
      <c r="Y33" s="90" t="str">
        <f>IF('MASTER data'!$B34="LFG",IF(MONTH('MASTER data'!$E34)=MONTH(Y$4),'MASTER data'!$E34,""),"")</f>
        <v/>
      </c>
      <c r="Z33" s="16">
        <f>IF(Y33='MASTER data'!$E34,'MASTER data'!$I34,"")</f>
        <v>0</v>
      </c>
    </row>
    <row r="34" spans="1:26">
      <c r="A34" s="5"/>
      <c r="B34" s="6"/>
      <c r="C34" s="90" t="str">
        <f>IF('MASTER data'!$B35="LFG",IF(MONTH('MASTER data'!$E35)=MONTH(C$4),'MASTER data'!$E35,""),"")</f>
        <v/>
      </c>
      <c r="D34" s="16">
        <f>IF(C34='MASTER data'!$E35,'MASTER data'!$I35,"")</f>
        <v>0</v>
      </c>
      <c r="E34" s="90" t="str">
        <f>IF('MASTER data'!$B35="LFG",IF(MONTH('MASTER data'!$E35)=MONTH(E$4),'MASTER data'!$E35,""),"")</f>
        <v/>
      </c>
      <c r="F34" s="16">
        <f>IF(E34='MASTER data'!$E35,'MASTER data'!$I35,"")</f>
        <v>0</v>
      </c>
      <c r="G34" s="90" t="str">
        <f>IF('MASTER data'!$B35="LFG",IF(MONTH('MASTER data'!$E35)=MONTH(G$4),'MASTER data'!$E35,""),"")</f>
        <v/>
      </c>
      <c r="H34" s="16">
        <f>IF(G34='MASTER data'!$E35,'MASTER data'!$I35,"")</f>
        <v>0</v>
      </c>
      <c r="I34" s="90" t="str">
        <f>IF('MASTER data'!$B35="LFG",IF(MONTH('MASTER data'!$E35)=MONTH(I$4),'MASTER data'!$E35,""),"")</f>
        <v/>
      </c>
      <c r="J34" s="16">
        <f>IF(I34='MASTER data'!$E35,'MASTER data'!$I35,"")</f>
        <v>0</v>
      </c>
      <c r="K34" s="90" t="str">
        <f>IF('MASTER data'!$B35="LFG",IF(MONTH('MASTER data'!$E35)=MONTH(K$4),'MASTER data'!$E35,""),"")</f>
        <v/>
      </c>
      <c r="L34" s="16">
        <f>IF(K34='MASTER data'!$E35,'MASTER data'!$I35,"")</f>
        <v>0</v>
      </c>
      <c r="M34" s="90" t="str">
        <f>IF('MASTER data'!$B35="LFG",IF(MONTH('MASTER data'!$E35)=MONTH(M$4),'MASTER data'!$E35,""),"")</f>
        <v/>
      </c>
      <c r="N34" s="16">
        <f>IF(M34='MASTER data'!$E35,'MASTER data'!$I35,"")</f>
        <v>0</v>
      </c>
      <c r="O34" s="90" t="str">
        <f>IF('MASTER data'!$B35="LFG",IF(MONTH('MASTER data'!$E35)=MONTH(O$4),'MASTER data'!$E35,""),"")</f>
        <v/>
      </c>
      <c r="P34" s="16">
        <f>IF(O34='MASTER data'!$E35,'MASTER data'!$I35,"")</f>
        <v>0</v>
      </c>
      <c r="Q34" s="90" t="str">
        <f>IF('MASTER data'!$B35="LFG",IF(MONTH('MASTER data'!$E35)=MONTH(Q$4),'MASTER data'!$E35,""),"")</f>
        <v/>
      </c>
      <c r="R34" s="16">
        <f>IF(Q34='MASTER data'!$E35,'MASTER data'!$I35,"")</f>
        <v>0</v>
      </c>
      <c r="S34" s="90" t="str">
        <f>IF('MASTER data'!$B35="LFG",IF(MONTH('MASTER data'!$E35)=MONTH(S$4),'MASTER data'!$E35,""),"")</f>
        <v/>
      </c>
      <c r="T34" s="16">
        <f>IF(S34='MASTER data'!$E35,'MASTER data'!$I35,"")</f>
        <v>0</v>
      </c>
      <c r="U34" s="90" t="str">
        <f>IF('MASTER data'!$B35="LFG",IF(MONTH('MASTER data'!$E35)=MONTH(U$4),'MASTER data'!$E35,""),"")</f>
        <v/>
      </c>
      <c r="V34" s="16">
        <f>IF(U34='MASTER data'!$E35,'MASTER data'!$I35,"")</f>
        <v>0</v>
      </c>
      <c r="W34" s="90" t="str">
        <f>IF('MASTER data'!$B35="LFG",IF(MONTH('MASTER data'!$E35)=MONTH(W$4),'MASTER data'!$E35,""),"")</f>
        <v/>
      </c>
      <c r="X34" s="16">
        <f>IF(W34='MASTER data'!$E35,'MASTER data'!$I35,"")</f>
        <v>0</v>
      </c>
      <c r="Y34" s="90" t="str">
        <f>IF('MASTER data'!$B35="LFG",IF(MONTH('MASTER data'!$E35)=MONTH(Y$4),'MASTER data'!$E35,""),"")</f>
        <v/>
      </c>
      <c r="Z34" s="16">
        <f>IF(Y34='MASTER data'!$E35,'MASTER data'!$I35,"")</f>
        <v>0</v>
      </c>
    </row>
    <row r="35" spans="1:26">
      <c r="A35" s="5"/>
      <c r="B35" s="6"/>
      <c r="C35" s="90" t="str">
        <f>IF('MASTER data'!$B36="LFG",IF(MONTH('MASTER data'!$E36)=MONTH(C$4),'MASTER data'!$E36,""),"")</f>
        <v/>
      </c>
      <c r="D35" s="16">
        <f>IF(C35='MASTER data'!$E36,'MASTER data'!$I36,"")</f>
        <v>0</v>
      </c>
      <c r="E35" s="90" t="str">
        <f>IF('MASTER data'!$B36="LFG",IF(MONTH('MASTER data'!$E36)=MONTH(E$4),'MASTER data'!$E36,""),"")</f>
        <v/>
      </c>
      <c r="F35" s="16">
        <f>IF(E35='MASTER data'!$E36,'MASTER data'!$I36,"")</f>
        <v>0</v>
      </c>
      <c r="G35" s="90" t="str">
        <f>IF('MASTER data'!$B36="LFG",IF(MONTH('MASTER data'!$E36)=MONTH(G$4),'MASTER data'!$E36,""),"")</f>
        <v/>
      </c>
      <c r="H35" s="16">
        <f>IF(G35='MASTER data'!$E36,'MASTER data'!$I36,"")</f>
        <v>0</v>
      </c>
      <c r="I35" s="90" t="str">
        <f>IF('MASTER data'!$B36="LFG",IF(MONTH('MASTER data'!$E36)=MONTH(I$4),'MASTER data'!$E36,""),"")</f>
        <v/>
      </c>
      <c r="J35" s="16">
        <f>IF(I35='MASTER data'!$E36,'MASTER data'!$I36,"")</f>
        <v>0</v>
      </c>
      <c r="K35" s="90" t="str">
        <f>IF('MASTER data'!$B36="LFG",IF(MONTH('MASTER data'!$E36)=MONTH(K$4),'MASTER data'!$E36,""),"")</f>
        <v/>
      </c>
      <c r="L35" s="16">
        <f>IF(K35='MASTER data'!$E36,'MASTER data'!$I36,"")</f>
        <v>0</v>
      </c>
      <c r="M35" s="90" t="str">
        <f>IF('MASTER data'!$B36="LFG",IF(MONTH('MASTER data'!$E36)=MONTH(M$4),'MASTER data'!$E36,""),"")</f>
        <v/>
      </c>
      <c r="N35" s="16">
        <f>IF(M35='MASTER data'!$E36,'MASTER data'!$I36,"")</f>
        <v>0</v>
      </c>
      <c r="O35" s="90" t="str">
        <f>IF('MASTER data'!$B36="LFG",IF(MONTH('MASTER data'!$E36)=MONTH(O$4),'MASTER data'!$E36,""),"")</f>
        <v/>
      </c>
      <c r="P35" s="16">
        <f>IF(O35='MASTER data'!$E36,'MASTER data'!$I36,"")</f>
        <v>0</v>
      </c>
      <c r="Q35" s="90" t="str">
        <f>IF('MASTER data'!$B36="LFG",IF(MONTH('MASTER data'!$E36)=MONTH(Q$4),'MASTER data'!$E36,""),"")</f>
        <v/>
      </c>
      <c r="R35" s="16">
        <f>IF(Q35='MASTER data'!$E36,'MASTER data'!$I36,"")</f>
        <v>0</v>
      </c>
      <c r="S35" s="90" t="str">
        <f>IF('MASTER data'!$B36="LFG",IF(MONTH('MASTER data'!$E36)=MONTH(S$4),'MASTER data'!$E36,""),"")</f>
        <v/>
      </c>
      <c r="T35" s="16">
        <f>IF(S35='MASTER data'!$E36,'MASTER data'!$I36,"")</f>
        <v>0</v>
      </c>
      <c r="U35" s="90" t="str">
        <f>IF('MASTER data'!$B36="LFG",IF(MONTH('MASTER data'!$E36)=MONTH(U$4),'MASTER data'!$E36,""),"")</f>
        <v/>
      </c>
      <c r="V35" s="16">
        <f>IF(U35='MASTER data'!$E36,'MASTER data'!$I36,"")</f>
        <v>0</v>
      </c>
      <c r="W35" s="90" t="str">
        <f>IF('MASTER data'!$B36="LFG",IF(MONTH('MASTER data'!$E36)=MONTH(W$4),'MASTER data'!$E36,""),"")</f>
        <v/>
      </c>
      <c r="X35" s="16">
        <f>IF(W35='MASTER data'!$E36,'MASTER data'!$I36,"")</f>
        <v>0</v>
      </c>
      <c r="Y35" s="90" t="str">
        <f>IF('MASTER data'!$B36="LFG",IF(MONTH('MASTER data'!$E36)=MONTH(Y$4),'MASTER data'!$E36,""),"")</f>
        <v/>
      </c>
      <c r="Z35" s="16">
        <f>IF(Y35='MASTER data'!$E36,'MASTER data'!$I36,"")</f>
        <v>0</v>
      </c>
    </row>
    <row r="36" spans="1:26">
      <c r="A36" s="5"/>
      <c r="B36" s="6"/>
      <c r="C36" s="90"/>
      <c r="D36" s="6"/>
      <c r="E36" s="90"/>
      <c r="F36" s="6"/>
      <c r="G36" s="5"/>
      <c r="H36" s="6"/>
      <c r="I36" s="5"/>
      <c r="J36" s="6"/>
      <c r="K36" s="5"/>
      <c r="L36" s="6"/>
      <c r="M36" s="5"/>
      <c r="N36" s="6"/>
      <c r="O36" s="5"/>
      <c r="P36" s="6"/>
      <c r="Q36" s="5"/>
      <c r="R36" s="6"/>
      <c r="S36" s="5"/>
      <c r="T36" s="6"/>
      <c r="U36" s="3"/>
      <c r="V36" s="4"/>
      <c r="W36" s="11"/>
      <c r="X36" s="12"/>
      <c r="Y36" s="5"/>
      <c r="Z36" s="6"/>
    </row>
    <row r="37" spans="1:26" ht="15.75" thickBot="1">
      <c r="A37" s="7"/>
      <c r="B37" s="8"/>
      <c r="C37" s="90"/>
      <c r="D37" s="8"/>
      <c r="E37" s="7"/>
      <c r="F37" s="8"/>
      <c r="G37" s="7"/>
      <c r="H37" s="8"/>
      <c r="I37" s="7"/>
      <c r="J37" s="8"/>
      <c r="K37" s="7"/>
      <c r="L37" s="8"/>
      <c r="M37" s="7"/>
      <c r="N37" s="8"/>
      <c r="O37" s="7"/>
      <c r="P37" s="8"/>
      <c r="Q37" s="7"/>
      <c r="R37" s="8"/>
      <c r="S37" s="7"/>
      <c r="T37" s="8"/>
      <c r="U37" s="23"/>
      <c r="V37" s="24"/>
      <c r="W37" s="13"/>
      <c r="X37" s="14"/>
      <c r="Y37" s="7"/>
      <c r="Z37" s="8"/>
    </row>
  </sheetData>
  <mergeCells count="14">
    <mergeCell ref="C3:Z3"/>
    <mergeCell ref="AA3:AX3"/>
    <mergeCell ref="Y4:Z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UTC</vt:lpstr>
      <vt:lpstr>RIL</vt:lpstr>
      <vt:lpstr>SEP</vt:lpstr>
      <vt:lpstr>LFG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2012-03-28T09:24:36Z</dcterms:modified>
</cp:coreProperties>
</file>