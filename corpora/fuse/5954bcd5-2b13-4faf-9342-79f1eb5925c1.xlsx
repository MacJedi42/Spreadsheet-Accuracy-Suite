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stablishments" state="visible" r:id="rId3"/>
    <sheet sheetId="2" name="Beer Styles" state="visible" r:id="rId4"/>
  </sheets>
  <definedNames/>
  <calcPr/>
</workbook>
</file>

<file path=xl/sharedStrings.xml><?xml version="1.0" encoding="utf-8"?>
<sst xmlns="http://schemas.openxmlformats.org/spreadsheetml/2006/main" count="924" uniqueCount="261">
  <si>
    <t>America Bar &amp; Grille</t>
  </si>
  <si>
    <t>Appetite's On Main</t>
  </si>
  <si>
    <t>Brickside Bar &amp; Grille</t>
  </si>
  <si>
    <t>Big Easy</t>
  </si>
  <si>
    <t>Cosimo</t>
  </si>
  <si>
    <t>Epicurean</t>
  </si>
  <si>
    <t>Flanigan's Boathouse</t>
  </si>
  <si>
    <t>Flying Pig Saloon</t>
  </si>
  <si>
    <t>Iron Hill Brewery</t>
  </si>
  <si>
    <t>McKenzie Brewhouse</t>
  </si>
  <si>
    <t>Sly Fox Brewery</t>
  </si>
  <si>
    <t>The Drafting Room</t>
  </si>
  <si>
    <t>TJs Restaurant &amp; Drinkery</t>
  </si>
  <si>
    <t>Victory Brewing</t>
  </si>
  <si>
    <t>610-280-0800</t>
  </si>
  <si>
    <t>610-594-2030</t>
  </si>
  <si>
    <t>610-321-1600</t>
  </si>
  <si>
    <t>610-296-9166</t>
  </si>
  <si>
    <t>610-647-1233</t>
  </si>
  <si>
    <t>610-933-1336</t>
  </si>
  <si>
    <t>610-251-0207</t>
  </si>
  <si>
    <t>610-578-9208</t>
  </si>
  <si>
    <t>610-738-9600</t>
  </si>
  <si>
    <t>610-296-2222</t>
  </si>
  <si>
    <t>610-935-4540</t>
  </si>
  <si>
    <t>610-363-0521</t>
  </si>
  <si>
    <t>610-725-0100</t>
  </si>
  <si>
    <t>610-873-0881</t>
  </si>
  <si>
    <t>Beer</t>
  </si>
  <si>
    <t>Pour</t>
  </si>
  <si>
    <t>Affligem Blonde</t>
  </si>
  <si>
    <t>CO2</t>
  </si>
  <si>
    <t>Anheuser-Busch Bud Light</t>
  </si>
  <si>
    <t>Amstel Light</t>
  </si>
  <si>
    <t>Bass Ale</t>
  </si>
  <si>
    <t>Allagash White</t>
  </si>
  <si>
    <t>Dogfish Head Indian Brown Ale</t>
  </si>
  <si>
    <t>Brooklyn Blanche de Brooklyn</t>
  </si>
  <si>
    <t>Allagash Curieux</t>
  </si>
  <si>
    <t>Iron Hill Anvil Ale</t>
  </si>
  <si>
    <t>McKenzie Black Lab Stout</t>
  </si>
  <si>
    <t>Sly Fox Abbey Dubbel</t>
  </si>
  <si>
    <t>Abita Andy Gator</t>
  </si>
  <si>
    <t>Victory Abbey 6</t>
  </si>
  <si>
    <t>Guinness Stout</t>
  </si>
  <si>
    <t>Birra Peroni Lager</t>
  </si>
  <si>
    <t>Flying Fish Grand Cru</t>
  </si>
  <si>
    <t>Foster's Lager</t>
  </si>
  <si>
    <t>Ayinger Celebrator</t>
  </si>
  <si>
    <t>Nitro</t>
  </si>
  <si>
    <t>Iron Hill Cherry Vanilla Porter</t>
  </si>
  <si>
    <t>McKenzie Light Lager</t>
  </si>
  <si>
    <t>Sly Fox Black &amp; Tan</t>
  </si>
  <si>
    <t>Breckenridge Vanilla Porter</t>
  </si>
  <si>
    <t>Victory Donnybrook Stout</t>
  </si>
  <si>
    <t>Leinenkugel Sunset Wheat</t>
  </si>
  <si>
    <t>Hoegaarden Belgian Wit</t>
  </si>
  <si>
    <t>Paulaner Hefe Weissbier</t>
  </si>
  <si>
    <t>Blanche De Bruxelles</t>
  </si>
  <si>
    <t>Iron Hill Chocolate Stout</t>
  </si>
  <si>
    <t>Iron Hill Dunkelweizen</t>
  </si>
  <si>
    <t>McKenzie Blueberry Wheat</t>
  </si>
  <si>
    <t>Sly Fox Black Raspberry Reserve</t>
  </si>
  <si>
    <t>Dupont Moinette Blonde</t>
  </si>
  <si>
    <t>Boulder Brewing Never Summer Ale</t>
  </si>
  <si>
    <t>Victory ESB</t>
  </si>
  <si>
    <t>Boddington's</t>
  </si>
  <si>
    <t>Magic Hat #9</t>
  </si>
  <si>
    <t>Miller Lite</t>
  </si>
  <si>
    <t>Victory HopDevil</t>
  </si>
  <si>
    <t>Magic Hat Roxy Rolles</t>
  </si>
  <si>
    <t>Samuel Adams Winter Lager</t>
  </si>
  <si>
    <t>Chimay White</t>
  </si>
  <si>
    <t>Iron Hill German Pilsner</t>
  </si>
  <si>
    <t>Iron Hill Ironbound Ale</t>
  </si>
  <si>
    <t>McKenzie Pumpkin Spice</t>
  </si>
  <si>
    <t>Sly Fox Dunkel Weisse</t>
  </si>
  <si>
    <t>Fort Collins Big Shot</t>
  </si>
  <si>
    <t>Brasserie Duyck Jenlain Ambrée</t>
  </si>
  <si>
    <t>Victory Festbier</t>
  </si>
  <si>
    <t>Coors Blue Moon</t>
  </si>
  <si>
    <t>Newcastle Brown Ale</t>
  </si>
  <si>
    <t>Victory Prima Pils</t>
  </si>
  <si>
    <t>Sierra Nevada Harvest Ale [2007]</t>
  </si>
  <si>
    <t>Coors Light</t>
  </si>
  <si>
    <t>Iron Hill Light Lager</t>
  </si>
  <si>
    <t>McKenzie Shane Gold</t>
  </si>
  <si>
    <t>Sly Fox Gold Rush Lager</t>
  </si>
  <si>
    <t>Left Hand Goosinator</t>
  </si>
  <si>
    <t>Breckenridge 471 IPA</t>
  </si>
  <si>
    <t>Victory Golden Monkey</t>
  </si>
  <si>
    <t>Sierra Nevada Pale Ale</t>
  </si>
  <si>
    <t>Stella Artois Belgian Pale Ale</t>
  </si>
  <si>
    <t>Spaten Premium Lager</t>
  </si>
  <si>
    <t>Cask</t>
  </si>
  <si>
    <t>Iron Hill Lodestone Lager</t>
  </si>
  <si>
    <t>McKenzie Unicorn Amber Ale</t>
  </si>
  <si>
    <t>Sly Fox Helles Golden Lager</t>
  </si>
  <si>
    <t>Legacy Midnight Wit</t>
  </si>
  <si>
    <t>Climax Brewing Nut Brown Ale</t>
  </si>
  <si>
    <t>Dogfish Head 60 Minute IPA</t>
  </si>
  <si>
    <t>Yuengling Lager</t>
  </si>
  <si>
    <t>Victory Hop Wallop</t>
  </si>
  <si>
    <t>Tröegs Troegenator</t>
  </si>
  <si>
    <t>Harp Lager</t>
  </si>
  <si>
    <t>Iron Hill Pig Iron Porter</t>
  </si>
  <si>
    <t>McKenzie Wee Heavy</t>
  </si>
  <si>
    <t>Sly Fox Oatmeal Stout</t>
  </si>
  <si>
    <t>Lindemans Pomme</t>
  </si>
  <si>
    <t>Founders Dirty Bastard</t>
  </si>
  <si>
    <t>Hand</t>
  </si>
  <si>
    <t>Sly Fox O'Reilly's Stout</t>
  </si>
  <si>
    <t>Legacy Hoptimus Prime</t>
  </si>
  <si>
    <t>McKenzie Wicked Will's Pale Ale</t>
  </si>
  <si>
    <t>Lost Coast Winterbraun</t>
  </si>
  <si>
    <t>General Lafayette Pacific Pale Ale</t>
  </si>
  <si>
    <t>Victory Lager</t>
  </si>
  <si>
    <t>Wolaver's Organic Oatmeal Stout</t>
  </si>
  <si>
    <t>Pilsner Urquell</t>
  </si>
  <si>
    <t>Iron Hill Pumpkin</t>
  </si>
  <si>
    <t>McKenzie Smoked Porter</t>
  </si>
  <si>
    <t>Great Divide Fresh Hop Pale Ale</t>
  </si>
  <si>
    <t>Victory Mad King Weiss</t>
  </si>
  <si>
    <t>Tröegs HopBack Amber Ale</t>
  </si>
  <si>
    <t>Rogue ÜberFest Pilsner</t>
  </si>
  <si>
    <t>Iron Hill Raspberry Wheat</t>
  </si>
  <si>
    <t>Sly Fox Pacific Jade IPA</t>
  </si>
  <si>
    <t>Sly Fox Phoenix Pale Ale</t>
  </si>
  <si>
    <t>Leffe Blond</t>
  </si>
  <si>
    <t>Victory Storm King Stout</t>
  </si>
  <si>
    <t>Magic Hat Jinx</t>
  </si>
  <si>
    <t>&gt;&gt; Incomplete List</t>
  </si>
  <si>
    <t>Smithwick's</t>
  </si>
  <si>
    <t>Sly Fox Pikeland Pils</t>
  </si>
  <si>
    <t>Leffe Brune</t>
  </si>
  <si>
    <t>Victory Sunrise Weissbier</t>
  </si>
  <si>
    <t>Michelob Ultra</t>
  </si>
  <si>
    <t>Southern Tier Pumking</t>
  </si>
  <si>
    <t>Sly Fox Royal Weisse</t>
  </si>
  <si>
    <t>Lindemans Framboise</t>
  </si>
  <si>
    <t>Victory Uncle Teddy's Bitter</t>
  </si>
  <si>
    <t>St. Bernardus Witbier</t>
  </si>
  <si>
    <t>Sly Fox Rt. 113 IPA</t>
  </si>
  <si>
    <t>Smuttynose Old Brown Dog</t>
  </si>
  <si>
    <t>Long Trail Blackbeary Wheat</t>
  </si>
  <si>
    <t>Victory Whirlwind Witbier</t>
  </si>
  <si>
    <t>Rogue Dead Guy Ale</t>
  </si>
  <si>
    <t>St. Feuillien Cuvée De Noël</t>
  </si>
  <si>
    <t>Sly Fox Saison Vos</t>
  </si>
  <si>
    <t>Tröegs Dead Reckoning Porter</t>
  </si>
  <si>
    <t>Weyerbacher R&amp;R</t>
  </si>
  <si>
    <t>Rock Art Infusco</t>
  </si>
  <si>
    <t>Coming in December: Baltic Thunder</t>
  </si>
  <si>
    <t>Stoudt's Fest</t>
  </si>
  <si>
    <t>Summit Extra Pale Ale</t>
  </si>
  <si>
    <t>On deck:  Bell's Best Brown Ale</t>
  </si>
  <si>
    <t>Brooklyner Schneider Hopfen Weisse</t>
  </si>
  <si>
    <t>Stoudt's Scotch-Style Ale</t>
  </si>
  <si>
    <t>Dupont Avec les Bons Voeux</t>
  </si>
  <si>
    <t>Victory Harvest Ale</t>
  </si>
  <si>
    <t>Scaldis Noel</t>
  </si>
  <si>
    <t>On deck:  Bell's Java Stout</t>
  </si>
  <si>
    <t>Schneider &amp; Brooklyner Hopfen Weisse</t>
  </si>
  <si>
    <t>Warsteiner Dunkel Lager</t>
  </si>
  <si>
    <t>Yard's Extra Special Ale</t>
  </si>
  <si>
    <t>Jever Dark</t>
  </si>
  <si>
    <t>Pater Lieven Buffalo Belgian Stout</t>
  </si>
  <si>
    <t>Troubadour Blond Belgian Ale</t>
  </si>
  <si>
    <t>On deck:  Avery Hog Heaven</t>
  </si>
  <si>
    <t>Ommegang Chocolate Indulgence</t>
  </si>
  <si>
    <t>Thirsty Dog Siberian Night Imperial Stout</t>
  </si>
  <si>
    <t>&amp; too many others to list….visit…..</t>
  </si>
  <si>
    <t>http://tjseveryday.com/whats_on_tap.asp</t>
  </si>
  <si>
    <t>Style</t>
  </si>
  <si>
    <t>State</t>
  </si>
  <si>
    <t>Country</t>
  </si>
  <si>
    <t>Doppelbock</t>
  </si>
  <si>
    <t>LA</t>
  </si>
  <si>
    <t>USA</t>
  </si>
  <si>
    <t>Belgian Strong Ale</t>
  </si>
  <si>
    <t>Belgium</t>
  </si>
  <si>
    <t>Belgian-Style Tripel</t>
  </si>
  <si>
    <t>ME</t>
  </si>
  <si>
    <t>Belgian-Style Witbier</t>
  </si>
  <si>
    <t>Light Lager</t>
  </si>
  <si>
    <t>Netherlands</t>
  </si>
  <si>
    <t>MO</t>
  </si>
  <si>
    <t>Germany</t>
  </si>
  <si>
    <t>English Pale Ale</t>
  </si>
  <si>
    <t>England</t>
  </si>
  <si>
    <t>European Pale Lager</t>
  </si>
  <si>
    <t>Italy</t>
  </si>
  <si>
    <t>Witbier</t>
  </si>
  <si>
    <t>Herb &amp; Spice</t>
  </si>
  <si>
    <t>CO</t>
  </si>
  <si>
    <t>Bière de Garde</t>
  </si>
  <si>
    <t>France</t>
  </si>
  <si>
    <t>American IPA</t>
  </si>
  <si>
    <t>Herb &amp; Spice (American Porter)</t>
  </si>
  <si>
    <t>NY</t>
  </si>
  <si>
    <t>Belgian Tripel</t>
  </si>
  <si>
    <t>English Brown Ale</t>
  </si>
  <si>
    <t>NJ</t>
  </si>
  <si>
    <t>DE</t>
  </si>
  <si>
    <t>American Brown Ale</t>
  </si>
  <si>
    <t>American Pale Lager</t>
  </si>
  <si>
    <t>Australia</t>
  </si>
  <si>
    <t>Scotch Ale/Wee Heavy</t>
  </si>
  <si>
    <t>MI</t>
  </si>
  <si>
    <t>American Pale Ale</t>
  </si>
  <si>
    <t>PA</t>
  </si>
  <si>
    <t>Irish Dry Stout</t>
  </si>
  <si>
    <t>Ireland</t>
  </si>
  <si>
    <t>Belgian Witbier</t>
  </si>
  <si>
    <t>English-Style Bitter</t>
  </si>
  <si>
    <t>American Porter</t>
  </si>
  <si>
    <t>Imperial Stout</t>
  </si>
  <si>
    <t>Dunkel Weizen</t>
  </si>
  <si>
    <t>German-Style Pilsner</t>
  </si>
  <si>
    <t>Munich Helles Lager</t>
  </si>
  <si>
    <t>English-Style Porter</t>
  </si>
  <si>
    <t>Pumpkin Ale</t>
  </si>
  <si>
    <t>Fruit/Vegetable (American Wheat)</t>
  </si>
  <si>
    <t>Belgian Pale Ale</t>
  </si>
  <si>
    <t>Belgian Brown Ale</t>
  </si>
  <si>
    <t>American Double IPA</t>
  </si>
  <si>
    <t>Wheat Ale</t>
  </si>
  <si>
    <t>WI</t>
  </si>
  <si>
    <t>Lambic-Fruit</t>
  </si>
  <si>
    <t>VT</t>
  </si>
  <si>
    <t>CA</t>
  </si>
  <si>
    <t>Fruit/Vegetable</t>
  </si>
  <si>
    <t>American Amber/Red Ale</t>
  </si>
  <si>
    <t>American Stout</t>
  </si>
  <si>
    <t>McKenzie Oktoberfest</t>
  </si>
  <si>
    <t>German-Style Märzen/Oktoberfest</t>
  </si>
  <si>
    <t>Czech-Style Pilsner</t>
  </si>
  <si>
    <t>Smoked Beer</t>
  </si>
  <si>
    <t>German Hefe Weizen</t>
  </si>
  <si>
    <t>Czech Pilsener</t>
  </si>
  <si>
    <t>Czech Republic</t>
  </si>
  <si>
    <t>Mai Bock</t>
  </si>
  <si>
    <t>OR</t>
  </si>
  <si>
    <t>Bock</t>
  </si>
  <si>
    <t>MA</t>
  </si>
  <si>
    <t>Belgian-Style Dubbel</t>
  </si>
  <si>
    <t>Black &amp; Tan</t>
  </si>
  <si>
    <t>California Steam Beer</t>
  </si>
  <si>
    <t>Oatmeal Stout</t>
  </si>
  <si>
    <t>German-Style Hefe Weizen</t>
  </si>
  <si>
    <t>Saison/Farmhouse</t>
  </si>
  <si>
    <t>Irish Red Ale</t>
  </si>
  <si>
    <t>NH</t>
  </si>
  <si>
    <t>European Light Lager</t>
  </si>
  <si>
    <t>MN</t>
  </si>
  <si>
    <t>Belgian-Style Dark Ale</t>
  </si>
  <si>
    <t>Extra Special Bitter</t>
  </si>
  <si>
    <t>Russian Imperial Stout</t>
  </si>
  <si>
    <t>Munich Dunkel Lager</t>
  </si>
  <si>
    <t>American Barleywine</t>
  </si>
  <si>
    <t>American Amber/Red Lager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</si>
</sst>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Times New Roman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Times New Roman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Times New Roman"/>
    </font>
    <font>
      <b val="0"/>
      <i val="0"/>
      <strike val="0"/>
      <u val="none"/>
      <sz val="8.0"/>
      <color rgb="FF000000"/>
      <name val="Times New Roman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Times New Roman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0" borderId="0" applyFont="1" fontId="2">
      <alignment vertical="bottom" horizontal="general" wrapText="1"/>
    </xf>
    <xf fillId="0" xfId="0" numFmtId="0" borderId="0" applyFont="1" fontId="3"/>
    <xf fillId="0" xfId="0" numFmtId="0" borderId="0" applyFont="1" fontId="4"/>
    <xf fillId="0" xfId="0" numFmtId="0" borderId="0" applyFont="1" fontId="5"/>
    <xf applyAlignment="1" fillId="0" xfId="0" numFmtId="0" borderId="0" applyFont="1" fontId="6">
      <alignment vertical="bottom" horizontal="general" wrapText="1"/>
    </xf>
    <xf applyAlignment="1" fillId="0" xfId="0" numFmtId="0" borderId="0" applyFont="1" fontId="7">
      <alignment vertical="bottom" horizontal="general" wrapText="1"/>
    </xf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general" wrapText="1"/>
    </xf>
    <xf fillId="0" xfId="0" numFmtId="0" borderId="0" applyFont="1" fontId="10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4" width="25.29"/>
    <col min="2" customWidth="1" max="2" style="4" width="4.71"/>
    <col min="3" customWidth="1" max="3" style="4" width="2.43"/>
    <col min="4" customWidth="1" max="4" style="4" width="26.43"/>
    <col min="5" customWidth="1" max="5" style="4" width="4.71"/>
    <col min="6" customWidth="1" max="6" style="4" width="2.43"/>
    <col min="7" customWidth="1" max="7" style="4" width="25.29"/>
    <col min="8" customWidth="1" max="8" style="4" width="4.71"/>
    <col min="9" customWidth="1" max="9" style="4" width="2.43"/>
    <col min="10" customWidth="1" max="10" style="4" width="23.14"/>
    <col min="11" customWidth="1" max="11" style="4" width="4.71"/>
    <col min="12" customWidth="1" max="12" style="4" width="2.43"/>
    <col min="13" customWidth="1" max="13" style="4" width="27.43"/>
    <col min="14" customWidth="1" max="14" style="4" width="4.71"/>
    <col min="15" customWidth="1" max="15" style="4" width="2.43"/>
    <col min="16" customWidth="1" max="16" style="4" width="47.0"/>
    <col min="17" customWidth="1" max="17" style="4" width="4.71"/>
    <col min="18" customWidth="1" max="18" style="4" width="2.43"/>
    <col min="19" customWidth="1" max="19" style="4" width="38.29"/>
    <col min="20" customWidth="1" max="20" style="4" width="4.71"/>
    <col min="21" customWidth="1" max="21" style="4" width="2.43"/>
    <col min="22" customWidth="1" max="22" style="4" width="64.43"/>
    <col min="23" customWidth="1" max="23" style="4" width="4.71"/>
    <col min="24" customWidth="1" max="24" style="4" width="2.43"/>
    <col min="25" customWidth="1" max="25" style="4" width="26.43"/>
    <col min="26" customWidth="1" max="26" style="4" width="4.71"/>
    <col min="27" customWidth="1" max="27" style="4" width="2.43"/>
    <col min="28" customWidth="1" max="28" style="4" width="26.43"/>
    <col min="29" customWidth="1" max="29" style="4" width="4.71"/>
    <col min="30" customWidth="1" max="30" style="4" width="2.43"/>
    <col min="31" customWidth="1" max="31" style="4" width="25.29"/>
    <col min="32" customWidth="1" max="32" style="4" width="4.71"/>
    <col min="33" customWidth="1" max="33" style="4" width="2.43"/>
    <col min="34" customWidth="1" max="34" style="4" width="24.14"/>
    <col min="35" customWidth="1" max="35" style="4" width="4.71"/>
    <col min="36" customWidth="1" max="36" style="4" width="2.43"/>
    <col min="37" customWidth="1" max="37" style="4" width="41.57"/>
    <col min="38" customWidth="1" max="38" style="4" width="4.71"/>
    <col min="39" customWidth="1" max="39" style="4" width="2.43"/>
    <col min="40" customWidth="1" max="40" style="4" width="38.29"/>
    <col min="41" customWidth="1" max="41" style="4" width="4.71"/>
    <col min="42" customWidth="1" max="42" style="4" width="2.43"/>
    <col min="43" customWidth="1" max="43" style="4" width="28.57"/>
    <col min="44" customWidth="1" max="44" style="4" width="4.71"/>
    <col min="45" customWidth="1" max="45" style="4" width="2.43"/>
    <col min="46" customWidth="1" max="46" style="4" width="7.86"/>
  </cols>
  <sheetData>
    <row s="4" customFormat="1" r="1">
      <c t="s" s="5" r="A1">
        <v>0</v>
      </c>
      <c s="2" r="B1"/>
      <c s="2" r="C1"/>
      <c t="s" s="5" r="D1">
        <v>1</v>
      </c>
      <c s="2" r="E1"/>
      <c s="2" r="F1"/>
      <c t="s" s="5" r="G1">
        <v>2</v>
      </c>
      <c s="2" r="H1"/>
      <c s="2" r="I1"/>
      <c t="s" s="5" r="J1">
        <v>3</v>
      </c>
      <c s="2" r="K1"/>
      <c s="2" r="L1"/>
      <c t="s" s="5" r="M1">
        <v>4</v>
      </c>
      <c s="2" r="N1"/>
      <c s="2" r="O1"/>
      <c t="s" s="5" r="P1">
        <v>5</v>
      </c>
      <c s="2" r="Q1"/>
      <c s="2" r="R1"/>
      <c t="s" s="5" r="S1">
        <v>6</v>
      </c>
      <c s="2" r="T1"/>
      <c s="2" r="U1"/>
      <c t="s" s="5" r="V1">
        <v>7</v>
      </c>
      <c s="2" r="W1"/>
      <c s="2" r="X1"/>
      <c t="s" s="5" r="Y1">
        <v>8</v>
      </c>
      <c s="2" r="Z1"/>
      <c s="2" r="AA1"/>
      <c t="s" s="5" r="AB1">
        <v>8</v>
      </c>
      <c s="2" r="AC1"/>
      <c s="2" r="AD1"/>
      <c t="s" s="5" r="AE1">
        <v>9</v>
      </c>
      <c s="2" r="AF1"/>
      <c s="2" r="AG1"/>
      <c t="s" s="5" r="AH1">
        <v>10</v>
      </c>
      <c s="2" r="AI1"/>
      <c s="2" r="AJ1"/>
      <c t="s" s="5" r="AK1">
        <v>11</v>
      </c>
      <c s="2" r="AL1"/>
      <c s="2" r="AM1"/>
      <c t="s" s="5" r="AN1">
        <v>12</v>
      </c>
      <c s="2" r="AO1"/>
      <c s="2" r="AP1"/>
      <c t="s" s="5" r="AQ1">
        <v>13</v>
      </c>
      <c s="2" r="AR1"/>
      <c s="2" r="AS1"/>
      <c s="2" r="AT1"/>
    </row>
    <row s="4" customFormat="1" r="2">
      <c t="str" s="5" r="A2">
        <f>HYPERLINK("http://maps.google.com/maps?q=499+Uwchlan+Avenue,+Chester+Springs,+PA+19425","Chester Springs, PA (map)")</f>
        <v>Chester Springs, PA (map)</v>
      </c>
      <c s="2" r="B2"/>
      <c s="2" r="C2"/>
      <c t="str" s="5" r="D2">
        <f>HYPERLINK("http://maps.google.com/maps?q=286+Main+Street,+Exton,+PA+19341","Exton, PA (map)")</f>
        <v>Exton, PA (map)</v>
      </c>
      <c s="2" r="E2"/>
      <c s="2" r="F2"/>
      <c t="str" s="5" r="G2">
        <f>HYPERLINK("http://maps.google.com/maps?q=540+Wellington+Square,+Exton,+PA+19341","Exton, PA (map)")</f>
        <v>Exton, PA (map)</v>
      </c>
      <c s="2" r="H2"/>
      <c s="2" r="I2"/>
      <c t="str" s="5" r="J2">
        <f>HYPERLINK("http://maps.google.com/maps?q=128+Paoli+Pike,+Paoli,+PA+19301","Paoli, PA (map)")</f>
        <v>Paoli, PA (map)</v>
      </c>
      <c s="2" r="K2"/>
      <c s="2" r="L2"/>
      <c t="str" s="5" r="M2">
        <f>HYPERLINK("http://maps.google.com/maps?q=209+Lancaster+Avenue,,+Malvern,+PA+19355","Malvern, PA (map)")</f>
        <v>Malvern, PA (map)</v>
      </c>
      <c s="2" r="N2"/>
      <c s="2" r="O2"/>
      <c t="str" s="5" r="P2">
        <f>HYPERLINK("http://maps.google.com/maps?q=902+Village+at+Eland,+Phoenixville,+PA+19460","Phoenixville, PA (map)")</f>
        <v>Phoenixville, PA (map)</v>
      </c>
      <c s="2" r="Q2"/>
      <c s="2" r="R2"/>
      <c t="str" s="5" r="S2">
        <f>HYPERLINK("http://maps.google.com/maps?q=16+Great+Valley+Parkway,+Malvern,+PA+19355","Malvern, PA (map)")</f>
        <v>Malvern, PA (map)</v>
      </c>
      <c s="2" r="T2"/>
      <c s="2" r="U2"/>
      <c t="str" s="5" r="V2">
        <f>HYPERLINK("http://maps.google.com/maps?q=121+East+King+Road,+Malvern,+PA+19355","Malvern, PA (map)")</f>
        <v>Malvern, PA (map)</v>
      </c>
      <c s="2" r="W2"/>
      <c s="2" r="X2"/>
      <c t="str" s="5" r="Y2">
        <f>HYPERLINK("http://maps.google.com/maps?q=130+East+Bridge+Street,+Phoenixville,+PA+19460","Phoenixville, PA (map)")</f>
        <v>Phoenixville, PA (map)</v>
      </c>
      <c s="2" r="Z2"/>
      <c s="2" r="AA2"/>
      <c t="str" s="5" r="AB2">
        <f>HYPERLINK("http://maps.google.com/maps?q=3+West+Gay+Street,+West+Chester,+PA+19380","West Chester, PA (map)")</f>
        <v>West Chester, PA (map)</v>
      </c>
      <c s="2" r="AC2"/>
      <c s="2" r="AD2"/>
      <c t="str" s="5" r="AE2">
        <f>HYPERLINK("http://maps.google.com/maps?q=240+Lancaster+Avenue,+Malvern,+PA+19355","Malvern, PA (map)")</f>
        <v>Malvern, PA (map)</v>
      </c>
      <c s="2" r="AF2"/>
      <c s="2" r="AG2"/>
      <c t="str" s="5" r="AH2">
        <f>HYPERLINK("http://maps.google.com/maps?q=519+Kimberton+Road,+Phoenixville,+PA+19460","Phoenixville, PA (map)")</f>
        <v>Phoenixville, PA (map)</v>
      </c>
      <c s="2" r="AI2"/>
      <c s="2" r="AJ2"/>
      <c t="str" s="5" r="AK2">
        <f>HYPERLINK("http://maps.google.com/maps?q=635+North+Pottstown+Pike,+Exton,+PA+19341","Exton, PA (map)")</f>
        <v>Exton, PA (map)</v>
      </c>
      <c s="2" r="AL2"/>
      <c s="2" r="AM2"/>
      <c t="str" s="5" r="AN2">
        <f>HYPERLINK("http://maps.google.com/maps?q=35+Paoli+Plaza,+Paoli,+PA+19301","Paoli, PA (map)")</f>
        <v>Paoli, PA (map)</v>
      </c>
      <c s="2" r="AO2"/>
      <c s="2" r="AP2"/>
      <c t="str" s="5" r="AQ2">
        <f>HYPERLINK("http://maps.google.com/maps?q=420+Acorn+Lane,+Downingtown,+PA+19335","Downingtown, PA (map)")</f>
        <v>Downingtown, PA (map)</v>
      </c>
      <c s="2" r="AR2"/>
      <c s="2" r="AS2"/>
      <c s="2" r="AT2"/>
    </row>
    <row s="4" customFormat="1" r="3">
      <c s="7" r="A3"/>
      <c s="2" r="B3"/>
      <c s="2" r="C3"/>
      <c s="7" r="D3"/>
      <c s="2" r="E3"/>
      <c s="2" r="F3"/>
      <c s="7" r="G3"/>
      <c s="2" r="H3"/>
      <c s="2" r="I3"/>
      <c s="7" r="J3"/>
      <c s="2" r="K3"/>
      <c s="2" r="L3"/>
      <c s="7" r="M3"/>
      <c s="2" r="N3"/>
      <c s="2" r="O3"/>
      <c s="7" r="P3"/>
      <c s="2" r="Q3"/>
      <c s="2" r="R3"/>
      <c s="7" r="S3"/>
      <c s="2" r="T3"/>
      <c s="2" r="U3"/>
      <c s="7" r="V3"/>
      <c s="2" r="W3"/>
      <c s="2" r="X3"/>
      <c s="7" r="Y3"/>
      <c s="2" r="Z3"/>
      <c s="2" r="AA3"/>
      <c s="7" r="AB3"/>
      <c s="2" r="AC3"/>
      <c s="2" r="AD3"/>
      <c s="7" r="AE3"/>
      <c s="2" r="AF3"/>
      <c s="2" r="AG3"/>
      <c s="7" r="AH3"/>
      <c s="2" r="AI3"/>
      <c s="2" r="AJ3"/>
      <c s="7" r="AK3"/>
      <c s="2" r="AL3"/>
      <c s="2" r="AM3"/>
      <c s="7" r="AN3"/>
      <c s="2" r="AO3"/>
      <c s="2" r="AP3"/>
      <c s="7" r="AQ3"/>
      <c s="2" r="AR3"/>
      <c s="2" r="AS3"/>
      <c s="2" r="AT3"/>
    </row>
    <row s="4" customFormat="1" r="4">
      <c t="str" s="5" r="A4">
        <f>HYPERLINK("http://www.americabargrill.com/", "http://www.americabargrill.com")</f>
        <v>http://www.americabargrill.com</v>
      </c>
      <c s="2" r="B4"/>
      <c s="2" r="C4"/>
      <c t="str" s="5" r="D4">
        <f>HYPERLINK("http://www.appetitesonmain.com/", "http://www.appetitesonmain.com")</f>
        <v>http://www.appetitesonmain.com</v>
      </c>
      <c s="2" r="E4"/>
      <c s="2" r="F4"/>
      <c t="str" s="5" r="G4">
        <f>HYPERLINK("http://www.bricksidegrille.com/", "http://www.bricksidegrille.com")</f>
        <v>http://www.bricksidegrille.com</v>
      </c>
      <c s="2" r="H4"/>
      <c s="2" r="I4"/>
      <c t="str" s="5" r="J4">
        <f>HYPERLINK("http://thebigeasysaloon.com/", "http://thebigeasysaloon.com")</f>
        <v>http://thebigeasysaloon.com</v>
      </c>
      <c s="2" r="K4"/>
      <c s="2" r="L4"/>
      <c t="str" s="5" r="M4">
        <f>HYPERLINK("http://www.cosimorestaurant.com/", "http://www.cosimorestaurant.com")</f>
        <v>http://www.cosimorestaurant.com</v>
      </c>
      <c s="2" r="N4"/>
      <c s="2" r="O4"/>
      <c t="str" s="5" r="P4">
        <f>HYPERLINK("http://www.americabargrill.com/epicurean/epicurean.htm", "http://www.americabargrill.com/epicurean/epicurean.htm")</f>
        <v>http://www.americabargrill.com/epicurean/epicurean.htm</v>
      </c>
      <c s="2" r="Q4"/>
      <c s="2" r="R4"/>
      <c t="str" s="5" r="S4">
        <f>HYPERLINK("http://www.flanboathouse.com/mal_home.html", "http://www.flanboathouse.com/mal_home.html")</f>
        <v>http://www.flanboathouse.com/mal_home.html</v>
      </c>
      <c s="2" r="T4"/>
      <c s="2" r="U4"/>
      <c t="str" s="6" r="V4">
        <f>HYPERLINK("http://www.brewlounge.com/2006/06/whats-on-tap-at-flying-pig-saloon-in.html", "http://www.brewlounge.com/2006/06/whats-on-tap-at-flying-pig-saloon-in.html")</f>
        <v>http://www.brewlounge.com/2006/06/whats-on-tap-at-flying-pig-saloon-in.html</v>
      </c>
      <c s="2" r="W4"/>
      <c s="2" r="X4"/>
      <c t="str" s="5" r="Y4">
        <f>HYPERLINK("http://www.ironhillbrewery.com/", "http://www.ironhillbrewery.com")</f>
        <v>http://www.ironhillbrewery.com</v>
      </c>
      <c s="2" r="Z4"/>
      <c s="2" r="AA4"/>
      <c t="str" s="5" r="AB4">
        <f>HYPERLINK("http://www.ironhillbrewery.com/", "http://www.ironhillbrewery.com")</f>
        <v>http://www.ironhillbrewery.com</v>
      </c>
      <c s="2" r="AC4"/>
      <c s="2" r="AD4"/>
      <c t="str" s="5" r="AE4">
        <f>HYPERLINK("http://mckenziebrewhouse.com/", "http://mckenziebrewhouse.com")</f>
        <v>http://mckenziebrewhouse.com</v>
      </c>
      <c s="2" r="AF4"/>
      <c s="2" r="AG4"/>
      <c t="str" s="5" r="AH4">
        <f>HYPERLINK("http://www.slyfoxbeer.com/", "http://www.slyfoxbeer.com")</f>
        <v>http://www.slyfoxbeer.com</v>
      </c>
      <c s="2" r="AI4"/>
      <c s="2" r="AJ4"/>
      <c t="str" s="5" r="AK4">
        <f>HYPERLINK("http://www.draftingroom.com/exton/ex_home.html", "http://www.draftingroom.com/exton/ex_home.html")</f>
        <v>http://www.draftingroom.com/exton/ex_home.html</v>
      </c>
      <c s="2" r="AL4"/>
      <c s="2" r="AM4"/>
      <c t="str" s="5" r="AN4">
        <f>HYPERLINK("http://tjsbeer.com/", "http://tjsbeer.com/")</f>
        <v>http://tjsbeer.com/</v>
      </c>
      <c s="2" r="AO4"/>
      <c s="2" r="AP4"/>
      <c t="str" s="5" r="AQ4">
        <f>HYPERLINK("http://www.victorybeer.com/", "http://www.victorybeer.com")</f>
        <v>http://www.victorybeer.com</v>
      </c>
      <c s="2" r="AR4"/>
      <c s="2" r="AS4"/>
      <c s="2" r="AT4"/>
    </row>
    <row s="4" customFormat="1" r="5">
      <c t="s" s="5" r="A5">
        <v>14</v>
      </c>
      <c s="2" r="B5"/>
      <c s="2" r="C5"/>
      <c t="s" s="5" r="D5">
        <v>15</v>
      </c>
      <c s="2" r="E5"/>
      <c s="2" r="F5"/>
      <c t="s" s="5" r="G5">
        <v>16</v>
      </c>
      <c s="2" r="H5"/>
      <c s="2" r="I5"/>
      <c t="s" s="5" r="J5">
        <v>17</v>
      </c>
      <c s="2" r="K5"/>
      <c s="2" r="L5"/>
      <c t="s" s="5" r="M5">
        <v>18</v>
      </c>
      <c s="2" r="N5"/>
      <c s="2" r="O5"/>
      <c t="s" s="5" r="P5">
        <v>19</v>
      </c>
      <c s="2" r="Q5"/>
      <c s="2" r="R5"/>
      <c t="s" s="5" r="S5">
        <v>20</v>
      </c>
      <c s="2" r="T5"/>
      <c s="2" r="U5"/>
      <c t="s" s="5" r="V5">
        <v>21</v>
      </c>
      <c s="2" r="W5"/>
      <c s="2" r="X5"/>
      <c t="s" s="5" r="Y5">
        <v>22</v>
      </c>
      <c s="2" r="Z5"/>
      <c s="2" r="AA5"/>
      <c t="s" s="5" r="AB5">
        <v>22</v>
      </c>
      <c s="2" r="AC5"/>
      <c s="2" r="AD5"/>
      <c t="s" s="5" r="AE5">
        <v>23</v>
      </c>
      <c s="2" r="AF5"/>
      <c s="2" r="AG5"/>
      <c t="s" s="5" r="AH5">
        <v>24</v>
      </c>
      <c s="2" r="AI5"/>
      <c s="2" r="AJ5"/>
      <c t="s" s="5" r="AK5">
        <v>25</v>
      </c>
      <c s="2" r="AL5"/>
      <c s="2" r="AM5"/>
      <c t="s" s="5" r="AN5">
        <v>26</v>
      </c>
      <c s="2" r="AO5"/>
      <c s="2" r="AP5"/>
      <c t="s" s="5" r="AQ5">
        <v>27</v>
      </c>
      <c s="2" r="AR5"/>
      <c s="2" r="AS5"/>
      <c s="2" r="AT5"/>
    </row>
    <row s="4" customFormat="1" r="6">
      <c s="5" r="A6"/>
      <c s="2" r="B6"/>
      <c s="2" r="C6"/>
      <c s="5" r="D6"/>
      <c s="2" r="E6"/>
      <c s="2" r="F6"/>
      <c s="5" r="G6"/>
      <c s="2" r="H6"/>
      <c s="2" r="I6"/>
      <c s="5" r="J6"/>
      <c s="2" r="K6"/>
      <c s="2" r="L6"/>
      <c s="5" r="M6"/>
      <c s="2" r="N6"/>
      <c s="2" r="O6"/>
      <c s="5" r="P6"/>
      <c s="2" r="Q6"/>
      <c s="2" r="R6"/>
      <c s="5" r="S6"/>
      <c s="2" r="T6"/>
      <c s="2" r="U6"/>
      <c s="5" r="V6"/>
      <c s="2" r="W6"/>
      <c s="2" r="X6"/>
      <c s="5" r="Y6"/>
      <c s="2" r="Z6"/>
      <c s="2" r="AA6"/>
      <c s="5" r="AB6"/>
      <c s="2" r="AC6"/>
      <c s="2" r="AD6"/>
      <c s="10" r="AE6"/>
      <c s="2" r="AF6"/>
      <c s="2" r="AG6"/>
      <c s="5" r="AH6"/>
      <c s="2" r="AI6"/>
      <c s="2" r="AJ6"/>
      <c s="5" r="AK6"/>
      <c s="2" r="AL6"/>
      <c s="2" r="AM6"/>
      <c s="5" r="AN6"/>
      <c s="2" r="AO6"/>
      <c s="2" r="AP6"/>
      <c s="5" r="AQ6"/>
      <c s="2" r="AR6"/>
      <c s="2" r="AS6"/>
      <c s="2" r="AT6"/>
    </row>
    <row s="4" customFormat="1" r="7">
      <c t="s" s="8" r="A7">
        <v>28</v>
      </c>
      <c t="s" s="8" r="B7">
        <v>29</v>
      </c>
      <c s="2" r="C7"/>
      <c t="s" s="8" r="D7">
        <v>28</v>
      </c>
      <c t="s" s="8" r="E7">
        <v>29</v>
      </c>
      <c s="2" r="F7"/>
      <c t="s" s="8" r="G7">
        <v>28</v>
      </c>
      <c t="s" s="8" r="H7">
        <v>29</v>
      </c>
      <c s="2" r="I7"/>
      <c t="s" s="8" r="J7">
        <v>28</v>
      </c>
      <c t="s" s="8" r="K7">
        <v>29</v>
      </c>
      <c s="2" r="L7"/>
      <c t="s" s="8" r="M7">
        <v>28</v>
      </c>
      <c t="s" s="8" r="N7">
        <v>29</v>
      </c>
      <c s="2" r="O7"/>
      <c t="s" s="8" r="P7">
        <v>28</v>
      </c>
      <c t="s" s="8" r="Q7">
        <v>29</v>
      </c>
      <c s="2" r="R7"/>
      <c t="s" s="8" r="S7">
        <v>28</v>
      </c>
      <c t="s" s="8" r="T7">
        <v>29</v>
      </c>
      <c s="2" r="U7"/>
      <c t="s" s="8" r="V7">
        <v>28</v>
      </c>
      <c t="s" s="8" r="W7">
        <v>29</v>
      </c>
      <c s="2" r="X7"/>
      <c t="s" s="8" r="Y7">
        <v>28</v>
      </c>
      <c t="s" s="8" r="Z7">
        <v>29</v>
      </c>
      <c s="2" r="AA7"/>
      <c t="s" s="8" r="AB7">
        <v>28</v>
      </c>
      <c t="s" s="8" r="AC7">
        <v>29</v>
      </c>
      <c s="2" r="AD7"/>
      <c t="s" s="8" r="AE7">
        <v>28</v>
      </c>
      <c t="s" s="8" r="AF7">
        <v>29</v>
      </c>
      <c s="2" r="AG7"/>
      <c t="s" s="8" r="AH7">
        <v>28</v>
      </c>
      <c t="s" s="8" r="AI7">
        <v>29</v>
      </c>
      <c s="2" r="AJ7"/>
      <c t="s" s="8" r="AK7">
        <v>28</v>
      </c>
      <c t="s" s="8" r="AL7">
        <v>29</v>
      </c>
      <c s="2" r="AM7"/>
      <c t="s" s="8" r="AN7">
        <v>28</v>
      </c>
      <c t="s" s="8" r="AO7">
        <v>29</v>
      </c>
      <c s="2" r="AP7"/>
      <c t="s" s="8" r="AQ7">
        <v>28</v>
      </c>
      <c t="s" s="8" r="AR7">
        <v>29</v>
      </c>
      <c s="2" r="AS7"/>
      <c s="2" r="AT7"/>
    </row>
    <row s="4" customFormat="1" r="8">
      <c t="s" s="10" r="A8">
        <v>30</v>
      </c>
      <c t="s" s="10" r="B8">
        <v>31</v>
      </c>
      <c s="2" r="C8"/>
      <c t="s" s="10" r="D8">
        <v>32</v>
      </c>
      <c t="s" s="10" r="E8">
        <v>31</v>
      </c>
      <c s="2" r="F8"/>
      <c t="s" s="10" r="G8">
        <v>33</v>
      </c>
      <c t="s" s="10" r="H8">
        <v>31</v>
      </c>
      <c s="2" r="I8"/>
      <c t="s" s="10" r="J8">
        <v>34</v>
      </c>
      <c t="s" s="10" r="K8">
        <v>31</v>
      </c>
      <c s="2" r="L8"/>
      <c t="s" s="10" r="M8">
        <v>35</v>
      </c>
      <c t="s" s="10" r="N8">
        <v>31</v>
      </c>
      <c s="2" r="O8"/>
      <c t="s" s="10" r="P8">
        <v>36</v>
      </c>
      <c t="s" s="10" r="Q8">
        <v>31</v>
      </c>
      <c s="2" r="R8"/>
      <c t="s" s="10" r="S8">
        <v>37</v>
      </c>
      <c t="s" s="10" r="T8">
        <v>31</v>
      </c>
      <c s="2" r="U8"/>
      <c t="s" s="10" r="V8">
        <v>38</v>
      </c>
      <c t="s" s="10" r="W8">
        <v>31</v>
      </c>
      <c s="2" r="X8"/>
      <c t="s" s="10" r="Y8">
        <v>39</v>
      </c>
      <c t="s" s="10" r="Z8">
        <v>31</v>
      </c>
      <c s="2" r="AA8"/>
      <c t="s" s="10" r="AB8">
        <v>39</v>
      </c>
      <c t="s" s="10" r="AC8">
        <v>31</v>
      </c>
      <c s="2" r="AD8"/>
      <c t="s" s="10" r="AE8">
        <v>40</v>
      </c>
      <c t="s" s="10" r="AF8">
        <v>31</v>
      </c>
      <c s="2" r="AG8"/>
      <c t="s" s="10" r="AH8">
        <v>41</v>
      </c>
      <c t="s" s="10" r="AI8">
        <v>31</v>
      </c>
      <c s="2" r="AJ8"/>
      <c t="s" s="10" r="AK8">
        <v>33</v>
      </c>
      <c t="s" s="10" r="AL8">
        <v>31</v>
      </c>
      <c s="2" r="AM8"/>
      <c t="s" s="10" r="AN8">
        <v>42</v>
      </c>
      <c t="s" s="10" r="AO8">
        <v>31</v>
      </c>
      <c s="2" r="AP8"/>
      <c t="s" s="10" r="AQ8">
        <v>43</v>
      </c>
      <c t="s" s="10" r="AR8">
        <v>31</v>
      </c>
      <c s="2" r="AS8"/>
      <c s="2" r="AT8"/>
    </row>
    <row s="4" customFormat="1" r="9">
      <c t="s" s="10" r="A9">
        <v>33</v>
      </c>
      <c t="s" s="10" r="B9">
        <v>31</v>
      </c>
      <c s="2" r="C9"/>
      <c t="s" s="10" r="D9">
        <v>44</v>
      </c>
      <c t="s" s="10" r="E9">
        <v>31</v>
      </c>
      <c s="2" r="F9"/>
      <c t="s" s="10" r="G9">
        <v>34</v>
      </c>
      <c t="s" s="10" r="H9">
        <v>31</v>
      </c>
      <c s="2" r="I9"/>
      <c t="s" s="10" r="J9">
        <v>44</v>
      </c>
      <c t="s" s="10" r="K9">
        <v>31</v>
      </c>
      <c s="2" r="L9"/>
      <c t="s" s="10" r="M9">
        <v>45</v>
      </c>
      <c t="s" s="10" r="N9">
        <v>31</v>
      </c>
      <c s="2" r="O9"/>
      <c t="s" s="10" r="P9">
        <v>46</v>
      </c>
      <c t="s" s="10" r="Q9">
        <v>31</v>
      </c>
      <c s="2" r="R9"/>
      <c t="s" s="10" r="S9">
        <v>47</v>
      </c>
      <c t="s" s="10" r="T9">
        <v>31</v>
      </c>
      <c s="2" r="U9"/>
      <c t="s" s="10" r="V9">
        <v>48</v>
      </c>
      <c t="s" s="10" r="W9">
        <v>31</v>
      </c>
      <c s="2" r="X9"/>
      <c t="s" s="10" r="Y9">
        <v>39</v>
      </c>
      <c t="s" s="10" r="Z9">
        <v>49</v>
      </c>
      <c s="2" r="AA9"/>
      <c t="s" s="10" r="AB9">
        <v>50</v>
      </c>
      <c t="s" s="10" r="AC9">
        <v>49</v>
      </c>
      <c s="2" r="AD9"/>
      <c t="s" s="10" r="AE9">
        <v>51</v>
      </c>
      <c t="s" s="10" r="AF9">
        <v>31</v>
      </c>
      <c s="2" r="AG9"/>
      <c t="s" s="10" r="AH9">
        <v>52</v>
      </c>
      <c t="s" s="10" r="AI9">
        <v>31</v>
      </c>
      <c s="2" r="AJ9"/>
      <c t="s" s="10" r="AK9">
        <v>53</v>
      </c>
      <c t="s" s="10" r="AL9">
        <v>31</v>
      </c>
      <c s="2" r="AM9"/>
      <c t="s" s="10" r="AN9">
        <v>34</v>
      </c>
      <c t="s" s="10" r="AO9">
        <v>31</v>
      </c>
      <c s="2" r="AP9"/>
      <c t="s" s="10" r="AQ9">
        <v>54</v>
      </c>
      <c t="s" s="10" r="AR9">
        <v>31</v>
      </c>
      <c s="2" r="AS9"/>
      <c s="2" r="AT9"/>
    </row>
    <row s="4" customFormat="1" r="10">
      <c t="s" s="10" r="A10">
        <v>34</v>
      </c>
      <c t="s" s="10" r="B10">
        <v>31</v>
      </c>
      <c s="2" r="C10"/>
      <c t="s" s="10" r="D10">
        <v>55</v>
      </c>
      <c t="s" s="10" r="E10">
        <v>31</v>
      </c>
      <c s="2" r="F10"/>
      <c t="s" s="10" r="G10">
        <v>46</v>
      </c>
      <c t="s" s="10" r="H10">
        <v>31</v>
      </c>
      <c s="2" r="I10"/>
      <c t="s" s="10" r="J10">
        <v>56</v>
      </c>
      <c t="s" s="10" r="K10">
        <v>31</v>
      </c>
      <c s="2" r="L10"/>
      <c t="s" s="10" r="M10">
        <v>46</v>
      </c>
      <c t="s" s="10" r="N10">
        <v>31</v>
      </c>
      <c s="2" r="O10"/>
      <c t="s" s="10" r="P10">
        <v>44</v>
      </c>
      <c t="s" s="10" r="Q10">
        <v>31</v>
      </c>
      <c s="2" r="R10"/>
      <c t="s" s="10" r="S10">
        <v>57</v>
      </c>
      <c t="s" s="10" r="T10">
        <v>31</v>
      </c>
      <c s="2" r="U10"/>
      <c t="s" s="10" r="V10">
        <v>58</v>
      </c>
      <c t="s" s="10" r="W10">
        <v>31</v>
      </c>
      <c s="2" r="X10"/>
      <c t="s" s="10" r="Y10">
        <v>59</v>
      </c>
      <c t="s" s="10" r="Z10">
        <v>31</v>
      </c>
      <c s="2" r="AA10"/>
      <c t="s" s="10" r="AB10">
        <v>60</v>
      </c>
      <c t="s" s="10" r="AC10">
        <v>31</v>
      </c>
      <c s="2" r="AD10"/>
      <c t="s" s="10" r="AE10">
        <v>61</v>
      </c>
      <c t="s" s="10" r="AF10">
        <v>31</v>
      </c>
      <c s="2" r="AG10"/>
      <c t="s" s="10" r="AH10">
        <v>62</v>
      </c>
      <c t="s" s="10" r="AI10">
        <v>31</v>
      </c>
      <c s="2" r="AJ10"/>
      <c t="s" s="10" r="AK10">
        <v>63</v>
      </c>
      <c t="s" s="10" r="AL10">
        <v>31</v>
      </c>
      <c s="2" r="AM10"/>
      <c t="s" s="10" r="AN10">
        <v>64</v>
      </c>
      <c t="s" s="10" r="AO10">
        <v>31</v>
      </c>
      <c s="2" r="AP10"/>
      <c t="s" s="10" r="AQ10">
        <v>65</v>
      </c>
      <c t="s" s="10" r="AR10">
        <v>31</v>
      </c>
      <c s="2" r="AS10"/>
      <c s="2" r="AT10"/>
    </row>
    <row s="4" customFormat="1" r="11">
      <c t="s" s="10" r="A11">
        <v>66</v>
      </c>
      <c t="s" s="10" r="B11">
        <v>49</v>
      </c>
      <c s="2" r="C11"/>
      <c t="s" s="10" r="D11">
        <v>67</v>
      </c>
      <c t="s" s="10" r="E11">
        <v>31</v>
      </c>
      <c s="2" r="F11"/>
      <c t="s" s="10" r="G11">
        <v>68</v>
      </c>
      <c t="s" s="10" r="H11">
        <v>31</v>
      </c>
      <c s="2" r="I11"/>
      <c t="s" s="10" r="J11">
        <v>68</v>
      </c>
      <c t="s" s="10" r="K11">
        <v>31</v>
      </c>
      <c s="2" r="L11"/>
      <c t="s" s="10" r="M11">
        <v>69</v>
      </c>
      <c t="s" s="10" r="N11">
        <v>31</v>
      </c>
      <c s="2" r="O11"/>
      <c t="s" s="10" r="P11">
        <v>70</v>
      </c>
      <c t="s" s="10" r="Q11">
        <v>31</v>
      </c>
      <c s="2" r="R11"/>
      <c t="s" s="10" r="S11">
        <v>71</v>
      </c>
      <c t="s" s="10" r="T11">
        <v>31</v>
      </c>
      <c s="2" r="U11"/>
      <c t="s" s="10" r="V11">
        <v>72</v>
      </c>
      <c t="s" s="10" r="W11">
        <v>31</v>
      </c>
      <c s="2" r="X11"/>
      <c t="s" s="10" r="Y11">
        <v>73</v>
      </c>
      <c t="s" s="10" r="Z11">
        <v>31</v>
      </c>
      <c s="2" r="AA11"/>
      <c t="s" s="10" r="AB11">
        <v>74</v>
      </c>
      <c t="s" s="10" r="AC11">
        <v>31</v>
      </c>
      <c s="2" r="AD11"/>
      <c t="s" s="10" r="AE11">
        <v>75</v>
      </c>
      <c t="s" s="10" r="AF11">
        <v>31</v>
      </c>
      <c s="2" r="AG11"/>
      <c t="s" s="10" r="AH11">
        <v>76</v>
      </c>
      <c t="s" s="10" r="AI11">
        <v>31</v>
      </c>
      <c s="2" r="AJ11"/>
      <c t="s" s="10" r="AK11">
        <v>77</v>
      </c>
      <c t="s" s="10" r="AL11">
        <v>31</v>
      </c>
      <c s="2" r="AM11"/>
      <c t="s" s="1" r="AN11">
        <v>78</v>
      </c>
      <c t="s" s="10" r="AO11">
        <v>31</v>
      </c>
      <c s="2" r="AP11"/>
      <c t="s" s="10" r="AQ11">
        <v>79</v>
      </c>
      <c t="s" s="10" r="AR11">
        <v>31</v>
      </c>
      <c s="2" r="AS11"/>
      <c s="2" r="AT11"/>
    </row>
    <row s="4" customFormat="1" r="12">
      <c t="s" s="10" r="A12">
        <v>80</v>
      </c>
      <c t="s" s="10" r="B12">
        <v>31</v>
      </c>
      <c s="2" r="C12"/>
      <c t="s" s="10" r="D12">
        <v>81</v>
      </c>
      <c t="s" s="10" r="E12">
        <v>31</v>
      </c>
      <c s="2" r="F12"/>
      <c t="s" s="10" r="G12">
        <v>81</v>
      </c>
      <c t="s" s="10" r="H12">
        <v>31</v>
      </c>
      <c s="2" r="I12"/>
      <c t="s" s="10" r="J12">
        <v>71</v>
      </c>
      <c t="s" s="10" r="K12">
        <v>31</v>
      </c>
      <c s="2" r="L12"/>
      <c t="s" s="10" r="M12">
        <v>82</v>
      </c>
      <c t="s" s="10" r="N12">
        <v>31</v>
      </c>
      <c s="2" r="O12"/>
      <c t="s" s="10" r="P12">
        <v>83</v>
      </c>
      <c t="s" s="10" r="Q12">
        <v>31</v>
      </c>
      <c s="2" r="R12"/>
      <c t="s" s="10" r="S12">
        <v>83</v>
      </c>
      <c t="s" s="10" r="T12">
        <v>31</v>
      </c>
      <c s="2" r="U12"/>
      <c t="s" s="10" r="V12">
        <v>84</v>
      </c>
      <c t="s" s="10" r="W12">
        <v>31</v>
      </c>
      <c s="2" r="X12"/>
      <c t="s" s="10" r="Y12">
        <v>74</v>
      </c>
      <c t="s" s="10" r="Z12">
        <v>31</v>
      </c>
      <c s="2" r="AA12"/>
      <c t="s" s="10" r="AB12">
        <v>85</v>
      </c>
      <c t="s" s="10" r="AC12">
        <v>31</v>
      </c>
      <c s="2" r="AD12"/>
      <c t="s" s="10" r="AE12">
        <v>86</v>
      </c>
      <c t="s" s="10" r="AF12">
        <v>31</v>
      </c>
      <c s="2" r="AG12"/>
      <c t="s" s="10" r="AH12">
        <v>87</v>
      </c>
      <c t="s" s="10" r="AI12">
        <v>31</v>
      </c>
      <c s="2" r="AJ12"/>
      <c t="s" s="10" r="AK12">
        <v>88</v>
      </c>
      <c t="s" s="10" r="AL12">
        <v>31</v>
      </c>
      <c s="2" r="AM12"/>
      <c t="s" s="10" r="AN12">
        <v>89</v>
      </c>
      <c t="s" s="10" r="AO12">
        <v>31</v>
      </c>
      <c s="2" r="AP12"/>
      <c t="s" s="10" r="AQ12">
        <v>90</v>
      </c>
      <c t="s" s="10" r="AR12">
        <v>31</v>
      </c>
      <c s="2" r="AS12"/>
      <c s="2" r="AT12"/>
    </row>
    <row s="4" customFormat="1" r="13">
      <c t="s" s="10" r="A13">
        <v>84</v>
      </c>
      <c t="s" s="10" r="B13">
        <v>31</v>
      </c>
      <c s="2" r="C13"/>
      <c t="s" s="10" r="D13">
        <v>91</v>
      </c>
      <c t="s" s="10" r="E13">
        <v>31</v>
      </c>
      <c s="2" r="F13"/>
      <c t="s" s="10" r="G13">
        <v>83</v>
      </c>
      <c t="s" s="10" r="H13">
        <v>31</v>
      </c>
      <c s="2" r="I13"/>
      <c t="s" s="10" r="J13">
        <v>79</v>
      </c>
      <c t="s" s="10" r="K13">
        <v>31</v>
      </c>
      <c s="2" r="L13"/>
      <c s="10" r="M13"/>
      <c s="10" r="N13"/>
      <c s="2" r="O13"/>
      <c t="s" s="1" r="P13">
        <v>92</v>
      </c>
      <c t="s" s="10" r="Q13">
        <v>31</v>
      </c>
      <c s="2" r="R13"/>
      <c t="s" s="10" r="S13">
        <v>93</v>
      </c>
      <c t="s" s="10" r="T13">
        <v>31</v>
      </c>
      <c s="2" r="U13"/>
      <c t="s" s="10" r="V13">
        <v>44</v>
      </c>
      <c t="s" s="10" r="W13">
        <v>31</v>
      </c>
      <c s="2" r="X13"/>
      <c t="s" s="10" r="Y13">
        <v>74</v>
      </c>
      <c t="s" s="10" r="Z13">
        <v>94</v>
      </c>
      <c s="2" r="AA13"/>
      <c t="s" s="10" r="AB13">
        <v>95</v>
      </c>
      <c t="s" s="10" r="AC13">
        <v>31</v>
      </c>
      <c s="2" r="AD13"/>
      <c t="s" s="10" r="AE13">
        <v>96</v>
      </c>
      <c t="s" s="10" r="AF13">
        <v>31</v>
      </c>
      <c s="2" r="AG13"/>
      <c t="s" s="10" r="AH13">
        <v>97</v>
      </c>
      <c t="s" s="10" r="AI13">
        <v>31</v>
      </c>
      <c s="2" r="AJ13"/>
      <c t="s" s="10" r="AK13">
        <v>98</v>
      </c>
      <c t="s" s="10" r="AL13">
        <v>31</v>
      </c>
      <c s="2" r="AM13"/>
      <c t="s" s="10" r="AN13">
        <v>99</v>
      </c>
      <c t="s" s="10" r="AO13">
        <v>31</v>
      </c>
      <c s="2" r="AP13"/>
      <c t="s" s="10" r="AQ13">
        <v>69</v>
      </c>
      <c t="s" s="10" r="AR13">
        <v>31</v>
      </c>
      <c s="2" r="AS13"/>
      <c s="2" r="AT13"/>
    </row>
    <row s="4" customFormat="1" r="14">
      <c t="s" s="10" r="A14">
        <v>100</v>
      </c>
      <c t="s" s="10" r="B14">
        <v>31</v>
      </c>
      <c s="2" r="C14"/>
      <c t="s" s="10" r="D14">
        <v>69</v>
      </c>
      <c t="s" s="10" r="E14">
        <v>31</v>
      </c>
      <c s="2" r="F14"/>
      <c t="s" s="10" r="G14">
        <v>91</v>
      </c>
      <c t="s" s="10" r="H14">
        <v>31</v>
      </c>
      <c s="2" r="I14"/>
      <c t="s" s="10" r="J14">
        <v>101</v>
      </c>
      <c t="s" s="10" r="K14">
        <v>31</v>
      </c>
      <c s="2" r="L14"/>
      <c s="10" r="M14"/>
      <c s="10" r="N14"/>
      <c s="2" r="O14"/>
      <c t="s" s="10" r="P14">
        <v>102</v>
      </c>
      <c t="s" s="10" r="Q14">
        <v>31</v>
      </c>
      <c s="2" r="R14"/>
      <c t="s" s="10" r="S14">
        <v>103</v>
      </c>
      <c t="s" s="10" r="T14">
        <v>31</v>
      </c>
      <c s="2" r="U14"/>
      <c t="s" s="10" r="V14">
        <v>104</v>
      </c>
      <c t="s" s="10" r="W14">
        <v>31</v>
      </c>
      <c s="2" r="X14"/>
      <c t="s" s="10" r="Y14">
        <v>85</v>
      </c>
      <c t="s" s="10" r="Z14">
        <v>31</v>
      </c>
      <c s="2" r="AA14"/>
      <c t="s" s="10" r="AB14">
        <v>105</v>
      </c>
      <c t="s" s="10" r="AC14">
        <v>31</v>
      </c>
      <c s="2" r="AD14"/>
      <c t="s" s="10" r="AE14">
        <v>106</v>
      </c>
      <c t="s" s="10" r="AF14">
        <v>31</v>
      </c>
      <c s="2" r="AG14"/>
      <c t="s" s="10" r="AH14">
        <v>107</v>
      </c>
      <c t="s" s="10" r="AI14">
        <v>31</v>
      </c>
      <c s="2" r="AJ14"/>
      <c t="s" s="10" r="AK14">
        <v>108</v>
      </c>
      <c t="s" s="10" r="AL14">
        <v>31</v>
      </c>
      <c s="2" r="AM14"/>
      <c t="s" s="10" r="AN14">
        <v>109</v>
      </c>
      <c t="s" s="10" r="AO14">
        <v>31</v>
      </c>
      <c s="2" r="AP14"/>
      <c t="s" s="10" r="AQ14">
        <v>69</v>
      </c>
      <c t="s" s="10" r="AR14">
        <v>110</v>
      </c>
      <c s="2" r="AS14"/>
      <c s="2" r="AT14"/>
    </row>
    <row s="4" customFormat="1" r="15">
      <c t="s" s="10" r="A15">
        <v>46</v>
      </c>
      <c t="s" s="10" r="B15">
        <v>31</v>
      </c>
      <c s="2" r="C15"/>
      <c t="s" s="10" r="D15">
        <v>101</v>
      </c>
      <c t="s" s="10" r="E15">
        <v>31</v>
      </c>
      <c s="2" r="F15"/>
      <c t="s" s="10" r="G15">
        <v>111</v>
      </c>
      <c t="s" s="10" r="H15">
        <v>31</v>
      </c>
      <c s="2" r="I15"/>
      <c s="2" r="J15"/>
      <c s="10" r="K15"/>
      <c s="2" r="L15"/>
      <c s="10" r="N15"/>
      <c s="2" r="O15"/>
      <c t="s" s="10" r="P15">
        <v>101</v>
      </c>
      <c t="s" s="10" r="Q15">
        <v>31</v>
      </c>
      <c s="2" r="R15"/>
      <c t="s" s="10" r="S15">
        <v>54</v>
      </c>
      <c t="s" s="10" r="T15">
        <v>31</v>
      </c>
      <c s="2" r="U15"/>
      <c t="s" s="10" r="V15">
        <v>112</v>
      </c>
      <c t="s" s="10" r="W15">
        <v>31</v>
      </c>
      <c s="2" r="X15"/>
      <c t="s" s="10" r="Y15">
        <v>95</v>
      </c>
      <c t="s" s="10" r="Z15">
        <v>31</v>
      </c>
      <c s="2" r="AA15"/>
      <c t="s" s="10" r="AB15">
        <v>105</v>
      </c>
      <c t="s" s="10" r="AC15">
        <v>94</v>
      </c>
      <c s="2" r="AD15"/>
      <c t="s" s="1" r="AE15">
        <v>113</v>
      </c>
      <c t="s" s="10" r="AF15">
        <v>31</v>
      </c>
      <c s="2" r="AG15"/>
      <c t="s" s="10" r="AH15">
        <v>107</v>
      </c>
      <c t="s" s="10" r="AI15">
        <v>110</v>
      </c>
      <c s="2" r="AJ15"/>
      <c t="s" s="10" r="AK15">
        <v>114</v>
      </c>
      <c t="s" s="10" r="AL15">
        <v>31</v>
      </c>
      <c s="2" r="AM15"/>
      <c t="s" s="10" r="AN15">
        <v>115</v>
      </c>
      <c t="s" s="10" r="AO15">
        <v>31</v>
      </c>
      <c s="2" r="AP15"/>
      <c t="s" s="10" r="AQ15">
        <v>116</v>
      </c>
      <c t="s" s="10" r="AR15">
        <v>31</v>
      </c>
      <c s="2" r="AS15"/>
      <c s="2" r="AT15"/>
    </row>
    <row s="4" customFormat="1" r="16">
      <c t="s" s="10" r="A16">
        <v>44</v>
      </c>
      <c t="s" s="10" r="B16">
        <v>49</v>
      </c>
      <c s="2" r="C16"/>
      <c s="2" r="D16"/>
      <c s="2" r="E16"/>
      <c s="2" r="F16"/>
      <c t="s" s="1" r="G16">
        <v>92</v>
      </c>
      <c t="s" s="10" r="H16">
        <v>31</v>
      </c>
      <c s="2" r="I16"/>
      <c s="2" r="J16"/>
      <c s="2" r="K16"/>
      <c s="2" r="L16"/>
      <c s="2" r="M16"/>
      <c s="2" r="N16"/>
      <c s="2" r="O16"/>
      <c s="2" r="P16"/>
      <c s="2" r="Q16"/>
      <c s="2" r="R16"/>
      <c t="s" s="10" r="S16">
        <v>117</v>
      </c>
      <c t="s" s="10" r="T16">
        <v>31</v>
      </c>
      <c s="2" r="U16"/>
      <c t="s" s="10" r="V16">
        <v>118</v>
      </c>
      <c t="s" s="10" r="W16">
        <v>31</v>
      </c>
      <c s="2" r="X16"/>
      <c t="s" s="10" r="Y16">
        <v>105</v>
      </c>
      <c t="s" s="10" r="Z16">
        <v>31</v>
      </c>
      <c s="2" r="AA16"/>
      <c t="s" s="10" r="AB16">
        <v>119</v>
      </c>
      <c t="s" s="10" r="AC16">
        <v>31</v>
      </c>
      <c s="2" r="AD16"/>
      <c t="s" s="10" r="AE16">
        <v>120</v>
      </c>
      <c t="s" s="10" r="AF16">
        <v>31</v>
      </c>
      <c s="2" r="AG16"/>
      <c t="s" s="10" r="AH16">
        <v>111</v>
      </c>
      <c t="s" s="10" r="AI16">
        <v>31</v>
      </c>
      <c s="2" r="AJ16"/>
      <c t="s" s="10" r="AK16">
        <v>81</v>
      </c>
      <c t="s" s="10" r="AL16">
        <v>31</v>
      </c>
      <c s="2" r="AM16"/>
      <c t="s" s="10" r="AN16">
        <v>121</v>
      </c>
      <c t="s" s="10" r="AO16">
        <v>31</v>
      </c>
      <c s="2" r="AP16"/>
      <c t="s" s="10" r="AQ16">
        <v>122</v>
      </c>
      <c t="s" s="10" r="AR16">
        <v>31</v>
      </c>
      <c s="2" r="AS16"/>
      <c s="2" r="AT16"/>
    </row>
    <row s="4" customFormat="1" r="17">
      <c t="s" s="10" r="A17">
        <v>104</v>
      </c>
      <c t="s" s="10" r="B17">
        <v>31</v>
      </c>
      <c s="2" r="C17"/>
      <c s="2" r="D17"/>
      <c s="2" r="E17"/>
      <c s="2" r="F17"/>
      <c t="s" s="10" r="G17">
        <v>123</v>
      </c>
      <c t="s" s="10" r="H17">
        <v>31</v>
      </c>
      <c s="2" r="I17"/>
      <c s="2" r="J17"/>
      <c s="2" r="K17"/>
      <c s="2" r="L17"/>
      <c s="2" r="M17"/>
      <c s="2" r="N17"/>
      <c s="2" r="O17"/>
      <c s="2" r="P17"/>
      <c s="2" r="Q17"/>
      <c s="2" r="R17"/>
      <c s="2" r="S17"/>
      <c s="2" r="T17"/>
      <c s="2" r="U17"/>
      <c t="s" s="10" r="V17">
        <v>124</v>
      </c>
      <c t="s" s="10" r="W17">
        <v>31</v>
      </c>
      <c s="2" r="X17"/>
      <c t="s" s="10" r="Y17">
        <v>125</v>
      </c>
      <c t="s" s="10" r="Z17">
        <v>31</v>
      </c>
      <c s="2" r="AA17"/>
      <c t="s" s="10" r="AB17">
        <v>125</v>
      </c>
      <c t="s" s="10" r="AC17">
        <v>31</v>
      </c>
      <c s="2" r="AD17"/>
      <c s="2" r="AE17"/>
      <c s="2" r="AF17"/>
      <c s="2" r="AG17"/>
      <c t="s" s="10" r="AH17">
        <v>126</v>
      </c>
      <c t="s" s="10" r="AI17">
        <v>31</v>
      </c>
      <c s="2" r="AJ17"/>
      <c t="s" s="10" r="AK17">
        <v>83</v>
      </c>
      <c t="s" s="10" r="AL17">
        <v>31</v>
      </c>
      <c s="2" r="AM17"/>
      <c t="s" s="10" r="AN17">
        <v>56</v>
      </c>
      <c t="s" s="10" r="AO17">
        <v>31</v>
      </c>
      <c s="2" r="AP17"/>
      <c t="s" s="10" r="AQ17">
        <v>82</v>
      </c>
      <c t="s" s="10" r="AR17">
        <v>31</v>
      </c>
      <c s="2" r="AS17"/>
      <c s="2" r="AT17"/>
    </row>
    <row s="4" customFormat="1" r="18">
      <c t="s" s="10" r="A18">
        <v>56</v>
      </c>
      <c t="s" s="10" r="B18">
        <v>31</v>
      </c>
      <c s="2" r="C18"/>
      <c s="2" r="D18"/>
      <c s="2" r="E18"/>
      <c s="2" r="F18"/>
      <c t="s" s="10" r="G18">
        <v>69</v>
      </c>
      <c t="s" s="10" r="H18">
        <v>31</v>
      </c>
      <c s="2" r="I18"/>
      <c s="2" r="J18"/>
      <c s="2" r="K18"/>
      <c s="2" r="L18"/>
      <c s="2" r="M18"/>
      <c s="2" r="N18"/>
      <c s="2" r="O18"/>
      <c s="2" r="P18"/>
      <c s="2" r="Q18"/>
      <c s="2" r="R18"/>
      <c s="2" r="S18"/>
      <c s="2" r="T18"/>
      <c s="2" r="U18"/>
      <c t="s" s="10" r="V18">
        <v>62</v>
      </c>
      <c t="s" s="10" r="W18">
        <v>31</v>
      </c>
      <c s="2" r="X18"/>
      <c s="5" r="Y18"/>
      <c s="2" r="Z18"/>
      <c s="2" r="AA18"/>
      <c s="10" r="AB18"/>
      <c s="10" r="AC18"/>
      <c s="2" r="AD18"/>
      <c s="2" r="AE18"/>
      <c s="2" r="AF18"/>
      <c s="2" r="AG18"/>
      <c t="s" s="10" r="AH18">
        <v>127</v>
      </c>
      <c t="s" s="10" r="AI18">
        <v>31</v>
      </c>
      <c s="2" r="AJ18"/>
      <c t="s" s="10" r="AK18">
        <v>91</v>
      </c>
      <c t="s" s="10" r="AL18">
        <v>31</v>
      </c>
      <c s="2" r="AM18"/>
      <c t="s" s="10" r="AN18">
        <v>128</v>
      </c>
      <c t="s" s="10" r="AO18">
        <v>31</v>
      </c>
      <c s="2" r="AP18"/>
      <c t="s" s="10" r="AQ18">
        <v>129</v>
      </c>
      <c t="s" s="10" r="AR18">
        <v>31</v>
      </c>
      <c s="2" r="AS18"/>
      <c s="2" r="AT18"/>
    </row>
    <row s="4" customFormat="1" r="19">
      <c t="s" s="10" r="A19">
        <v>130</v>
      </c>
      <c t="s" s="10" r="B19">
        <v>31</v>
      </c>
      <c s="2" r="C19"/>
      <c s="2" r="D19"/>
      <c s="2" r="E19"/>
      <c s="2" r="F19"/>
      <c t="s" s="10" r="G19">
        <v>101</v>
      </c>
      <c t="s" s="10" r="H19">
        <v>31</v>
      </c>
      <c s="2" r="I19"/>
      <c s="2" r="J19"/>
      <c s="2" r="K19"/>
      <c s="2" r="L19"/>
      <c s="2" r="M19"/>
      <c s="2" r="N19"/>
      <c s="2" r="O19"/>
      <c s="2" r="P19"/>
      <c s="2" r="Q19"/>
      <c s="2" r="R19"/>
      <c t="s" s="9" r="S19">
        <v>131</v>
      </c>
      <c s="2" r="T19"/>
      <c s="2" r="U19"/>
      <c t="s" s="10" r="V19">
        <v>132</v>
      </c>
      <c t="s" s="10" r="W19">
        <v>31</v>
      </c>
      <c s="2" r="X19"/>
      <c s="5" r="Y19"/>
      <c s="2" r="Z19"/>
      <c s="2" r="AA19"/>
      <c s="2" r="AD19"/>
      <c s="2" r="AE19"/>
      <c s="2" r="AF19"/>
      <c s="2" r="AG19"/>
      <c t="s" s="10" r="AH19">
        <v>133</v>
      </c>
      <c t="s" s="10" r="AI19">
        <v>31</v>
      </c>
      <c s="2" r="AJ19"/>
      <c t="s" s="10" r="AK19">
        <v>62</v>
      </c>
      <c t="s" s="10" r="AL19">
        <v>31</v>
      </c>
      <c s="2" r="AM19"/>
      <c t="s" s="10" r="AN19">
        <v>134</v>
      </c>
      <c t="s" s="10" r="AO19">
        <v>31</v>
      </c>
      <c s="2" r="AP19"/>
      <c t="s" s="10" r="AQ19">
        <v>135</v>
      </c>
      <c t="s" s="10" r="AR19">
        <v>31</v>
      </c>
      <c s="2" r="AS19"/>
      <c s="2" r="AT19"/>
    </row>
    <row s="4" customFormat="1" r="20">
      <c t="s" s="10" r="A20">
        <v>136</v>
      </c>
      <c t="s" s="10" r="B20">
        <v>31</v>
      </c>
      <c s="2" r="C20"/>
      <c s="2" r="D20"/>
      <c s="2" r="E20"/>
      <c s="2" r="F20"/>
      <c s="2" r="G20"/>
      <c s="2" r="H20"/>
      <c s="2" r="I20"/>
      <c s="2" r="J20"/>
      <c s="2" r="K20"/>
      <c s="2" r="L20"/>
      <c s="2" r="M20"/>
      <c s="2" r="N20"/>
      <c s="2" r="O20"/>
      <c s="2" r="P20"/>
      <c s="2" r="Q20"/>
      <c s="2" r="R20"/>
      <c s="2" r="S20"/>
      <c s="2" r="T20"/>
      <c s="2" r="U20"/>
      <c t="s" s="10" r="V20">
        <v>137</v>
      </c>
      <c t="s" s="10" r="W20">
        <v>31</v>
      </c>
      <c s="2" r="X20"/>
      <c s="5" r="Y20"/>
      <c s="2" r="Z20"/>
      <c s="2" r="AA20"/>
      <c s="2" r="AB20"/>
      <c s="2" r="AC20"/>
      <c s="2" r="AD20"/>
      <c s="2" r="AE20"/>
      <c s="2" r="AF20"/>
      <c s="2" r="AG20"/>
      <c t="s" s="10" r="AH20">
        <v>138</v>
      </c>
      <c t="s" s="10" r="AI20">
        <v>31</v>
      </c>
      <c s="2" r="AJ20"/>
      <c t="s" s="10" r="AK20">
        <v>111</v>
      </c>
      <c t="s" s="10" r="AL20">
        <v>31</v>
      </c>
      <c s="2" r="AM20"/>
      <c t="s" s="10" r="AN20">
        <v>139</v>
      </c>
      <c t="s" s="10" r="AO20">
        <v>110</v>
      </c>
      <c s="2" r="AP20"/>
      <c t="s" s="10" r="AQ20">
        <v>140</v>
      </c>
      <c t="s" s="10" r="AR20">
        <v>31</v>
      </c>
      <c s="2" r="AS20"/>
      <c s="2" r="AT20"/>
    </row>
    <row s="4" customFormat="1" r="21">
      <c t="s" s="10" r="A21">
        <v>68</v>
      </c>
      <c t="s" s="10" r="B21">
        <v>31</v>
      </c>
      <c s="2" r="C21"/>
      <c s="2" r="D21"/>
      <c s="2" r="E21"/>
      <c s="2" r="F21"/>
      <c s="2" r="G21"/>
      <c s="2" r="H21"/>
      <c s="2" r="I21"/>
      <c s="2" r="J21"/>
      <c s="2" r="K21"/>
      <c s="2" r="L21"/>
      <c s="2" r="M21"/>
      <c s="2" r="N21"/>
      <c s="2" r="O21"/>
      <c s="2" r="P21"/>
      <c s="2" r="Q21"/>
      <c s="2" r="R21"/>
      <c s="2" r="S21"/>
      <c s="2" r="T21"/>
      <c s="2" r="U21"/>
      <c t="s" s="10" r="V21">
        <v>141</v>
      </c>
      <c t="s" s="10" r="W21">
        <v>31</v>
      </c>
      <c s="2" r="X21"/>
      <c s="5" r="Y21"/>
      <c s="2" r="Z21"/>
      <c s="2" r="AA21"/>
      <c s="2" r="AB21"/>
      <c s="2" r="AC21"/>
      <c s="2" r="AD21"/>
      <c s="2" r="AE21"/>
      <c s="2" r="AF21"/>
      <c s="2" r="AG21"/>
      <c t="s" s="10" r="AH21">
        <v>142</v>
      </c>
      <c t="s" s="10" r="AI21">
        <v>31</v>
      </c>
      <c s="2" r="AJ21"/>
      <c t="s" s="10" r="AK21">
        <v>143</v>
      </c>
      <c t="s" s="10" r="AL21">
        <v>31</v>
      </c>
      <c s="2" r="AM21"/>
      <c t="s" s="10" r="AN21">
        <v>144</v>
      </c>
      <c t="s" s="10" r="AO21">
        <v>31</v>
      </c>
      <c s="2" r="AP21"/>
      <c t="s" s="10" r="AQ21">
        <v>145</v>
      </c>
      <c t="s" s="10" r="AR21">
        <v>31</v>
      </c>
      <c s="2" r="AS21"/>
      <c s="2" r="AT21"/>
    </row>
    <row s="4" customFormat="1" r="22">
      <c t="s" s="10" r="A22">
        <v>146</v>
      </c>
      <c t="s" s="10" r="B22">
        <v>31</v>
      </c>
      <c s="2" r="C22"/>
      <c s="2" r="D22"/>
      <c s="2" r="E22"/>
      <c s="2" r="F22"/>
      <c s="2" r="G22"/>
      <c s="2" r="H22"/>
      <c s="2" r="I22"/>
      <c s="2" r="J22"/>
      <c s="2" r="K22"/>
      <c s="2" r="L22"/>
      <c s="2" r="M22"/>
      <c s="2" r="N22"/>
      <c s="2" r="O22"/>
      <c s="2" r="P22"/>
      <c s="2" r="Q22"/>
      <c s="2" r="R22"/>
      <c s="2" r="S22"/>
      <c s="2" r="T22"/>
      <c s="2" r="U22"/>
      <c t="s" s="10" r="V22">
        <v>147</v>
      </c>
      <c t="s" s="10" r="W22">
        <v>31</v>
      </c>
      <c s="2" r="X22"/>
      <c s="5" r="Y22"/>
      <c s="2" r="Z22"/>
      <c s="2" r="AA22"/>
      <c s="2" r="AB22"/>
      <c s="2" r="AC22"/>
      <c s="2" r="AD22"/>
      <c s="2" r="AE22"/>
      <c s="2" r="AF22"/>
      <c s="2" r="AG22"/>
      <c t="s" s="10" r="AH22">
        <v>148</v>
      </c>
      <c t="s" s="10" r="AI22">
        <v>31</v>
      </c>
      <c s="2" r="AJ22"/>
      <c t="s" s="10" r="AK22">
        <v>149</v>
      </c>
      <c t="s" s="10" r="AL22">
        <v>110</v>
      </c>
      <c s="2" r="AM22"/>
      <c t="s" s="10" r="AN22">
        <v>81</v>
      </c>
      <c t="s" s="10" r="AO22">
        <v>31</v>
      </c>
      <c s="2" r="AP22"/>
      <c s="2" r="AQ22"/>
      <c s="2" r="AR22"/>
      <c s="2" r="AS22"/>
      <c s="2" r="AT22"/>
    </row>
    <row s="4" customFormat="1" r="23">
      <c t="s" s="10" r="A23">
        <v>91</v>
      </c>
      <c t="s" s="10" r="B23">
        <v>31</v>
      </c>
      <c s="2" r="C23"/>
      <c s="2" r="D23"/>
      <c s="2" r="E23"/>
      <c s="2" r="F23"/>
      <c s="2" r="G23"/>
      <c s="2" r="H23"/>
      <c s="2" r="I23"/>
      <c s="2" r="J23"/>
      <c s="2" r="K23"/>
      <c s="2" r="L23"/>
      <c s="2" r="M23"/>
      <c s="2" r="N23"/>
      <c s="2" r="O23"/>
      <c s="2" r="P23"/>
      <c s="2" r="Q23"/>
      <c s="2" r="R23"/>
      <c s="2" r="S23"/>
      <c s="2" r="T23"/>
      <c s="2" r="U23"/>
      <c t="s" s="1" r="V23">
        <v>92</v>
      </c>
      <c t="s" s="10" r="W23">
        <v>31</v>
      </c>
      <c s="2" r="X23"/>
      <c s="5" r="Y23"/>
      <c s="2" r="Z23"/>
      <c s="2" r="AA23"/>
      <c s="2" r="AB23"/>
      <c s="2" r="AC23"/>
      <c s="2" r="AD23"/>
      <c s="2" r="AE23"/>
      <c s="2" r="AF23"/>
      <c s="2" r="AG23"/>
      <c s="2" r="AH23"/>
      <c s="2" r="AI23"/>
      <c s="2" r="AJ23"/>
      <c t="s" s="10" r="AK23">
        <v>150</v>
      </c>
      <c t="s" s="10" r="AL23">
        <v>31</v>
      </c>
      <c s="2" r="AM23"/>
      <c t="s" s="10" r="AN23">
        <v>151</v>
      </c>
      <c t="s" s="10" r="AO23">
        <v>31</v>
      </c>
      <c s="2" r="AP23"/>
      <c t="s" s="3" r="AQ23">
        <v>152</v>
      </c>
      <c s="2" r="AR23"/>
      <c s="2" r="AS23"/>
      <c s="2" r="AT23"/>
    </row>
    <row s="4" customFormat="1" r="24">
      <c t="s" s="10" r="A24">
        <v>92</v>
      </c>
      <c t="s" s="10" r="B24">
        <v>31</v>
      </c>
      <c s="2" r="C24"/>
      <c s="2" r="D24"/>
      <c s="2" r="E24"/>
      <c s="2" r="F24"/>
      <c s="2" r="G24"/>
      <c s="2" r="H24"/>
      <c s="2" r="I24"/>
      <c s="2" r="J24"/>
      <c s="2" r="K24"/>
      <c s="2" r="L24"/>
      <c s="2" r="M24"/>
      <c s="2" r="N24"/>
      <c s="2" r="O24"/>
      <c s="2" r="P24"/>
      <c s="2" r="Q24"/>
      <c s="2" r="R24"/>
      <c s="2" r="S24"/>
      <c s="2" r="T24"/>
      <c s="2" r="U24"/>
      <c t="s" s="10" r="V24">
        <v>153</v>
      </c>
      <c t="s" s="10" r="W24">
        <v>31</v>
      </c>
      <c s="2" r="X24"/>
      <c s="2" r="Y24"/>
      <c s="2" r="Z24"/>
      <c s="2" r="AA24"/>
      <c s="2" r="AB24"/>
      <c s="2" r="AC24"/>
      <c s="2" r="AD24"/>
      <c s="2" r="AE24"/>
      <c s="2" r="AF24"/>
      <c s="2" r="AG24"/>
      <c s="2" r="AH24"/>
      <c s="2" r="AI24"/>
      <c s="2" r="AJ24"/>
      <c s="4" r="AK24"/>
      <c s="2" r="AL24"/>
      <c s="2" r="AM24"/>
      <c t="s" s="10" r="AN24">
        <v>91</v>
      </c>
      <c t="s" s="10" r="AO24">
        <v>31</v>
      </c>
      <c s="2" r="AP24"/>
      <c s="2" r="AQ24"/>
      <c s="2" r="AR24"/>
      <c s="2" r="AS24"/>
      <c s="2" r="AT24"/>
    </row>
    <row s="4" customFormat="1" r="25">
      <c t="s" s="10" r="A25">
        <v>69</v>
      </c>
      <c t="s" s="10" r="B25">
        <v>31</v>
      </c>
      <c s="2" r="C25"/>
      <c s="2" r="D25"/>
      <c s="2" r="E25"/>
      <c s="2" r="F25"/>
      <c s="2" r="G25"/>
      <c s="2" r="H25"/>
      <c s="2" r="I25"/>
      <c s="2" r="J25"/>
      <c s="2" r="K25"/>
      <c s="2" r="L25"/>
      <c s="2" r="M25"/>
      <c s="2" r="N25"/>
      <c s="2" r="O25"/>
      <c s="2" r="P25"/>
      <c s="2" r="Q25"/>
      <c s="2" r="R25"/>
      <c s="2" r="S25"/>
      <c s="2" r="T25"/>
      <c s="2" r="U25"/>
      <c t="s" s="10" r="V25">
        <v>154</v>
      </c>
      <c t="s" s="10" r="W25">
        <v>31</v>
      </c>
      <c s="2" r="X25"/>
      <c s="2" r="Y25"/>
      <c s="2" r="Z25"/>
      <c s="2" r="AA25"/>
      <c s="2" r="AB25"/>
      <c s="2" r="AC25"/>
      <c s="2" r="AD25"/>
      <c s="2" r="AE25"/>
      <c s="2" r="AF25"/>
      <c s="2" r="AG25"/>
      <c s="2" r="AH25"/>
      <c s="2" r="AI25"/>
      <c s="2" r="AJ25"/>
      <c s="4" r="AK25"/>
      <c s="2" r="AL25"/>
      <c s="2" r="AM25"/>
      <c t="s" s="10" r="AN25">
        <v>111</v>
      </c>
      <c t="s" s="10" r="AO25">
        <v>49</v>
      </c>
      <c s="2" r="AP25"/>
      <c s="2" r="AQ25"/>
      <c s="2" r="AR25"/>
      <c s="2" r="AS25"/>
      <c s="2" r="AT25"/>
    </row>
    <row s="4" customFormat="1" r="26">
      <c t="s" s="10" r="A26">
        <v>101</v>
      </c>
      <c t="s" s="10" r="B26">
        <v>31</v>
      </c>
      <c s="2" r="C26"/>
      <c s="2" r="D26"/>
      <c s="2" r="E26"/>
      <c s="2" r="F26"/>
      <c s="2" r="G26"/>
      <c s="2" r="H26"/>
      <c s="2" r="I26"/>
      <c s="2" r="J26"/>
      <c s="2" r="K26"/>
      <c s="2" r="L26"/>
      <c s="2" r="M26"/>
      <c s="2" r="N26"/>
      <c s="2" r="O26"/>
      <c s="2" r="P26"/>
      <c s="2" r="Q26"/>
      <c s="2" r="R26"/>
      <c s="2" r="S26"/>
      <c s="2" r="T26"/>
      <c s="2" r="U26"/>
      <c t="s" s="10" r="V26">
        <v>69</v>
      </c>
      <c t="s" s="10" r="W26">
        <v>31</v>
      </c>
      <c s="2" r="X26"/>
      <c s="2" r="Y26"/>
      <c s="2" r="Z26"/>
      <c s="2" r="AA26"/>
      <c s="2" r="AB26"/>
      <c s="2" r="AC26"/>
      <c s="2" r="AD26"/>
      <c s="2" r="AE26"/>
      <c s="2" r="AF26"/>
      <c s="2" r="AG26"/>
      <c s="2" r="AH26"/>
      <c s="2" r="AI26"/>
      <c s="2" r="AJ26"/>
      <c t="s" s="3" r="AK26">
        <v>155</v>
      </c>
      <c s="2" r="AL26"/>
      <c s="2" r="AM26"/>
      <c t="s" s="1" r="AN26">
        <v>92</v>
      </c>
      <c t="s" s="10" r="AO26">
        <v>31</v>
      </c>
      <c s="2" r="AP26"/>
      <c s="2" r="AQ26"/>
      <c s="2" r="AR26"/>
      <c s="2" r="AS26"/>
      <c s="2" r="AT26"/>
    </row>
    <row s="4" customFormat="1" r="27">
      <c s="2" r="A27"/>
      <c s="2" r="B27"/>
      <c s="2" r="C27"/>
      <c s="2" r="D27"/>
      <c s="2" r="E27"/>
      <c s="2" r="F27"/>
      <c s="2" r="G27"/>
      <c s="2" r="H27"/>
      <c s="2" r="I27"/>
      <c s="2" r="J27"/>
      <c s="2" r="K27"/>
      <c s="2" r="L27"/>
      <c s="2" r="M27"/>
      <c s="2" r="N27"/>
      <c s="2" r="O27"/>
      <c s="2" r="P27"/>
      <c s="2" r="Q27"/>
      <c s="2" r="R27"/>
      <c s="2" r="S27"/>
      <c s="2" r="T27"/>
      <c s="2" r="U27"/>
      <c t="s" s="10" r="V27">
        <v>101</v>
      </c>
      <c t="s" s="10" r="W27">
        <v>31</v>
      </c>
      <c s="2" r="X27"/>
      <c s="2" r="Y27"/>
      <c s="2" r="Z27"/>
      <c s="2" r="AA27"/>
      <c s="2" r="AB27"/>
      <c s="2" r="AC27"/>
      <c s="2" r="AD27"/>
      <c s="2" r="AE27"/>
      <c s="2" r="AF27"/>
      <c s="2" r="AG27"/>
      <c s="2" r="AH27"/>
      <c s="2" r="AI27"/>
      <c s="2" r="AJ27"/>
      <c t="s" s="3" r="AK27">
        <v>156</v>
      </c>
      <c s="2" r="AL27"/>
      <c s="2" r="AM27"/>
      <c t="s" s="10" r="AN27">
        <v>157</v>
      </c>
      <c t="s" s="10" r="AO27">
        <v>31</v>
      </c>
      <c s="2" r="AP27"/>
      <c s="2" r="AQ27"/>
      <c s="2" r="AR27"/>
      <c s="2" r="AS27"/>
      <c s="2" r="AT27"/>
    </row>
    <row s="4" customFormat="1" r="28">
      <c s="2" r="A28"/>
      <c s="2" r="B28"/>
      <c s="2" r="C28"/>
      <c s="2" r="D28"/>
      <c s="2" r="E28"/>
      <c s="2" r="F28"/>
      <c s="2" r="G28"/>
      <c s="2" r="H28"/>
      <c s="2" r="I28"/>
      <c s="2" r="J28"/>
      <c s="2" r="K28"/>
      <c s="2" r="L28"/>
      <c s="2" r="M28"/>
      <c s="2" r="N28"/>
      <c s="2" r="O28"/>
      <c s="2" r="P28"/>
      <c s="2" r="Q28"/>
      <c s="2" r="R28"/>
      <c s="2" r="S28"/>
      <c s="2" r="T28"/>
      <c s="2" r="U28"/>
      <c s="10" r="V28"/>
      <c s="10" r="W28"/>
      <c s="2" r="X28"/>
      <c s="2" r="Y28"/>
      <c s="2" r="Z28"/>
      <c s="2" r="AA28"/>
      <c s="2" r="AB28"/>
      <c s="2" r="AC28"/>
      <c s="2" r="AD28"/>
      <c s="2" r="AE28"/>
      <c s="2" r="AF28"/>
      <c s="2" r="AG28"/>
      <c s="2" r="AH28"/>
      <c s="2" r="AI28"/>
      <c s="2" r="AJ28"/>
      <c t="s" s="3" r="AK28">
        <v>158</v>
      </c>
      <c s="2" r="AL28"/>
      <c s="2" r="AM28"/>
      <c t="s" s="10" r="AN28">
        <v>159</v>
      </c>
      <c t="s" s="10" r="AO28">
        <v>31</v>
      </c>
      <c s="2" r="AP28"/>
      <c s="2" r="AQ28"/>
      <c s="2" r="AR28"/>
      <c s="2" r="AS28"/>
      <c s="2" r="AT28"/>
    </row>
    <row s="4" customFormat="1" r="29">
      <c s="2" r="A29"/>
      <c s="2" r="B29"/>
      <c s="2" r="C29"/>
      <c s="2" r="D29"/>
      <c s="2" r="E29"/>
      <c s="2" r="F29"/>
      <c s="2" r="G29"/>
      <c s="2" r="H29"/>
      <c s="2" r="I29"/>
      <c s="2" r="J29"/>
      <c s="2" r="K29"/>
      <c s="2" r="L29"/>
      <c s="2" r="M29"/>
      <c s="2" r="N29"/>
      <c s="2" r="O29"/>
      <c s="2" r="P29"/>
      <c s="2" r="Q29"/>
      <c s="2" r="R29"/>
      <c s="2" r="S29"/>
      <c s="2" r="T29"/>
      <c s="2" r="U29"/>
      <c s="10" r="V29"/>
      <c s="2" r="W29"/>
      <c s="2" r="X29"/>
      <c s="2" r="Y29"/>
      <c s="2" r="Z29"/>
      <c s="2" r="AA29"/>
      <c s="2" r="AB29"/>
      <c s="2" r="AC29"/>
      <c s="2" r="AD29"/>
      <c s="2" r="AE29"/>
      <c s="2" r="AF29"/>
      <c s="2" r="AG29"/>
      <c s="2" r="AH29"/>
      <c s="2" r="AI29"/>
      <c s="2" r="AJ29"/>
      <c t="s" s="3" r="AK29">
        <v>160</v>
      </c>
      <c s="2" r="AL29"/>
      <c s="2" r="AM29"/>
      <c t="s" s="10" r="AN29">
        <v>69</v>
      </c>
      <c t="s" s="10" r="AO29">
        <v>110</v>
      </c>
      <c s="2" r="AP29"/>
      <c s="2" r="AQ29"/>
      <c s="2" r="AR29"/>
      <c s="2" r="AS29"/>
      <c s="2" r="AT29"/>
    </row>
    <row s="4" customFormat="1" r="30">
      <c s="2" r="A30"/>
      <c s="2" r="B30"/>
      <c s="2" r="C30"/>
      <c s="2" r="D30"/>
      <c s="2" r="E30"/>
      <c s="2" r="F30"/>
      <c s="2" r="G30"/>
      <c s="2" r="H30"/>
      <c s="2" r="I30"/>
      <c s="2" r="J30"/>
      <c s="2" r="K30"/>
      <c s="2" r="L30"/>
      <c s="2" r="M30"/>
      <c s="2" r="N30"/>
      <c s="2" r="O30"/>
      <c s="2" r="P30"/>
      <c s="2" r="Q30"/>
      <c s="2" r="R30"/>
      <c s="2" r="S30"/>
      <c s="2" r="T30"/>
      <c s="2" r="U30"/>
      <c t="s" s="3" r="V30">
        <v>161</v>
      </c>
      <c s="2" r="W30"/>
      <c s="2" r="X30"/>
      <c s="2" r="Y30"/>
      <c s="2" r="Z30"/>
      <c s="2" r="AA30"/>
      <c s="2" r="AB30"/>
      <c s="2" r="AC30"/>
      <c s="2" r="AD30"/>
      <c s="2" r="AE30"/>
      <c s="2" r="AF30"/>
      <c s="2" r="AG30"/>
      <c s="2" r="AH30"/>
      <c s="2" r="AI30"/>
      <c s="2" r="AJ30"/>
      <c t="s" s="3" r="AK30">
        <v>162</v>
      </c>
      <c s="2" r="AL30"/>
      <c s="2" r="AM30"/>
      <c t="s" s="10" r="AN30">
        <v>163</v>
      </c>
      <c t="s" s="10" r="AO30">
        <v>31</v>
      </c>
      <c s="2" r="AP30"/>
      <c s="2" r="AQ30"/>
      <c s="2" r="AR30"/>
      <c s="2" r="AS30"/>
      <c s="2" r="AT30"/>
    </row>
    <row s="4" customFormat="1" r="31">
      <c s="2" r="A31"/>
      <c s="2" r="B31"/>
      <c s="2" r="C31"/>
      <c s="2" r="D31"/>
      <c s="2" r="E31"/>
      <c s="2" r="F31"/>
      <c s="2" r="G31"/>
      <c s="2" r="H31"/>
      <c s="2" r="I31"/>
      <c s="2" r="J31"/>
      <c s="2" r="K31"/>
      <c s="2" r="L31"/>
      <c s="2" r="M31"/>
      <c s="2" r="N31"/>
      <c s="2" r="O31"/>
      <c s="2" r="P31"/>
      <c s="2" r="Q31"/>
      <c s="2" r="R31"/>
      <c s="2" r="S31"/>
      <c s="2" r="T31"/>
      <c s="2" r="U31"/>
      <c t="s" s="3" r="V31">
        <v>77</v>
      </c>
      <c s="2" r="W31"/>
      <c s="2" r="X31"/>
      <c s="2" r="Y31"/>
      <c s="2" r="Z31"/>
      <c s="2" r="AA31"/>
      <c s="2" r="AB31"/>
      <c s="2" r="AC31"/>
      <c s="2" r="AD31"/>
      <c s="2" r="AE31"/>
      <c s="2" r="AF31"/>
      <c s="2" r="AG31"/>
      <c s="2" r="AH31"/>
      <c s="2" r="AI31"/>
      <c s="2" r="AJ31"/>
      <c s="2" r="AL31"/>
      <c s="2" r="AM31"/>
      <c t="s" s="10" r="AN31">
        <v>164</v>
      </c>
      <c t="s" s="10" r="AO31">
        <v>31</v>
      </c>
      <c s="2" r="AP31"/>
      <c s="2" r="AQ31"/>
      <c s="2" r="AR31"/>
      <c s="2" r="AS31"/>
      <c s="2" r="AT31"/>
    </row>
    <row s="4" customFormat="1" r="32">
      <c s="2" r="A32"/>
      <c s="2" r="B32"/>
      <c s="2" r="C32"/>
      <c s="2" r="D32"/>
      <c s="2" r="E32"/>
      <c s="2" r="F32"/>
      <c s="2" r="G32"/>
      <c s="2" r="H32"/>
      <c s="2" r="I32"/>
      <c s="2" r="J32"/>
      <c s="2" r="K32"/>
      <c s="2" r="L32"/>
      <c s="2" r="M32"/>
      <c s="2" r="N32"/>
      <c s="2" r="O32"/>
      <c s="2" r="P32"/>
      <c s="2" r="Q32"/>
      <c s="2" r="R32"/>
      <c s="2" r="S32"/>
      <c s="2" r="T32"/>
      <c s="2" r="U32"/>
      <c t="s" s="3" r="V32">
        <v>165</v>
      </c>
      <c s="2" r="X32"/>
      <c s="2" r="Y32"/>
      <c s="2" r="Z32"/>
      <c s="2" r="AA32"/>
      <c s="2" r="AB32"/>
      <c s="2" r="AC32"/>
      <c s="2" r="AD32"/>
      <c s="2" r="AE32"/>
      <c s="2" r="AF32"/>
      <c s="2" r="AG32"/>
      <c s="2" r="AH32"/>
      <c s="2" r="AI32"/>
      <c s="2" r="AJ32"/>
      <c s="2" r="AL32"/>
      <c s="2" r="AM32"/>
      <c t="s" s="10" r="AN32">
        <v>101</v>
      </c>
      <c t="s" s="10" r="AO32">
        <v>31</v>
      </c>
      <c s="2" r="AP32"/>
      <c s="2" r="AQ32"/>
      <c s="2" r="AR32"/>
      <c s="2" r="AS32"/>
      <c s="2" r="AT32"/>
    </row>
    <row r="33">
      <c t="s" s="3" r="V33">
        <v>166</v>
      </c>
    </row>
    <row r="34">
      <c t="s" s="3" r="V34">
        <v>167</v>
      </c>
    </row>
    <row r="35">
      <c t="s" s="3" r="AN35">
        <v>168</v>
      </c>
    </row>
    <row r="36">
      <c t="s" s="3" r="AN36">
        <v>169</v>
      </c>
    </row>
    <row r="37">
      <c t="s" s="3" r="AN37">
        <v>170</v>
      </c>
    </row>
    <row r="38">
      <c t="s" s="3" r="AN38">
        <v>171</v>
      </c>
    </row>
    <row r="39">
      <c t="s" s="3" r="AN39">
        <v>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2" style="4" width="31.86"/>
    <col min="3" customWidth="1" max="3" style="4" width="6.86"/>
    <col min="4" customWidth="1" max="4" style="4" width="12.29"/>
    <col min="5" customWidth="1" max="5" style="4" width="7.86"/>
  </cols>
  <sheetData>
    <row s="4" customFormat="1" r="1">
      <c t="s" s="10" r="A1">
        <v>28</v>
      </c>
      <c t="s" s="10" r="B1">
        <v>173</v>
      </c>
      <c t="s" s="10" r="C1">
        <v>174</v>
      </c>
      <c t="s" s="10" r="D1">
        <v>175</v>
      </c>
      <c s="2" r="E1"/>
    </row>
    <row s="4" customFormat="1" r="2">
      <c t="s" s="10" r="A2">
        <v>42</v>
      </c>
      <c t="s" s="10" r="B2">
        <v>176</v>
      </c>
      <c t="s" s="10" r="C2">
        <v>177</v>
      </c>
      <c t="s" s="10" r="D2">
        <v>178</v>
      </c>
      <c s="2" r="E2"/>
    </row>
    <row s="4" customFormat="1" r="3">
      <c t="s" s="10" r="A3">
        <v>30</v>
      </c>
      <c t="s" s="10" r="B3">
        <v>179</v>
      </c>
      <c t="s" s="10" r="D3">
        <v>180</v>
      </c>
      <c s="2" r="E3"/>
    </row>
    <row s="4" customFormat="1" r="4">
      <c t="s" s="10" r="A4">
        <v>38</v>
      </c>
      <c t="s" s="10" r="B4">
        <v>181</v>
      </c>
      <c t="s" s="10" r="C4">
        <v>182</v>
      </c>
      <c t="s" s="10" r="D4">
        <v>178</v>
      </c>
      <c s="2" r="E4"/>
    </row>
    <row s="4" customFormat="1" r="5">
      <c t="s" s="10" r="A5">
        <v>35</v>
      </c>
      <c t="s" s="10" r="B5">
        <v>183</v>
      </c>
      <c t="s" s="10" r="C5">
        <v>182</v>
      </c>
      <c t="s" s="10" r="D5">
        <v>178</v>
      </c>
      <c s="2" r="E5"/>
    </row>
    <row s="4" customFormat="1" r="6">
      <c t="s" s="10" r="A6">
        <v>33</v>
      </c>
      <c t="s" s="10" r="B6">
        <v>184</v>
      </c>
      <c s="2" r="C6"/>
      <c t="s" s="10" r="D6">
        <v>185</v>
      </c>
      <c s="2" r="E6"/>
    </row>
    <row s="4" customFormat="1" r="7">
      <c t="s" s="10" r="A7">
        <v>32</v>
      </c>
      <c t="s" s="10" r="B7">
        <v>184</v>
      </c>
      <c t="s" s="10" r="C7">
        <v>186</v>
      </c>
      <c t="s" s="10" r="D7">
        <v>178</v>
      </c>
      <c s="2" r="E7"/>
    </row>
    <row s="4" customFormat="1" r="8">
      <c t="s" s="10" r="A8">
        <v>48</v>
      </c>
      <c t="s" s="10" r="B8">
        <v>176</v>
      </c>
      <c t="s" s="10" r="D8">
        <v>187</v>
      </c>
      <c s="2" r="E8"/>
    </row>
    <row s="4" customFormat="1" r="9">
      <c t="s" s="10" r="A9">
        <v>34</v>
      </c>
      <c t="s" s="10" r="B9">
        <v>188</v>
      </c>
      <c s="2" r="C9"/>
      <c t="s" s="10" r="D9">
        <v>189</v>
      </c>
      <c s="2" r="E9"/>
    </row>
    <row s="4" customFormat="1" r="10">
      <c t="s" s="10" r="A10">
        <v>45</v>
      </c>
      <c t="s" s="10" r="B10">
        <v>190</v>
      </c>
      <c s="4" r="C10"/>
      <c t="s" s="10" r="D10">
        <v>191</v>
      </c>
      <c s="2" r="E10"/>
    </row>
    <row s="4" customFormat="1" r="11">
      <c t="s" s="10" r="A11">
        <v>58</v>
      </c>
      <c t="s" s="10" r="B11">
        <v>192</v>
      </c>
      <c t="s" s="10" r="D11">
        <v>180</v>
      </c>
      <c s="2" r="E11"/>
    </row>
    <row s="4" customFormat="1" r="12">
      <c t="s" s="10" r="A12">
        <v>66</v>
      </c>
      <c t="s" s="10" r="B12">
        <v>188</v>
      </c>
      <c t="s" s="10" r="D12">
        <v>189</v>
      </c>
      <c s="2" r="E12"/>
    </row>
    <row s="4" customFormat="1" r="13">
      <c t="s" s="10" r="A13">
        <v>64</v>
      </c>
      <c t="s" s="10" r="B13">
        <v>193</v>
      </c>
      <c t="s" s="10" r="C13">
        <v>194</v>
      </c>
      <c t="s" s="10" r="D13">
        <v>178</v>
      </c>
      <c s="2" r="E13"/>
    </row>
    <row s="4" customFormat="1" r="14">
      <c t="s" s="1" r="A14">
        <v>78</v>
      </c>
      <c t="s" s="10" r="B14">
        <v>195</v>
      </c>
      <c s="10" r="C14"/>
      <c t="s" s="10" r="D14">
        <v>196</v>
      </c>
      <c s="2" r="E14"/>
    </row>
    <row s="4" customFormat="1" r="15">
      <c t="s" s="10" r="A15">
        <v>89</v>
      </c>
      <c t="s" s="10" r="B15">
        <v>197</v>
      </c>
      <c t="s" s="10" r="C15">
        <v>194</v>
      </c>
      <c t="s" s="10" r="D15">
        <v>178</v>
      </c>
      <c s="2" r="E15"/>
    </row>
    <row s="4" customFormat="1" r="16">
      <c t="s" s="10" r="A16">
        <v>53</v>
      </c>
      <c t="s" s="10" r="B16">
        <v>198</v>
      </c>
      <c t="s" s="10" r="C16">
        <v>194</v>
      </c>
      <c t="s" s="10" r="D16">
        <v>178</v>
      </c>
      <c s="2" r="E16"/>
    </row>
    <row s="4" customFormat="1" r="17">
      <c t="s" s="10" r="A17">
        <v>37</v>
      </c>
      <c t="s" s="10" r="B17">
        <v>183</v>
      </c>
      <c t="s" s="10" r="C17">
        <v>199</v>
      </c>
      <c t="s" s="10" r="D17">
        <v>178</v>
      </c>
      <c s="2" r="E17"/>
    </row>
    <row s="4" customFormat="1" r="18">
      <c t="s" s="10" r="A18">
        <v>72</v>
      </c>
      <c t="s" s="10" r="B18">
        <v>200</v>
      </c>
      <c t="s" s="10" r="D18">
        <v>180</v>
      </c>
      <c s="2" r="E18"/>
    </row>
    <row s="4" customFormat="1" r="19">
      <c t="s" s="10" r="A19">
        <v>99</v>
      </c>
      <c t="s" s="10" r="B19">
        <v>201</v>
      </c>
      <c t="s" s="10" r="C19">
        <v>202</v>
      </c>
      <c t="s" s="10" r="D19">
        <v>178</v>
      </c>
      <c s="2" r="E19"/>
    </row>
    <row s="4" customFormat="1" r="20">
      <c t="s" s="10" r="A20">
        <v>80</v>
      </c>
      <c t="s" s="10" r="B20">
        <v>183</v>
      </c>
      <c t="s" s="10" r="C20">
        <v>194</v>
      </c>
      <c t="s" s="10" r="D20">
        <v>178</v>
      </c>
      <c s="2" r="E20"/>
    </row>
    <row s="4" customFormat="1" r="21">
      <c t="s" s="10" r="A21">
        <v>84</v>
      </c>
      <c t="s" s="10" r="B21">
        <v>184</v>
      </c>
      <c t="s" s="10" r="C21">
        <v>194</v>
      </c>
      <c t="s" s="10" r="D21">
        <v>178</v>
      </c>
      <c s="2" r="E21"/>
    </row>
    <row s="4" customFormat="1" r="22">
      <c t="s" s="10" r="A22">
        <v>100</v>
      </c>
      <c t="s" s="10" r="B22">
        <v>197</v>
      </c>
      <c t="s" s="10" r="C22">
        <v>203</v>
      </c>
      <c t="s" s="10" r="D22">
        <v>178</v>
      </c>
      <c s="2" r="E22"/>
    </row>
    <row s="4" customFormat="1" r="23">
      <c t="s" s="10" r="A23">
        <v>36</v>
      </c>
      <c t="s" s="10" r="B23">
        <v>204</v>
      </c>
      <c t="s" s="10" r="C23">
        <v>203</v>
      </c>
      <c t="s" s="10" r="D23">
        <v>178</v>
      </c>
      <c s="2" r="E23"/>
    </row>
    <row s="4" customFormat="1" r="24">
      <c t="s" s="10" r="A24">
        <v>63</v>
      </c>
      <c t="s" s="10" r="B24">
        <v>179</v>
      </c>
      <c s="10" r="C24"/>
      <c t="s" s="10" r="D24">
        <v>180</v>
      </c>
      <c s="2" r="E24"/>
    </row>
    <row s="4" customFormat="1" r="25">
      <c t="s" s="10" r="A25">
        <v>46</v>
      </c>
      <c t="s" s="10" r="B25">
        <v>179</v>
      </c>
      <c t="s" s="10" r="C25">
        <v>202</v>
      </c>
      <c t="s" s="10" r="D25">
        <v>178</v>
      </c>
      <c s="2" r="E25"/>
    </row>
    <row s="4" customFormat="1" r="26">
      <c t="s" s="10" r="A26">
        <v>77</v>
      </c>
      <c t="s" s="10" r="B26">
        <v>204</v>
      </c>
      <c t="s" s="10" r="C26">
        <v>194</v>
      </c>
      <c t="s" s="10" r="D26">
        <v>178</v>
      </c>
      <c s="2" r="E26"/>
    </row>
    <row s="4" customFormat="1" r="27">
      <c t="s" s="10" r="A27">
        <v>47</v>
      </c>
      <c t="s" s="10" r="B27">
        <v>205</v>
      </c>
      <c s="10" r="C27"/>
      <c t="s" s="10" r="D27">
        <v>206</v>
      </c>
      <c s="2" r="E27"/>
    </row>
    <row s="4" customFormat="1" r="28">
      <c t="s" s="10" r="A28">
        <v>109</v>
      </c>
      <c t="s" s="10" r="B28">
        <v>207</v>
      </c>
      <c t="s" s="10" r="C28">
        <v>208</v>
      </c>
      <c t="s" s="10" r="D28">
        <v>178</v>
      </c>
      <c s="2" r="E28"/>
    </row>
    <row s="4" customFormat="1" r="29">
      <c t="s" s="10" r="A29">
        <v>115</v>
      </c>
      <c t="s" s="10" r="B29">
        <v>209</v>
      </c>
      <c t="s" s="10" r="C29">
        <v>210</v>
      </c>
      <c t="s" s="10" r="D29">
        <v>178</v>
      </c>
      <c s="2" r="E29"/>
    </row>
    <row s="4" customFormat="1" r="30">
      <c t="s" s="10" r="A30">
        <v>121</v>
      </c>
      <c t="s" s="10" r="B30">
        <v>209</v>
      </c>
      <c t="s" s="10" r="C30">
        <v>194</v>
      </c>
      <c t="s" s="10" r="D30">
        <v>178</v>
      </c>
      <c s="2" r="E30"/>
    </row>
    <row s="4" customFormat="1" r="31">
      <c t="s" s="10" r="A31">
        <v>44</v>
      </c>
      <c t="s" s="10" r="B31">
        <v>211</v>
      </c>
      <c t="s" s="10" r="D31">
        <v>212</v>
      </c>
      <c s="2" r="E31"/>
    </row>
    <row s="4" customFormat="1" r="32">
      <c t="s" s="10" r="A32">
        <v>104</v>
      </c>
      <c t="s" s="10" r="B32">
        <v>190</v>
      </c>
      <c t="s" s="10" r="D32">
        <v>212</v>
      </c>
      <c s="2" r="E32"/>
    </row>
    <row s="4" customFormat="1" r="33">
      <c t="s" s="10" r="A33">
        <v>56</v>
      </c>
      <c t="s" s="10" r="B33">
        <v>213</v>
      </c>
      <c s="2" r="C33"/>
      <c t="s" s="10" r="D33">
        <v>180</v>
      </c>
      <c s="2" r="E33"/>
    </row>
    <row s="4" customFormat="1" r="34">
      <c t="s" s="10" r="A34">
        <v>39</v>
      </c>
      <c t="s" s="10" r="B34">
        <v>214</v>
      </c>
      <c t="s" s="10" r="C34">
        <v>210</v>
      </c>
      <c t="s" s="10" r="D34">
        <v>178</v>
      </c>
      <c s="2" r="E34"/>
    </row>
    <row s="4" customFormat="1" r="35">
      <c t="s" s="10" r="A35">
        <v>50</v>
      </c>
      <c t="s" s="10" r="B35">
        <v>215</v>
      </c>
      <c t="s" s="10" r="C35">
        <v>210</v>
      </c>
      <c t="s" s="10" r="D35">
        <v>178</v>
      </c>
      <c s="2" r="E35"/>
    </row>
    <row s="4" customFormat="1" r="36">
      <c t="s" s="10" r="A36">
        <v>59</v>
      </c>
      <c t="s" s="10" r="B36">
        <v>216</v>
      </c>
      <c t="s" s="10" r="C36">
        <v>210</v>
      </c>
      <c t="s" s="10" r="D36">
        <v>178</v>
      </c>
      <c s="2" r="E36"/>
    </row>
    <row s="4" customFormat="1" r="37">
      <c t="s" s="10" r="A37">
        <v>60</v>
      </c>
      <c t="s" s="10" r="B37">
        <v>217</v>
      </c>
      <c t="s" s="10" r="C37">
        <v>210</v>
      </c>
      <c t="s" s="10" r="D37">
        <v>178</v>
      </c>
      <c s="2" r="E37"/>
    </row>
    <row s="4" customFormat="1" r="38">
      <c t="s" s="10" r="A38">
        <v>73</v>
      </c>
      <c t="s" s="10" r="B38">
        <v>218</v>
      </c>
      <c t="s" s="10" r="C38">
        <v>210</v>
      </c>
      <c t="s" s="10" r="D38">
        <v>178</v>
      </c>
      <c s="2" r="E38"/>
    </row>
    <row s="4" customFormat="1" r="39">
      <c t="s" s="10" r="A39">
        <v>74</v>
      </c>
      <c t="s" s="10" r="B39">
        <v>209</v>
      </c>
      <c t="s" s="10" r="C39">
        <v>210</v>
      </c>
      <c t="s" s="10" r="D39">
        <v>178</v>
      </c>
      <c s="2" r="E39"/>
    </row>
    <row s="4" customFormat="1" r="40">
      <c t="s" s="10" r="A40">
        <v>85</v>
      </c>
      <c t="s" s="10" r="B40">
        <v>184</v>
      </c>
      <c t="s" s="10" r="C40">
        <v>210</v>
      </c>
      <c t="s" s="10" r="D40">
        <v>178</v>
      </c>
      <c s="2" r="E40"/>
    </row>
    <row s="4" customFormat="1" r="41">
      <c t="s" s="10" r="A41">
        <v>95</v>
      </c>
      <c t="s" s="10" r="B41">
        <v>219</v>
      </c>
      <c t="s" s="10" r="C41">
        <v>210</v>
      </c>
      <c t="s" s="10" r="D41">
        <v>178</v>
      </c>
      <c s="2" r="E41"/>
    </row>
    <row s="4" customFormat="1" r="42">
      <c t="s" s="10" r="A42">
        <v>105</v>
      </c>
      <c t="s" s="10" r="B42">
        <v>220</v>
      </c>
      <c t="s" s="10" r="C42">
        <v>210</v>
      </c>
      <c t="s" s="10" r="D42">
        <v>178</v>
      </c>
      <c s="2" r="E42"/>
    </row>
    <row s="4" customFormat="1" r="43">
      <c t="s" s="10" r="A43">
        <v>119</v>
      </c>
      <c t="s" s="10" r="B43">
        <v>221</v>
      </c>
      <c t="s" s="10" r="C43">
        <v>210</v>
      </c>
      <c t="s" s="10" r="D43">
        <v>178</v>
      </c>
      <c s="2" r="E43"/>
    </row>
    <row s="4" customFormat="1" r="44">
      <c t="s" s="10" r="A44">
        <v>125</v>
      </c>
      <c t="s" s="10" r="B44">
        <v>222</v>
      </c>
      <c t="s" s="10" r="C44">
        <v>210</v>
      </c>
      <c t="s" s="10" r="D44">
        <v>178</v>
      </c>
      <c s="2" r="E44"/>
    </row>
    <row s="4" customFormat="1" r="45">
      <c t="s" s="10" r="A45">
        <v>128</v>
      </c>
      <c t="s" s="10" r="B45">
        <v>223</v>
      </c>
      <c s="2" r="C45"/>
      <c t="s" s="10" r="D45">
        <v>180</v>
      </c>
      <c s="2" r="E45"/>
    </row>
    <row s="4" customFormat="1" r="46">
      <c t="s" s="10" r="A46">
        <v>134</v>
      </c>
      <c t="s" s="10" r="B46">
        <v>224</v>
      </c>
      <c s="2" r="C46"/>
      <c t="s" s="10" r="D46">
        <v>180</v>
      </c>
      <c s="2" r="E46"/>
    </row>
    <row s="4" customFormat="1" r="47">
      <c t="s" s="10" r="A47">
        <v>88</v>
      </c>
      <c t="s" s="10" r="B47">
        <v>176</v>
      </c>
      <c t="s" s="10" r="C47">
        <v>194</v>
      </c>
      <c t="s" s="10" r="D47">
        <v>178</v>
      </c>
      <c s="2" r="E47"/>
    </row>
    <row s="4" customFormat="1" r="48">
      <c t="s" s="10" r="A48">
        <v>112</v>
      </c>
      <c t="s" s="10" r="B48">
        <v>225</v>
      </c>
      <c t="s" s="10" r="C48">
        <v>210</v>
      </c>
      <c t="s" s="10" r="D48">
        <v>178</v>
      </c>
      <c s="2" r="E48"/>
    </row>
    <row s="4" customFormat="1" r="49">
      <c t="s" s="10" r="A49">
        <v>98</v>
      </c>
      <c t="s" s="10" r="B49">
        <v>183</v>
      </c>
      <c t="s" s="10" r="C49">
        <v>210</v>
      </c>
      <c t="s" s="10" r="D49">
        <v>178</v>
      </c>
      <c s="2" r="E49"/>
    </row>
    <row s="4" customFormat="1" r="50">
      <c t="s" s="10" r="A50">
        <v>55</v>
      </c>
      <c t="s" s="10" r="B50">
        <v>226</v>
      </c>
      <c t="s" s="10" r="C50">
        <v>227</v>
      </c>
      <c t="s" s="10" r="D50">
        <v>178</v>
      </c>
      <c s="2" r="E50"/>
    </row>
    <row s="4" customFormat="1" r="51">
      <c t="s" s="10" r="A51">
        <v>139</v>
      </c>
      <c t="s" s="10" r="B51">
        <v>228</v>
      </c>
      <c s="2" r="C51"/>
      <c t="s" s="10" r="D51">
        <v>180</v>
      </c>
      <c s="2" r="E51"/>
    </row>
    <row s="4" customFormat="1" r="52">
      <c t="s" s="10" r="A52">
        <v>108</v>
      </c>
      <c t="s" s="10" r="B52">
        <v>228</v>
      </c>
      <c s="2" r="C52"/>
      <c t="s" s="10" r="D52">
        <v>180</v>
      </c>
      <c s="2" r="E52"/>
    </row>
    <row s="4" customFormat="1" r="53">
      <c t="s" s="10" r="A53">
        <v>144</v>
      </c>
      <c t="s" s="10" r="B53">
        <v>222</v>
      </c>
      <c t="s" s="10" r="C53">
        <v>229</v>
      </c>
      <c t="s" s="10" r="D53">
        <v>178</v>
      </c>
      <c s="2" r="E53"/>
    </row>
    <row s="4" customFormat="1" r="54">
      <c t="s" s="10" r="A54">
        <v>114</v>
      </c>
      <c t="s" s="10" r="B54">
        <v>204</v>
      </c>
      <c t="s" s="10" r="C54">
        <v>230</v>
      </c>
      <c t="s" s="10" r="D54">
        <v>178</v>
      </c>
      <c s="2" r="E54"/>
    </row>
    <row s="4" customFormat="1" r="55">
      <c t="s" s="10" r="A55">
        <v>67</v>
      </c>
      <c t="s" s="10" r="B55">
        <v>231</v>
      </c>
      <c t="s" s="10" r="C55">
        <v>229</v>
      </c>
      <c t="s" s="10" r="D55">
        <v>178</v>
      </c>
      <c s="2" r="E55"/>
    </row>
    <row s="4" customFormat="1" r="56">
      <c t="s" s="10" r="A56">
        <v>130</v>
      </c>
      <c t="s" s="10" r="B56">
        <v>207</v>
      </c>
      <c t="s" s="10" r="C56">
        <v>229</v>
      </c>
      <c t="s" s="10" r="D56">
        <v>178</v>
      </c>
      <c s="2" r="E56"/>
    </row>
    <row s="4" customFormat="1" r="57">
      <c t="s" s="10" r="A57">
        <v>70</v>
      </c>
      <c t="s" s="10" r="B57">
        <v>232</v>
      </c>
      <c t="s" s="10" r="C57">
        <v>229</v>
      </c>
      <c t="s" s="10" r="D57">
        <v>178</v>
      </c>
      <c s="2" r="E57"/>
    </row>
    <row s="4" customFormat="1" r="58">
      <c t="s" s="10" r="A58">
        <v>40</v>
      </c>
      <c t="s" s="10" r="B58">
        <v>233</v>
      </c>
      <c t="s" s="10" r="C58">
        <v>210</v>
      </c>
      <c t="s" s="10" r="D58">
        <v>178</v>
      </c>
      <c s="2" r="E58"/>
    </row>
    <row r="59">
      <c t="s" s="10" r="A59">
        <v>61</v>
      </c>
      <c t="s" s="10" r="B59">
        <v>222</v>
      </c>
      <c t="s" s="10" r="C59">
        <v>210</v>
      </c>
      <c t="s" s="10" r="D59">
        <v>178</v>
      </c>
      <c s="2" r="E59"/>
    </row>
    <row s="4" customFormat="1" r="60">
      <c t="s" s="10" r="A60">
        <v>51</v>
      </c>
      <c t="s" s="10" r="B60">
        <v>184</v>
      </c>
      <c t="s" s="10" r="C60">
        <v>210</v>
      </c>
      <c t="s" s="10" r="D60">
        <v>178</v>
      </c>
      <c s="2" r="E60"/>
    </row>
    <row s="4" customFormat="1" r="61">
      <c t="s" s="10" r="A61">
        <v>234</v>
      </c>
      <c t="s" s="10" r="B61">
        <v>235</v>
      </c>
      <c t="s" s="10" r="C61">
        <v>210</v>
      </c>
      <c t="s" s="10" r="D61">
        <v>178</v>
      </c>
      <c s="2" r="E61"/>
    </row>
    <row s="4" customFormat="1" r="62">
      <c t="s" s="10" r="A62">
        <v>75</v>
      </c>
      <c t="s" s="10" r="B62">
        <v>221</v>
      </c>
      <c t="s" s="10" r="C62">
        <v>210</v>
      </c>
      <c t="s" s="10" r="D62">
        <v>178</v>
      </c>
      <c s="2" r="E62"/>
    </row>
    <row s="4" customFormat="1" r="63">
      <c t="s" s="10" r="A63">
        <v>86</v>
      </c>
      <c t="s" s="10" r="B63">
        <v>236</v>
      </c>
      <c t="s" s="10" r="C63">
        <v>210</v>
      </c>
      <c t="s" s="10" r="D63">
        <v>178</v>
      </c>
      <c s="2" r="E63"/>
    </row>
    <row r="64">
      <c t="s" s="10" r="A64">
        <v>120</v>
      </c>
      <c t="s" s="10" r="B64">
        <v>237</v>
      </c>
      <c t="s" s="10" r="C64">
        <v>210</v>
      </c>
      <c t="s" s="10" r="D64">
        <v>178</v>
      </c>
      <c s="2" r="E64"/>
    </row>
    <row s="4" customFormat="1" r="65">
      <c t="s" s="10" r="A65">
        <v>96</v>
      </c>
      <c t="s" s="10" r="B65">
        <v>232</v>
      </c>
      <c t="s" s="10" r="C65">
        <v>210</v>
      </c>
      <c t="s" s="10" r="D65">
        <v>178</v>
      </c>
      <c s="2" r="E65"/>
    </row>
    <row s="4" customFormat="1" r="66">
      <c t="s" s="10" r="A66">
        <v>106</v>
      </c>
      <c t="s" s="10" r="B66">
        <v>207</v>
      </c>
      <c t="s" s="10" r="C66">
        <v>210</v>
      </c>
      <c t="s" s="10" r="D66">
        <v>178</v>
      </c>
      <c s="2" r="E66"/>
    </row>
    <row s="4" customFormat="1" r="67">
      <c t="s" s="1" r="A67">
        <v>113</v>
      </c>
      <c t="s" s="10" r="B67">
        <v>209</v>
      </c>
      <c t="s" s="10" r="C67">
        <v>210</v>
      </c>
      <c t="s" s="10" r="D67">
        <v>178</v>
      </c>
      <c s="2" r="E67"/>
    </row>
    <row s="4" customFormat="1" r="68">
      <c t="s" s="10" r="A68">
        <v>136</v>
      </c>
      <c t="s" s="10" r="B68">
        <v>184</v>
      </c>
      <c t="s" s="10" r="C68">
        <v>186</v>
      </c>
      <c t="s" s="10" r="D68">
        <v>178</v>
      </c>
      <c s="2" r="E68"/>
    </row>
    <row s="4" customFormat="1" r="69">
      <c t="s" s="10" r="A69">
        <v>68</v>
      </c>
      <c t="s" s="10" r="B69">
        <v>184</v>
      </c>
      <c t="s" s="10" r="C69">
        <v>227</v>
      </c>
      <c t="s" s="10" r="D69">
        <v>178</v>
      </c>
      <c s="2" r="E69"/>
    </row>
    <row s="4" customFormat="1" r="70">
      <c t="s" s="10" r="A70">
        <v>81</v>
      </c>
      <c t="s" s="10" r="B70">
        <v>201</v>
      </c>
      <c s="2" r="C70"/>
      <c t="s" s="10" r="D70">
        <v>189</v>
      </c>
      <c s="2" r="E70"/>
    </row>
    <row s="4" customFormat="1" r="71">
      <c t="s" s="10" r="A71">
        <v>57</v>
      </c>
      <c t="s" s="10" r="B71">
        <v>238</v>
      </c>
      <c s="4" r="C71"/>
      <c t="s" s="10" r="D71">
        <v>187</v>
      </c>
      <c s="2" r="E71"/>
    </row>
    <row s="4" customFormat="1" r="72">
      <c t="s" s="10" r="A72">
        <v>118</v>
      </c>
      <c t="s" s="10" r="B72">
        <v>239</v>
      </c>
      <c t="s" s="10" r="D72">
        <v>240</v>
      </c>
      <c s="2" r="E72"/>
    </row>
    <row s="4" customFormat="1" r="73">
      <c t="s" s="10" r="A73">
        <v>151</v>
      </c>
      <c t="s" s="10" r="B73">
        <v>179</v>
      </c>
      <c t="s" s="10" r="C73">
        <v>229</v>
      </c>
      <c t="s" s="10" r="D73">
        <v>178</v>
      </c>
      <c s="2" r="E73"/>
    </row>
    <row s="4" customFormat="1" r="74">
      <c t="s" s="10" r="A74">
        <v>146</v>
      </c>
      <c t="s" s="10" r="B74">
        <v>241</v>
      </c>
      <c t="s" s="10" r="C74">
        <v>242</v>
      </c>
      <c t="s" s="10" r="D74">
        <v>178</v>
      </c>
      <c s="2" r="E74"/>
    </row>
    <row s="4" customFormat="1" r="75">
      <c t="s" s="10" r="A75">
        <v>124</v>
      </c>
      <c t="s" s="10" r="B75">
        <v>218</v>
      </c>
      <c t="s" s="10" r="C75">
        <v>242</v>
      </c>
      <c t="s" s="10" r="D75">
        <v>178</v>
      </c>
      <c s="2" r="E75"/>
    </row>
    <row s="4" customFormat="1" r="76">
      <c t="s" s="10" r="A76">
        <v>71</v>
      </c>
      <c t="s" s="10" r="B76">
        <v>243</v>
      </c>
      <c t="s" s="10" r="C76">
        <v>244</v>
      </c>
      <c t="s" s="10" r="D76">
        <v>178</v>
      </c>
    </row>
    <row r="77">
      <c t="s" s="10" r="A77">
        <v>83</v>
      </c>
      <c t="s" s="10" r="B77">
        <v>209</v>
      </c>
      <c t="s" s="10" r="C77">
        <v>230</v>
      </c>
      <c t="s" s="10" r="D77">
        <v>178</v>
      </c>
    </row>
    <row s="4" customFormat="1" r="78">
      <c t="s" s="10" r="A78">
        <v>91</v>
      </c>
      <c t="s" s="10" r="B78">
        <v>209</v>
      </c>
      <c t="s" s="10" r="C78">
        <v>230</v>
      </c>
      <c t="s" s="10" r="D78">
        <v>178</v>
      </c>
    </row>
    <row s="4" customFormat="1" r="79">
      <c t="s" s="10" r="A79">
        <v>41</v>
      </c>
      <c t="s" s="10" r="B79">
        <v>245</v>
      </c>
      <c t="s" s="10" r="C79">
        <v>210</v>
      </c>
      <c t="s" s="10" r="D79">
        <v>178</v>
      </c>
    </row>
    <row s="4" customFormat="1" r="80">
      <c t="s" s="10" r="A80">
        <v>52</v>
      </c>
      <c t="s" s="10" r="B80">
        <v>246</v>
      </c>
      <c t="s" s="10" r="C80">
        <v>210</v>
      </c>
      <c t="s" s="10" r="D80">
        <v>178</v>
      </c>
    </row>
    <row s="4" customFormat="1" r="81">
      <c t="s" s="10" r="A81">
        <v>62</v>
      </c>
      <c t="s" s="10" r="B81">
        <v>231</v>
      </c>
      <c t="s" s="10" r="C81">
        <v>210</v>
      </c>
      <c t="s" s="10" r="D81">
        <v>178</v>
      </c>
    </row>
    <row s="4" customFormat="1" r="82">
      <c t="s" s="10" r="A82">
        <v>76</v>
      </c>
      <c t="s" s="10" r="B82">
        <v>217</v>
      </c>
      <c t="s" s="10" r="C82">
        <v>210</v>
      </c>
      <c t="s" s="10" r="D82">
        <v>178</v>
      </c>
    </row>
    <row s="4" customFormat="1" r="83">
      <c t="s" s="10" r="A83">
        <v>87</v>
      </c>
      <c t="s" s="10" r="B83">
        <v>247</v>
      </c>
      <c t="s" s="10" r="C83">
        <v>210</v>
      </c>
      <c t="s" s="10" r="D83">
        <v>178</v>
      </c>
    </row>
    <row s="4" customFormat="1" r="84">
      <c t="s" s="10" r="A84">
        <v>97</v>
      </c>
      <c t="s" s="10" r="B84">
        <v>219</v>
      </c>
      <c t="s" s="10" r="C84">
        <v>210</v>
      </c>
      <c t="s" s="10" r="D84">
        <v>178</v>
      </c>
    </row>
    <row r="85">
      <c t="s" s="10" r="A85">
        <v>107</v>
      </c>
      <c t="s" s="10" r="B85">
        <v>248</v>
      </c>
      <c t="s" s="10" r="C85">
        <v>210</v>
      </c>
      <c t="s" s="10" r="D85">
        <v>178</v>
      </c>
    </row>
    <row s="4" customFormat="1" r="86">
      <c t="s" s="10" r="A86">
        <v>111</v>
      </c>
      <c t="s" s="10" r="B86">
        <v>211</v>
      </c>
      <c t="s" s="10" r="C86">
        <v>210</v>
      </c>
      <c t="s" s="10" r="D86">
        <v>178</v>
      </c>
    </row>
    <row s="4" customFormat="1" r="87">
      <c t="s" s="10" r="A87">
        <v>126</v>
      </c>
      <c t="s" s="10" r="B87">
        <v>197</v>
      </c>
      <c t="s" s="10" r="C87">
        <v>210</v>
      </c>
      <c t="s" s="10" r="D87">
        <v>178</v>
      </c>
    </row>
    <row s="4" customFormat="1" r="88">
      <c t="s" s="10" r="A88">
        <v>127</v>
      </c>
      <c t="s" s="10" r="B88">
        <v>209</v>
      </c>
      <c t="s" s="10" r="C88">
        <v>210</v>
      </c>
      <c t="s" s="10" r="D88">
        <v>178</v>
      </c>
    </row>
    <row s="4" customFormat="1" r="89">
      <c t="s" s="10" r="A89">
        <v>133</v>
      </c>
      <c t="s" s="10" r="B89">
        <v>218</v>
      </c>
      <c t="s" s="10" r="C89">
        <v>210</v>
      </c>
      <c t="s" s="10" r="D89">
        <v>178</v>
      </c>
    </row>
    <row s="4" customFormat="1" r="90">
      <c t="s" s="10" r="A90">
        <v>138</v>
      </c>
      <c t="s" s="10" r="B90">
        <v>249</v>
      </c>
      <c t="s" s="10" r="C90">
        <v>210</v>
      </c>
      <c t="s" s="10" r="D90">
        <v>178</v>
      </c>
    </row>
    <row s="4" customFormat="1" r="91">
      <c t="s" s="10" r="A91">
        <v>142</v>
      </c>
      <c t="s" s="10" r="B91">
        <v>197</v>
      </c>
      <c t="s" s="10" r="C91">
        <v>210</v>
      </c>
      <c t="s" s="10" r="D91">
        <v>178</v>
      </c>
    </row>
    <row s="4" customFormat="1" r="92">
      <c t="s" s="10" r="A92">
        <v>148</v>
      </c>
      <c t="s" s="10" r="B92">
        <v>250</v>
      </c>
      <c t="s" s="10" r="C92">
        <v>210</v>
      </c>
      <c t="s" s="10" r="D92">
        <v>178</v>
      </c>
    </row>
    <row r="93">
      <c t="s" s="10" r="A93">
        <v>132</v>
      </c>
      <c t="s" s="10" r="B93">
        <v>251</v>
      </c>
      <c t="s" s="10" r="D93">
        <v>212</v>
      </c>
    </row>
    <row r="94">
      <c t="s" s="10" r="A94">
        <v>143</v>
      </c>
      <c t="s" s="10" r="B94">
        <v>204</v>
      </c>
      <c t="s" s="10" r="C94">
        <v>252</v>
      </c>
      <c t="s" s="10" r="D94">
        <v>178</v>
      </c>
    </row>
    <row s="4" customFormat="1" r="95">
      <c t="s" s="10" r="A95">
        <v>137</v>
      </c>
      <c t="s" s="10" r="B95">
        <v>221</v>
      </c>
      <c t="s" s="10" r="C95">
        <v>199</v>
      </c>
      <c t="s" s="10" r="D95">
        <v>178</v>
      </c>
    </row>
    <row r="96">
      <c t="s" s="10" r="A96">
        <v>93</v>
      </c>
      <c t="s" s="10" r="B96">
        <v>219</v>
      </c>
      <c s="4" r="C96"/>
      <c t="s" s="10" r="D96">
        <v>187</v>
      </c>
    </row>
    <row r="97">
      <c t="s" s="10" r="A97">
        <v>141</v>
      </c>
      <c t="s" s="10" r="B97">
        <v>192</v>
      </c>
      <c t="s" s="10" r="D97">
        <v>180</v>
      </c>
    </row>
    <row r="98">
      <c t="s" s="10" r="A98">
        <v>147</v>
      </c>
      <c t="s" s="10" r="B98">
        <v>179</v>
      </c>
      <c s="10" r="C98"/>
      <c t="s" s="10" r="D98">
        <v>180</v>
      </c>
    </row>
    <row r="99">
      <c t="s" s="1" r="A99">
        <v>92</v>
      </c>
      <c t="s" s="10" r="B99">
        <v>253</v>
      </c>
      <c s="2" r="C99"/>
      <c t="s" s="10" r="D99">
        <v>180</v>
      </c>
    </row>
    <row r="100">
      <c t="s" s="10" r="A100">
        <v>153</v>
      </c>
      <c t="s" s="10" r="B100">
        <v>235</v>
      </c>
      <c t="s" s="10" r="C100">
        <v>210</v>
      </c>
      <c t="s" s="10" r="D100">
        <v>178</v>
      </c>
    </row>
    <row r="101">
      <c t="s" s="10" r="A101">
        <v>157</v>
      </c>
      <c t="s" s="10" r="B101">
        <v>207</v>
      </c>
      <c t="s" s="10" r="C101">
        <v>210</v>
      </c>
      <c t="s" s="10" r="D101">
        <v>178</v>
      </c>
    </row>
    <row r="102">
      <c t="s" s="10" r="A102">
        <v>154</v>
      </c>
      <c t="s" s="10" r="B102">
        <v>209</v>
      </c>
      <c t="s" s="10" r="C102">
        <v>254</v>
      </c>
      <c t="s" s="10" r="D102">
        <v>178</v>
      </c>
    </row>
    <row r="103">
      <c t="s" s="10" r="A103">
        <v>149</v>
      </c>
      <c t="s" s="10" r="B103">
        <v>215</v>
      </c>
      <c t="s" s="10" r="C103">
        <v>210</v>
      </c>
      <c t="s" s="10" r="D103">
        <v>178</v>
      </c>
    </row>
    <row s="4" customFormat="1" r="104">
      <c t="s" s="10" r="A104">
        <v>123</v>
      </c>
      <c t="s" s="10" r="B104">
        <v>232</v>
      </c>
      <c t="s" s="10" r="C104">
        <v>210</v>
      </c>
      <c t="s" s="10" r="D104">
        <v>178</v>
      </c>
    </row>
    <row s="4" customFormat="1" r="105">
      <c t="s" s="10" r="A105">
        <v>103</v>
      </c>
      <c t="s" s="10" r="B105">
        <v>176</v>
      </c>
      <c t="s" s="10" r="C105">
        <v>210</v>
      </c>
      <c t="s" s="10" r="D105">
        <v>178</v>
      </c>
    </row>
    <row s="4" customFormat="1" r="106">
      <c t="s" s="10" r="A106">
        <v>43</v>
      </c>
      <c t="s" s="10" r="B106">
        <v>255</v>
      </c>
      <c t="s" s="10" r="C106">
        <v>210</v>
      </c>
      <c t="s" s="10" r="D106">
        <v>178</v>
      </c>
    </row>
    <row s="4" customFormat="1" r="107">
      <c t="s" s="10" r="A107">
        <v>54</v>
      </c>
      <c t="s" s="10" r="B107">
        <v>211</v>
      </c>
      <c t="s" s="10" r="C107">
        <v>210</v>
      </c>
      <c t="s" s="10" r="D107">
        <v>178</v>
      </c>
    </row>
    <row r="108">
      <c t="s" s="10" r="A108">
        <v>65</v>
      </c>
      <c t="s" s="10" r="B108">
        <v>256</v>
      </c>
      <c t="s" s="10" r="C108">
        <v>210</v>
      </c>
      <c t="s" s="10" r="D108">
        <v>178</v>
      </c>
    </row>
    <row s="4" customFormat="1" r="109">
      <c t="s" s="10" r="A109">
        <v>79</v>
      </c>
      <c t="s" s="10" r="B109">
        <v>235</v>
      </c>
      <c t="s" s="10" r="C109">
        <v>210</v>
      </c>
      <c t="s" s="10" r="D109">
        <v>178</v>
      </c>
    </row>
    <row r="110">
      <c t="s" s="10" r="A110">
        <v>90</v>
      </c>
      <c t="s" s="10" r="B110">
        <v>181</v>
      </c>
      <c t="s" s="10" r="C110">
        <v>210</v>
      </c>
      <c t="s" s="10" r="D110">
        <v>178</v>
      </c>
    </row>
    <row r="111">
      <c t="s" s="10" r="A111">
        <v>159</v>
      </c>
      <c t="s" s="10" r="B111">
        <v>197</v>
      </c>
      <c t="s" s="10" r="C111">
        <v>210</v>
      </c>
      <c t="s" s="10" r="D111">
        <v>178</v>
      </c>
    </row>
    <row r="112">
      <c t="s" s="10" r="A112">
        <v>102</v>
      </c>
      <c t="s" s="10" r="B112">
        <v>225</v>
      </c>
      <c t="s" s="10" r="C112">
        <v>210</v>
      </c>
      <c t="s" s="10" r="D112">
        <v>178</v>
      </c>
    </row>
    <row s="4" customFormat="1" r="113">
      <c t="s" s="10" r="A113">
        <v>69</v>
      </c>
      <c t="s" s="10" r="B113">
        <v>197</v>
      </c>
      <c t="s" s="10" r="C113">
        <v>210</v>
      </c>
      <c t="s" s="10" r="D113">
        <v>178</v>
      </c>
    </row>
    <row s="4" customFormat="1" r="114">
      <c t="s" s="10" r="A114">
        <v>116</v>
      </c>
      <c t="s" s="10" r="B114">
        <v>219</v>
      </c>
      <c t="s" s="10" r="C114">
        <v>210</v>
      </c>
      <c t="s" s="10" r="D114">
        <v>178</v>
      </c>
    </row>
    <row s="4" customFormat="1" r="115">
      <c t="s" s="10" r="A115">
        <v>122</v>
      </c>
      <c t="s" s="10" r="B115">
        <v>249</v>
      </c>
      <c t="s" s="10" r="C115">
        <v>210</v>
      </c>
      <c t="s" s="10" r="D115">
        <v>178</v>
      </c>
    </row>
    <row s="4" customFormat="1" r="116">
      <c t="s" s="10" r="A116">
        <v>82</v>
      </c>
      <c t="s" s="10" r="B116">
        <v>218</v>
      </c>
      <c t="s" s="10" r="C116">
        <v>210</v>
      </c>
      <c t="s" s="10" r="D116">
        <v>178</v>
      </c>
    </row>
    <row s="4" customFormat="1" r="117">
      <c t="s" s="10" r="A117">
        <v>129</v>
      </c>
      <c t="s" s="10" r="B117">
        <v>257</v>
      </c>
      <c t="s" s="10" r="C117">
        <v>210</v>
      </c>
      <c t="s" s="10" r="D117">
        <v>178</v>
      </c>
    </row>
    <row s="4" customFormat="1" r="118">
      <c t="s" s="10" r="A118">
        <v>135</v>
      </c>
      <c t="s" s="10" r="B118">
        <v>249</v>
      </c>
      <c t="s" s="10" r="C118">
        <v>210</v>
      </c>
      <c t="s" s="10" r="D118">
        <v>178</v>
      </c>
    </row>
    <row s="4" customFormat="1" r="119">
      <c t="s" s="10" r="A119">
        <v>140</v>
      </c>
      <c t="s" s="10" r="B119">
        <v>214</v>
      </c>
      <c t="s" s="10" r="C119">
        <v>210</v>
      </c>
      <c t="s" s="10" r="D119">
        <v>178</v>
      </c>
    </row>
    <row r="120">
      <c t="s" s="10" r="A120">
        <v>145</v>
      </c>
      <c t="s" s="10" r="B120">
        <v>183</v>
      </c>
      <c t="s" s="10" r="C120">
        <v>210</v>
      </c>
      <c t="s" s="10" r="D120">
        <v>178</v>
      </c>
    </row>
    <row s="4" customFormat="1" r="121">
      <c t="s" s="10" r="A121">
        <v>163</v>
      </c>
      <c t="s" s="10" r="B121">
        <v>258</v>
      </c>
      <c s="2" r="C121"/>
      <c t="s" s="10" r="D121">
        <v>187</v>
      </c>
    </row>
    <row s="4" customFormat="1" r="122">
      <c t="s" s="10" r="A122">
        <v>150</v>
      </c>
      <c t="s" s="10" r="B122">
        <v>259</v>
      </c>
      <c t="s" s="10" r="C122">
        <v>210</v>
      </c>
      <c t="s" s="10" r="D122">
        <v>178</v>
      </c>
    </row>
    <row r="123">
      <c t="s" s="10" r="A123">
        <v>117</v>
      </c>
      <c t="s" s="10" r="B123">
        <v>248</v>
      </c>
      <c t="s" s="10" r="C123">
        <v>229</v>
      </c>
      <c t="s" s="10" r="D123">
        <v>178</v>
      </c>
    </row>
    <row r="124">
      <c t="s" s="10" r="A124">
        <v>164</v>
      </c>
      <c t="s" s="10" r="B124">
        <v>256</v>
      </c>
      <c t="s" s="10" r="C124">
        <v>210</v>
      </c>
      <c t="s" s="10" r="D124">
        <v>178</v>
      </c>
    </row>
    <row r="125">
      <c t="s" s="10" r="A125">
        <v>101</v>
      </c>
      <c t="s" s="10" r="B125">
        <v>260</v>
      </c>
      <c t="s" s="10" r="C125">
        <v>210</v>
      </c>
      <c t="s" s="10" r="D125">
        <v>178</v>
      </c>
    </row>
  </sheetData>
</worksheet>
</file>