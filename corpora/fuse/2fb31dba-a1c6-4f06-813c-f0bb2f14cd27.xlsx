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6" windowWidth="19152" windowHeight="8508"/>
  </bookViews>
  <sheets>
    <sheet name="Marathon Co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25" i="1" l="1"/>
  <c r="F34" i="1" s="1"/>
</calcChain>
</file>

<file path=xl/sharedStrings.xml><?xml version="1.0" encoding="utf-8"?>
<sst xmlns="http://schemas.openxmlformats.org/spreadsheetml/2006/main" count="32" uniqueCount="32">
  <si>
    <t>City of Marshfield Assessor</t>
  </si>
  <si>
    <t xml:space="preserve">CITY OF MARSHFIELD </t>
  </si>
  <si>
    <t xml:space="preserve">MARATHON COUNTY </t>
  </si>
  <si>
    <t xml:space="preserve">2012 TAX RATES </t>
  </si>
  <si>
    <t>Marathon County Roll</t>
  </si>
  <si>
    <t>Ratio</t>
  </si>
  <si>
    <t xml:space="preserve">Below are the 2012 tax rates with a 2011 comparison.  Use the 2012 rate structure to estimate your net tax.  </t>
  </si>
  <si>
    <t xml:space="preserve">This estimate would not inclulde any special assessment applied to the tax bill.    </t>
  </si>
  <si>
    <t>Marathon County</t>
  </si>
  <si>
    <t>Difference</t>
  </si>
  <si>
    <t>Gross Tax Rate</t>
  </si>
  <si>
    <t>State Credit</t>
  </si>
  <si>
    <t>Net Tax Rate / Millrate</t>
  </si>
  <si>
    <t>Lottery Credit Rate</t>
  </si>
  <si>
    <t>Maximum Lottery Value</t>
  </si>
  <si>
    <t xml:space="preserve">Maximum Lottery Credit </t>
  </si>
  <si>
    <t xml:space="preserve">First Dollar Credit On Improvement Value </t>
  </si>
  <si>
    <t xml:space="preserve">Value Allowance </t>
  </si>
  <si>
    <t xml:space="preserve">Maximum First Dollar Credit </t>
  </si>
  <si>
    <t xml:space="preserve"> X </t>
  </si>
  <si>
    <t xml:space="preserve">2012 Assessed Value Total </t>
  </si>
  <si>
    <t xml:space="preserve">Net Tax </t>
  </si>
  <si>
    <t>Lottery Credit Instructions For Primary Residence Only</t>
  </si>
  <si>
    <t>Lottery Credit</t>
  </si>
  <si>
    <t>If the homesite assesed value total is $9,200 or higher, subtract $89.66</t>
  </si>
  <si>
    <t xml:space="preserve">If the assessed value is below $9,200  - multiply .009745267 by the assessed value and subtract. </t>
  </si>
  <si>
    <t xml:space="preserve">First Dollar Credit Instruction For Properties With Improvement Values Only </t>
  </si>
  <si>
    <t>1st Dollar Credit</t>
  </si>
  <si>
    <t>If the improvement value is $6,600 or higher, subtract $64.32</t>
  </si>
  <si>
    <t xml:space="preserve">If the improvement value is below $6,600 - multiply .009745267 by the improvement value and subtract. </t>
  </si>
  <si>
    <t xml:space="preserve">Tax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</si>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</sst>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&quot;$&quot;#,##0.000000"/>
    <numFmt numFmtId="167" formatCode="&quot;$&quot;#,##0.0000000"/>
    <numFmt numFmtId="168" formatCode="0.000000000"/>
    <numFmt numFmtId="169" formatCode="&quot;$&quot;#,##0.000000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 Narrow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3">
    <xf numFmtId="0" fontId="0" fillId="0" borderId="0" xfId="0"/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14" fontId="5" fillId="0" borderId="0" xfId="1" applyNumberFormat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1" xfId="1" applyFont="1" applyBorder="1" applyAlignment="1">
      <alignment vertical="center"/>
    </xf>
    <xf numFmtId="0" fontId="5" fillId="0" borderId="2" xfId="1" applyFont="1" applyFill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165" fontId="4" fillId="0" borderId="2" xfId="1" applyNumberFormat="1" applyFont="1" applyFill="1" applyBorder="1" applyAlignment="1">
      <alignment vertical="center"/>
    </xf>
    <xf numFmtId="0" fontId="4" fillId="0" borderId="3" xfId="1" applyFont="1" applyFill="1" applyBorder="1" applyAlignment="1">
      <alignment vertical="center"/>
    </xf>
    <xf numFmtId="165" fontId="4" fillId="0" borderId="4" xfId="1" applyNumberFormat="1" applyFont="1" applyFill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6" xfId="1" applyFont="1" applyFill="1" applyBorder="1" applyAlignment="1">
      <alignment vertical="center"/>
    </xf>
    <xf numFmtId="0" fontId="4" fillId="0" borderId="7" xfId="1" applyFont="1" applyFill="1" applyBorder="1" applyAlignment="1">
      <alignment vertical="center"/>
    </xf>
    <xf numFmtId="0" fontId="2" fillId="0" borderId="0" xfId="1" applyFont="1" applyBorder="1" applyAlignment="1">
      <alignment vertical="center"/>
    </xf>
    <xf numFmtId="0" fontId="4" fillId="0" borderId="0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5" fillId="0" borderId="8" xfId="1" applyFont="1" applyFill="1" applyBorder="1" applyAlignment="1">
      <alignment vertical="center"/>
    </xf>
    <xf numFmtId="165" fontId="5" fillId="0" borderId="8" xfId="1" applyNumberFormat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165" fontId="2" fillId="0" borderId="8" xfId="1" applyNumberFormat="1" applyFont="1" applyFill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8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165" fontId="4" fillId="0" borderId="8" xfId="1" applyNumberFormat="1" applyFont="1" applyFill="1" applyBorder="1" applyAlignment="1">
      <alignment vertical="center"/>
    </xf>
    <xf numFmtId="0" fontId="4" fillId="0" borderId="10" xfId="1" applyFont="1" applyFill="1" applyBorder="1" applyAlignment="1">
      <alignment vertical="center"/>
    </xf>
    <xf numFmtId="0" fontId="4" fillId="0" borderId="0" xfId="1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164" fontId="4" fillId="0" borderId="5" xfId="1" applyNumberFormat="1" applyFont="1" applyFill="1" applyBorder="1" applyAlignment="1">
      <alignment vertical="center"/>
    </xf>
    <xf numFmtId="165" fontId="4" fillId="0" borderId="5" xfId="1" applyNumberFormat="1" applyFont="1" applyFill="1" applyBorder="1" applyAlignment="1">
      <alignment vertical="center"/>
    </xf>
    <xf numFmtId="165" fontId="2" fillId="0" borderId="12" xfId="1" applyNumberFormat="1" applyFont="1" applyFill="1" applyBorder="1" applyAlignment="1">
      <alignment vertical="center"/>
    </xf>
    <xf numFmtId="0" fontId="2" fillId="0" borderId="1" xfId="1" applyFont="1" applyFill="1" applyBorder="1" applyAlignment="1">
      <alignment vertical="center"/>
    </xf>
    <xf numFmtId="10" fontId="4" fillId="0" borderId="4" xfId="2" applyNumberFormat="1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2" borderId="10" xfId="1" applyFont="1" applyFill="1" applyBorder="1" applyAlignment="1">
      <alignment vertical="center"/>
    </xf>
    <xf numFmtId="164" fontId="5" fillId="0" borderId="0" xfId="1" applyNumberFormat="1" applyFont="1" applyBorder="1" applyAlignment="1">
      <alignment horizontal="center" vertical="center"/>
    </xf>
    <xf numFmtId="10" fontId="5" fillId="0" borderId="0" xfId="2" applyNumberFormat="1" applyFont="1" applyBorder="1" applyAlignment="1">
      <alignment horizontal="center" vertical="center"/>
    </xf>
    <xf numFmtId="0" fontId="4" fillId="0" borderId="9" xfId="1" applyFont="1" applyFill="1" applyBorder="1" applyAlignment="1">
      <alignment vertical="center"/>
    </xf>
    <xf numFmtId="9" fontId="4" fillId="0" borderId="10" xfId="2" applyFont="1" applyFill="1" applyBorder="1" applyAlignment="1">
      <alignment vertical="center"/>
    </xf>
    <xf numFmtId="169" fontId="4" fillId="0" borderId="11" xfId="1" applyNumberFormat="1" applyFont="1" applyFill="1" applyBorder="1" applyAlignment="1">
      <alignment vertical="center"/>
    </xf>
    <xf numFmtId="165" fontId="4" fillId="3" borderId="2" xfId="1" applyNumberFormat="1" applyFont="1" applyFill="1" applyBorder="1" applyAlignment="1">
      <alignment vertical="center"/>
    </xf>
    <xf numFmtId="9" fontId="4" fillId="3" borderId="2" xfId="2" applyFont="1" applyFill="1" applyBorder="1" applyAlignment="1">
      <alignment vertical="center"/>
    </xf>
    <xf numFmtId="0" fontId="4" fillId="3" borderId="2" xfId="1" applyFont="1" applyFill="1" applyBorder="1" applyAlignment="1">
      <alignment vertical="center"/>
    </xf>
    <xf numFmtId="168" fontId="5" fillId="3" borderId="2" xfId="1" applyNumberFormat="1" applyFont="1" applyFill="1" applyBorder="1" applyAlignment="1">
      <alignment vertical="center"/>
    </xf>
    <xf numFmtId="167" fontId="4" fillId="3" borderId="11" xfId="1" applyNumberFormat="1" applyFont="1" applyFill="1" applyBorder="1" applyAlignment="1">
      <alignment vertical="center"/>
    </xf>
    <xf numFmtId="164" fontId="4" fillId="3" borderId="5" xfId="1" applyNumberFormat="1" applyFont="1" applyFill="1" applyBorder="1" applyAlignment="1">
      <alignment vertical="center"/>
    </xf>
    <xf numFmtId="165" fontId="4" fillId="3" borderId="4" xfId="1" applyNumberFormat="1" applyFont="1" applyFill="1" applyBorder="1" applyAlignment="1">
      <alignment vertical="center"/>
    </xf>
    <xf numFmtId="165" fontId="4" fillId="3" borderId="5" xfId="1" applyNumberFormat="1" applyFont="1" applyFill="1" applyBorder="1" applyAlignment="1">
      <alignment vertical="center"/>
    </xf>
    <xf numFmtId="0" fontId="4" fillId="3" borderId="9" xfId="1" applyFont="1" applyFill="1" applyBorder="1" applyAlignment="1">
      <alignment vertical="center"/>
    </xf>
    <xf numFmtId="166" fontId="4" fillId="3" borderId="2" xfId="1" applyNumberFormat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165" fontId="5" fillId="3" borderId="2" xfId="1" applyNumberFormat="1" applyFont="1" applyFill="1" applyBorder="1" applyAlignment="1">
      <alignment vertical="center"/>
    </xf>
    <xf numFmtId="0" fontId="2" fillId="3" borderId="3" xfId="1" applyFont="1" applyFill="1" applyBorder="1" applyAlignment="1">
      <alignment vertical="center"/>
    </xf>
    <xf numFmtId="0" fontId="4" fillId="3" borderId="10" xfId="1" applyFont="1" applyFill="1" applyBorder="1" applyAlignment="1">
      <alignment vertical="center"/>
    </xf>
    <xf numFmtId="0" fontId="2" fillId="3" borderId="7" xfId="1" applyFont="1" applyFill="1" applyBorder="1" applyAlignment="1">
      <alignment vertical="center"/>
    </xf>
    <xf numFmtId="0" fontId="2" fillId="3" borderId="9" xfId="1" applyFont="1" applyFill="1" applyBorder="1" applyAlignment="1">
      <alignment vertical="center"/>
    </xf>
    <xf numFmtId="10" fontId="2" fillId="3" borderId="4" xfId="2" applyNumberFormat="1" applyFont="1" applyFill="1" applyBorder="1" applyAlignment="1">
      <alignment vertical="center"/>
    </xf>
    <xf numFmtId="10" fontId="4" fillId="3" borderId="3" xfId="1" applyNumberFormat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0" fontId="4" fillId="3" borderId="8" xfId="1" applyFont="1" applyFill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0" fontId="2" fillId="3" borderId="5" xfId="1" applyFont="1" applyFill="1" applyBorder="1" applyAlignment="1">
      <alignment vertical="center"/>
    </xf>
    <xf numFmtId="165" fontId="3" fillId="0" borderId="3" xfId="1" applyNumberFormat="1" applyFont="1" applyFill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164" fontId="5" fillId="0" borderId="1" xfId="1" applyNumberFormat="1" applyFont="1" applyBorder="1" applyAlignment="1">
      <alignment horizontal="center" vertical="center"/>
    </xf>
    <xf numFmtId="10" fontId="5" fillId="0" borderId="1" xfId="2" applyNumberFormat="1" applyFont="1" applyBorder="1" applyAlignment="1">
      <alignment horizontal="center" vertical="center"/>
    </xf>
    <xf numFmtId="164" fontId="8" fillId="0" borderId="11" xfId="1" applyNumberFormat="1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164" fontId="8" fillId="0" borderId="14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1" fillId="0" borderId="1" xfId="1" applyBorder="1" applyAlignment="1">
      <alignment vertical="center"/>
    </xf>
    <xf numFmtId="0" fontId="7" fillId="3" borderId="12" xfId="1" applyFont="1" applyFill="1" applyBorder="1" applyAlignment="1">
      <alignment horizontal="center" vertical="center"/>
    </xf>
    <xf numFmtId="0" fontId="7" fillId="3" borderId="13" xfId="1" applyFont="1" applyFill="1" applyBorder="1" applyAlignment="1">
      <alignment horizontal="center" vertical="center"/>
    </xf>
    <xf numFmtId="0" fontId="7" fillId="3" borderId="0" xfId="1" applyFont="1" applyFill="1" applyBorder="1" applyAlignment="1">
      <alignment horizontal="center" vertical="center"/>
    </xf>
    <xf numFmtId="0" fontId="7" fillId="3" borderId="15" xfId="1" applyFont="1" applyFill="1" applyBorder="1" applyAlignment="1">
      <alignment horizontal="center" vertical="center"/>
    </xf>
    <xf numFmtId="0" fontId="4" fillId="0" borderId="6" xfId="1" applyFont="1" applyBorder="1" applyAlignment="1">
      <alignment horizontal="center" vertical="top"/>
    </xf>
    <xf numFmtId="0" fontId="1" fillId="0" borderId="0" xfId="1" applyBorder="1" applyAlignment="1">
      <alignment horizontal="center" vertical="top"/>
    </xf>
    <xf numFmtId="0" fontId="7" fillId="3" borderId="6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left" vertical="center"/>
    </xf>
    <xf numFmtId="0" fontId="1" fillId="3" borderId="8" xfId="1" applyFill="1" applyBorder="1" applyAlignment="1">
      <alignment horizontal="left" vertical="center"/>
    </xf>
    <xf numFmtId="0" fontId="4" fillId="0" borderId="6" xfId="1" applyFont="1" applyBorder="1" applyAlignment="1">
      <alignment horizontal="right" vertical="center"/>
    </xf>
    <xf numFmtId="0" fontId="1" fillId="0" borderId="11" xfId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Border="1" applyAlignment="1">
      <alignment vertical="center"/>
    </xf>
    <xf numFmtId="0" fontId="7" fillId="0" borderId="4" xfId="1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horizontal="center" vertical="center"/>
    </xf>
    <xf numFmtId="165" fontId="3" fillId="0" borderId="5" xfId="1" applyNumberFormat="1" applyFont="1" applyBorder="1" applyAlignment="1">
      <alignment horizontal="right" vertical="center"/>
    </xf>
    <xf numFmtId="0" fontId="3" fillId="0" borderId="10" xfId="1" applyFont="1" applyBorder="1" applyAlignment="1">
      <alignment horizontal="right" vertical="center"/>
    </xf>
    <xf numFmtId="165" fontId="1" fillId="0" borderId="6" xfId="1" applyNumberFormat="1" applyBorder="1" applyAlignment="1">
      <alignment horizontal="right" vertical="center"/>
    </xf>
    <xf numFmtId="0" fontId="1" fillId="0" borderId="15" xfId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0" borderId="14" xfId="1" applyBorder="1" applyAlignment="1">
      <alignment horizontal="right" vertical="center"/>
    </xf>
    <xf numFmtId="165" fontId="4" fillId="0" borderId="6" xfId="1" applyNumberFormat="1" applyFont="1" applyBorder="1" applyAlignment="1">
      <alignment horizontal="right" vertical="center"/>
    </xf>
    <xf numFmtId="0" fontId="6" fillId="0" borderId="11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165" fontId="4" fillId="0" borderId="11" xfId="1" applyNumberFormat="1" applyFont="1" applyBorder="1" applyAlignment="1">
      <alignment horizontal="right" vertical="center"/>
    </xf>
    <xf numFmtId="165" fontId="4" fillId="0" borderId="14" xfId="1" applyNumberFormat="1" applyFont="1" applyBorder="1" applyAlignment="1">
      <alignment horizontal="right" vertical="center"/>
    </xf>
  </cellXfs>
  <cellStyles count="4">
    <cellStyle name="Currency 2" xfId="3"/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topLeftCell="A6" workbookViewId="0">
      <selection activeCell="F25" sqref="F25:G25"/>
    </sheetView>
  </sheetViews>
  <sheetFormatPr defaultRowHeight="14.4" x14ac:dyDescent="0.3"/>
  <cols>
    <col min="1" max="1" width="36.44140625" customWidth="1"/>
    <col min="2" max="2" width="17" customWidth="1"/>
    <col min="3" max="3" width="12.6640625" customWidth="1"/>
    <col min="4" max="4" width="15.33203125" customWidth="1"/>
    <col min="5" max="5" width="12.6640625" customWidth="1"/>
    <col min="6" max="6" width="14.109375" customWidth="1"/>
    <col min="7" max="7" width="9.88671875" customWidth="1"/>
  </cols>
  <sheetData>
    <row r="1" spans="1:8" ht="15" x14ac:dyDescent="0.25">
      <c r="A1" s="1" t="s">
        <v>0</v>
      </c>
      <c r="B1" s="2"/>
      <c r="C1" s="2"/>
      <c r="D1" s="2"/>
      <c r="E1" s="3" t="s">
        <v>1</v>
      </c>
      <c r="F1" s="2"/>
      <c r="G1" s="2"/>
      <c r="H1" s="2"/>
    </row>
    <row r="2" spans="1:8" ht="15.75" x14ac:dyDescent="0.25">
      <c r="A2" s="3">
        <v>41311</v>
      </c>
      <c r="B2" s="2"/>
      <c r="C2" s="2"/>
      <c r="D2" s="2"/>
      <c r="E2" s="37" t="s">
        <v>2</v>
      </c>
      <c r="F2" s="38"/>
      <c r="G2" s="39"/>
      <c r="H2" s="2"/>
    </row>
    <row r="3" spans="1:8" ht="15.75" x14ac:dyDescent="0.25">
      <c r="A3" s="68" t="s">
        <v>3</v>
      </c>
      <c r="B3" s="68"/>
      <c r="C3" s="68"/>
      <c r="D3" s="68"/>
      <c r="E3" s="68"/>
      <c r="F3" s="68"/>
      <c r="G3" s="68"/>
      <c r="H3" s="2"/>
    </row>
    <row r="4" spans="1:8" ht="15.75" x14ac:dyDescent="0.25">
      <c r="A4" s="29"/>
      <c r="B4" s="29"/>
      <c r="C4" s="29"/>
      <c r="D4" s="29"/>
      <c r="E4" s="29"/>
      <c r="F4" s="29"/>
      <c r="G4" s="29"/>
      <c r="H4" s="2"/>
    </row>
    <row r="5" spans="1:8" ht="15" x14ac:dyDescent="0.25">
      <c r="A5" s="30" t="s">
        <v>4</v>
      </c>
      <c r="B5" s="77">
        <v>107315230</v>
      </c>
      <c r="C5" s="77"/>
      <c r="D5" s="4"/>
      <c r="E5" s="4" t="s">
        <v>5</v>
      </c>
      <c r="F5" s="78">
        <v>1.026</v>
      </c>
      <c r="G5" s="78"/>
      <c r="H5" s="5"/>
    </row>
    <row r="6" spans="1:8" ht="15" x14ac:dyDescent="0.25">
      <c r="A6" s="30"/>
      <c r="B6" s="40"/>
      <c r="C6" s="40"/>
      <c r="D6" s="4"/>
      <c r="E6" s="4"/>
      <c r="F6" s="41"/>
      <c r="G6" s="41"/>
      <c r="H6" s="5"/>
    </row>
    <row r="7" spans="1:8" ht="15" x14ac:dyDescent="0.25">
      <c r="A7" s="5" t="s">
        <v>6</v>
      </c>
      <c r="B7" s="5"/>
      <c r="C7" s="5"/>
      <c r="D7" s="5"/>
      <c r="E7" s="5"/>
      <c r="F7" s="5"/>
      <c r="G7" s="5"/>
      <c r="H7" s="5"/>
    </row>
    <row r="8" spans="1:8" ht="15" x14ac:dyDescent="0.25">
      <c r="A8" s="5" t="s">
        <v>7</v>
      </c>
      <c r="B8" s="16"/>
      <c r="C8" s="16"/>
      <c r="D8" s="16"/>
      <c r="E8" s="16"/>
      <c r="F8" s="16"/>
      <c r="G8" s="16"/>
      <c r="H8" s="16"/>
    </row>
    <row r="9" spans="1:8" ht="15" x14ac:dyDescent="0.25">
      <c r="A9" s="6"/>
      <c r="B9" s="16"/>
      <c r="C9" s="16"/>
      <c r="D9" s="16"/>
      <c r="E9" s="16"/>
      <c r="F9" s="16"/>
      <c r="G9" s="16"/>
      <c r="H9" s="16"/>
    </row>
    <row r="10" spans="1:8" ht="15" x14ac:dyDescent="0.25">
      <c r="A10" s="7" t="s">
        <v>8</v>
      </c>
      <c r="B10" s="69">
        <v>2012</v>
      </c>
      <c r="C10" s="70"/>
      <c r="D10" s="71">
        <v>2011</v>
      </c>
      <c r="E10" s="72"/>
      <c r="F10" s="73" t="s">
        <v>9</v>
      </c>
      <c r="G10" s="73"/>
      <c r="H10" s="2"/>
    </row>
    <row r="11" spans="1:8" ht="15" x14ac:dyDescent="0.25">
      <c r="A11" s="8" t="s">
        <v>10</v>
      </c>
      <c r="B11" s="42">
        <v>2.4971243000000001E-2</v>
      </c>
      <c r="C11" s="9">
        <v>24.971243000000001</v>
      </c>
      <c r="D11" s="53">
        <v>2.4952439E-2</v>
      </c>
      <c r="E11" s="45">
        <v>24.952438999999998</v>
      </c>
      <c r="F11" s="54">
        <v>6.8018099999999845E-4</v>
      </c>
      <c r="G11" s="46">
        <v>2.8022979979860068E-2</v>
      </c>
      <c r="H11" s="2"/>
    </row>
    <row r="12" spans="1:8" ht="15" x14ac:dyDescent="0.25">
      <c r="A12" s="8" t="s">
        <v>11</v>
      </c>
      <c r="B12" s="10">
        <v>1.4158179999999999E-3</v>
      </c>
      <c r="C12" s="11">
        <v>1.4158179999999998</v>
      </c>
      <c r="D12" s="55">
        <v>1.3698790000000001E-3</v>
      </c>
      <c r="E12" s="45">
        <v>1.3698790000000001</v>
      </c>
      <c r="F12" s="54">
        <v>8.367200000000013E-5</v>
      </c>
      <c r="G12" s="46">
        <v>6.5053292354963183E-2</v>
      </c>
      <c r="H12" s="2"/>
    </row>
    <row r="13" spans="1:8" ht="15.75" x14ac:dyDescent="0.25">
      <c r="A13" s="17" t="s">
        <v>12</v>
      </c>
      <c r="B13" s="36">
        <v>2.3555425000000001E-2</v>
      </c>
      <c r="C13" s="67">
        <v>23.555425</v>
      </c>
      <c r="D13" s="48">
        <v>2.3582559999999999E-2</v>
      </c>
      <c r="E13" s="56">
        <v>23.582559999999997</v>
      </c>
      <c r="F13" s="54">
        <v>5.9650899999999854E-4</v>
      </c>
      <c r="G13" s="46">
        <v>2.5950912577371317E-2</v>
      </c>
      <c r="H13" s="2"/>
    </row>
    <row r="14" spans="1:8" ht="15" x14ac:dyDescent="0.25">
      <c r="A14" s="12"/>
      <c r="B14" s="19"/>
      <c r="C14" s="20"/>
      <c r="D14" s="21"/>
      <c r="E14" s="33"/>
      <c r="F14" s="26"/>
      <c r="G14" s="43"/>
      <c r="H14" s="2"/>
    </row>
    <row r="15" spans="1:8" ht="15" x14ac:dyDescent="0.25">
      <c r="A15" s="18" t="s">
        <v>13</v>
      </c>
      <c r="B15" s="44">
        <v>9.7452670000000002E-3</v>
      </c>
      <c r="C15" s="13"/>
      <c r="D15" s="49">
        <v>9.2490000000000003E-3</v>
      </c>
      <c r="E15" s="57"/>
      <c r="F15" s="58"/>
      <c r="G15" s="46">
        <v>1.4805492485674015E-2</v>
      </c>
      <c r="H15" s="2"/>
    </row>
    <row r="16" spans="1:8" ht="15" x14ac:dyDescent="0.25">
      <c r="A16" s="8" t="s">
        <v>14</v>
      </c>
      <c r="B16" s="31">
        <v>9200</v>
      </c>
      <c r="C16" s="13"/>
      <c r="D16" s="50">
        <v>8700</v>
      </c>
      <c r="E16" s="59"/>
      <c r="F16" s="58"/>
      <c r="G16" s="46">
        <v>3.4482758620689655E-2</v>
      </c>
      <c r="H16" s="2"/>
    </row>
    <row r="17" spans="1:7" ht="15" x14ac:dyDescent="0.25">
      <c r="A17" s="23" t="s">
        <v>15</v>
      </c>
      <c r="B17" s="11">
        <v>89.656456399999996</v>
      </c>
      <c r="C17" s="14"/>
      <c r="D17" s="51">
        <v>80.466300000000004</v>
      </c>
      <c r="E17" s="60"/>
      <c r="F17" s="58"/>
      <c r="G17" s="46">
        <v>4.9798785330007596E-2</v>
      </c>
    </row>
    <row r="18" spans="1:7" ht="15" x14ac:dyDescent="0.25">
      <c r="A18" s="25"/>
      <c r="B18" s="26"/>
      <c r="C18" s="24"/>
      <c r="D18" s="22"/>
      <c r="E18" s="34"/>
      <c r="F18" s="24"/>
      <c r="G18" s="27"/>
    </row>
    <row r="19" spans="1:7" ht="15" x14ac:dyDescent="0.25">
      <c r="A19" s="18" t="s">
        <v>16</v>
      </c>
      <c r="B19" s="44">
        <v>9.7452670000000002E-3</v>
      </c>
      <c r="C19" s="14"/>
      <c r="D19" s="49">
        <v>9.2490000000000003E-3</v>
      </c>
      <c r="E19" s="59"/>
      <c r="F19" s="47"/>
      <c r="G19" s="46">
        <v>1.4805492485674015E-2</v>
      </c>
    </row>
    <row r="20" spans="1:7" ht="15" x14ac:dyDescent="0.25">
      <c r="A20" s="8" t="s">
        <v>17</v>
      </c>
      <c r="B20" s="31">
        <v>6600</v>
      </c>
      <c r="C20" s="14"/>
      <c r="D20" s="50">
        <v>6900</v>
      </c>
      <c r="E20" s="59"/>
      <c r="F20" s="47"/>
      <c r="G20" s="46">
        <v>-1.4492753623188406E-2</v>
      </c>
    </row>
    <row r="21" spans="1:7" ht="15" x14ac:dyDescent="0.25">
      <c r="A21" s="8" t="s">
        <v>18</v>
      </c>
      <c r="B21" s="32">
        <v>64.318762199999995</v>
      </c>
      <c r="C21" s="14"/>
      <c r="D21" s="52">
        <v>63.818100000000001</v>
      </c>
      <c r="E21" s="59"/>
      <c r="F21" s="47"/>
      <c r="G21" s="46">
        <v>9.8166507620827624E-5</v>
      </c>
    </row>
    <row r="22" spans="1:7" ht="15" x14ac:dyDescent="0.25">
      <c r="A22" s="23"/>
      <c r="B22" s="35"/>
      <c r="C22" s="14"/>
      <c r="D22" s="61"/>
      <c r="E22" s="59"/>
      <c r="F22" s="55"/>
      <c r="G22" s="62"/>
    </row>
    <row r="23" spans="1:7" ht="15" x14ac:dyDescent="0.25">
      <c r="A23" s="63"/>
      <c r="B23" s="64"/>
      <c r="C23" s="64"/>
      <c r="D23" s="64"/>
      <c r="E23" s="64"/>
      <c r="F23" s="84"/>
      <c r="G23" s="85"/>
    </row>
    <row r="24" spans="1:7" x14ac:dyDescent="0.3">
      <c r="A24" s="93">
        <v>2.3582559999999999E-2</v>
      </c>
      <c r="B24" s="82" t="s">
        <v>19</v>
      </c>
      <c r="C24" s="88" t="s">
        <v>20</v>
      </c>
      <c r="D24" s="89"/>
      <c r="E24" s="89"/>
      <c r="F24" s="100" t="s">
        <v>21</v>
      </c>
      <c r="G24" s="101"/>
    </row>
    <row r="25" spans="1:7" ht="17.399999999999999" x14ac:dyDescent="0.3">
      <c r="A25" s="94"/>
      <c r="B25" s="83"/>
      <c r="C25" s="79">
        <v>100000</v>
      </c>
      <c r="D25" s="80"/>
      <c r="E25" s="81"/>
      <c r="F25" s="111">
        <f>C25*B13</f>
        <v>2355.5425</v>
      </c>
      <c r="G25" s="112"/>
    </row>
    <row r="26" spans="1:7" x14ac:dyDescent="0.3">
      <c r="A26" s="91"/>
      <c r="B26" s="92"/>
      <c r="C26" s="65"/>
      <c r="D26" s="65"/>
      <c r="E26" s="65"/>
      <c r="F26" s="86"/>
      <c r="G26" s="87"/>
    </row>
    <row r="27" spans="1:7" x14ac:dyDescent="0.3">
      <c r="A27" s="74" t="s">
        <v>22</v>
      </c>
      <c r="B27" s="75"/>
      <c r="C27" s="75"/>
      <c r="D27" s="75"/>
      <c r="E27" s="76"/>
      <c r="F27" s="100" t="s">
        <v>23</v>
      </c>
      <c r="G27" s="101"/>
    </row>
    <row r="28" spans="1:7" x14ac:dyDescent="0.3">
      <c r="A28" s="97" t="s">
        <v>24</v>
      </c>
      <c r="B28" s="98"/>
      <c r="C28" s="98"/>
      <c r="D28" s="98"/>
      <c r="E28" s="99"/>
      <c r="F28" s="104">
        <v>84.47</v>
      </c>
      <c r="G28" s="105"/>
    </row>
    <row r="29" spans="1:7" x14ac:dyDescent="0.3">
      <c r="A29" s="97" t="s">
        <v>25</v>
      </c>
      <c r="B29" s="99"/>
      <c r="C29" s="99"/>
      <c r="D29" s="99"/>
      <c r="E29" s="99"/>
      <c r="F29" s="106"/>
      <c r="G29" s="107"/>
    </row>
    <row r="30" spans="1:7" x14ac:dyDescent="0.3">
      <c r="A30" s="66"/>
      <c r="B30" s="64"/>
      <c r="C30" s="64"/>
      <c r="D30" s="64"/>
      <c r="E30" s="64"/>
      <c r="F30" s="90"/>
      <c r="G30" s="87"/>
    </row>
    <row r="31" spans="1:7" x14ac:dyDescent="0.3">
      <c r="A31" s="74" t="s">
        <v>26</v>
      </c>
      <c r="B31" s="75"/>
      <c r="C31" s="75"/>
      <c r="D31" s="75"/>
      <c r="E31" s="76"/>
      <c r="F31" s="100" t="s">
        <v>27</v>
      </c>
      <c r="G31" s="101"/>
    </row>
    <row r="32" spans="1:7" x14ac:dyDescent="0.3">
      <c r="A32" s="97" t="s">
        <v>28</v>
      </c>
      <c r="B32" s="99"/>
      <c r="C32" s="99"/>
      <c r="D32" s="99"/>
      <c r="E32" s="99"/>
      <c r="F32" s="108">
        <v>63.82</v>
      </c>
      <c r="G32" s="105"/>
    </row>
    <row r="33" spans="1:9" x14ac:dyDescent="0.3">
      <c r="A33" s="109" t="s">
        <v>29</v>
      </c>
      <c r="B33" s="110"/>
      <c r="C33" s="110"/>
      <c r="D33" s="110"/>
      <c r="E33" s="110"/>
      <c r="F33" s="106"/>
      <c r="G33" s="107"/>
      <c r="H33" s="2"/>
      <c r="I33" s="2"/>
    </row>
    <row r="34" spans="1:9" ht="15.6" x14ac:dyDescent="0.3">
      <c r="A34" s="15"/>
      <c r="B34" s="16"/>
      <c r="C34" s="16"/>
      <c r="D34" s="95" t="s">
        <v>30</v>
      </c>
      <c r="E34" s="96"/>
      <c r="F34" s="102">
        <f>F25-F28-F32</f>
        <v>2207.2525000000001</v>
      </c>
      <c r="G34" s="103"/>
      <c r="H34" s="2"/>
      <c r="I34" s="2"/>
    </row>
    <row r="35" spans="1:9" x14ac:dyDescent="0.3">
      <c r="A35" s="15"/>
      <c r="B35" s="2"/>
      <c r="C35" s="2"/>
      <c r="D35" s="2"/>
      <c r="E35" s="16"/>
      <c r="F35" s="28"/>
      <c r="G35" s="28"/>
      <c r="H35" s="16"/>
      <c r="I35" s="2"/>
    </row>
    <row r="36" spans="1:9" x14ac:dyDescent="0.3">
      <c r="A36" s="2"/>
      <c r="B36" s="2"/>
      <c r="C36" s="2"/>
      <c r="D36" s="2"/>
      <c r="E36" s="2"/>
      <c r="F36" s="16"/>
      <c r="G36" s="16"/>
      <c r="H36" s="2"/>
      <c r="I36" s="2" t="s">
        <v>31</v>
      </c>
    </row>
  </sheetData>
  <mergeCells count="28">
    <mergeCell ref="F30:G30"/>
    <mergeCell ref="A26:B26"/>
    <mergeCell ref="A24:A25"/>
    <mergeCell ref="D34:E34"/>
    <mergeCell ref="A28:E28"/>
    <mergeCell ref="A29:E29"/>
    <mergeCell ref="A32:E32"/>
    <mergeCell ref="F24:G24"/>
    <mergeCell ref="F34:G34"/>
    <mergeCell ref="F28:G29"/>
    <mergeCell ref="F32:G33"/>
    <mergeCell ref="F27:G27"/>
    <mergeCell ref="F31:G31"/>
    <mergeCell ref="A33:E33"/>
    <mergeCell ref="A31:E31"/>
    <mergeCell ref="F25:G25"/>
    <mergeCell ref="A3:G3"/>
    <mergeCell ref="B10:C10"/>
    <mergeCell ref="D10:E10"/>
    <mergeCell ref="F10:G10"/>
    <mergeCell ref="A27:E27"/>
    <mergeCell ref="B5:C5"/>
    <mergeCell ref="F5:G5"/>
    <mergeCell ref="C25:E25"/>
    <mergeCell ref="B24:B25"/>
    <mergeCell ref="F23:G23"/>
    <mergeCell ref="F26:G26"/>
    <mergeCell ref="C24:E24"/>
  </mergeCells>
  <printOptions horizontalCentered="1"/>
  <pageMargins left="0.5" right="0.5" top="0.5" bottom="0.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Marathon Co</vt:lpstr>
      <vt:lpstr>Sheet2</vt:lpstr>
      <vt:lpstr>Sheet3</vt:lpstr>
    </vt:vector>
  </TitlesOfParts>
  <Company>City of Marshfield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Spencer, Joan</dc:creator>
  <cp:lastModifiedBy>Binder, Heather</cp:lastModifiedBy>
  <dcterms:created xsi:type="dcterms:W3CDTF">2013-02-06T16:51:26Z</dcterms:created>
  <dcterms:modified xsi:type="dcterms:W3CDTF">2013-02-06T17:23:43Z</dcterms:modified>
</cp:coreProperties>
</file>