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9020" windowHeight="11895"/>
  </bookViews>
  <sheets>
    <sheet name="External 7-6-12 to 4-25-13" sheetId="1" r:id="rId1"/>
  </sheets>
  <definedNames>
    <definedName name="_xlnm.Print_Area" localSheetId="0">'External 7-6-12 to 4-25-13'!$A$1:$I$50</definedName>
  </definedNames>
  <calcPr calcId="125725"/>
</workbook>
</file>

<file path=xl/calcChain.xml><?xml version="1.0" encoding="utf-8"?>
<calcChain xmlns="http://schemas.openxmlformats.org/spreadsheetml/2006/main">
  <c r="I42" i="1"/>
  <c r="I40"/>
  <c r="I38"/>
  <c r="I36"/>
  <c r="I34"/>
  <c r="I31"/>
  <c r="I41" s="1"/>
  <c r="H31"/>
  <c r="H41" s="1"/>
  <c r="G31"/>
  <c r="G41" s="1"/>
  <c r="F31"/>
  <c r="F41" s="1"/>
  <c r="E31"/>
  <c r="E41" s="1"/>
  <c r="D31"/>
  <c r="D41" s="1"/>
  <c r="C31"/>
  <c r="C41" s="1"/>
  <c r="B31"/>
  <c r="B41" s="1"/>
  <c r="I14"/>
  <c r="H14"/>
  <c r="G14"/>
  <c r="F14"/>
  <c r="E14"/>
  <c r="D14"/>
  <c r="C14"/>
  <c r="B14"/>
  <c r="I10"/>
  <c r="H10"/>
  <c r="G10"/>
  <c r="F10"/>
  <c r="E10"/>
  <c r="D10"/>
  <c r="C10"/>
  <c r="B10"/>
  <c r="I4"/>
  <c r="I21" s="1"/>
  <c r="H4"/>
  <c r="H21" s="1"/>
  <c r="G4"/>
  <c r="G21" s="1"/>
  <c r="F4"/>
  <c r="F21" s="1"/>
  <c r="E4"/>
  <c r="E21" s="1"/>
  <c r="D4"/>
  <c r="D21" s="1"/>
  <c r="C4"/>
  <c r="C21" s="1"/>
  <c r="B4"/>
  <c r="B21" s="1"/>
  <c r="B35" l="1"/>
  <c r="B37" s="1"/>
  <c r="B39"/>
  <c r="F35"/>
  <c r="F37" s="1"/>
  <c r="F39"/>
  <c r="E39"/>
  <c r="E35"/>
  <c r="E37" s="1"/>
  <c r="I39"/>
  <c r="I35"/>
  <c r="I37" s="1"/>
  <c r="D39"/>
  <c r="D35"/>
  <c r="D37" s="1"/>
  <c r="H39"/>
  <c r="H35"/>
  <c r="H37" s="1"/>
  <c r="C35"/>
  <c r="C37" s="1"/>
  <c r="C39"/>
  <c r="G35"/>
  <c r="G37" s="1"/>
  <c r="G39"/>
</calcChain>
</file>

<file path=xl/sharedStrings.xml><?xml version="1.0" encoding="utf-8"?>
<sst xmlns="http://schemas.openxmlformats.org/spreadsheetml/2006/main" count="51" uniqueCount="48">
  <si>
    <t>Treatment</t>
  </si>
  <si>
    <t>D1</t>
  </si>
  <si>
    <t>D2</t>
  </si>
  <si>
    <t>D3</t>
  </si>
  <si>
    <t>D4</t>
  </si>
  <si>
    <t>D5</t>
  </si>
  <si>
    <t>D6</t>
  </si>
  <si>
    <t>D7</t>
  </si>
  <si>
    <t>Grand Total</t>
  </si>
  <si>
    <t xml:space="preserve">Assessment                    </t>
  </si>
  <si>
    <t xml:space="preserve">Assessment ONLY </t>
  </si>
  <si>
    <t>Assessment</t>
  </si>
  <si>
    <t xml:space="preserve">Institution Assessment              </t>
  </si>
  <si>
    <t xml:space="preserve">Institution Assessment - Travel  </t>
  </si>
  <si>
    <t xml:space="preserve">IDOC - Intensive Outpatient Education  </t>
  </si>
  <si>
    <t>IDOC - Intensive Outpatient Group</t>
  </si>
  <si>
    <t>IDOC - Intensive Outpatient Individual</t>
  </si>
  <si>
    <t>IDOC - Intensive Outpatient (FY12)</t>
  </si>
  <si>
    <t>IDOC - Outpatient Education</t>
  </si>
  <si>
    <t>IDOC - Outpatient Group</t>
  </si>
  <si>
    <t>IDOC - Outpatient Individual</t>
  </si>
  <si>
    <t>IDOC - Outpatient (FY12)</t>
  </si>
  <si>
    <t>IDOC - Pre-Treatment Services</t>
  </si>
  <si>
    <t>IDOC - Stage 1: Level I - Outpatient</t>
  </si>
  <si>
    <t>IDOC - Stage 1: Level II - Intensive Outpatient</t>
  </si>
  <si>
    <t>IDOC - Stage 2: Level I - Outpatient</t>
  </si>
  <si>
    <t>IDOC - Stage 2: Level II - Intensive Outpatient</t>
  </si>
  <si>
    <t>Level III.2 - Adult Detoxification</t>
  </si>
  <si>
    <t>Total</t>
  </si>
  <si>
    <t>Support Services</t>
  </si>
  <si>
    <t>Child Care</t>
  </si>
  <si>
    <t>Drug Testing</t>
  </si>
  <si>
    <t>IDOC - Case Management (Basic &amp; Intensive)</t>
  </si>
  <si>
    <t>IDOC - Life Skills (Individual &amp; Group)</t>
  </si>
  <si>
    <t>IDOC/ESGW - Case Management (Basic &amp; Intensive)</t>
  </si>
  <si>
    <t>Oral Interpreter / Sign Language (includes travel)</t>
  </si>
  <si>
    <t>Staffed Safe and Sober Adult Housing</t>
  </si>
  <si>
    <t>Transportation</t>
  </si>
  <si>
    <t>Administrative Cost</t>
  </si>
  <si>
    <t xml:space="preserve">Direct Client Services - Screening &amp; Chart Review </t>
  </si>
  <si>
    <t>Count of Paid Units</t>
  </si>
  <si>
    <t>Average Cost per Unit of Care</t>
  </si>
  <si>
    <t xml:space="preserve">Substance Abuse Treatment - ASAM                  </t>
  </si>
  <si>
    <t>Average Treatment Cost per Client</t>
  </si>
  <si>
    <t xml:space="preserve">Supportive Services                               </t>
  </si>
  <si>
    <t>Average Supportive Services Cost</t>
  </si>
  <si>
    <t>Average of Length of Stay</t>
  </si>
  <si>
    <t xml:space="preserve">      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</si>
</sst>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 degree="90">
        <stop position="0">
          <color theme="0"/>
        </stop>
        <stop position="1">
          <color theme="0" tint="-0.1490218817712943"/>
        </stop>
      </gradientFill>
    </fill>
    <fill>
      <gradientFill degree="90">
        <stop position="0">
          <color theme="0"/>
        </stop>
        <stop position="1">
          <color rgb="FFEDF587"/>
        </stop>
      </gradientFill>
    </fill>
    <fill>
      <gradientFill degree="90">
        <stop position="0">
          <color theme="0"/>
        </stop>
        <stop position="1">
          <color theme="3" tint="0.80001220740379042"/>
        </stop>
      </gradient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NumberFormat="1"/>
    <xf numFmtId="164" fontId="0" fillId="3" borderId="0" xfId="0" applyNumberFormat="1" applyFill="1"/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/>
    <xf numFmtId="0" fontId="2" fillId="5" borderId="0" xfId="0" applyFont="1" applyFill="1"/>
    <xf numFmtId="164" fontId="0" fillId="0" borderId="0" xfId="0" applyNumberFormat="1"/>
    <xf numFmtId="0" fontId="1" fillId="5" borderId="0" xfId="0" applyFont="1" applyFill="1"/>
    <xf numFmtId="0" fontId="0" fillId="5" borderId="0" xfId="0" applyFont="1" applyFill="1" applyBorder="1"/>
    <xf numFmtId="164" fontId="0" fillId="5" borderId="0" xfId="0" applyNumberFormat="1" applyFont="1" applyFill="1"/>
    <xf numFmtId="1" fontId="0" fillId="5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</xdr:colOff>
      <xdr:row>46</xdr:row>
      <xdr:rowOff>50800</xdr:rowOff>
    </xdr:from>
    <xdr:to>
      <xdr:col>8</xdr:col>
      <xdr:colOff>958850</xdr:colOff>
      <xdr:row>49</xdr:row>
      <xdr:rowOff>146050</xdr:rowOff>
    </xdr:to>
    <xdr:sp macro="" textlink="">
      <xdr:nvSpPr>
        <xdr:cNvPr id="2" name="TextBox 1"/>
        <xdr:cNvSpPr txBox="1"/>
      </xdr:nvSpPr>
      <xdr:spPr>
        <a:xfrm>
          <a:off x="34925" y="6413500"/>
          <a:ext cx="91440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i="1"/>
            <a:t>Expenditures reported are based on provider region and may not accurately reflect district expenditures.                                                                                                                                 Additional institutional assessment and institutional assessment travel expenditures for D4 are $10,835.17 and $1,443.20 respectively but because services are rendered by a provider located in a different region they are not reflected  under</a:t>
          </a:r>
          <a:r>
            <a:rPr lang="en-US" sz="1100" i="1" baseline="0"/>
            <a:t> D4 </a:t>
          </a:r>
          <a:r>
            <a:rPr lang="en-US" sz="1100" i="1"/>
            <a:t>on this report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zoomScaleNormal="100" workbookViewId="0">
      <selection activeCell="B46" sqref="B46"/>
    </sheetView>
  </sheetViews>
  <sheetFormatPr defaultRowHeight="15"/>
  <cols>
    <col min="1" max="1" width="36.28515625" customWidth="1"/>
    <col min="2" max="8" width="12.42578125" customWidth="1"/>
    <col min="9" max="9" width="14.710937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>
      <c r="A2" s="3" t="s">
        <v>9</v>
      </c>
      <c r="B2" s="4"/>
      <c r="C2" s="4"/>
      <c r="D2" s="4">
        <v>165.38</v>
      </c>
      <c r="E2" s="4">
        <v>330.76</v>
      </c>
      <c r="F2" s="4">
        <v>330.76</v>
      </c>
      <c r="G2" s="4">
        <v>165.38</v>
      </c>
      <c r="H2" s="4"/>
      <c r="I2" s="4">
        <v>992.28</v>
      </c>
    </row>
    <row r="3" spans="1:9" hidden="1">
      <c r="A3" s="3" t="s">
        <v>10</v>
      </c>
      <c r="B3" s="4">
        <v>57072.080000000111</v>
      </c>
      <c r="C3" s="4">
        <v>27428.689999999984</v>
      </c>
      <c r="D3" s="4">
        <v>52782.570000000043</v>
      </c>
      <c r="E3" s="4">
        <v>79925.610000000044</v>
      </c>
      <c r="F3" s="4">
        <v>17579.250000000007</v>
      </c>
      <c r="G3" s="4">
        <v>45352.189999999988</v>
      </c>
      <c r="H3" s="4">
        <v>24901.959999999963</v>
      </c>
      <c r="I3" s="4">
        <v>305042.35000000015</v>
      </c>
    </row>
    <row r="4" spans="1:9">
      <c r="A4" s="3" t="s">
        <v>11</v>
      </c>
      <c r="B4" s="5">
        <f>SUM(B2:B3)</f>
        <v>57072.080000000111</v>
      </c>
      <c r="C4" s="5">
        <f t="shared" ref="C4:I4" si="0">SUM(C2:C3)</f>
        <v>27428.689999999984</v>
      </c>
      <c r="D4" s="5">
        <f t="shared" si="0"/>
        <v>52947.950000000041</v>
      </c>
      <c r="E4" s="5">
        <f t="shared" si="0"/>
        <v>80256.370000000039</v>
      </c>
      <c r="F4" s="5">
        <f t="shared" si="0"/>
        <v>17910.010000000006</v>
      </c>
      <c r="G4" s="5">
        <f t="shared" si="0"/>
        <v>45517.569999999985</v>
      </c>
      <c r="H4" s="5">
        <f t="shared" si="0"/>
        <v>24901.959999999963</v>
      </c>
      <c r="I4" s="5">
        <f t="shared" si="0"/>
        <v>306034.63000000018</v>
      </c>
    </row>
    <row r="5" spans="1:9">
      <c r="A5" s="3" t="s">
        <v>12</v>
      </c>
      <c r="B5" s="5">
        <v>15974.729999999996</v>
      </c>
      <c r="C5" s="5">
        <v>2640.24</v>
      </c>
      <c r="D5" s="5">
        <v>25581.590000000022</v>
      </c>
      <c r="E5" s="5">
        <v>1785.6699999999998</v>
      </c>
      <c r="F5" s="5">
        <v>2392.77</v>
      </c>
      <c r="G5" s="5">
        <v>21742.71</v>
      </c>
      <c r="H5" s="5">
        <v>6206.5700000000024</v>
      </c>
      <c r="I5" s="5">
        <v>76324.280000000013</v>
      </c>
    </row>
    <row r="6" spans="1:9">
      <c r="A6" s="3" t="s">
        <v>13</v>
      </c>
      <c r="B6" s="5">
        <v>171.64999999999995</v>
      </c>
      <c r="C6" s="5">
        <v>623.69999999999993</v>
      </c>
      <c r="D6" s="5">
        <v>3440.2600000000029</v>
      </c>
      <c r="E6" s="5">
        <v>6.92</v>
      </c>
      <c r="F6" s="5">
        <v>295.70999999999998</v>
      </c>
      <c r="G6" s="5">
        <v>502.04999999999967</v>
      </c>
      <c r="H6" s="5">
        <v>204.46000000000004</v>
      </c>
      <c r="I6" s="5">
        <v>5244.7500000000018</v>
      </c>
    </row>
    <row r="7" spans="1:9" hidden="1">
      <c r="A7" s="3" t="s">
        <v>14</v>
      </c>
      <c r="B7" s="5"/>
      <c r="C7" s="5">
        <v>82.69</v>
      </c>
      <c r="D7" s="5">
        <v>271.71999999999997</v>
      </c>
      <c r="E7" s="5">
        <v>244.14</v>
      </c>
      <c r="F7" s="5"/>
      <c r="G7" s="5"/>
      <c r="H7" s="5">
        <v>378</v>
      </c>
      <c r="I7" s="5">
        <v>976.55</v>
      </c>
    </row>
    <row r="8" spans="1:9" hidden="1">
      <c r="A8" s="3" t="s">
        <v>15</v>
      </c>
      <c r="B8" s="5">
        <v>1938.9700000000005</v>
      </c>
      <c r="C8" s="5">
        <v>3085.8300000000013</v>
      </c>
      <c r="D8" s="5">
        <v>6538.1299999999865</v>
      </c>
      <c r="E8" s="5">
        <v>10096.720000000007</v>
      </c>
      <c r="F8" s="5">
        <v>4953.8999999999942</v>
      </c>
      <c r="G8" s="5">
        <v>7335.9499999999962</v>
      </c>
      <c r="H8" s="5">
        <v>3948.7999999999979</v>
      </c>
      <c r="I8" s="5">
        <v>37898.299999999981</v>
      </c>
    </row>
    <row r="9" spans="1:9" hidden="1">
      <c r="A9" s="3" t="s">
        <v>16</v>
      </c>
      <c r="B9" s="5">
        <v>614.25</v>
      </c>
      <c r="C9" s="5">
        <v>472.52</v>
      </c>
      <c r="D9" s="5">
        <v>968.65999999999985</v>
      </c>
      <c r="E9" s="5">
        <v>1512.0200000000002</v>
      </c>
      <c r="F9" s="5">
        <v>1027.71</v>
      </c>
      <c r="G9" s="5">
        <v>1134.06</v>
      </c>
      <c r="H9" s="5">
        <v>1193.0700000000002</v>
      </c>
      <c r="I9" s="5">
        <v>6922.2899999999991</v>
      </c>
    </row>
    <row r="10" spans="1:9">
      <c r="A10" s="3" t="s">
        <v>17</v>
      </c>
      <c r="B10" s="5">
        <f>SUM(B7:B9)</f>
        <v>2553.2200000000003</v>
      </c>
      <c r="C10" s="5">
        <f t="shared" ref="C10:I10" si="1">SUM(C7:C9)</f>
        <v>3641.0400000000013</v>
      </c>
      <c r="D10" s="5">
        <f t="shared" si="1"/>
        <v>7778.5099999999866</v>
      </c>
      <c r="E10" s="5">
        <f t="shared" si="1"/>
        <v>11852.880000000006</v>
      </c>
      <c r="F10" s="5">
        <f t="shared" si="1"/>
        <v>5981.6099999999942</v>
      </c>
      <c r="G10" s="5">
        <f t="shared" si="1"/>
        <v>8470.0099999999966</v>
      </c>
      <c r="H10" s="5">
        <f t="shared" si="1"/>
        <v>5519.8699999999972</v>
      </c>
      <c r="I10" s="5">
        <f t="shared" si="1"/>
        <v>45797.139999999985</v>
      </c>
    </row>
    <row r="11" spans="1:9" hidden="1">
      <c r="A11" s="3" t="s">
        <v>18</v>
      </c>
      <c r="B11" s="5"/>
      <c r="C11" s="5">
        <v>126</v>
      </c>
      <c r="D11" s="5">
        <v>-94.5</v>
      </c>
      <c r="E11" s="5">
        <v>126</v>
      </c>
      <c r="F11" s="5"/>
      <c r="G11" s="5"/>
      <c r="H11" s="5">
        <v>189</v>
      </c>
      <c r="I11" s="5">
        <v>346.5</v>
      </c>
    </row>
    <row r="12" spans="1:9" hidden="1">
      <c r="A12" s="3" t="s">
        <v>19</v>
      </c>
      <c r="B12" s="5">
        <v>1708.4299999999996</v>
      </c>
      <c r="C12" s="5">
        <v>1826.6299999999999</v>
      </c>
      <c r="D12" s="5">
        <v>2547.7999999999979</v>
      </c>
      <c r="E12" s="5">
        <v>9208.08</v>
      </c>
      <c r="F12" s="5">
        <v>4191.4299999999994</v>
      </c>
      <c r="G12" s="5">
        <v>3322.1899999999982</v>
      </c>
      <c r="H12" s="5">
        <v>1466.0199999999998</v>
      </c>
      <c r="I12" s="5">
        <v>24270.579999999994</v>
      </c>
    </row>
    <row r="13" spans="1:9" hidden="1">
      <c r="A13" s="3" t="s">
        <v>20</v>
      </c>
      <c r="B13" s="5">
        <v>484.32</v>
      </c>
      <c r="C13" s="5">
        <v>350.46</v>
      </c>
      <c r="D13" s="5">
        <v>590.65</v>
      </c>
      <c r="E13" s="5">
        <v>1594.71</v>
      </c>
      <c r="F13" s="5">
        <v>767.81999999999994</v>
      </c>
      <c r="G13" s="5">
        <v>838.71</v>
      </c>
      <c r="H13" s="5">
        <v>472.52</v>
      </c>
      <c r="I13" s="5">
        <v>5099.1900000000005</v>
      </c>
    </row>
    <row r="14" spans="1:9">
      <c r="A14" s="3" t="s">
        <v>21</v>
      </c>
      <c r="B14" s="5">
        <f>SUM(B11:B13)</f>
        <v>2192.7499999999995</v>
      </c>
      <c r="C14" s="5">
        <f t="shared" ref="C14:I14" si="2">SUM(C11:C13)</f>
        <v>2303.0899999999997</v>
      </c>
      <c r="D14" s="5">
        <f t="shared" si="2"/>
        <v>3043.949999999998</v>
      </c>
      <c r="E14" s="5">
        <f t="shared" si="2"/>
        <v>10928.79</v>
      </c>
      <c r="F14" s="5">
        <f t="shared" si="2"/>
        <v>4959.2499999999991</v>
      </c>
      <c r="G14" s="5">
        <f t="shared" si="2"/>
        <v>4160.8999999999978</v>
      </c>
      <c r="H14" s="5">
        <f t="shared" si="2"/>
        <v>2127.54</v>
      </c>
      <c r="I14" s="5">
        <f t="shared" si="2"/>
        <v>29716.269999999997</v>
      </c>
    </row>
    <row r="15" spans="1:9">
      <c r="A15" s="3" t="s">
        <v>22</v>
      </c>
      <c r="B15" s="5">
        <v>29481.129999999881</v>
      </c>
      <c r="C15" s="5">
        <v>17613.939999999995</v>
      </c>
      <c r="D15" s="5">
        <v>55672.089999999815</v>
      </c>
      <c r="E15" s="5">
        <v>60741.289999999928</v>
      </c>
      <c r="F15" s="5">
        <v>14488.159999999993</v>
      </c>
      <c r="G15" s="5">
        <v>40539.199999999677</v>
      </c>
      <c r="H15" s="5">
        <v>32379.779999999766</v>
      </c>
      <c r="I15" s="5">
        <v>250915.58999999907</v>
      </c>
    </row>
    <row r="16" spans="1:9">
      <c r="A16" s="3" t="s">
        <v>23</v>
      </c>
      <c r="B16" s="5">
        <v>124048.69000000157</v>
      </c>
      <c r="C16" s="5">
        <v>64134.229999999909</v>
      </c>
      <c r="D16" s="5">
        <v>161264.21000000631</v>
      </c>
      <c r="E16" s="5">
        <v>289724.20000001689</v>
      </c>
      <c r="F16" s="5">
        <v>107863.32000000024</v>
      </c>
      <c r="G16" s="5">
        <v>114272.56000000054</v>
      </c>
      <c r="H16" s="5">
        <v>100705.43000000074</v>
      </c>
      <c r="I16" s="5">
        <v>962012.64000002632</v>
      </c>
    </row>
    <row r="17" spans="1:14">
      <c r="A17" s="3" t="s">
        <v>24</v>
      </c>
      <c r="B17" s="5">
        <v>22390.769999999986</v>
      </c>
      <c r="C17" s="5">
        <v>84943.160000000717</v>
      </c>
      <c r="D17" s="5">
        <v>66221.879999999728</v>
      </c>
      <c r="E17" s="5">
        <v>198433.19000001065</v>
      </c>
      <c r="F17" s="5">
        <v>37339.099999999991</v>
      </c>
      <c r="G17" s="5">
        <v>52973.009999999565</v>
      </c>
      <c r="H17" s="5">
        <v>37804.979999999741</v>
      </c>
      <c r="I17" s="5">
        <v>500106.09000001033</v>
      </c>
    </row>
    <row r="18" spans="1:14">
      <c r="A18" s="3" t="s">
        <v>25</v>
      </c>
      <c r="B18" s="5">
        <v>57803.099999999766</v>
      </c>
      <c r="C18" s="5">
        <v>49846.69999999975</v>
      </c>
      <c r="D18" s="5">
        <v>108923.36000000083</v>
      </c>
      <c r="E18" s="5">
        <v>230951.78000001749</v>
      </c>
      <c r="F18" s="5">
        <v>72244.87000000033</v>
      </c>
      <c r="G18" s="5">
        <v>75543.409999999873</v>
      </c>
      <c r="H18" s="5">
        <v>67565.699999999808</v>
      </c>
      <c r="I18" s="5">
        <v>662878.92000001797</v>
      </c>
    </row>
    <row r="19" spans="1:14">
      <c r="A19" s="3" t="s">
        <v>26</v>
      </c>
      <c r="B19" s="5">
        <v>18626.319999999945</v>
      </c>
      <c r="C19" s="5">
        <v>84031.250000000611</v>
      </c>
      <c r="D19" s="5">
        <v>65505.430000000575</v>
      </c>
      <c r="E19" s="5">
        <v>100545.61000000258</v>
      </c>
      <c r="F19" s="5">
        <v>23922.939999999995</v>
      </c>
      <c r="G19" s="5">
        <v>54839.439999999631</v>
      </c>
      <c r="H19" s="5">
        <v>55620.470000000008</v>
      </c>
      <c r="I19" s="5">
        <v>403091.4600000034</v>
      </c>
    </row>
    <row r="20" spans="1:14">
      <c r="A20" s="3" t="s">
        <v>27</v>
      </c>
      <c r="B20" s="5"/>
      <c r="C20" s="5"/>
      <c r="D20" s="5">
        <v>1411.2000000000003</v>
      </c>
      <c r="E20" s="5"/>
      <c r="F20" s="5"/>
      <c r="G20" s="5"/>
      <c r="H20" s="5"/>
      <c r="I20" s="5">
        <v>1411.2000000000003</v>
      </c>
    </row>
    <row r="21" spans="1:14" ht="15.75" thickBot="1">
      <c r="A21" s="6" t="s">
        <v>28</v>
      </c>
      <c r="B21" s="7">
        <f>B4+B5+B6+B10+B14+B15+B16+B17+B18+B19</f>
        <v>330314.44000000128</v>
      </c>
      <c r="C21" s="7">
        <f t="shared" ref="C21:H21" si="3">C4+C5+C6+C10+C14+C15+C16+C17+C18+C19</f>
        <v>337206.04000000097</v>
      </c>
      <c r="D21" s="7">
        <f t="shared" si="3"/>
        <v>550379.2300000072</v>
      </c>
      <c r="E21" s="7">
        <f t="shared" si="3"/>
        <v>985226.70000004757</v>
      </c>
      <c r="F21" s="7">
        <f t="shared" si="3"/>
        <v>287397.74000000057</v>
      </c>
      <c r="G21" s="7">
        <f t="shared" si="3"/>
        <v>418560.85999999923</v>
      </c>
      <c r="H21" s="7">
        <f t="shared" si="3"/>
        <v>333036.76000000007</v>
      </c>
      <c r="I21" s="7">
        <f>I4+I5+I6+I10+I14+I15+I16+I17+I18+I19+I20</f>
        <v>3243532.9700000575</v>
      </c>
    </row>
    <row r="22" spans="1:14" ht="15.75" thickTop="1">
      <c r="A22" s="8" t="s">
        <v>29</v>
      </c>
      <c r="B22" s="8"/>
      <c r="C22" s="8"/>
      <c r="D22" s="8"/>
      <c r="E22" s="8"/>
      <c r="F22" s="8"/>
      <c r="G22" s="8"/>
      <c r="H22" s="8"/>
      <c r="I22" s="8"/>
    </row>
    <row r="23" spans="1:14">
      <c r="A23" s="3" t="s">
        <v>30</v>
      </c>
      <c r="B23" s="5"/>
      <c r="C23" s="5"/>
      <c r="D23" s="5"/>
      <c r="E23" s="5"/>
      <c r="F23" s="5"/>
      <c r="G23" s="5">
        <v>529.24000000000012</v>
      </c>
      <c r="H23" s="5">
        <v>26.95</v>
      </c>
      <c r="I23" s="5">
        <v>556.19000000000017</v>
      </c>
    </row>
    <row r="24" spans="1:14">
      <c r="A24" s="3" t="s">
        <v>31</v>
      </c>
      <c r="B24" s="5">
        <v>44765.7</v>
      </c>
      <c r="C24" s="5">
        <v>24502.5</v>
      </c>
      <c r="D24" s="5">
        <v>41646.32</v>
      </c>
      <c r="E24" s="5">
        <v>106366.5</v>
      </c>
      <c r="F24" s="5">
        <v>28899.30000000001</v>
      </c>
      <c r="G24" s="5">
        <v>4371.2699999999995</v>
      </c>
      <c r="H24" s="5">
        <v>2672.5</v>
      </c>
      <c r="I24" s="5">
        <v>253224.09</v>
      </c>
    </row>
    <row r="25" spans="1:14">
      <c r="A25" s="3" t="s">
        <v>32</v>
      </c>
      <c r="B25" s="5">
        <v>2488.219999999998</v>
      </c>
      <c r="C25" s="5">
        <v>9638.0599999999904</v>
      </c>
      <c r="D25" s="5">
        <v>13629.509999999971</v>
      </c>
      <c r="E25" s="5">
        <v>119240.06999999835</v>
      </c>
      <c r="F25" s="5">
        <v>11053.839999999998</v>
      </c>
      <c r="G25" s="5">
        <v>25860.000000000204</v>
      </c>
      <c r="H25" s="5">
        <v>32202.450000000397</v>
      </c>
      <c r="I25" s="5">
        <v>214112.14999999889</v>
      </c>
    </row>
    <row r="26" spans="1:14">
      <c r="A26" s="3" t="s">
        <v>33</v>
      </c>
      <c r="B26" s="5"/>
      <c r="C26" s="5">
        <v>564.16000000000008</v>
      </c>
      <c r="D26" s="5"/>
      <c r="E26" s="5">
        <v>2911.1799999999976</v>
      </c>
      <c r="F26" s="5"/>
      <c r="G26" s="5">
        <v>1319.08</v>
      </c>
      <c r="H26" s="5"/>
      <c r="I26" s="5">
        <v>4794.4199999999973</v>
      </c>
    </row>
    <row r="27" spans="1:14">
      <c r="A27" s="3" t="s">
        <v>34</v>
      </c>
      <c r="B27" s="5"/>
      <c r="C27" s="5"/>
      <c r="D27" s="5"/>
      <c r="E27" s="5">
        <v>1676.25</v>
      </c>
      <c r="F27" s="5"/>
      <c r="G27" s="5"/>
      <c r="H27" s="5"/>
      <c r="I27" s="5">
        <v>1676.25</v>
      </c>
    </row>
    <row r="28" spans="1:14">
      <c r="A28" s="3" t="s">
        <v>35</v>
      </c>
      <c r="B28" s="5"/>
      <c r="C28" s="5"/>
      <c r="D28" s="5"/>
      <c r="E28" s="5"/>
      <c r="F28" s="5"/>
      <c r="G28" s="5">
        <v>4300</v>
      </c>
      <c r="H28" s="5"/>
      <c r="I28" s="5">
        <v>4300</v>
      </c>
    </row>
    <row r="29" spans="1:14">
      <c r="A29" s="3" t="s">
        <v>36</v>
      </c>
      <c r="B29" s="5">
        <v>14398</v>
      </c>
      <c r="C29" s="5">
        <v>8107.5</v>
      </c>
      <c r="D29" s="5">
        <v>26611.5</v>
      </c>
      <c r="E29" s="5">
        <v>145326.48000000001</v>
      </c>
      <c r="F29" s="5">
        <v>2472.5</v>
      </c>
      <c r="G29" s="5">
        <v>2242.5</v>
      </c>
      <c r="H29" s="5">
        <v>6980.5</v>
      </c>
      <c r="I29" s="5">
        <v>206138.98</v>
      </c>
    </row>
    <row r="30" spans="1:14">
      <c r="A30" s="3" t="s">
        <v>37</v>
      </c>
      <c r="B30" s="5">
        <v>514.43999999999983</v>
      </c>
      <c r="C30" s="5">
        <v>10588.660000000009</v>
      </c>
      <c r="D30" s="5">
        <v>10637.019999999997</v>
      </c>
      <c r="E30" s="5">
        <v>84252.959999995306</v>
      </c>
      <c r="F30" s="5">
        <v>11356.819999999952</v>
      </c>
      <c r="G30" s="5">
        <v>23303.970000000299</v>
      </c>
      <c r="H30" s="5">
        <v>11315.570000000151</v>
      </c>
      <c r="I30" s="5">
        <v>151969.43999999572</v>
      </c>
    </row>
    <row r="31" spans="1:14" ht="15.75" thickBot="1">
      <c r="A31" s="6" t="s">
        <v>28</v>
      </c>
      <c r="B31" s="7">
        <f>SUM(B23:B30)</f>
        <v>62166.36</v>
      </c>
      <c r="C31" s="7">
        <f t="shared" ref="C31:I31" si="4">SUM(C23:C30)</f>
        <v>53400.880000000005</v>
      </c>
      <c r="D31" s="7">
        <f t="shared" si="4"/>
        <v>92524.349999999977</v>
      </c>
      <c r="E31" s="7">
        <f t="shared" si="4"/>
        <v>459773.43999999366</v>
      </c>
      <c r="F31" s="7">
        <f t="shared" si="4"/>
        <v>53782.459999999963</v>
      </c>
      <c r="G31" s="7">
        <f t="shared" si="4"/>
        <v>61926.0600000005</v>
      </c>
      <c r="H31" s="7">
        <f t="shared" si="4"/>
        <v>53197.970000000547</v>
      </c>
      <c r="I31" s="7">
        <f t="shared" si="4"/>
        <v>836771.51999999466</v>
      </c>
      <c r="L31" s="4"/>
      <c r="N31" s="9"/>
    </row>
    <row r="32" spans="1:14" ht="15.75" thickTop="1">
      <c r="A32" s="8" t="s">
        <v>38</v>
      </c>
      <c r="B32" s="8"/>
      <c r="C32" s="8"/>
      <c r="D32" s="8"/>
      <c r="E32" s="8"/>
      <c r="F32" s="8"/>
      <c r="G32" s="8"/>
      <c r="H32" s="8"/>
      <c r="I32" s="8"/>
      <c r="L32" s="4"/>
    </row>
    <row r="33" spans="1:9">
      <c r="A33" s="3" t="s">
        <v>39</v>
      </c>
      <c r="B33" s="5"/>
      <c r="C33" s="5"/>
      <c r="D33" s="5"/>
      <c r="E33" s="5"/>
      <c r="F33" s="5"/>
      <c r="G33" s="5"/>
      <c r="H33" s="5"/>
      <c r="I33" s="5">
        <v>302865</v>
      </c>
    </row>
    <row r="34" spans="1:9" ht="15.75" thickBot="1">
      <c r="A34" s="6" t="s">
        <v>28</v>
      </c>
      <c r="B34" s="7"/>
      <c r="C34" s="7"/>
      <c r="D34" s="7"/>
      <c r="E34" s="7"/>
      <c r="F34" s="7"/>
      <c r="G34" s="7"/>
      <c r="H34" s="7"/>
      <c r="I34" s="7">
        <f>SUM(I33)</f>
        <v>302865</v>
      </c>
    </row>
    <row r="35" spans="1:9" ht="16.5" thickTop="1" thickBot="1">
      <c r="A35" s="6" t="s">
        <v>8</v>
      </c>
      <c r="B35" s="7">
        <f t="shared" ref="B35:I35" si="5">B21+B31+B33</f>
        <v>392480.80000000127</v>
      </c>
      <c r="C35" s="7">
        <f t="shared" si="5"/>
        <v>390606.92000000097</v>
      </c>
      <c r="D35" s="7">
        <f t="shared" si="5"/>
        <v>642903.58000000718</v>
      </c>
      <c r="E35" s="7">
        <f t="shared" si="5"/>
        <v>1445000.1400000411</v>
      </c>
      <c r="F35" s="7">
        <f t="shared" si="5"/>
        <v>341180.20000000054</v>
      </c>
      <c r="G35" s="7">
        <f t="shared" si="5"/>
        <v>480486.91999999975</v>
      </c>
      <c r="H35" s="7">
        <f t="shared" si="5"/>
        <v>386234.73000000062</v>
      </c>
      <c r="I35" s="7">
        <f t="shared" si="5"/>
        <v>4383169.4900000524</v>
      </c>
    </row>
    <row r="36" spans="1:9" ht="15.75" hidden="1" thickTop="1">
      <c r="A36" s="10" t="s">
        <v>40</v>
      </c>
      <c r="B36" s="11">
        <v>9798</v>
      </c>
      <c r="C36" s="11">
        <v>8655</v>
      </c>
      <c r="D36" s="11">
        <v>17965</v>
      </c>
      <c r="E36" s="11">
        <v>54796</v>
      </c>
      <c r="F36" s="11">
        <v>9119</v>
      </c>
      <c r="G36" s="11">
        <v>11216</v>
      </c>
      <c r="H36" s="11">
        <v>9683</v>
      </c>
      <c r="I36" s="11">
        <f>SUM(B36:H36)</f>
        <v>121232</v>
      </c>
    </row>
    <row r="37" spans="1:9" ht="15.75" thickTop="1">
      <c r="A37" s="10" t="s">
        <v>41</v>
      </c>
      <c r="B37" s="12">
        <f>B35/B36</f>
        <v>40.057236170647201</v>
      </c>
      <c r="C37" s="12">
        <f t="shared" ref="C37:I37" si="6">C35/C36</f>
        <v>45.130782206816981</v>
      </c>
      <c r="D37" s="12">
        <f t="shared" si="6"/>
        <v>35.786450320067196</v>
      </c>
      <c r="E37" s="12">
        <f t="shared" si="6"/>
        <v>26.370540550405888</v>
      </c>
      <c r="F37" s="12">
        <f t="shared" si="6"/>
        <v>37.414212084658466</v>
      </c>
      <c r="G37" s="12">
        <f t="shared" si="6"/>
        <v>42.839418687589138</v>
      </c>
      <c r="H37" s="12">
        <f t="shared" si="6"/>
        <v>39.887920066095283</v>
      </c>
      <c r="I37" s="12">
        <f t="shared" si="6"/>
        <v>36.155218836611226</v>
      </c>
    </row>
    <row r="38" spans="1:9" ht="15" hidden="1" customHeight="1">
      <c r="A38" s="10" t="s">
        <v>42</v>
      </c>
      <c r="B38" s="11">
        <v>5106</v>
      </c>
      <c r="C38" s="11">
        <v>5247</v>
      </c>
      <c r="D38" s="11">
        <v>10911</v>
      </c>
      <c r="E38" s="11">
        <v>20625</v>
      </c>
      <c r="F38" s="11">
        <v>5193</v>
      </c>
      <c r="G38" s="11">
        <v>7486</v>
      </c>
      <c r="H38" s="11">
        <v>6552</v>
      </c>
      <c r="I38" s="11">
        <f>SUM(B38:H38)</f>
        <v>61120</v>
      </c>
    </row>
    <row r="39" spans="1:9" ht="15" hidden="1" customHeight="1">
      <c r="A39" s="10" t="s">
        <v>43</v>
      </c>
      <c r="B39" s="12">
        <f>B21/B38</f>
        <v>64.691429690560383</v>
      </c>
      <c r="C39" s="12">
        <f t="shared" ref="C39:I39" si="7">C21/C38</f>
        <v>64.266445587955204</v>
      </c>
      <c r="D39" s="12">
        <f t="shared" si="7"/>
        <v>50.442601961324094</v>
      </c>
      <c r="E39" s="12">
        <f t="shared" si="7"/>
        <v>47.768567272729577</v>
      </c>
      <c r="F39" s="12">
        <f t="shared" si="7"/>
        <v>55.343296745619213</v>
      </c>
      <c r="G39" s="12">
        <f t="shared" si="7"/>
        <v>55.912484637990815</v>
      </c>
      <c r="H39" s="12">
        <f t="shared" si="7"/>
        <v>50.829786324786333</v>
      </c>
      <c r="I39" s="12">
        <f t="shared" si="7"/>
        <v>53.068275032723456</v>
      </c>
    </row>
    <row r="40" spans="1:9" ht="15" hidden="1" customHeight="1">
      <c r="A40" s="10" t="s">
        <v>44</v>
      </c>
      <c r="B40" s="11">
        <v>4692</v>
      </c>
      <c r="C40" s="11">
        <v>3408</v>
      </c>
      <c r="D40" s="11">
        <v>7054</v>
      </c>
      <c r="E40" s="11">
        <v>34171</v>
      </c>
      <c r="F40" s="11">
        <v>3926</v>
      </c>
      <c r="G40" s="11">
        <v>3730</v>
      </c>
      <c r="H40" s="11">
        <v>3131</v>
      </c>
      <c r="I40" s="11">
        <f>SUM(B40:H40)</f>
        <v>60112</v>
      </c>
    </row>
    <row r="41" spans="1:9" ht="15" hidden="1" customHeight="1">
      <c r="A41" s="10" t="s">
        <v>45</v>
      </c>
      <c r="B41" s="12">
        <f>B31/B40</f>
        <v>13.249437340153452</v>
      </c>
      <c r="C41" s="12">
        <f t="shared" ref="C41:I41" si="8">C31/C40</f>
        <v>15.669272300469485</v>
      </c>
      <c r="D41" s="12">
        <f t="shared" si="8"/>
        <v>13.116579245817972</v>
      </c>
      <c r="E41" s="12">
        <f t="shared" si="8"/>
        <v>13.455077112170954</v>
      </c>
      <c r="F41" s="12">
        <f t="shared" si="8"/>
        <v>13.699047376464586</v>
      </c>
      <c r="G41" s="12">
        <f t="shared" si="8"/>
        <v>16.602160857908981</v>
      </c>
      <c r="H41" s="12">
        <f t="shared" si="8"/>
        <v>16.990728201852619</v>
      </c>
      <c r="I41" s="12">
        <f t="shared" si="8"/>
        <v>13.920207612456659</v>
      </c>
    </row>
    <row r="42" spans="1:9">
      <c r="A42" s="10" t="s">
        <v>46</v>
      </c>
      <c r="B42" s="13">
        <v>182.13931414574404</v>
      </c>
      <c r="C42" s="13">
        <v>192.53391103408435</v>
      </c>
      <c r="D42" s="13">
        <v>192.2966880044531</v>
      </c>
      <c r="E42" s="13">
        <v>175.8265384334623</v>
      </c>
      <c r="F42" s="13">
        <v>196.23697773878715</v>
      </c>
      <c r="G42" s="13">
        <v>221.37036376604851</v>
      </c>
      <c r="H42" s="13">
        <v>204.6736548590313</v>
      </c>
      <c r="I42" s="13">
        <f>SUM(B42:H42)/7</f>
        <v>195.01106399737296</v>
      </c>
    </row>
    <row r="46" spans="1:9">
      <c r="B46" t="s">
        <v>47</v>
      </c>
    </row>
  </sheetData>
  <pageMargins left="0.25" right="0.16" top="0.75" bottom="0.38" header="0.3" footer="0.3"/>
  <pageSetup scale="97" orientation="landscape" r:id="rId1"/>
  <headerFooter>
    <oddHeader>&amp;L7/6/12 - 4/25/13&amp;CIDOC FY13 Substance Use Disorder Utilization Report</oddHeader>
  </headerFooter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External 7-6-12 to 4-25-13</vt:lpstr>
      <vt:lpstr>'External 7-6-12 to 4-25-13'!Print_Area</vt:lpstr>
    </vt:vector>
  </TitlesOfParts>
  <Company>IDOC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glewis</dc:creator>
  <cp:lastModifiedBy>glewis</cp:lastModifiedBy>
  <dcterms:created xsi:type="dcterms:W3CDTF">2013-05-16T19:58:29Z</dcterms:created>
  <dcterms:modified xsi:type="dcterms:W3CDTF">2013-05-16T20:54:55Z</dcterms:modified>
</cp:coreProperties>
</file>