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31" i="1" l="1"/>
  <c r="F231" i="1"/>
  <c r="E231" i="1"/>
  <c r="C231" i="1"/>
  <c r="G230" i="1" l="1"/>
  <c r="F230" i="1"/>
  <c r="E230" i="1"/>
  <c r="C230" i="1"/>
  <c r="G229" i="1" l="1"/>
  <c r="F229" i="1"/>
  <c r="E229" i="1"/>
  <c r="C229" i="1"/>
  <c r="G228" i="1" l="1"/>
  <c r="F228" i="1"/>
  <c r="E228" i="1"/>
  <c r="C228" i="1"/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<sst xmlns="http://schemas.openxmlformats.org/spreadsheetml/2006/main" count="241" uniqueCount="237">
  <si>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</si>
  <si>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</si>
  <si>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</si>
  <si>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</si>
  <si>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</si>
  <si>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</si>
  <si>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</si>
  <si>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</si>
  <si>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</si>
  <si>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</si>
  <si>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</si>
  <si>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</si>
  <si>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</si>
  <si>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</si>
  <si>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</si>
  <si>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</si>
  <si>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</si>
  <si>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</si>
  <si>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</si>
  <si>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</si>
  <si>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</si>
  <si>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</si>
  <si>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</si>
  <si>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</si>
  <si>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</si>
  <si>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</si>
  <si>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</si>
  <si>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</si>
  <si>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</si>
  <si>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</si>
  <si>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</si>
  <si>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</si>
  <si>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</si>
  <si>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</si>
  <si>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</si>
  <si>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</si>
  <si>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</si>
  <si>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</si>
  <si>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</si>
  <si>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</si>
  <si>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</si>
  <si>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</si>
  <si>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</si>
  <si>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</si>
  <si>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</si>
  <si>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</si>
  <si>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</si>
  <si>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</si>
  <si>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</si>
  <si>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</si>
  <si>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</si>
  <si>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</si>
  <si>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</si>
  <si>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</si>
  <si>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</si>
  <si>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</si>
  <si>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</si>
  <si>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</si>
  <si>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</si>
  <si>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</si>
  <si>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</si>
  <si>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</si>
  <si>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</si>
  <si>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</si>
  <si>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</si>
  <si>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</si>
  <si>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</si>
  <si>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</si>
  <si>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</si>
  <si>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</si>
  <si>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</si>
  <si>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</si>
  <si>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</si>
  <si>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</si>
  <si>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</si>
  <si>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</si>
  <si>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</si>
  <si>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</si>
  <si>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</si>
  <si>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</si>
  <si>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</si>
  <si>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</si>
  <si>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</si>
  <si>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</si>
  <si>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</si>
  <si>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</si>
  <si>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</si>
  <si>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</si>
  <si>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</si>
  <si>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</si>
  <si>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</si>
  <si>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</si>
  <si>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</si>
  <si>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</si>
  <si>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</si>
  <si>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</si>
  <si>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</si>
  <si>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</si>
  <si>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</si>
  <si>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</si>
  <si>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</si>
  <si>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</si>
  <si>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</si>
  <si>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</si>
  <si>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</si>
  <si>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</si>
  <si>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</si>
  <si>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</si>
  <si>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</si>
  <si>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</si>
  <si>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</si>
  <si>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</si>
  <si>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</si>
  <si>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</si>
  <si>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</si>
  <si>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</si>
  <si>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</si>
  <si>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</si>
  <si>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</si>
  <si>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</si>
  <si>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</si>
  <si>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</si>
  <si>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</si>
  <si>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</si>
  <si>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</si>
  <si>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</si>
  <si>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</si>
  <si>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</si>
  <si>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</si>
  <si>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</si>
  <si>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</si>
  <si>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</si>
  <si>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</si>
  <si>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</si>
  <si>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</si>
  <si>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</si>
  <si>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</si>
  <si>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</si>
  <si>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</si>
  <si>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</si>
  <si>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</si>
  <si>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</si>
  <si>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</si>
  <si>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</si>
  <si>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</si>
  <si>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</si>
  <si>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</si>
  <si>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</si>
  <si>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</si>
  <si>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</si>
  <si>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</si>
  <si>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</si>
  <si>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</si>
  <si>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</si>
  <si>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</si>
  <si>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</si>
  <si>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</si>
  <si>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</si>
  <si>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</si>
  <si>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</si>
  <si>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</si>
  <si>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</si>
  <si>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</si>
  <si>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</si>
  <si>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</si>
  <si>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</si>
  <si>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</si>
  <si>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</si>
  <si>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</si>
  <si>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</si>
  <si>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</si>
  <si>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</si>
  <si>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</si>
  <si>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</si>
  <si>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</si>
  <si>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</si>
  <si>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</si>
  <si>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</si>
  <si>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</si>
  <si>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</si>
  <si>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</si>
  <si>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</si>
  <si>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</si>
  <si>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</si>
  <si>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</si>
  <si>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</si>
  <si>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</si>
  <si>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</si>
  <si>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</si>
  <si>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</si>
  <si>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</si>
  <si>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</si>
  <si>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</si>
  <si>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</si>
  <si>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</si>
  <si>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</si>
  <si>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</si>
  <si>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</si>
  <si>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</si>
  <si>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</si>
  <si>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</si>
  <si>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</si>
  <si>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</si>
  <si>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</si>
  <si>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</si>
  <si>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</si>
  <si>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</si>
  <si>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</si>
  <si>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</si>
  <si>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</si>
  <si>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</si>
  <si>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</si>
  <si>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</si>
  <si>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</si>
  <si>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</si>
  <si>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</si>
  <si>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</si>
  <si>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</si>
  <si>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</si>
  <si>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</si>
  <si>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</si>
  <si>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</si>
  <si>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</si>
  <si>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</si>
  <si>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</si>
  <si>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</si>
  <si>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</si>
  <si>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</si>
  <si>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</si>
  <si>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</si>
  <si>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</si>
  <si>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</si>
  <si>
    <t xml:space="preserve">Data Source:  O'Neil Commodity Consulting </t>
  </si>
  <si>
    <t>June 14</t>
  </si>
  <si>
    <t>July 14</t>
  </si>
  <si>
    <t>Aug. 14</t>
  </si>
  <si>
    <t>Sept.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</si>
</sst>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Data!$F$207:$F$231</c:f>
              <c:numCache>
                <c:formatCode>"$"#,##0.00_);\("$"#,##0.00\)</c:formatCode>
                <c:ptCount val="25"/>
                <c:pt idx="0">
                  <c:v>23.5</c:v>
                </c:pt>
                <c:pt idx="1">
                  <c:v>21.380000000000003</c:v>
                </c:pt>
                <c:pt idx="2">
                  <c:v>20.3</c:v>
                </c:pt>
                <c:pt idx="3">
                  <c:v>21.130000000000003</c:v>
                </c:pt>
                <c:pt idx="4">
                  <c:v>21</c:v>
                </c:pt>
                <c:pt idx="5">
                  <c:v>21.87</c:v>
                </c:pt>
                <c:pt idx="6">
                  <c:v>22.800000000000004</c:v>
                </c:pt>
                <c:pt idx="7">
                  <c:v>22.37</c:v>
                </c:pt>
                <c:pt idx="8">
                  <c:v>21.200000000000003</c:v>
                </c:pt>
                <c:pt idx="9">
                  <c:v>21.750000000000004</c:v>
                </c:pt>
                <c:pt idx="10">
                  <c:v>21.69</c:v>
                </c:pt>
                <c:pt idx="11">
                  <c:v>21.05</c:v>
                </c:pt>
                <c:pt idx="12">
                  <c:v>20.75</c:v>
                </c:pt>
                <c:pt idx="13">
                  <c:v>23.630000000000003</c:v>
                </c:pt>
                <c:pt idx="14">
                  <c:v>24.799999999999997</c:v>
                </c:pt>
                <c:pt idx="15">
                  <c:v>27.12</c:v>
                </c:pt>
                <c:pt idx="16">
                  <c:v>28.5</c:v>
                </c:pt>
                <c:pt idx="17">
                  <c:v>25.630000000000003</c:v>
                </c:pt>
                <c:pt idx="18">
                  <c:v>23.630000000000003</c:v>
                </c:pt>
                <c:pt idx="19">
                  <c:v>22</c:v>
                </c:pt>
                <c:pt idx="20">
                  <c:v>20.799999999999997</c:v>
                </c:pt>
                <c:pt idx="21">
                  <c:v>20.630000000000003</c:v>
                </c:pt>
                <c:pt idx="22">
                  <c:v>19.070000000000004</c:v>
                </c:pt>
                <c:pt idx="23">
                  <c:v>19.150000000000002</c:v>
                </c:pt>
                <c:pt idx="24">
                  <c:v>20.380000000000003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27424"/>
        <c:axId val="115128960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Data!$B$207:$B$231</c:f>
              <c:numCache>
                <c:formatCode>"$"#,##0.00_);\("$"#,##0.00\)</c:formatCode>
                <c:ptCount val="25"/>
                <c:pt idx="0">
                  <c:v>47.5</c:v>
                </c:pt>
                <c:pt idx="1">
                  <c:v>48.63</c:v>
                </c:pt>
                <c:pt idx="2">
                  <c:v>46.5</c:v>
                </c:pt>
                <c:pt idx="3">
                  <c:v>45.38</c:v>
                </c:pt>
                <c:pt idx="4">
                  <c:v>45.75</c:v>
                </c:pt>
                <c:pt idx="5">
                  <c:v>46.25</c:v>
                </c:pt>
                <c:pt idx="6">
                  <c:v>48.2</c:v>
                </c:pt>
                <c:pt idx="7">
                  <c:v>47.25</c:v>
                </c:pt>
                <c:pt idx="8">
                  <c:v>44.7</c:v>
                </c:pt>
                <c:pt idx="9">
                  <c:v>45.38</c:v>
                </c:pt>
                <c:pt idx="10">
                  <c:v>45.88</c:v>
                </c:pt>
                <c:pt idx="11">
                  <c:v>45.5</c:v>
                </c:pt>
                <c:pt idx="12">
                  <c:v>52</c:v>
                </c:pt>
                <c:pt idx="13">
                  <c:v>56.13</c:v>
                </c:pt>
                <c:pt idx="14">
                  <c:v>53.9</c:v>
                </c:pt>
                <c:pt idx="15">
                  <c:v>57.25</c:v>
                </c:pt>
                <c:pt idx="16">
                  <c:v>56.9</c:v>
                </c:pt>
                <c:pt idx="17">
                  <c:v>53.38</c:v>
                </c:pt>
                <c:pt idx="18">
                  <c:v>52.38</c:v>
                </c:pt>
                <c:pt idx="19">
                  <c:v>48.75</c:v>
                </c:pt>
                <c:pt idx="20">
                  <c:v>46.8</c:v>
                </c:pt>
                <c:pt idx="21">
                  <c:v>43.63</c:v>
                </c:pt>
                <c:pt idx="22">
                  <c:v>42.63</c:v>
                </c:pt>
                <c:pt idx="23">
                  <c:v>43.2</c:v>
                </c:pt>
                <c:pt idx="24">
                  <c:v>46.13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Data!$D$207:$D$231</c:f>
              <c:numCache>
                <c:formatCode>"$"#,##0.00_);\("$"#,##0.00\)</c:formatCode>
                <c:ptCount val="25"/>
                <c:pt idx="0">
                  <c:v>24</c:v>
                </c:pt>
                <c:pt idx="1">
                  <c:v>27.25</c:v>
                </c:pt>
                <c:pt idx="2">
                  <c:v>26.2</c:v>
                </c:pt>
                <c:pt idx="3">
                  <c:v>24.25</c:v>
                </c:pt>
                <c:pt idx="4">
                  <c:v>24.75</c:v>
                </c:pt>
                <c:pt idx="5">
                  <c:v>24.38</c:v>
                </c:pt>
                <c:pt idx="6">
                  <c:v>25.4</c:v>
                </c:pt>
                <c:pt idx="7">
                  <c:v>24.88</c:v>
                </c:pt>
                <c:pt idx="8">
                  <c:v>23.5</c:v>
                </c:pt>
                <c:pt idx="9">
                  <c:v>23.63</c:v>
                </c:pt>
                <c:pt idx="10">
                  <c:v>24.19</c:v>
                </c:pt>
                <c:pt idx="11">
                  <c:v>24.45</c:v>
                </c:pt>
                <c:pt idx="12">
                  <c:v>31.25</c:v>
                </c:pt>
                <c:pt idx="13">
                  <c:v>32.5</c:v>
                </c:pt>
                <c:pt idx="14">
                  <c:v>29.1</c:v>
                </c:pt>
                <c:pt idx="15">
                  <c:v>30.13</c:v>
                </c:pt>
                <c:pt idx="16">
                  <c:v>28.4</c:v>
                </c:pt>
                <c:pt idx="17">
                  <c:v>27.75</c:v>
                </c:pt>
                <c:pt idx="18">
                  <c:v>28.75</c:v>
                </c:pt>
                <c:pt idx="19">
                  <c:v>26.75</c:v>
                </c:pt>
                <c:pt idx="20">
                  <c:v>26</c:v>
                </c:pt>
                <c:pt idx="21">
                  <c:v>23</c:v>
                </c:pt>
                <c:pt idx="22">
                  <c:v>23.56</c:v>
                </c:pt>
                <c:pt idx="23">
                  <c:v>24.05</c:v>
                </c:pt>
                <c:pt idx="24">
                  <c:v>25.75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Data!$A$207:$A$231</c:f>
              <c:strCache>
                <c:ptCount val="25"/>
                <c:pt idx="0">
                  <c:v>Sept. 12</c:v>
                </c:pt>
                <c:pt idx="1">
                  <c:v>Oct. 12</c:v>
                </c:pt>
                <c:pt idx="2">
                  <c:v>Nov. 12</c:v>
                </c:pt>
                <c:pt idx="3">
                  <c:v>Dec. 12</c:v>
                </c:pt>
                <c:pt idx="4">
                  <c:v>Jan. 13</c:v>
                </c:pt>
                <c:pt idx="5">
                  <c:v>Feb. 13</c:v>
                </c:pt>
                <c:pt idx="6">
                  <c:v>Mar. 13</c:v>
                </c:pt>
                <c:pt idx="7">
                  <c:v>Apr. 13</c:v>
                </c:pt>
                <c:pt idx="8">
                  <c:v>May 13</c:v>
                </c:pt>
                <c:pt idx="9">
                  <c:v>June 13</c:v>
                </c:pt>
                <c:pt idx="10">
                  <c:v>July 13</c:v>
                </c:pt>
                <c:pt idx="11">
                  <c:v>Aug. 13</c:v>
                </c:pt>
                <c:pt idx="12">
                  <c:v>Sept. 13</c:v>
                </c:pt>
                <c:pt idx="13">
                  <c:v>Oct. 13</c:v>
                </c:pt>
                <c:pt idx="14">
                  <c:v>Nov. 13</c:v>
                </c:pt>
                <c:pt idx="15">
                  <c:v>Dec. 13</c:v>
                </c:pt>
                <c:pt idx="16">
                  <c:v>Jan. 14</c:v>
                </c:pt>
                <c:pt idx="17">
                  <c:v>Feb. 14</c:v>
                </c:pt>
                <c:pt idx="18">
                  <c:v>Mar. 14</c:v>
                </c:pt>
                <c:pt idx="19">
                  <c:v>Apr. 14</c:v>
                </c:pt>
                <c:pt idx="20">
                  <c:v>May 14</c:v>
                </c:pt>
                <c:pt idx="21">
                  <c:v>June 14</c:v>
                </c:pt>
                <c:pt idx="22">
                  <c:v>July 14</c:v>
                </c:pt>
                <c:pt idx="23">
                  <c:v>Aug. 14</c:v>
                </c:pt>
                <c:pt idx="24">
                  <c:v>Sept.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23712"/>
        <c:axId val="115125248"/>
      </c:lineChart>
      <c:catAx>
        <c:axId val="11512371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125248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115125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123712"/>
        <c:crosses val="autoZero"/>
        <c:crossBetween val="between"/>
      </c:valAx>
      <c:catAx>
        <c:axId val="115127424"/>
        <c:scaling>
          <c:orientation val="minMax"/>
        </c:scaling>
        <c:delete val="1"/>
        <c:axPos val="b"/>
        <c:majorTickMark val="out"/>
        <c:minorTickMark val="none"/>
        <c:tickLblPos val="none"/>
        <c:crossAx val="115128960"/>
        <c:crosses val="autoZero"/>
        <c:auto val="0"/>
        <c:lblAlgn val="ctr"/>
        <c:lblOffset val="100"/>
        <c:noMultiLvlLbl val="0"/>
      </c:catAx>
      <c:valAx>
        <c:axId val="115128960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11512742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0.10898</cdr:x>
      <cdr:y>0.07134</cdr:y>
    </cdr:from>
    <cdr:to>
      <cdr:x>0.52015</cdr:x>
      <cdr:y>0.22701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4411" y="231778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Sept. '14      $46.13    $25.75    $20.38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Sept.. '13        -11.3%     -17.6%      -1.8%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-15.3%     -15.4%    -15.2%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20" activePane="bottomLeft" state="frozen"/>
      <selection pane="bottomLeft" activeCell="F231" sqref="F231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191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192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193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194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195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196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197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198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199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200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201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202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203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204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205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206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207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208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209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210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211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212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213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214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215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216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217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31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218</v>
      </c>
      <c r="B214" s="11">
        <v>47.25</v>
      </c>
      <c r="C214" s="11">
        <f t="shared" ref="C214:C231" si="12">AVERAGE(B202,B190,B178,B166)</f>
        <v>53.807500000000005</v>
      </c>
      <c r="D214" s="11">
        <v>24.88</v>
      </c>
      <c r="E214" s="11">
        <f t="shared" ref="E214:E231" si="13">AVERAGE(D202,D190,D178,D166)</f>
        <v>28.269999999999996</v>
      </c>
      <c r="F214" s="7">
        <f t="shared" si="11"/>
        <v>22.37</v>
      </c>
      <c r="G214" s="11">
        <f t="shared" ref="G214:G231" si="14">AVERAGE(F202,F190,F178,F166)</f>
        <v>25.537500000000001</v>
      </c>
    </row>
    <row r="215" spans="1:7" x14ac:dyDescent="0.25">
      <c r="A215" s="23" t="s">
        <v>219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220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221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222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223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224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225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226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5">
      <c r="A223" s="22" t="s">
        <v>227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5">
      <c r="A224" s="22" t="s">
        <v>228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5">
      <c r="A225" s="22" t="s">
        <v>229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5">
      <c r="A226" s="22" t="s">
        <v>230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5">
      <c r="A227" s="23" t="s">
        <v>231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8" spans="1:7" x14ac:dyDescent="0.25">
      <c r="A228" s="23" t="s">
        <v>233</v>
      </c>
      <c r="B228" s="11">
        <v>43.63</v>
      </c>
      <c r="C228" s="11">
        <f t="shared" si="12"/>
        <v>54.424999999999997</v>
      </c>
      <c r="D228" s="11">
        <v>23</v>
      </c>
      <c r="E228" s="11">
        <f t="shared" si="13"/>
        <v>29.247499999999999</v>
      </c>
      <c r="F228" s="7">
        <f t="shared" si="11"/>
        <v>20.630000000000003</v>
      </c>
      <c r="G228" s="11">
        <f t="shared" si="14"/>
        <v>25.177500000000002</v>
      </c>
    </row>
    <row r="229" spans="1:7" x14ac:dyDescent="0.25">
      <c r="A229" s="23" t="s">
        <v>234</v>
      </c>
      <c r="B229" s="11">
        <v>42.63</v>
      </c>
      <c r="C229" s="11">
        <f t="shared" si="12"/>
        <v>51.032499999999999</v>
      </c>
      <c r="D229" s="11">
        <v>23.56</v>
      </c>
      <c r="E229" s="11">
        <f t="shared" si="13"/>
        <v>27.73</v>
      </c>
      <c r="F229" s="7">
        <f t="shared" si="11"/>
        <v>19.070000000000004</v>
      </c>
      <c r="G229" s="11">
        <f t="shared" si="14"/>
        <v>23.302499999999998</v>
      </c>
    </row>
    <row r="230" spans="1:7" x14ac:dyDescent="0.25">
      <c r="A230" s="22" t="s">
        <v>235</v>
      </c>
      <c r="B230" s="11">
        <v>43.2</v>
      </c>
      <c r="C230" s="11">
        <f t="shared" si="12"/>
        <v>52.575000000000003</v>
      </c>
      <c r="D230" s="11">
        <v>24.05</v>
      </c>
      <c r="E230" s="11">
        <f t="shared" si="13"/>
        <v>29</v>
      </c>
      <c r="F230" s="7">
        <f t="shared" si="11"/>
        <v>19.150000000000002</v>
      </c>
      <c r="G230" s="11">
        <f t="shared" si="14"/>
        <v>23.574999999999999</v>
      </c>
    </row>
    <row r="231" spans="1:7" x14ac:dyDescent="0.25">
      <c r="A231" s="22" t="s">
        <v>236</v>
      </c>
      <c r="B231" s="11">
        <v>46.13</v>
      </c>
      <c r="C231" s="11">
        <f t="shared" si="12"/>
        <v>54.480000000000004</v>
      </c>
      <c r="D231" s="11">
        <v>25.75</v>
      </c>
      <c r="E231" s="11">
        <f t="shared" si="13"/>
        <v>30.45</v>
      </c>
      <c r="F231" s="7">
        <f t="shared" si="11"/>
        <v>20.380000000000003</v>
      </c>
      <c r="G231" s="11">
        <f t="shared" si="14"/>
        <v>24.03</v>
      </c>
    </row>
    <row r="233" spans="1:7" x14ac:dyDescent="0.25">
      <c r="A233" s="22"/>
    </row>
    <row r="234" spans="1:7" x14ac:dyDescent="0.25">
      <c r="A234" s="22"/>
    </row>
    <row r="235" spans="1:7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9 G213 F230:F2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232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2014-09-30T19:54:16Z</dcterms:modified>
</cp:coreProperties>
</file>