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788" yWindow="72" windowWidth="7716" windowHeight="8316"/>
  </bookViews>
  <sheets>
    <sheet name="MainEntry&amp;Data" sheetId="4" r:id="rId1"/>
    <sheet name="Calcs" sheetId="6" r:id="rId2"/>
    <sheet name="StoredResults" sheetId="7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Cu">[1]Elements!$C$26</definedName>
    <definedName name="Dy">[1]Elements!$C$27</definedName>
    <definedName name="Er">[1]Elements!$C$28</definedName>
    <definedName name="Eu">[1]Elements!$C$29</definedName>
    <definedName name="ex">#REF!</definedName>
    <definedName name="F">[1]Elements!$C$30</definedName>
    <definedName name="Fe">[1]Elements!$C$31</definedName>
    <definedName name="Fr">[1]Elements!$C$32</definedName>
    <definedName name="Ga">[1]Elements!$C$33</definedName>
    <definedName name="Gd">[1]Elements!$C$34</definedName>
    <definedName name="Ge">[1]Elements!$C$35</definedName>
    <definedName name="H">[1]Elements!$C$36</definedName>
    <definedName name="He">[1]Elements!$C$37</definedName>
    <definedName name="Hf">[1]Elements!$C$38</definedName>
    <definedName name="Hg">[1]Elements!$C$39</definedName>
    <definedName name="Ho">[1]Elements!$C$40</definedName>
    <definedName name="HX">#REF!</definedName>
    <definedName name="I">[1]Elements!$C$41</definedName>
    <definedName name="In">[1]Elements!$C$42</definedName>
    <definedName name="Ir">[1]Elements!$C$43</definedName>
    <definedName name="K">[1]Elements!$C$44</definedName>
    <definedName name="Kr">[1]Elements!$C$45</definedName>
    <definedName name="Krx">'[2]SO2+O2'!$C$4</definedName>
    <definedName name="La">[1]Elements!$C$46</definedName>
    <definedName name="Li">[1]Elements!$C$47</definedName>
    <definedName name="Lu">[1]Elements!$C$48</definedName>
    <definedName name="Mg">[1]Elements!$C$49</definedName>
    <definedName name="Mn">[1]Elements!$C$50</definedName>
    <definedName name="Mo">[1]Elements!$C$51</definedName>
    <definedName name="MolsSO3">'[2]SO2+O2'!$C$6:$I$6</definedName>
    <definedName name="N">[1]Elements!$C$52</definedName>
    <definedName name="Na">[1]Elements!$C$53</definedName>
    <definedName name="Nb">[1]Elements!$C$54</definedName>
    <definedName name="Nd">[1]Elements!$C$55</definedName>
    <definedName name="Ne">[1]Elements!$C$56</definedName>
    <definedName name="NGEqns">#REF!</definedName>
    <definedName name="NGRfrm">#REF!</definedName>
    <definedName name="Ni">[1]Elements!$C$57</definedName>
    <definedName name="Np">[1]Elements!$C$58</definedName>
    <definedName name="O">[1]Elements!$C$59</definedName>
    <definedName name="Os">[1]Elements!$C$60</definedName>
    <definedName name="P">[1]Elements!$C$61</definedName>
    <definedName name="Pa">[1]Elements!$C$62</definedName>
    <definedName name="Pb">[1]Elements!$C$63</definedName>
    <definedName name="PbCond">[3]ZnCond!$A$39</definedName>
    <definedName name="PbCond2">[4]ZnCond!#REF!</definedName>
    <definedName name="Pd">[1]Elements!$C$64</definedName>
    <definedName name="Pm">[1]Elements!$C$65</definedName>
    <definedName name="Po">[1]Elements!$C$66</definedName>
    <definedName name="Pr">[1]Elements!$C$67</definedName>
    <definedName name="PressUnit">'[5]Title and Units panel'!$N$37</definedName>
    <definedName name="Pressure">'[2]SO2+O2'!$C$5:$I$5</definedName>
    <definedName name="Pt">[1]Elements!$C$68</definedName>
    <definedName name="Pu">[1]Elements!$C$69</definedName>
    <definedName name="QtyUnit">'[5]Title and Units panel'!$K$37</definedName>
    <definedName name="Ra">[1]Elements!$C$70</definedName>
    <definedName name="Rb">[1]Elements!$C$71</definedName>
    <definedName name="Re">[1]Elements!$C$72</definedName>
    <definedName name="Rh">[1]Elements!$C$73</definedName>
    <definedName name="Rn">[1]Elements!$C$74</definedName>
    <definedName name="Ru">[1]Elements!$C$75</definedName>
    <definedName name="S">[1]Elements!$C$76</definedName>
    <definedName name="Sb">[1]Elements!$C$77</definedName>
    <definedName name="Sc">[1]Elements!$C$78</definedName>
    <definedName name="Se">[1]Elements!$C$79</definedName>
    <definedName name="Si">[1]Elements!$C$80</definedName>
    <definedName name="Sm">[1]Elements!$C$81</definedName>
    <definedName name="Sn">[1]Elements!$C$82</definedName>
    <definedName name="Sr">[1]Elements!$C$83</definedName>
    <definedName name="Ta">[1]Elements!$C$84</definedName>
    <definedName name="Tb">[1]Elements!$C$85</definedName>
    <definedName name="Tc">[1]Elements!$C$86</definedName>
    <definedName name="Te">[1]Elements!$C$87</definedName>
    <definedName name="Th">[1]Elements!$C$88</definedName>
    <definedName name="Ti">[1]Elements!$C$89</definedName>
    <definedName name="Tl">[1]Elements!$C$90</definedName>
    <definedName name="Tm">[1]Elements!$C$91</definedName>
    <definedName name="U">[1]Elements!$C$92</definedName>
    <definedName name="V">[1]Elements!$C$93</definedName>
    <definedName name="W">[1]Elements!$C$94</definedName>
    <definedName name="x">#REF!</definedName>
    <definedName name="xe">#REF!</definedName>
    <definedName name="xx">#REF!</definedName>
    <definedName name="Y">[1]Elements!$C$96</definedName>
    <definedName name="Yb">[1]Elements!$C$97</definedName>
    <definedName name="Zn">[1]Elements!$C$98</definedName>
    <definedName name="ZnCond">[3]ZnCond!$A$1</definedName>
    <definedName name="ZnPbFinal">[4]ZnCond!#REF!</definedName>
    <definedName name="Zr">[1]Elements!$C$99</definedName>
  </definedNames>
  <calcPr calcId="145621"/>
</workbook>
</file>

<file path=xl/calcChain.xml><?xml version="1.0" encoding="utf-8"?>
<calcChain xmlns="http://schemas.openxmlformats.org/spreadsheetml/2006/main">
  <c r="M40" i="6" l="1"/>
  <c r="N18" i="6"/>
  <c r="O18" i="6"/>
  <c r="P18" i="6"/>
  <c r="Q18" i="6"/>
  <c r="R18" i="6"/>
  <c r="S18" i="6"/>
  <c r="M18" i="6"/>
  <c r="M29" i="4" l="1"/>
  <c r="M30" i="4"/>
  <c r="M31" i="4"/>
  <c r="M28" i="4"/>
  <c r="N28" i="4"/>
  <c r="M41" i="6" l="1"/>
  <c r="N30" i="4" s="1"/>
  <c r="P9" i="6"/>
  <c r="S41" i="6" l="1"/>
  <c r="T30" i="4" s="1"/>
  <c r="Q41" i="6"/>
  <c r="R30" i="4" s="1"/>
  <c r="O41" i="6"/>
  <c r="P30" i="4" s="1"/>
  <c r="N41" i="6"/>
  <c r="O30" i="4" s="1"/>
  <c r="R41" i="6"/>
  <c r="S30" i="4" s="1"/>
  <c r="P41" i="6"/>
  <c r="Q30" i="4" s="1"/>
  <c r="S7" i="6"/>
  <c r="M6" i="6"/>
  <c r="AU8" i="6"/>
  <c r="F9" i="6"/>
  <c r="F10" i="6"/>
  <c r="F11" i="6"/>
  <c r="F12" i="6"/>
  <c r="F13" i="6"/>
  <c r="F14" i="6"/>
  <c r="F15" i="6"/>
  <c r="G15" i="6" s="1"/>
  <c r="F16" i="6"/>
  <c r="G16" i="6" s="1"/>
  <c r="F8" i="6"/>
  <c r="Q7" i="6" l="1"/>
  <c r="R28" i="4" s="1"/>
  <c r="T28" i="4"/>
  <c r="M22" i="6"/>
  <c r="M36" i="6" s="1"/>
  <c r="M10" i="6"/>
  <c r="M11" i="6" s="1"/>
  <c r="G14" i="6"/>
  <c r="G12" i="6"/>
  <c r="G10" i="6"/>
  <c r="G13" i="6"/>
  <c r="G11" i="6"/>
  <c r="G9" i="6"/>
  <c r="P7" i="6"/>
  <c r="Q28" i="4" s="1"/>
  <c r="N7" i="6"/>
  <c r="O28" i="4" s="1"/>
  <c r="R7" i="6"/>
  <c r="S28" i="4" s="1"/>
  <c r="O7" i="6"/>
  <c r="P28" i="4" s="1"/>
  <c r="M21" i="6"/>
  <c r="M35" i="6" s="1"/>
  <c r="AU18" i="6"/>
  <c r="AU12" i="6"/>
  <c r="G8" i="6"/>
  <c r="AW9" i="6"/>
  <c r="AV9" i="6"/>
  <c r="AX9" i="6"/>
  <c r="O35" i="6" l="1"/>
  <c r="S35" i="6"/>
  <c r="N35" i="6"/>
  <c r="R35" i="6"/>
  <c r="Q35" i="6"/>
  <c r="P35" i="6"/>
  <c r="Q36" i="6"/>
  <c r="O36" i="6"/>
  <c r="N36" i="6"/>
  <c r="R36" i="6"/>
  <c r="S36" i="6"/>
  <c r="P36" i="6"/>
  <c r="O22" i="6"/>
  <c r="Q22" i="6"/>
  <c r="S22" i="6"/>
  <c r="P22" i="6"/>
  <c r="R22" i="6"/>
  <c r="N22" i="6"/>
  <c r="O21" i="6"/>
  <c r="Q21" i="6"/>
  <c r="S21" i="6"/>
  <c r="P21" i="6"/>
  <c r="R21" i="6"/>
  <c r="N21" i="6"/>
  <c r="Q12" i="6"/>
  <c r="S12" i="6"/>
  <c r="R12" i="6"/>
  <c r="M12" i="6"/>
  <c r="AU13" i="6"/>
  <c r="R24" i="6" l="1"/>
  <c r="Q24" i="6"/>
  <c r="M24" i="6"/>
  <c r="S24" i="6"/>
  <c r="R13" i="6"/>
  <c r="S13" i="6"/>
  <c r="O12" i="6"/>
  <c r="P12" i="6"/>
  <c r="N12" i="6"/>
  <c r="S38" i="6" l="1"/>
  <c r="M38" i="6"/>
  <c r="Q38" i="6"/>
  <c r="R38" i="6"/>
  <c r="N24" i="6"/>
  <c r="O24" i="6"/>
  <c r="P24" i="6"/>
  <c r="N13" i="6"/>
  <c r="M13" i="6"/>
  <c r="Q13" i="6"/>
  <c r="P13" i="6"/>
  <c r="O13" i="6"/>
  <c r="P38" i="6" l="1"/>
  <c r="N38" i="6"/>
  <c r="O38" i="6"/>
  <c r="F29" i="4"/>
  <c r="F17" i="6" s="1"/>
  <c r="J26" i="4"/>
  <c r="J25" i="4"/>
  <c r="G24" i="6" s="1"/>
  <c r="H24" i="6" s="1"/>
  <c r="Q23" i="6" l="1"/>
  <c r="M23" i="6"/>
  <c r="R23" i="6"/>
  <c r="S23" i="6"/>
  <c r="N23" i="6"/>
  <c r="P23" i="6"/>
  <c r="O23" i="6"/>
  <c r="E31" i="4"/>
  <c r="AU11" i="6"/>
  <c r="M9" i="6"/>
  <c r="G17" i="6"/>
  <c r="E19" i="6"/>
  <c r="K26" i="4"/>
  <c r="K25" i="4"/>
  <c r="J24" i="4"/>
  <c r="G23" i="6" s="1"/>
  <c r="S37" i="6" l="1"/>
  <c r="S39" i="6" s="1"/>
  <c r="M37" i="6"/>
  <c r="M39" i="6" s="1"/>
  <c r="P37" i="6"/>
  <c r="P39" i="6" s="1"/>
  <c r="O37" i="6"/>
  <c r="O39" i="6" s="1"/>
  <c r="N37" i="6"/>
  <c r="N39" i="6" s="1"/>
  <c r="R37" i="6"/>
  <c r="R39" i="6" s="1"/>
  <c r="Q37" i="6"/>
  <c r="Q39" i="6" s="1"/>
  <c r="H23" i="6"/>
  <c r="G25" i="6"/>
  <c r="H25" i="6" s="1"/>
  <c r="M19" i="6"/>
  <c r="Q19" i="6"/>
  <c r="O19" i="6"/>
  <c r="P19" i="6"/>
  <c r="N19" i="6"/>
  <c r="S19" i="6"/>
  <c r="R19" i="6"/>
  <c r="R15" i="6"/>
  <c r="S15" i="6"/>
  <c r="S14" i="6"/>
  <c r="R14" i="6"/>
  <c r="H9" i="6"/>
  <c r="H11" i="6"/>
  <c r="H13" i="6"/>
  <c r="H10" i="6"/>
  <c r="H12" i="6"/>
  <c r="H14" i="6"/>
  <c r="H16" i="6"/>
  <c r="H8" i="6"/>
  <c r="H15" i="6"/>
  <c r="AV14" i="6"/>
  <c r="AV19" i="6" s="1"/>
  <c r="AV20" i="6" s="1"/>
  <c r="AV21" i="6" s="1"/>
  <c r="AY14" i="6"/>
  <c r="AY19" i="6" s="1"/>
  <c r="AY20" i="6" s="1"/>
  <c r="AW14" i="6"/>
  <c r="AW19" i="6" s="1"/>
  <c r="AW20" i="6" s="1"/>
  <c r="AW21" i="6" s="1"/>
  <c r="AX14" i="6"/>
  <c r="AU14" i="6"/>
  <c r="H17" i="6"/>
  <c r="K24" i="4"/>
  <c r="R16" i="6" l="1"/>
  <c r="R17" i="6" s="1"/>
  <c r="R27" i="6"/>
  <c r="R26" i="6"/>
  <c r="R29" i="6"/>
  <c r="S16" i="6"/>
  <c r="S17" i="6" s="1"/>
  <c r="S26" i="6"/>
  <c r="S27" i="6"/>
  <c r="S29" i="6"/>
  <c r="R28" i="6"/>
  <c r="S28" i="6"/>
  <c r="AU17" i="6"/>
  <c r="AU23" i="6" s="1"/>
  <c r="AU16" i="6"/>
  <c r="AW16" i="6"/>
  <c r="AW17" i="6"/>
  <c r="AV17" i="6"/>
  <c r="AV16" i="6"/>
  <c r="M15" i="6"/>
  <c r="Q15" i="6"/>
  <c r="N15" i="6"/>
  <c r="P14" i="6"/>
  <c r="O15" i="6"/>
  <c r="Q14" i="6"/>
  <c r="M14" i="6"/>
  <c r="O14" i="6"/>
  <c r="P15" i="6"/>
  <c r="N14" i="6"/>
  <c r="AX17" i="6"/>
  <c r="AX16" i="6"/>
  <c r="AX19" i="6"/>
  <c r="AX20" i="6" s="1"/>
  <c r="AX21" i="6" s="1"/>
  <c r="AY16" i="6"/>
  <c r="AY17" i="6"/>
  <c r="AY21" i="6"/>
  <c r="AU19" i="6"/>
  <c r="AU20" i="6" s="1"/>
  <c r="AU21" i="6" s="1"/>
  <c r="K42" i="4"/>
  <c r="I14" i="6" s="1"/>
  <c r="K41" i="4"/>
  <c r="I13" i="6" s="1"/>
  <c r="K40" i="4"/>
  <c r="I12" i="6" s="1"/>
  <c r="K39" i="4"/>
  <c r="I11" i="6" s="1"/>
  <c r="K38" i="4"/>
  <c r="I10" i="6" s="1"/>
  <c r="K37" i="4"/>
  <c r="I9" i="6" s="1"/>
  <c r="K36" i="4"/>
  <c r="I8" i="6" s="1"/>
  <c r="J27" i="4"/>
  <c r="Q16" i="6" l="1"/>
  <c r="Q17" i="6" s="1"/>
  <c r="Q26" i="6"/>
  <c r="Q27" i="6"/>
  <c r="Q29" i="6"/>
  <c r="Q28" i="6"/>
  <c r="P16" i="6"/>
  <c r="P17" i="6" s="1"/>
  <c r="P27" i="6"/>
  <c r="P26" i="6"/>
  <c r="P29" i="6"/>
  <c r="P28" i="6"/>
  <c r="O16" i="6"/>
  <c r="O17" i="6" s="1"/>
  <c r="O26" i="6"/>
  <c r="O27" i="6"/>
  <c r="O29" i="6"/>
  <c r="O28" i="6"/>
  <c r="N16" i="6"/>
  <c r="N17" i="6" s="1"/>
  <c r="N27" i="6"/>
  <c r="N26" i="6"/>
  <c r="N29" i="6"/>
  <c r="N28" i="6"/>
  <c r="M16" i="6"/>
  <c r="M17" i="6" s="1"/>
  <c r="M27" i="6"/>
  <c r="M26" i="6"/>
  <c r="M29" i="6"/>
  <c r="M28" i="6"/>
  <c r="I19" i="6"/>
  <c r="AY15" i="6"/>
  <c r="AY23" i="6"/>
  <c r="AY24" i="6" s="1"/>
  <c r="AX23" i="6"/>
  <c r="AX24" i="6" s="1"/>
  <c r="AX15" i="6"/>
  <c r="AV15" i="6"/>
  <c r="AV23" i="6"/>
  <c r="AV24" i="6" s="1"/>
  <c r="AW23" i="6"/>
  <c r="AW24" i="6" s="1"/>
  <c r="AW15" i="6"/>
  <c r="AU24" i="6"/>
  <c r="AU15" i="6"/>
  <c r="K27" i="4"/>
  <c r="K28" i="4" s="1"/>
  <c r="J28" i="4"/>
  <c r="O42" i="6" l="1"/>
  <c r="P31" i="4" s="1"/>
  <c r="Q42" i="6"/>
  <c r="R31" i="4" s="1"/>
  <c r="S42" i="6"/>
  <c r="T31" i="4" s="1"/>
  <c r="N42" i="6"/>
  <c r="O31" i="4" s="1"/>
  <c r="P42" i="6"/>
  <c r="Q31" i="4" s="1"/>
  <c r="R42" i="6"/>
  <c r="S31" i="4" s="1"/>
  <c r="M42" i="6"/>
  <c r="N31" i="4" s="1"/>
  <c r="R40" i="6"/>
  <c r="S29" i="4" s="1"/>
  <c r="N29" i="4"/>
  <c r="N40" i="6"/>
  <c r="O29" i="4" s="1"/>
  <c r="S40" i="6"/>
  <c r="T29" i="4" s="1"/>
  <c r="O40" i="6"/>
  <c r="P29" i="4" s="1"/>
  <c r="Q40" i="6"/>
  <c r="R29" i="4" s="1"/>
  <c r="P40" i="6"/>
  <c r="Q29" i="4" s="1"/>
</calcChain>
</file>

<file path=xl/comments1.xml><?xml version="1.0" encoding="utf-8"?>
<comments xmlns="http://schemas.openxmlformats.org/spreadsheetml/2006/main">
  <authors>
    <author>thermart</author>
    <author>Art Morris</author>
    <author>Owner</author>
  </authors>
  <commentList>
    <comment ref="J11" authorId="0">
      <text>
        <r>
          <rPr>
            <sz val="10"/>
            <color indexed="81"/>
            <rFont val="Arial"/>
            <family val="2"/>
          </rPr>
          <t>Values in excess of about 1750°C will give increasing calculational error.</t>
        </r>
      </text>
    </comment>
    <comment ref="J19" authorId="0">
      <text>
        <r>
          <rPr>
            <sz val="10"/>
            <color indexed="81"/>
            <rFont val="Tahoma"/>
            <family val="2"/>
          </rPr>
          <t>The non-oxygen content is assumed to be entirely N2.</t>
        </r>
      </text>
    </comment>
    <comment ref="J20" authorId="0">
      <text>
        <r>
          <rPr>
            <sz val="10"/>
            <color indexed="81"/>
            <rFont val="Arial"/>
            <family val="2"/>
          </rPr>
          <t>You may enter any number here, but an upper limit from 80% to 120% will cover almost any practical application.</t>
        </r>
      </text>
    </comment>
    <comment ref="D24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F29" authorId="2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  <comment ref="G44" authorId="0">
      <text>
        <r>
          <rPr>
            <sz val="10"/>
            <color indexed="81"/>
            <rFont val="Arial"/>
            <family val="2"/>
          </rPr>
          <t>If you prefer to base your calculations on H</t>
        </r>
        <r>
          <rPr>
            <sz val="8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>O(liq) as a combustion product, add -44.02 for each  mole of water produced.</t>
        </r>
      </text>
    </comment>
  </commentList>
</comments>
</file>

<file path=xl/comments2.xml><?xml version="1.0" encoding="utf-8"?>
<comments xmlns="http://schemas.openxmlformats.org/spreadsheetml/2006/main">
  <authors>
    <author>Art Morris</author>
    <author>thermart</author>
    <author>Owner</author>
  </authors>
  <commentList>
    <comment ref="L9" authorId="0">
      <text>
        <r>
          <rPr>
            <sz val="11"/>
            <color indexed="81"/>
            <rFont val="Tahoma"/>
            <family val="2"/>
          </rPr>
          <t>Amount of CO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 xml:space="preserve"> &amp; H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>O from combustion of the reactant species in 1 g-mol of natural gas, plus the "other" in the nat. gas.</t>
        </r>
      </text>
    </comment>
    <comment ref="L10" authorId="0">
      <text>
        <r>
          <rPr>
            <sz val="11"/>
            <color indexed="81"/>
            <rFont val="Tahoma"/>
            <family val="2"/>
          </rPr>
          <t>Amount of oxidant gas required to stoichiometrically combust the reactants in 1 g-mole of nat. gas.</t>
        </r>
      </text>
    </comment>
    <comment ref="L11" authorId="0">
      <text>
        <r>
          <rPr>
            <sz val="11"/>
            <color indexed="81"/>
            <rFont val="Tahoma"/>
            <family val="2"/>
          </rPr>
          <t xml:space="preserve">Amount of N2 present in the stoichiometric amount of oxidant gas.
</t>
        </r>
      </text>
    </comment>
    <comment ref="AT11" authorId="0">
      <text>
        <r>
          <rPr>
            <sz val="11"/>
            <color indexed="81"/>
            <rFont val="Tahoma"/>
            <family val="2"/>
          </rPr>
          <t>Volume of CO2 + H2O from combustion of the hydrocarbon species in 1 volume unit of natural gas, plus the "other" in the nat. gas.</t>
        </r>
      </text>
    </comment>
    <comment ref="D12" authorId="0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L12" authorId="0">
      <text>
        <r>
          <rPr>
            <sz val="11"/>
            <color indexed="81"/>
            <rFont val="Tahoma"/>
            <family val="2"/>
          </rPr>
          <t>Amount of oxidant gas that will give the stated % excess over stoichiometric.</t>
        </r>
      </text>
    </comment>
    <comment ref="AT12" authorId="0">
      <text>
        <r>
          <rPr>
            <sz val="11"/>
            <color indexed="81"/>
            <rFont val="Tahoma"/>
            <family val="2"/>
          </rPr>
          <t>Volume of oxidant gas required to stoichiometrically combust the hydrocarbons in a volume unit of nat. gas.</t>
        </r>
      </text>
    </comment>
    <comment ref="L13" authorId="0">
      <text>
        <r>
          <rPr>
            <sz val="11"/>
            <color indexed="81"/>
            <rFont val="Tahoma"/>
            <family val="2"/>
          </rPr>
          <t>Amount of oxidant gas in excess of the stoichiometrically required quantity for oxidiation of 1 g-mol of nat. gas.</t>
        </r>
      </text>
    </comment>
    <comment ref="AT13" authorId="0">
      <text>
        <r>
          <rPr>
            <sz val="11"/>
            <color indexed="81"/>
            <rFont val="Tahoma"/>
            <family val="2"/>
          </rPr>
          <t xml:space="preserve">Volume of N2 + Ar + H2O, etc. present in the stoichiometric volume of oxidant gas.
</t>
        </r>
      </text>
    </comment>
    <comment ref="AT14" authorId="0">
      <text>
        <r>
          <rPr>
            <sz val="11"/>
            <color indexed="81"/>
            <rFont val="Tahoma"/>
            <family val="2"/>
          </rPr>
          <t>Volume of oxidant gas in excess of the stoichiometrically required quantity for oxidiation of 1 volume of nat. gas.</t>
        </r>
      </text>
    </comment>
    <comment ref="AT15" authorId="0">
      <text>
        <r>
          <rPr>
            <sz val="11"/>
            <color indexed="81"/>
            <rFont val="Tahoma"/>
            <family val="2"/>
          </rPr>
          <t>Percentage of actual oxidant gas compared to stoichiometric quantity of oxidant gas.</t>
        </r>
      </text>
    </comment>
    <comment ref="AT16" authorId="0">
      <text>
        <r>
          <rPr>
            <sz val="11"/>
            <color indexed="81"/>
            <rFont val="Tahoma"/>
            <family val="2"/>
          </rPr>
          <t>Percentage of actual oxidant gas in excess of the stoichiometric quantity.</t>
        </r>
      </text>
    </comment>
    <comment ref="C17" authorId="1">
      <text>
        <r>
          <rPr>
            <sz val="10"/>
            <color indexed="81"/>
            <rFont val="Tahoma"/>
            <family val="2"/>
          </rPr>
          <t>All other inerts are included in this entry.</t>
        </r>
      </text>
    </comment>
    <comment ref="F17" authorId="2">
      <text>
        <r>
          <rPr>
            <sz val="10"/>
            <color indexed="81"/>
            <rFont val="Tahoma"/>
            <family val="2"/>
          </rPr>
          <t>Value in this cell must be non-negative.</t>
        </r>
      </text>
    </comment>
    <comment ref="AT17" authorId="0">
      <text>
        <r>
          <rPr>
            <sz val="11"/>
            <color indexed="81"/>
            <rFont val="Tahoma"/>
            <family val="2"/>
          </rPr>
          <t>Volume of oxidant gas for 1 volume unit of nat. gas that will give the desired %O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 xml:space="preserve"> in the combustion flame gas.</t>
        </r>
      </text>
    </comment>
    <comment ref="H19" authorId="1">
      <text>
        <r>
          <rPr>
            <sz val="10"/>
            <color indexed="81"/>
            <rFont val="Arial"/>
            <family val="2"/>
          </rPr>
          <t>This value is based on H</t>
        </r>
        <r>
          <rPr>
            <sz val="9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>O(g) as the combustion product.</t>
        </r>
      </text>
    </comment>
    <comment ref="F23" authorId="2">
      <text>
        <r>
          <rPr>
            <b/>
            <sz val="9"/>
            <color indexed="81"/>
            <rFont val="Tahoma"/>
            <family val="2"/>
          </rPr>
          <t>Does not include CO2 present in the natural gas.</t>
        </r>
      </text>
    </comment>
    <comment ref="F24" authorId="2">
      <text>
        <r>
          <rPr>
            <b/>
            <sz val="9"/>
            <color indexed="81"/>
            <rFont val="Tahoma"/>
            <family val="2"/>
          </rPr>
          <t>Does not include H2O present in the natural gas.</t>
        </r>
      </text>
    </comment>
    <comment ref="L40" authorId="1">
      <text>
        <r>
          <rPr>
            <sz val="10"/>
            <color indexed="81"/>
            <rFont val="Arial"/>
            <family val="2"/>
          </rPr>
          <t>Values based on H</t>
        </r>
        <r>
          <rPr>
            <sz val="9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>O(g) as the combustion product.</t>
        </r>
      </text>
    </comment>
  </commentList>
</comments>
</file>

<file path=xl/comments3.xml><?xml version="1.0" encoding="utf-8"?>
<comments xmlns="http://schemas.openxmlformats.org/spreadsheetml/2006/main">
  <authors>
    <author>Art Morris</author>
    <author>Owner</author>
  </authors>
  <commentList>
    <comment ref="D27" authorId="0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E32" authorId="1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</commentList>
</comments>
</file>

<file path=xl/sharedStrings.xml><?xml version="1.0" encoding="utf-8"?>
<sst xmlns="http://schemas.openxmlformats.org/spreadsheetml/2006/main" count="248" uniqueCount="148">
  <si>
    <t>Mol. mass</t>
  </si>
  <si>
    <t>Mass %</t>
  </si>
  <si>
    <t>Methane</t>
  </si>
  <si>
    <r>
      <t>CH</t>
    </r>
    <r>
      <rPr>
        <vertAlign val="subscript"/>
        <sz val="10"/>
        <rFont val="Arial"/>
        <family val="2"/>
      </rPr>
      <t>4</t>
    </r>
  </si>
  <si>
    <t>Ethene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</si>
  <si>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4</t>
    </r>
  </si>
  <si>
    <t>Ethane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</si>
  <si>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</t>
    </r>
  </si>
  <si>
    <t>Propane</t>
  </si>
  <si>
    <r>
      <t>C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</t>
    </r>
  </si>
  <si>
    <t>Hydrogen</t>
  </si>
  <si>
    <r>
      <t>H</t>
    </r>
    <r>
      <rPr>
        <vertAlign val="subscript"/>
        <sz val="10"/>
        <rFont val="Arial"/>
        <family val="2"/>
      </rPr>
      <t>2</t>
    </r>
  </si>
  <si>
    <t>Carbon monoxide</t>
  </si>
  <si>
    <t>CO</t>
  </si>
  <si>
    <t>Carbon dioxide</t>
  </si>
  <si>
    <r>
      <t>CO</t>
    </r>
    <r>
      <rPr>
        <vertAlign val="subscript"/>
        <sz val="10"/>
        <rFont val="Arial"/>
        <family val="2"/>
      </rPr>
      <t>2</t>
    </r>
  </si>
  <si>
    <t>Nitrogen (by diff.)</t>
  </si>
  <si>
    <r>
      <t>N</t>
    </r>
    <r>
      <rPr>
        <vertAlign val="subscript"/>
        <sz val="10"/>
        <rFont val="Arial"/>
        <family val="2"/>
      </rPr>
      <t>2</t>
    </r>
  </si>
  <si>
    <t>Molecular mass of NG</t>
  </si>
  <si>
    <t>Vol %</t>
  </si>
  <si>
    <t>C</t>
  </si>
  <si>
    <t>H</t>
  </si>
  <si>
    <t>O</t>
  </si>
  <si>
    <t>N</t>
  </si>
  <si>
    <t>moles</t>
  </si>
  <si>
    <t>mass</t>
  </si>
  <si>
    <t xml:space="preserve">Butanes &amp; higher 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</si>
  <si>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+</t>
    </r>
  </si>
  <si>
    <t>Species</t>
  </si>
  <si>
    <t>Element Balance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</si>
  <si>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</si>
  <si>
    <r>
      <t>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CO → CO</t>
    </r>
    <r>
      <rPr>
        <vertAlign val="subscript"/>
        <sz val="10"/>
        <color rgb="FF000000"/>
        <rFont val="Arial"/>
        <family val="2"/>
      </rPr>
      <t>2</t>
    </r>
  </si>
  <si>
    <r>
      <t>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→ 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</si>
  <si>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2O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→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+ 2H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</si>
  <si>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3O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→ 2CO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+ 2H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</si>
  <si>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3½O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→ 2CO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+ 3H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</si>
  <si>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5O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→ 3CO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+ 4H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</si>
  <si>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6½O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→ 4CO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+ 5H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</si>
  <si>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</t>
    </r>
  </si>
  <si>
    <t>kJ/g-mol</t>
  </si>
  <si>
    <t>Mass, g</t>
  </si>
  <si>
    <r>
      <rPr>
        <sz val="11"/>
        <rFont val="Symbol"/>
        <family val="1"/>
        <charset val="2"/>
      </rPr>
      <t>D</t>
    </r>
    <r>
      <rPr>
        <sz val="11"/>
        <rFont val="Arial"/>
        <family val="2"/>
      </rPr>
      <t>H°</t>
    </r>
    <r>
      <rPr>
        <sz val="9"/>
        <rFont val="Arial"/>
        <family val="2"/>
      </rPr>
      <t>comb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</si>
  <si>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produced by combustion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</si>
  <si>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produced by combustion</t>
    </r>
  </si>
  <si>
    <r>
      <t xml:space="preserve">Table II. Molar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</t>
    </r>
    <r>
      <rPr>
        <sz val="9"/>
        <rFont val="Arial"/>
        <family val="2"/>
      </rPr>
      <t>reax</t>
    </r>
    <r>
      <rPr>
        <sz val="11"/>
        <rFont val="Arial"/>
        <family val="2"/>
      </rPr>
      <t xml:space="preserve"> at 25 °C</t>
    </r>
  </si>
  <si>
    <t>Note:  text box appearance may vary with different Windows and Excel versions.</t>
  </si>
  <si>
    <t>Water vapor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</si>
  <si>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</si>
  <si>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Sum</t>
  </si>
  <si>
    <t xml:space="preserve"> products</t>
  </si>
  <si>
    <t>Combustion</t>
  </si>
  <si>
    <r>
      <t>Vol. %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oxidant gas</t>
    </r>
  </si>
  <si>
    <r>
      <t>Desired 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comb. flame</t>
    </r>
  </si>
  <si>
    <t>Combustion products</t>
  </si>
  <si>
    <t>Stoichiometric oxidant</t>
  </si>
  <si>
    <t>Stoichiometric oxidant inerts</t>
  </si>
  <si>
    <t>Excess oxidant</t>
  </si>
  <si>
    <t>% stoichiometric oxidant gas</t>
  </si>
  <si>
    <t>% excess oxidant gas</t>
  </si>
  <si>
    <t>Required oxidant</t>
  </si>
  <si>
    <t>Combustion water</t>
  </si>
  <si>
    <t>Stack gas volume</t>
  </si>
  <si>
    <t>Dry stack gas volume</t>
  </si>
  <si>
    <t>%O2 in dry stack gas</t>
  </si>
  <si>
    <t>Oxidant mass</t>
  </si>
  <si>
    <t>Ox/NG mass ratio</t>
  </si>
  <si>
    <t>Oxidant gas required</t>
  </si>
  <si>
    <r>
      <t>Molecular mass of O</t>
    </r>
    <r>
      <rPr>
        <vertAlign val="subscript"/>
        <sz val="10"/>
        <rFont val="Arial"/>
        <family val="2"/>
      </rPr>
      <t>2</t>
    </r>
  </si>
  <si>
    <t>NG reactant species</t>
  </si>
  <si>
    <r>
      <t>% 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in Oxidant</t>
    </r>
  </si>
  <si>
    <t>Upper limit on % excess oxidant</t>
  </si>
  <si>
    <t xml:space="preserve"> Oxidant Properties</t>
  </si>
  <si>
    <r>
      <rPr>
        <sz val="11"/>
        <rFont val="Symbol"/>
        <family val="1"/>
        <charset val="2"/>
      </rPr>
      <t>D</t>
    </r>
    <r>
      <rPr>
        <sz val="11"/>
        <rFont val="Arial"/>
        <family val="2"/>
      </rPr>
      <t>H°</t>
    </r>
    <r>
      <rPr>
        <sz val="9"/>
        <rFont val="Arial"/>
        <family val="2"/>
      </rPr>
      <t>comb</t>
    </r>
    <r>
      <rPr>
        <sz val="11"/>
        <rFont val="Arial"/>
        <family val="2"/>
      </rPr>
      <t xml:space="preserve"> of NG, kJ/g-mol</t>
    </r>
  </si>
  <si>
    <t>Dry stack gas amount</t>
  </si>
  <si>
    <r>
      <t>Stoich.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required for combustion</t>
    </r>
  </si>
  <si>
    <t xml:space="preserve">       Natural Gas Properties</t>
  </si>
  <si>
    <r>
      <t xml:space="preserve">Table I. Molar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</t>
    </r>
    <r>
      <rPr>
        <sz val="9"/>
        <rFont val="Arial"/>
        <family val="2"/>
      </rPr>
      <t>form</t>
    </r>
    <r>
      <rPr>
        <sz val="11"/>
        <rFont val="Arial"/>
        <family val="2"/>
      </rPr>
      <t xml:space="preserve"> at 25 °C</t>
    </r>
  </si>
  <si>
    <r>
      <t xml:space="preserve">  Reaction to form H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>O(g)</t>
    </r>
  </si>
  <si>
    <r>
      <t>Offgas CO</t>
    </r>
    <r>
      <rPr>
        <vertAlign val="subscript"/>
        <sz val="10"/>
        <rFont val="Arial"/>
        <family val="2"/>
      </rPr>
      <t>2</t>
    </r>
  </si>
  <si>
    <t xml:space="preserve"> </t>
  </si>
  <si>
    <t>Oxidant/NG mass ratio</t>
  </si>
  <si>
    <r>
      <t>Offgas O</t>
    </r>
    <r>
      <rPr>
        <vertAlign val="subscript"/>
        <sz val="10"/>
        <rFont val="Arial"/>
        <family val="2"/>
      </rPr>
      <t>2</t>
    </r>
  </si>
  <si>
    <r>
      <t>Offgas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</si>
  <si>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Offgas N</t>
    </r>
    <r>
      <rPr>
        <vertAlign val="subscript"/>
        <sz val="10"/>
        <rFont val="Arial"/>
        <family val="2"/>
      </rPr>
      <t>2</t>
    </r>
  </si>
  <si>
    <r>
      <t>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offgas</t>
    </r>
  </si>
  <si>
    <r>
      <t>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dry offgas</t>
    </r>
  </si>
  <si>
    <t>Table III. Heat Content Above 25 °C, J/g-mol</t>
  </si>
  <si>
    <r>
      <t>O</t>
    </r>
    <r>
      <rPr>
        <vertAlign val="subscript"/>
        <sz val="10"/>
        <rFont val="Arial"/>
        <family val="2"/>
      </rPr>
      <t>2</t>
    </r>
  </si>
  <si>
    <t>T (°C)</t>
  </si>
  <si>
    <t>Offgas temp., °C</t>
  </si>
  <si>
    <t>A</t>
  </si>
  <si>
    <t>B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</si>
  <si>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25 - 1750 °C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</si>
  <si>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25 - 1750 °C</t>
    </r>
  </si>
  <si>
    <t>D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</si>
  <si>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O(g), 25 - 1750 °C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</si>
  <si>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25 - 1750 °C</t>
    </r>
  </si>
  <si>
    <t>Amount,</t>
  </si>
  <si>
    <t>g-mol</t>
  </si>
  <si>
    <t xml:space="preserve">Composition, </t>
  </si>
  <si>
    <t>vol. %</t>
  </si>
  <si>
    <t>Offgas amount</t>
  </si>
  <si>
    <r>
      <t>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</si>
  <si>
    <r>
      <t xml:space="preserve"> CO</t>
    </r>
    <r>
      <rPr>
        <vertAlign val="subscript"/>
        <sz val="11"/>
        <rFont val="Arial"/>
        <family val="2"/>
      </rPr>
      <t>2</t>
    </r>
  </si>
  <si>
    <r>
      <t>N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</si>
  <si>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</si>
  <si>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Heat content at offgas temperature, kJ</t>
  </si>
  <si>
    <t>Total</t>
  </si>
  <si>
    <t>% XS oxidant</t>
  </si>
  <si>
    <t xml:space="preserve">   Material Balance Calculations</t>
  </si>
  <si>
    <t>Available Heat Calculations</t>
  </si>
  <si>
    <t>Heat loss, kJ</t>
  </si>
  <si>
    <t>% gross avail heat</t>
  </si>
  <si>
    <t>% net avail heat</t>
  </si>
  <si>
    <t>Heat loss, kJ/mol of NG</t>
  </si>
  <si>
    <t>CH4</t>
  </si>
  <si>
    <t>C2H4</t>
  </si>
  <si>
    <t>C2H6</t>
  </si>
  <si>
    <t>C3H8</t>
  </si>
  <si>
    <t>C4H10 +</t>
  </si>
  <si>
    <t>H2</t>
  </si>
  <si>
    <t>CO2</t>
  </si>
  <si>
    <t>H2O</t>
  </si>
  <si>
    <t>N2</t>
  </si>
  <si>
    <t>Data from FREED database program.</t>
  </si>
  <si>
    <t>% avail heat</t>
  </si>
  <si>
    <t>Excel's Trendline tool can be used to give a linear equation fit to the results.</t>
  </si>
  <si>
    <t>800°C</t>
  </si>
  <si>
    <t>900°C</t>
  </si>
  <si>
    <t>1000°C</t>
  </si>
  <si>
    <t>Summary of Results</t>
  </si>
  <si>
    <t>Excel's Trendline tool can be used to obtain linear equation fits to each line.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</si>
  <si>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O, 25 - 1750 °C</t>
    </r>
  </si>
  <si>
    <r>
      <t xml:space="preserve">Table 1.  Heat content equation parameters, </t>
    </r>
    <r>
      <rPr>
        <b/>
        <sz val="11"/>
        <rFont val="Arial"/>
        <family val="2"/>
      </rPr>
      <t>J/g-mol</t>
    </r>
    <r>
      <rPr>
        <sz val="11"/>
        <rFont val="Arial"/>
        <family val="2"/>
      </rPr>
      <t xml:space="preserve"> =  A + BT + CT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+ DT</t>
    </r>
    <r>
      <rPr>
        <vertAlign val="superscript"/>
        <sz val="11"/>
        <rFont val="Arial"/>
        <family val="2"/>
      </rPr>
      <t>3</t>
    </r>
  </si>
  <si>
    <t>Figure 1.  Relationship between the % gross available heat and the % excess oxidant used for NG combustion.</t>
  </si>
  <si>
    <r>
      <t>Multiple Results of Available Heat Calculations Using 21% O</t>
    </r>
    <r>
      <rPr>
        <vertAlign val="subscript"/>
        <sz val="14"/>
        <rFont val="Arial"/>
        <family val="2"/>
      </rPr>
      <t>2</t>
    </r>
    <r>
      <rPr>
        <sz val="14"/>
        <rFont val="Arial"/>
        <family val="2"/>
      </rPr>
      <t xml:space="preserve"> Oxidant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</si>
  <si>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 →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i/>
        <sz val="10"/>
        <rFont val="Arial"/>
        <family val="2"/>
      </rPr>
      <t>(</t>
    </r>
    <r>
      <rPr>
        <sz val="10"/>
        <rFont val="Arial"/>
        <family val="2"/>
      </rPr>
      <t>liq)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</si>
  <si>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O(liq)</t>
    </r>
  </si>
  <si>
    <t>Please read cell comments</t>
  </si>
  <si>
    <r>
      <t>Values based on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 as the combustion product.</t>
    </r>
  </si>
  <si>
    <r>
      <t xml:space="preserve">Table IV.  Heat content equation parameters, </t>
    </r>
    <r>
      <rPr>
        <b/>
        <sz val="11"/>
        <rFont val="Arial"/>
        <family val="2"/>
      </rPr>
      <t>J/g-mol</t>
    </r>
    <r>
      <rPr>
        <sz val="11"/>
        <rFont val="Arial"/>
        <family val="2"/>
      </rPr>
      <t xml:space="preserve"> =  A + BT + CT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+ DT</t>
    </r>
    <r>
      <rPr>
        <vertAlign val="superscript"/>
        <sz val="11"/>
        <rFont val="Arial"/>
        <family val="2"/>
      </rPr>
      <t>3</t>
    </r>
  </si>
  <si>
    <t>Results for Methane Combustion</t>
  </si>
  <si>
    <r>
      <t>Values based on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 as the combustion product</t>
    </r>
  </si>
  <si>
    <t xml:space="preserve"> Chart and table will reconfigure when any entry value is changed. Legend refers to offgas temp. (cell K11).</t>
  </si>
  <si>
    <t>Figure 1.  Results of gross available heat calculations for 9 different offgas temperatures, between 0% and 130% excess oxidant.</t>
  </si>
  <si>
    <t>Legend</t>
  </si>
  <si>
    <t>Entered in MainEntry</t>
  </si>
  <si>
    <t>Please Read Cell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</si>
</sst>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00"/>
    <numFmt numFmtId="165" formatCode="#.0#;#.0#;\O\ \K;@"/>
    <numFmt numFmtId="166" formatCode="#,##0.00#"/>
    <numFmt numFmtId="167" formatCode=";;;"/>
    <numFmt numFmtId="168" formatCode="#,##0.00####"/>
    <numFmt numFmtId="169" formatCode="0.0"/>
    <numFmt numFmtId="170" formatCode="0.0000"/>
    <numFmt numFmtId="171" formatCode="0.0%"/>
    <numFmt numFmtId="172" formatCode="0.000E+00"/>
    <numFmt numFmtId="173" formatCode="#,##0.0_);\(#,##0.0\)"/>
    <numFmt numFmtId="174" formatCode="#,##0.0"/>
  </numFmts>
  <fonts count="40">
    <font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1"/>
      <name val="Arial"/>
      <family val="2"/>
    </font>
    <font>
      <sz val="8"/>
      <color indexed="42"/>
      <name val="Arial"/>
      <family val="2"/>
    </font>
    <font>
      <b/>
      <sz val="10"/>
      <color indexed="8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81"/>
      <name val="Arial"/>
      <family val="2"/>
    </font>
    <font>
      <sz val="8"/>
      <color indexed="81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sz val="11"/>
      <name val="Symbol"/>
      <family val="1"/>
      <charset val="2"/>
    </font>
    <font>
      <i/>
      <sz val="11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0.5"/>
      <name val="Arial"/>
      <family val="2"/>
    </font>
    <font>
      <b/>
      <sz val="9"/>
      <color indexed="81"/>
      <name val="Tahoma"/>
      <family val="2"/>
    </font>
    <font>
      <sz val="10"/>
      <name val="Arial Narrow"/>
      <family val="2"/>
    </font>
    <font>
      <sz val="16"/>
      <name val="Arial Rounded MT Bold"/>
      <family val="2"/>
    </font>
    <font>
      <sz val="12"/>
      <name val="Arial"/>
      <family val="2"/>
    </font>
    <font>
      <sz val="11"/>
      <color indexed="81"/>
      <name val="Tahoma"/>
      <family val="2"/>
    </font>
    <font>
      <vertAlign val="subscript"/>
      <sz val="11"/>
      <color indexed="81"/>
      <name val="Tahoma"/>
      <family val="2"/>
    </font>
    <font>
      <vertAlign val="subscript"/>
      <sz val="11"/>
      <name val="Arial"/>
      <family val="2"/>
    </font>
    <font>
      <i/>
      <vertAlign val="subscript"/>
      <sz val="10"/>
      <name val="Arial"/>
      <family val="2"/>
    </font>
    <font>
      <sz val="10"/>
      <color indexed="81"/>
      <name val="Tahoma"/>
      <family val="2"/>
    </font>
    <font>
      <sz val="11"/>
      <name val="Arial Unicode MS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6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sz val="9"/>
      <color indexed="81"/>
      <name val="Arial"/>
      <family val="2"/>
    </font>
    <font>
      <b/>
      <sz val="10"/>
      <color rgb="FFC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7"/>
        <bgColor indexed="27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6"/>
        <bgColor indexed="64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indexed="38"/>
      </patternFill>
    </fill>
    <fill>
      <patternFill patternType="solid">
        <fgColor indexed="47"/>
      </patternFill>
    </fill>
    <fill>
      <patternFill patternType="solid">
        <fgColor indexed="21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rgb="FFE5E2D1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theme="1" tint="0.24994659260841701"/>
        <bgColor rgb="FFE4E4E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9FFAD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9FFFCA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48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 style="medium">
        <color theme="1" tint="0.499984740745262"/>
      </left>
      <right/>
      <top/>
      <bottom style="thin">
        <color indexed="64"/>
      </bottom>
      <diagonal/>
    </border>
  </borders>
  <cellStyleXfs count="26">
    <xf numFmtId="0" fontId="0" fillId="0" borderId="0"/>
    <xf numFmtId="165" fontId="4" fillId="3" borderId="5" applyNumberFormat="0" applyBorder="0" applyAlignment="0">
      <alignment horizontal="center" vertical="center"/>
    </xf>
    <xf numFmtId="166" fontId="1" fillId="4" borderId="6" applyNumberFormat="0" applyBorder="0" applyAlignment="0">
      <alignment horizontal="center" vertical="center"/>
      <protection locked="0"/>
    </xf>
    <xf numFmtId="166" fontId="1" fillId="5" borderId="6" applyNumberFormat="0" applyBorder="0" applyAlignment="0">
      <alignment horizontal="center" vertical="center"/>
      <protection locked="0"/>
    </xf>
    <xf numFmtId="166" fontId="1" fillId="4" borderId="6" applyNumberFormat="0" applyBorder="0" applyAlignment="0">
      <alignment horizontal="center" vertical="center"/>
    </xf>
    <xf numFmtId="0" fontId="5" fillId="6" borderId="7">
      <alignment horizontal="center"/>
    </xf>
    <xf numFmtId="0" fontId="6" fillId="7" borderId="4" applyNumberFormat="0" applyBorder="0" applyAlignment="0">
      <alignment horizontal="center" vertical="center"/>
    </xf>
    <xf numFmtId="166" fontId="7" fillId="8" borderId="0" applyNumberFormat="0" applyBorder="0" applyAlignment="0">
      <alignment horizontal="center"/>
    </xf>
    <xf numFmtId="0" fontId="8" fillId="9" borderId="0" applyNumberFormat="0" applyBorder="0" applyAlignment="0"/>
    <xf numFmtId="0" fontId="9" fillId="9" borderId="0" applyNumberFormat="0" applyBorder="0" applyAlignment="0">
      <alignment horizontal="centerContinuous"/>
    </xf>
    <xf numFmtId="0" fontId="10" fillId="9" borderId="0" applyNumberFormat="0" applyBorder="0" applyAlignment="0">
      <alignment horizontal="center"/>
    </xf>
    <xf numFmtId="0" fontId="8" fillId="9" borderId="4" applyNumberFormat="0" applyBorder="0" applyAlignment="0"/>
    <xf numFmtId="0" fontId="9" fillId="9" borderId="4" applyNumberFormat="0" applyBorder="0" applyAlignment="0">
      <alignment horizontal="centerContinuous"/>
    </xf>
    <xf numFmtId="0" fontId="10" fillId="9" borderId="4" applyNumberFormat="0" applyBorder="0" applyAlignment="0">
      <alignment horizontal="center"/>
    </xf>
    <xf numFmtId="0" fontId="11" fillId="9" borderId="0" applyNumberFormat="0" applyBorder="0" applyAlignment="0">
      <alignment horizontal="left"/>
    </xf>
    <xf numFmtId="167" fontId="1" fillId="8" borderId="0" applyNumberFormat="0" applyBorder="0" applyAlignment="0">
      <alignment horizontal="center"/>
      <protection hidden="1"/>
    </xf>
    <xf numFmtId="166" fontId="1" fillId="10" borderId="4" applyNumberFormat="0" applyBorder="0" applyAlignment="0">
      <alignment horizontal="center" vertical="center"/>
    </xf>
    <xf numFmtId="0" fontId="1" fillId="0" borderId="0"/>
    <xf numFmtId="0" fontId="1" fillId="0" borderId="0"/>
    <xf numFmtId="0" fontId="1" fillId="11" borderId="0">
      <alignment horizontal="center"/>
      <protection locked="0"/>
    </xf>
    <xf numFmtId="0" fontId="1" fillId="8" borderId="0" applyNumberFormat="0" applyBorder="0" applyAlignment="0">
      <alignment horizontal="center"/>
    </xf>
    <xf numFmtId="0" fontId="1" fillId="9" borderId="0" applyNumberFormat="0" applyBorder="0" applyAlignment="0">
      <protection locked="0"/>
    </xf>
    <xf numFmtId="168" fontId="1" fillId="12" borderId="6" applyNumberFormat="0" applyBorder="0" applyAlignment="0">
      <alignment horizontal="center" vertical="center"/>
      <protection locked="0"/>
    </xf>
    <xf numFmtId="166" fontId="12" fillId="13" borderId="6" applyNumberFormat="0" applyBorder="0" applyAlignment="0">
      <alignment horizontal="center" vertical="center"/>
      <protection locked="0"/>
    </xf>
    <xf numFmtId="0" fontId="13" fillId="8" borderId="0" applyNumberFormat="0" applyBorder="0" applyAlignment="0">
      <alignment horizontal="center"/>
      <protection locked="0"/>
    </xf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Border="1"/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NumberFormat="1" applyFont="1" applyFill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3" fontId="0" fillId="0" borderId="0" xfId="0" applyNumberFormat="1"/>
    <xf numFmtId="170" fontId="24" fillId="0" borderId="0" xfId="0" applyNumberFormat="1" applyFont="1"/>
    <xf numFmtId="0" fontId="0" fillId="15" borderId="8" xfId="0" applyFill="1" applyBorder="1"/>
    <xf numFmtId="0" fontId="0" fillId="15" borderId="9" xfId="0" applyFill="1" applyBorder="1" applyAlignment="1">
      <alignment horizontal="right"/>
    </xf>
    <xf numFmtId="0" fontId="3" fillId="15" borderId="9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9" fontId="0" fillId="0" borderId="0" xfId="0" applyNumberFormat="1" applyAlignment="1">
      <alignment horizontal="center" vertical="center"/>
    </xf>
    <xf numFmtId="2" fontId="1" fillId="0" borderId="4" xfId="0" applyNumberFormat="1" applyFont="1" applyFill="1" applyBorder="1" applyAlignment="1">
      <alignment horizontal="right" vertical="center"/>
    </xf>
    <xf numFmtId="2" fontId="0" fillId="0" borderId="4" xfId="0" applyNumberFormat="1" applyFont="1" applyFill="1" applyBorder="1" applyAlignment="1">
      <alignment horizontal="right" vertical="center"/>
    </xf>
    <xf numFmtId="2" fontId="0" fillId="0" borderId="4" xfId="0" applyNumberFormat="1" applyFont="1" applyBorder="1" applyAlignment="1">
      <alignment horizontal="right" vertical="center"/>
    </xf>
    <xf numFmtId="169" fontId="0" fillId="0" borderId="4" xfId="0" applyNumberFormat="1" applyFont="1" applyBorder="1" applyAlignment="1">
      <alignment horizontal="right" vertical="center"/>
    </xf>
    <xf numFmtId="169" fontId="0" fillId="0" borderId="4" xfId="0" applyNumberFormat="1" applyFont="1" applyBorder="1" applyAlignment="1">
      <alignment horizontal="right" vertical="center" shrinkToFit="1"/>
    </xf>
    <xf numFmtId="2" fontId="0" fillId="0" borderId="4" xfId="0" applyNumberFormat="1" applyFont="1" applyBorder="1" applyAlignment="1">
      <alignment horizontal="right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164" fontId="22" fillId="0" borderId="4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0" fillId="15" borderId="12" xfId="0" applyFill="1" applyBorder="1"/>
    <xf numFmtId="164" fontId="0" fillId="0" borderId="4" xfId="0" applyNumberFormat="1" applyFon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0" borderId="0" xfId="0" applyFill="1"/>
    <xf numFmtId="0" fontId="20" fillId="0" borderId="0" xfId="0" applyFont="1" applyAlignment="1">
      <alignment horizontal="center" vertical="center"/>
    </xf>
    <xf numFmtId="10" fontId="1" fillId="17" borderId="3" xfId="0" applyNumberFormat="1" applyFont="1" applyFill="1" applyBorder="1" applyAlignment="1">
      <alignment horizontal="center" vertical="center"/>
    </xf>
    <xf numFmtId="10" fontId="0" fillId="18" borderId="17" xfId="0" applyNumberFormat="1" applyFill="1" applyBorder="1" applyAlignment="1">
      <alignment horizontal="center" vertical="center"/>
    </xf>
    <xf numFmtId="10" fontId="0" fillId="18" borderId="4" xfId="0" applyNumberFormat="1" applyFill="1" applyBorder="1" applyAlignment="1">
      <alignment horizontal="center" vertical="center"/>
    </xf>
    <xf numFmtId="164" fontId="0" fillId="18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18" borderId="0" xfId="0" applyNumberFormat="1" applyFill="1" applyAlignment="1">
      <alignment horizontal="center" vertical="center"/>
    </xf>
    <xf numFmtId="171" fontId="0" fillId="18" borderId="0" xfId="0" applyNumberFormat="1" applyFill="1" applyAlignment="1">
      <alignment horizontal="center" vertical="center"/>
    </xf>
    <xf numFmtId="10" fontId="0" fillId="18" borderId="0" xfId="0" applyNumberFormat="1" applyFill="1" applyAlignment="1">
      <alignment horizontal="center"/>
    </xf>
    <xf numFmtId="2" fontId="0" fillId="18" borderId="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164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1" fontId="0" fillId="18" borderId="4" xfId="0" applyNumberFormat="1" applyFill="1" applyBorder="1" applyAlignment="1">
      <alignment horizontal="center"/>
    </xf>
    <xf numFmtId="164" fontId="0" fillId="18" borderId="0" xfId="0" applyNumberForma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0" fillId="0" borderId="0" xfId="0" applyFill="1" applyBorder="1" applyAlignment="1">
      <alignment horizontal="right"/>
    </xf>
    <xf numFmtId="10" fontId="0" fillId="18" borderId="4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ont="1" applyAlignment="1">
      <alignment horizontal="right" vertical="center"/>
    </xf>
    <xf numFmtId="10" fontId="0" fillId="0" borderId="0" xfId="0" applyNumberForma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15" borderId="8" xfId="0" applyFont="1" applyFill="1" applyBorder="1" applyAlignment="1">
      <alignment horizontal="left" vertical="center"/>
    </xf>
    <xf numFmtId="171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6" xfId="0" applyBorder="1"/>
    <xf numFmtId="0" fontId="3" fillId="1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0" fontId="21" fillId="19" borderId="10" xfId="0" applyFont="1" applyFill="1" applyBorder="1"/>
    <xf numFmtId="0" fontId="21" fillId="19" borderId="11" xfId="0" applyFont="1" applyFill="1" applyBorder="1" applyAlignment="1">
      <alignment horizontal="center" vertical="center"/>
    </xf>
    <xf numFmtId="0" fontId="21" fillId="19" borderId="10" xfId="0" applyFont="1" applyFill="1" applyBorder="1" applyAlignment="1">
      <alignment horizontal="center" vertical="center"/>
    </xf>
    <xf numFmtId="10" fontId="1" fillId="20" borderId="19" xfId="0" applyNumberFormat="1" applyFont="1" applyFill="1" applyBorder="1" applyAlignment="1">
      <alignment horizontal="center" vertical="center"/>
    </xf>
    <xf numFmtId="2" fontId="3" fillId="21" borderId="4" xfId="0" applyNumberFormat="1" applyFont="1" applyFill="1" applyBorder="1" applyAlignment="1">
      <alignment horizontal="center" vertical="center"/>
    </xf>
    <xf numFmtId="0" fontId="3" fillId="22" borderId="1" xfId="0" applyFont="1" applyFill="1" applyBorder="1"/>
    <xf numFmtId="0" fontId="3" fillId="22" borderId="2" xfId="0" applyFont="1" applyFill="1" applyBorder="1"/>
    <xf numFmtId="0" fontId="3" fillId="22" borderId="2" xfId="0" applyFont="1" applyFill="1" applyBorder="1" applyAlignment="1">
      <alignment horizontal="right" vertical="center"/>
    </xf>
    <xf numFmtId="0" fontId="3" fillId="22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vertical="center"/>
    </xf>
    <xf numFmtId="1" fontId="0" fillId="0" borderId="0" xfId="0" applyNumberFormat="1"/>
    <xf numFmtId="0" fontId="0" fillId="24" borderId="0" xfId="0" applyFill="1"/>
    <xf numFmtId="0" fontId="0" fillId="25" borderId="4" xfId="0" applyFill="1" applyBorder="1" applyAlignment="1">
      <alignment horizontal="center" vertical="center"/>
    </xf>
    <xf numFmtId="2" fontId="0" fillId="25" borderId="4" xfId="0" applyNumberFormat="1" applyFill="1" applyBorder="1" applyAlignment="1">
      <alignment horizontal="center" vertical="center"/>
    </xf>
    <xf numFmtId="172" fontId="0" fillId="25" borderId="4" xfId="0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9" fontId="1" fillId="20" borderId="19" xfId="0" applyNumberFormat="1" applyFont="1" applyFill="1" applyBorder="1" applyAlignment="1">
      <alignment horizontal="center" vertical="center"/>
    </xf>
    <xf numFmtId="1" fontId="1" fillId="20" borderId="19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19" borderId="8" xfId="0" applyFill="1" applyBorder="1"/>
    <xf numFmtId="0" fontId="25" fillId="19" borderId="9" xfId="0" applyFont="1" applyFill="1" applyBorder="1" applyAlignment="1">
      <alignment horizontal="left" vertical="center"/>
    </xf>
    <xf numFmtId="0" fontId="0" fillId="19" borderId="9" xfId="0" applyFill="1" applyBorder="1"/>
    <xf numFmtId="0" fontId="0" fillId="19" borderId="12" xfId="0" applyFill="1" applyBorder="1"/>
    <xf numFmtId="0" fontId="3" fillId="0" borderId="0" xfId="0" applyFont="1" applyFill="1" applyBorder="1" applyAlignment="1">
      <alignment horizontal="center" vertical="center"/>
    </xf>
    <xf numFmtId="173" fontId="3" fillId="0" borderId="4" xfId="25" applyNumberFormat="1" applyFont="1" applyBorder="1" applyAlignment="1">
      <alignment horizontal="center"/>
    </xf>
    <xf numFmtId="173" fontId="3" fillId="0" borderId="4" xfId="25" applyNumberFormat="1" applyFont="1" applyBorder="1" applyAlignment="1">
      <alignment horizontal="center" vertical="center"/>
    </xf>
    <xf numFmtId="174" fontId="3" fillId="0" borderId="4" xfId="0" applyNumberFormat="1" applyFont="1" applyBorder="1" applyAlignment="1">
      <alignment horizontal="center" vertical="center"/>
    </xf>
    <xf numFmtId="174" fontId="0" fillId="0" borderId="20" xfId="0" applyNumberFormat="1" applyBorder="1" applyAlignment="1">
      <alignment horizontal="center" vertical="center"/>
    </xf>
    <xf numFmtId="0" fontId="33" fillId="0" borderId="4" xfId="0" applyFont="1" applyBorder="1" applyAlignment="1">
      <alignment horizontal="right" vertical="center"/>
    </xf>
    <xf numFmtId="1" fontId="0" fillId="2" borderId="3" xfId="0" quotePrefix="1" applyNumberFormat="1" applyFont="1" applyFill="1" applyBorder="1" applyAlignment="1">
      <alignment horizontal="center" vertical="center"/>
    </xf>
    <xf numFmtId="0" fontId="35" fillId="19" borderId="9" xfId="0" applyFont="1" applyFill="1" applyBorder="1" applyAlignment="1">
      <alignment horizontal="left" vertical="center"/>
    </xf>
    <xf numFmtId="1" fontId="0" fillId="0" borderId="4" xfId="0" applyNumberFormat="1" applyBorder="1" applyAlignment="1">
      <alignment horizontal="center" vertical="center"/>
    </xf>
    <xf numFmtId="9" fontId="13" fillId="26" borderId="4" xfId="0" applyNumberFormat="1" applyFont="1" applyFill="1" applyBorder="1" applyAlignment="1">
      <alignment horizontal="center" vertical="center"/>
    </xf>
    <xf numFmtId="9" fontId="13" fillId="26" borderId="17" xfId="0" applyNumberFormat="1" applyFont="1" applyFill="1" applyBorder="1" applyAlignment="1">
      <alignment horizontal="center" vertical="center"/>
    </xf>
    <xf numFmtId="169" fontId="3" fillId="14" borderId="4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3" fillId="0" borderId="20" xfId="0" applyNumberFormat="1" applyFont="1" applyFill="1" applyBorder="1" applyAlignment="1">
      <alignment horizontal="center" vertical="center"/>
    </xf>
    <xf numFmtId="10" fontId="0" fillId="0" borderId="21" xfId="0" applyNumberForma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9" fontId="0" fillId="0" borderId="0" xfId="0" applyNumberFormat="1"/>
    <xf numFmtId="0" fontId="0" fillId="16" borderId="0" xfId="0" applyFill="1"/>
    <xf numFmtId="9" fontId="1" fillId="2" borderId="22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23" borderId="9" xfId="0" applyFont="1" applyFill="1" applyBorder="1" applyAlignment="1">
      <alignment vertical="center"/>
    </xf>
    <xf numFmtId="0" fontId="25" fillId="19" borderId="8" xfId="0" applyFont="1" applyFill="1" applyBorder="1" applyAlignment="1">
      <alignment horizontal="left" vertical="center"/>
    </xf>
    <xf numFmtId="171" fontId="13" fillId="27" borderId="4" xfId="0" applyNumberFormat="1" applyFont="1" applyFill="1" applyBorder="1" applyAlignment="1">
      <alignment horizontal="center" vertical="center"/>
    </xf>
    <xf numFmtId="171" fontId="13" fillId="27" borderId="17" xfId="0" applyNumberFormat="1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vertical="top"/>
    </xf>
    <xf numFmtId="0" fontId="3" fillId="23" borderId="8" xfId="0" applyFont="1" applyFill="1" applyBorder="1" applyAlignment="1">
      <alignment horizontal="center" vertical="top"/>
    </xf>
    <xf numFmtId="9" fontId="0" fillId="27" borderId="0" xfId="0" applyNumberFormat="1" applyFill="1"/>
    <xf numFmtId="0" fontId="36" fillId="16" borderId="0" xfId="0" applyFont="1" applyFill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0" borderId="23" xfId="0" applyBorder="1"/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4" xfId="0" applyFont="1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0" fillId="19" borderId="0" xfId="0" applyFill="1" applyAlignment="1">
      <alignment vertical="center"/>
    </xf>
    <xf numFmtId="0" fontId="3" fillId="19" borderId="0" xfId="0" applyFont="1" applyFill="1" applyAlignment="1">
      <alignment vertical="top"/>
    </xf>
    <xf numFmtId="0" fontId="1" fillId="0" borderId="0" xfId="0" applyNumberFormat="1" applyFont="1" applyBorder="1" applyAlignment="1">
      <alignment horizontal="center" vertical="center"/>
    </xf>
    <xf numFmtId="0" fontId="0" fillId="29" borderId="0" xfId="0" applyFill="1"/>
    <xf numFmtId="164" fontId="22" fillId="30" borderId="4" xfId="0" applyNumberFormat="1" applyFont="1" applyFill="1" applyBorder="1" applyAlignment="1">
      <alignment horizontal="center" vertical="center"/>
    </xf>
    <xf numFmtId="0" fontId="22" fillId="30" borderId="12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2" fillId="22" borderId="1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28" borderId="9" xfId="0" applyFont="1" applyFill="1" applyBorder="1" applyAlignment="1">
      <alignment horizontal="center" vertical="center"/>
    </xf>
    <xf numFmtId="0" fontId="3" fillId="28" borderId="12" xfId="0" applyFont="1" applyFill="1" applyBorder="1" applyAlignment="1">
      <alignment horizontal="center" vertical="center"/>
    </xf>
    <xf numFmtId="0" fontId="0" fillId="31" borderId="0" xfId="0" applyFill="1"/>
    <xf numFmtId="0" fontId="26" fillId="31" borderId="0" xfId="0" applyFont="1" applyFill="1" applyAlignment="1">
      <alignment horizontal="center" vertical="center"/>
    </xf>
  </cellXfs>
  <cellStyles count="26">
    <cellStyle name="AuditCheck" xfId="1"/>
    <cellStyle name="CalcDataFree" xfId="2"/>
    <cellStyle name="CalcDataLimn" xfId="3"/>
    <cellStyle name="CalculatedData" xfId="4"/>
    <cellStyle name="Comma" xfId="25" builtinId="3"/>
    <cellStyle name="ControlledCell" xfId="5"/>
    <cellStyle name="DataBlock" xfId="6"/>
    <cellStyle name="Diagnostic" xfId="7"/>
    <cellStyle name="Heading1" xfId="8"/>
    <cellStyle name="Heading2" xfId="9"/>
    <cellStyle name="Heading3" xfId="10"/>
    <cellStyle name="Heading4" xfId="11"/>
    <cellStyle name="Heading5" xfId="12"/>
    <cellStyle name="Heading6" xfId="13"/>
    <cellStyle name="Heading7" xfId="14"/>
    <cellStyle name="Hidden" xfId="15"/>
    <cellStyle name="ManualLinks" xfId="16"/>
    <cellStyle name="Normal" xfId="0" builtinId="0"/>
    <cellStyle name="Normal 2" xfId="17"/>
    <cellStyle name="Normal 3" xfId="18"/>
    <cellStyle name="NormalFree_CoalWizard" xfId="19"/>
    <cellStyle name="NormalProtected" xfId="20"/>
    <cellStyle name="NormalUnprotected" xfId="21"/>
    <cellStyle name="UserFormula" xfId="22"/>
    <cellStyle name="UserInput" xfId="23"/>
    <cellStyle name="UserText" xfId="24"/>
  </cellStyles>
  <dxfs count="0"/>
  <tableStyles count="0" defaultTableStyle="TableStyleMedium2" defaultPivotStyle="PivotStyleLight16"/>
  <colors>
    <mruColors>
      <color rgb="FFFF9900"/>
      <color rgb="FFFF9797"/>
      <color rgb="FF9FFFCA"/>
      <color rgb="FF69FFAD"/>
      <color rgb="FFFFFF99"/>
      <color rgb="FFCCFFFF"/>
      <color rgb="FFFFEEB7"/>
      <color rgb="FFFFE38B"/>
      <color rgb="FF00823B"/>
      <color rgb="FF96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Heat Content of Offgas Species</a:t>
            </a:r>
          </a:p>
        </c:rich>
      </c:tx>
      <c:layout>
        <c:manualLayout>
          <c:xMode val="edge"/>
          <c:yMode val="edge"/>
          <c:x val="0.28346242894442758"/>
          <c:y val="8.090924149178802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39486806592433"/>
          <c:y val="9.8552234241810324E-2"/>
          <c:w val="0.81971782199629517"/>
          <c:h val="0.768198208529235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'MainEntry&amp;Data'!$D$49</c:f>
              <c:strCache>
                <c:ptCount val="1"/>
                <c:pt idx="0">
                  <c:v>O2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31194269640948713"/>
                  <c:y val="1.322898814515084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 = 2.309E-03t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+ 3.094E+01t - 9.650E+02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FFEEB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'MainEntry&amp;Data'!$C$50:$C$59</c:f>
              <c:numCache>
                <c:formatCode>General</c:formatCode>
                <c:ptCount val="10"/>
                <c:pt idx="0">
                  <c:v>25.000000000001023</c:v>
                </c:pt>
                <c:pt idx="1">
                  <c:v>192.50000000000091</c:v>
                </c:pt>
                <c:pt idx="2">
                  <c:v>360.0000000000008</c:v>
                </c:pt>
                <c:pt idx="3">
                  <c:v>527.50000000000068</c:v>
                </c:pt>
                <c:pt idx="4">
                  <c:v>695.00000000000057</c:v>
                </c:pt>
                <c:pt idx="5">
                  <c:v>862.50000000000057</c:v>
                </c:pt>
                <c:pt idx="6">
                  <c:v>1030.0000000000005</c:v>
                </c:pt>
                <c:pt idx="7">
                  <c:v>1197.5000000000005</c:v>
                </c:pt>
                <c:pt idx="8">
                  <c:v>1365.0000000000005</c:v>
                </c:pt>
                <c:pt idx="9">
                  <c:v>1700</c:v>
                </c:pt>
              </c:numCache>
            </c:numRef>
          </c:xVal>
          <c:yVal>
            <c:numRef>
              <c:f>'MainEntry&amp;Data'!$D$50:$D$59</c:f>
              <c:numCache>
                <c:formatCode>#,##0</c:formatCode>
                <c:ptCount val="10"/>
                <c:pt idx="0" formatCode="0">
                  <c:v>0</c:v>
                </c:pt>
                <c:pt idx="1">
                  <c:v>5022.2000823017725</c:v>
                </c:pt>
                <c:pt idx="2">
                  <c:v>10322.959746064142</c:v>
                </c:pt>
                <c:pt idx="3">
                  <c:v>15867.470359969462</c:v>
                </c:pt>
                <c:pt idx="4">
                  <c:v>21596.853853807792</c:v>
                </c:pt>
                <c:pt idx="5">
                  <c:v>27467.51650639045</c:v>
                </c:pt>
                <c:pt idx="6">
                  <c:v>33449.503953459738</c:v>
                </c:pt>
                <c:pt idx="7">
                  <c:v>39522.532331678623</c:v>
                </c:pt>
                <c:pt idx="8">
                  <c:v>45673.030833748366</c:v>
                </c:pt>
                <c:pt idx="9">
                  <c:v>58174.489455868403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'MainEntry&amp;Data'!$E$49</c:f>
              <c:strCache>
                <c:ptCount val="1"/>
                <c:pt idx="0">
                  <c:v>N2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3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31429011338208812"/>
                  <c:y val="-9.004735365452006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 = 2.294E-03t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+ 2.908E+01t - 8.183E+02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FFEEB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'MainEntry&amp;Data'!$C$50:$C$59</c:f>
              <c:numCache>
                <c:formatCode>General</c:formatCode>
                <c:ptCount val="10"/>
                <c:pt idx="0">
                  <c:v>25.000000000001023</c:v>
                </c:pt>
                <c:pt idx="1">
                  <c:v>192.50000000000091</c:v>
                </c:pt>
                <c:pt idx="2">
                  <c:v>360.0000000000008</c:v>
                </c:pt>
                <c:pt idx="3">
                  <c:v>527.50000000000068</c:v>
                </c:pt>
                <c:pt idx="4">
                  <c:v>695.00000000000057</c:v>
                </c:pt>
                <c:pt idx="5">
                  <c:v>862.50000000000057</c:v>
                </c:pt>
                <c:pt idx="6">
                  <c:v>1030.0000000000005</c:v>
                </c:pt>
                <c:pt idx="7">
                  <c:v>1197.5000000000005</c:v>
                </c:pt>
                <c:pt idx="8">
                  <c:v>1365.0000000000005</c:v>
                </c:pt>
                <c:pt idx="9">
                  <c:v>1700</c:v>
                </c:pt>
              </c:numCache>
            </c:numRef>
          </c:xVal>
          <c:yVal>
            <c:numRef>
              <c:f>'MainEntry&amp;Data'!$E$50:$E$59</c:f>
              <c:numCache>
                <c:formatCode>#,##0</c:formatCode>
                <c:ptCount val="10"/>
                <c:pt idx="0" formatCode="0">
                  <c:v>0</c:v>
                </c:pt>
                <c:pt idx="1">
                  <c:v>4862.9879984250892</c:v>
                </c:pt>
                <c:pt idx="2">
                  <c:v>9872.3200618628453</c:v>
                </c:pt>
                <c:pt idx="3">
                  <c:v>15072.093951967459</c:v>
                </c:pt>
                <c:pt idx="4">
                  <c:v>20444.540370162267</c:v>
                </c:pt>
                <c:pt idx="5">
                  <c:v>25966.039727000287</c:v>
                </c:pt>
                <c:pt idx="6">
                  <c:v>31615.127486030939</c:v>
                </c:pt>
                <c:pt idx="7">
                  <c:v>37373.238860850244</c:v>
                </c:pt>
                <c:pt idx="8">
                  <c:v>43224.257651244749</c:v>
                </c:pt>
                <c:pt idx="9">
                  <c:v>55149.604760462207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'MainEntry&amp;Data'!$F$49</c:f>
              <c:strCache>
                <c:ptCount val="1"/>
                <c:pt idx="0">
                  <c:v>H2O(g)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accent3">
                  <a:lumMod val="50000"/>
                </a:schemeClr>
              </a:solidFill>
            </c:spPr>
          </c:marker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-0.17302255997095858"/>
                  <c:y val="-0.11215055974249719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 = -4.450E-07t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+ 6.755E-03t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+ 3.220E+01t - 7.782E+02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FFEEB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'MainEntry&amp;Data'!$C$50:$C$59</c:f>
              <c:numCache>
                <c:formatCode>General</c:formatCode>
                <c:ptCount val="10"/>
                <c:pt idx="0">
                  <c:v>25.000000000001023</c:v>
                </c:pt>
                <c:pt idx="1">
                  <c:v>192.50000000000091</c:v>
                </c:pt>
                <c:pt idx="2">
                  <c:v>360.0000000000008</c:v>
                </c:pt>
                <c:pt idx="3">
                  <c:v>527.50000000000068</c:v>
                </c:pt>
                <c:pt idx="4">
                  <c:v>695.00000000000057</c:v>
                </c:pt>
                <c:pt idx="5">
                  <c:v>862.50000000000057</c:v>
                </c:pt>
                <c:pt idx="6">
                  <c:v>1030.0000000000005</c:v>
                </c:pt>
                <c:pt idx="7">
                  <c:v>1197.5000000000005</c:v>
                </c:pt>
                <c:pt idx="8">
                  <c:v>1365.0000000000005</c:v>
                </c:pt>
                <c:pt idx="9">
                  <c:v>1700</c:v>
                </c:pt>
              </c:numCache>
            </c:numRef>
          </c:xVal>
          <c:yVal>
            <c:numRef>
              <c:f>'MainEntry&amp;Data'!$F$50:$F$59</c:f>
              <c:numCache>
                <c:formatCode>#,##0</c:formatCode>
                <c:ptCount val="10"/>
                <c:pt idx="0" formatCode="0">
                  <c:v>0</c:v>
                </c:pt>
                <c:pt idx="1">
                  <c:v>5707.7289441743833</c:v>
                </c:pt>
                <c:pt idx="2">
                  <c:v>11690.432958721925</c:v>
                </c:pt>
                <c:pt idx="3">
                  <c:v>18014.03111115142</c:v>
                </c:pt>
                <c:pt idx="4">
                  <c:v>24689.831493293979</c:v>
                </c:pt>
                <c:pt idx="5">
                  <c:v>31710.226580958511</c:v>
                </c:pt>
                <c:pt idx="6">
                  <c:v>39058.911633021344</c:v>
                </c:pt>
                <c:pt idx="7">
                  <c:v>46714.937313207156</c:v>
                </c:pt>
                <c:pt idx="8">
                  <c:v>54654.613405806711</c:v>
                </c:pt>
                <c:pt idx="9">
                  <c:v>71282.04165838279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'MainEntry&amp;Data'!$G$49</c:f>
              <c:strCache>
                <c:ptCount val="1"/>
                <c:pt idx="0">
                  <c:v>CO2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-0.17897982367386653"/>
                  <c:y val="6.9487798071178081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H= -3.167E-06t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+ 1.395E-02t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+ 3.887E+01t - 1.082E+03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FFEEB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'MainEntry&amp;Data'!$C$50:$C$59</c:f>
              <c:numCache>
                <c:formatCode>General</c:formatCode>
                <c:ptCount val="10"/>
                <c:pt idx="0">
                  <c:v>25.000000000001023</c:v>
                </c:pt>
                <c:pt idx="1">
                  <c:v>192.50000000000091</c:v>
                </c:pt>
                <c:pt idx="2">
                  <c:v>360.0000000000008</c:v>
                </c:pt>
                <c:pt idx="3">
                  <c:v>527.50000000000068</c:v>
                </c:pt>
                <c:pt idx="4">
                  <c:v>695.00000000000057</c:v>
                </c:pt>
                <c:pt idx="5">
                  <c:v>862.50000000000057</c:v>
                </c:pt>
                <c:pt idx="6">
                  <c:v>1030.0000000000005</c:v>
                </c:pt>
                <c:pt idx="7">
                  <c:v>1197.5000000000005</c:v>
                </c:pt>
                <c:pt idx="8">
                  <c:v>1365.0000000000005</c:v>
                </c:pt>
                <c:pt idx="9">
                  <c:v>1700</c:v>
                </c:pt>
              </c:numCache>
            </c:numRef>
          </c:xVal>
          <c:yVal>
            <c:numRef>
              <c:f>'MainEntry&amp;Data'!$G$50:$G$59</c:f>
              <c:numCache>
                <c:formatCode>#,##0</c:formatCode>
                <c:ptCount val="10"/>
                <c:pt idx="0" formatCode="0">
                  <c:v>0</c:v>
                </c:pt>
                <c:pt idx="1">
                  <c:v>6776.6052651492228</c:v>
                </c:pt>
                <c:pt idx="2">
                  <c:v>14482.885115171237</c:v>
                </c:pt>
                <c:pt idx="3">
                  <c:v>22850.715758330338</c:v>
                </c:pt>
                <c:pt idx="4">
                  <c:v>31691.270985928186</c:v>
                </c:pt>
                <c:pt idx="5">
                  <c:v>40880.219382501942</c:v>
                </c:pt>
                <c:pt idx="6">
                  <c:v>50333.07262975676</c:v>
                </c:pt>
                <c:pt idx="7">
                  <c:v>59990.297834507539</c:v>
                </c:pt>
                <c:pt idx="8">
                  <c:v>69808.63957551436</c:v>
                </c:pt>
                <c:pt idx="9">
                  <c:v>89807.631990912749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36000"/>
        <c:axId val="151938176"/>
      </c:scatterChart>
      <c:valAx>
        <c:axId val="151936000"/>
        <c:scaling>
          <c:orientation val="minMax"/>
          <c:max val="18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temperature, deg. C</a:t>
                </a:r>
              </a:p>
            </c:rich>
          </c:tx>
          <c:layout>
            <c:manualLayout>
              <c:xMode val="edge"/>
              <c:yMode val="edge"/>
              <c:x val="0.44940540112919997"/>
              <c:y val="0.9275789437047741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51938176"/>
        <c:crosses val="autoZero"/>
        <c:crossBetween val="midCat"/>
        <c:majorUnit val="300"/>
      </c:valAx>
      <c:valAx>
        <c:axId val="151938176"/>
        <c:scaling>
          <c:orientation val="minMax"/>
          <c:max val="9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heat content, J/mol</a:t>
                </a:r>
              </a:p>
            </c:rich>
          </c:tx>
          <c:layout>
            <c:manualLayout>
              <c:xMode val="edge"/>
              <c:yMode val="edge"/>
              <c:x val="2.9992454767872596E-3"/>
              <c:y val="0.3237982851024152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1936000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legend>
      <c:legendPos val="r"/>
      <c:layout>
        <c:manualLayout>
          <c:xMode val="edge"/>
          <c:yMode val="edge"/>
          <c:x val="0.73244937752358485"/>
          <c:y val="0.52909727479182445"/>
          <c:w val="0.20857968981897301"/>
          <c:h val="0.21773790155892819"/>
        </c:manualLayout>
      </c:layout>
      <c:overlay val="1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CC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Available Heat vs. % Excess Oxidant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11555683450481"/>
          <c:y val="0.10996536891221928"/>
          <c:w val="0.8453035267203054"/>
          <c:h val="0.750184399367628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'MainEntry&amp;Data'!$K$11</c:f>
              <c:strCache>
                <c:ptCount val="1"/>
                <c:pt idx="0">
                  <c:v>900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Calcs!$M$7:$S$7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Calcs!$M$40:$S$40</c:f>
              <c:numCache>
                <c:formatCode>0%</c:formatCode>
                <c:ptCount val="7"/>
                <c:pt idx="0">
                  <c:v>0.60836935452541507</c:v>
                </c:pt>
                <c:pt idx="1">
                  <c:v>0.57576556943063373</c:v>
                </c:pt>
                <c:pt idx="2">
                  <c:v>0.54316178433585238</c:v>
                </c:pt>
                <c:pt idx="3">
                  <c:v>0.47795421414628952</c:v>
                </c:pt>
                <c:pt idx="4">
                  <c:v>0.41274664395672667</c:v>
                </c:pt>
                <c:pt idx="5">
                  <c:v>0.34753907376716381</c:v>
                </c:pt>
                <c:pt idx="6">
                  <c:v>0.28233150357760101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16000"/>
        <c:axId val="152018304"/>
      </c:scatterChart>
      <c:valAx>
        <c:axId val="1520160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excess oxidant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low"/>
        <c:crossAx val="152018304"/>
        <c:crosses val="autoZero"/>
        <c:crossBetween val="midCat"/>
      </c:valAx>
      <c:valAx>
        <c:axId val="152018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available heat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low"/>
        <c:crossAx val="152016000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legend>
      <c:legendPos val="r"/>
      <c:layout>
        <c:manualLayout>
          <c:xMode val="edge"/>
          <c:yMode val="edge"/>
          <c:x val="0.79822245122686675"/>
          <c:y val="0.21138186784138724"/>
          <c:w val="0.12775116349921734"/>
          <c:h val="8.2671927728885805E-2"/>
        </c:manualLayout>
      </c:layout>
      <c:overlay val="1"/>
      <c:spPr>
        <a:solidFill>
          <a:srgbClr val="FFFF99"/>
        </a:solidFill>
      </c:spPr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Available Heat for 9 Different Offgas Temperatures</a:t>
            </a:r>
          </a:p>
        </c:rich>
      </c:tx>
      <c:layout>
        <c:manualLayout>
          <c:xMode val="edge"/>
          <c:yMode val="edge"/>
          <c:x val="0.19749475065616798"/>
          <c:y val="1.5876377275728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48097112860893E-2"/>
          <c:y val="7.6452882287538437E-2"/>
          <c:w val="0.86572736220472446"/>
          <c:h val="0.80842213061983126"/>
        </c:manualLayout>
      </c:layout>
      <c:scatterChart>
        <c:scatterStyle val="smoothMarker"/>
        <c:varyColors val="0"/>
        <c:ser>
          <c:idx val="0"/>
          <c:order val="0"/>
          <c:tx>
            <c:v>600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</c:spPr>
          </c:marker>
          <c:xVal>
            <c:numRef>
              <c:f>StoredResults!$C$6:$C$12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StoredResults!$C$14:$C$20</c:f>
              <c:numCache>
                <c:formatCode>0%</c:formatCode>
                <c:ptCount val="7"/>
                <c:pt idx="0">
                  <c:v>0.75123189832750492</c:v>
                </c:pt>
                <c:pt idx="1">
                  <c:v>0.72404731370495834</c:v>
                </c:pt>
                <c:pt idx="2">
                  <c:v>0.69686272908241187</c:v>
                </c:pt>
                <c:pt idx="3">
                  <c:v>0.64249355983731871</c:v>
                </c:pt>
                <c:pt idx="4">
                  <c:v>0.58812439059222554</c:v>
                </c:pt>
                <c:pt idx="5">
                  <c:v>0.53375522134713238</c:v>
                </c:pt>
                <c:pt idx="6">
                  <c:v>0.47938605210203916</c:v>
                </c:pt>
              </c:numCache>
            </c:numRef>
          </c:yVal>
          <c:smooth val="1"/>
        </c:ser>
        <c:ser>
          <c:idx val="1"/>
          <c:order val="1"/>
          <c:tx>
            <c:v>700</c:v>
          </c:tx>
          <c:spPr>
            <a:ln w="19050"/>
          </c:spPr>
          <c:marker>
            <c:symbol val="square"/>
            <c:size val="4"/>
          </c:marker>
          <c:xVal>
            <c:numRef>
              <c:f>StoredResults!$D$6:$D$12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StoredResults!$D$14:$D$20</c:f>
              <c:numCache>
                <c:formatCode>0%</c:formatCode>
                <c:ptCount val="7"/>
                <c:pt idx="0">
                  <c:v>0.704502576839238</c:v>
                </c:pt>
                <c:pt idx="1">
                  <c:v>0.67232193317366407</c:v>
                </c:pt>
                <c:pt idx="2">
                  <c:v>0.64014128950808991</c:v>
                </c:pt>
                <c:pt idx="3">
                  <c:v>0.57578000217694192</c:v>
                </c:pt>
                <c:pt idx="4">
                  <c:v>0.51141871484579371</c:v>
                </c:pt>
                <c:pt idx="5">
                  <c:v>0.44705742751464572</c:v>
                </c:pt>
                <c:pt idx="6">
                  <c:v>0.38269614018349768</c:v>
                </c:pt>
              </c:numCache>
            </c:numRef>
          </c:yVal>
          <c:smooth val="1"/>
        </c:ser>
        <c:ser>
          <c:idx val="2"/>
          <c:order val="2"/>
          <c:tx>
            <c:v>800</c:v>
          </c:tx>
          <c:spPr>
            <a:ln w="19050"/>
          </c:spPr>
          <c:marker>
            <c:symbol val="triangle"/>
            <c:size val="4"/>
          </c:marker>
          <c:xVal>
            <c:numRef>
              <c:f>StoredResults!$E$6:$E$12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StoredResults!$E$14:$E$20</c:f>
              <c:numCache>
                <c:formatCode>0%</c:formatCode>
                <c:ptCount val="7"/>
                <c:pt idx="0">
                  <c:v>0.65687152500695667</c:v>
                </c:pt>
                <c:pt idx="1">
                  <c:v>0.61962410267449308</c:v>
                </c:pt>
                <c:pt idx="2">
                  <c:v>0.58237668034202916</c:v>
                </c:pt>
                <c:pt idx="3">
                  <c:v>0.50788183567710166</c:v>
                </c:pt>
                <c:pt idx="4">
                  <c:v>0.43338699101217398</c:v>
                </c:pt>
                <c:pt idx="5">
                  <c:v>0.35889214634724659</c:v>
                </c:pt>
                <c:pt idx="6">
                  <c:v>0.28439730168231886</c:v>
                </c:pt>
              </c:numCache>
            </c:numRef>
          </c:yVal>
          <c:smooth val="1"/>
        </c:ser>
        <c:ser>
          <c:idx val="3"/>
          <c:order val="3"/>
          <c:tx>
            <c:v>900</c:v>
          </c:tx>
          <c:spPr>
            <a:ln w="19050"/>
          </c:spPr>
          <c:marker>
            <c:symbol val="circle"/>
            <c:size val="4"/>
          </c:marker>
          <c:xVal>
            <c:numRef>
              <c:f>StoredResults!$F$6:$F$12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StoredResults!$F$14:$F$20</c:f>
              <c:numCache>
                <c:formatCode>0%</c:formatCode>
                <c:ptCount val="7"/>
                <c:pt idx="0">
                  <c:v>0.60836935452541507</c:v>
                </c:pt>
                <c:pt idx="1">
                  <c:v>0.56598443390219944</c:v>
                </c:pt>
                <c:pt idx="2">
                  <c:v>0.52359951327898346</c:v>
                </c:pt>
                <c:pt idx="3">
                  <c:v>0.43882967203255174</c:v>
                </c:pt>
                <c:pt idx="4">
                  <c:v>0.35405983078612008</c:v>
                </c:pt>
                <c:pt idx="5">
                  <c:v>0.26928998953968836</c:v>
                </c:pt>
                <c:pt idx="6">
                  <c:v>0.18452014829325683</c:v>
                </c:pt>
              </c:numCache>
            </c:numRef>
          </c:yVal>
          <c:smooth val="1"/>
        </c:ser>
        <c:ser>
          <c:idx val="4"/>
          <c:order val="4"/>
          <c:tx>
            <c:v>1000</c:v>
          </c:tx>
          <c:spPr>
            <a:ln w="19050"/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accent5">
                    <a:shade val="76000"/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StoredResults!$G$6:$G$12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StoredResults!$G$14:$G$20</c:f>
              <c:numCache>
                <c:formatCode>0%</c:formatCode>
                <c:ptCount val="7"/>
                <c:pt idx="0">
                  <c:v>0.55902667708936704</c:v>
                </c:pt>
                <c:pt idx="1">
                  <c:v>0.51143353855153695</c:v>
                </c:pt>
                <c:pt idx="2">
                  <c:v>0.46384040001370669</c:v>
                </c:pt>
                <c:pt idx="3">
                  <c:v>0.36865412293804622</c:v>
                </c:pt>
                <c:pt idx="4">
                  <c:v>0.27346784586238598</c:v>
                </c:pt>
                <c:pt idx="5">
                  <c:v>0.17828156878672541</c:v>
                </c:pt>
                <c:pt idx="6">
                  <c:v>8.3095291711065083E-2</c:v>
                </c:pt>
              </c:numCache>
            </c:numRef>
          </c:yVal>
          <c:smooth val="1"/>
        </c:ser>
        <c:ser>
          <c:idx val="5"/>
          <c:order val="5"/>
          <c:tx>
            <c:v>1100</c:v>
          </c:tx>
          <c:spPr>
            <a:ln w="19050"/>
          </c:spPr>
          <c:marker>
            <c:symbol val="diamond"/>
            <c:size val="5"/>
            <c:spPr>
              <a:solidFill>
                <a:schemeClr val="bg1"/>
              </a:solidFill>
            </c:spPr>
          </c:marker>
          <c:xVal>
            <c:numRef>
              <c:f>StoredResults!$H$6:$H$12</c:f>
              <c:numCache>
                <c:formatCode>0%</c:formatCode>
                <c:ptCount val="7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  <c:pt idx="6">
                  <c:v>1.3</c:v>
                </c:pt>
              </c:numCache>
            </c:numRef>
          </c:xVal>
          <c:yVal>
            <c:numRef>
              <c:f>StoredResults!$H$14:$H$20</c:f>
              <c:numCache>
                <c:formatCode>0%</c:formatCode>
                <c:ptCount val="7"/>
                <c:pt idx="0">
                  <c:v>0.50887410439356628</c:v>
                </c:pt>
                <c:pt idx="1">
                  <c:v>0.45600202831725956</c:v>
                </c:pt>
                <c:pt idx="2">
                  <c:v>0.4031299522409526</c:v>
                </c:pt>
                <c:pt idx="3">
                  <c:v>0.29738580008833898</c:v>
                </c:pt>
                <c:pt idx="4">
                  <c:v>0.19164164793572527</c:v>
                </c:pt>
                <c:pt idx="5">
                  <c:v>8.5897495783111399E-2</c:v>
                </c:pt>
                <c:pt idx="6">
                  <c:v>-1.9846656369502044E-2</c:v>
                </c:pt>
              </c:numCache>
            </c:numRef>
          </c:yVal>
          <c:smooth val="1"/>
        </c:ser>
        <c:ser>
          <c:idx val="8"/>
          <c:order val="6"/>
          <c:tx>
            <c:v>1200</c:v>
          </c:tx>
          <c:spPr>
            <a:ln w="19050">
              <a:solidFill>
                <a:srgbClr val="00B050"/>
              </a:solidFill>
            </a:ln>
          </c:spPr>
          <c:marker>
            <c:symbol val="square"/>
            <c:size val="4"/>
            <c:spPr>
              <a:solidFill>
                <a:schemeClr val="bg1"/>
              </a:solidFill>
              <a:ln>
                <a:solidFill>
                  <a:srgbClr val="00823B"/>
                </a:solidFill>
              </a:ln>
            </c:spPr>
          </c:marker>
          <c:xVal>
            <c:numRef>
              <c:f>StoredResults!$I$6:$I$11</c:f>
              <c:numCache>
                <c:formatCode>0%</c:formatCode>
                <c:ptCount val="6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</c:numCache>
            </c:numRef>
          </c:xVal>
          <c:yVal>
            <c:numRef>
              <c:f>StoredResults!$I$14:$I$19</c:f>
              <c:numCache>
                <c:formatCode>0%</c:formatCode>
                <c:ptCount val="6"/>
                <c:pt idx="0">
                  <c:v>0.45794224813276668</c:v>
                </c:pt>
                <c:pt idx="1">
                  <c:v>0.39972051489412103</c:v>
                </c:pt>
                <c:pt idx="2">
                  <c:v>0.34149878165547509</c:v>
                </c:pt>
                <c:pt idx="3">
                  <c:v>0.22505531517818342</c:v>
                </c:pt>
                <c:pt idx="4">
                  <c:v>0.1086118487008919</c:v>
                </c:pt>
                <c:pt idx="5">
                  <c:v>-7.8316177763996311E-3</c:v>
                </c:pt>
              </c:numCache>
            </c:numRef>
          </c:yVal>
          <c:smooth val="1"/>
        </c:ser>
        <c:ser>
          <c:idx val="6"/>
          <c:order val="7"/>
          <c:tx>
            <c:v>1300</c:v>
          </c:tx>
          <c:spPr>
            <a:ln w="19050">
              <a:solidFill>
                <a:srgbClr val="FF0000"/>
              </a:solidFill>
            </a:ln>
          </c:spPr>
          <c:marker>
            <c:symbol val="plus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StoredResults!$J$6:$J$11</c:f>
              <c:numCache>
                <c:formatCode>0%</c:formatCode>
                <c:ptCount val="6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  <c:pt idx="5">
                  <c:v>1.04</c:v>
                </c:pt>
              </c:numCache>
            </c:numRef>
          </c:xVal>
          <c:yVal>
            <c:numRef>
              <c:f>StoredResults!$J$14:$J$19</c:f>
              <c:numCache>
                <c:formatCode>0%</c:formatCode>
                <c:ptCount val="6"/>
                <c:pt idx="0">
                  <c:v>0.40626172000172223</c:v>
                </c:pt>
                <c:pt idx="1">
                  <c:v>0.34261960997687524</c:v>
                </c:pt>
                <c:pt idx="2">
                  <c:v>0.27897749995202809</c:v>
                </c:pt>
                <c:pt idx="3">
                  <c:v>0.15169327990233397</c:v>
                </c:pt>
                <c:pt idx="4">
                  <c:v>2.4409059852639987E-2</c:v>
                </c:pt>
                <c:pt idx="5">
                  <c:v>-0.10287516019705414</c:v>
                </c:pt>
              </c:numCache>
            </c:numRef>
          </c:yVal>
          <c:smooth val="1"/>
        </c:ser>
        <c:ser>
          <c:idx val="7"/>
          <c:order val="8"/>
          <c:tx>
            <c:v>1400</c:v>
          </c:tx>
          <c:spPr>
            <a:ln w="19050">
              <a:solidFill>
                <a:schemeClr val="bg1">
                  <a:lumMod val="50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StoredResults!$K$6:$K$10</c:f>
              <c:numCache>
                <c:formatCode>0%</c:formatCode>
                <c:ptCount val="5"/>
                <c:pt idx="0">
                  <c:v>0</c:v>
                </c:pt>
                <c:pt idx="1">
                  <c:v>0.13</c:v>
                </c:pt>
                <c:pt idx="2">
                  <c:v>0.26</c:v>
                </c:pt>
                <c:pt idx="3">
                  <c:v>0.52</c:v>
                </c:pt>
                <c:pt idx="4">
                  <c:v>0.78</c:v>
                </c:pt>
              </c:numCache>
            </c:numRef>
          </c:xVal>
          <c:yVal>
            <c:numRef>
              <c:f>StoredResults!$K$14:$K$18</c:f>
              <c:numCache>
                <c:formatCode>0%</c:formatCode>
                <c:ptCount val="5"/>
                <c:pt idx="0">
                  <c:v>0.35386313169518674</c:v>
                </c:pt>
                <c:pt idx="1">
                  <c:v>0.28472992526027635</c:v>
                </c:pt>
                <c:pt idx="2">
                  <c:v>0.2155967188253656</c:v>
                </c:pt>
                <c:pt idx="3">
                  <c:v>7.7330305955544354E-2</c:v>
                </c:pt>
                <c:pt idx="4">
                  <c:v>-6.0936106914276901E-2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0448"/>
        <c:axId val="160067584"/>
      </c:scatterChart>
      <c:valAx>
        <c:axId val="160040448"/>
        <c:scaling>
          <c:orientation val="minMax"/>
          <c:max val="1.3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excess oxidant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160067584"/>
        <c:crosses val="autoZero"/>
        <c:crossBetween val="midCat"/>
        <c:majorUnit val="0.1"/>
      </c:valAx>
      <c:valAx>
        <c:axId val="160067584"/>
        <c:scaling>
          <c:orientation val="minMax"/>
          <c:max val="0.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avail. heat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160040448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legend>
      <c:legendPos val="tr"/>
      <c:layout>
        <c:manualLayout>
          <c:xMode val="edge"/>
          <c:yMode val="edge"/>
          <c:x val="0.56191666666666673"/>
          <c:y val="0.107880108599421"/>
          <c:w val="0.35891666666666666"/>
          <c:h val="0.12594192546203384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FFEEB7"/>
    </a:solidFill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Available Heat for Methane Combustion</a:t>
            </a:r>
          </a:p>
        </c:rich>
      </c:tx>
      <c:layout>
        <c:manualLayout>
          <c:xMode val="edge"/>
          <c:yMode val="edge"/>
          <c:x val="0.1676111111111111"/>
          <c:y val="9.259259259259258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518285214348207"/>
          <c:y val="0.11200240594925634"/>
          <c:w val="0.82709492563429576"/>
          <c:h val="0.73498067949839607"/>
        </c:manualLayout>
      </c:layout>
      <c:scatterChart>
        <c:scatterStyle val="smoothMarker"/>
        <c:varyColors val="0"/>
        <c:ser>
          <c:idx val="0"/>
          <c:order val="0"/>
          <c:tx>
            <c:v>800°C</c:v>
          </c:tx>
          <c:spPr>
            <a:ln w="19050">
              <a:solidFill>
                <a:schemeClr val="tx1"/>
              </a:solidFill>
            </a:ln>
          </c:spPr>
          <c:marker>
            <c:symbol val="diamond"/>
            <c:size val="6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StoredResults!$N$37:$T$37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StoredResults!$N$38:$T$38</c:f>
              <c:numCache>
                <c:formatCode>0%</c:formatCode>
                <c:ptCount val="7"/>
                <c:pt idx="0">
                  <c:v>0.65674743494621923</c:v>
                </c:pt>
                <c:pt idx="1">
                  <c:v>0.6280240958635378</c:v>
                </c:pt>
                <c:pt idx="2">
                  <c:v>0.59930075678085648</c:v>
                </c:pt>
                <c:pt idx="3">
                  <c:v>0.54185407861549384</c:v>
                </c:pt>
                <c:pt idx="4">
                  <c:v>0.48440740045013109</c:v>
                </c:pt>
                <c:pt idx="5">
                  <c:v>0.42696072228476845</c:v>
                </c:pt>
                <c:pt idx="6">
                  <c:v>0.36951404411940575</c:v>
                </c:pt>
              </c:numCache>
            </c:numRef>
          </c:yVal>
          <c:smooth val="1"/>
        </c:ser>
        <c:ser>
          <c:idx val="1"/>
          <c:order val="1"/>
          <c:tx>
            <c:v>900°C</c:v>
          </c:tx>
          <c:spPr>
            <a:ln w="19050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StoredResults!$N$37:$T$37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StoredResults!$N$39:$T$39</c:f>
              <c:numCache>
                <c:formatCode>0%</c:formatCode>
                <c:ptCount val="7"/>
                <c:pt idx="0">
                  <c:v>0.60822830953559071</c:v>
                </c:pt>
                <c:pt idx="1">
                  <c:v>0.57554319011480115</c:v>
                </c:pt>
                <c:pt idx="2">
                  <c:v>0.5428580706940116</c:v>
                </c:pt>
                <c:pt idx="3">
                  <c:v>0.4774878318524326</c:v>
                </c:pt>
                <c:pt idx="4">
                  <c:v>0.41211759301085332</c:v>
                </c:pt>
                <c:pt idx="5">
                  <c:v>0.34674735416927432</c:v>
                </c:pt>
                <c:pt idx="6">
                  <c:v>0.28137711532769544</c:v>
                </c:pt>
              </c:numCache>
            </c:numRef>
          </c:yVal>
          <c:smooth val="1"/>
        </c:ser>
        <c:ser>
          <c:idx val="2"/>
          <c:order val="2"/>
          <c:tx>
            <c:v>1000°C</c:v>
          </c:tx>
          <c:spPr>
            <a:ln w="19050">
              <a:solidFill>
                <a:srgbClr val="00B050"/>
              </a:solidFill>
            </a:ln>
          </c:spPr>
          <c:marker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StoredResults!$N$37:$T$37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StoredResults!$N$40:$T$40</c:f>
              <c:numCache>
                <c:formatCode>0%</c:formatCode>
                <c:ptCount val="7"/>
                <c:pt idx="0">
                  <c:v>0.55886748942822095</c:v>
                </c:pt>
                <c:pt idx="1">
                  <c:v>0.52216605425160045</c:v>
                </c:pt>
                <c:pt idx="2">
                  <c:v>0.48546461907498001</c:v>
                </c:pt>
                <c:pt idx="3">
                  <c:v>0.41206174872173901</c:v>
                </c:pt>
                <c:pt idx="4">
                  <c:v>0.33865887836849784</c:v>
                </c:pt>
                <c:pt idx="5">
                  <c:v>0.26525600801525706</c:v>
                </c:pt>
                <c:pt idx="6">
                  <c:v>0.19185313766201612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83648"/>
        <c:axId val="161898496"/>
      </c:scatterChart>
      <c:valAx>
        <c:axId val="161883648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% excess air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61898496"/>
        <c:crosses val="autoZero"/>
        <c:crossBetween val="midCat"/>
        <c:majorUnit val="0.1"/>
      </c:valAx>
      <c:valAx>
        <c:axId val="161898496"/>
        <c:scaling>
          <c:orientation val="minMax"/>
          <c:min val="0.1500000000000000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% gross available heat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61883648"/>
        <c:crosses val="autoZero"/>
        <c:crossBetween val="midCat"/>
        <c:majorUnit val="5.000000000000001E-2"/>
      </c:valAx>
      <c:spPr>
        <a:solidFill>
          <a:schemeClr val="bg1">
            <a:lumMod val="85000"/>
          </a:schemeClr>
        </a:solidFill>
      </c:spPr>
    </c:plotArea>
    <c:legend>
      <c:legendPos val="r"/>
      <c:layout>
        <c:manualLayout>
          <c:xMode val="edge"/>
          <c:yMode val="edge"/>
          <c:x val="0.76110812367000258"/>
          <c:y val="0.15199480432648801"/>
          <c:w val="0.16388888888888889"/>
          <c:h val="0.21874416739574221"/>
        </c:manualLayout>
      </c:layout>
      <c:overlay val="1"/>
      <c:spPr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c:spPr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38B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334653</xdr:colOff>
      <xdr:row>6</xdr:row>
      <xdr:rowOff>80919</xdr:rowOff>
    </xdr:from>
    <xdr:to>
      <xdr:col>12</xdr:col>
      <xdr:colOff>526283</xdr:colOff>
      <xdr:row>8</xdr:row>
      <xdr:rowOff>19958</xdr:rowOff>
    </xdr:to>
    <xdr:sp macro="" textlink="">
      <xdr:nvSpPr>
        <xdr:cNvPr id="39" name="Text Box 3"/>
        <xdr:cNvSpPr txBox="1">
          <a:spLocks noChangeArrowheads="1"/>
        </xdr:cNvSpPr>
      </xdr:nvSpPr>
      <xdr:spPr bwMode="auto">
        <a:xfrm>
          <a:off x="2983510" y="1314633"/>
          <a:ext cx="4935987" cy="265611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>
          <a:innerShdw blurRad="114300">
            <a:prstClr val="black"/>
          </a:innerShdw>
        </a:effectLst>
      </xdr:spPr>
      <xdr:txBody>
        <a:bodyPr vertOverflow="clip" wrap="square" lIns="18288" tIns="22860" rIns="18288" bIns="0" anchor="t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Calculations based on combustion of </a:t>
          </a: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1 gram-mole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of natural gas</a:t>
          </a:r>
        </a:p>
      </xdr:txBody>
    </xdr:sp>
    <xdr:clientData/>
  </xdr:twoCellAnchor>
  <xdr:twoCellAnchor>
    <xdr:from>
      <xdr:col>3</xdr:col>
      <xdr:colOff>79485</xdr:colOff>
      <xdr:row>3</xdr:row>
      <xdr:rowOff>95250</xdr:rowOff>
    </xdr:from>
    <xdr:to>
      <xdr:col>13</xdr:col>
      <xdr:colOff>609603</xdr:colOff>
      <xdr:row>5</xdr:row>
      <xdr:rowOff>130495</xdr:rowOff>
    </xdr:to>
    <xdr:sp macro="" textlink="">
      <xdr:nvSpPr>
        <xdr:cNvPr id="2" name="TextBox 1"/>
        <xdr:cNvSpPr txBox="1"/>
      </xdr:nvSpPr>
      <xdr:spPr>
        <a:xfrm>
          <a:off x="1874418" y="823383"/>
          <a:ext cx="6609185" cy="37391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>
              <a:latin typeface="Arial Rounded MT Bold" pitchFamily="34" charset="0"/>
            </a:rPr>
            <a:t>An Available Heat Calculator for Excess Air Combustion of Natural</a:t>
          </a:r>
          <a:r>
            <a:rPr lang="en-US" sz="1600" baseline="0">
              <a:latin typeface="Arial Rounded MT Bold" pitchFamily="34" charset="0"/>
            </a:rPr>
            <a:t> </a:t>
          </a:r>
          <a:r>
            <a:rPr lang="en-US" sz="1600">
              <a:latin typeface="Arial Rounded MT Bold" pitchFamily="34" charset="0"/>
            </a:rPr>
            <a:t>Gas </a:t>
          </a:r>
        </a:p>
      </xdr:txBody>
    </xdr:sp>
    <xdr:clientData/>
  </xdr:twoCellAnchor>
  <xdr:oneCellAnchor>
    <xdr:from>
      <xdr:col>14</xdr:col>
      <xdr:colOff>187663</xdr:colOff>
      <xdr:row>1</xdr:row>
      <xdr:rowOff>12805</xdr:rowOff>
    </xdr:from>
    <xdr:ext cx="1998552" cy="741229"/>
    <xdr:sp macro="" textlink="">
      <xdr:nvSpPr>
        <xdr:cNvPr id="36" name="TextBox 35"/>
        <xdr:cNvSpPr txBox="1"/>
      </xdr:nvSpPr>
      <xdr:spPr>
        <a:xfrm>
          <a:off x="8850877" y="402876"/>
          <a:ext cx="1998552" cy="741229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rIns="45720" rtlCol="0" anchor="ctr">
          <a:spAutoFit/>
        </a:bodyPr>
        <a:lstStyle/>
        <a:p>
          <a:pPr algn="ctr"/>
          <a:r>
            <a:rPr lang="en-US" sz="11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AvailableHeatCalc </a:t>
          </a:r>
          <a:r>
            <a:rPr lang="en-US" sz="10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is a</a:t>
          </a:r>
          <a:r>
            <a:rPr lang="en-US" sz="11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 Thermart Software program.   © 2013 by Arthur E. Morris. www.thermart.net</a:t>
          </a:r>
        </a:p>
      </xdr:txBody>
    </xdr:sp>
    <xdr:clientData/>
  </xdr:oneCellAnchor>
  <xdr:oneCellAnchor>
    <xdr:from>
      <xdr:col>0</xdr:col>
      <xdr:colOff>60779</xdr:colOff>
      <xdr:row>0</xdr:row>
      <xdr:rowOff>228461</xdr:rowOff>
    </xdr:from>
    <xdr:ext cx="1182005" cy="918265"/>
    <xdr:sp macro="" textlink="">
      <xdr:nvSpPr>
        <xdr:cNvPr id="43" name="TextBox 42"/>
        <xdr:cNvSpPr txBox="1"/>
      </xdr:nvSpPr>
      <xdr:spPr>
        <a:xfrm>
          <a:off x="60779" y="228461"/>
          <a:ext cx="1182005" cy="918265"/>
        </a:xfrm>
        <a:prstGeom prst="rect">
          <a:avLst/>
        </a:prstGeom>
        <a:solidFill>
          <a:srgbClr val="FFFFCC"/>
        </a:solidFill>
        <a:ln w="952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u="sng">
              <a:latin typeface="Arial" pitchFamily="34" charset="0"/>
              <a:cs typeface="Arial" pitchFamily="34" charset="0"/>
            </a:rPr>
            <a:t>SI Units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temperature: °C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amount:  g-mol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mass:     g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energy:   J or kJ</a:t>
          </a:r>
        </a:p>
      </xdr:txBody>
    </xdr:sp>
    <xdr:clientData/>
  </xdr:oneCellAnchor>
  <xdr:twoCellAnchor>
    <xdr:from>
      <xdr:col>3</xdr:col>
      <xdr:colOff>25978</xdr:colOff>
      <xdr:row>35</xdr:row>
      <xdr:rowOff>8659</xdr:rowOff>
    </xdr:from>
    <xdr:to>
      <xdr:col>3</xdr:col>
      <xdr:colOff>200026</xdr:colOff>
      <xdr:row>41</xdr:row>
      <xdr:rowOff>171451</xdr:rowOff>
    </xdr:to>
    <xdr:sp macro="" textlink="">
      <xdr:nvSpPr>
        <xdr:cNvPr id="4" name="Left Brace 3"/>
        <xdr:cNvSpPr/>
      </xdr:nvSpPr>
      <xdr:spPr>
        <a:xfrm>
          <a:off x="1679864" y="6451023"/>
          <a:ext cx="174048" cy="1357746"/>
        </a:xfrm>
        <a:prstGeom prst="leftBrace">
          <a:avLst>
            <a:gd name="adj1" fmla="val 20459"/>
            <a:gd name="adj2" fmla="val 50553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2885</xdr:rowOff>
    </xdr:from>
    <xdr:to>
      <xdr:col>3</xdr:col>
      <xdr:colOff>154215</xdr:colOff>
      <xdr:row>45</xdr:row>
      <xdr:rowOff>190500</xdr:rowOff>
    </xdr:to>
    <xdr:sp macro="" textlink="">
      <xdr:nvSpPr>
        <xdr:cNvPr id="26" name="Left Brace 25"/>
        <xdr:cNvSpPr/>
      </xdr:nvSpPr>
      <xdr:spPr>
        <a:xfrm>
          <a:off x="1805214" y="8747742"/>
          <a:ext cx="154215" cy="586758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308825</xdr:colOff>
      <xdr:row>0</xdr:row>
      <xdr:rowOff>247650</xdr:rowOff>
    </xdr:from>
    <xdr:to>
      <xdr:col>11</xdr:col>
      <xdr:colOff>434979</xdr:colOff>
      <xdr:row>2</xdr:row>
      <xdr:rowOff>150985</xdr:rowOff>
    </xdr:to>
    <xdr:sp macro="" textlink="">
      <xdr:nvSpPr>
        <xdr:cNvPr id="25" name="Rectangle 24"/>
        <xdr:cNvSpPr/>
      </xdr:nvSpPr>
      <xdr:spPr>
        <a:xfrm>
          <a:off x="3441492" y="247650"/>
          <a:ext cx="3580554" cy="462135"/>
        </a:xfrm>
        <a:prstGeom prst="rect">
          <a:avLst/>
        </a:prstGeom>
        <a:solidFill>
          <a:srgbClr val="FF9900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Rounded MT Bold" pitchFamily="34" charset="0"/>
            </a:rPr>
            <a:t>AvailableHeatCalc</a:t>
          </a:r>
          <a:endParaRPr lang="en-US" sz="2800" b="1" cap="none" spc="0" baseline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  <xdr:oneCellAnchor>
    <xdr:from>
      <xdr:col>11</xdr:col>
      <xdr:colOff>302982</xdr:colOff>
      <xdr:row>32</xdr:row>
      <xdr:rowOff>54429</xdr:rowOff>
    </xdr:from>
    <xdr:ext cx="6346375" cy="3002644"/>
    <xdr:sp macro="" textlink="">
      <xdr:nvSpPr>
        <xdr:cNvPr id="27" name="TextBox 26"/>
        <xdr:cNvSpPr txBox="1"/>
      </xdr:nvSpPr>
      <xdr:spPr>
        <a:xfrm>
          <a:off x="6888839" y="6286500"/>
          <a:ext cx="6346375" cy="3002644"/>
        </a:xfrm>
        <a:prstGeom prst="rect">
          <a:avLst/>
        </a:prstGeom>
        <a:solidFill>
          <a:srgbClr val="D3CDB1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AvailableHeatCalc</a:t>
          </a:r>
          <a:r>
            <a:rPr lang="en-US" sz="1400" u="sng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Operation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The Calculator has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two main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worksheets. Enter data only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on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this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worksheet, and in blue-bordered cells only.  Entered data will be copied into the </a:t>
          </a:r>
          <a:r>
            <a:rPr lang="en-US" sz="1200" i="1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worksheet.  Figure 1 summarizes the results.  The 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chart legend refers to the offgas temperature.</a:t>
          </a:r>
        </a:p>
        <a:p>
          <a:pPr algn="ctr"/>
          <a:endParaRPr lang="en-US" sz="800" u="none" baseline="0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000" b="0" i="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calculator contains a sample system.  Changing any blue-bordered cell value will result in recalculation of all other dependent values.  Please read cell comments (cells with red corner), and the document.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/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1.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Nat Gas composition in column F, making sure that t</a:t>
          </a: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he </a:t>
          </a:r>
          <a:r>
            <a:rPr lang="en-US" sz="110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value in cell F29 is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10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non-negative.  </a:t>
          </a:r>
        </a:p>
        <a:p>
          <a:pPr algn="l"/>
          <a:r>
            <a:rPr lang="en-US" sz="110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2.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offgas temperature in cell K11, making sure that the entered value does not cause the % available heat value in Figure 1 to become negative at high % excess oxidant.</a:t>
          </a:r>
        </a:p>
        <a:p>
          <a:pPr algn="l"/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3.  Enter the %O</a:t>
          </a:r>
          <a:r>
            <a:rPr lang="en-US" sz="1100" u="none" baseline="-2500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2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in the oxidant gas in cell K19, and the furnace heat loss in cell K12.  </a:t>
          </a:r>
        </a:p>
        <a:p>
          <a:pPr algn="l"/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4.  Enter the upper limit on the range of calculations of % excess air in cell K20.  Seven values will be used in the % available heat calculation, starting at stoichiometric oxidant (0% excess).  </a:t>
          </a:r>
        </a:p>
        <a:p>
          <a:pPr algn="l"/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5.  A complete summary of the available heat results are shown on worksheet </a:t>
          </a:r>
          <a:r>
            <a:rPr lang="en-US" sz="1100" i="1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.  </a:t>
          </a:r>
        </a:p>
        <a:p>
          <a:pPr algn="l"/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6.  If desired, you can copy results for several offgas temperatures or %O</a:t>
          </a:r>
          <a:r>
            <a:rPr lang="en-US" sz="1100" u="none" baseline="-2500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2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values to </a:t>
          </a:r>
          <a:r>
            <a:rPr kumimoji="0" lang="en-US" sz="1100" b="0" i="0" u="none" strike="noStrike" kern="0" cap="none" spc="0" normalizeH="0" baseline="0" noProof="0" smtClean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worksheet StoredResults, </a:t>
          </a:r>
          <a:r>
            <a:rPr lang="en-US" sz="110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and chart them. StoredResults also has results for pure methane combustion.</a:t>
          </a:r>
          <a:endParaRPr lang="en-US" sz="1100" i="0" u="none" baseline="0" smtClean="0">
            <a:solidFill>
              <a:schemeClr val="tx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8</xdr:col>
      <xdr:colOff>174774</xdr:colOff>
      <xdr:row>12</xdr:row>
      <xdr:rowOff>109545</xdr:rowOff>
    </xdr:from>
    <xdr:ext cx="991809" cy="387286"/>
    <xdr:sp macro="" textlink="">
      <xdr:nvSpPr>
        <xdr:cNvPr id="31" name="TextBox 30"/>
        <xdr:cNvSpPr txBox="1"/>
      </xdr:nvSpPr>
      <xdr:spPr>
        <a:xfrm>
          <a:off x="5064274" y="2368331"/>
          <a:ext cx="991809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Dried offgas</a:t>
          </a: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(for analysis)</a:t>
          </a:r>
        </a:p>
      </xdr:txBody>
    </xdr:sp>
    <xdr:clientData/>
  </xdr:oneCellAnchor>
  <xdr:twoCellAnchor editAs="absolute">
    <xdr:from>
      <xdr:col>1</xdr:col>
      <xdr:colOff>487679</xdr:colOff>
      <xdr:row>8</xdr:row>
      <xdr:rowOff>152816</xdr:rowOff>
    </xdr:from>
    <xdr:to>
      <xdr:col>8</xdr:col>
      <xdr:colOff>277682</xdr:colOff>
      <xdr:row>14</xdr:row>
      <xdr:rowOff>108856</xdr:rowOff>
    </xdr:to>
    <xdr:grpSp>
      <xdr:nvGrpSpPr>
        <xdr:cNvPr id="19" name="Group 18"/>
        <xdr:cNvGrpSpPr/>
      </xdr:nvGrpSpPr>
      <xdr:grpSpPr>
        <a:xfrm>
          <a:off x="696322" y="1713102"/>
          <a:ext cx="4470860" cy="981111"/>
          <a:chOff x="1514559" y="1625760"/>
          <a:chExt cx="4478369" cy="1012527"/>
        </a:xfrm>
      </xdr:grpSpPr>
      <xdr:sp macro="" textlink="">
        <xdr:nvSpPr>
          <xdr:cNvPr id="33" name="Text Box 29"/>
          <xdr:cNvSpPr txBox="1">
            <a:spLocks noChangeArrowheads="1"/>
          </xdr:cNvSpPr>
        </xdr:nvSpPr>
        <xdr:spPr bwMode="auto">
          <a:xfrm>
            <a:off x="4142855" y="1625760"/>
            <a:ext cx="673206" cy="212529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Heat loss</a:t>
            </a:r>
          </a:p>
        </xdr:txBody>
      </xdr:sp>
      <xdr:sp macro="" textlink="">
        <xdr:nvSpPr>
          <xdr:cNvPr id="14" name="Lightning Bolt 13"/>
          <xdr:cNvSpPr/>
        </xdr:nvSpPr>
        <xdr:spPr>
          <a:xfrm flipV="1">
            <a:off x="3894653" y="1803399"/>
            <a:ext cx="296332" cy="347133"/>
          </a:xfrm>
          <a:prstGeom prst="lightningBolt">
            <a:avLst/>
          </a:prstGeom>
          <a:solidFill>
            <a:srgbClr val="FF0000"/>
          </a:solidFill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/>
          </a:p>
        </xdr:txBody>
      </xdr:sp>
      <xdr:sp macro="" textlink="">
        <xdr:nvSpPr>
          <xdr:cNvPr id="5" name="AutoShape 17" descr="50%"/>
          <xdr:cNvSpPr>
            <a:spLocks noChangeArrowheads="1"/>
          </xdr:cNvSpPr>
        </xdr:nvSpPr>
        <xdr:spPr bwMode="auto">
          <a:xfrm rot="16200000">
            <a:off x="2603662" y="2061813"/>
            <a:ext cx="397933" cy="558452"/>
          </a:xfrm>
          <a:custGeom>
            <a:avLst/>
            <a:gdLst>
              <a:gd name="T0" fmla="*/ 2147483647 w 21600"/>
              <a:gd name="T1" fmla="*/ 2147483647 h 21600"/>
              <a:gd name="T2" fmla="*/ 2147483647 w 21600"/>
              <a:gd name="T3" fmla="*/ 2147483647 h 21600"/>
              <a:gd name="T4" fmla="*/ 2147483647 w 21600"/>
              <a:gd name="T5" fmla="*/ 2147483647 h 21600"/>
              <a:gd name="T6" fmla="*/ 2147483647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500 w 21600"/>
              <a:gd name="T13" fmla="*/ 4500 h 21600"/>
              <a:gd name="T14" fmla="*/ 17100 w 21600"/>
              <a:gd name="T15" fmla="*/ 17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pattFill prst="pct50">
            <a:fgClr>
              <a:srgbClr val="C0C0C0"/>
            </a:fgClr>
            <a:bgClr>
              <a:srgbClr val="FFFFFF"/>
            </a:bgClr>
          </a:pattFill>
          <a:ln w="6350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" name="Line 22"/>
          <xdr:cNvSpPr>
            <a:spLocks noChangeShapeType="1"/>
          </xdr:cNvSpPr>
        </xdr:nvSpPr>
        <xdr:spPr bwMode="auto">
          <a:xfrm>
            <a:off x="2121986" y="2204229"/>
            <a:ext cx="41094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3"/>
          <xdr:cNvSpPr>
            <a:spLocks noChangeShapeType="1"/>
          </xdr:cNvSpPr>
        </xdr:nvSpPr>
        <xdr:spPr bwMode="auto">
          <a:xfrm flipV="1">
            <a:off x="3079266" y="2356430"/>
            <a:ext cx="37513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Text Box 25"/>
          <xdr:cNvSpPr txBox="1">
            <a:spLocks noChangeArrowheads="1"/>
          </xdr:cNvSpPr>
        </xdr:nvSpPr>
        <xdr:spPr bwMode="auto">
          <a:xfrm>
            <a:off x="2562014" y="2227875"/>
            <a:ext cx="480429" cy="2031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Burner</a:t>
            </a:r>
          </a:p>
        </xdr:txBody>
      </xdr:sp>
      <xdr:sp macro="" textlink="">
        <xdr:nvSpPr>
          <xdr:cNvPr id="16" name="Text Box 28"/>
          <xdr:cNvSpPr txBox="1">
            <a:spLocks noChangeArrowheads="1"/>
          </xdr:cNvSpPr>
        </xdr:nvSpPr>
        <xdr:spPr bwMode="auto">
          <a:xfrm>
            <a:off x="1514559" y="2368060"/>
            <a:ext cx="580227" cy="208779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18288" bIns="27432" anchor="ctr">
            <a:spAutoFit/>
          </a:bodyPr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Oxidant</a:t>
            </a:r>
          </a:p>
        </xdr:txBody>
      </xdr:sp>
      <xdr:sp macro="" textlink="">
        <xdr:nvSpPr>
          <xdr:cNvPr id="17" name="Text Box 29"/>
          <xdr:cNvSpPr txBox="1">
            <a:spLocks noChangeArrowheads="1"/>
          </xdr:cNvSpPr>
        </xdr:nvSpPr>
        <xdr:spPr bwMode="auto">
          <a:xfrm>
            <a:off x="1545044" y="2097685"/>
            <a:ext cx="571841" cy="185219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Nat Gas</a:t>
            </a:r>
          </a:p>
        </xdr:txBody>
      </xdr:sp>
      <xdr:sp macro="" textlink="">
        <xdr:nvSpPr>
          <xdr:cNvPr id="44" name="Line 22"/>
          <xdr:cNvSpPr>
            <a:spLocks noChangeShapeType="1"/>
          </xdr:cNvSpPr>
        </xdr:nvSpPr>
        <xdr:spPr bwMode="auto">
          <a:xfrm>
            <a:off x="2104165" y="2476651"/>
            <a:ext cx="417557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Text Box 29"/>
          <xdr:cNvSpPr txBox="1">
            <a:spLocks noChangeArrowheads="1"/>
          </xdr:cNvSpPr>
        </xdr:nvSpPr>
        <xdr:spPr bwMode="auto">
          <a:xfrm>
            <a:off x="4455910" y="1936153"/>
            <a:ext cx="1058965" cy="421287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none" lIns="18288" tIns="36576" rIns="18288" bIns="36576" anchor="ctr">
            <a:noAutofit/>
          </a:bodyPr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Hot offgas</a:t>
            </a:r>
          </a:p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CO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H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O, N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</a:p>
        </xdr:txBody>
      </xdr:sp>
      <xdr:sp macro="" textlink="">
        <xdr:nvSpPr>
          <xdr:cNvPr id="3" name="TextBox 2"/>
          <xdr:cNvSpPr txBox="1"/>
        </xdr:nvSpPr>
        <xdr:spPr>
          <a:xfrm>
            <a:off x="2083613" y="1981207"/>
            <a:ext cx="499988" cy="2584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0">
                <a:latin typeface="Arial" pitchFamily="34" charset="0"/>
                <a:cs typeface="Arial" pitchFamily="34" charset="0"/>
              </a:rPr>
              <a:t>25°C</a:t>
            </a: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2069219" y="2260609"/>
            <a:ext cx="499988" cy="2584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0">
                <a:latin typeface="Arial" pitchFamily="34" charset="0"/>
                <a:cs typeface="Arial" pitchFamily="34" charset="0"/>
              </a:rPr>
              <a:t>25°C</a:t>
            </a:r>
          </a:p>
        </xdr:txBody>
      </xdr:sp>
      <xdr:sp macro="" textlink="">
        <xdr:nvSpPr>
          <xdr:cNvPr id="8" name="Flowchart: Document 7"/>
          <xdr:cNvSpPr/>
        </xdr:nvSpPr>
        <xdr:spPr>
          <a:xfrm flipH="1" flipV="1">
            <a:off x="3454385" y="2065873"/>
            <a:ext cx="711200" cy="533400"/>
          </a:xfrm>
          <a:prstGeom prst="flowChartDocument">
            <a:avLst/>
          </a:prstGeom>
          <a:solidFill>
            <a:srgbClr val="F8AAAC"/>
          </a:solidFill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 b="0"/>
          </a:p>
        </xdr:txBody>
      </xdr:sp>
      <xdr:sp macro="" textlink="">
        <xdr:nvSpPr>
          <xdr:cNvPr id="30" name="Line 23"/>
          <xdr:cNvSpPr>
            <a:spLocks noChangeShapeType="1"/>
          </xdr:cNvSpPr>
        </xdr:nvSpPr>
        <xdr:spPr bwMode="auto">
          <a:xfrm flipV="1">
            <a:off x="4165600" y="2175806"/>
            <a:ext cx="29089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Freeform 11"/>
          <xdr:cNvSpPr/>
        </xdr:nvSpPr>
        <xdr:spPr>
          <a:xfrm>
            <a:off x="5574900" y="2170193"/>
            <a:ext cx="418028" cy="317135"/>
          </a:xfrm>
          <a:custGeom>
            <a:avLst/>
            <a:gdLst>
              <a:gd name="connsiteX0" fmla="*/ 0 w 541866"/>
              <a:gd name="connsiteY0" fmla="*/ 0 h 220133"/>
              <a:gd name="connsiteX1" fmla="*/ 0 w 541866"/>
              <a:gd name="connsiteY1" fmla="*/ 220133 h 220133"/>
              <a:gd name="connsiteX2" fmla="*/ 541866 w 541866"/>
              <a:gd name="connsiteY2" fmla="*/ 220133 h 22013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41866" h="220133">
                <a:moveTo>
                  <a:pt x="0" y="0"/>
                </a:moveTo>
                <a:lnTo>
                  <a:pt x="0" y="220133"/>
                </a:lnTo>
                <a:lnTo>
                  <a:pt x="541866" y="220133"/>
                </a:lnTo>
              </a:path>
            </a:pathLst>
          </a:custGeom>
          <a:ln>
            <a:prstDash val="dash"/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 b="0"/>
          </a:p>
        </xdr:txBody>
      </xdr:sp>
      <xdr:sp macro="" textlink="">
        <xdr:nvSpPr>
          <xdr:cNvPr id="32" name="Line 23"/>
          <xdr:cNvSpPr>
            <a:spLocks noChangeShapeType="1"/>
          </xdr:cNvSpPr>
        </xdr:nvSpPr>
        <xdr:spPr bwMode="auto">
          <a:xfrm flipV="1">
            <a:off x="5512276" y="2168072"/>
            <a:ext cx="378162" cy="195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25"/>
          <xdr:cNvSpPr txBox="1">
            <a:spLocks noChangeArrowheads="1"/>
          </xdr:cNvSpPr>
        </xdr:nvSpPr>
        <xdr:spPr bwMode="auto">
          <a:xfrm>
            <a:off x="3518211" y="2244810"/>
            <a:ext cx="583095" cy="2031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Furnace</a:t>
            </a:r>
          </a:p>
        </xdr:txBody>
      </xdr:sp>
      <xdr:sp macro="" textlink="">
        <xdr:nvSpPr>
          <xdr:cNvPr id="37" name="Text Box 29"/>
          <xdr:cNvSpPr txBox="1">
            <a:spLocks noChangeArrowheads="1"/>
          </xdr:cNvSpPr>
        </xdr:nvSpPr>
        <xdr:spPr bwMode="auto">
          <a:xfrm>
            <a:off x="2706936" y="1834642"/>
            <a:ext cx="743268" cy="192977"/>
          </a:xfrm>
          <a:prstGeom prst="rect">
            <a:avLst/>
          </a:prstGeom>
          <a:solidFill>
            <a:srgbClr val="FFC000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Raw Matl.</a:t>
            </a:r>
          </a:p>
        </xdr:txBody>
      </xdr:sp>
      <xdr:sp macro="" textlink="">
        <xdr:nvSpPr>
          <xdr:cNvPr id="40" name="Text Box 29"/>
          <xdr:cNvSpPr txBox="1">
            <a:spLocks noChangeArrowheads="1"/>
          </xdr:cNvSpPr>
        </xdr:nvSpPr>
        <xdr:spPr bwMode="auto">
          <a:xfrm>
            <a:off x="4460822" y="2435232"/>
            <a:ext cx="863234" cy="203055"/>
          </a:xfrm>
          <a:prstGeom prst="rect">
            <a:avLst/>
          </a:prstGeom>
          <a:solidFill>
            <a:srgbClr val="FFC000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5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Hot product</a:t>
            </a:r>
          </a:p>
        </xdr:txBody>
      </xdr:sp>
      <xdr:sp macro="" textlink="">
        <xdr:nvSpPr>
          <xdr:cNvPr id="63" name="Line 23"/>
          <xdr:cNvSpPr>
            <a:spLocks noChangeShapeType="1"/>
          </xdr:cNvSpPr>
        </xdr:nvSpPr>
        <xdr:spPr bwMode="auto">
          <a:xfrm flipV="1">
            <a:off x="4171335" y="2536890"/>
            <a:ext cx="29857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</xdr:col>
      <xdr:colOff>169333</xdr:colOff>
      <xdr:row>16</xdr:row>
      <xdr:rowOff>41487</xdr:rowOff>
    </xdr:from>
    <xdr:ext cx="3475503" cy="499533"/>
    <xdr:sp macro="" textlink="">
      <xdr:nvSpPr>
        <xdr:cNvPr id="6" name="TextBox 5"/>
        <xdr:cNvSpPr txBox="1"/>
      </xdr:nvSpPr>
      <xdr:spPr>
        <a:xfrm>
          <a:off x="1159933" y="2975187"/>
          <a:ext cx="3475503" cy="49953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/>
            <a:t>Enter/Edit values in blue-bordered cells only!</a:t>
          </a:r>
        </a:p>
        <a:p>
          <a:endParaRPr lang="en-US" sz="1400"/>
        </a:p>
      </xdr:txBody>
    </xdr:sp>
    <xdr:clientData/>
  </xdr:oneCellAnchor>
  <xdr:oneCellAnchor>
    <xdr:from>
      <xdr:col>4</xdr:col>
      <xdr:colOff>273353</xdr:colOff>
      <xdr:row>16</xdr:row>
      <xdr:rowOff>311696</xdr:rowOff>
    </xdr:from>
    <xdr:ext cx="651460" cy="203200"/>
    <xdr:sp macro="" textlink="">
      <xdr:nvSpPr>
        <xdr:cNvPr id="9" name="TextBox 8"/>
        <xdr:cNvSpPr txBox="1"/>
      </xdr:nvSpPr>
      <xdr:spPr>
        <a:xfrm>
          <a:off x="2719373" y="3245396"/>
          <a:ext cx="651460" cy="2032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Like this</a:t>
          </a:r>
        </a:p>
      </xdr:txBody>
    </xdr:sp>
    <xdr:clientData/>
  </xdr:oneCellAnchor>
  <xdr:oneCellAnchor>
    <xdr:from>
      <xdr:col>1</xdr:col>
      <xdr:colOff>736600</xdr:colOff>
      <xdr:row>31</xdr:row>
      <xdr:rowOff>118534</xdr:rowOff>
    </xdr:from>
    <xdr:ext cx="5723467" cy="254000"/>
    <xdr:sp macro="" textlink="">
      <xdr:nvSpPr>
        <xdr:cNvPr id="7" name="TextBox 6"/>
        <xdr:cNvSpPr txBox="1"/>
      </xdr:nvSpPr>
      <xdr:spPr>
        <a:xfrm>
          <a:off x="939800" y="6138334"/>
          <a:ext cx="5723467" cy="254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400"/>
            <a:t>Thermodynamic Data</a:t>
          </a:r>
        </a:p>
      </xdr:txBody>
    </xdr:sp>
    <xdr:clientData/>
  </xdr:oneCellAnchor>
  <xdr:twoCellAnchor>
    <xdr:from>
      <xdr:col>7</xdr:col>
      <xdr:colOff>136069</xdr:colOff>
      <xdr:row>47</xdr:row>
      <xdr:rowOff>223157</xdr:rowOff>
    </xdr:from>
    <xdr:to>
      <xdr:col>15</xdr:col>
      <xdr:colOff>550938</xdr:colOff>
      <xdr:row>66</xdr:row>
      <xdr:rowOff>43543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574401</xdr:colOff>
      <xdr:row>7</xdr:row>
      <xdr:rowOff>54066</xdr:rowOff>
    </xdr:from>
    <xdr:to>
      <xdr:col>20</xdr:col>
      <xdr:colOff>521788</xdr:colOff>
      <xdr:row>21</xdr:row>
      <xdr:rowOff>188082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6</xdr:row>
          <xdr:rowOff>106680</xdr:rowOff>
        </xdr:from>
        <xdr:to>
          <xdr:col>1</xdr:col>
          <xdr:colOff>819694</xdr:colOff>
          <xdr:row>10</xdr:row>
          <xdr:rowOff>121919</xdr:rowOff>
        </xdr:to>
        <xdr:sp macro="" textlink="">
          <xdr:nvSpPr>
            <xdr:cNvPr id="4116" name="Object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109945</xdr:colOff>
      <xdr:row>6</xdr:row>
      <xdr:rowOff>104140</xdr:rowOff>
    </xdr:from>
    <xdr:to>
      <xdr:col>3</xdr:col>
      <xdr:colOff>231501</xdr:colOff>
      <xdr:row>8</xdr:row>
      <xdr:rowOff>153850</xdr:rowOff>
    </xdr:to>
    <xdr:sp macro="" textlink="">
      <xdr:nvSpPr>
        <xdr:cNvPr id="38" name="AutoShape 31"/>
        <xdr:cNvSpPr>
          <a:spLocks noChangeArrowheads="1"/>
        </xdr:cNvSpPr>
      </xdr:nvSpPr>
      <xdr:spPr bwMode="auto">
        <a:xfrm>
          <a:off x="1307374" y="1337854"/>
          <a:ext cx="928913" cy="376282"/>
        </a:xfrm>
        <a:prstGeom prst="wedgeRoundRectCallout">
          <a:avLst>
            <a:gd name="adj1" fmla="val -80468"/>
            <a:gd name="adj2" fmla="val 48170"/>
            <a:gd name="adj3" fmla="val 16667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read this document.</a:t>
          </a:r>
          <a:endParaRPr lang="en-US"/>
        </a:p>
      </xdr:txBody>
    </xdr:sp>
    <xdr:clientData/>
  </xdr:twoCellAnchor>
  <xdr:twoCellAnchor>
    <xdr:from>
      <xdr:col>4</xdr:col>
      <xdr:colOff>9</xdr:colOff>
      <xdr:row>10</xdr:row>
      <xdr:rowOff>137160</xdr:rowOff>
    </xdr:from>
    <xdr:to>
      <xdr:col>4</xdr:col>
      <xdr:colOff>121929</xdr:colOff>
      <xdr:row>12</xdr:row>
      <xdr:rowOff>15240</xdr:rowOff>
    </xdr:to>
    <xdr:sp macro="" textlink="">
      <xdr:nvSpPr>
        <xdr:cNvPr id="15" name="Freeform 14"/>
        <xdr:cNvSpPr/>
      </xdr:nvSpPr>
      <xdr:spPr>
        <a:xfrm>
          <a:off x="2648866" y="2033089"/>
          <a:ext cx="121920" cy="240937"/>
        </a:xfrm>
        <a:custGeom>
          <a:avLst/>
          <a:gdLst>
            <a:gd name="connsiteX0" fmla="*/ 0 w 121920"/>
            <a:gd name="connsiteY0" fmla="*/ 0 h 243840"/>
            <a:gd name="connsiteX1" fmla="*/ 121920 w 121920"/>
            <a:gd name="connsiteY1" fmla="*/ 0 h 243840"/>
            <a:gd name="connsiteX2" fmla="*/ 121920 w 121920"/>
            <a:gd name="connsiteY2" fmla="*/ 243840 h 2438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1920" h="243840">
              <a:moveTo>
                <a:pt x="0" y="0"/>
              </a:moveTo>
              <a:lnTo>
                <a:pt x="121920" y="0"/>
              </a:lnTo>
              <a:lnTo>
                <a:pt x="121920" y="243840"/>
              </a:lnTo>
            </a:path>
          </a:pathLst>
        </a:cu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57150</xdr:colOff>
      <xdr:row>9</xdr:row>
      <xdr:rowOff>133350</xdr:rowOff>
    </xdr:from>
    <xdr:ext cx="828675" cy="428625"/>
    <xdr:sp macro="" textlink="">
      <xdr:nvSpPr>
        <xdr:cNvPr id="2" name="Text Box 19"/>
        <xdr:cNvSpPr txBox="1">
          <a:spLocks noChangeArrowheads="1"/>
        </xdr:cNvSpPr>
      </xdr:nvSpPr>
      <xdr:spPr bwMode="auto">
        <a:xfrm>
          <a:off x="6922770" y="3493770"/>
          <a:ext cx="828675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Calculator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#1</a:t>
          </a:r>
          <a:endParaRPr lang="en-US"/>
        </a:p>
      </xdr:txBody>
    </xdr:sp>
    <xdr:clientData/>
  </xdr:oneCellAnchor>
  <xdr:twoCellAnchor editAs="oneCell">
    <xdr:from>
      <xdr:col>0</xdr:col>
      <xdr:colOff>400051</xdr:colOff>
      <xdr:row>1</xdr:row>
      <xdr:rowOff>333375</xdr:rowOff>
    </xdr:from>
    <xdr:to>
      <xdr:col>2</xdr:col>
      <xdr:colOff>257175</xdr:colOff>
      <xdr:row>1</xdr:row>
      <xdr:rowOff>1031081</xdr:rowOff>
    </xdr:to>
    <xdr:sp macro="" textlink="">
      <xdr:nvSpPr>
        <xdr:cNvPr id="5" name="Text Box 34"/>
        <xdr:cNvSpPr txBox="1">
          <a:spLocks noChangeArrowheads="1"/>
        </xdr:cNvSpPr>
      </xdr:nvSpPr>
      <xdr:spPr bwMode="auto">
        <a:xfrm>
          <a:off x="400051" y="504825"/>
          <a:ext cx="1457324" cy="6977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Calculator created by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A. E. Morris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Thermart Software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www.thermart.net</a:t>
          </a:r>
          <a:endParaRPr lang="en-US"/>
        </a:p>
      </xdr:txBody>
    </xdr:sp>
    <xdr:clientData/>
  </xdr:twoCellAnchor>
  <xdr:oneCellAnchor>
    <xdr:from>
      <xdr:col>3</xdr:col>
      <xdr:colOff>219075</xdr:colOff>
      <xdr:row>2</xdr:row>
      <xdr:rowOff>200025</xdr:rowOff>
    </xdr:from>
    <xdr:ext cx="3251211" cy="333375"/>
    <xdr:sp macro="" textlink="">
      <xdr:nvSpPr>
        <xdr:cNvPr id="30" name="TextBox 29"/>
        <xdr:cNvSpPr txBox="1"/>
      </xdr:nvSpPr>
      <xdr:spPr>
        <a:xfrm>
          <a:off x="2047875" y="1704975"/>
          <a:ext cx="3251211" cy="3333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/>
            <a:t>Do not edit/enter values in any cells!</a:t>
          </a:r>
        </a:p>
        <a:p>
          <a:endParaRPr lang="en-US" sz="1600"/>
        </a:p>
      </xdr:txBody>
    </xdr:sp>
    <xdr:clientData/>
  </xdr:oneCellAnchor>
  <xdr:twoCellAnchor editAs="absolute">
    <xdr:from>
      <xdr:col>10</xdr:col>
      <xdr:colOff>40382</xdr:colOff>
      <xdr:row>1</xdr:row>
      <xdr:rowOff>162246</xdr:rowOff>
    </xdr:from>
    <xdr:to>
      <xdr:col>10</xdr:col>
      <xdr:colOff>401261</xdr:colOff>
      <xdr:row>1</xdr:row>
      <xdr:rowOff>506171</xdr:rowOff>
    </xdr:to>
    <xdr:sp macro="" textlink="">
      <xdr:nvSpPr>
        <xdr:cNvPr id="31" name="Lightning Bolt 30"/>
        <xdr:cNvSpPr/>
      </xdr:nvSpPr>
      <xdr:spPr>
        <a:xfrm flipV="1">
          <a:off x="6617266" y="374628"/>
          <a:ext cx="363453" cy="3439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7</xdr:col>
      <xdr:colOff>558911</xdr:colOff>
      <xdr:row>1</xdr:row>
      <xdr:rowOff>527768</xdr:rowOff>
    </xdr:from>
    <xdr:to>
      <xdr:col>8</xdr:col>
      <xdr:colOff>510509</xdr:colOff>
      <xdr:row>1</xdr:row>
      <xdr:rowOff>922018</xdr:rowOff>
    </xdr:to>
    <xdr:sp macro="" textlink="">
      <xdr:nvSpPr>
        <xdr:cNvPr id="32" name="AutoShape 17" descr="50%"/>
        <xdr:cNvSpPr>
          <a:spLocks noChangeArrowheads="1"/>
        </xdr:cNvSpPr>
      </xdr:nvSpPr>
      <xdr:spPr bwMode="auto">
        <a:xfrm rot="16200000">
          <a:off x="5321477" y="657706"/>
          <a:ext cx="394250" cy="559138"/>
        </a:xfrm>
        <a:custGeom>
          <a:avLst/>
          <a:gdLst>
            <a:gd name="T0" fmla="*/ 2147483647 w 21600"/>
            <a:gd name="T1" fmla="*/ 2147483647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pattFill prst="pct50">
          <a:fgClr>
            <a:srgbClr val="C0C0C0"/>
          </a:fgClr>
          <a:bgClr>
            <a:srgbClr val="FFFFFF"/>
          </a:bgClr>
        </a:pattFill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7</xdr:col>
      <xdr:colOff>154942</xdr:colOff>
      <xdr:row>1</xdr:row>
      <xdr:rowOff>590171</xdr:rowOff>
    </xdr:from>
    <xdr:to>
      <xdr:col>7</xdr:col>
      <xdr:colOff>568448</xdr:colOff>
      <xdr:row>1</xdr:row>
      <xdr:rowOff>590171</xdr:rowOff>
    </xdr:to>
    <xdr:sp macro="" textlink="">
      <xdr:nvSpPr>
        <xdr:cNvPr id="33" name="Line 22"/>
        <xdr:cNvSpPr>
          <a:spLocks noChangeShapeType="1"/>
        </xdr:cNvSpPr>
      </xdr:nvSpPr>
      <xdr:spPr bwMode="auto">
        <a:xfrm>
          <a:off x="4837123" y="802553"/>
          <a:ext cx="411447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8</xdr:col>
      <xdr:colOff>507917</xdr:colOff>
      <xdr:row>1</xdr:row>
      <xdr:rowOff>742975</xdr:rowOff>
    </xdr:from>
    <xdr:to>
      <xdr:col>9</xdr:col>
      <xdr:colOff>209035</xdr:colOff>
      <xdr:row>1</xdr:row>
      <xdr:rowOff>742975</xdr:rowOff>
    </xdr:to>
    <xdr:sp macro="" textlink="">
      <xdr:nvSpPr>
        <xdr:cNvPr id="34" name="Line 23"/>
        <xdr:cNvSpPr>
          <a:spLocks noChangeShapeType="1"/>
        </xdr:cNvSpPr>
      </xdr:nvSpPr>
      <xdr:spPr bwMode="auto">
        <a:xfrm flipV="1">
          <a:off x="5795579" y="955357"/>
          <a:ext cx="310718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7</xdr:col>
      <xdr:colOff>587954</xdr:colOff>
      <xdr:row>1</xdr:row>
      <xdr:rowOff>606481</xdr:rowOff>
    </xdr:from>
    <xdr:to>
      <xdr:col>8</xdr:col>
      <xdr:colOff>480664</xdr:colOff>
      <xdr:row>1</xdr:row>
      <xdr:rowOff>822447</xdr:rowOff>
    </xdr:to>
    <xdr:sp macro="" textlink="">
      <xdr:nvSpPr>
        <xdr:cNvPr id="35" name="Text Box 25"/>
        <xdr:cNvSpPr txBox="1">
          <a:spLocks noChangeArrowheads="1"/>
        </xdr:cNvSpPr>
      </xdr:nvSpPr>
      <xdr:spPr bwMode="auto">
        <a:xfrm>
          <a:off x="5268076" y="818863"/>
          <a:ext cx="500250" cy="2159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Burner</a:t>
          </a:r>
        </a:p>
      </xdr:txBody>
    </xdr:sp>
    <xdr:clientData/>
  </xdr:twoCellAnchor>
  <xdr:twoCellAnchor editAs="absolute">
    <xdr:from>
      <xdr:col>6</xdr:col>
      <xdr:colOff>252656</xdr:colOff>
      <xdr:row>1</xdr:row>
      <xdr:rowOff>749128</xdr:rowOff>
    </xdr:from>
    <xdr:to>
      <xdr:col>7</xdr:col>
      <xdr:colOff>138325</xdr:colOff>
      <xdr:row>1</xdr:row>
      <xdr:rowOff>916546</xdr:rowOff>
    </xdr:to>
    <xdr:sp macro="" textlink="">
      <xdr:nvSpPr>
        <xdr:cNvPr id="36" name="Text Box 28"/>
        <xdr:cNvSpPr txBox="1">
          <a:spLocks noChangeArrowheads="1"/>
        </xdr:cNvSpPr>
      </xdr:nvSpPr>
      <xdr:spPr bwMode="auto">
        <a:xfrm>
          <a:off x="4306187" y="961510"/>
          <a:ext cx="514319" cy="167418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Oxidant</a:t>
          </a:r>
        </a:p>
      </xdr:txBody>
    </xdr:sp>
    <xdr:clientData/>
  </xdr:twoCellAnchor>
  <xdr:twoCellAnchor editAs="absolute">
    <xdr:from>
      <xdr:col>6</xdr:col>
      <xdr:colOff>247650</xdr:colOff>
      <xdr:row>1</xdr:row>
      <xdr:rowOff>483205</xdr:rowOff>
    </xdr:from>
    <xdr:to>
      <xdr:col>7</xdr:col>
      <xdr:colOff>149833</xdr:colOff>
      <xdr:row>1</xdr:row>
      <xdr:rowOff>663277</xdr:rowOff>
    </xdr:to>
    <xdr:sp macro="" textlink="">
      <xdr:nvSpPr>
        <xdr:cNvPr id="37" name="Text Box 29"/>
        <xdr:cNvSpPr txBox="1">
          <a:spLocks noChangeArrowheads="1"/>
        </xdr:cNvSpPr>
      </xdr:nvSpPr>
      <xdr:spPr bwMode="auto">
        <a:xfrm>
          <a:off x="4301181" y="695587"/>
          <a:ext cx="530833" cy="180072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Nat Gas</a:t>
          </a:r>
        </a:p>
      </xdr:txBody>
    </xdr:sp>
    <xdr:clientData/>
  </xdr:twoCellAnchor>
  <xdr:twoCellAnchor editAs="absolute">
    <xdr:from>
      <xdr:col>7</xdr:col>
      <xdr:colOff>137100</xdr:colOff>
      <xdr:row>1</xdr:row>
      <xdr:rowOff>863673</xdr:rowOff>
    </xdr:from>
    <xdr:to>
      <xdr:col>7</xdr:col>
      <xdr:colOff>557229</xdr:colOff>
      <xdr:row>1</xdr:row>
      <xdr:rowOff>863673</xdr:rowOff>
    </xdr:to>
    <xdr:sp macro="" textlink="">
      <xdr:nvSpPr>
        <xdr:cNvPr id="38" name="Line 22"/>
        <xdr:cNvSpPr>
          <a:spLocks noChangeShapeType="1"/>
        </xdr:cNvSpPr>
      </xdr:nvSpPr>
      <xdr:spPr bwMode="auto">
        <a:xfrm>
          <a:off x="4819281" y="1076055"/>
          <a:ext cx="41807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10</xdr:col>
      <xdr:colOff>647362</xdr:colOff>
      <xdr:row>1</xdr:row>
      <xdr:rowOff>460972</xdr:rowOff>
    </xdr:from>
    <xdr:to>
      <xdr:col>12</xdr:col>
      <xdr:colOff>313581</xdr:colOff>
      <xdr:row>1</xdr:row>
      <xdr:rowOff>840084</xdr:rowOff>
    </xdr:to>
    <xdr:sp macro="" textlink="">
      <xdr:nvSpPr>
        <xdr:cNvPr id="39" name="Text Box 29"/>
        <xdr:cNvSpPr txBox="1">
          <a:spLocks noChangeArrowheads="1"/>
        </xdr:cNvSpPr>
      </xdr:nvSpPr>
      <xdr:spPr bwMode="auto">
        <a:xfrm>
          <a:off x="7226820" y="673354"/>
          <a:ext cx="1022888" cy="379112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 offgas</a:t>
          </a:r>
        </a:p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CO</a:t>
          </a:r>
          <a:r>
            <a:rPr lang="en-US" sz="1000" b="0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, H</a:t>
          </a:r>
          <a:r>
            <a:rPr lang="en-US" sz="1000" b="0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O, N</a:t>
          </a:r>
          <a:r>
            <a:rPr lang="en-US" sz="1000" b="0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, O</a:t>
          </a:r>
          <a:r>
            <a:rPr lang="en-US" sz="1000" b="0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</a:p>
      </xdr:txBody>
    </xdr:sp>
    <xdr:clientData/>
  </xdr:twoCellAnchor>
  <xdr:twoCellAnchor editAs="absolute">
    <xdr:from>
      <xdr:col>7</xdr:col>
      <xdr:colOff>105079</xdr:colOff>
      <xdr:row>1</xdr:row>
      <xdr:rowOff>379619</xdr:rowOff>
    </xdr:from>
    <xdr:to>
      <xdr:col>7</xdr:col>
      <xdr:colOff>558393</xdr:colOff>
      <xdr:row>1</xdr:row>
      <xdr:rowOff>641733</xdr:rowOff>
    </xdr:to>
    <xdr:sp macro="" textlink="">
      <xdr:nvSpPr>
        <xdr:cNvPr id="40" name="TextBox 39"/>
        <xdr:cNvSpPr txBox="1"/>
      </xdr:nvSpPr>
      <xdr:spPr>
        <a:xfrm>
          <a:off x="4787260" y="592001"/>
          <a:ext cx="451255" cy="262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25°C</a:t>
          </a:r>
        </a:p>
      </xdr:txBody>
    </xdr:sp>
    <xdr:clientData/>
  </xdr:twoCellAnchor>
  <xdr:twoCellAnchor editAs="absolute">
    <xdr:from>
      <xdr:col>7</xdr:col>
      <xdr:colOff>105079</xdr:colOff>
      <xdr:row>1</xdr:row>
      <xdr:rowOff>649200</xdr:rowOff>
    </xdr:from>
    <xdr:to>
      <xdr:col>7</xdr:col>
      <xdr:colOff>558393</xdr:colOff>
      <xdr:row>1</xdr:row>
      <xdr:rowOff>911314</xdr:rowOff>
    </xdr:to>
    <xdr:sp macro="" textlink="">
      <xdr:nvSpPr>
        <xdr:cNvPr id="41" name="TextBox 40"/>
        <xdr:cNvSpPr txBox="1"/>
      </xdr:nvSpPr>
      <xdr:spPr>
        <a:xfrm>
          <a:off x="4787260" y="861582"/>
          <a:ext cx="451255" cy="262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25°C</a:t>
          </a:r>
        </a:p>
      </xdr:txBody>
    </xdr:sp>
    <xdr:clientData/>
  </xdr:twoCellAnchor>
  <xdr:twoCellAnchor editAs="absolute">
    <xdr:from>
      <xdr:col>9</xdr:col>
      <xdr:colOff>212435</xdr:colOff>
      <xdr:row>1</xdr:row>
      <xdr:rowOff>425761</xdr:rowOff>
    </xdr:from>
    <xdr:to>
      <xdr:col>10</xdr:col>
      <xdr:colOff>375827</xdr:colOff>
      <xdr:row>1</xdr:row>
      <xdr:rowOff>954231</xdr:rowOff>
    </xdr:to>
    <xdr:sp macro="" textlink="">
      <xdr:nvSpPr>
        <xdr:cNvPr id="42" name="Flowchart: Document 41"/>
        <xdr:cNvSpPr/>
      </xdr:nvSpPr>
      <xdr:spPr>
        <a:xfrm flipH="1" flipV="1">
          <a:off x="6109697" y="638143"/>
          <a:ext cx="845588" cy="528470"/>
        </a:xfrm>
        <a:prstGeom prst="flowChartDocument">
          <a:avLst/>
        </a:prstGeom>
        <a:solidFill>
          <a:srgbClr val="F8AAAC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10</xdr:col>
      <xdr:colOff>360920</xdr:colOff>
      <xdr:row>1</xdr:row>
      <xdr:rowOff>677237</xdr:rowOff>
    </xdr:from>
    <xdr:to>
      <xdr:col>10</xdr:col>
      <xdr:colOff>649538</xdr:colOff>
      <xdr:row>1</xdr:row>
      <xdr:rowOff>677237</xdr:rowOff>
    </xdr:to>
    <xdr:sp macro="" textlink="">
      <xdr:nvSpPr>
        <xdr:cNvPr id="43" name="Line 23"/>
        <xdr:cNvSpPr>
          <a:spLocks noChangeShapeType="1"/>
        </xdr:cNvSpPr>
      </xdr:nvSpPr>
      <xdr:spPr bwMode="auto">
        <a:xfrm flipV="1">
          <a:off x="6940378" y="889619"/>
          <a:ext cx="288618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12</xdr:col>
      <xdr:colOff>153716</xdr:colOff>
      <xdr:row>1</xdr:row>
      <xdr:rowOff>856844</xdr:rowOff>
    </xdr:from>
    <xdr:to>
      <xdr:col>12</xdr:col>
      <xdr:colOff>682045</xdr:colOff>
      <xdr:row>1</xdr:row>
      <xdr:rowOff>991051</xdr:rowOff>
    </xdr:to>
    <xdr:sp macro="" textlink="">
      <xdr:nvSpPr>
        <xdr:cNvPr id="44" name="Freeform 43"/>
        <xdr:cNvSpPr/>
      </xdr:nvSpPr>
      <xdr:spPr>
        <a:xfrm>
          <a:off x="8089843" y="1069226"/>
          <a:ext cx="537082" cy="134207"/>
        </a:xfrm>
        <a:custGeom>
          <a:avLst/>
          <a:gdLst>
            <a:gd name="connsiteX0" fmla="*/ 0 w 541866"/>
            <a:gd name="connsiteY0" fmla="*/ 0 h 220133"/>
            <a:gd name="connsiteX1" fmla="*/ 0 w 541866"/>
            <a:gd name="connsiteY1" fmla="*/ 220133 h 220133"/>
            <a:gd name="connsiteX2" fmla="*/ 541866 w 541866"/>
            <a:gd name="connsiteY2" fmla="*/ 220133 h 220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41866" h="220133">
              <a:moveTo>
                <a:pt x="0" y="0"/>
              </a:moveTo>
              <a:lnTo>
                <a:pt x="0" y="220133"/>
              </a:lnTo>
              <a:lnTo>
                <a:pt x="541866" y="220133"/>
              </a:lnTo>
            </a:path>
          </a:pathLst>
        </a:custGeom>
        <a:ln>
          <a:prstDash val="dash"/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12</xdr:col>
      <xdr:colOff>319448</xdr:colOff>
      <xdr:row>1</xdr:row>
      <xdr:rowOff>623225</xdr:rowOff>
    </xdr:from>
    <xdr:to>
      <xdr:col>12</xdr:col>
      <xdr:colOff>689321</xdr:colOff>
      <xdr:row>1</xdr:row>
      <xdr:rowOff>625159</xdr:rowOff>
    </xdr:to>
    <xdr:sp macro="" textlink="">
      <xdr:nvSpPr>
        <xdr:cNvPr id="45" name="Line 23"/>
        <xdr:cNvSpPr>
          <a:spLocks noChangeShapeType="1"/>
        </xdr:cNvSpPr>
      </xdr:nvSpPr>
      <xdr:spPr bwMode="auto">
        <a:xfrm flipV="1">
          <a:off x="8255575" y="835607"/>
          <a:ext cx="378626" cy="1934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10</xdr:col>
      <xdr:colOff>256366</xdr:colOff>
      <xdr:row>0</xdr:row>
      <xdr:rowOff>206836</xdr:rowOff>
    </xdr:from>
    <xdr:to>
      <xdr:col>11</xdr:col>
      <xdr:colOff>344665</xdr:colOff>
      <xdr:row>1</xdr:row>
      <xdr:rowOff>165946</xdr:rowOff>
    </xdr:to>
    <xdr:sp macro="" textlink="">
      <xdr:nvSpPr>
        <xdr:cNvPr id="46" name="Text Box 29"/>
        <xdr:cNvSpPr txBox="1">
          <a:spLocks noChangeArrowheads="1"/>
        </xdr:cNvSpPr>
      </xdr:nvSpPr>
      <xdr:spPr bwMode="auto">
        <a:xfrm>
          <a:off x="6835824" y="200143"/>
          <a:ext cx="749643" cy="178185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Heat loss</a:t>
          </a:r>
        </a:p>
      </xdr:txBody>
    </xdr:sp>
    <xdr:clientData/>
  </xdr:twoCellAnchor>
  <xdr:twoCellAnchor editAs="absolute">
    <xdr:from>
      <xdr:col>9</xdr:col>
      <xdr:colOff>289669</xdr:colOff>
      <xdr:row>1</xdr:row>
      <xdr:rowOff>632450</xdr:rowOff>
    </xdr:from>
    <xdr:to>
      <xdr:col>10</xdr:col>
      <xdr:colOff>197154</xdr:colOff>
      <xdr:row>1</xdr:row>
      <xdr:rowOff>830719</xdr:rowOff>
    </xdr:to>
    <xdr:sp macro="" textlink="">
      <xdr:nvSpPr>
        <xdr:cNvPr id="47" name="Text Box 25"/>
        <xdr:cNvSpPr txBox="1">
          <a:spLocks noChangeArrowheads="1"/>
        </xdr:cNvSpPr>
      </xdr:nvSpPr>
      <xdr:spPr bwMode="auto">
        <a:xfrm>
          <a:off x="6190278" y="844832"/>
          <a:ext cx="583760" cy="19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Furnace</a:t>
          </a:r>
        </a:p>
      </xdr:txBody>
    </xdr:sp>
    <xdr:clientData/>
  </xdr:twoCellAnchor>
  <xdr:twoCellAnchor editAs="absolute">
    <xdr:from>
      <xdr:col>12</xdr:col>
      <xdr:colOff>474786</xdr:colOff>
      <xdr:row>1</xdr:row>
      <xdr:rowOff>815070</xdr:rowOff>
    </xdr:from>
    <xdr:to>
      <xdr:col>14</xdr:col>
      <xdr:colOff>1087</xdr:colOff>
      <xdr:row>1</xdr:row>
      <xdr:rowOff>1285875</xdr:rowOff>
    </xdr:to>
    <xdr:sp macro="" textlink="">
      <xdr:nvSpPr>
        <xdr:cNvPr id="48" name="TextBox 47"/>
        <xdr:cNvSpPr txBox="1"/>
      </xdr:nvSpPr>
      <xdr:spPr>
        <a:xfrm>
          <a:off x="8419666" y="1027452"/>
          <a:ext cx="917980" cy="475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/>
            <a:t>Dried</a:t>
          </a:r>
        </a:p>
        <a:p>
          <a:pPr algn="ctr"/>
          <a:r>
            <a:rPr lang="en-US" sz="1100"/>
            <a:t>(for analysis)</a:t>
          </a:r>
        </a:p>
      </xdr:txBody>
    </xdr:sp>
    <xdr:clientData/>
  </xdr:twoCellAnchor>
  <xdr:twoCellAnchor>
    <xdr:from>
      <xdr:col>10</xdr:col>
      <xdr:colOff>561975</xdr:colOff>
      <xdr:row>20</xdr:row>
      <xdr:rowOff>9525</xdr:rowOff>
    </xdr:from>
    <xdr:to>
      <xdr:col>11</xdr:col>
      <xdr:colOff>57150</xdr:colOff>
      <xdr:row>23</xdr:row>
      <xdr:rowOff>161925</xdr:rowOff>
    </xdr:to>
    <xdr:sp macro="" textlink="">
      <xdr:nvSpPr>
        <xdr:cNvPr id="25" name="Left Brace 24"/>
        <xdr:cNvSpPr/>
      </xdr:nvSpPr>
      <xdr:spPr>
        <a:xfrm>
          <a:off x="6724650" y="4819650"/>
          <a:ext cx="171450" cy="723900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561975</xdr:colOff>
      <xdr:row>25</xdr:row>
      <xdr:rowOff>9525</xdr:rowOff>
    </xdr:from>
    <xdr:to>
      <xdr:col>11</xdr:col>
      <xdr:colOff>57150</xdr:colOff>
      <xdr:row>28</xdr:row>
      <xdr:rowOff>161925</xdr:rowOff>
    </xdr:to>
    <xdr:sp macro="" textlink="">
      <xdr:nvSpPr>
        <xdr:cNvPr id="26" name="Left Brace 25"/>
        <xdr:cNvSpPr/>
      </xdr:nvSpPr>
      <xdr:spPr>
        <a:xfrm>
          <a:off x="6724650" y="4819650"/>
          <a:ext cx="171450" cy="723900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124461</xdr:colOff>
      <xdr:row>2</xdr:row>
      <xdr:rowOff>104776</xdr:rowOff>
    </xdr:from>
    <xdr:to>
      <xdr:col>21</xdr:col>
      <xdr:colOff>238125</xdr:colOff>
      <xdr:row>26</xdr:row>
      <xdr:rowOff>126998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33868</xdr:colOff>
      <xdr:row>13</xdr:row>
      <xdr:rowOff>16933</xdr:rowOff>
    </xdr:from>
    <xdr:to>
      <xdr:col>2</xdr:col>
      <xdr:colOff>254002</xdr:colOff>
      <xdr:row>19</xdr:row>
      <xdr:rowOff>143933</xdr:rowOff>
    </xdr:to>
    <xdr:sp macro="" textlink="">
      <xdr:nvSpPr>
        <xdr:cNvPr id="3" name="Left Brace 2"/>
        <xdr:cNvSpPr/>
      </xdr:nvSpPr>
      <xdr:spPr>
        <a:xfrm>
          <a:off x="1253068" y="2387600"/>
          <a:ext cx="220134" cy="1143000"/>
        </a:xfrm>
        <a:prstGeom prst="leftBrace">
          <a:avLst>
            <a:gd name="adj1" fmla="val 31410"/>
            <a:gd name="adj2" fmla="val 4925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23066</xdr:colOff>
      <xdr:row>5</xdr:row>
      <xdr:rowOff>33866</xdr:rowOff>
    </xdr:from>
    <xdr:to>
      <xdr:col>2</xdr:col>
      <xdr:colOff>246704</xdr:colOff>
      <xdr:row>11</xdr:row>
      <xdr:rowOff>160866</xdr:rowOff>
    </xdr:to>
    <xdr:sp macro="" textlink="">
      <xdr:nvSpPr>
        <xdr:cNvPr id="4" name="Left Brace 3"/>
        <xdr:cNvSpPr/>
      </xdr:nvSpPr>
      <xdr:spPr>
        <a:xfrm>
          <a:off x="1249273" y="1014832"/>
          <a:ext cx="223638" cy="1221827"/>
        </a:xfrm>
        <a:prstGeom prst="leftBrace">
          <a:avLst>
            <a:gd name="adj1" fmla="val 31410"/>
            <a:gd name="adj2" fmla="val 4925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129540</xdr:colOff>
          <xdr:row>9</xdr:row>
          <xdr:rowOff>53340</xdr:rowOff>
        </xdr:from>
        <xdr:to>
          <xdr:col>1</xdr:col>
          <xdr:colOff>563880</xdr:colOff>
          <xdr:row>14</xdr:row>
          <xdr:rowOff>68580</xdr:rowOff>
        </xdr:to>
        <xdr:sp macro="" textlink="">
          <xdr:nvSpPr>
            <xdr:cNvPr id="7174" name="Object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304800</xdr:colOff>
      <xdr:row>13</xdr:row>
      <xdr:rowOff>101598</xdr:rowOff>
    </xdr:from>
    <xdr:ext cx="725840" cy="169335"/>
    <xdr:sp macro="" textlink="">
      <xdr:nvSpPr>
        <xdr:cNvPr id="6" name="TextBox 5"/>
        <xdr:cNvSpPr txBox="1"/>
      </xdr:nvSpPr>
      <xdr:spPr>
        <a:xfrm>
          <a:off x="304800" y="2429931"/>
          <a:ext cx="725840" cy="169335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/>
            <a:t>Please read</a:t>
          </a:r>
        </a:p>
      </xdr:txBody>
    </xdr:sp>
    <xdr:clientData/>
  </xdr:oneCellAnchor>
  <xdr:oneCellAnchor>
    <xdr:from>
      <xdr:col>30</xdr:col>
      <xdr:colOff>105993</xdr:colOff>
      <xdr:row>4</xdr:row>
      <xdr:rowOff>106377</xdr:rowOff>
    </xdr:from>
    <xdr:ext cx="1000486" cy="387286"/>
    <xdr:sp macro="" textlink="">
      <xdr:nvSpPr>
        <xdr:cNvPr id="7" name="TextBox 6"/>
        <xdr:cNvSpPr txBox="1"/>
      </xdr:nvSpPr>
      <xdr:spPr>
        <a:xfrm>
          <a:off x="17448062" y="903411"/>
          <a:ext cx="1000486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Dried offgas</a:t>
          </a:r>
        </a:p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(for analysis)</a:t>
          </a:r>
        </a:p>
      </xdr:txBody>
    </xdr:sp>
    <xdr:clientData/>
  </xdr:oneCellAnchor>
  <xdr:twoCellAnchor editAs="absolute">
    <xdr:from>
      <xdr:col>27</xdr:col>
      <xdr:colOff>272280</xdr:colOff>
      <xdr:row>1</xdr:row>
      <xdr:rowOff>66675</xdr:rowOff>
    </xdr:from>
    <xdr:to>
      <xdr:col>29</xdr:col>
      <xdr:colOff>58095</xdr:colOff>
      <xdr:row>1</xdr:row>
      <xdr:rowOff>277586</xdr:rowOff>
    </xdr:to>
    <xdr:sp macro="" textlink="">
      <xdr:nvSpPr>
        <xdr:cNvPr id="9" name="Text Box 29"/>
        <xdr:cNvSpPr txBox="1">
          <a:spLocks noChangeArrowheads="1"/>
        </xdr:cNvSpPr>
      </xdr:nvSpPr>
      <xdr:spPr bwMode="auto">
        <a:xfrm>
          <a:off x="15976048" y="234315"/>
          <a:ext cx="674465" cy="21091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Heat loss</a:t>
          </a:r>
        </a:p>
      </xdr:txBody>
    </xdr:sp>
    <xdr:clientData/>
  </xdr:twoCellAnchor>
  <xdr:twoCellAnchor editAs="absolute">
    <xdr:from>
      <xdr:col>26</xdr:col>
      <xdr:colOff>192940</xdr:colOff>
      <xdr:row>1</xdr:row>
      <xdr:rowOff>177934</xdr:rowOff>
    </xdr:from>
    <xdr:to>
      <xdr:col>27</xdr:col>
      <xdr:colOff>284087</xdr:colOff>
      <xdr:row>3</xdr:row>
      <xdr:rowOff>57605</xdr:rowOff>
    </xdr:to>
    <xdr:sp macro="" textlink="">
      <xdr:nvSpPr>
        <xdr:cNvPr id="10" name="Lightning Bolt 9"/>
        <xdr:cNvSpPr/>
      </xdr:nvSpPr>
      <xdr:spPr>
        <a:xfrm flipV="1">
          <a:off x="15690969" y="345574"/>
          <a:ext cx="296886" cy="34449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24</xdr:col>
      <xdr:colOff>205966</xdr:colOff>
      <xdr:row>3</xdr:row>
      <xdr:rowOff>49210</xdr:rowOff>
    </xdr:from>
    <xdr:to>
      <xdr:col>25</xdr:col>
      <xdr:colOff>91049</xdr:colOff>
      <xdr:row>5</xdr:row>
      <xdr:rowOff>93595</xdr:rowOff>
    </xdr:to>
    <xdr:sp macro="" textlink="">
      <xdr:nvSpPr>
        <xdr:cNvPr id="11" name="AutoShape 17" descr="50%"/>
        <xdr:cNvSpPr>
          <a:spLocks noChangeArrowheads="1"/>
        </xdr:cNvSpPr>
      </xdr:nvSpPr>
      <xdr:spPr bwMode="auto">
        <a:xfrm rot="16200000">
          <a:off x="14399450" y="599375"/>
          <a:ext cx="394905" cy="559496"/>
        </a:xfrm>
        <a:custGeom>
          <a:avLst/>
          <a:gdLst>
            <a:gd name="T0" fmla="*/ 2147483647 w 21600"/>
            <a:gd name="T1" fmla="*/ 2147483647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pattFill prst="pct50">
          <a:fgClr>
            <a:srgbClr val="C0C0C0"/>
          </a:fgClr>
          <a:bgClr>
            <a:srgbClr val="FFFFFF"/>
          </a:bgClr>
        </a:pattFill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absolute">
    <xdr:from>
      <xdr:col>23</xdr:col>
      <xdr:colOff>238140</xdr:colOff>
      <xdr:row>3</xdr:row>
      <xdr:rowOff>110894</xdr:rowOff>
    </xdr:from>
    <xdr:to>
      <xdr:col>24</xdr:col>
      <xdr:colOff>215509</xdr:colOff>
      <xdr:row>3</xdr:row>
      <xdr:rowOff>110894</xdr:rowOff>
    </xdr:to>
    <xdr:sp macro="" textlink="">
      <xdr:nvSpPr>
        <xdr:cNvPr id="12" name="Line 22"/>
        <xdr:cNvSpPr>
          <a:spLocks noChangeShapeType="1"/>
        </xdr:cNvSpPr>
      </xdr:nvSpPr>
      <xdr:spPr bwMode="auto">
        <a:xfrm>
          <a:off x="13914988" y="743354"/>
          <a:ext cx="41171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25</xdr:col>
      <xdr:colOff>88455</xdr:colOff>
      <xdr:row>4</xdr:row>
      <xdr:rowOff>94296</xdr:rowOff>
    </xdr:from>
    <xdr:to>
      <xdr:col>25</xdr:col>
      <xdr:colOff>468143</xdr:colOff>
      <xdr:row>4</xdr:row>
      <xdr:rowOff>94296</xdr:rowOff>
    </xdr:to>
    <xdr:sp macro="" textlink="">
      <xdr:nvSpPr>
        <xdr:cNvPr id="13" name="Line 23"/>
        <xdr:cNvSpPr>
          <a:spLocks noChangeShapeType="1"/>
        </xdr:cNvSpPr>
      </xdr:nvSpPr>
      <xdr:spPr bwMode="auto">
        <a:xfrm flipV="1">
          <a:off x="14874057" y="894396"/>
          <a:ext cx="37583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24</xdr:col>
      <xdr:colOff>223319</xdr:colOff>
      <xdr:row>3</xdr:row>
      <xdr:rowOff>134360</xdr:rowOff>
    </xdr:from>
    <xdr:to>
      <xdr:col>25</xdr:col>
      <xdr:colOff>72893</xdr:colOff>
      <xdr:row>4</xdr:row>
      <xdr:rowOff>168353</xdr:rowOff>
    </xdr:to>
    <xdr:sp macro="" textlink="">
      <xdr:nvSpPr>
        <xdr:cNvPr id="14" name="Text Box 25"/>
        <xdr:cNvSpPr txBox="1">
          <a:spLocks noChangeArrowheads="1"/>
        </xdr:cNvSpPr>
      </xdr:nvSpPr>
      <xdr:spPr bwMode="auto">
        <a:xfrm>
          <a:off x="14334508" y="766820"/>
          <a:ext cx="523987" cy="201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Burner</a:t>
          </a:r>
        </a:p>
      </xdr:txBody>
    </xdr:sp>
    <xdr:clientData/>
  </xdr:twoCellAnchor>
  <xdr:twoCellAnchor editAs="absolute">
    <xdr:from>
      <xdr:col>22</xdr:col>
      <xdr:colOff>75652</xdr:colOff>
      <xdr:row>4</xdr:row>
      <xdr:rowOff>105838</xdr:rowOff>
    </xdr:from>
    <xdr:to>
      <xdr:col>23</xdr:col>
      <xdr:colOff>210889</xdr:colOff>
      <xdr:row>5</xdr:row>
      <xdr:rowOff>130148</xdr:rowOff>
    </xdr:to>
    <xdr:sp macro="" textlink="">
      <xdr:nvSpPr>
        <xdr:cNvPr id="15" name="Text Box 28"/>
        <xdr:cNvSpPr txBox="1">
          <a:spLocks noChangeArrowheads="1"/>
        </xdr:cNvSpPr>
      </xdr:nvSpPr>
      <xdr:spPr bwMode="auto">
        <a:xfrm>
          <a:off x="13306425" y="905938"/>
          <a:ext cx="581312" cy="207190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18288" bIns="27432" anchor="ctr">
          <a:spAutoFit/>
        </a:bodyPr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Oxidant</a:t>
          </a:r>
        </a:p>
      </xdr:txBody>
    </xdr:sp>
    <xdr:clientData/>
  </xdr:twoCellAnchor>
  <xdr:twoCellAnchor editAs="absolute">
    <xdr:from>
      <xdr:col>22</xdr:col>
      <xdr:colOff>105330</xdr:colOff>
      <xdr:row>3</xdr:row>
      <xdr:rowOff>5160</xdr:rowOff>
    </xdr:from>
    <xdr:to>
      <xdr:col>23</xdr:col>
      <xdr:colOff>232165</xdr:colOff>
      <xdr:row>4</xdr:row>
      <xdr:rowOff>21330</xdr:rowOff>
    </xdr:to>
    <xdr:sp macro="" textlink="">
      <xdr:nvSpPr>
        <xdr:cNvPr id="16" name="Text Box 29"/>
        <xdr:cNvSpPr txBox="1">
          <a:spLocks noChangeArrowheads="1"/>
        </xdr:cNvSpPr>
      </xdr:nvSpPr>
      <xdr:spPr bwMode="auto">
        <a:xfrm>
          <a:off x="13336103" y="637620"/>
          <a:ext cx="572910" cy="183810"/>
        </a:xfrm>
        <a:prstGeom prst="rect">
          <a:avLst/>
        </a:prstGeom>
        <a:solidFill>
          <a:srgbClr val="FFFFCC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Nat Gas</a:t>
          </a:r>
        </a:p>
      </xdr:txBody>
    </xdr:sp>
    <xdr:clientData/>
  </xdr:twoCellAnchor>
  <xdr:twoCellAnchor editAs="absolute">
    <xdr:from>
      <xdr:col>23</xdr:col>
      <xdr:colOff>220285</xdr:colOff>
      <xdr:row>5</xdr:row>
      <xdr:rowOff>30723</xdr:rowOff>
    </xdr:from>
    <xdr:to>
      <xdr:col>24</xdr:col>
      <xdr:colOff>204282</xdr:colOff>
      <xdr:row>5</xdr:row>
      <xdr:rowOff>30723</xdr:rowOff>
    </xdr:to>
    <xdr:sp macro="" textlink="">
      <xdr:nvSpPr>
        <xdr:cNvPr id="17" name="Line 22"/>
        <xdr:cNvSpPr>
          <a:spLocks noChangeShapeType="1"/>
        </xdr:cNvSpPr>
      </xdr:nvSpPr>
      <xdr:spPr bwMode="auto">
        <a:xfrm>
          <a:off x="13897133" y="1013703"/>
          <a:ext cx="418338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27</xdr:col>
      <xdr:colOff>295081</xdr:colOff>
      <xdr:row>2</xdr:row>
      <xdr:rowOff>47045</xdr:rowOff>
    </xdr:from>
    <xdr:to>
      <xdr:col>29</xdr:col>
      <xdr:colOff>423501</xdr:colOff>
      <xdr:row>4</xdr:row>
      <xdr:rowOff>90805</xdr:rowOff>
    </xdr:to>
    <xdr:sp macro="" textlink="">
      <xdr:nvSpPr>
        <xdr:cNvPr id="18" name="Text Box 29"/>
        <xdr:cNvSpPr txBox="1">
          <a:spLocks noChangeArrowheads="1"/>
        </xdr:cNvSpPr>
      </xdr:nvSpPr>
      <xdr:spPr bwMode="auto">
        <a:xfrm>
          <a:off x="15998849" y="511865"/>
          <a:ext cx="1019961" cy="379040"/>
        </a:xfrm>
        <a:prstGeom prst="rect">
          <a:avLst/>
        </a:prstGeom>
        <a:solidFill>
          <a:schemeClr val="bg1">
            <a:alpha val="0"/>
          </a:schemeClr>
        </a:solidFill>
        <a:ln w="6350" algn="ctr">
          <a:noFill/>
          <a:miter lim="800000"/>
          <a:headEnd/>
          <a:tailEnd/>
        </a:ln>
        <a:effectLst/>
        <a:extLst/>
      </xdr:spPr>
      <xdr:txBody>
        <a:bodyPr vertOverflow="clip" wrap="none" lIns="18288" tIns="36576" rIns="18288" bIns="36576" anchor="ctr">
          <a:spAutoFit/>
        </a:bodyPr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 offgas</a:t>
          </a:r>
        </a:p>
        <a:p>
          <a:pPr marL="0" indent="0"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CO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, H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O, N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, O</a:t>
          </a:r>
          <a:r>
            <a:rPr lang="en-US" sz="1000" b="1" i="0" u="none" strike="noStrike" baseline="-2500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</a:p>
      </xdr:txBody>
    </xdr:sp>
    <xdr:clientData/>
  </xdr:twoCellAnchor>
  <xdr:twoCellAnchor editAs="absolute">
    <xdr:from>
      <xdr:col>23</xdr:col>
      <xdr:colOff>191211</xdr:colOff>
      <xdr:row>2</xdr:row>
      <xdr:rowOff>57209</xdr:rowOff>
    </xdr:from>
    <xdr:to>
      <xdr:col>24</xdr:col>
      <xdr:colOff>257793</xdr:colOff>
      <xdr:row>3</xdr:row>
      <xdr:rowOff>146052</xdr:rowOff>
    </xdr:to>
    <xdr:sp macro="" textlink="">
      <xdr:nvSpPr>
        <xdr:cNvPr id="19" name="TextBox 18"/>
        <xdr:cNvSpPr txBox="1"/>
      </xdr:nvSpPr>
      <xdr:spPr>
        <a:xfrm>
          <a:off x="13868059" y="522029"/>
          <a:ext cx="500923" cy="256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itchFamily="34" charset="0"/>
              <a:cs typeface="Arial" pitchFamily="34" charset="0"/>
            </a:rPr>
            <a:t>25°C</a:t>
          </a:r>
        </a:p>
      </xdr:txBody>
    </xdr:sp>
    <xdr:clientData/>
  </xdr:twoCellAnchor>
  <xdr:twoCellAnchor editAs="absolute">
    <xdr:from>
      <xdr:col>23</xdr:col>
      <xdr:colOff>185274</xdr:colOff>
      <xdr:row>4</xdr:row>
      <xdr:rowOff>432</xdr:rowOff>
    </xdr:from>
    <xdr:to>
      <xdr:col>24</xdr:col>
      <xdr:colOff>251856</xdr:colOff>
      <xdr:row>5</xdr:row>
      <xdr:rowOff>72808</xdr:rowOff>
    </xdr:to>
    <xdr:sp macro="" textlink="">
      <xdr:nvSpPr>
        <xdr:cNvPr id="20" name="TextBox 19"/>
        <xdr:cNvSpPr txBox="1"/>
      </xdr:nvSpPr>
      <xdr:spPr>
        <a:xfrm>
          <a:off x="13862122" y="799305"/>
          <a:ext cx="500923" cy="256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itchFamily="34" charset="0"/>
              <a:cs typeface="Arial" pitchFamily="34" charset="0"/>
            </a:rPr>
            <a:t>25°C</a:t>
          </a:r>
        </a:p>
      </xdr:txBody>
    </xdr:sp>
    <xdr:clientData/>
  </xdr:twoCellAnchor>
  <xdr:twoCellAnchor editAs="absolute">
    <xdr:from>
      <xdr:col>25</xdr:col>
      <xdr:colOff>468129</xdr:colOff>
      <xdr:row>2</xdr:row>
      <xdr:rowOff>141231</xdr:rowOff>
    </xdr:from>
    <xdr:to>
      <xdr:col>27</xdr:col>
      <xdr:colOff>258640</xdr:colOff>
      <xdr:row>5</xdr:row>
      <xdr:rowOff>152412</xdr:rowOff>
    </xdr:to>
    <xdr:sp macro="" textlink="">
      <xdr:nvSpPr>
        <xdr:cNvPr id="21" name="Flowchart: Document 20"/>
        <xdr:cNvSpPr/>
      </xdr:nvSpPr>
      <xdr:spPr>
        <a:xfrm flipH="1" flipV="1">
          <a:off x="15249878" y="606051"/>
          <a:ext cx="712530" cy="529341"/>
        </a:xfrm>
        <a:prstGeom prst="flowChartDocument">
          <a:avLst/>
        </a:prstGeom>
        <a:solidFill>
          <a:srgbClr val="F8AAAC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27</xdr:col>
      <xdr:colOff>258654</xdr:colOff>
      <xdr:row>3</xdr:row>
      <xdr:rowOff>82687</xdr:rowOff>
    </xdr:from>
    <xdr:to>
      <xdr:col>29</xdr:col>
      <xdr:colOff>557311</xdr:colOff>
      <xdr:row>3</xdr:row>
      <xdr:rowOff>82687</xdr:rowOff>
    </xdr:to>
    <xdr:sp macro="" textlink="">
      <xdr:nvSpPr>
        <xdr:cNvPr id="22" name="Line 23"/>
        <xdr:cNvSpPr>
          <a:spLocks noChangeShapeType="1"/>
        </xdr:cNvSpPr>
      </xdr:nvSpPr>
      <xdr:spPr bwMode="auto">
        <a:xfrm flipV="1">
          <a:off x="15962422" y="715147"/>
          <a:ext cx="1190198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29</xdr:col>
      <xdr:colOff>444790</xdr:colOff>
      <xdr:row>3</xdr:row>
      <xdr:rowOff>88824</xdr:rowOff>
    </xdr:from>
    <xdr:to>
      <xdr:col>30</xdr:col>
      <xdr:colOff>193040</xdr:colOff>
      <xdr:row>5</xdr:row>
      <xdr:rowOff>121920</xdr:rowOff>
    </xdr:to>
    <xdr:sp macro="" textlink="">
      <xdr:nvSpPr>
        <xdr:cNvPr id="23" name="Freeform 22"/>
        <xdr:cNvSpPr/>
      </xdr:nvSpPr>
      <xdr:spPr>
        <a:xfrm>
          <a:off x="17040099" y="721284"/>
          <a:ext cx="418810" cy="383616"/>
        </a:xfrm>
        <a:custGeom>
          <a:avLst/>
          <a:gdLst>
            <a:gd name="connsiteX0" fmla="*/ 0 w 541866"/>
            <a:gd name="connsiteY0" fmla="*/ 0 h 220133"/>
            <a:gd name="connsiteX1" fmla="*/ 0 w 541866"/>
            <a:gd name="connsiteY1" fmla="*/ 220133 h 220133"/>
            <a:gd name="connsiteX2" fmla="*/ 541866 w 541866"/>
            <a:gd name="connsiteY2" fmla="*/ 220133 h 220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41866" h="220133">
              <a:moveTo>
                <a:pt x="0" y="0"/>
              </a:moveTo>
              <a:lnTo>
                <a:pt x="0" y="220133"/>
              </a:lnTo>
              <a:lnTo>
                <a:pt x="541866" y="220133"/>
              </a:lnTo>
            </a:path>
          </a:pathLst>
        </a:custGeom>
        <a:ln w="12700">
          <a:prstDash val="dash"/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25</xdr:col>
      <xdr:colOff>514984</xdr:colOff>
      <xdr:row>3</xdr:row>
      <xdr:rowOff>151166</xdr:rowOff>
    </xdr:from>
    <xdr:to>
      <xdr:col>27</xdr:col>
      <xdr:colOff>211329</xdr:colOff>
      <xdr:row>5</xdr:row>
      <xdr:rowOff>2279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15296733" y="783626"/>
          <a:ext cx="618364" cy="201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Furnace</a:t>
          </a:r>
        </a:p>
      </xdr:txBody>
    </xdr:sp>
    <xdr:clientData/>
  </xdr:twoCellAnchor>
  <xdr:twoCellAnchor editAs="absolute">
    <xdr:from>
      <xdr:col>24</xdr:col>
      <xdr:colOff>351742</xdr:colOff>
      <xdr:row>1</xdr:row>
      <xdr:rowOff>219935</xdr:rowOff>
    </xdr:from>
    <xdr:to>
      <xdr:col>25</xdr:col>
      <xdr:colOff>425840</xdr:colOff>
      <xdr:row>2</xdr:row>
      <xdr:rowOff>114264</xdr:rowOff>
    </xdr:to>
    <xdr:sp macro="" textlink="">
      <xdr:nvSpPr>
        <xdr:cNvPr id="26" name="Text Box 29"/>
        <xdr:cNvSpPr txBox="1">
          <a:spLocks noChangeArrowheads="1"/>
        </xdr:cNvSpPr>
      </xdr:nvSpPr>
      <xdr:spPr bwMode="auto">
        <a:xfrm>
          <a:off x="14461661" y="385035"/>
          <a:ext cx="747198" cy="192779"/>
        </a:xfrm>
        <a:prstGeom prst="rect">
          <a:avLst/>
        </a:prstGeom>
        <a:solidFill>
          <a:srgbClr val="FFC000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Raw Matl.</a:t>
          </a:r>
        </a:p>
      </xdr:txBody>
    </xdr:sp>
    <xdr:clientData/>
  </xdr:twoCellAnchor>
  <xdr:twoCellAnchor editAs="absolute">
    <xdr:from>
      <xdr:col>28</xdr:col>
      <xdr:colOff>8759</xdr:colOff>
      <xdr:row>4</xdr:row>
      <xdr:rowOff>144631</xdr:rowOff>
    </xdr:from>
    <xdr:to>
      <xdr:col>29</xdr:col>
      <xdr:colOff>368234</xdr:colOff>
      <xdr:row>6</xdr:row>
      <xdr:rowOff>17518</xdr:rowOff>
    </xdr:to>
    <xdr:sp macro="" textlink="">
      <xdr:nvSpPr>
        <xdr:cNvPr id="27" name="Text Box 29"/>
        <xdr:cNvSpPr txBox="1">
          <a:spLocks noChangeArrowheads="1"/>
        </xdr:cNvSpPr>
      </xdr:nvSpPr>
      <xdr:spPr bwMode="auto">
        <a:xfrm>
          <a:off x="16229725" y="941665"/>
          <a:ext cx="806164" cy="223232"/>
        </a:xfrm>
        <a:prstGeom prst="rect">
          <a:avLst/>
        </a:prstGeom>
        <a:solidFill>
          <a:srgbClr val="FFC000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/>
      </xdr:spPr>
      <xdr:txBody>
        <a:bodyPr vertOverflow="clip" wrap="square" lIns="18288" tIns="22860" rIns="0" bIns="0" anchor="ctr"/>
        <a:lstStyle/>
        <a:p>
          <a:pPr marL="0" indent="0"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 product</a:t>
          </a:r>
        </a:p>
      </xdr:txBody>
    </xdr:sp>
    <xdr:clientData/>
  </xdr:twoCellAnchor>
  <xdr:twoCellAnchor editAs="absolute">
    <xdr:from>
      <xdr:col>27</xdr:col>
      <xdr:colOff>264400</xdr:colOff>
      <xdr:row>5</xdr:row>
      <xdr:rowOff>71923</xdr:rowOff>
    </xdr:from>
    <xdr:to>
      <xdr:col>28</xdr:col>
      <xdr:colOff>26275</xdr:colOff>
      <xdr:row>5</xdr:row>
      <xdr:rowOff>71923</xdr:rowOff>
    </xdr:to>
    <xdr:sp macro="" textlink="">
      <xdr:nvSpPr>
        <xdr:cNvPr id="28" name="Line 23"/>
        <xdr:cNvSpPr>
          <a:spLocks noChangeShapeType="1"/>
        </xdr:cNvSpPr>
      </xdr:nvSpPr>
      <xdr:spPr bwMode="auto">
        <a:xfrm flipV="1">
          <a:off x="16047434" y="1052889"/>
          <a:ext cx="199807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244476</xdr:colOff>
      <xdr:row>2</xdr:row>
      <xdr:rowOff>19673</xdr:rowOff>
    </xdr:from>
    <xdr:to>
      <xdr:col>25</xdr:col>
      <xdr:colOff>367030</xdr:colOff>
      <xdr:row>3</xdr:row>
      <xdr:rowOff>95439</xdr:rowOff>
    </xdr:to>
    <xdr:sp macro="" textlink="">
      <xdr:nvSpPr>
        <xdr:cNvPr id="29" name="Freeform 28"/>
        <xdr:cNvSpPr/>
      </xdr:nvSpPr>
      <xdr:spPr>
        <a:xfrm>
          <a:off x="15211426" y="483223"/>
          <a:ext cx="122554" cy="240866"/>
        </a:xfrm>
        <a:custGeom>
          <a:avLst/>
          <a:gdLst>
            <a:gd name="connsiteX0" fmla="*/ 0 w 121920"/>
            <a:gd name="connsiteY0" fmla="*/ 0 h 243840"/>
            <a:gd name="connsiteX1" fmla="*/ 121920 w 121920"/>
            <a:gd name="connsiteY1" fmla="*/ 0 h 243840"/>
            <a:gd name="connsiteX2" fmla="*/ 121920 w 121920"/>
            <a:gd name="connsiteY2" fmla="*/ 243840 h 2438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1920" h="243840">
              <a:moveTo>
                <a:pt x="0" y="0"/>
              </a:moveTo>
              <a:lnTo>
                <a:pt x="121920" y="0"/>
              </a:lnTo>
              <a:lnTo>
                <a:pt x="121920" y="243840"/>
              </a:lnTo>
            </a:path>
          </a:pathLst>
        </a:custGeom>
        <a:ln w="1270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515408</xdr:colOff>
      <xdr:row>41</xdr:row>
      <xdr:rowOff>8468</xdr:rowOff>
    </xdr:from>
    <xdr:to>
      <xdr:col>20</xdr:col>
      <xdr:colOff>209550</xdr:colOff>
      <xdr:row>57</xdr:row>
      <xdr:rowOff>42334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52552</xdr:colOff>
      <xdr:row>36</xdr:row>
      <xdr:rowOff>148897</xdr:rowOff>
    </xdr:from>
    <xdr:to>
      <xdr:col>11</xdr:col>
      <xdr:colOff>265383</xdr:colOff>
      <xdr:row>40</xdr:row>
      <xdr:rowOff>35035</xdr:rowOff>
    </xdr:to>
    <xdr:sp macro="" textlink="">
      <xdr:nvSpPr>
        <xdr:cNvPr id="8" name="Left Brace 7"/>
        <xdr:cNvSpPr/>
      </xdr:nvSpPr>
      <xdr:spPr>
        <a:xfrm>
          <a:off x="6796690" y="5877035"/>
          <a:ext cx="212831" cy="604345"/>
        </a:xfrm>
        <a:prstGeom prst="leftBrace">
          <a:avLst>
            <a:gd name="adj1" fmla="val 18677"/>
            <a:gd name="adj2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rt/My%20Documents/Thermart%20Programs/FlowBal/FB2007/Flowbal3.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ThPrograms-5\2001FR-TH\GaskellXmp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rt/LOCALS~1/Temp/Temporary%20Directory%201%20for%20FlowBal8.5.1.zip/tests/TestSystems/HXvsR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Flowbal5.3Nov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CombustCalculatorforI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2"/>
      <sheetName val="gizli"/>
      <sheetName val="gizli3"/>
      <sheetName val="gizli4"/>
      <sheetName val="gizli5"/>
      <sheetName val="Main-db"/>
      <sheetName val="Mixer"/>
      <sheetName val="CarBurn (2)"/>
      <sheetName val="SiChlor"/>
      <sheetName val="GasDeS"/>
      <sheetName val="GasRfrm"/>
      <sheetName val="GasRfrm (2)"/>
      <sheetName val="OilBurn"/>
      <sheetName val="OilBrn"/>
      <sheetName val="OilBrn (2)"/>
      <sheetName val="OilBrnOKSolv"/>
      <sheetName val="HotBrnGas"/>
      <sheetName val="FeSlfCal"/>
      <sheetName val="FeSlfCalRslts"/>
      <sheetName val="SOxHeat"/>
      <sheetName val="Roaster"/>
      <sheetName val="CarBurnX"/>
      <sheetName val="CarBurn"/>
      <sheetName val="Filter"/>
      <sheetName val="El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5">
          <cell r="C5">
            <v>227</v>
          </cell>
        </row>
        <row r="26">
          <cell r="C26">
            <v>63.546300000000002</v>
          </cell>
        </row>
        <row r="27">
          <cell r="C27">
            <v>162.5001</v>
          </cell>
        </row>
        <row r="28">
          <cell r="C28">
            <v>167.2593</v>
          </cell>
        </row>
        <row r="29">
          <cell r="C29">
            <v>151.9641</v>
          </cell>
        </row>
        <row r="30">
          <cell r="C30">
            <v>18.9984</v>
          </cell>
        </row>
        <row r="31">
          <cell r="C31">
            <v>55.845199999999998</v>
          </cell>
        </row>
        <row r="32">
          <cell r="C32">
            <v>223</v>
          </cell>
        </row>
        <row r="33">
          <cell r="C33">
            <v>69.723100000000002</v>
          </cell>
        </row>
        <row r="34">
          <cell r="C34">
            <v>157.25299999999999</v>
          </cell>
        </row>
        <row r="35">
          <cell r="C35">
            <v>72.641000000000005</v>
          </cell>
        </row>
        <row r="36">
          <cell r="C36">
            <v>1.0079499999999999</v>
          </cell>
        </row>
        <row r="37">
          <cell r="C37">
            <v>4.0026000000000002</v>
          </cell>
        </row>
        <row r="38">
          <cell r="C38">
            <v>178.49199999999999</v>
          </cell>
        </row>
        <row r="39">
          <cell r="C39">
            <v>200.59200000000001</v>
          </cell>
        </row>
        <row r="40">
          <cell r="C40">
            <v>164.93029999999999</v>
          </cell>
        </row>
        <row r="41">
          <cell r="C41">
            <v>126.9045</v>
          </cell>
        </row>
        <row r="42">
          <cell r="C42">
            <v>114.81829999999999</v>
          </cell>
        </row>
        <row r="43">
          <cell r="C43">
            <v>192.21729999999999</v>
          </cell>
        </row>
        <row r="44">
          <cell r="C44">
            <v>39.098300000000002</v>
          </cell>
        </row>
        <row r="45">
          <cell r="C45">
            <v>83.798199999999994</v>
          </cell>
        </row>
        <row r="46">
          <cell r="C46">
            <v>138.90549999999999</v>
          </cell>
        </row>
        <row r="47">
          <cell r="C47">
            <v>6.9412000000000003</v>
          </cell>
        </row>
        <row r="48">
          <cell r="C48">
            <v>174.96709999999999</v>
          </cell>
        </row>
        <row r="49">
          <cell r="C49">
            <v>24.305099999999999</v>
          </cell>
        </row>
        <row r="50">
          <cell r="C50">
            <v>54.938099999999999</v>
          </cell>
        </row>
        <row r="51">
          <cell r="C51">
            <v>95.941999999999993</v>
          </cell>
        </row>
        <row r="52">
          <cell r="C52">
            <v>14.0067</v>
          </cell>
        </row>
        <row r="53">
          <cell r="C53">
            <v>22.989799999999999</v>
          </cell>
        </row>
        <row r="54">
          <cell r="C54">
            <v>92.906400000000005</v>
          </cell>
        </row>
        <row r="55">
          <cell r="C55">
            <v>144.24299999999999</v>
          </cell>
        </row>
        <row r="56">
          <cell r="C56">
            <v>20.1798</v>
          </cell>
        </row>
        <row r="57">
          <cell r="C57">
            <v>58.693399999999997</v>
          </cell>
        </row>
        <row r="58">
          <cell r="C58">
            <v>237</v>
          </cell>
        </row>
        <row r="59">
          <cell r="C59">
            <v>15.9994</v>
          </cell>
        </row>
        <row r="60">
          <cell r="C60">
            <v>190.233</v>
          </cell>
        </row>
        <row r="61">
          <cell r="C61">
            <v>30.973800000000001</v>
          </cell>
        </row>
        <row r="62">
          <cell r="C62">
            <v>231.0359</v>
          </cell>
        </row>
        <row r="63">
          <cell r="C63">
            <v>207.21</v>
          </cell>
        </row>
        <row r="64">
          <cell r="C64">
            <v>106.42100000000001</v>
          </cell>
        </row>
        <row r="65">
          <cell r="C65">
            <v>145</v>
          </cell>
        </row>
        <row r="66">
          <cell r="C66">
            <v>209</v>
          </cell>
        </row>
        <row r="67">
          <cell r="C67">
            <v>140.90770000000001</v>
          </cell>
        </row>
        <row r="68">
          <cell r="C68">
            <v>195.07820000000001</v>
          </cell>
        </row>
        <row r="69">
          <cell r="C69">
            <v>244</v>
          </cell>
        </row>
        <row r="70">
          <cell r="C70">
            <v>226</v>
          </cell>
        </row>
        <row r="71">
          <cell r="C71">
            <v>85.467799999999997</v>
          </cell>
        </row>
        <row r="72">
          <cell r="C72">
            <v>186.2071</v>
          </cell>
        </row>
        <row r="73">
          <cell r="C73">
            <v>102.9055</v>
          </cell>
        </row>
        <row r="74">
          <cell r="C74">
            <v>222</v>
          </cell>
        </row>
        <row r="75">
          <cell r="C75">
            <v>101.072</v>
          </cell>
        </row>
        <row r="76">
          <cell r="C76">
            <v>32.0655</v>
          </cell>
        </row>
        <row r="77">
          <cell r="C77">
            <v>121.76009999999999</v>
          </cell>
        </row>
        <row r="78">
          <cell r="C78">
            <v>44.9559</v>
          </cell>
        </row>
        <row r="79">
          <cell r="C79">
            <v>78.962999999999994</v>
          </cell>
        </row>
        <row r="80">
          <cell r="C80">
            <v>28.0855</v>
          </cell>
        </row>
        <row r="81">
          <cell r="C81">
            <v>150.363</v>
          </cell>
        </row>
        <row r="82">
          <cell r="C82">
            <v>118.7107</v>
          </cell>
        </row>
        <row r="83">
          <cell r="C83">
            <v>87.620999999999995</v>
          </cell>
        </row>
        <row r="84">
          <cell r="C84">
            <v>180.9479</v>
          </cell>
        </row>
        <row r="85">
          <cell r="C85">
            <v>158.92529999999999</v>
          </cell>
        </row>
        <row r="86">
          <cell r="C86">
            <v>98</v>
          </cell>
        </row>
        <row r="87">
          <cell r="C87">
            <v>127.60299999999999</v>
          </cell>
        </row>
        <row r="88">
          <cell r="C88">
            <v>232.03809999999999</v>
          </cell>
        </row>
        <row r="89">
          <cell r="C89">
            <v>47.867100000000001</v>
          </cell>
        </row>
        <row r="90">
          <cell r="C90">
            <v>204.38329999999999</v>
          </cell>
        </row>
        <row r="91">
          <cell r="C91">
            <v>168.9342</v>
          </cell>
        </row>
        <row r="92">
          <cell r="C92">
            <v>238.02889999999999</v>
          </cell>
        </row>
        <row r="93">
          <cell r="C93">
            <v>50.941499999999998</v>
          </cell>
        </row>
        <row r="94">
          <cell r="C94">
            <v>183.84100000000001</v>
          </cell>
        </row>
        <row r="96">
          <cell r="C96">
            <v>88.905900000000003</v>
          </cell>
        </row>
        <row r="97">
          <cell r="C97">
            <v>173.04300000000001</v>
          </cell>
        </row>
        <row r="98">
          <cell r="C98">
            <v>65.409400000000005</v>
          </cell>
        </row>
        <row r="99">
          <cell r="C99">
            <v>91.224199999999996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2+O2"/>
      <sheetName val="Air+SO2"/>
      <sheetName val="CH4+CO2"/>
      <sheetName val="CO2+H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nCond"/>
      <sheetName val="FeSlf"/>
      <sheetName val="CarBrn"/>
      <sheetName val="GasCool"/>
      <sheetName val="GasCool (2)"/>
      <sheetName val="GasCoolRx"/>
    </sheetNames>
    <sheetDataSet>
      <sheetData sheetId="0">
        <row r="1">
          <cell r="A1" t="str">
            <v>ZnCond</v>
          </cell>
        </row>
        <row r="39">
          <cell r="A39" t="str">
            <v>PbCond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"/>
      <sheetName val="gizli2"/>
      <sheetName val="gizli3"/>
      <sheetName val="gizli4"/>
      <sheetName val="gizli5"/>
      <sheetName val="Main-db"/>
      <sheetName val="Sheet2"/>
      <sheetName val="WITest"/>
      <sheetName val="ZnCond"/>
      <sheetName val="Filter"/>
      <sheetName val="El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and Units panel"/>
      <sheetName val="Combustion Data Input"/>
      <sheetName val="Sheet1"/>
      <sheetName val="MassToVol"/>
      <sheetName val="Calculation Worksheet"/>
      <sheetName val="Results"/>
    </sheetNames>
    <sheetDataSet>
      <sheetData sheetId="0">
        <row r="37">
          <cell r="K37">
            <v>1</v>
          </cell>
          <cell r="N3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99"/>
  </sheetPr>
  <dimension ref="B1:X71"/>
  <sheetViews>
    <sheetView tabSelected="1" zoomScale="84" zoomScaleNormal="84" workbookViewId="0"/>
  </sheetViews>
  <sheetFormatPr defaultRowHeight="13.2"/>
  <cols>
    <col min="1" max="1" width="3" customWidth="1"/>
    <col min="2" max="2" width="14.44140625" customWidth="1"/>
    <col min="3" max="3" width="11.77734375" customWidth="1"/>
    <col min="4" max="4" width="9.44140625" bestFit="1" customWidth="1"/>
    <col min="5" max="5" width="9.77734375" customWidth="1"/>
    <col min="6" max="6" width="7.33203125" customWidth="1"/>
    <col min="7" max="7" width="7.6640625" customWidth="1"/>
    <col min="8" max="8" width="8" customWidth="1"/>
    <col min="9" max="9" width="9.33203125" customWidth="1"/>
    <col min="10" max="10" width="9.5546875" customWidth="1"/>
    <col min="11" max="11" width="8.6640625" customWidth="1"/>
    <col min="13" max="13" width="11.44140625" customWidth="1"/>
    <col min="14" max="14" width="9.88671875" customWidth="1"/>
    <col min="15" max="15" width="7" customWidth="1"/>
    <col min="17" max="17" width="9.33203125" customWidth="1"/>
    <col min="18" max="18" width="9.44140625" customWidth="1"/>
  </cols>
  <sheetData>
    <row r="1" spans="2:13" ht="30.6" customHeight="1">
      <c r="B1" s="141" t="s">
        <v>45</v>
      </c>
    </row>
    <row r="2" spans="2:13" ht="15">
      <c r="C2" s="174"/>
      <c r="D2" s="175" t="s">
        <v>147</v>
      </c>
      <c r="E2" s="174"/>
    </row>
    <row r="10" spans="2:13" ht="13.8" thickBot="1"/>
    <row r="11" spans="2:13" ht="14.4" thickBot="1">
      <c r="J11" s="83" t="s">
        <v>89</v>
      </c>
      <c r="K11" s="130">
        <v>900</v>
      </c>
    </row>
    <row r="12" spans="2:13" ht="14.4" thickBot="1">
      <c r="J12" s="83" t="s">
        <v>111</v>
      </c>
      <c r="K12" s="130">
        <v>40</v>
      </c>
    </row>
    <row r="14" spans="2:13">
      <c r="M14" t="s">
        <v>79</v>
      </c>
    </row>
    <row r="16" spans="2:13" ht="12.75" customHeight="1"/>
    <row r="17" spans="3:20" ht="49.8" customHeight="1">
      <c r="T17" s="11"/>
    </row>
    <row r="18" spans="3:20" ht="17.399999999999999" customHeight="1" thickBot="1">
      <c r="C18" s="35"/>
      <c r="D18" s="55" t="s">
        <v>75</v>
      </c>
      <c r="E18" s="35"/>
      <c r="F18" s="50"/>
      <c r="J18" s="84" t="s">
        <v>71</v>
      </c>
      <c r="K18" s="87"/>
    </row>
    <row r="19" spans="3:20" ht="16.8" thickBot="1">
      <c r="D19" s="92" t="s">
        <v>28</v>
      </c>
      <c r="E19" s="92" t="s">
        <v>0</v>
      </c>
      <c r="F19" s="139" t="s">
        <v>19</v>
      </c>
      <c r="G19" s="24"/>
      <c r="H19" s="24"/>
      <c r="J19" s="83" t="s">
        <v>69</v>
      </c>
      <c r="K19" s="144">
        <v>0.21</v>
      </c>
    </row>
    <row r="20" spans="3:20" ht="16.5" customHeight="1" thickBot="1">
      <c r="C20" s="4" t="s">
        <v>2</v>
      </c>
      <c r="D20" s="93" t="s">
        <v>3</v>
      </c>
      <c r="E20" s="137">
        <v>16.042999999999999</v>
      </c>
      <c r="F20" s="85">
        <v>0.93</v>
      </c>
      <c r="G20" s="7"/>
      <c r="H20" s="5"/>
      <c r="J20" s="91" t="s">
        <v>70</v>
      </c>
      <c r="K20" s="86">
        <v>1</v>
      </c>
    </row>
    <row r="21" spans="3:20" ht="16.2" thickBot="1">
      <c r="C21" s="4" t="s">
        <v>4</v>
      </c>
      <c r="D21" s="94" t="s">
        <v>5</v>
      </c>
      <c r="E21" s="137">
        <v>28.053999999999998</v>
      </c>
      <c r="F21" s="85">
        <v>5.0000000000000001E-3</v>
      </c>
      <c r="G21" s="7"/>
      <c r="H21" s="5"/>
    </row>
    <row r="22" spans="3:20" ht="16.2" thickBot="1">
      <c r="C22" s="4" t="s">
        <v>6</v>
      </c>
      <c r="D22" s="93" t="s">
        <v>7</v>
      </c>
      <c r="E22" s="138">
        <v>30.07</v>
      </c>
      <c r="F22" s="85">
        <v>0.02</v>
      </c>
      <c r="G22" s="7"/>
      <c r="I22" s="90"/>
      <c r="J22" s="54" t="s">
        <v>29</v>
      </c>
      <c r="K22" s="56"/>
    </row>
    <row r="23" spans="3:20" ht="16.2" thickBot="1">
      <c r="C23" s="4" t="s">
        <v>8</v>
      </c>
      <c r="D23" s="93" t="s">
        <v>9</v>
      </c>
      <c r="E23" s="138">
        <v>44.097000000000001</v>
      </c>
      <c r="F23" s="85">
        <v>4.0000000000000001E-3</v>
      </c>
      <c r="G23" s="7"/>
      <c r="H23" s="5"/>
      <c r="I23" s="46"/>
      <c r="J23" s="49" t="s">
        <v>24</v>
      </c>
      <c r="K23" s="49" t="s">
        <v>25</v>
      </c>
      <c r="M23" t="s">
        <v>134</v>
      </c>
    </row>
    <row r="24" spans="3:20" ht="16.2" thickBot="1">
      <c r="C24" s="4" t="s">
        <v>26</v>
      </c>
      <c r="D24" s="95" t="s">
        <v>27</v>
      </c>
      <c r="E24" s="138">
        <v>58.123999999999995</v>
      </c>
      <c r="F24" s="85">
        <v>3.0000000000000001E-3</v>
      </c>
      <c r="G24" s="7"/>
      <c r="H24" s="5"/>
      <c r="I24" s="47" t="s">
        <v>20</v>
      </c>
      <c r="J24" s="48">
        <f>F20+2*F21+2*F22+3*F23+4*F24+F26+F27</f>
        <v>1.0119999999999998</v>
      </c>
      <c r="K24" s="48">
        <f>12.01*J24</f>
        <v>12.154119999999997</v>
      </c>
      <c r="M24" t="s">
        <v>143</v>
      </c>
    </row>
    <row r="25" spans="3:20" ht="16.2" thickBot="1">
      <c r="C25" s="4" t="s">
        <v>10</v>
      </c>
      <c r="D25" s="96" t="s">
        <v>11</v>
      </c>
      <c r="E25" s="138">
        <v>2.016</v>
      </c>
      <c r="F25" s="85">
        <v>5.0000000000000001E-3</v>
      </c>
      <c r="G25" s="7"/>
      <c r="H25" s="8"/>
      <c r="I25" s="47" t="s">
        <v>21</v>
      </c>
      <c r="J25" s="49">
        <f>4*F20+4*F21+6*F22+8*F23+10*F24+2*F25+2*F28</f>
        <v>3.9419999999999997</v>
      </c>
      <c r="K25" s="48">
        <f>1.00795*J25</f>
        <v>3.9733388999999995</v>
      </c>
      <c r="M25" t="s">
        <v>126</v>
      </c>
    </row>
    <row r="26" spans="3:20" ht="14.4" thickBot="1">
      <c r="C26" s="4" t="s">
        <v>12</v>
      </c>
      <c r="D26" s="96" t="s">
        <v>13</v>
      </c>
      <c r="E26" s="138">
        <v>28.010999999999999</v>
      </c>
      <c r="F26" s="85">
        <v>5.0000000000000001E-3</v>
      </c>
      <c r="G26" s="7"/>
      <c r="H26" s="5"/>
      <c r="I26" s="47" t="s">
        <v>22</v>
      </c>
      <c r="J26" s="48">
        <f>F26+2*F27+F28</f>
        <v>1.6E-2</v>
      </c>
      <c r="K26" s="48">
        <f>16*J26</f>
        <v>0.25600000000000001</v>
      </c>
    </row>
    <row r="27" spans="3:20" ht="16.2" thickBot="1">
      <c r="C27" s="4" t="s">
        <v>14</v>
      </c>
      <c r="D27" s="96" t="s">
        <v>15</v>
      </c>
      <c r="E27" s="137">
        <v>44.010999999999996</v>
      </c>
      <c r="F27" s="85">
        <v>3.0000000000000001E-3</v>
      </c>
      <c r="G27" s="7"/>
      <c r="H27" s="5"/>
      <c r="I27" s="47" t="s">
        <v>23</v>
      </c>
      <c r="J27" s="49">
        <f>2*F29</f>
        <v>3.9999999999999813E-2</v>
      </c>
      <c r="K27" s="48">
        <f>14.007*J27</f>
        <v>0.56027999999999734</v>
      </c>
      <c r="Q27" s="84" t="s">
        <v>130</v>
      </c>
      <c r="R27" s="87"/>
    </row>
    <row r="28" spans="3:20" ht="16.2" thickBot="1">
      <c r="C28" s="4" t="s">
        <v>46</v>
      </c>
      <c r="D28" s="96" t="s">
        <v>47</v>
      </c>
      <c r="E28" s="137">
        <v>18.015999999999998</v>
      </c>
      <c r="F28" s="85">
        <v>5.0000000000000001E-3</v>
      </c>
      <c r="G28" s="7"/>
      <c r="H28" s="5"/>
      <c r="I28" s="166" t="s">
        <v>48</v>
      </c>
      <c r="J28" s="165">
        <f>SUM(J24:J27)</f>
        <v>5.01</v>
      </c>
      <c r="K28" s="165">
        <f>SUM(K24:K27)</f>
        <v>16.943738899999996</v>
      </c>
      <c r="M28" s="21" t="str">
        <f>Calcs!L7</f>
        <v>% XS oxidant</v>
      </c>
      <c r="N28" s="75">
        <f>Calcs!M7</f>
        <v>0</v>
      </c>
      <c r="O28" s="75">
        <f>Calcs!N7</f>
        <v>0.1</v>
      </c>
      <c r="P28" s="75">
        <f>Calcs!O7</f>
        <v>0.2</v>
      </c>
      <c r="Q28" s="75">
        <f>Calcs!P7</f>
        <v>0.4</v>
      </c>
      <c r="R28" s="75">
        <f>Calcs!Q7</f>
        <v>0.6</v>
      </c>
      <c r="S28" s="75">
        <f>Calcs!R7</f>
        <v>0.8</v>
      </c>
      <c r="T28" s="116">
        <f>Calcs!S7</f>
        <v>1</v>
      </c>
    </row>
    <row r="29" spans="3:20" ht="15.6">
      <c r="C29" s="4" t="s">
        <v>16</v>
      </c>
      <c r="D29" s="97" t="s">
        <v>17</v>
      </c>
      <c r="E29" s="98">
        <v>28.013999999999999</v>
      </c>
      <c r="F29" s="140">
        <f>1 - SUM(F20:F28)</f>
        <v>1.9999999999999907E-2</v>
      </c>
      <c r="M29" s="129" t="str">
        <f>Calcs!L40</f>
        <v>% gross avail heat</v>
      </c>
      <c r="N29" s="148">
        <f>Calcs!M40</f>
        <v>0.60836935452541507</v>
      </c>
      <c r="O29" s="148">
        <f>Calcs!N40</f>
        <v>0.57576556943063373</v>
      </c>
      <c r="P29" s="148">
        <f>Calcs!O40</f>
        <v>0.54316178433585238</v>
      </c>
      <c r="Q29" s="148">
        <f>Calcs!P40</f>
        <v>0.47795421414628952</v>
      </c>
      <c r="R29" s="148">
        <f>Calcs!Q40</f>
        <v>0.41274664395672667</v>
      </c>
      <c r="S29" s="148">
        <f>Calcs!R40</f>
        <v>0.34753907376716381</v>
      </c>
      <c r="T29" s="148">
        <f>Calcs!S40</f>
        <v>0.28233150357760101</v>
      </c>
    </row>
    <row r="30" spans="3:20" ht="13.8">
      <c r="C30" s="4"/>
      <c r="D30" s="13"/>
      <c r="E30" s="14"/>
      <c r="F30" s="82"/>
      <c r="G30" s="23"/>
      <c r="H30" s="5"/>
      <c r="M30" s="136" t="str">
        <f>Calcs!L41</f>
        <v>Heat loss, kJ/mol of NG</v>
      </c>
      <c r="N30" s="132">
        <f>Calcs!M41</f>
        <v>40</v>
      </c>
      <c r="O30" s="132">
        <f>Calcs!N41</f>
        <v>40</v>
      </c>
      <c r="P30" s="132">
        <f>Calcs!O41</f>
        <v>40</v>
      </c>
      <c r="Q30" s="132">
        <f>Calcs!P41</f>
        <v>40</v>
      </c>
      <c r="R30" s="132">
        <f>Calcs!Q41</f>
        <v>40</v>
      </c>
      <c r="S30" s="132">
        <f>Calcs!R41</f>
        <v>40</v>
      </c>
      <c r="T30" s="132">
        <f>Calcs!S41</f>
        <v>40</v>
      </c>
    </row>
    <row r="31" spans="3:20" ht="13.8">
      <c r="C31" s="4"/>
      <c r="D31" s="10" t="s">
        <v>18</v>
      </c>
      <c r="E31" s="103">
        <f>E20*F20+E21*F21+E22*F22+E23*F23+E24*F24+E25*F25+E26*F26+E27*F27+E28*F28+E29*F29</f>
        <v>16.944947999999997</v>
      </c>
      <c r="M31" s="129" t="str">
        <f>Calcs!L42</f>
        <v>% net avail heat</v>
      </c>
      <c r="N31" s="149">
        <f>Calcs!M42</f>
        <v>0.5583759650888086</v>
      </c>
      <c r="O31" s="149">
        <f>Calcs!N42</f>
        <v>0.52577217999402714</v>
      </c>
      <c r="P31" s="149">
        <f>Calcs!O42</f>
        <v>0.4931683948992458</v>
      </c>
      <c r="Q31" s="149">
        <f>Calcs!P42</f>
        <v>0.427960824709683</v>
      </c>
      <c r="R31" s="149">
        <f>Calcs!Q42</f>
        <v>0.36275325452012014</v>
      </c>
      <c r="S31" s="149">
        <f>Calcs!R42</f>
        <v>0.29754568433055728</v>
      </c>
      <c r="T31" s="149">
        <f>Calcs!S42</f>
        <v>0.23233811414099448</v>
      </c>
    </row>
    <row r="32" spans="3:20">
      <c r="C32" s="4"/>
    </row>
    <row r="33" spans="3:24" ht="22.8" customHeight="1"/>
    <row r="34" spans="3:24" ht="14.4">
      <c r="C34" s="104"/>
      <c r="D34" s="105"/>
      <c r="E34" s="106" t="s">
        <v>76</v>
      </c>
      <c r="G34" s="105"/>
      <c r="H34" s="107"/>
      <c r="I34" s="107" t="s">
        <v>44</v>
      </c>
      <c r="J34" s="108"/>
      <c r="K34" s="105"/>
      <c r="R34" s="33"/>
      <c r="T34" s="33"/>
      <c r="U34" s="33"/>
      <c r="W34" s="33"/>
    </row>
    <row r="35" spans="3:24" ht="15.6">
      <c r="E35" s="4" t="s">
        <v>39</v>
      </c>
      <c r="G35" s="99"/>
      <c r="H35" s="100" t="s">
        <v>77</v>
      </c>
      <c r="I35" s="101"/>
      <c r="J35" s="3"/>
      <c r="K35" s="21" t="s">
        <v>39</v>
      </c>
      <c r="R35" s="33"/>
      <c r="T35" s="33"/>
      <c r="U35" s="33"/>
      <c r="W35" s="33"/>
    </row>
    <row r="36" spans="3:24" ht="15.6">
      <c r="D36" s="11" t="s">
        <v>3</v>
      </c>
      <c r="E36" s="40">
        <v>-74.81</v>
      </c>
      <c r="G36" s="18" t="s">
        <v>33</v>
      </c>
      <c r="K36" s="42">
        <f>2*E45+E44 - E36</f>
        <v>-802.327</v>
      </c>
    </row>
    <row r="37" spans="3:24" ht="15.6">
      <c r="D37" s="11" t="s">
        <v>5</v>
      </c>
      <c r="E37" s="40">
        <v>52.466999999999999</v>
      </c>
      <c r="G37" s="18" t="s">
        <v>34</v>
      </c>
      <c r="I37" s="5"/>
      <c r="K37" s="43">
        <f>2*E45+2*E44 - E37</f>
        <v>-1323.1130000000001</v>
      </c>
      <c r="P37" s="34"/>
      <c r="Q37" s="34"/>
      <c r="R37" s="34"/>
      <c r="S37" s="34"/>
      <c r="T37" s="34"/>
      <c r="U37" s="34"/>
      <c r="V37" s="34"/>
      <c r="W37" s="34"/>
      <c r="X37" s="34"/>
    </row>
    <row r="38" spans="3:24" ht="15.6">
      <c r="D38" s="11" t="s">
        <v>7</v>
      </c>
      <c r="E38" s="40">
        <v>-84.683999999999997</v>
      </c>
      <c r="G38" s="18" t="s">
        <v>35</v>
      </c>
      <c r="I38" s="5"/>
      <c r="K38" s="44">
        <f>3*E45+2*E44 - E38</f>
        <v>-1427.7760000000001</v>
      </c>
    </row>
    <row r="39" spans="3:24" ht="15.6">
      <c r="C39" s="4" t="s">
        <v>68</v>
      </c>
      <c r="D39" s="11" t="s">
        <v>9</v>
      </c>
      <c r="E39" s="40">
        <v>-103.84699999999999</v>
      </c>
      <c r="G39" s="18" t="s">
        <v>36</v>
      </c>
      <c r="I39" s="5"/>
      <c r="K39" s="44">
        <f>4*E45+3*E44 - E39</f>
        <v>-2043.9359999999999</v>
      </c>
    </row>
    <row r="40" spans="3:24" ht="15.6">
      <c r="D40" s="11" t="s">
        <v>30</v>
      </c>
      <c r="E40" s="40">
        <v>-126.148</v>
      </c>
      <c r="G40" s="18" t="s">
        <v>37</v>
      </c>
      <c r="I40" s="5"/>
      <c r="K40" s="44">
        <f>5*E45+4*E44 - E40</f>
        <v>-2656.9579999999996</v>
      </c>
    </row>
    <row r="41" spans="3:24" ht="15.6">
      <c r="D41" s="17" t="s">
        <v>11</v>
      </c>
      <c r="E41" s="41">
        <v>0</v>
      </c>
      <c r="G41" s="20" t="s">
        <v>32</v>
      </c>
      <c r="H41" s="19"/>
      <c r="I41" s="5"/>
      <c r="K41" s="42">
        <f>E45</f>
        <v>-241.81399999999999</v>
      </c>
    </row>
    <row r="42" spans="3:24" ht="15.6">
      <c r="D42" s="11" t="s">
        <v>13</v>
      </c>
      <c r="E42" s="40">
        <v>-110.529</v>
      </c>
      <c r="G42" s="18" t="s">
        <v>31</v>
      </c>
      <c r="K42" s="45">
        <f>E44-E42</f>
        <v>-282.98</v>
      </c>
    </row>
    <row r="43" spans="3:24">
      <c r="E43" s="21"/>
      <c r="K43" s="25"/>
    </row>
    <row r="44" spans="3:24" ht="15.6">
      <c r="C44" s="11" t="s">
        <v>50</v>
      </c>
      <c r="D44" s="11" t="s">
        <v>15</v>
      </c>
      <c r="E44" s="40">
        <v>-393.50900000000001</v>
      </c>
      <c r="G44" s="19" t="s">
        <v>136</v>
      </c>
      <c r="K44" s="159">
        <v>-44.02</v>
      </c>
    </row>
    <row r="45" spans="3:24" ht="15.6">
      <c r="C45" s="11" t="s">
        <v>49</v>
      </c>
      <c r="D45" s="11" t="s">
        <v>38</v>
      </c>
      <c r="E45" s="40">
        <v>-241.81399999999999</v>
      </c>
    </row>
    <row r="46" spans="3:24" ht="15.6">
      <c r="D46" s="11" t="s">
        <v>137</v>
      </c>
      <c r="E46" s="160">
        <v>-285.83</v>
      </c>
    </row>
    <row r="48" spans="3:24" ht="18.600000000000001" customHeight="1">
      <c r="C48" s="169" t="s">
        <v>86</v>
      </c>
      <c r="D48" s="169"/>
      <c r="E48" s="169"/>
      <c r="F48" s="169"/>
      <c r="G48" s="169"/>
    </row>
    <row r="49" spans="3:7" ht="15.6">
      <c r="C49" s="21" t="s">
        <v>88</v>
      </c>
      <c r="D49" s="11" t="s">
        <v>87</v>
      </c>
      <c r="E49" s="11" t="s">
        <v>17</v>
      </c>
      <c r="F49" s="11" t="s">
        <v>38</v>
      </c>
      <c r="G49" s="11" t="s">
        <v>15</v>
      </c>
    </row>
    <row r="50" spans="3:7">
      <c r="C50">
        <v>25.000000000001023</v>
      </c>
      <c r="D50" s="157">
        <v>0</v>
      </c>
      <c r="E50" s="157">
        <v>0</v>
      </c>
      <c r="F50" s="157">
        <v>0</v>
      </c>
      <c r="G50" s="157">
        <v>0</v>
      </c>
    </row>
    <row r="51" spans="3:7">
      <c r="C51">
        <v>192.50000000000091</v>
      </c>
      <c r="D51" s="158">
        <v>5022.2000823017725</v>
      </c>
      <c r="E51" s="158">
        <v>4862.9879984250892</v>
      </c>
      <c r="F51" s="158">
        <v>5707.7289441743833</v>
      </c>
      <c r="G51" s="158">
        <v>6776.6052651492228</v>
      </c>
    </row>
    <row r="52" spans="3:7">
      <c r="C52">
        <v>360.0000000000008</v>
      </c>
      <c r="D52" s="158">
        <v>10322.959746064142</v>
      </c>
      <c r="E52" s="158">
        <v>9872.3200618628453</v>
      </c>
      <c r="F52" s="158">
        <v>11690.432958721925</v>
      </c>
      <c r="G52" s="158">
        <v>14482.885115171237</v>
      </c>
    </row>
    <row r="53" spans="3:7">
      <c r="C53">
        <v>527.50000000000068</v>
      </c>
      <c r="D53" s="158">
        <v>15867.470359969462</v>
      </c>
      <c r="E53" s="158">
        <v>15072.093951967459</v>
      </c>
      <c r="F53" s="158">
        <v>18014.03111115142</v>
      </c>
      <c r="G53" s="158">
        <v>22850.715758330338</v>
      </c>
    </row>
    <row r="54" spans="3:7">
      <c r="C54">
        <v>695.00000000000057</v>
      </c>
      <c r="D54" s="158">
        <v>21596.853853807792</v>
      </c>
      <c r="E54" s="158">
        <v>20444.540370162267</v>
      </c>
      <c r="F54" s="158">
        <v>24689.831493293979</v>
      </c>
      <c r="G54" s="158">
        <v>31691.270985928186</v>
      </c>
    </row>
    <row r="55" spans="3:7">
      <c r="C55">
        <v>862.50000000000057</v>
      </c>
      <c r="D55" s="158">
        <v>27467.51650639045</v>
      </c>
      <c r="E55" s="158">
        <v>25966.039727000287</v>
      </c>
      <c r="F55" s="158">
        <v>31710.226580958511</v>
      </c>
      <c r="G55" s="158">
        <v>40880.219382501942</v>
      </c>
    </row>
    <row r="56" spans="3:7">
      <c r="C56">
        <v>1030.0000000000005</v>
      </c>
      <c r="D56" s="158">
        <v>33449.503953459738</v>
      </c>
      <c r="E56" s="158">
        <v>31615.127486030939</v>
      </c>
      <c r="F56" s="158">
        <v>39058.911633021344</v>
      </c>
      <c r="G56" s="158">
        <v>50333.07262975676</v>
      </c>
    </row>
    <row r="57" spans="3:7">
      <c r="C57">
        <v>1197.5000000000005</v>
      </c>
      <c r="D57" s="158">
        <v>39522.532331678623</v>
      </c>
      <c r="E57" s="158">
        <v>37373.238860850244</v>
      </c>
      <c r="F57" s="158">
        <v>46714.937313207156</v>
      </c>
      <c r="G57" s="158">
        <v>59990.297834507539</v>
      </c>
    </row>
    <row r="58" spans="3:7">
      <c r="C58">
        <v>1365.0000000000005</v>
      </c>
      <c r="D58" s="158">
        <v>45673.030833748366</v>
      </c>
      <c r="E58" s="158">
        <v>43224.257651244749</v>
      </c>
      <c r="F58" s="158">
        <v>54654.613405806711</v>
      </c>
      <c r="G58" s="158">
        <v>69808.63957551436</v>
      </c>
    </row>
    <row r="59" spans="3:7">
      <c r="C59">
        <v>1700</v>
      </c>
      <c r="D59" s="158">
        <v>58174.489455868403</v>
      </c>
      <c r="E59" s="158">
        <v>55149.604760462207</v>
      </c>
      <c r="F59" s="158">
        <v>71282.04165838279</v>
      </c>
      <c r="G59" s="158">
        <v>89807.631990912749</v>
      </c>
    </row>
    <row r="61" spans="3:7" ht="13.8">
      <c r="C61" s="145" t="s">
        <v>124</v>
      </c>
    </row>
    <row r="67" spans="11:12">
      <c r="K67" s="109"/>
      <c r="L67" s="109"/>
    </row>
    <row r="71" spans="11:12">
      <c r="K71" s="109"/>
      <c r="L71" s="109"/>
    </row>
  </sheetData>
  <mergeCells count="1">
    <mergeCell ref="C48:G48"/>
  </mergeCells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Word.Document.8" dvAspect="DVASPECT_ICON" shapeId="4116" r:id="rId4">
          <objectPr defaultSize="0" autoPict="0" r:id="rId5">
            <anchor moveWithCells="1">
              <from>
                <xdr:col>0</xdr:col>
                <xdr:colOff>106680</xdr:colOff>
                <xdr:row>6</xdr:row>
                <xdr:rowOff>106680</xdr:rowOff>
              </from>
              <to>
                <xdr:col>1</xdr:col>
                <xdr:colOff>822960</xdr:colOff>
                <xdr:row>10</xdr:row>
                <xdr:rowOff>121920</xdr:rowOff>
              </to>
            </anchor>
          </objectPr>
        </oleObject>
      </mc:Choice>
      <mc:Fallback>
        <oleObject progId="Word.Document.8" dvAspect="DVASPECT_ICON" shapeId="411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Y63"/>
  <sheetViews>
    <sheetView zoomScale="87" zoomScaleNormal="87" workbookViewId="0"/>
  </sheetViews>
  <sheetFormatPr defaultRowHeight="13.2"/>
  <cols>
    <col min="1" max="1" width="14.44140625" customWidth="1"/>
    <col min="5" max="5" width="10" customWidth="1"/>
    <col min="6" max="6" width="8.109375" customWidth="1"/>
    <col min="7" max="7" width="9.21875" bestFit="1" customWidth="1"/>
    <col min="10" max="10" width="9.88671875" customWidth="1"/>
    <col min="11" max="11" width="9.77734375" customWidth="1"/>
    <col min="12" max="12" width="10.109375" customWidth="1"/>
    <col min="13" max="13" width="10.88671875" bestFit="1" customWidth="1"/>
    <col min="14" max="14" width="9.44140625" customWidth="1"/>
    <col min="15" max="19" width="10.109375" bestFit="1" customWidth="1"/>
  </cols>
  <sheetData>
    <row r="1" spans="2:51" ht="17.399999999999999" customHeight="1">
      <c r="B1" s="162" t="s">
        <v>138</v>
      </c>
      <c r="C1" s="161"/>
      <c r="D1" s="161"/>
    </row>
    <row r="2" spans="2:51" ht="105" customHeight="1" thickBot="1">
      <c r="C2" s="168" t="s">
        <v>145</v>
      </c>
    </row>
    <row r="3" spans="2:51" ht="18" customHeight="1" thickBot="1">
      <c r="B3" s="4" t="s">
        <v>146</v>
      </c>
      <c r="C3" s="117"/>
      <c r="S3" s="58"/>
      <c r="U3" s="57"/>
    </row>
    <row r="4" spans="2:51" ht="20.399999999999999">
      <c r="L4" s="120"/>
      <c r="M4" s="122"/>
      <c r="N4" s="121" t="s">
        <v>109</v>
      </c>
      <c r="O4" s="122"/>
      <c r="P4" s="122"/>
      <c r="Q4" s="122"/>
      <c r="R4" s="122"/>
      <c r="S4" s="123"/>
    </row>
    <row r="5" spans="2:51" ht="12.75" customHeight="1" thickBot="1">
      <c r="E5" s="29"/>
      <c r="F5" s="29"/>
      <c r="G5" s="29"/>
      <c r="H5" s="29"/>
      <c r="I5" s="29"/>
      <c r="J5" s="38"/>
      <c r="K5" s="38"/>
      <c r="L5" s="38"/>
      <c r="M5" s="38"/>
      <c r="N5" s="11"/>
      <c r="O5" s="38"/>
      <c r="P5" s="59"/>
      <c r="Q5" s="38"/>
      <c r="R5" s="38"/>
      <c r="S5" s="38"/>
    </row>
    <row r="6" spans="2:51" s="38" customFormat="1" ht="16.2" thickBot="1">
      <c r="B6"/>
      <c r="C6"/>
      <c r="D6"/>
      <c r="E6" s="35"/>
      <c r="F6" s="55" t="s">
        <v>75</v>
      </c>
      <c r="G6" s="35"/>
      <c r="H6" s="50"/>
      <c r="K6"/>
      <c r="L6" s="21" t="s">
        <v>51</v>
      </c>
      <c r="M6" s="102">
        <f>'MainEntry&amp;Data'!K19</f>
        <v>0.21</v>
      </c>
      <c r="N6" s="69"/>
      <c r="O6" s="71"/>
      <c r="P6" s="71"/>
      <c r="Q6" s="71"/>
      <c r="R6"/>
      <c r="S6"/>
    </row>
    <row r="7" spans="2:51" s="38" customFormat="1" ht="14.4" thickBot="1">
      <c r="C7"/>
      <c r="D7" s="24" t="s">
        <v>28</v>
      </c>
      <c r="E7" s="24" t="s">
        <v>0</v>
      </c>
      <c r="F7" s="22" t="s">
        <v>19</v>
      </c>
      <c r="G7" s="24" t="s">
        <v>40</v>
      </c>
      <c r="H7" s="24" t="s">
        <v>1</v>
      </c>
      <c r="I7" s="24" t="s">
        <v>41</v>
      </c>
      <c r="K7"/>
      <c r="L7" s="21" t="s">
        <v>108</v>
      </c>
      <c r="M7" s="75">
        <v>0</v>
      </c>
      <c r="N7" s="75">
        <f>S7*0.1</f>
        <v>0.1</v>
      </c>
      <c r="O7" s="75">
        <f>S7*0.2</f>
        <v>0.2</v>
      </c>
      <c r="P7" s="75">
        <f>S7*0.4</f>
        <v>0.4</v>
      </c>
      <c r="Q7" s="75">
        <f>S7*0.6</f>
        <v>0.6</v>
      </c>
      <c r="R7" s="75">
        <f>S7*0.8</f>
        <v>0.8</v>
      </c>
      <c r="S7" s="116">
        <f>'MainEntry&amp;Data'!K20</f>
        <v>1</v>
      </c>
    </row>
    <row r="8" spans="2:51" s="38" customFormat="1" ht="16.2" thickBot="1">
      <c r="C8" s="4" t="s">
        <v>2</v>
      </c>
      <c r="D8" s="3" t="s">
        <v>3</v>
      </c>
      <c r="E8" s="5">
        <v>16.042999999999999</v>
      </c>
      <c r="F8" s="102">
        <f>'MainEntry&amp;Data'!F20</f>
        <v>0.93</v>
      </c>
      <c r="G8" s="5">
        <f>E8*F8</f>
        <v>14.91999</v>
      </c>
      <c r="H8" s="6">
        <f>G8/$E$19</f>
        <v>0.88049783333652032</v>
      </c>
      <c r="I8" s="39">
        <f>F8*'MainEntry&amp;Data'!K36</f>
        <v>-746.16411000000005</v>
      </c>
      <c r="K8"/>
      <c r="L8"/>
      <c r="M8"/>
      <c r="N8"/>
      <c r="O8"/>
      <c r="P8"/>
      <c r="Q8"/>
      <c r="R8"/>
      <c r="S8"/>
      <c r="AT8" s="4" t="s">
        <v>51</v>
      </c>
      <c r="AU8" s="60">
        <f>'MainEntry&amp;Data'!K19</f>
        <v>0.21</v>
      </c>
      <c r="AV8" s="19"/>
      <c r="AW8" s="11"/>
      <c r="AX8" s="11"/>
      <c r="AY8" s="11"/>
    </row>
    <row r="9" spans="2:51" s="38" customFormat="1" ht="14.1" customHeight="1" thickBot="1">
      <c r="C9" s="4" t="s">
        <v>4</v>
      </c>
      <c r="D9" s="2" t="s">
        <v>5</v>
      </c>
      <c r="E9" s="5">
        <v>28.053999999999998</v>
      </c>
      <c r="F9" s="102">
        <f>'MainEntry&amp;Data'!F21</f>
        <v>5.0000000000000001E-3</v>
      </c>
      <c r="G9" s="5">
        <f t="shared" ref="G9:G17" si="0">E9*F9</f>
        <v>0.14027000000000001</v>
      </c>
      <c r="H9" s="6">
        <f t="shared" ref="H9:H17" si="1">G9/$E$19</f>
        <v>8.277983502811578E-3</v>
      </c>
      <c r="I9" s="39">
        <f>F9*'MainEntry&amp;Data'!K37</f>
        <v>-6.6155650000000001</v>
      </c>
      <c r="K9"/>
      <c r="L9" s="21" t="s">
        <v>53</v>
      </c>
      <c r="M9" s="76">
        <f>3*F8 + 4*F9 + 5*F10 + 7*F11 +  9*F12 +  F13 + F14 + F15 + F16 + F17</f>
        <v>3.0030000000000001</v>
      </c>
      <c r="N9"/>
      <c r="O9" s="83" t="s">
        <v>89</v>
      </c>
      <c r="P9" s="117">
        <f>'MainEntry&amp;Data'!K11</f>
        <v>900</v>
      </c>
      <c r="Q9"/>
      <c r="R9"/>
      <c r="S9"/>
      <c r="AT9" s="4" t="s">
        <v>52</v>
      </c>
      <c r="AU9" s="61">
        <v>0</v>
      </c>
      <c r="AV9" s="62">
        <f>AY9*0.25</f>
        <v>1.2500000000000001E-2</v>
      </c>
      <c r="AW9" s="62">
        <f>AY9*0.5</f>
        <v>2.5000000000000001E-2</v>
      </c>
      <c r="AX9" s="62">
        <f>AY9*0.75</f>
        <v>3.7500000000000006E-2</v>
      </c>
      <c r="AY9" s="60">
        <v>0.05</v>
      </c>
    </row>
    <row r="10" spans="2:51" s="38" customFormat="1" ht="14.1" customHeight="1" thickBot="1">
      <c r="C10" s="4" t="s">
        <v>6</v>
      </c>
      <c r="D10" s="15" t="s">
        <v>7</v>
      </c>
      <c r="E10" s="9">
        <v>30.07</v>
      </c>
      <c r="F10" s="102">
        <f>'MainEntry&amp;Data'!F22</f>
        <v>0.02</v>
      </c>
      <c r="G10" s="5">
        <f t="shared" si="0"/>
        <v>0.60140000000000005</v>
      </c>
      <c r="H10" s="6">
        <f t="shared" si="1"/>
        <v>3.5491404281677359E-2</v>
      </c>
      <c r="I10" s="39">
        <f>F10*'MainEntry&amp;Data'!K38</f>
        <v>-28.555520000000001</v>
      </c>
      <c r="K10"/>
      <c r="L10" s="21" t="s">
        <v>54</v>
      </c>
      <c r="M10" s="77">
        <f>(2*F8 + 3*F9 + 3.5*F10 + 5*F11  + 6.5*F12 + 0.5*F13 + 0.5*F14)/M6</f>
        <v>9.4738095238095248</v>
      </c>
      <c r="N10"/>
      <c r="O10"/>
      <c r="P10"/>
      <c r="Q10"/>
      <c r="R10"/>
      <c r="S10" s="58"/>
    </row>
    <row r="11" spans="2:51" s="38" customFormat="1" ht="14.1" customHeight="1" thickBot="1">
      <c r="C11" s="4" t="s">
        <v>8</v>
      </c>
      <c r="D11" s="15" t="s">
        <v>9</v>
      </c>
      <c r="E11" s="9">
        <v>44.097000000000001</v>
      </c>
      <c r="F11" s="102">
        <f>'MainEntry&amp;Data'!F23</f>
        <v>4.0000000000000001E-3</v>
      </c>
      <c r="G11" s="5">
        <f t="shared" si="0"/>
        <v>0.17638800000000002</v>
      </c>
      <c r="H11" s="6">
        <f t="shared" si="1"/>
        <v>1.0409474257460102E-2</v>
      </c>
      <c r="I11" s="39">
        <f>F11*'MainEntry&amp;Data'!K39</f>
        <v>-8.1757439999999999</v>
      </c>
      <c r="K11"/>
      <c r="L11" s="21" t="s">
        <v>55</v>
      </c>
      <c r="M11" s="77">
        <f>M10*(1-M6)</f>
        <v>7.4843095238095252</v>
      </c>
      <c r="N11"/>
      <c r="O11"/>
      <c r="P11"/>
      <c r="Q11"/>
      <c r="R11"/>
      <c r="S11"/>
      <c r="AT11" s="4" t="s">
        <v>53</v>
      </c>
      <c r="AU11" s="63">
        <f>3*F8 + 4*F9 + 5*F10 + 7*F11 +  9*F12 +  F13 + F14 + F15 + F16 + F17</f>
        <v>3.0030000000000001</v>
      </c>
      <c r="AV11" s="11"/>
      <c r="AW11" s="11"/>
      <c r="AX11" s="11"/>
      <c r="AY11" s="11"/>
    </row>
    <row r="12" spans="2:51" s="38" customFormat="1" ht="14.1" customHeight="1" thickBot="1">
      <c r="C12" s="4" t="s">
        <v>26</v>
      </c>
      <c r="D12" s="16" t="s">
        <v>27</v>
      </c>
      <c r="E12" s="9">
        <v>58.123999999999995</v>
      </c>
      <c r="F12" s="102">
        <f>'MainEntry&amp;Data'!F24</f>
        <v>3.0000000000000001E-3</v>
      </c>
      <c r="G12" s="5">
        <f t="shared" si="0"/>
        <v>0.174372</v>
      </c>
      <c r="H12" s="6">
        <f t="shared" si="1"/>
        <v>1.0290500743938549E-2</v>
      </c>
      <c r="I12" s="39">
        <f>F12*'MainEntry&amp;Data'!K40</f>
        <v>-7.9708739999999993</v>
      </c>
      <c r="K12"/>
      <c r="L12" s="78" t="s">
        <v>66</v>
      </c>
      <c r="M12" s="77">
        <f>M10*(1+M7)</f>
        <v>9.4738095238095248</v>
      </c>
      <c r="N12" s="77">
        <f t="shared" ref="N12:S12" si="2">$M$10*(1+N7)</f>
        <v>10.421190476190478</v>
      </c>
      <c r="O12" s="77">
        <f t="shared" si="2"/>
        <v>11.36857142857143</v>
      </c>
      <c r="P12" s="77">
        <f t="shared" si="2"/>
        <v>13.263333333333334</v>
      </c>
      <c r="Q12" s="77">
        <f t="shared" si="2"/>
        <v>15.158095238095241</v>
      </c>
      <c r="R12" s="77">
        <f t="shared" si="2"/>
        <v>17.052857142857146</v>
      </c>
      <c r="S12" s="77">
        <f t="shared" si="2"/>
        <v>18.94761904761905</v>
      </c>
      <c r="AR12" s="64"/>
      <c r="AT12" s="4" t="s">
        <v>54</v>
      </c>
      <c r="AU12" s="65">
        <f>(2*F8 + 3*F9 + 3.5*F10 + 5*F11  + 6.5*F12 + 0.5*F13 + 0.5*F14)/AU8</f>
        <v>9.4738095238095248</v>
      </c>
      <c r="AV12" s="39"/>
      <c r="AW12" s="39"/>
      <c r="AX12" s="39"/>
      <c r="AY12" s="39"/>
    </row>
    <row r="13" spans="2:51" s="38" customFormat="1" ht="14.1" customHeight="1" thickBot="1">
      <c r="C13" s="4" t="s">
        <v>10</v>
      </c>
      <c r="D13" s="17" t="s">
        <v>11</v>
      </c>
      <c r="E13" s="9">
        <v>2.016</v>
      </c>
      <c r="F13" s="102">
        <f>'MainEntry&amp;Data'!F25</f>
        <v>5.0000000000000001E-3</v>
      </c>
      <c r="G13" s="5">
        <f t="shared" si="0"/>
        <v>1.008E-2</v>
      </c>
      <c r="H13" s="6">
        <f t="shared" si="1"/>
        <v>5.9486756760776147E-4</v>
      </c>
      <c r="I13" s="39">
        <f>F13*'MainEntry&amp;Data'!K41</f>
        <v>-1.2090700000000001</v>
      </c>
      <c r="K13"/>
      <c r="L13" s="21" t="s">
        <v>56</v>
      </c>
      <c r="M13" s="77">
        <f t="shared" ref="M13:S13" si="3">M12-$M$10</f>
        <v>0</v>
      </c>
      <c r="N13" s="77">
        <f t="shared" si="3"/>
        <v>0.94738095238095354</v>
      </c>
      <c r="O13" s="77">
        <f t="shared" si="3"/>
        <v>1.8947619047619053</v>
      </c>
      <c r="P13" s="77">
        <f t="shared" si="3"/>
        <v>3.7895238095238089</v>
      </c>
      <c r="Q13" s="77">
        <f t="shared" si="3"/>
        <v>5.6842857142857159</v>
      </c>
      <c r="R13" s="77">
        <f t="shared" si="3"/>
        <v>7.5790476190476213</v>
      </c>
      <c r="S13" s="77">
        <f t="shared" si="3"/>
        <v>9.4738095238095248</v>
      </c>
      <c r="AT13" s="4" t="s">
        <v>55</v>
      </c>
      <c r="AU13" s="65">
        <f>AU12*(1-AU8)</f>
        <v>7.4843095238095252</v>
      </c>
    </row>
    <row r="14" spans="2:51" s="38" customFormat="1" ht="14.1" customHeight="1" thickBot="1">
      <c r="C14" s="4" t="s">
        <v>12</v>
      </c>
      <c r="D14" s="11" t="s">
        <v>13</v>
      </c>
      <c r="E14" s="7">
        <v>28.010999999999999</v>
      </c>
      <c r="F14" s="102">
        <f>'MainEntry&amp;Data'!F26</f>
        <v>5.0000000000000001E-3</v>
      </c>
      <c r="G14" s="5">
        <f t="shared" si="0"/>
        <v>0.14005500000000001</v>
      </c>
      <c r="H14" s="6">
        <f t="shared" si="1"/>
        <v>8.2652953552881988E-3</v>
      </c>
      <c r="I14" s="39">
        <f>F14*'MainEntry&amp;Data'!K42</f>
        <v>-1.4149</v>
      </c>
      <c r="K14"/>
      <c r="L14" s="21" t="s">
        <v>84</v>
      </c>
      <c r="M14" s="79">
        <f t="shared" ref="M14:S14" si="4">$M$6*M13/($M$9 + $M$11 + M13)</f>
        <v>0</v>
      </c>
      <c r="N14" s="79">
        <f t="shared" si="4"/>
        <v>1.7398809387473808E-2</v>
      </c>
      <c r="O14" s="79">
        <f t="shared" si="4"/>
        <v>3.2135172397879427E-2</v>
      </c>
      <c r="P14" s="79">
        <f t="shared" si="4"/>
        <v>5.5740652105392169E-2</v>
      </c>
      <c r="Q14" s="79">
        <f t="shared" si="4"/>
        <v>7.3814610273451237E-2</v>
      </c>
      <c r="R14" s="79">
        <f t="shared" si="4"/>
        <v>8.8097450272606154E-2</v>
      </c>
      <c r="S14" s="79">
        <f t="shared" si="4"/>
        <v>9.9668760817160015E-2</v>
      </c>
      <c r="AT14" s="4" t="s">
        <v>56</v>
      </c>
      <c r="AU14" s="65">
        <f>AU9*($AU$11+$AU$13)/($AU$8-AU9)</f>
        <v>0</v>
      </c>
      <c r="AV14" s="65">
        <f>AV9*($AU$11+$AU$13)/($AU$8-AV9)</f>
        <v>0.6637537673297168</v>
      </c>
      <c r="AW14" s="65">
        <f>AW9*($AU$11+$AU$13)/($AU$8-AW9)</f>
        <v>1.4172039897039899</v>
      </c>
      <c r="AX14" s="65">
        <f>AX9*($AU$11+$AU$13)/($AU$8-AX9)</f>
        <v>2.2798498964803322</v>
      </c>
      <c r="AY14" s="65">
        <f>AY9*($AU$11+$AU$13)/($AU$8-AY9)</f>
        <v>3.2772842261904769</v>
      </c>
    </row>
    <row r="15" spans="2:51" s="38" customFormat="1" ht="14.1" customHeight="1" thickBot="1">
      <c r="C15" s="4" t="s">
        <v>14</v>
      </c>
      <c r="D15" s="11" t="s">
        <v>15</v>
      </c>
      <c r="E15" s="12">
        <v>44.010999999999996</v>
      </c>
      <c r="F15" s="102">
        <f>'MainEntry&amp;Data'!F27</f>
        <v>3.0000000000000001E-3</v>
      </c>
      <c r="G15" s="5">
        <f t="shared" si="0"/>
        <v>0.13203299999999998</v>
      </c>
      <c r="H15" s="6">
        <f t="shared" si="1"/>
        <v>7.7918799160670198E-3</v>
      </c>
      <c r="I15" s="11">
        <v>0</v>
      </c>
      <c r="J15"/>
      <c r="K15"/>
      <c r="L15" s="70" t="s">
        <v>101</v>
      </c>
      <c r="M15" s="73">
        <f t="shared" ref="M15:S15" si="5">$M$9+$M$11+M13</f>
        <v>10.487309523809525</v>
      </c>
      <c r="N15" s="73">
        <f t="shared" si="5"/>
        <v>11.434690476190479</v>
      </c>
      <c r="O15" s="73">
        <f t="shared" si="5"/>
        <v>12.382071428571431</v>
      </c>
      <c r="P15" s="73">
        <f t="shared" si="5"/>
        <v>14.276833333333334</v>
      </c>
      <c r="Q15" s="73">
        <f t="shared" si="5"/>
        <v>16.171595238095243</v>
      </c>
      <c r="R15" s="73">
        <f t="shared" si="5"/>
        <v>18.066357142857147</v>
      </c>
      <c r="S15" s="73">
        <f t="shared" si="5"/>
        <v>19.96111904761905</v>
      </c>
      <c r="AT15" s="4" t="s">
        <v>57</v>
      </c>
      <c r="AU15" s="66">
        <f>AU17/$AU$12</f>
        <v>1</v>
      </c>
      <c r="AV15" s="66">
        <f>AV17/$AU$12</f>
        <v>1.0700619709169341</v>
      </c>
      <c r="AW15" s="66">
        <f>AW17/$AU$12</f>
        <v>1.1495917757415621</v>
      </c>
      <c r="AX15" s="66">
        <f>AX17/$AU$12</f>
        <v>1.2406476392364261</v>
      </c>
      <c r="AY15" s="66">
        <f>AY17/$AU$12</f>
        <v>1.3459309814023626</v>
      </c>
    </row>
    <row r="16" spans="2:51" ht="14.1" customHeight="1" thickBot="1">
      <c r="C16" s="4" t="s">
        <v>46</v>
      </c>
      <c r="D16" s="17" t="s">
        <v>47</v>
      </c>
      <c r="E16" s="12">
        <v>18.015999999999998</v>
      </c>
      <c r="F16" s="102">
        <f>'MainEntry&amp;Data'!F28</f>
        <v>5.0000000000000001E-3</v>
      </c>
      <c r="G16" s="5">
        <f t="shared" si="0"/>
        <v>9.0079999999999993E-2</v>
      </c>
      <c r="H16" s="6">
        <f t="shared" si="1"/>
        <v>5.3160387390979317E-3</v>
      </c>
      <c r="I16" s="71">
        <v>0</v>
      </c>
      <c r="K16" s="80"/>
      <c r="L16" s="70" t="s">
        <v>73</v>
      </c>
      <c r="M16" s="73">
        <f t="shared" ref="M16:S16" si="6">M15-$M$21</f>
        <v>8.5163095238095252</v>
      </c>
      <c r="N16" s="73">
        <f t="shared" si="6"/>
        <v>9.4636904761904788</v>
      </c>
      <c r="O16" s="73">
        <f t="shared" si="6"/>
        <v>10.411071428571431</v>
      </c>
      <c r="P16" s="73">
        <f t="shared" si="6"/>
        <v>12.305833333333334</v>
      </c>
      <c r="Q16" s="73">
        <f t="shared" si="6"/>
        <v>14.200595238095243</v>
      </c>
      <c r="R16" s="73">
        <f t="shared" si="6"/>
        <v>16.095357142857146</v>
      </c>
      <c r="S16" s="73">
        <f t="shared" si="6"/>
        <v>17.99011904761905</v>
      </c>
      <c r="AT16" s="21" t="s">
        <v>58</v>
      </c>
      <c r="AU16" s="67">
        <f>AU14/$AU$12</f>
        <v>0</v>
      </c>
      <c r="AV16" s="67">
        <f>AV14/$AU$12</f>
        <v>7.0061970916934155E-2</v>
      </c>
      <c r="AW16" s="67">
        <f>AW14/$AU$12</f>
        <v>0.14959177574156213</v>
      </c>
      <c r="AX16" s="67">
        <f>AX14/$AU$12</f>
        <v>0.2406476392364261</v>
      </c>
      <c r="AY16" s="67">
        <f>AY14/$AU$12</f>
        <v>0.34593098140236245</v>
      </c>
    </row>
    <row r="17" spans="2:51" ht="14.1" customHeight="1" thickBot="1">
      <c r="C17" s="4" t="s">
        <v>16</v>
      </c>
      <c r="D17" s="13" t="s">
        <v>17</v>
      </c>
      <c r="E17" s="14">
        <v>28.013999999999999</v>
      </c>
      <c r="F17" s="102">
        <f>'MainEntry&amp;Data'!F29</f>
        <v>1.9999999999999907E-2</v>
      </c>
      <c r="G17" s="5">
        <f t="shared" si="0"/>
        <v>0.56027999999999734</v>
      </c>
      <c r="H17" s="6">
        <f t="shared" si="1"/>
        <v>3.3064722299531252E-2</v>
      </c>
      <c r="I17" s="71">
        <v>0</v>
      </c>
      <c r="L17" s="70" t="s">
        <v>85</v>
      </c>
      <c r="M17" s="79">
        <f t="shared" ref="M17:S17" si="7">$M$6*M13/M16</f>
        <v>0</v>
      </c>
      <c r="N17" s="79">
        <f t="shared" si="7"/>
        <v>2.1022454242405203E-2</v>
      </c>
      <c r="O17" s="79">
        <f t="shared" si="7"/>
        <v>3.8218929024733284E-2</v>
      </c>
      <c r="P17" s="79">
        <f t="shared" si="7"/>
        <v>6.4668517640685291E-2</v>
      </c>
      <c r="Q17" s="79">
        <f t="shared" si="7"/>
        <v>8.4059856645848169E-2</v>
      </c>
      <c r="R17" s="79">
        <f t="shared" si="7"/>
        <v>9.8885659129740164E-2</v>
      </c>
      <c r="S17" s="79">
        <f t="shared" si="7"/>
        <v>0.11058848441935717</v>
      </c>
      <c r="AT17" s="21" t="s">
        <v>59</v>
      </c>
      <c r="AU17" s="68">
        <f>$AU$12+AU14</f>
        <v>9.4738095238095248</v>
      </c>
      <c r="AV17" s="68">
        <f>$AU$12+AV14</f>
        <v>10.137563291139241</v>
      </c>
      <c r="AW17" s="68">
        <f>$AU$12+AW14</f>
        <v>10.891013513513515</v>
      </c>
      <c r="AX17" s="68">
        <f>$AU$12+AX14</f>
        <v>11.753659420289857</v>
      </c>
      <c r="AY17" s="68">
        <f>$AU$12+AY14</f>
        <v>12.751093750000003</v>
      </c>
    </row>
    <row r="18" spans="2:51" ht="14.1" customHeight="1">
      <c r="L18" s="70" t="s">
        <v>64</v>
      </c>
      <c r="M18" s="5">
        <f>M12*($M$6*$E$20+(1-$M$6)*$E$17)</f>
        <v>273.32944700000002</v>
      </c>
      <c r="N18" s="5">
        <f t="shared" ref="N18:S18" si="8">N12*($M$6*$E$20+(1-$M$6)*$E$17)</f>
        <v>300.66239170000006</v>
      </c>
      <c r="O18" s="5">
        <f t="shared" si="8"/>
        <v>327.99533640000004</v>
      </c>
      <c r="P18" s="5">
        <f t="shared" si="8"/>
        <v>382.66122580000001</v>
      </c>
      <c r="Q18" s="5">
        <f t="shared" si="8"/>
        <v>437.32711520000009</v>
      </c>
      <c r="R18" s="5">
        <f t="shared" si="8"/>
        <v>491.99300460000012</v>
      </c>
      <c r="S18" s="5">
        <f t="shared" si="8"/>
        <v>546.65889400000003</v>
      </c>
      <c r="AT18" s="70" t="s">
        <v>60</v>
      </c>
      <c r="AU18" s="8">
        <f>2*F8+2*F9+3*F10+4*F11+5*F12+F13+F16</f>
        <v>1.9709999999999999</v>
      </c>
      <c r="AW18" s="71"/>
      <c r="AY18" s="72"/>
    </row>
    <row r="19" spans="2:51" ht="14.1" customHeight="1">
      <c r="D19" s="10" t="s">
        <v>18</v>
      </c>
      <c r="E19" s="5">
        <f>E8*F8+E9*F9+E10*F10+E11*F11+E12*F12+E13*F13+E14*F14+E15*F15+E16*F16+E17*F17</f>
        <v>16.944947999999997</v>
      </c>
      <c r="F19" s="35"/>
      <c r="G19" s="36"/>
      <c r="H19" s="37" t="s">
        <v>72</v>
      </c>
      <c r="I19" s="135">
        <f>SUM(I8:I14)</f>
        <v>-800.10578299999997</v>
      </c>
      <c r="L19" s="70" t="s">
        <v>80</v>
      </c>
      <c r="M19" s="5">
        <f>M18/$E$19</f>
        <v>16.130438818696881</v>
      </c>
      <c r="N19" s="5">
        <f t="shared" ref="N19:S19" si="9">N18/$E$19</f>
        <v>17.74348270056657</v>
      </c>
      <c r="O19" s="5">
        <f t="shared" si="9"/>
        <v>19.35652658243626</v>
      </c>
      <c r="P19" s="5">
        <f t="shared" si="9"/>
        <v>22.582614346175632</v>
      </c>
      <c r="Q19" s="5">
        <f t="shared" si="9"/>
        <v>25.808702109915014</v>
      </c>
      <c r="R19" s="5">
        <f t="shared" si="9"/>
        <v>29.03478987365439</v>
      </c>
      <c r="S19" s="5">
        <f t="shared" si="9"/>
        <v>32.260877637393762</v>
      </c>
      <c r="AS19" s="58"/>
      <c r="AT19" s="70" t="s">
        <v>61</v>
      </c>
      <c r="AU19" s="73">
        <f>$AU$11+$AU$13+AU14</f>
        <v>10.487309523809525</v>
      </c>
      <c r="AV19" s="73">
        <f>$AU$11+$AU$13+AV14</f>
        <v>11.151063291139241</v>
      </c>
      <c r="AW19" s="73">
        <f>$AU$11+$AU$13+AW14</f>
        <v>11.904513513513516</v>
      </c>
      <c r="AX19" s="73">
        <f>$AU$11+$AU$13+AX14</f>
        <v>12.767159420289858</v>
      </c>
      <c r="AY19" s="73">
        <f>$AU$11+$AU$13+AY14</f>
        <v>13.764593750000003</v>
      </c>
    </row>
    <row r="20" spans="2:51" ht="14.1" customHeight="1">
      <c r="D20" s="81" t="s">
        <v>67</v>
      </c>
      <c r="E20" s="11">
        <v>32</v>
      </c>
      <c r="AS20" s="58"/>
      <c r="AT20" s="70" t="s">
        <v>62</v>
      </c>
      <c r="AU20" s="73">
        <f>AU19-$AU$18</f>
        <v>8.5163095238095252</v>
      </c>
      <c r="AV20" s="73">
        <f>AV19-$AU$18</f>
        <v>9.1800632911392412</v>
      </c>
      <c r="AW20" s="73">
        <f>AW19-$AU$18</f>
        <v>9.9335135135135157</v>
      </c>
      <c r="AX20" s="73">
        <f>AX19-$AU$18</f>
        <v>10.796159420289857</v>
      </c>
      <c r="AY20" s="73">
        <f>AY19-$AU$18</f>
        <v>11.793593750000003</v>
      </c>
    </row>
    <row r="21" spans="2:51" ht="14.1" customHeight="1">
      <c r="L21" s="118" t="s">
        <v>82</v>
      </c>
      <c r="M21" s="71">
        <f>2*F8+2*F9+3*F10+4*F11+5*F12+F13+F16</f>
        <v>1.9709999999999999</v>
      </c>
      <c r="N21" s="11">
        <f t="shared" ref="N21:S21" si="10">$M$21</f>
        <v>1.9709999999999999</v>
      </c>
      <c r="O21" s="11">
        <f t="shared" si="10"/>
        <v>1.9709999999999999</v>
      </c>
      <c r="P21" s="11">
        <f t="shared" si="10"/>
        <v>1.9709999999999999</v>
      </c>
      <c r="Q21" s="11">
        <f t="shared" si="10"/>
        <v>1.9709999999999999</v>
      </c>
      <c r="R21" s="11">
        <f t="shared" si="10"/>
        <v>1.9709999999999999</v>
      </c>
      <c r="S21" s="11">
        <f t="shared" si="10"/>
        <v>1.9709999999999999</v>
      </c>
      <c r="AS21" s="58"/>
      <c r="AT21" s="70" t="s">
        <v>63</v>
      </c>
      <c r="AU21" s="74">
        <f>$AU$8*AU14/AU20</f>
        <v>0</v>
      </c>
      <c r="AV21" s="74">
        <f>$AU$8*AV14/AV20</f>
        <v>1.5183805026026407E-2</v>
      </c>
      <c r="AW21" s="74">
        <f>$AU$8*AW14/AW20</f>
        <v>2.9960480491919243E-2</v>
      </c>
      <c r="AX21" s="74">
        <f>$AU$8*AX14/AX20</f>
        <v>4.4346184566438691E-2</v>
      </c>
      <c r="AY21" s="74">
        <f>$AU$8*AY14/AY20</f>
        <v>5.8356231534599026E-2</v>
      </c>
    </row>
    <row r="22" spans="2:51" ht="15.6">
      <c r="C22" s="26"/>
      <c r="D22" s="27"/>
      <c r="E22" s="27"/>
      <c r="F22" s="27"/>
      <c r="G22" s="96" t="s">
        <v>24</v>
      </c>
      <c r="H22" s="96" t="s">
        <v>25</v>
      </c>
      <c r="K22" s="11" t="s">
        <v>97</v>
      </c>
      <c r="L22" s="11" t="s">
        <v>78</v>
      </c>
      <c r="M22" s="8">
        <f>F8+2*F9+2*F10+3*F11+4*F12+F14+F15</f>
        <v>1.0119999999999998</v>
      </c>
      <c r="N22" s="8">
        <f t="shared" ref="N22:S22" si="11">$M$22</f>
        <v>1.0119999999999998</v>
      </c>
      <c r="O22" s="8">
        <f t="shared" si="11"/>
        <v>1.0119999999999998</v>
      </c>
      <c r="P22" s="8">
        <f t="shared" si="11"/>
        <v>1.0119999999999998</v>
      </c>
      <c r="Q22" s="8">
        <f t="shared" si="11"/>
        <v>1.0119999999999998</v>
      </c>
      <c r="R22" s="8">
        <f t="shared" si="11"/>
        <v>1.0119999999999998</v>
      </c>
      <c r="S22" s="8">
        <f t="shared" si="11"/>
        <v>1.0119999999999998</v>
      </c>
      <c r="AS22" s="58"/>
      <c r="AT22" s="58"/>
      <c r="AU22" s="58"/>
      <c r="AV22" s="14"/>
      <c r="AW22" s="14"/>
      <c r="AX22" s="14"/>
      <c r="AY22" s="14"/>
    </row>
    <row r="23" spans="2:51" ht="15.6">
      <c r="C23" s="28"/>
      <c r="D23" s="29"/>
      <c r="E23" s="29"/>
      <c r="F23" s="30" t="s">
        <v>42</v>
      </c>
      <c r="G23" s="51">
        <f>'MainEntry&amp;Data'!J24-F15</f>
        <v>1.0089999999999999</v>
      </c>
      <c r="H23" s="52">
        <f>G23*28.01</f>
        <v>28.262089999999997</v>
      </c>
      <c r="K23" s="11" t="s">
        <v>98</v>
      </c>
      <c r="L23" s="11" t="s">
        <v>83</v>
      </c>
      <c r="M23" s="5">
        <f t="shared" ref="M23:S23" si="12">$F$17+M12*(1-$M$6)</f>
        <v>7.5043095238095248</v>
      </c>
      <c r="N23" s="5">
        <f t="shared" si="12"/>
        <v>8.2527404761904783</v>
      </c>
      <c r="O23" s="5">
        <f t="shared" si="12"/>
        <v>9.0011714285714302</v>
      </c>
      <c r="P23" s="5">
        <f t="shared" si="12"/>
        <v>10.498033333333334</v>
      </c>
      <c r="Q23" s="5">
        <f t="shared" si="12"/>
        <v>11.994895238095241</v>
      </c>
      <c r="R23" s="5">
        <f t="shared" si="12"/>
        <v>13.491757142857146</v>
      </c>
      <c r="S23" s="5">
        <f t="shared" si="12"/>
        <v>14.98861904761905</v>
      </c>
      <c r="AS23" s="58"/>
      <c r="AT23" s="70" t="s">
        <v>64</v>
      </c>
      <c r="AU23" s="14">
        <f>AU17*($AU$8*$E$20+(1-$AU$8)*$E$17)</f>
        <v>273.32944700000002</v>
      </c>
      <c r="AV23" s="14">
        <f>AV17*($AU$8*$E$17+(1-$AU$8)*$E$14)</f>
        <v>283.96967201297468</v>
      </c>
      <c r="AW23" s="14">
        <f>AW17*($AU$8*$E$17+(1-$AU$8)*$E$14)</f>
        <v>305.07504086554053</v>
      </c>
      <c r="AX23" s="14">
        <f>AX17*($AU$8*$E$17+(1-$AU$8)*$E$14)</f>
        <v>329.23915882717392</v>
      </c>
      <c r="AY23" s="14">
        <f>AY17*($AU$8*$E$17+(1-$AU$8)*$E$14)</f>
        <v>357.17892022031253</v>
      </c>
    </row>
    <row r="24" spans="2:51" ht="15.6">
      <c r="C24" s="28"/>
      <c r="D24" s="53"/>
      <c r="E24" s="29"/>
      <c r="F24" s="31" t="s">
        <v>43</v>
      </c>
      <c r="G24" s="51">
        <f>'MainEntry&amp;Data'!J25/2 - F16</f>
        <v>1.966</v>
      </c>
      <c r="H24" s="52">
        <f>G24*18.016</f>
        <v>35.419455999999997</v>
      </c>
      <c r="L24" s="11" t="s">
        <v>81</v>
      </c>
      <c r="M24" s="5">
        <f t="shared" ref="M24:S24" si="13">(M12-$M$10)*$M$6</f>
        <v>0</v>
      </c>
      <c r="N24" s="5">
        <f t="shared" si="13"/>
        <v>0.19895000000000024</v>
      </c>
      <c r="O24" s="5">
        <f t="shared" si="13"/>
        <v>0.39790000000000009</v>
      </c>
      <c r="P24" s="5">
        <f t="shared" si="13"/>
        <v>0.79579999999999984</v>
      </c>
      <c r="Q24" s="5">
        <f t="shared" si="13"/>
        <v>1.1937000000000002</v>
      </c>
      <c r="R24" s="5">
        <f t="shared" si="13"/>
        <v>1.5916000000000003</v>
      </c>
      <c r="S24" s="5">
        <f t="shared" si="13"/>
        <v>1.9895</v>
      </c>
      <c r="AS24" s="58"/>
      <c r="AT24" s="70" t="s">
        <v>65</v>
      </c>
      <c r="AU24" s="14" t="e">
        <f>AU23/#REF!</f>
        <v>#REF!</v>
      </c>
      <c r="AV24" s="14" t="e">
        <f>AV23/#REF!</f>
        <v>#REF!</v>
      </c>
      <c r="AW24" s="14" t="e">
        <f>AW23/#REF!</f>
        <v>#REF!</v>
      </c>
      <c r="AX24" s="14" t="e">
        <f>AX23/#REF!</f>
        <v>#REF!</v>
      </c>
      <c r="AY24" s="14" t="e">
        <f>AY23/#REF!</f>
        <v>#REF!</v>
      </c>
    </row>
    <row r="25" spans="2:51" ht="15.6">
      <c r="C25" s="89"/>
      <c r="D25" s="88"/>
      <c r="E25" s="1"/>
      <c r="F25" s="32" t="s">
        <v>74</v>
      </c>
      <c r="G25" s="51">
        <f>G23+G24/2</f>
        <v>1.992</v>
      </c>
      <c r="H25" s="52">
        <f>G25*32</f>
        <v>63.744</v>
      </c>
    </row>
    <row r="26" spans="2:51" ht="15.6">
      <c r="L26" s="118" t="s">
        <v>82</v>
      </c>
      <c r="M26" s="119">
        <f>M21/M15</f>
        <v>0.18794143488615489</v>
      </c>
      <c r="N26" s="119">
        <f t="shared" ref="N26:S26" si="14">N21/N15</f>
        <v>0.17237021011666664</v>
      </c>
      <c r="O26" s="119">
        <f t="shared" si="14"/>
        <v>0.15918176626343383</v>
      </c>
      <c r="P26" s="119">
        <f t="shared" si="14"/>
        <v>0.13805582470435787</v>
      </c>
      <c r="Q26" s="119">
        <f t="shared" si="14"/>
        <v>0.12188036931303707</v>
      </c>
      <c r="R26" s="119">
        <f t="shared" si="14"/>
        <v>0.10909781005736785</v>
      </c>
      <c r="S26" s="119">
        <f t="shared" si="14"/>
        <v>9.8741959070430943E-2</v>
      </c>
    </row>
    <row r="27" spans="2:51" ht="15.6">
      <c r="K27" s="4" t="s">
        <v>99</v>
      </c>
      <c r="L27" s="11" t="s">
        <v>78</v>
      </c>
      <c r="M27" s="119">
        <f>M22/M15</f>
        <v>9.6497580976554392E-2</v>
      </c>
      <c r="N27" s="119">
        <f t="shared" ref="N27:S27" si="15">N22/N15</f>
        <v>8.8502614225300161E-2</v>
      </c>
      <c r="O27" s="119">
        <f t="shared" si="15"/>
        <v>8.1731074306745324E-2</v>
      </c>
      <c r="P27" s="119">
        <f t="shared" si="15"/>
        <v>7.0884066261192355E-2</v>
      </c>
      <c r="Q27" s="119">
        <f t="shared" si="15"/>
        <v>6.2578860347434553E-2</v>
      </c>
      <c r="R27" s="119">
        <f t="shared" si="15"/>
        <v>5.6015719826512558E-2</v>
      </c>
      <c r="S27" s="119">
        <f t="shared" si="15"/>
        <v>5.06985604156652E-2</v>
      </c>
    </row>
    <row r="28" spans="2:51" ht="18.600000000000001" customHeight="1">
      <c r="B28" s="147"/>
      <c r="C28" s="150"/>
      <c r="D28" s="146"/>
      <c r="E28" s="146"/>
      <c r="F28" s="151" t="s">
        <v>140</v>
      </c>
      <c r="G28" s="146"/>
      <c r="H28" s="146"/>
      <c r="I28" s="146"/>
      <c r="J28" s="123"/>
      <c r="K28" s="11" t="s">
        <v>100</v>
      </c>
      <c r="L28" s="11" t="s">
        <v>83</v>
      </c>
      <c r="M28" s="119">
        <f>M23/M15</f>
        <v>0.71556098413729063</v>
      </c>
      <c r="N28" s="119">
        <f t="shared" ref="N28:S28" si="16">N23/N15</f>
        <v>0.72172836627055936</v>
      </c>
      <c r="O28" s="119">
        <f t="shared" si="16"/>
        <v>0.7269519870319413</v>
      </c>
      <c r="P28" s="119">
        <f t="shared" si="16"/>
        <v>0.73531945692905754</v>
      </c>
      <c r="Q28" s="119">
        <f t="shared" si="16"/>
        <v>0.74172616006607706</v>
      </c>
      <c r="R28" s="119">
        <f t="shared" si="16"/>
        <v>0.74678901984351342</v>
      </c>
      <c r="S28" s="119">
        <f t="shared" si="16"/>
        <v>0.75089071969674381</v>
      </c>
    </row>
    <row r="29" spans="2:51" ht="15.6">
      <c r="C29" s="110"/>
      <c r="D29" s="110" t="s">
        <v>92</v>
      </c>
      <c r="E29" s="110"/>
      <c r="G29" s="110"/>
      <c r="H29" s="110" t="s">
        <v>93</v>
      </c>
      <c r="I29" s="110"/>
      <c r="L29" s="11" t="s">
        <v>81</v>
      </c>
      <c r="M29" s="119">
        <f>M24/M15</f>
        <v>0</v>
      </c>
      <c r="N29" s="119">
        <f t="shared" ref="N29:S29" si="17">N24/N15</f>
        <v>1.7398809387473808E-2</v>
      </c>
      <c r="O29" s="119">
        <f t="shared" si="17"/>
        <v>3.2135172397879427E-2</v>
      </c>
      <c r="P29" s="119">
        <f t="shared" si="17"/>
        <v>5.5740652105392169E-2</v>
      </c>
      <c r="Q29" s="119">
        <f t="shared" si="17"/>
        <v>7.3814610273451237E-2</v>
      </c>
      <c r="R29" s="119">
        <f t="shared" si="17"/>
        <v>8.8097450272606154E-2</v>
      </c>
      <c r="S29" s="119">
        <f t="shared" si="17"/>
        <v>9.9668760817160015E-2</v>
      </c>
    </row>
    <row r="30" spans="2:51">
      <c r="C30" s="93" t="s">
        <v>90</v>
      </c>
      <c r="D30" s="93" t="s">
        <v>91</v>
      </c>
      <c r="E30" s="95" t="s">
        <v>20</v>
      </c>
      <c r="G30" s="93" t="s">
        <v>90</v>
      </c>
      <c r="H30" s="93" t="s">
        <v>91</v>
      </c>
      <c r="I30" s="95" t="s">
        <v>20</v>
      </c>
      <c r="W30" s="58"/>
      <c r="X30" s="58"/>
    </row>
    <row r="31" spans="2:51">
      <c r="C31" s="111">
        <v>-818</v>
      </c>
      <c r="D31" s="112">
        <v>29.08</v>
      </c>
      <c r="E31" s="113">
        <v>2.294E-3</v>
      </c>
      <c r="G31" s="111">
        <v>-965</v>
      </c>
      <c r="H31" s="112">
        <v>30.94</v>
      </c>
      <c r="I31" s="113">
        <v>2.3089999999999999E-3</v>
      </c>
    </row>
    <row r="32" spans="2:51" ht="20.399999999999999">
      <c r="L32" s="120"/>
      <c r="M32" s="121"/>
      <c r="N32" s="122"/>
      <c r="O32" s="131" t="s">
        <v>110</v>
      </c>
      <c r="P32" s="122"/>
      <c r="Q32" s="122"/>
      <c r="R32" s="122"/>
      <c r="S32" s="123"/>
    </row>
    <row r="33" spans="2:19" ht="15.6">
      <c r="B33" s="110"/>
      <c r="C33" s="110" t="s">
        <v>95</v>
      </c>
      <c r="D33" s="110"/>
      <c r="E33" s="110"/>
      <c r="G33" s="110"/>
      <c r="H33" s="110" t="s">
        <v>96</v>
      </c>
      <c r="I33" s="110"/>
      <c r="J33" s="110"/>
    </row>
    <row r="34" spans="2:19" ht="16.8" customHeight="1">
      <c r="B34" s="93" t="s">
        <v>90</v>
      </c>
      <c r="C34" s="93" t="s">
        <v>91</v>
      </c>
      <c r="D34" s="93" t="s">
        <v>20</v>
      </c>
      <c r="E34" s="115" t="s">
        <v>94</v>
      </c>
      <c r="G34" s="93" t="s">
        <v>90</v>
      </c>
      <c r="H34" s="93" t="s">
        <v>91</v>
      </c>
      <c r="I34" s="114" t="s">
        <v>20</v>
      </c>
      <c r="J34" s="115" t="s">
        <v>94</v>
      </c>
      <c r="L34" s="24" t="s">
        <v>28</v>
      </c>
      <c r="M34" s="170" t="s">
        <v>106</v>
      </c>
      <c r="N34" s="170"/>
      <c r="O34" s="170"/>
      <c r="P34" s="170"/>
      <c r="Q34" s="170"/>
      <c r="R34" s="170"/>
      <c r="S34" s="170"/>
    </row>
    <row r="35" spans="2:19" ht="16.2">
      <c r="B35" s="111">
        <v>-778</v>
      </c>
      <c r="C35" s="112">
        <v>32.200000000000003</v>
      </c>
      <c r="D35" s="113">
        <v>6.7549999999999997E-3</v>
      </c>
      <c r="E35" s="113">
        <v>-4.4499999999999997E-7</v>
      </c>
      <c r="G35" s="111">
        <v>-1082</v>
      </c>
      <c r="H35" s="112">
        <v>38.869999999999997</v>
      </c>
      <c r="I35" s="113">
        <v>1.3950000000000001E-2</v>
      </c>
      <c r="J35" s="113">
        <v>-3.1669999999999999E-6</v>
      </c>
      <c r="L35" s="124" t="s">
        <v>102</v>
      </c>
      <c r="M35" s="125">
        <f>M21*(B35+C35*P9+D35*P9^2+E35*P9^3)/1000</f>
        <v>65.731164794999998</v>
      </c>
      <c r="N35" s="126">
        <f>$M$35</f>
        <v>65.731164794999998</v>
      </c>
      <c r="O35" s="126">
        <f t="shared" ref="O35:S35" si="18">$M$35</f>
        <v>65.731164794999998</v>
      </c>
      <c r="P35" s="126">
        <f t="shared" si="18"/>
        <v>65.731164794999998</v>
      </c>
      <c r="Q35" s="126">
        <f t="shared" si="18"/>
        <v>65.731164794999998</v>
      </c>
      <c r="R35" s="126">
        <f t="shared" si="18"/>
        <v>65.731164794999998</v>
      </c>
      <c r="S35" s="126">
        <f t="shared" si="18"/>
        <v>65.731164794999998</v>
      </c>
    </row>
    <row r="36" spans="2:19" ht="16.2">
      <c r="L36" s="24" t="s">
        <v>103</v>
      </c>
      <c r="M36" s="127">
        <f>M22*(G35+H35*P9+I35*P9^2+J35*P9^3)/1000</f>
        <v>43.406458083999993</v>
      </c>
      <c r="N36" s="127">
        <f>$M$36</f>
        <v>43.406458083999993</v>
      </c>
      <c r="O36" s="127">
        <f t="shared" ref="O36:S36" si="19">$M$36</f>
        <v>43.406458083999993</v>
      </c>
      <c r="P36" s="127">
        <f t="shared" si="19"/>
        <v>43.406458083999993</v>
      </c>
      <c r="Q36" s="127">
        <f t="shared" si="19"/>
        <v>43.406458083999993</v>
      </c>
      <c r="R36" s="127">
        <f t="shared" si="19"/>
        <v>43.406458083999993</v>
      </c>
      <c r="S36" s="127">
        <f t="shared" si="19"/>
        <v>43.406458083999993</v>
      </c>
    </row>
    <row r="37" spans="2:19" ht="16.2">
      <c r="L37" s="24" t="s">
        <v>104</v>
      </c>
      <c r="M37" s="127">
        <f>M23*($C$31+$D$31*$P$9+$E$31*$P$9^2)/1000</f>
        <v>204.20832136523811</v>
      </c>
      <c r="N37" s="127">
        <f t="shared" ref="N37:S37" si="20">N23*($C$31+$D$31*$P$9+$E$31*$P$9^2)/1000</f>
        <v>224.57472922176194</v>
      </c>
      <c r="O37" s="127">
        <f t="shared" si="20"/>
        <v>244.94113707828575</v>
      </c>
      <c r="P37" s="127">
        <f t="shared" si="20"/>
        <v>285.67395279133331</v>
      </c>
      <c r="Q37" s="127">
        <f t="shared" si="20"/>
        <v>326.40676850438098</v>
      </c>
      <c r="R37" s="127">
        <f t="shared" si="20"/>
        <v>367.13958421742865</v>
      </c>
      <c r="S37" s="127">
        <f t="shared" si="20"/>
        <v>407.87239993047626</v>
      </c>
    </row>
    <row r="38" spans="2:19" ht="16.2">
      <c r="L38" s="24" t="s">
        <v>105</v>
      </c>
      <c r="M38" s="127">
        <f>M24*($G$31+$H$31*$P$9+$I$31*$P$9^2)/1000</f>
        <v>0</v>
      </c>
      <c r="N38" s="127">
        <f t="shared" ref="N38:S38" si="21">N24*($G$31+$H$31*$P$9+$I$31*$P$9^2)/1000</f>
        <v>5.7200691455000072</v>
      </c>
      <c r="O38" s="127">
        <f t="shared" si="21"/>
        <v>11.440138291000004</v>
      </c>
      <c r="P38" s="127">
        <f t="shared" si="21"/>
        <v>22.880276581999993</v>
      </c>
      <c r="Q38" s="127">
        <f t="shared" si="21"/>
        <v>34.320414873000011</v>
      </c>
      <c r="R38" s="127">
        <f t="shared" si="21"/>
        <v>45.760553164000015</v>
      </c>
      <c r="S38" s="127">
        <f t="shared" si="21"/>
        <v>57.200691454999998</v>
      </c>
    </row>
    <row r="39" spans="2:19" ht="13.8">
      <c r="L39" s="24" t="s">
        <v>107</v>
      </c>
      <c r="M39" s="128">
        <f>SUM(M35:M38)</f>
        <v>313.34594424423813</v>
      </c>
      <c r="N39" s="128">
        <f t="shared" ref="N39:S39" si="22">SUM(N35:N38)</f>
        <v>339.43242124626192</v>
      </c>
      <c r="O39" s="128">
        <f t="shared" si="22"/>
        <v>365.51889824828572</v>
      </c>
      <c r="P39" s="128">
        <f t="shared" si="22"/>
        <v>417.69185225233332</v>
      </c>
      <c r="Q39" s="128">
        <f t="shared" si="22"/>
        <v>469.86480625638097</v>
      </c>
      <c r="R39" s="128">
        <f t="shared" si="22"/>
        <v>522.03776026042863</v>
      </c>
      <c r="S39" s="128">
        <f t="shared" si="22"/>
        <v>574.21071426447622</v>
      </c>
    </row>
    <row r="40" spans="2:19" ht="13.8">
      <c r="L40" s="129" t="s">
        <v>112</v>
      </c>
      <c r="M40" s="133">
        <f>(-$I$19-M39)/-$I$19</f>
        <v>0.60836935452541507</v>
      </c>
      <c r="N40" s="133">
        <f t="shared" ref="N40:S40" si="23">(-$I$19-N39)/-$I$19</f>
        <v>0.57576556943063373</v>
      </c>
      <c r="O40" s="133">
        <f t="shared" si="23"/>
        <v>0.54316178433585238</v>
      </c>
      <c r="P40" s="133">
        <f t="shared" si="23"/>
        <v>0.47795421414628952</v>
      </c>
      <c r="Q40" s="133">
        <f t="shared" si="23"/>
        <v>0.41274664395672667</v>
      </c>
      <c r="R40" s="133">
        <f t="shared" si="23"/>
        <v>0.34753907376716381</v>
      </c>
      <c r="S40" s="133">
        <f t="shared" si="23"/>
        <v>0.28233150357760101</v>
      </c>
    </row>
    <row r="41" spans="2:19" ht="13.8">
      <c r="H41" s="29"/>
      <c r="L41" s="136" t="s">
        <v>114</v>
      </c>
      <c r="M41" s="132">
        <f>'MainEntry&amp;Data'!K12</f>
        <v>40</v>
      </c>
      <c r="N41" s="132">
        <f>$M$41</f>
        <v>40</v>
      </c>
      <c r="O41" s="132">
        <f t="shared" ref="O41:S41" si="24">$M$41</f>
        <v>40</v>
      </c>
      <c r="P41" s="132">
        <f t="shared" si="24"/>
        <v>40</v>
      </c>
      <c r="Q41" s="132">
        <f t="shared" si="24"/>
        <v>40</v>
      </c>
      <c r="R41" s="132">
        <f t="shared" si="24"/>
        <v>40</v>
      </c>
      <c r="S41" s="132">
        <f t="shared" si="24"/>
        <v>40</v>
      </c>
    </row>
    <row r="42" spans="2:19" ht="13.8">
      <c r="J42" t="s">
        <v>79</v>
      </c>
      <c r="L42" s="129" t="s">
        <v>113</v>
      </c>
      <c r="M42" s="134">
        <f>(-$I$19-M39-M41)/-$I$19</f>
        <v>0.5583759650888086</v>
      </c>
      <c r="N42" s="134">
        <f t="shared" ref="N42:S42" si="25">(-$I$19-N39-N41)/-$I$19</f>
        <v>0.52577217999402714</v>
      </c>
      <c r="O42" s="134">
        <f t="shared" si="25"/>
        <v>0.4931683948992458</v>
      </c>
      <c r="P42" s="134">
        <f t="shared" si="25"/>
        <v>0.427960824709683</v>
      </c>
      <c r="Q42" s="134">
        <f t="shared" si="25"/>
        <v>0.36275325452012014</v>
      </c>
      <c r="R42" s="134">
        <f t="shared" si="25"/>
        <v>0.29754568433055728</v>
      </c>
      <c r="S42" s="134">
        <f t="shared" si="25"/>
        <v>0.23233811414099448</v>
      </c>
    </row>
    <row r="44" spans="2:19">
      <c r="F44" s="58"/>
    </row>
    <row r="63" spans="10:18">
      <c r="J63" s="58"/>
      <c r="K63" s="58"/>
      <c r="L63" s="58"/>
      <c r="M63" s="58"/>
      <c r="N63" s="58"/>
      <c r="O63" s="58"/>
      <c r="P63" s="58"/>
      <c r="Q63" s="58"/>
      <c r="R63" s="58"/>
    </row>
  </sheetData>
  <mergeCells count="1">
    <mergeCell ref="M34:S34"/>
  </mergeCells>
  <pageMargins left="0.75" right="0.75" top="1" bottom="1" header="0.5" footer="0.5"/>
  <pageSetup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E76"/>
  <sheetViews>
    <sheetView zoomScale="87" zoomScaleNormal="87" workbookViewId="0"/>
  </sheetViews>
  <sheetFormatPr defaultRowHeight="13.2"/>
  <cols>
    <col min="12" max="12" width="6.21875" customWidth="1"/>
    <col min="23" max="23" width="6.5546875" customWidth="1"/>
    <col min="24" max="24" width="6.33203125" customWidth="1"/>
    <col min="25" max="25" width="9.77734375" customWidth="1"/>
    <col min="26" max="26" width="10.44140625" customWidth="1"/>
    <col min="27" max="27" width="3" customWidth="1"/>
    <col min="28" max="28" width="6.44140625" customWidth="1"/>
    <col min="29" max="29" width="6.5546875" customWidth="1"/>
    <col min="30" max="30" width="9.77734375" customWidth="1"/>
    <col min="31" max="31" width="10.21875" customWidth="1"/>
  </cols>
  <sheetData>
    <row r="2" spans="2:31" ht="23.4" customHeight="1">
      <c r="B2" s="143"/>
      <c r="C2" s="143"/>
      <c r="D2" s="143"/>
      <c r="E2" s="143"/>
      <c r="F2" s="153" t="s">
        <v>135</v>
      </c>
      <c r="G2" s="143"/>
      <c r="H2" s="143"/>
      <c r="I2" s="143"/>
      <c r="J2" s="143"/>
    </row>
    <row r="4" spans="2:31">
      <c r="B4" s="21" t="s">
        <v>89</v>
      </c>
      <c r="C4" s="109">
        <v>600</v>
      </c>
      <c r="D4" s="109">
        <v>700</v>
      </c>
      <c r="E4" s="109">
        <v>800</v>
      </c>
      <c r="F4" s="109">
        <v>900</v>
      </c>
      <c r="G4" s="109">
        <v>1000</v>
      </c>
      <c r="H4" s="109">
        <v>1100</v>
      </c>
      <c r="I4" s="109">
        <v>1200</v>
      </c>
      <c r="J4" s="109">
        <v>1300</v>
      </c>
      <c r="K4" s="109">
        <v>1400</v>
      </c>
    </row>
    <row r="5" spans="2:31" ht="14.4" customHeight="1"/>
    <row r="6" spans="2:31">
      <c r="C6" s="142">
        <v>0</v>
      </c>
      <c r="D6" s="142">
        <v>0</v>
      </c>
      <c r="E6" s="142">
        <v>0</v>
      </c>
      <c r="F6" s="142">
        <v>0</v>
      </c>
      <c r="G6" s="142">
        <v>0</v>
      </c>
      <c r="H6" s="142">
        <v>0</v>
      </c>
      <c r="I6" s="142">
        <v>0</v>
      </c>
      <c r="J6" s="142">
        <v>0</v>
      </c>
      <c r="K6" s="142">
        <v>0</v>
      </c>
    </row>
    <row r="7" spans="2:31">
      <c r="C7" s="142">
        <v>0.13</v>
      </c>
      <c r="D7" s="142">
        <v>0.13</v>
      </c>
      <c r="E7" s="142">
        <v>0.13</v>
      </c>
      <c r="F7" s="142">
        <v>0.13</v>
      </c>
      <c r="G7" s="142">
        <v>0.13</v>
      </c>
      <c r="H7" s="142">
        <v>0.13</v>
      </c>
      <c r="I7" s="142">
        <v>0.13</v>
      </c>
      <c r="J7" s="142">
        <v>0.13</v>
      </c>
      <c r="K7" s="142">
        <v>0.13</v>
      </c>
    </row>
    <row r="8" spans="2:31">
      <c r="C8" s="142">
        <v>0.26</v>
      </c>
      <c r="D8" s="142">
        <v>0.26</v>
      </c>
      <c r="E8" s="142">
        <v>0.26</v>
      </c>
      <c r="F8" s="142">
        <v>0.26</v>
      </c>
      <c r="G8" s="142">
        <v>0.26</v>
      </c>
      <c r="H8" s="142">
        <v>0.26</v>
      </c>
      <c r="I8" s="142">
        <v>0.26</v>
      </c>
      <c r="J8" s="142">
        <v>0.26</v>
      </c>
      <c r="K8" s="142">
        <v>0.26</v>
      </c>
    </row>
    <row r="9" spans="2:31" ht="15" customHeight="1">
      <c r="B9" s="21" t="s">
        <v>108</v>
      </c>
      <c r="C9" s="142">
        <v>0.52</v>
      </c>
      <c r="D9" s="142">
        <v>0.52</v>
      </c>
      <c r="E9" s="142">
        <v>0.52</v>
      </c>
      <c r="F9" s="142">
        <v>0.52</v>
      </c>
      <c r="G9" s="142">
        <v>0.52</v>
      </c>
      <c r="H9" s="142">
        <v>0.52</v>
      </c>
      <c r="I9" s="142">
        <v>0.52</v>
      </c>
      <c r="J9" s="142">
        <v>0.52</v>
      </c>
      <c r="K9" s="142">
        <v>0.52</v>
      </c>
      <c r="W9" s="147"/>
      <c r="X9" s="150"/>
      <c r="Y9" s="146"/>
      <c r="Z9" s="146"/>
      <c r="AA9" s="167" t="s">
        <v>133</v>
      </c>
      <c r="AB9" s="146"/>
      <c r="AC9" s="146"/>
      <c r="AD9" s="146"/>
      <c r="AE9" s="123"/>
    </row>
    <row r="10" spans="2:31" ht="15.6">
      <c r="C10" s="142">
        <v>0.78</v>
      </c>
      <c r="D10" s="142">
        <v>0.78</v>
      </c>
      <c r="E10" s="142">
        <v>0.78</v>
      </c>
      <c r="F10" s="142">
        <v>0.78</v>
      </c>
      <c r="G10" s="142">
        <v>0.78</v>
      </c>
      <c r="H10" s="142">
        <v>0.78</v>
      </c>
      <c r="I10" s="142">
        <v>0.78</v>
      </c>
      <c r="J10" s="142">
        <v>0.78</v>
      </c>
      <c r="K10" s="142">
        <v>0.78</v>
      </c>
      <c r="X10" s="110"/>
      <c r="Y10" s="110" t="s">
        <v>92</v>
      </c>
      <c r="Z10" s="110"/>
      <c r="AB10" s="110"/>
      <c r="AC10" s="110" t="s">
        <v>93</v>
      </c>
      <c r="AD10" s="110"/>
    </row>
    <row r="11" spans="2:31">
      <c r="C11" s="142">
        <v>1.04</v>
      </c>
      <c r="D11" s="142">
        <v>1.04</v>
      </c>
      <c r="E11" s="142">
        <v>1.04</v>
      </c>
      <c r="F11" s="142">
        <v>1.04</v>
      </c>
      <c r="G11" s="142">
        <v>1.04</v>
      </c>
      <c r="H11" s="142">
        <v>1.04</v>
      </c>
      <c r="I11" s="142">
        <v>1.04</v>
      </c>
      <c r="J11" s="142">
        <v>1.04</v>
      </c>
      <c r="K11" s="142">
        <v>1.04</v>
      </c>
      <c r="X11" s="93" t="s">
        <v>90</v>
      </c>
      <c r="Y11" s="93" t="s">
        <v>91</v>
      </c>
      <c r="Z11" s="95" t="s">
        <v>20</v>
      </c>
      <c r="AB11" s="93" t="s">
        <v>90</v>
      </c>
      <c r="AC11" s="93" t="s">
        <v>91</v>
      </c>
      <c r="AD11" s="95" t="s">
        <v>20</v>
      </c>
    </row>
    <row r="12" spans="2:31">
      <c r="C12" s="142">
        <v>1.3</v>
      </c>
      <c r="D12" s="142">
        <v>1.3</v>
      </c>
      <c r="E12" s="142">
        <v>1.3</v>
      </c>
      <c r="F12" s="142">
        <v>1.3</v>
      </c>
      <c r="G12" s="142">
        <v>1.3</v>
      </c>
      <c r="H12" s="142">
        <v>1.3</v>
      </c>
      <c r="I12" s="142">
        <v>1.3</v>
      </c>
      <c r="J12" s="142">
        <v>1.3</v>
      </c>
      <c r="K12" s="142">
        <v>1.3</v>
      </c>
      <c r="X12" s="111">
        <v>-818</v>
      </c>
      <c r="Y12" s="112">
        <v>29.08</v>
      </c>
      <c r="Z12" s="113">
        <v>2.294E-3</v>
      </c>
      <c r="AB12" s="111">
        <v>-965</v>
      </c>
      <c r="AC12" s="112">
        <v>30.94</v>
      </c>
      <c r="AD12" s="113">
        <v>2.3089999999999999E-3</v>
      </c>
    </row>
    <row r="14" spans="2:31" ht="15.6">
      <c r="C14" s="142">
        <v>0.75123189832750492</v>
      </c>
      <c r="D14" s="142">
        <v>0.704502576839238</v>
      </c>
      <c r="E14" s="142">
        <v>0.65687152500695667</v>
      </c>
      <c r="F14" s="142">
        <v>0.60836935452541507</v>
      </c>
      <c r="G14" s="142">
        <v>0.55902667708936704</v>
      </c>
      <c r="H14" s="142">
        <v>0.50887410439356628</v>
      </c>
      <c r="I14" s="142">
        <v>0.45794224813276668</v>
      </c>
      <c r="J14" s="142">
        <v>0.40626172000172223</v>
      </c>
      <c r="K14" s="142">
        <v>0.35386313169518674</v>
      </c>
      <c r="W14" s="110"/>
      <c r="X14" s="110" t="s">
        <v>132</v>
      </c>
      <c r="Y14" s="110"/>
      <c r="Z14" s="110"/>
      <c r="AB14" s="110"/>
      <c r="AC14" s="110" t="s">
        <v>96</v>
      </c>
      <c r="AD14" s="110"/>
      <c r="AE14" s="110"/>
    </row>
    <row r="15" spans="2:31">
      <c r="C15" s="142">
        <v>0.72404731370495834</v>
      </c>
      <c r="D15" s="142">
        <v>0.67232193317366407</v>
      </c>
      <c r="E15" s="142">
        <v>0.61962410267449308</v>
      </c>
      <c r="F15" s="142">
        <v>0.56598443390219944</v>
      </c>
      <c r="G15" s="142">
        <v>0.51143353855153695</v>
      </c>
      <c r="H15" s="142">
        <v>0.45600202831725956</v>
      </c>
      <c r="I15" s="142">
        <v>0.39972051489412103</v>
      </c>
      <c r="J15" s="142">
        <v>0.34261960997687524</v>
      </c>
      <c r="K15" s="142">
        <v>0.28472992526027635</v>
      </c>
      <c r="W15" s="93" t="s">
        <v>90</v>
      </c>
      <c r="X15" s="93" t="s">
        <v>91</v>
      </c>
      <c r="Y15" s="93" t="s">
        <v>20</v>
      </c>
      <c r="Z15" s="115" t="s">
        <v>94</v>
      </c>
      <c r="AB15" s="93" t="s">
        <v>90</v>
      </c>
      <c r="AC15" s="93" t="s">
        <v>91</v>
      </c>
      <c r="AD15" s="114" t="s">
        <v>20</v>
      </c>
      <c r="AE15" s="115" t="s">
        <v>94</v>
      </c>
    </row>
    <row r="16" spans="2:31">
      <c r="C16" s="142">
        <v>0.69686272908241187</v>
      </c>
      <c r="D16" s="142">
        <v>0.64014128950808991</v>
      </c>
      <c r="E16" s="142">
        <v>0.58237668034202916</v>
      </c>
      <c r="F16" s="142">
        <v>0.52359951327898346</v>
      </c>
      <c r="G16" s="142">
        <v>0.46384040001370669</v>
      </c>
      <c r="H16" s="142">
        <v>0.4031299522409526</v>
      </c>
      <c r="I16" s="142">
        <v>0.34149878165547509</v>
      </c>
      <c r="J16" s="142">
        <v>0.27897749995202809</v>
      </c>
      <c r="K16" s="142">
        <v>0.2155967188253656</v>
      </c>
      <c r="W16" s="111">
        <v>-778</v>
      </c>
      <c r="X16" s="112">
        <v>32.200000000000003</v>
      </c>
      <c r="Y16" s="113">
        <v>6.7549999999999997E-3</v>
      </c>
      <c r="Z16" s="113">
        <v>-4.4499999999999997E-7</v>
      </c>
      <c r="AB16" s="111">
        <v>-1082</v>
      </c>
      <c r="AC16" s="112">
        <v>38.869999999999997</v>
      </c>
      <c r="AD16" s="113">
        <v>1.3950000000000001E-2</v>
      </c>
      <c r="AE16" s="113">
        <v>-3.1669999999999999E-6</v>
      </c>
    </row>
    <row r="17" spans="2:12">
      <c r="B17" s="21" t="s">
        <v>112</v>
      </c>
      <c r="C17" s="142">
        <v>0.64249355983731871</v>
      </c>
      <c r="D17" s="142">
        <v>0.57578000217694192</v>
      </c>
      <c r="E17" s="142">
        <v>0.50788183567710166</v>
      </c>
      <c r="F17" s="142">
        <v>0.43882967203255174</v>
      </c>
      <c r="G17" s="142">
        <v>0.36865412293804622</v>
      </c>
      <c r="H17" s="142">
        <v>0.29738580008833898</v>
      </c>
      <c r="I17" s="142">
        <v>0.22505531517818342</v>
      </c>
      <c r="J17" s="142">
        <v>0.15169327990233397</v>
      </c>
      <c r="K17" s="142">
        <v>7.7330305955544354E-2</v>
      </c>
    </row>
    <row r="18" spans="2:12">
      <c r="C18" s="142">
        <v>0.58812439059222554</v>
      </c>
      <c r="D18" s="142">
        <v>0.51141871484579371</v>
      </c>
      <c r="E18" s="142">
        <v>0.43338699101217398</v>
      </c>
      <c r="F18" s="142">
        <v>0.35405983078612008</v>
      </c>
      <c r="G18" s="142">
        <v>0.27346784586238598</v>
      </c>
      <c r="H18" s="142">
        <v>0.19164164793572527</v>
      </c>
      <c r="I18" s="142">
        <v>0.1086118487008919</v>
      </c>
      <c r="J18" s="142">
        <v>2.4409059852639987E-2</v>
      </c>
      <c r="K18" s="152">
        <v>-6.0936106914276901E-2</v>
      </c>
    </row>
    <row r="19" spans="2:12">
      <c r="C19" s="142">
        <v>0.53375522134713238</v>
      </c>
      <c r="D19" s="142">
        <v>0.44705742751464572</v>
      </c>
      <c r="E19" s="142">
        <v>0.35889214634724659</v>
      </c>
      <c r="F19" s="142">
        <v>0.26928998953968836</v>
      </c>
      <c r="G19" s="142">
        <v>0.17828156878672541</v>
      </c>
      <c r="H19" s="142">
        <v>8.5897495783111399E-2</v>
      </c>
      <c r="I19" s="152">
        <v>-7.8316177763996311E-3</v>
      </c>
      <c r="J19" s="152">
        <v>-0.10287516019705414</v>
      </c>
      <c r="K19" s="152">
        <v>-0.19920251978409786</v>
      </c>
    </row>
    <row r="20" spans="2:12">
      <c r="C20" s="142">
        <v>0.47938605210203916</v>
      </c>
      <c r="D20" s="142">
        <v>0.38269614018349768</v>
      </c>
      <c r="E20" s="142">
        <v>0.28439730168231886</v>
      </c>
      <c r="F20" s="142">
        <v>0.18452014829325683</v>
      </c>
      <c r="G20" s="142">
        <v>8.3095291711065083E-2</v>
      </c>
      <c r="H20" s="152">
        <v>-1.9846656369502044E-2</v>
      </c>
      <c r="I20" s="152">
        <v>-0.12427508425369116</v>
      </c>
      <c r="J20" s="152">
        <v>-0.23015938024674815</v>
      </c>
      <c r="K20" s="152">
        <v>-0.33746893265391914</v>
      </c>
    </row>
    <row r="22" spans="2:12" ht="14.4" thickBot="1">
      <c r="D22" s="92" t="s">
        <v>28</v>
      </c>
      <c r="E22" s="139" t="s">
        <v>19</v>
      </c>
    </row>
    <row r="23" spans="2:12" ht="13.8" thickBot="1">
      <c r="C23" s="4" t="s">
        <v>2</v>
      </c>
      <c r="D23" s="93" t="s">
        <v>115</v>
      </c>
      <c r="E23" s="85">
        <v>0.93</v>
      </c>
    </row>
    <row r="24" spans="2:12" ht="13.8" thickBot="1">
      <c r="C24" s="4" t="s">
        <v>4</v>
      </c>
      <c r="D24" s="94" t="s">
        <v>116</v>
      </c>
      <c r="E24" s="85">
        <v>5.0000000000000001E-3</v>
      </c>
    </row>
    <row r="25" spans="2:12" ht="13.8" thickBot="1">
      <c r="C25" s="4" t="s">
        <v>6</v>
      </c>
      <c r="D25" s="93" t="s">
        <v>117</v>
      </c>
      <c r="E25" s="85">
        <v>0.02</v>
      </c>
    </row>
    <row r="26" spans="2:12" ht="13.8" thickBot="1">
      <c r="C26" s="4" t="s">
        <v>8</v>
      </c>
      <c r="D26" s="93" t="s">
        <v>118</v>
      </c>
      <c r="E26" s="85">
        <v>4.0000000000000001E-3</v>
      </c>
    </row>
    <row r="27" spans="2:12" ht="13.8" thickBot="1">
      <c r="C27" s="4" t="s">
        <v>26</v>
      </c>
      <c r="D27" s="95" t="s">
        <v>119</v>
      </c>
      <c r="E27" s="85">
        <v>3.0000000000000001E-3</v>
      </c>
    </row>
    <row r="28" spans="2:12" ht="13.8" thickBot="1">
      <c r="C28" s="4" t="s">
        <v>10</v>
      </c>
      <c r="D28" s="96" t="s">
        <v>120</v>
      </c>
      <c r="E28" s="85">
        <v>5.0000000000000001E-3</v>
      </c>
      <c r="L28" t="s">
        <v>144</v>
      </c>
    </row>
    <row r="29" spans="2:12" ht="13.8" thickBot="1">
      <c r="C29" s="4" t="s">
        <v>12</v>
      </c>
      <c r="D29" s="96" t="s">
        <v>13</v>
      </c>
      <c r="E29" s="85">
        <v>5.0000000000000001E-3</v>
      </c>
      <c r="L29" t="s">
        <v>131</v>
      </c>
    </row>
    <row r="30" spans="2:12" ht="16.2" thickBot="1">
      <c r="C30" s="4" t="s">
        <v>14</v>
      </c>
      <c r="D30" s="96" t="s">
        <v>121</v>
      </c>
      <c r="E30" s="85">
        <v>3.0000000000000001E-3</v>
      </c>
      <c r="L30" t="s">
        <v>139</v>
      </c>
    </row>
    <row r="31" spans="2:12" ht="13.8" thickBot="1">
      <c r="C31" s="4" t="s">
        <v>46</v>
      </c>
      <c r="D31" s="96" t="s">
        <v>122</v>
      </c>
      <c r="E31" s="85">
        <v>5.0000000000000001E-3</v>
      </c>
    </row>
    <row r="32" spans="2:12" ht="13.8" customHeight="1">
      <c r="C32" s="4" t="s">
        <v>16</v>
      </c>
      <c r="D32" s="97" t="s">
        <v>123</v>
      </c>
      <c r="E32" s="140">
        <v>1.9999999999999907E-2</v>
      </c>
    </row>
    <row r="33" spans="1:31" ht="13.8" customHeight="1">
      <c r="C33" s="4"/>
      <c r="D33" s="163"/>
      <c r="E33" s="82"/>
    </row>
    <row r="34" spans="1:3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</row>
    <row r="36" spans="1:31" ht="14.4" thickBot="1">
      <c r="O36" s="171" t="s">
        <v>141</v>
      </c>
      <c r="P36" s="172"/>
      <c r="Q36" s="172"/>
      <c r="R36" s="173"/>
    </row>
    <row r="37" spans="1:31" ht="13.2" customHeight="1" thickBot="1">
      <c r="M37" s="21" t="s">
        <v>108</v>
      </c>
      <c r="N37" s="75">
        <v>0</v>
      </c>
      <c r="O37" s="75">
        <v>0.1</v>
      </c>
      <c r="P37" s="75">
        <v>0.2</v>
      </c>
      <c r="Q37" s="75">
        <v>0.4</v>
      </c>
      <c r="R37" s="75">
        <v>0.6</v>
      </c>
      <c r="S37" s="75">
        <v>0.8</v>
      </c>
      <c r="T37" s="116">
        <v>1</v>
      </c>
      <c r="U37" s="156"/>
    </row>
    <row r="38" spans="1:31" ht="13.8">
      <c r="M38" s="129" t="s">
        <v>125</v>
      </c>
      <c r="N38" s="133">
        <v>0.65674743494621923</v>
      </c>
      <c r="O38" s="133">
        <v>0.6280240958635378</v>
      </c>
      <c r="P38" s="133">
        <v>0.59930075678085648</v>
      </c>
      <c r="Q38" s="133">
        <v>0.54185407861549384</v>
      </c>
      <c r="R38" s="133">
        <v>0.48440740045013109</v>
      </c>
      <c r="S38" s="133">
        <v>0.42696072228476845</v>
      </c>
      <c r="T38" s="133">
        <v>0.36951404411940575</v>
      </c>
      <c r="U38" s="154" t="s">
        <v>127</v>
      </c>
    </row>
    <row r="39" spans="1:31" ht="15.6">
      <c r="K39" s="4" t="s">
        <v>142</v>
      </c>
      <c r="M39" s="129" t="s">
        <v>125</v>
      </c>
      <c r="N39" s="133">
        <v>0.60822830953559071</v>
      </c>
      <c r="O39" s="133">
        <v>0.57554319011480115</v>
      </c>
      <c r="P39" s="133">
        <v>0.5428580706940116</v>
      </c>
      <c r="Q39" s="133">
        <v>0.4774878318524326</v>
      </c>
      <c r="R39" s="133">
        <v>0.41211759301085332</v>
      </c>
      <c r="S39" s="133">
        <v>0.34674735416927432</v>
      </c>
      <c r="T39" s="133">
        <v>0.28137711532769544</v>
      </c>
      <c r="U39" s="155" t="s">
        <v>128</v>
      </c>
    </row>
    <row r="40" spans="1:31" ht="13.8">
      <c r="M40" s="129" t="s">
        <v>125</v>
      </c>
      <c r="N40" s="133">
        <v>0.55886748942822095</v>
      </c>
      <c r="O40" s="133">
        <v>0.52216605425160045</v>
      </c>
      <c r="P40" s="133">
        <v>0.48546461907498001</v>
      </c>
      <c r="Q40" s="133">
        <v>0.41206174872173901</v>
      </c>
      <c r="R40" s="133">
        <v>0.33865887836849784</v>
      </c>
      <c r="S40" s="133">
        <v>0.26525600801525706</v>
      </c>
      <c r="T40" s="133">
        <v>0.19185313766201612</v>
      </c>
      <c r="U40" s="154" t="s">
        <v>129</v>
      </c>
    </row>
    <row r="59" spans="13:20">
      <c r="M59" s="70"/>
    </row>
    <row r="60" spans="13:20">
      <c r="M60" s="4"/>
    </row>
    <row r="61" spans="13:20">
      <c r="M61" s="70"/>
      <c r="N61" s="11"/>
    </row>
    <row r="62" spans="13:20">
      <c r="M62" s="4"/>
      <c r="N62" s="8"/>
    </row>
    <row r="63" spans="13:20">
      <c r="M63" s="4"/>
      <c r="N63" s="5"/>
      <c r="T63" t="s">
        <v>79</v>
      </c>
    </row>
    <row r="64" spans="13:20">
      <c r="M64" s="4"/>
      <c r="N64" s="5"/>
    </row>
    <row r="69" spans="13:31">
      <c r="AE69">
        <v>800</v>
      </c>
    </row>
    <row r="70" spans="13:31">
      <c r="AE70">
        <v>900</v>
      </c>
    </row>
    <row r="72" spans="13:31">
      <c r="Z72" t="s">
        <v>79</v>
      </c>
    </row>
    <row r="73" spans="13:31">
      <c r="M73" s="118"/>
      <c r="N73" s="119"/>
    </row>
    <row r="74" spans="13:31">
      <c r="M74" s="11"/>
      <c r="N74" s="119"/>
    </row>
    <row r="75" spans="13:31">
      <c r="M75" s="11"/>
      <c r="N75" s="119"/>
    </row>
    <row r="76" spans="13:31">
      <c r="M76" s="11"/>
      <c r="N76" s="119"/>
    </row>
  </sheetData>
  <mergeCells count="1">
    <mergeCell ref="O36:R36"/>
  </mergeCells>
  <pageMargins left="0.7" right="0.7" top="0.75" bottom="0.75" header="0.3" footer="0.3"/>
  <pageSetup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Wordpad.Document.1" dvAspect="DVASPECT_ICON" shapeId="7174" r:id="rId4">
          <objectPr defaultSize="0" autoPict="0" r:id="rId5">
            <anchor moveWithCells="1">
              <from>
                <xdr:col>0</xdr:col>
                <xdr:colOff>129540</xdr:colOff>
                <xdr:row>9</xdr:row>
                <xdr:rowOff>53340</xdr:rowOff>
              </from>
              <to>
                <xdr:col>1</xdr:col>
                <xdr:colOff>563880</xdr:colOff>
                <xdr:row>14</xdr:row>
                <xdr:rowOff>68580</xdr:rowOff>
              </to>
            </anchor>
          </objectPr>
        </oleObject>
      </mc:Choice>
      <mc:Fallback>
        <oleObject progId="Wordpad.Document.1" dvAspect="DVASPECT_ICON" shapeId="717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MainEntry&amp;Data</vt:lpstr>
      <vt:lpstr>Calcs</vt:lpstr>
      <vt:lpstr>StoredResults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</dc:creator>
  <cp:lastModifiedBy>thermart</cp:lastModifiedBy>
  <cp:lastPrinted>2012-04-24T22:03:55Z</cp:lastPrinted>
  <dcterms:created xsi:type="dcterms:W3CDTF">2012-04-18T02:58:23Z</dcterms:created>
  <dcterms:modified xsi:type="dcterms:W3CDTF">2013-03-26T05:43:41Z</dcterms:modified>
</cp:coreProperties>
</file>